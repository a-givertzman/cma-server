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  <sheet name="1" sheetId="2" r:id="rId2"/>
    <sheet name="исходные данные" sheetId="5" r:id="rId3"/>
  </sheets>
  <calcPr calcId="152511"/>
</workbook>
</file>

<file path=xl/calcChain.xml><?xml version="1.0" encoding="utf-8"?>
<calcChain xmlns="http://schemas.openxmlformats.org/spreadsheetml/2006/main">
  <c r="L7" i="5" l="1"/>
  <c r="C7" i="5"/>
  <c r="B7" i="5"/>
  <c r="CW3" i="1" l="1"/>
  <c r="CW4" i="1"/>
  <c r="CW5" i="1"/>
  <c r="CW6" i="1"/>
  <c r="CW7" i="1"/>
  <c r="CW8" i="1"/>
  <c r="CW9" i="1"/>
  <c r="CW10" i="1"/>
  <c r="CW11" i="1"/>
  <c r="CW12" i="1"/>
  <c r="CW13" i="1"/>
  <c r="CW14" i="1"/>
  <c r="CW15" i="1"/>
  <c r="CW16" i="1"/>
  <c r="CW17" i="1"/>
  <c r="CW18" i="1"/>
  <c r="CW19" i="1"/>
  <c r="CW20" i="1"/>
  <c r="CW21" i="1"/>
  <c r="CW22" i="1"/>
  <c r="CW23" i="1"/>
  <c r="CW24" i="1"/>
  <c r="CW25" i="1"/>
  <c r="CW26" i="1"/>
  <c r="CW27" i="1"/>
  <c r="CW28" i="1"/>
  <c r="CW29" i="1"/>
  <c r="CW30" i="1"/>
  <c r="CW31" i="1"/>
  <c r="CW32" i="1"/>
  <c r="CW33" i="1"/>
  <c r="CW34" i="1"/>
  <c r="CW35" i="1"/>
  <c r="CW36" i="1"/>
  <c r="CW37" i="1"/>
  <c r="CW38" i="1"/>
  <c r="CW39" i="1"/>
  <c r="CW40" i="1"/>
  <c r="CW41" i="1"/>
  <c r="CW42" i="1"/>
  <c r="CW43" i="1"/>
  <c r="CW44" i="1"/>
  <c r="CW45" i="1"/>
  <c r="CW46" i="1"/>
  <c r="CW47" i="1"/>
  <c r="CW48" i="1"/>
  <c r="CW49" i="1"/>
  <c r="CW50" i="1"/>
  <c r="CW51" i="1"/>
  <c r="CW52" i="1"/>
  <c r="CW53" i="1"/>
  <c r="CW54" i="1"/>
  <c r="CW55" i="1"/>
  <c r="CW56" i="1"/>
  <c r="CW57" i="1"/>
  <c r="CW58" i="1"/>
  <c r="CW59" i="1"/>
  <c r="CW60" i="1"/>
  <c r="CW61" i="1"/>
  <c r="CW62" i="1"/>
  <c r="CW63" i="1"/>
  <c r="CW64" i="1"/>
  <c r="CW65" i="1"/>
  <c r="CW66" i="1"/>
  <c r="CW67" i="1"/>
  <c r="CW68" i="1"/>
  <c r="CW69" i="1"/>
  <c r="CW70" i="1"/>
  <c r="CW71" i="1"/>
  <c r="CW72" i="1"/>
  <c r="CW73" i="1"/>
  <c r="CW74" i="1"/>
  <c r="CW75" i="1"/>
  <c r="CW76" i="1"/>
  <c r="CW77" i="1"/>
  <c r="CW78" i="1"/>
  <c r="CW79" i="1"/>
  <c r="CW80" i="1"/>
  <c r="CW81" i="1"/>
  <c r="CW82" i="1"/>
  <c r="CW83" i="1"/>
  <c r="CW84" i="1"/>
  <c r="CW85" i="1"/>
  <c r="CW86" i="1"/>
  <c r="CW87" i="1"/>
  <c r="CW88" i="1"/>
  <c r="CW89" i="1"/>
  <c r="CW90" i="1"/>
  <c r="CW91" i="1"/>
  <c r="CW92" i="1"/>
  <c r="CW93" i="1"/>
  <c r="CW94" i="1"/>
  <c r="CW95" i="1"/>
  <c r="CW96" i="1"/>
  <c r="CW97" i="1"/>
  <c r="CW98" i="1"/>
  <c r="CW99" i="1"/>
  <c r="CW100" i="1"/>
  <c r="CW101" i="1"/>
  <c r="CW102" i="1"/>
  <c r="CW103" i="1"/>
  <c r="CW104" i="1"/>
  <c r="CW105" i="1"/>
  <c r="CW106" i="1"/>
  <c r="CW107" i="1"/>
  <c r="CW108" i="1"/>
  <c r="CW109" i="1"/>
  <c r="CW110" i="1"/>
  <c r="CW111" i="1"/>
  <c r="CW112" i="1"/>
  <c r="CW113" i="1"/>
  <c r="CW114" i="1"/>
  <c r="CW115" i="1"/>
  <c r="CW116" i="1"/>
  <c r="CW117" i="1"/>
  <c r="CW118" i="1"/>
  <c r="CW119" i="1"/>
  <c r="CW120" i="1"/>
  <c r="CW121" i="1"/>
  <c r="CW122" i="1"/>
  <c r="CW123" i="1"/>
  <c r="CW124" i="1"/>
  <c r="CW125" i="1"/>
  <c r="CW126" i="1"/>
  <c r="CW127" i="1"/>
  <c r="CW128" i="1"/>
  <c r="CW129" i="1"/>
  <c r="CW130" i="1"/>
  <c r="CW131" i="1"/>
  <c r="CW132" i="1"/>
  <c r="CW133" i="1"/>
  <c r="CW134" i="1"/>
  <c r="CW135" i="1"/>
  <c r="CW136" i="1"/>
  <c r="CW137" i="1"/>
  <c r="CW138" i="1"/>
  <c r="CW139" i="1"/>
  <c r="CW140" i="1"/>
  <c r="CW141" i="1"/>
  <c r="CW142" i="1"/>
  <c r="CW143" i="1"/>
  <c r="CW144" i="1"/>
  <c r="CW145" i="1"/>
  <c r="CW146" i="1"/>
  <c r="CW147" i="1"/>
  <c r="CW148" i="1"/>
  <c r="CW149" i="1"/>
  <c r="CW150" i="1"/>
  <c r="CW151" i="1"/>
  <c r="CW2" i="1"/>
  <c r="BX3" i="1"/>
  <c r="BY3" i="1" s="1"/>
  <c r="BZ3" i="1" s="1"/>
  <c r="CA3" i="1" s="1"/>
  <c r="CB3" i="1" s="1"/>
  <c r="CC3" i="1" s="1"/>
  <c r="CD3" i="1" s="1"/>
  <c r="CE3" i="1" s="1"/>
  <c r="CF3" i="1" s="1"/>
  <c r="CG3" i="1" s="1"/>
  <c r="CH3" i="1" s="1"/>
  <c r="CI3" i="1" s="1"/>
  <c r="CV3" i="1"/>
  <c r="BX4" i="1"/>
  <c r="BY4" i="1" s="1"/>
  <c r="BZ4" i="1" s="1"/>
  <c r="CA4" i="1" s="1"/>
  <c r="CB4" i="1" s="1"/>
  <c r="CC4" i="1" s="1"/>
  <c r="CD4" i="1" s="1"/>
  <c r="CE4" i="1" s="1"/>
  <c r="CF4" i="1" s="1"/>
  <c r="CG4" i="1" s="1"/>
  <c r="CH4" i="1" s="1"/>
  <c r="CI4" i="1" s="1"/>
  <c r="CP4" i="1" s="1"/>
  <c r="CV4" i="1"/>
  <c r="BX5" i="1"/>
  <c r="BY5" i="1" s="1"/>
  <c r="BZ5" i="1" s="1"/>
  <c r="CA5" i="1" s="1"/>
  <c r="CB5" i="1" s="1"/>
  <c r="CC5" i="1" s="1"/>
  <c r="CD5" i="1" s="1"/>
  <c r="CE5" i="1" s="1"/>
  <c r="CF5" i="1" s="1"/>
  <c r="CG5" i="1" s="1"/>
  <c r="CH5" i="1" s="1"/>
  <c r="CI5" i="1" s="1"/>
  <c r="CN5" i="1" s="1"/>
  <c r="CV5" i="1"/>
  <c r="BX6" i="1"/>
  <c r="BY6" i="1" s="1"/>
  <c r="BZ6" i="1" s="1"/>
  <c r="CA6" i="1" s="1"/>
  <c r="CB6" i="1" s="1"/>
  <c r="CC6" i="1" s="1"/>
  <c r="CD6" i="1" s="1"/>
  <c r="CE6" i="1" s="1"/>
  <c r="CF6" i="1" s="1"/>
  <c r="CG6" i="1" s="1"/>
  <c r="CH6" i="1" s="1"/>
  <c r="CI6" i="1" s="1"/>
  <c r="CR6" i="1" s="1"/>
  <c r="CV6" i="1"/>
  <c r="BX7" i="1"/>
  <c r="BY7" i="1" s="1"/>
  <c r="BZ7" i="1" s="1"/>
  <c r="CA7" i="1" s="1"/>
  <c r="CB7" i="1" s="1"/>
  <c r="CC7" i="1" s="1"/>
  <c r="CD7" i="1" s="1"/>
  <c r="CE7" i="1" s="1"/>
  <c r="CF7" i="1" s="1"/>
  <c r="CG7" i="1" s="1"/>
  <c r="CH7" i="1" s="1"/>
  <c r="CI7" i="1" s="1"/>
  <c r="CV7" i="1"/>
  <c r="BX8" i="1"/>
  <c r="BY8" i="1" s="1"/>
  <c r="BZ8" i="1" s="1"/>
  <c r="CA8" i="1" s="1"/>
  <c r="CB8" i="1" s="1"/>
  <c r="CC8" i="1" s="1"/>
  <c r="CD8" i="1" s="1"/>
  <c r="CE8" i="1" s="1"/>
  <c r="CF8" i="1" s="1"/>
  <c r="CG8" i="1" s="1"/>
  <c r="CH8" i="1" s="1"/>
  <c r="CI8" i="1" s="1"/>
  <c r="CV8" i="1"/>
  <c r="BX9" i="1"/>
  <c r="BY9" i="1" s="1"/>
  <c r="BZ9" i="1" s="1"/>
  <c r="CA9" i="1" s="1"/>
  <c r="CB9" i="1" s="1"/>
  <c r="CC9" i="1" s="1"/>
  <c r="CD9" i="1" s="1"/>
  <c r="CE9" i="1" s="1"/>
  <c r="CF9" i="1" s="1"/>
  <c r="CG9" i="1" s="1"/>
  <c r="CH9" i="1" s="1"/>
  <c r="CI9" i="1" s="1"/>
  <c r="CU9" i="1" s="1"/>
  <c r="CV9" i="1"/>
  <c r="BX10" i="1"/>
  <c r="BY10" i="1" s="1"/>
  <c r="BZ10" i="1" s="1"/>
  <c r="CA10" i="1" s="1"/>
  <c r="CB10" i="1" s="1"/>
  <c r="CC10" i="1" s="1"/>
  <c r="CD10" i="1" s="1"/>
  <c r="CE10" i="1" s="1"/>
  <c r="CF10" i="1" s="1"/>
  <c r="CG10" i="1" s="1"/>
  <c r="CH10" i="1" s="1"/>
  <c r="CI10" i="1" s="1"/>
  <c r="CV10" i="1"/>
  <c r="BX11" i="1"/>
  <c r="BY11" i="1" s="1"/>
  <c r="BZ11" i="1" s="1"/>
  <c r="CA11" i="1" s="1"/>
  <c r="CB11" i="1" s="1"/>
  <c r="CC11" i="1" s="1"/>
  <c r="CD11" i="1" s="1"/>
  <c r="CE11" i="1" s="1"/>
  <c r="CF11" i="1" s="1"/>
  <c r="CG11" i="1" s="1"/>
  <c r="CH11" i="1" s="1"/>
  <c r="CI11" i="1" s="1"/>
  <c r="CM11" i="1" s="1"/>
  <c r="CV11" i="1"/>
  <c r="BX12" i="1"/>
  <c r="BY12" i="1" s="1"/>
  <c r="BZ12" i="1" s="1"/>
  <c r="CA12" i="1" s="1"/>
  <c r="CB12" i="1" s="1"/>
  <c r="CC12" i="1" s="1"/>
  <c r="CD12" i="1" s="1"/>
  <c r="CE12" i="1" s="1"/>
  <c r="CF12" i="1" s="1"/>
  <c r="CG12" i="1" s="1"/>
  <c r="CH12" i="1" s="1"/>
  <c r="CI12" i="1" s="1"/>
  <c r="CV12" i="1"/>
  <c r="BX13" i="1"/>
  <c r="BY13" i="1" s="1"/>
  <c r="BZ13" i="1" s="1"/>
  <c r="CA13" i="1" s="1"/>
  <c r="CB13" i="1" s="1"/>
  <c r="CC13" i="1" s="1"/>
  <c r="CD13" i="1" s="1"/>
  <c r="CE13" i="1" s="1"/>
  <c r="CF13" i="1" s="1"/>
  <c r="CG13" i="1" s="1"/>
  <c r="CH13" i="1" s="1"/>
  <c r="CI13" i="1" s="1"/>
  <c r="CV13" i="1"/>
  <c r="BX14" i="1"/>
  <c r="BY14" i="1" s="1"/>
  <c r="BZ14" i="1" s="1"/>
  <c r="CA14" i="1" s="1"/>
  <c r="CB14" i="1" s="1"/>
  <c r="CC14" i="1" s="1"/>
  <c r="CD14" i="1" s="1"/>
  <c r="CE14" i="1" s="1"/>
  <c r="CF14" i="1" s="1"/>
  <c r="CG14" i="1" s="1"/>
  <c r="CH14" i="1" s="1"/>
  <c r="CI14" i="1" s="1"/>
  <c r="CR14" i="1" s="1"/>
  <c r="CV14" i="1"/>
  <c r="BX15" i="1"/>
  <c r="BY15" i="1" s="1"/>
  <c r="BZ15" i="1" s="1"/>
  <c r="CA15" i="1" s="1"/>
  <c r="CB15" i="1" s="1"/>
  <c r="CC15" i="1" s="1"/>
  <c r="CD15" i="1" s="1"/>
  <c r="CE15" i="1" s="1"/>
  <c r="CF15" i="1" s="1"/>
  <c r="CG15" i="1" s="1"/>
  <c r="CH15" i="1" s="1"/>
  <c r="CI15" i="1" s="1"/>
  <c r="CV15" i="1"/>
  <c r="BX16" i="1"/>
  <c r="BY16" i="1" s="1"/>
  <c r="BZ16" i="1" s="1"/>
  <c r="CA16" i="1" s="1"/>
  <c r="CB16" i="1" s="1"/>
  <c r="CC16" i="1" s="1"/>
  <c r="CD16" i="1" s="1"/>
  <c r="CE16" i="1" s="1"/>
  <c r="CF16" i="1" s="1"/>
  <c r="CG16" i="1" s="1"/>
  <c r="CH16" i="1" s="1"/>
  <c r="CI16" i="1" s="1"/>
  <c r="CQ16" i="1" s="1"/>
  <c r="CV16" i="1"/>
  <c r="BX17" i="1"/>
  <c r="BY17" i="1" s="1"/>
  <c r="BZ17" i="1" s="1"/>
  <c r="CA17" i="1" s="1"/>
  <c r="CB17" i="1" s="1"/>
  <c r="CC17" i="1" s="1"/>
  <c r="CD17" i="1" s="1"/>
  <c r="CE17" i="1" s="1"/>
  <c r="CF17" i="1" s="1"/>
  <c r="CG17" i="1" s="1"/>
  <c r="CH17" i="1" s="1"/>
  <c r="CI17" i="1" s="1"/>
  <c r="CV17" i="1"/>
  <c r="BX18" i="1"/>
  <c r="BY18" i="1" s="1"/>
  <c r="BZ18" i="1" s="1"/>
  <c r="CA18" i="1" s="1"/>
  <c r="CB18" i="1" s="1"/>
  <c r="CC18" i="1" s="1"/>
  <c r="CD18" i="1" s="1"/>
  <c r="CE18" i="1" s="1"/>
  <c r="CF18" i="1" s="1"/>
  <c r="CG18" i="1" s="1"/>
  <c r="CH18" i="1" s="1"/>
  <c r="CI18" i="1" s="1"/>
  <c r="CS18" i="1" s="1"/>
  <c r="CV18" i="1"/>
  <c r="BX19" i="1"/>
  <c r="BY19" i="1" s="1"/>
  <c r="BZ19" i="1" s="1"/>
  <c r="CA19" i="1" s="1"/>
  <c r="CB19" i="1" s="1"/>
  <c r="CC19" i="1" s="1"/>
  <c r="CD19" i="1" s="1"/>
  <c r="CE19" i="1" s="1"/>
  <c r="CF19" i="1" s="1"/>
  <c r="CG19" i="1" s="1"/>
  <c r="CH19" i="1" s="1"/>
  <c r="CI19" i="1" s="1"/>
  <c r="CV19" i="1"/>
  <c r="BX20" i="1"/>
  <c r="BY20" i="1" s="1"/>
  <c r="BZ20" i="1" s="1"/>
  <c r="CA20" i="1" s="1"/>
  <c r="CB20" i="1" s="1"/>
  <c r="CC20" i="1" s="1"/>
  <c r="CD20" i="1" s="1"/>
  <c r="CE20" i="1" s="1"/>
  <c r="CF20" i="1" s="1"/>
  <c r="CG20" i="1" s="1"/>
  <c r="CH20" i="1" s="1"/>
  <c r="CI20" i="1" s="1"/>
  <c r="CV20" i="1"/>
  <c r="BX21" i="1"/>
  <c r="BY21" i="1" s="1"/>
  <c r="BZ21" i="1" s="1"/>
  <c r="CA21" i="1" s="1"/>
  <c r="CB21" i="1" s="1"/>
  <c r="CC21" i="1" s="1"/>
  <c r="CD21" i="1" s="1"/>
  <c r="CE21" i="1" s="1"/>
  <c r="CF21" i="1" s="1"/>
  <c r="CG21" i="1" s="1"/>
  <c r="CH21" i="1" s="1"/>
  <c r="CI21" i="1" s="1"/>
  <c r="CL21" i="1" s="1"/>
  <c r="CV21" i="1"/>
  <c r="BX22" i="1"/>
  <c r="BY22" i="1" s="1"/>
  <c r="BZ22" i="1" s="1"/>
  <c r="CA22" i="1" s="1"/>
  <c r="CB22" i="1" s="1"/>
  <c r="CC22" i="1" s="1"/>
  <c r="CD22" i="1" s="1"/>
  <c r="CE22" i="1" s="1"/>
  <c r="CF22" i="1" s="1"/>
  <c r="CG22" i="1" s="1"/>
  <c r="CH22" i="1" s="1"/>
  <c r="CI22" i="1" s="1"/>
  <c r="CV22" i="1"/>
  <c r="BX23" i="1"/>
  <c r="BY23" i="1" s="1"/>
  <c r="BZ23" i="1" s="1"/>
  <c r="CA23" i="1" s="1"/>
  <c r="CB23" i="1" s="1"/>
  <c r="CC23" i="1" s="1"/>
  <c r="CD23" i="1" s="1"/>
  <c r="CE23" i="1" s="1"/>
  <c r="CF23" i="1" s="1"/>
  <c r="CG23" i="1" s="1"/>
  <c r="CH23" i="1" s="1"/>
  <c r="CI23" i="1" s="1"/>
  <c r="CJ23" i="1" s="1"/>
  <c r="CV23" i="1"/>
  <c r="BX24" i="1"/>
  <c r="BY24" i="1" s="1"/>
  <c r="BZ24" i="1" s="1"/>
  <c r="CA24" i="1" s="1"/>
  <c r="CB24" i="1" s="1"/>
  <c r="CC24" i="1" s="1"/>
  <c r="CD24" i="1" s="1"/>
  <c r="CE24" i="1" s="1"/>
  <c r="CF24" i="1" s="1"/>
  <c r="CG24" i="1" s="1"/>
  <c r="CH24" i="1" s="1"/>
  <c r="CI24" i="1" s="1"/>
  <c r="CV24" i="1"/>
  <c r="BX25" i="1"/>
  <c r="BY25" i="1" s="1"/>
  <c r="BZ25" i="1" s="1"/>
  <c r="CA25" i="1" s="1"/>
  <c r="CB25" i="1" s="1"/>
  <c r="CC25" i="1" s="1"/>
  <c r="CD25" i="1" s="1"/>
  <c r="CE25" i="1" s="1"/>
  <c r="CF25" i="1" s="1"/>
  <c r="CG25" i="1" s="1"/>
  <c r="CH25" i="1" s="1"/>
  <c r="CI25" i="1" s="1"/>
  <c r="CV25" i="1"/>
  <c r="BX26" i="1"/>
  <c r="BY26" i="1" s="1"/>
  <c r="BZ26" i="1" s="1"/>
  <c r="CA26" i="1" s="1"/>
  <c r="CB26" i="1" s="1"/>
  <c r="CC26" i="1" s="1"/>
  <c r="CD26" i="1" s="1"/>
  <c r="CE26" i="1" s="1"/>
  <c r="CF26" i="1" s="1"/>
  <c r="CG26" i="1" s="1"/>
  <c r="CH26" i="1" s="1"/>
  <c r="CI26" i="1" s="1"/>
  <c r="CO26" i="1" s="1"/>
  <c r="CV26" i="1"/>
  <c r="BX27" i="1"/>
  <c r="BY27" i="1" s="1"/>
  <c r="BZ27" i="1" s="1"/>
  <c r="CA27" i="1" s="1"/>
  <c r="CB27" i="1" s="1"/>
  <c r="CC27" i="1" s="1"/>
  <c r="CD27" i="1" s="1"/>
  <c r="CE27" i="1" s="1"/>
  <c r="CF27" i="1" s="1"/>
  <c r="CG27" i="1" s="1"/>
  <c r="CH27" i="1" s="1"/>
  <c r="CI27" i="1" s="1"/>
  <c r="CV27" i="1"/>
  <c r="BX28" i="1"/>
  <c r="BY28" i="1" s="1"/>
  <c r="BZ28" i="1" s="1"/>
  <c r="CA28" i="1" s="1"/>
  <c r="CB28" i="1" s="1"/>
  <c r="CC28" i="1" s="1"/>
  <c r="CD28" i="1" s="1"/>
  <c r="CE28" i="1" s="1"/>
  <c r="CF28" i="1" s="1"/>
  <c r="CG28" i="1" s="1"/>
  <c r="CH28" i="1" s="1"/>
  <c r="CI28" i="1" s="1"/>
  <c r="CV28" i="1"/>
  <c r="BX29" i="1"/>
  <c r="BY29" i="1" s="1"/>
  <c r="BZ29" i="1" s="1"/>
  <c r="CA29" i="1" s="1"/>
  <c r="CB29" i="1" s="1"/>
  <c r="CC29" i="1" s="1"/>
  <c r="CD29" i="1" s="1"/>
  <c r="CE29" i="1" s="1"/>
  <c r="CF29" i="1" s="1"/>
  <c r="CG29" i="1" s="1"/>
  <c r="CH29" i="1" s="1"/>
  <c r="CI29" i="1" s="1"/>
  <c r="CN29" i="1" s="1"/>
  <c r="CV29" i="1"/>
  <c r="BX30" i="1"/>
  <c r="BY30" i="1" s="1"/>
  <c r="BZ30" i="1" s="1"/>
  <c r="CA30" i="1" s="1"/>
  <c r="CB30" i="1" s="1"/>
  <c r="CC30" i="1" s="1"/>
  <c r="CD30" i="1" s="1"/>
  <c r="CE30" i="1" s="1"/>
  <c r="CF30" i="1" s="1"/>
  <c r="CG30" i="1" s="1"/>
  <c r="CH30" i="1" s="1"/>
  <c r="CI30" i="1" s="1"/>
  <c r="CV30" i="1"/>
  <c r="BX31" i="1"/>
  <c r="BY31" i="1" s="1"/>
  <c r="BZ31" i="1" s="1"/>
  <c r="CA31" i="1" s="1"/>
  <c r="CB31" i="1" s="1"/>
  <c r="CC31" i="1" s="1"/>
  <c r="CD31" i="1" s="1"/>
  <c r="CE31" i="1" s="1"/>
  <c r="CF31" i="1" s="1"/>
  <c r="CG31" i="1" s="1"/>
  <c r="CH31" i="1" s="1"/>
  <c r="CI31" i="1" s="1"/>
  <c r="CV31" i="1"/>
  <c r="BX32" i="1"/>
  <c r="BY32" i="1" s="1"/>
  <c r="BZ32" i="1" s="1"/>
  <c r="CA32" i="1" s="1"/>
  <c r="CB32" i="1" s="1"/>
  <c r="CC32" i="1" s="1"/>
  <c r="CD32" i="1" s="1"/>
  <c r="CE32" i="1" s="1"/>
  <c r="CF32" i="1" s="1"/>
  <c r="CG32" i="1" s="1"/>
  <c r="CH32" i="1" s="1"/>
  <c r="CI32" i="1" s="1"/>
  <c r="CV32" i="1"/>
  <c r="BX33" i="1"/>
  <c r="BY33" i="1" s="1"/>
  <c r="BZ33" i="1" s="1"/>
  <c r="CA33" i="1" s="1"/>
  <c r="CB33" i="1" s="1"/>
  <c r="CC33" i="1" s="1"/>
  <c r="CD33" i="1" s="1"/>
  <c r="CE33" i="1" s="1"/>
  <c r="CF33" i="1" s="1"/>
  <c r="CG33" i="1" s="1"/>
  <c r="CH33" i="1" s="1"/>
  <c r="CI33" i="1" s="1"/>
  <c r="CQ33" i="1" s="1"/>
  <c r="CV33" i="1"/>
  <c r="BX34" i="1"/>
  <c r="BY34" i="1" s="1"/>
  <c r="BZ34" i="1" s="1"/>
  <c r="CA34" i="1" s="1"/>
  <c r="CB34" i="1" s="1"/>
  <c r="CC34" i="1" s="1"/>
  <c r="CD34" i="1" s="1"/>
  <c r="CE34" i="1" s="1"/>
  <c r="CF34" i="1" s="1"/>
  <c r="CG34" i="1" s="1"/>
  <c r="CH34" i="1" s="1"/>
  <c r="CI34" i="1" s="1"/>
  <c r="CV34" i="1"/>
  <c r="BX35" i="1"/>
  <c r="BY35" i="1"/>
  <c r="BZ35" i="1" s="1"/>
  <c r="CA35" i="1" s="1"/>
  <c r="CB35" i="1" s="1"/>
  <c r="CC35" i="1" s="1"/>
  <c r="CD35" i="1" s="1"/>
  <c r="CE35" i="1" s="1"/>
  <c r="CF35" i="1" s="1"/>
  <c r="CG35" i="1" s="1"/>
  <c r="CH35" i="1" s="1"/>
  <c r="CI35" i="1" s="1"/>
  <c r="CV35" i="1"/>
  <c r="BX36" i="1"/>
  <c r="BY36" i="1" s="1"/>
  <c r="BZ36" i="1" s="1"/>
  <c r="CA36" i="1" s="1"/>
  <c r="CB36" i="1" s="1"/>
  <c r="CC36" i="1" s="1"/>
  <c r="CD36" i="1" s="1"/>
  <c r="CE36" i="1" s="1"/>
  <c r="CF36" i="1" s="1"/>
  <c r="CG36" i="1" s="1"/>
  <c r="CH36" i="1" s="1"/>
  <c r="CI36" i="1" s="1"/>
  <c r="CS36" i="1" s="1"/>
  <c r="CV36" i="1"/>
  <c r="BX37" i="1"/>
  <c r="BY37" i="1" s="1"/>
  <c r="BZ37" i="1" s="1"/>
  <c r="CA37" i="1" s="1"/>
  <c r="CB37" i="1" s="1"/>
  <c r="CC37" i="1" s="1"/>
  <c r="CD37" i="1" s="1"/>
  <c r="CE37" i="1" s="1"/>
  <c r="CF37" i="1" s="1"/>
  <c r="CG37" i="1" s="1"/>
  <c r="CH37" i="1" s="1"/>
  <c r="CI37" i="1" s="1"/>
  <c r="CV37" i="1"/>
  <c r="BX38" i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V38" i="1"/>
  <c r="BX39" i="1"/>
  <c r="BY39" i="1" s="1"/>
  <c r="BZ39" i="1" s="1"/>
  <c r="CA39" i="1" s="1"/>
  <c r="CB39" i="1" s="1"/>
  <c r="CC39" i="1" s="1"/>
  <c r="CD39" i="1" s="1"/>
  <c r="CE39" i="1" s="1"/>
  <c r="CF39" i="1" s="1"/>
  <c r="CG39" i="1" s="1"/>
  <c r="CH39" i="1" s="1"/>
  <c r="CI39" i="1" s="1"/>
  <c r="CV39" i="1"/>
  <c r="BX40" i="1"/>
  <c r="BY40" i="1" s="1"/>
  <c r="BZ40" i="1" s="1"/>
  <c r="CA40" i="1" s="1"/>
  <c r="CB40" i="1" s="1"/>
  <c r="CC40" i="1" s="1"/>
  <c r="CD40" i="1" s="1"/>
  <c r="CE40" i="1" s="1"/>
  <c r="CF40" i="1" s="1"/>
  <c r="CG40" i="1" s="1"/>
  <c r="CH40" i="1" s="1"/>
  <c r="CI40" i="1" s="1"/>
  <c r="CV40" i="1"/>
  <c r="BX41" i="1"/>
  <c r="BY41" i="1" s="1"/>
  <c r="BZ41" i="1" s="1"/>
  <c r="CA41" i="1" s="1"/>
  <c r="CB41" i="1" s="1"/>
  <c r="CC41" i="1" s="1"/>
  <c r="CD41" i="1" s="1"/>
  <c r="CE41" i="1" s="1"/>
  <c r="CF41" i="1" s="1"/>
  <c r="CG41" i="1" s="1"/>
  <c r="CH41" i="1" s="1"/>
  <c r="CI41" i="1" s="1"/>
  <c r="CV41" i="1"/>
  <c r="BX42" i="1"/>
  <c r="BY42" i="1" s="1"/>
  <c r="BZ42" i="1" s="1"/>
  <c r="CA42" i="1" s="1"/>
  <c r="CB42" i="1" s="1"/>
  <c r="CC42" i="1" s="1"/>
  <c r="CD42" i="1" s="1"/>
  <c r="CE42" i="1" s="1"/>
  <c r="CF42" i="1" s="1"/>
  <c r="CG42" i="1" s="1"/>
  <c r="CH42" i="1" s="1"/>
  <c r="CI42" i="1" s="1"/>
  <c r="CL42" i="1" s="1"/>
  <c r="CV42" i="1"/>
  <c r="BX43" i="1"/>
  <c r="BY43" i="1" s="1"/>
  <c r="BZ43" i="1" s="1"/>
  <c r="CA43" i="1" s="1"/>
  <c r="CB43" i="1" s="1"/>
  <c r="CC43" i="1" s="1"/>
  <c r="CD43" i="1" s="1"/>
  <c r="CE43" i="1" s="1"/>
  <c r="CF43" i="1" s="1"/>
  <c r="CG43" i="1" s="1"/>
  <c r="CH43" i="1" s="1"/>
  <c r="CI43" i="1" s="1"/>
  <c r="CV43" i="1"/>
  <c r="BX44" i="1"/>
  <c r="BY44" i="1" s="1"/>
  <c r="BZ44" i="1" s="1"/>
  <c r="CA44" i="1" s="1"/>
  <c r="CB44" i="1" s="1"/>
  <c r="CC44" i="1" s="1"/>
  <c r="CD44" i="1" s="1"/>
  <c r="CE44" i="1" s="1"/>
  <c r="CF44" i="1" s="1"/>
  <c r="CG44" i="1" s="1"/>
  <c r="CH44" i="1" s="1"/>
  <c r="CI44" i="1" s="1"/>
  <c r="CS44" i="1" s="1"/>
  <c r="CV44" i="1"/>
  <c r="BX45" i="1"/>
  <c r="BY45" i="1" s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R45" i="1" s="1"/>
  <c r="CV45" i="1"/>
  <c r="BX46" i="1"/>
  <c r="BY46" i="1" s="1"/>
  <c r="BZ46" i="1" s="1"/>
  <c r="CA46" i="1" s="1"/>
  <c r="CB46" i="1" s="1"/>
  <c r="CC46" i="1" s="1"/>
  <c r="CD46" i="1" s="1"/>
  <c r="CE46" i="1" s="1"/>
  <c r="CF46" i="1" s="1"/>
  <c r="CG46" i="1" s="1"/>
  <c r="CH46" i="1" s="1"/>
  <c r="CI46" i="1" s="1"/>
  <c r="CV46" i="1"/>
  <c r="BX47" i="1"/>
  <c r="BY47" i="1" s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K47" i="1" s="1"/>
  <c r="CV47" i="1"/>
  <c r="BX48" i="1"/>
  <c r="BY48" i="1" s="1"/>
  <c r="BZ48" i="1" s="1"/>
  <c r="CA48" i="1" s="1"/>
  <c r="CB48" i="1" s="1"/>
  <c r="CC48" i="1" s="1"/>
  <c r="CD48" i="1" s="1"/>
  <c r="CE48" i="1" s="1"/>
  <c r="CF48" i="1" s="1"/>
  <c r="CG48" i="1" s="1"/>
  <c r="CH48" i="1" s="1"/>
  <c r="CI48" i="1" s="1"/>
  <c r="CV48" i="1"/>
  <c r="BX49" i="1"/>
  <c r="BY49" i="1" s="1"/>
  <c r="BZ49" i="1" s="1"/>
  <c r="CA49" i="1" s="1"/>
  <c r="CB49" i="1" s="1"/>
  <c r="CC49" i="1" s="1"/>
  <c r="CD49" i="1" s="1"/>
  <c r="CE49" i="1" s="1"/>
  <c r="CF49" i="1" s="1"/>
  <c r="CG49" i="1" s="1"/>
  <c r="CH49" i="1" s="1"/>
  <c r="CI49" i="1" s="1"/>
  <c r="CV49" i="1"/>
  <c r="BX50" i="1"/>
  <c r="BY50" i="1" s="1"/>
  <c r="BZ50" i="1" s="1"/>
  <c r="CA50" i="1" s="1"/>
  <c r="CB50" i="1" s="1"/>
  <c r="CC50" i="1" s="1"/>
  <c r="CD50" i="1" s="1"/>
  <c r="CE50" i="1" s="1"/>
  <c r="CF50" i="1" s="1"/>
  <c r="CG50" i="1" s="1"/>
  <c r="CH50" i="1" s="1"/>
  <c r="CI50" i="1" s="1"/>
  <c r="CV50" i="1"/>
  <c r="BX51" i="1"/>
  <c r="BY51" i="1" s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V51" i="1"/>
  <c r="BX52" i="1"/>
  <c r="BY52" i="1" s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V52" i="1"/>
  <c r="BX53" i="1"/>
  <c r="BY53" i="1" s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V53" i="1"/>
  <c r="BX54" i="1"/>
  <c r="BY54" i="1" s="1"/>
  <c r="BZ54" i="1" s="1"/>
  <c r="CA54" i="1" s="1"/>
  <c r="CB54" i="1" s="1"/>
  <c r="CC54" i="1" s="1"/>
  <c r="CD54" i="1" s="1"/>
  <c r="CE54" i="1" s="1"/>
  <c r="CF54" i="1" s="1"/>
  <c r="CG54" i="1" s="1"/>
  <c r="CH54" i="1" s="1"/>
  <c r="CI54" i="1" s="1"/>
  <c r="CV54" i="1"/>
  <c r="BX55" i="1"/>
  <c r="BY55" i="1" s="1"/>
  <c r="BZ55" i="1" s="1"/>
  <c r="CA55" i="1" s="1"/>
  <c r="CB55" i="1" s="1"/>
  <c r="CC55" i="1" s="1"/>
  <c r="CD55" i="1" s="1"/>
  <c r="CE55" i="1" s="1"/>
  <c r="CF55" i="1" s="1"/>
  <c r="CG55" i="1" s="1"/>
  <c r="CH55" i="1" s="1"/>
  <c r="CI55" i="1" s="1"/>
  <c r="CV55" i="1"/>
  <c r="BX56" i="1"/>
  <c r="BY56" i="1" s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V56" i="1"/>
  <c r="BX57" i="1"/>
  <c r="BY57" i="1" s="1"/>
  <c r="BZ57" i="1" s="1"/>
  <c r="CA57" i="1" s="1"/>
  <c r="CB57" i="1" s="1"/>
  <c r="CC57" i="1" s="1"/>
  <c r="CD57" i="1" s="1"/>
  <c r="CE57" i="1" s="1"/>
  <c r="CF57" i="1" s="1"/>
  <c r="CG57" i="1" s="1"/>
  <c r="CH57" i="1" s="1"/>
  <c r="CI57" i="1" s="1"/>
  <c r="CV57" i="1"/>
  <c r="BX58" i="1"/>
  <c r="BY58" i="1" s="1"/>
  <c r="BZ58" i="1" s="1"/>
  <c r="CA58" i="1" s="1"/>
  <c r="CB58" i="1" s="1"/>
  <c r="CC58" i="1" s="1"/>
  <c r="CD58" i="1" s="1"/>
  <c r="CE58" i="1" s="1"/>
  <c r="CF58" i="1" s="1"/>
  <c r="CG58" i="1" s="1"/>
  <c r="CH58" i="1" s="1"/>
  <c r="CI58" i="1" s="1"/>
  <c r="CV58" i="1"/>
  <c r="BX59" i="1"/>
  <c r="BY59" i="1" s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V59" i="1"/>
  <c r="BX60" i="1"/>
  <c r="BY60" i="1" s="1"/>
  <c r="BZ60" i="1" s="1"/>
  <c r="CA60" i="1" s="1"/>
  <c r="CB60" i="1" s="1"/>
  <c r="CC60" i="1" s="1"/>
  <c r="CD60" i="1" s="1"/>
  <c r="CE60" i="1" s="1"/>
  <c r="CF60" i="1" s="1"/>
  <c r="CG60" i="1" s="1"/>
  <c r="CH60" i="1" s="1"/>
  <c r="CI60" i="1" s="1"/>
  <c r="CV60" i="1"/>
  <c r="BX61" i="1"/>
  <c r="BY61" i="1" s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M61" i="1" s="1"/>
  <c r="CV61" i="1"/>
  <c r="BX62" i="1"/>
  <c r="BY62" i="1" s="1"/>
  <c r="BZ62" i="1" s="1"/>
  <c r="CA62" i="1" s="1"/>
  <c r="CB62" i="1" s="1"/>
  <c r="CC62" i="1" s="1"/>
  <c r="CD62" i="1" s="1"/>
  <c r="CE62" i="1" s="1"/>
  <c r="CF62" i="1" s="1"/>
  <c r="CG62" i="1" s="1"/>
  <c r="CH62" i="1" s="1"/>
  <c r="CI62" i="1" s="1"/>
  <c r="CV62" i="1"/>
  <c r="BX63" i="1"/>
  <c r="BY63" i="1" s="1"/>
  <c r="BZ63" i="1" s="1"/>
  <c r="CA63" i="1" s="1"/>
  <c r="CB63" i="1" s="1"/>
  <c r="CC63" i="1" s="1"/>
  <c r="CD63" i="1" s="1"/>
  <c r="CE63" i="1" s="1"/>
  <c r="CF63" i="1" s="1"/>
  <c r="CG63" i="1" s="1"/>
  <c r="CH63" i="1" s="1"/>
  <c r="CI63" i="1" s="1"/>
  <c r="CV63" i="1"/>
  <c r="BX64" i="1"/>
  <c r="BY64" i="1" s="1"/>
  <c r="BZ64" i="1" s="1"/>
  <c r="CA64" i="1" s="1"/>
  <c r="CB64" i="1" s="1"/>
  <c r="CC64" i="1" s="1"/>
  <c r="CD64" i="1" s="1"/>
  <c r="CE64" i="1" s="1"/>
  <c r="CF64" i="1" s="1"/>
  <c r="CG64" i="1" s="1"/>
  <c r="CH64" i="1" s="1"/>
  <c r="CI64" i="1" s="1"/>
  <c r="CV64" i="1"/>
  <c r="BX65" i="1"/>
  <c r="BY65" i="1" s="1"/>
  <c r="BZ65" i="1" s="1"/>
  <c r="CA65" i="1" s="1"/>
  <c r="CB65" i="1" s="1"/>
  <c r="CC65" i="1" s="1"/>
  <c r="CD65" i="1" s="1"/>
  <c r="CE65" i="1" s="1"/>
  <c r="CF65" i="1" s="1"/>
  <c r="CG65" i="1" s="1"/>
  <c r="CH65" i="1" s="1"/>
  <c r="CI65" i="1" s="1"/>
  <c r="CV65" i="1"/>
  <c r="BX66" i="1"/>
  <c r="BY66" i="1" s="1"/>
  <c r="BZ66" i="1" s="1"/>
  <c r="CA66" i="1" s="1"/>
  <c r="CB66" i="1" s="1"/>
  <c r="CC66" i="1" s="1"/>
  <c r="CD66" i="1" s="1"/>
  <c r="CE66" i="1" s="1"/>
  <c r="CF66" i="1" s="1"/>
  <c r="CG66" i="1" s="1"/>
  <c r="CH66" i="1" s="1"/>
  <c r="CI66" i="1" s="1"/>
  <c r="CV66" i="1"/>
  <c r="BX67" i="1"/>
  <c r="BY67" i="1" s="1"/>
  <c r="BZ67" i="1" s="1"/>
  <c r="CA67" i="1" s="1"/>
  <c r="CB67" i="1" s="1"/>
  <c r="CC67" i="1" s="1"/>
  <c r="CD67" i="1" s="1"/>
  <c r="CE67" i="1" s="1"/>
  <c r="CF67" i="1" s="1"/>
  <c r="CG67" i="1" s="1"/>
  <c r="CH67" i="1" s="1"/>
  <c r="CI67" i="1" s="1"/>
  <c r="CV67" i="1"/>
  <c r="BX68" i="1"/>
  <c r="BY68" i="1" s="1"/>
  <c r="BZ68" i="1" s="1"/>
  <c r="CA68" i="1" s="1"/>
  <c r="CB68" i="1" s="1"/>
  <c r="CC68" i="1" s="1"/>
  <c r="CD68" i="1" s="1"/>
  <c r="CE68" i="1" s="1"/>
  <c r="CF68" i="1" s="1"/>
  <c r="CG68" i="1" s="1"/>
  <c r="CH68" i="1" s="1"/>
  <c r="CI68" i="1" s="1"/>
  <c r="CN68" i="1" s="1"/>
  <c r="CV68" i="1"/>
  <c r="BX69" i="1"/>
  <c r="BY69" i="1" s="1"/>
  <c r="BZ69" i="1" s="1"/>
  <c r="CA69" i="1" s="1"/>
  <c r="CB69" i="1" s="1"/>
  <c r="CC69" i="1" s="1"/>
  <c r="CD69" i="1" s="1"/>
  <c r="CE69" i="1" s="1"/>
  <c r="CF69" i="1" s="1"/>
  <c r="CG69" i="1" s="1"/>
  <c r="CH69" i="1" s="1"/>
  <c r="CI69" i="1" s="1"/>
  <c r="CV69" i="1"/>
  <c r="BX70" i="1"/>
  <c r="BY70" i="1" s="1"/>
  <c r="BZ70" i="1" s="1"/>
  <c r="CA70" i="1" s="1"/>
  <c r="CB70" i="1" s="1"/>
  <c r="CC70" i="1" s="1"/>
  <c r="CD70" i="1" s="1"/>
  <c r="CE70" i="1" s="1"/>
  <c r="CF70" i="1" s="1"/>
  <c r="CG70" i="1" s="1"/>
  <c r="CH70" i="1" s="1"/>
  <c r="CI70" i="1" s="1"/>
  <c r="CV70" i="1"/>
  <c r="BX71" i="1"/>
  <c r="BY71" i="1" s="1"/>
  <c r="BZ71" i="1" s="1"/>
  <c r="CA71" i="1" s="1"/>
  <c r="CB71" i="1" s="1"/>
  <c r="CC71" i="1" s="1"/>
  <c r="CD71" i="1" s="1"/>
  <c r="CE71" i="1" s="1"/>
  <c r="CF71" i="1" s="1"/>
  <c r="CG71" i="1" s="1"/>
  <c r="CH71" i="1" s="1"/>
  <c r="CI71" i="1" s="1"/>
  <c r="CV71" i="1"/>
  <c r="BX72" i="1"/>
  <c r="BY72" i="1" s="1"/>
  <c r="BZ72" i="1" s="1"/>
  <c r="CA72" i="1" s="1"/>
  <c r="CB72" i="1" s="1"/>
  <c r="CC72" i="1" s="1"/>
  <c r="CD72" i="1" s="1"/>
  <c r="CE72" i="1" s="1"/>
  <c r="CF72" i="1" s="1"/>
  <c r="CG72" i="1" s="1"/>
  <c r="CH72" i="1" s="1"/>
  <c r="CI72" i="1" s="1"/>
  <c r="CV72" i="1"/>
  <c r="BX73" i="1"/>
  <c r="BY73" i="1" s="1"/>
  <c r="BZ73" i="1" s="1"/>
  <c r="CA73" i="1" s="1"/>
  <c r="CB73" i="1" s="1"/>
  <c r="CC73" i="1" s="1"/>
  <c r="CD73" i="1" s="1"/>
  <c r="CE73" i="1" s="1"/>
  <c r="CF73" i="1" s="1"/>
  <c r="CG73" i="1" s="1"/>
  <c r="CH73" i="1" s="1"/>
  <c r="CI73" i="1" s="1"/>
  <c r="CV73" i="1"/>
  <c r="BX74" i="1"/>
  <c r="BY74" i="1" s="1"/>
  <c r="BZ74" i="1" s="1"/>
  <c r="CA74" i="1" s="1"/>
  <c r="CB74" i="1" s="1"/>
  <c r="CC74" i="1" s="1"/>
  <c r="CD74" i="1" s="1"/>
  <c r="CE74" i="1" s="1"/>
  <c r="CF74" i="1" s="1"/>
  <c r="CG74" i="1" s="1"/>
  <c r="CH74" i="1" s="1"/>
  <c r="CI74" i="1" s="1"/>
  <c r="CV74" i="1"/>
  <c r="BX75" i="1"/>
  <c r="BY75" i="1" s="1"/>
  <c r="BZ75" i="1" s="1"/>
  <c r="CA75" i="1" s="1"/>
  <c r="CB75" i="1" s="1"/>
  <c r="CC75" i="1" s="1"/>
  <c r="CD75" i="1" s="1"/>
  <c r="CE75" i="1" s="1"/>
  <c r="CF75" i="1" s="1"/>
  <c r="CG75" i="1" s="1"/>
  <c r="CH75" i="1" s="1"/>
  <c r="CI75" i="1" s="1"/>
  <c r="CV75" i="1"/>
  <c r="BX76" i="1"/>
  <c r="BY76" i="1" s="1"/>
  <c r="BZ76" i="1" s="1"/>
  <c r="CA76" i="1" s="1"/>
  <c r="CB76" i="1" s="1"/>
  <c r="CC76" i="1" s="1"/>
  <c r="CD76" i="1" s="1"/>
  <c r="CE76" i="1" s="1"/>
  <c r="CF76" i="1" s="1"/>
  <c r="CG76" i="1" s="1"/>
  <c r="CH76" i="1" s="1"/>
  <c r="CI76" i="1" s="1"/>
  <c r="CV76" i="1"/>
  <c r="BX77" i="1"/>
  <c r="BY77" i="1" s="1"/>
  <c r="BZ77" i="1" s="1"/>
  <c r="CA77" i="1" s="1"/>
  <c r="CB77" i="1" s="1"/>
  <c r="CC77" i="1" s="1"/>
  <c r="CD77" i="1" s="1"/>
  <c r="CE77" i="1" s="1"/>
  <c r="CF77" i="1" s="1"/>
  <c r="CG77" i="1" s="1"/>
  <c r="CH77" i="1" s="1"/>
  <c r="CI77" i="1" s="1"/>
  <c r="CV77" i="1"/>
  <c r="BX78" i="1"/>
  <c r="BY78" i="1" s="1"/>
  <c r="BZ78" i="1" s="1"/>
  <c r="CA78" i="1" s="1"/>
  <c r="CB78" i="1" s="1"/>
  <c r="CC78" i="1" s="1"/>
  <c r="CD78" i="1" s="1"/>
  <c r="CE78" i="1" s="1"/>
  <c r="CF78" i="1" s="1"/>
  <c r="CG78" i="1" s="1"/>
  <c r="CH78" i="1" s="1"/>
  <c r="CI78" i="1" s="1"/>
  <c r="CV78" i="1"/>
  <c r="BX79" i="1"/>
  <c r="BY79" i="1" s="1"/>
  <c r="BZ79" i="1" s="1"/>
  <c r="CA79" i="1" s="1"/>
  <c r="CB79" i="1" s="1"/>
  <c r="CC79" i="1" s="1"/>
  <c r="CD79" i="1" s="1"/>
  <c r="CE79" i="1" s="1"/>
  <c r="CF79" i="1" s="1"/>
  <c r="CG79" i="1" s="1"/>
  <c r="CH79" i="1" s="1"/>
  <c r="CI79" i="1" s="1"/>
  <c r="CV79" i="1"/>
  <c r="BX80" i="1"/>
  <c r="BY80" i="1" s="1"/>
  <c r="BZ80" i="1" s="1"/>
  <c r="CA80" i="1" s="1"/>
  <c r="CB80" i="1" s="1"/>
  <c r="CC80" i="1" s="1"/>
  <c r="CD80" i="1" s="1"/>
  <c r="CE80" i="1" s="1"/>
  <c r="CF80" i="1" s="1"/>
  <c r="CG80" i="1" s="1"/>
  <c r="CH80" i="1" s="1"/>
  <c r="CI80" i="1" s="1"/>
  <c r="CV80" i="1"/>
  <c r="BX81" i="1"/>
  <c r="BY81" i="1" s="1"/>
  <c r="BZ81" i="1" s="1"/>
  <c r="CA81" i="1" s="1"/>
  <c r="CB81" i="1" s="1"/>
  <c r="CC81" i="1" s="1"/>
  <c r="CD81" i="1" s="1"/>
  <c r="CE81" i="1" s="1"/>
  <c r="CF81" i="1" s="1"/>
  <c r="CG81" i="1" s="1"/>
  <c r="CH81" i="1" s="1"/>
  <c r="CI81" i="1" s="1"/>
  <c r="CV81" i="1"/>
  <c r="BX82" i="1"/>
  <c r="BY82" i="1" s="1"/>
  <c r="BZ82" i="1" s="1"/>
  <c r="CA82" i="1" s="1"/>
  <c r="CB82" i="1" s="1"/>
  <c r="CC82" i="1" s="1"/>
  <c r="CD82" i="1" s="1"/>
  <c r="CE82" i="1" s="1"/>
  <c r="CF82" i="1" s="1"/>
  <c r="CG82" i="1" s="1"/>
  <c r="CH82" i="1" s="1"/>
  <c r="CI82" i="1" s="1"/>
  <c r="CV82" i="1"/>
  <c r="BX83" i="1"/>
  <c r="BY83" i="1" s="1"/>
  <c r="BZ83" i="1" s="1"/>
  <c r="CA83" i="1" s="1"/>
  <c r="CB83" i="1" s="1"/>
  <c r="CC83" i="1" s="1"/>
  <c r="CD83" i="1" s="1"/>
  <c r="CE83" i="1" s="1"/>
  <c r="CF83" i="1" s="1"/>
  <c r="CG83" i="1" s="1"/>
  <c r="CH83" i="1" s="1"/>
  <c r="CI83" i="1" s="1"/>
  <c r="CQ83" i="1" s="1"/>
  <c r="CV83" i="1"/>
  <c r="BX84" i="1"/>
  <c r="BY84" i="1" s="1"/>
  <c r="BZ84" i="1" s="1"/>
  <c r="CA84" i="1" s="1"/>
  <c r="CB84" i="1" s="1"/>
  <c r="CC84" i="1" s="1"/>
  <c r="CD84" i="1" s="1"/>
  <c r="CE84" i="1" s="1"/>
  <c r="CF84" i="1" s="1"/>
  <c r="CG84" i="1" s="1"/>
  <c r="CH84" i="1" s="1"/>
  <c r="CI84" i="1" s="1"/>
  <c r="CV84" i="1"/>
  <c r="BX85" i="1"/>
  <c r="BY85" i="1" s="1"/>
  <c r="BZ85" i="1" s="1"/>
  <c r="CA85" i="1" s="1"/>
  <c r="CB85" i="1" s="1"/>
  <c r="CC85" i="1" s="1"/>
  <c r="CD85" i="1" s="1"/>
  <c r="CE85" i="1" s="1"/>
  <c r="CF85" i="1" s="1"/>
  <c r="CG85" i="1" s="1"/>
  <c r="CH85" i="1" s="1"/>
  <c r="CI85" i="1" s="1"/>
  <c r="CV85" i="1"/>
  <c r="BX86" i="1"/>
  <c r="BY86" i="1" s="1"/>
  <c r="BZ86" i="1" s="1"/>
  <c r="CA86" i="1" s="1"/>
  <c r="CB86" i="1" s="1"/>
  <c r="CC86" i="1" s="1"/>
  <c r="CD86" i="1" s="1"/>
  <c r="CE86" i="1" s="1"/>
  <c r="CF86" i="1" s="1"/>
  <c r="CG86" i="1" s="1"/>
  <c r="CH86" i="1" s="1"/>
  <c r="CI86" i="1" s="1"/>
  <c r="CV86" i="1"/>
  <c r="BX87" i="1"/>
  <c r="BY87" i="1" s="1"/>
  <c r="BZ87" i="1" s="1"/>
  <c r="CA87" i="1" s="1"/>
  <c r="CB87" i="1" s="1"/>
  <c r="CC87" i="1" s="1"/>
  <c r="CD87" i="1" s="1"/>
  <c r="CE87" i="1" s="1"/>
  <c r="CF87" i="1" s="1"/>
  <c r="CG87" i="1" s="1"/>
  <c r="CH87" i="1" s="1"/>
  <c r="CI87" i="1" s="1"/>
  <c r="CV87" i="1"/>
  <c r="BX88" i="1"/>
  <c r="BY88" i="1" s="1"/>
  <c r="BZ88" i="1" s="1"/>
  <c r="CA88" i="1" s="1"/>
  <c r="CB88" i="1" s="1"/>
  <c r="CC88" i="1" s="1"/>
  <c r="CD88" i="1" s="1"/>
  <c r="CE88" i="1" s="1"/>
  <c r="CF88" i="1" s="1"/>
  <c r="CG88" i="1" s="1"/>
  <c r="CH88" i="1" s="1"/>
  <c r="CI88" i="1" s="1"/>
  <c r="CV88" i="1"/>
  <c r="BX89" i="1"/>
  <c r="BY89" i="1" s="1"/>
  <c r="BZ89" i="1" s="1"/>
  <c r="CA89" i="1" s="1"/>
  <c r="CB89" i="1" s="1"/>
  <c r="CC89" i="1" s="1"/>
  <c r="CD89" i="1" s="1"/>
  <c r="CE89" i="1" s="1"/>
  <c r="CF89" i="1" s="1"/>
  <c r="CG89" i="1" s="1"/>
  <c r="CH89" i="1" s="1"/>
  <c r="CI89" i="1" s="1"/>
  <c r="CV89" i="1"/>
  <c r="BX90" i="1"/>
  <c r="BY90" i="1" s="1"/>
  <c r="BZ90" i="1" s="1"/>
  <c r="CA90" i="1" s="1"/>
  <c r="CB90" i="1" s="1"/>
  <c r="CC90" i="1" s="1"/>
  <c r="CD90" i="1" s="1"/>
  <c r="CE90" i="1" s="1"/>
  <c r="CF90" i="1" s="1"/>
  <c r="CG90" i="1" s="1"/>
  <c r="CH90" i="1" s="1"/>
  <c r="CI90" i="1" s="1"/>
  <c r="CQ90" i="1" s="1"/>
  <c r="CV90" i="1"/>
  <c r="BX91" i="1"/>
  <c r="BY91" i="1" s="1"/>
  <c r="BZ91" i="1" s="1"/>
  <c r="CA91" i="1" s="1"/>
  <c r="CB91" i="1" s="1"/>
  <c r="CC91" i="1" s="1"/>
  <c r="CD91" i="1" s="1"/>
  <c r="CE91" i="1" s="1"/>
  <c r="CF91" i="1" s="1"/>
  <c r="CG91" i="1" s="1"/>
  <c r="CH91" i="1" s="1"/>
  <c r="CI91" i="1" s="1"/>
  <c r="CV91" i="1"/>
  <c r="BX92" i="1"/>
  <c r="BY92" i="1" s="1"/>
  <c r="BZ92" i="1" s="1"/>
  <c r="CA92" i="1" s="1"/>
  <c r="CB92" i="1" s="1"/>
  <c r="CC92" i="1" s="1"/>
  <c r="CD92" i="1" s="1"/>
  <c r="CE92" i="1" s="1"/>
  <c r="CF92" i="1" s="1"/>
  <c r="CG92" i="1" s="1"/>
  <c r="CH92" i="1" s="1"/>
  <c r="CI92" i="1" s="1"/>
  <c r="CT92" i="1" s="1"/>
  <c r="CV92" i="1"/>
  <c r="BX93" i="1"/>
  <c r="BY93" i="1" s="1"/>
  <c r="BZ93" i="1" s="1"/>
  <c r="CA93" i="1" s="1"/>
  <c r="CB93" i="1" s="1"/>
  <c r="CC93" i="1" s="1"/>
  <c r="CD93" i="1" s="1"/>
  <c r="CE93" i="1" s="1"/>
  <c r="CF93" i="1" s="1"/>
  <c r="CG93" i="1" s="1"/>
  <c r="CH93" i="1" s="1"/>
  <c r="CI93" i="1" s="1"/>
  <c r="CV93" i="1"/>
  <c r="BX94" i="1"/>
  <c r="BY94" i="1" s="1"/>
  <c r="BZ94" i="1" s="1"/>
  <c r="CA94" i="1" s="1"/>
  <c r="CB94" i="1" s="1"/>
  <c r="CC94" i="1" s="1"/>
  <c r="CD94" i="1" s="1"/>
  <c r="CE94" i="1" s="1"/>
  <c r="CF94" i="1" s="1"/>
  <c r="CG94" i="1" s="1"/>
  <c r="CH94" i="1" s="1"/>
  <c r="CI94" i="1" s="1"/>
  <c r="CO94" i="1" s="1"/>
  <c r="CV94" i="1"/>
  <c r="BX95" i="1"/>
  <c r="BY95" i="1" s="1"/>
  <c r="BZ95" i="1" s="1"/>
  <c r="CA95" i="1" s="1"/>
  <c r="CB95" i="1" s="1"/>
  <c r="CC95" i="1" s="1"/>
  <c r="CD95" i="1" s="1"/>
  <c r="CE95" i="1" s="1"/>
  <c r="CF95" i="1" s="1"/>
  <c r="CG95" i="1" s="1"/>
  <c r="CH95" i="1" s="1"/>
  <c r="CI95" i="1" s="1"/>
  <c r="CS95" i="1" s="1"/>
  <c r="CV95" i="1"/>
  <c r="BX96" i="1"/>
  <c r="BY96" i="1" s="1"/>
  <c r="BZ96" i="1" s="1"/>
  <c r="CA96" i="1" s="1"/>
  <c r="CB96" i="1" s="1"/>
  <c r="CC96" i="1" s="1"/>
  <c r="CD96" i="1" s="1"/>
  <c r="CE96" i="1" s="1"/>
  <c r="CF96" i="1" s="1"/>
  <c r="CG96" i="1" s="1"/>
  <c r="CH96" i="1" s="1"/>
  <c r="CI96" i="1" s="1"/>
  <c r="CL96" i="1" s="1"/>
  <c r="CV96" i="1"/>
  <c r="BX97" i="1"/>
  <c r="BY97" i="1" s="1"/>
  <c r="BZ97" i="1" s="1"/>
  <c r="CA97" i="1" s="1"/>
  <c r="CB97" i="1" s="1"/>
  <c r="CC97" i="1" s="1"/>
  <c r="CD97" i="1" s="1"/>
  <c r="CE97" i="1" s="1"/>
  <c r="CF97" i="1" s="1"/>
  <c r="CG97" i="1" s="1"/>
  <c r="CH97" i="1" s="1"/>
  <c r="CI97" i="1" s="1"/>
  <c r="CQ97" i="1" s="1"/>
  <c r="CV97" i="1"/>
  <c r="BX98" i="1"/>
  <c r="BY98" i="1" s="1"/>
  <c r="BZ98" i="1" s="1"/>
  <c r="CA98" i="1" s="1"/>
  <c r="CB98" i="1" s="1"/>
  <c r="CC98" i="1" s="1"/>
  <c r="CD98" i="1" s="1"/>
  <c r="CE98" i="1" s="1"/>
  <c r="CF98" i="1" s="1"/>
  <c r="CG98" i="1" s="1"/>
  <c r="CH98" i="1" s="1"/>
  <c r="CI98" i="1" s="1"/>
  <c r="CV98" i="1"/>
  <c r="BX99" i="1"/>
  <c r="BY99" i="1" s="1"/>
  <c r="BZ99" i="1" s="1"/>
  <c r="CA99" i="1" s="1"/>
  <c r="CB99" i="1" s="1"/>
  <c r="CC99" i="1" s="1"/>
  <c r="CD99" i="1" s="1"/>
  <c r="CE99" i="1" s="1"/>
  <c r="CF99" i="1" s="1"/>
  <c r="CG99" i="1" s="1"/>
  <c r="CH99" i="1" s="1"/>
  <c r="CI99" i="1" s="1"/>
  <c r="CK99" i="1" s="1"/>
  <c r="CV99" i="1"/>
  <c r="BX100" i="1"/>
  <c r="BY100" i="1" s="1"/>
  <c r="BZ100" i="1" s="1"/>
  <c r="CA100" i="1" s="1"/>
  <c r="CB100" i="1" s="1"/>
  <c r="CC100" i="1" s="1"/>
  <c r="CD100" i="1" s="1"/>
  <c r="CE100" i="1" s="1"/>
  <c r="CF100" i="1" s="1"/>
  <c r="CG100" i="1" s="1"/>
  <c r="CH100" i="1" s="1"/>
  <c r="CI100" i="1" s="1"/>
  <c r="CV100" i="1"/>
  <c r="BX101" i="1"/>
  <c r="BY101" i="1" s="1"/>
  <c r="BZ101" i="1" s="1"/>
  <c r="CA101" i="1" s="1"/>
  <c r="CB101" i="1" s="1"/>
  <c r="CC101" i="1" s="1"/>
  <c r="CD101" i="1" s="1"/>
  <c r="CE101" i="1" s="1"/>
  <c r="CF101" i="1" s="1"/>
  <c r="CG101" i="1" s="1"/>
  <c r="CH101" i="1" s="1"/>
  <c r="CI101" i="1" s="1"/>
  <c r="CM101" i="1" s="1"/>
  <c r="CV101" i="1"/>
  <c r="BX102" i="1"/>
  <c r="BY102" i="1" s="1"/>
  <c r="BZ102" i="1" s="1"/>
  <c r="CA102" i="1" s="1"/>
  <c r="CB102" i="1" s="1"/>
  <c r="CC102" i="1" s="1"/>
  <c r="CD102" i="1" s="1"/>
  <c r="CE102" i="1" s="1"/>
  <c r="CF102" i="1" s="1"/>
  <c r="CG102" i="1" s="1"/>
  <c r="CH102" i="1" s="1"/>
  <c r="CI102" i="1" s="1"/>
  <c r="CV102" i="1"/>
  <c r="BX103" i="1"/>
  <c r="BY103" i="1" s="1"/>
  <c r="BZ103" i="1" s="1"/>
  <c r="CA103" i="1" s="1"/>
  <c r="CB103" i="1" s="1"/>
  <c r="CC103" i="1" s="1"/>
  <c r="CD103" i="1" s="1"/>
  <c r="CE103" i="1" s="1"/>
  <c r="CF103" i="1" s="1"/>
  <c r="CG103" i="1" s="1"/>
  <c r="CH103" i="1" s="1"/>
  <c r="CI103" i="1" s="1"/>
  <c r="CV103" i="1"/>
  <c r="BX104" i="1"/>
  <c r="BY104" i="1" s="1"/>
  <c r="BZ104" i="1" s="1"/>
  <c r="CA104" i="1" s="1"/>
  <c r="CB104" i="1" s="1"/>
  <c r="CC104" i="1" s="1"/>
  <c r="CD104" i="1" s="1"/>
  <c r="CE104" i="1" s="1"/>
  <c r="CF104" i="1" s="1"/>
  <c r="CG104" i="1" s="1"/>
  <c r="CH104" i="1" s="1"/>
  <c r="CI104" i="1" s="1"/>
  <c r="CV104" i="1"/>
  <c r="BX105" i="1"/>
  <c r="BY105" i="1" s="1"/>
  <c r="BZ105" i="1" s="1"/>
  <c r="CA105" i="1" s="1"/>
  <c r="CB105" i="1" s="1"/>
  <c r="CC105" i="1" s="1"/>
  <c r="CD105" i="1" s="1"/>
  <c r="CE105" i="1" s="1"/>
  <c r="CF105" i="1" s="1"/>
  <c r="CG105" i="1" s="1"/>
  <c r="CH105" i="1" s="1"/>
  <c r="CI105" i="1" s="1"/>
  <c r="CV105" i="1"/>
  <c r="BX106" i="1"/>
  <c r="BY106" i="1" s="1"/>
  <c r="BZ106" i="1" s="1"/>
  <c r="CA106" i="1" s="1"/>
  <c r="CB106" i="1" s="1"/>
  <c r="CC106" i="1" s="1"/>
  <c r="CD106" i="1" s="1"/>
  <c r="CE106" i="1" s="1"/>
  <c r="CF106" i="1" s="1"/>
  <c r="CG106" i="1" s="1"/>
  <c r="CH106" i="1" s="1"/>
  <c r="CI106" i="1" s="1"/>
  <c r="CO106" i="1" s="1"/>
  <c r="CV106" i="1"/>
  <c r="BX107" i="1"/>
  <c r="BY107" i="1" s="1"/>
  <c r="BZ107" i="1" s="1"/>
  <c r="CA107" i="1" s="1"/>
  <c r="CB107" i="1" s="1"/>
  <c r="CC107" i="1" s="1"/>
  <c r="CD107" i="1" s="1"/>
  <c r="CE107" i="1" s="1"/>
  <c r="CF107" i="1" s="1"/>
  <c r="CG107" i="1" s="1"/>
  <c r="CH107" i="1" s="1"/>
  <c r="CI107" i="1" s="1"/>
  <c r="CM107" i="1" s="1"/>
  <c r="CV107" i="1"/>
  <c r="BX108" i="1"/>
  <c r="BY108" i="1" s="1"/>
  <c r="BZ108" i="1" s="1"/>
  <c r="CA108" i="1" s="1"/>
  <c r="CB108" i="1" s="1"/>
  <c r="CC108" i="1" s="1"/>
  <c r="CD108" i="1" s="1"/>
  <c r="CE108" i="1" s="1"/>
  <c r="CF108" i="1" s="1"/>
  <c r="CG108" i="1" s="1"/>
  <c r="CH108" i="1" s="1"/>
  <c r="CI108" i="1" s="1"/>
  <c r="CV108" i="1"/>
  <c r="BX109" i="1"/>
  <c r="BY109" i="1" s="1"/>
  <c r="BZ109" i="1" s="1"/>
  <c r="CA109" i="1" s="1"/>
  <c r="CB109" i="1" s="1"/>
  <c r="CC109" i="1" s="1"/>
  <c r="CD109" i="1" s="1"/>
  <c r="CE109" i="1" s="1"/>
  <c r="CF109" i="1" s="1"/>
  <c r="CG109" i="1" s="1"/>
  <c r="CH109" i="1" s="1"/>
  <c r="CI109" i="1" s="1"/>
  <c r="CJ109" i="1" s="1"/>
  <c r="CV109" i="1"/>
  <c r="BX110" i="1"/>
  <c r="BY110" i="1" s="1"/>
  <c r="BZ110" i="1" s="1"/>
  <c r="CA110" i="1" s="1"/>
  <c r="CB110" i="1" s="1"/>
  <c r="CC110" i="1" s="1"/>
  <c r="CD110" i="1" s="1"/>
  <c r="CE110" i="1" s="1"/>
  <c r="CF110" i="1" s="1"/>
  <c r="CG110" i="1" s="1"/>
  <c r="CH110" i="1" s="1"/>
  <c r="CI110" i="1" s="1"/>
  <c r="CV110" i="1"/>
  <c r="BX111" i="1"/>
  <c r="BY111" i="1" s="1"/>
  <c r="BZ111" i="1" s="1"/>
  <c r="CA111" i="1" s="1"/>
  <c r="CB111" i="1" s="1"/>
  <c r="CC111" i="1" s="1"/>
  <c r="CD111" i="1" s="1"/>
  <c r="CE111" i="1" s="1"/>
  <c r="CF111" i="1" s="1"/>
  <c r="CG111" i="1" s="1"/>
  <c r="CH111" i="1" s="1"/>
  <c r="CI111" i="1" s="1"/>
  <c r="CV111" i="1"/>
  <c r="BX112" i="1"/>
  <c r="BY112" i="1" s="1"/>
  <c r="BZ112" i="1" s="1"/>
  <c r="CA112" i="1" s="1"/>
  <c r="CB112" i="1" s="1"/>
  <c r="CC112" i="1" s="1"/>
  <c r="CD112" i="1" s="1"/>
  <c r="CE112" i="1" s="1"/>
  <c r="CF112" i="1" s="1"/>
  <c r="CG112" i="1" s="1"/>
  <c r="CH112" i="1" s="1"/>
  <c r="CI112" i="1" s="1"/>
  <c r="CV112" i="1"/>
  <c r="BX113" i="1"/>
  <c r="BY113" i="1" s="1"/>
  <c r="BZ113" i="1" s="1"/>
  <c r="CA113" i="1" s="1"/>
  <c r="CB113" i="1" s="1"/>
  <c r="CC113" i="1" s="1"/>
  <c r="CD113" i="1" s="1"/>
  <c r="CE113" i="1" s="1"/>
  <c r="CF113" i="1" s="1"/>
  <c r="CG113" i="1" s="1"/>
  <c r="CH113" i="1" s="1"/>
  <c r="CI113" i="1" s="1"/>
  <c r="CV113" i="1"/>
  <c r="BX114" i="1"/>
  <c r="BY114" i="1" s="1"/>
  <c r="BZ114" i="1" s="1"/>
  <c r="CA114" i="1" s="1"/>
  <c r="CB114" i="1" s="1"/>
  <c r="CC114" i="1" s="1"/>
  <c r="CD114" i="1" s="1"/>
  <c r="CE114" i="1" s="1"/>
  <c r="CF114" i="1" s="1"/>
  <c r="CG114" i="1" s="1"/>
  <c r="CH114" i="1" s="1"/>
  <c r="CI114" i="1" s="1"/>
  <c r="CK114" i="1" s="1"/>
  <c r="CV114" i="1"/>
  <c r="BX115" i="1"/>
  <c r="BY115" i="1" s="1"/>
  <c r="BZ115" i="1" s="1"/>
  <c r="CA115" i="1" s="1"/>
  <c r="CB115" i="1" s="1"/>
  <c r="CC115" i="1" s="1"/>
  <c r="CD115" i="1" s="1"/>
  <c r="CE115" i="1" s="1"/>
  <c r="CF115" i="1" s="1"/>
  <c r="CG115" i="1" s="1"/>
  <c r="CH115" i="1" s="1"/>
  <c r="CI115" i="1" s="1"/>
  <c r="CV115" i="1"/>
  <c r="BX116" i="1"/>
  <c r="BY116" i="1" s="1"/>
  <c r="BZ116" i="1" s="1"/>
  <c r="CA116" i="1" s="1"/>
  <c r="CB116" i="1" s="1"/>
  <c r="CC116" i="1" s="1"/>
  <c r="CD116" i="1" s="1"/>
  <c r="CE116" i="1" s="1"/>
  <c r="CF116" i="1" s="1"/>
  <c r="CG116" i="1" s="1"/>
  <c r="CH116" i="1" s="1"/>
  <c r="CI116" i="1" s="1"/>
  <c r="CV116" i="1"/>
  <c r="BX117" i="1"/>
  <c r="BY117" i="1" s="1"/>
  <c r="BZ117" i="1" s="1"/>
  <c r="CA117" i="1" s="1"/>
  <c r="CB117" i="1" s="1"/>
  <c r="CC117" i="1" s="1"/>
  <c r="CD117" i="1" s="1"/>
  <c r="CE117" i="1" s="1"/>
  <c r="CF117" i="1" s="1"/>
  <c r="CG117" i="1" s="1"/>
  <c r="CH117" i="1" s="1"/>
  <c r="CI117" i="1" s="1"/>
  <c r="CV117" i="1"/>
  <c r="BX118" i="1"/>
  <c r="BY118" i="1" s="1"/>
  <c r="BZ118" i="1" s="1"/>
  <c r="CA118" i="1" s="1"/>
  <c r="CB118" i="1" s="1"/>
  <c r="CC118" i="1" s="1"/>
  <c r="CD118" i="1" s="1"/>
  <c r="CE118" i="1" s="1"/>
  <c r="CF118" i="1" s="1"/>
  <c r="CG118" i="1" s="1"/>
  <c r="CH118" i="1" s="1"/>
  <c r="CI118" i="1" s="1"/>
  <c r="CV118" i="1"/>
  <c r="BX119" i="1"/>
  <c r="BY119" i="1" s="1"/>
  <c r="BZ119" i="1" s="1"/>
  <c r="CA119" i="1" s="1"/>
  <c r="CB119" i="1" s="1"/>
  <c r="CC119" i="1" s="1"/>
  <c r="CD119" i="1" s="1"/>
  <c r="CE119" i="1" s="1"/>
  <c r="CF119" i="1" s="1"/>
  <c r="CG119" i="1" s="1"/>
  <c r="CH119" i="1" s="1"/>
  <c r="CI119" i="1" s="1"/>
  <c r="CV119" i="1"/>
  <c r="BX120" i="1"/>
  <c r="BY120" i="1" s="1"/>
  <c r="BZ120" i="1" s="1"/>
  <c r="CA120" i="1" s="1"/>
  <c r="CB120" i="1" s="1"/>
  <c r="CC120" i="1" s="1"/>
  <c r="CD120" i="1" s="1"/>
  <c r="CE120" i="1" s="1"/>
  <c r="CF120" i="1" s="1"/>
  <c r="CG120" i="1" s="1"/>
  <c r="CH120" i="1" s="1"/>
  <c r="CI120" i="1" s="1"/>
  <c r="CV120" i="1"/>
  <c r="BX121" i="1"/>
  <c r="BY121" i="1"/>
  <c r="BZ121" i="1" s="1"/>
  <c r="CA121" i="1" s="1"/>
  <c r="CB121" i="1" s="1"/>
  <c r="CC121" i="1" s="1"/>
  <c r="CD121" i="1" s="1"/>
  <c r="CE121" i="1" s="1"/>
  <c r="CF121" i="1" s="1"/>
  <c r="CG121" i="1" s="1"/>
  <c r="CH121" i="1" s="1"/>
  <c r="CI121" i="1" s="1"/>
  <c r="CJ121" i="1" s="1"/>
  <c r="CV121" i="1"/>
  <c r="BX122" i="1"/>
  <c r="BY122" i="1" s="1"/>
  <c r="BZ122" i="1" s="1"/>
  <c r="CA122" i="1" s="1"/>
  <c r="CB122" i="1" s="1"/>
  <c r="CC122" i="1" s="1"/>
  <c r="CD122" i="1" s="1"/>
  <c r="CE122" i="1" s="1"/>
  <c r="CF122" i="1" s="1"/>
  <c r="CG122" i="1" s="1"/>
  <c r="CH122" i="1" s="1"/>
  <c r="CI122" i="1" s="1"/>
  <c r="CJ122" i="1" s="1"/>
  <c r="CV122" i="1"/>
  <c r="BX123" i="1"/>
  <c r="BY123" i="1" s="1"/>
  <c r="BZ123" i="1" s="1"/>
  <c r="CA123" i="1" s="1"/>
  <c r="CB123" i="1" s="1"/>
  <c r="CC123" i="1" s="1"/>
  <c r="CD123" i="1" s="1"/>
  <c r="CE123" i="1" s="1"/>
  <c r="CF123" i="1" s="1"/>
  <c r="CG123" i="1" s="1"/>
  <c r="CH123" i="1" s="1"/>
  <c r="CI123" i="1" s="1"/>
  <c r="CV123" i="1"/>
  <c r="BX124" i="1"/>
  <c r="BY124" i="1" s="1"/>
  <c r="BZ124" i="1" s="1"/>
  <c r="CA124" i="1" s="1"/>
  <c r="CB124" i="1" s="1"/>
  <c r="CC124" i="1" s="1"/>
  <c r="CD124" i="1" s="1"/>
  <c r="CE124" i="1" s="1"/>
  <c r="CF124" i="1" s="1"/>
  <c r="CG124" i="1" s="1"/>
  <c r="CH124" i="1" s="1"/>
  <c r="CI124" i="1" s="1"/>
  <c r="CV124" i="1"/>
  <c r="BX125" i="1"/>
  <c r="BY125" i="1" s="1"/>
  <c r="BZ125" i="1" s="1"/>
  <c r="CA125" i="1" s="1"/>
  <c r="CB125" i="1" s="1"/>
  <c r="CC125" i="1" s="1"/>
  <c r="CD125" i="1" s="1"/>
  <c r="CE125" i="1" s="1"/>
  <c r="CF125" i="1" s="1"/>
  <c r="CG125" i="1" s="1"/>
  <c r="CH125" i="1" s="1"/>
  <c r="CI125" i="1" s="1"/>
  <c r="CV125" i="1"/>
  <c r="BX126" i="1"/>
  <c r="BY126" i="1" s="1"/>
  <c r="BZ126" i="1" s="1"/>
  <c r="CA126" i="1" s="1"/>
  <c r="CB126" i="1" s="1"/>
  <c r="CC126" i="1" s="1"/>
  <c r="CD126" i="1" s="1"/>
  <c r="CE126" i="1" s="1"/>
  <c r="CF126" i="1" s="1"/>
  <c r="CG126" i="1" s="1"/>
  <c r="CH126" i="1" s="1"/>
  <c r="CI126" i="1" s="1"/>
  <c r="CK126" i="1" s="1"/>
  <c r="CV126" i="1"/>
  <c r="BX127" i="1"/>
  <c r="BY127" i="1" s="1"/>
  <c r="BZ127" i="1" s="1"/>
  <c r="CA127" i="1" s="1"/>
  <c r="CB127" i="1" s="1"/>
  <c r="CC127" i="1" s="1"/>
  <c r="CD127" i="1" s="1"/>
  <c r="CE127" i="1" s="1"/>
  <c r="CF127" i="1" s="1"/>
  <c r="CG127" i="1" s="1"/>
  <c r="CH127" i="1" s="1"/>
  <c r="CI127" i="1" s="1"/>
  <c r="CV127" i="1"/>
  <c r="BX128" i="1"/>
  <c r="BY128" i="1"/>
  <c r="BZ128" i="1" s="1"/>
  <c r="CA128" i="1" s="1"/>
  <c r="CB128" i="1" s="1"/>
  <c r="CC128" i="1" s="1"/>
  <c r="CD128" i="1" s="1"/>
  <c r="CE128" i="1" s="1"/>
  <c r="CF128" i="1" s="1"/>
  <c r="CG128" i="1" s="1"/>
  <c r="CH128" i="1" s="1"/>
  <c r="CI128" i="1" s="1"/>
  <c r="CV128" i="1"/>
  <c r="BX129" i="1"/>
  <c r="BY129" i="1" s="1"/>
  <c r="BZ129" i="1" s="1"/>
  <c r="CA129" i="1" s="1"/>
  <c r="CB129" i="1" s="1"/>
  <c r="CC129" i="1" s="1"/>
  <c r="CD129" i="1" s="1"/>
  <c r="CE129" i="1" s="1"/>
  <c r="CF129" i="1" s="1"/>
  <c r="CG129" i="1" s="1"/>
  <c r="CH129" i="1" s="1"/>
  <c r="CI129" i="1" s="1"/>
  <c r="CV129" i="1"/>
  <c r="BX130" i="1"/>
  <c r="BY130" i="1" s="1"/>
  <c r="BZ130" i="1" s="1"/>
  <c r="CA130" i="1" s="1"/>
  <c r="CB130" i="1" s="1"/>
  <c r="CC130" i="1" s="1"/>
  <c r="CD130" i="1" s="1"/>
  <c r="CE130" i="1" s="1"/>
  <c r="CF130" i="1" s="1"/>
  <c r="CG130" i="1" s="1"/>
  <c r="CH130" i="1" s="1"/>
  <c r="CI130" i="1" s="1"/>
  <c r="CV130" i="1"/>
  <c r="BX131" i="1"/>
  <c r="BY131" i="1" s="1"/>
  <c r="BZ131" i="1" s="1"/>
  <c r="CA131" i="1" s="1"/>
  <c r="CB131" i="1" s="1"/>
  <c r="CC131" i="1" s="1"/>
  <c r="CD131" i="1" s="1"/>
  <c r="CE131" i="1" s="1"/>
  <c r="CF131" i="1" s="1"/>
  <c r="CG131" i="1" s="1"/>
  <c r="CH131" i="1" s="1"/>
  <c r="CI131" i="1" s="1"/>
  <c r="CT131" i="1" s="1"/>
  <c r="CV131" i="1"/>
  <c r="BX132" i="1"/>
  <c r="BY132" i="1" s="1"/>
  <c r="BZ132" i="1" s="1"/>
  <c r="CA132" i="1" s="1"/>
  <c r="CB132" i="1" s="1"/>
  <c r="CC132" i="1" s="1"/>
  <c r="CD132" i="1" s="1"/>
  <c r="CE132" i="1" s="1"/>
  <c r="CF132" i="1" s="1"/>
  <c r="CG132" i="1" s="1"/>
  <c r="CH132" i="1" s="1"/>
  <c r="CI132" i="1" s="1"/>
  <c r="CV132" i="1"/>
  <c r="BX133" i="1"/>
  <c r="BY133" i="1" s="1"/>
  <c r="BZ133" i="1" s="1"/>
  <c r="CA133" i="1" s="1"/>
  <c r="CB133" i="1" s="1"/>
  <c r="CC133" i="1" s="1"/>
  <c r="CD133" i="1" s="1"/>
  <c r="CE133" i="1" s="1"/>
  <c r="CF133" i="1" s="1"/>
  <c r="CG133" i="1" s="1"/>
  <c r="CH133" i="1" s="1"/>
  <c r="CI133" i="1" s="1"/>
  <c r="CV133" i="1"/>
  <c r="BX134" i="1"/>
  <c r="BY134" i="1" s="1"/>
  <c r="BZ134" i="1" s="1"/>
  <c r="CA134" i="1" s="1"/>
  <c r="CB134" i="1" s="1"/>
  <c r="CC134" i="1" s="1"/>
  <c r="CD134" i="1" s="1"/>
  <c r="CE134" i="1" s="1"/>
  <c r="CF134" i="1" s="1"/>
  <c r="CG134" i="1" s="1"/>
  <c r="CH134" i="1" s="1"/>
  <c r="CI134" i="1" s="1"/>
  <c r="CV134" i="1"/>
  <c r="BX135" i="1"/>
  <c r="BY135" i="1" s="1"/>
  <c r="BZ135" i="1" s="1"/>
  <c r="CA135" i="1" s="1"/>
  <c r="CB135" i="1" s="1"/>
  <c r="CC135" i="1" s="1"/>
  <c r="CD135" i="1" s="1"/>
  <c r="CE135" i="1" s="1"/>
  <c r="CF135" i="1" s="1"/>
  <c r="CG135" i="1" s="1"/>
  <c r="CH135" i="1" s="1"/>
  <c r="CI135" i="1" s="1"/>
  <c r="CV135" i="1"/>
  <c r="BX136" i="1"/>
  <c r="BY136" i="1" s="1"/>
  <c r="BZ136" i="1" s="1"/>
  <c r="CA136" i="1" s="1"/>
  <c r="CB136" i="1" s="1"/>
  <c r="CC136" i="1" s="1"/>
  <c r="CD136" i="1" s="1"/>
  <c r="CE136" i="1" s="1"/>
  <c r="CF136" i="1" s="1"/>
  <c r="CG136" i="1" s="1"/>
  <c r="CH136" i="1" s="1"/>
  <c r="CI136" i="1" s="1"/>
  <c r="CV136" i="1"/>
  <c r="BX137" i="1"/>
  <c r="BY137" i="1" s="1"/>
  <c r="BZ137" i="1" s="1"/>
  <c r="CA137" i="1" s="1"/>
  <c r="CB137" i="1" s="1"/>
  <c r="CC137" i="1" s="1"/>
  <c r="CD137" i="1" s="1"/>
  <c r="CE137" i="1" s="1"/>
  <c r="CF137" i="1" s="1"/>
  <c r="CG137" i="1" s="1"/>
  <c r="CH137" i="1" s="1"/>
  <c r="CI137" i="1" s="1"/>
  <c r="CV137" i="1"/>
  <c r="BX138" i="1"/>
  <c r="BY138" i="1" s="1"/>
  <c r="BZ138" i="1" s="1"/>
  <c r="CA138" i="1" s="1"/>
  <c r="CB138" i="1" s="1"/>
  <c r="CC138" i="1" s="1"/>
  <c r="CD138" i="1" s="1"/>
  <c r="CE138" i="1" s="1"/>
  <c r="CF138" i="1" s="1"/>
  <c r="CG138" i="1" s="1"/>
  <c r="CH138" i="1" s="1"/>
  <c r="CI138" i="1" s="1"/>
  <c r="CV138" i="1"/>
  <c r="BX139" i="1"/>
  <c r="BY139" i="1" s="1"/>
  <c r="BZ139" i="1" s="1"/>
  <c r="CA139" i="1" s="1"/>
  <c r="CB139" i="1" s="1"/>
  <c r="CC139" i="1" s="1"/>
  <c r="CD139" i="1" s="1"/>
  <c r="CE139" i="1" s="1"/>
  <c r="CF139" i="1" s="1"/>
  <c r="CG139" i="1" s="1"/>
  <c r="CH139" i="1" s="1"/>
  <c r="CI139" i="1" s="1"/>
  <c r="CV139" i="1"/>
  <c r="BX140" i="1"/>
  <c r="BY140" i="1" s="1"/>
  <c r="BZ140" i="1" s="1"/>
  <c r="CA140" i="1" s="1"/>
  <c r="CB140" i="1" s="1"/>
  <c r="CC140" i="1" s="1"/>
  <c r="CD140" i="1" s="1"/>
  <c r="CE140" i="1" s="1"/>
  <c r="CF140" i="1" s="1"/>
  <c r="CG140" i="1" s="1"/>
  <c r="CH140" i="1" s="1"/>
  <c r="CI140" i="1" s="1"/>
  <c r="CV140" i="1"/>
  <c r="BX141" i="1"/>
  <c r="BY141" i="1" s="1"/>
  <c r="BZ141" i="1" s="1"/>
  <c r="CA141" i="1" s="1"/>
  <c r="CB141" i="1" s="1"/>
  <c r="CC141" i="1" s="1"/>
  <c r="CD141" i="1" s="1"/>
  <c r="CE141" i="1" s="1"/>
  <c r="CF141" i="1" s="1"/>
  <c r="CG141" i="1" s="1"/>
  <c r="CH141" i="1" s="1"/>
  <c r="CI141" i="1" s="1"/>
  <c r="CV141" i="1"/>
  <c r="BX142" i="1"/>
  <c r="BY142" i="1" s="1"/>
  <c r="BZ142" i="1" s="1"/>
  <c r="CA142" i="1" s="1"/>
  <c r="CB142" i="1" s="1"/>
  <c r="CC142" i="1" s="1"/>
  <c r="CD142" i="1" s="1"/>
  <c r="CE142" i="1" s="1"/>
  <c r="CF142" i="1" s="1"/>
  <c r="CG142" i="1" s="1"/>
  <c r="CH142" i="1" s="1"/>
  <c r="CI142" i="1" s="1"/>
  <c r="CV142" i="1"/>
  <c r="BX143" i="1"/>
  <c r="BY143" i="1" s="1"/>
  <c r="BZ143" i="1" s="1"/>
  <c r="CA143" i="1" s="1"/>
  <c r="CB143" i="1" s="1"/>
  <c r="CC143" i="1" s="1"/>
  <c r="CD143" i="1" s="1"/>
  <c r="CE143" i="1" s="1"/>
  <c r="CF143" i="1" s="1"/>
  <c r="CG143" i="1" s="1"/>
  <c r="CH143" i="1" s="1"/>
  <c r="CI143" i="1" s="1"/>
  <c r="CV143" i="1"/>
  <c r="BX144" i="1"/>
  <c r="BY144" i="1" s="1"/>
  <c r="BZ144" i="1" s="1"/>
  <c r="CA144" i="1" s="1"/>
  <c r="CB144" i="1" s="1"/>
  <c r="CC144" i="1" s="1"/>
  <c r="CD144" i="1" s="1"/>
  <c r="CE144" i="1" s="1"/>
  <c r="CF144" i="1" s="1"/>
  <c r="CG144" i="1" s="1"/>
  <c r="CH144" i="1" s="1"/>
  <c r="CI144" i="1" s="1"/>
  <c r="CV144" i="1"/>
  <c r="BX145" i="1"/>
  <c r="BY145" i="1" s="1"/>
  <c r="BZ145" i="1" s="1"/>
  <c r="CA145" i="1" s="1"/>
  <c r="CB145" i="1" s="1"/>
  <c r="CC145" i="1" s="1"/>
  <c r="CD145" i="1" s="1"/>
  <c r="CE145" i="1" s="1"/>
  <c r="CF145" i="1" s="1"/>
  <c r="CG145" i="1" s="1"/>
  <c r="CH145" i="1" s="1"/>
  <c r="CI145" i="1" s="1"/>
  <c r="CV145" i="1"/>
  <c r="BX146" i="1"/>
  <c r="BY146" i="1" s="1"/>
  <c r="BZ146" i="1" s="1"/>
  <c r="CA146" i="1" s="1"/>
  <c r="CB146" i="1" s="1"/>
  <c r="CC146" i="1" s="1"/>
  <c r="CD146" i="1" s="1"/>
  <c r="CE146" i="1" s="1"/>
  <c r="CF146" i="1" s="1"/>
  <c r="CG146" i="1" s="1"/>
  <c r="CH146" i="1" s="1"/>
  <c r="CI146" i="1" s="1"/>
  <c r="CV146" i="1"/>
  <c r="BX147" i="1"/>
  <c r="BY147" i="1" s="1"/>
  <c r="BZ147" i="1" s="1"/>
  <c r="CA147" i="1" s="1"/>
  <c r="CB147" i="1" s="1"/>
  <c r="CC147" i="1" s="1"/>
  <c r="CD147" i="1" s="1"/>
  <c r="CE147" i="1" s="1"/>
  <c r="CF147" i="1" s="1"/>
  <c r="CG147" i="1" s="1"/>
  <c r="CH147" i="1" s="1"/>
  <c r="CI147" i="1" s="1"/>
  <c r="CV147" i="1"/>
  <c r="BX148" i="1"/>
  <c r="BY148" i="1" s="1"/>
  <c r="BZ148" i="1" s="1"/>
  <c r="CA148" i="1" s="1"/>
  <c r="CB148" i="1" s="1"/>
  <c r="CC148" i="1" s="1"/>
  <c r="CD148" i="1" s="1"/>
  <c r="CE148" i="1" s="1"/>
  <c r="CF148" i="1" s="1"/>
  <c r="CG148" i="1" s="1"/>
  <c r="CH148" i="1" s="1"/>
  <c r="CI148" i="1" s="1"/>
  <c r="CV148" i="1"/>
  <c r="BX149" i="1"/>
  <c r="BY149" i="1" s="1"/>
  <c r="BZ149" i="1" s="1"/>
  <c r="CA149" i="1" s="1"/>
  <c r="CB149" i="1" s="1"/>
  <c r="CC149" i="1" s="1"/>
  <c r="CD149" i="1" s="1"/>
  <c r="CE149" i="1" s="1"/>
  <c r="CF149" i="1" s="1"/>
  <c r="CG149" i="1" s="1"/>
  <c r="CH149" i="1" s="1"/>
  <c r="CI149" i="1" s="1"/>
  <c r="CV149" i="1"/>
  <c r="BX150" i="1"/>
  <c r="BY150" i="1" s="1"/>
  <c r="BZ150" i="1" s="1"/>
  <c r="CA150" i="1" s="1"/>
  <c r="CB150" i="1" s="1"/>
  <c r="CC150" i="1" s="1"/>
  <c r="CD150" i="1" s="1"/>
  <c r="CE150" i="1" s="1"/>
  <c r="CF150" i="1" s="1"/>
  <c r="CG150" i="1" s="1"/>
  <c r="CH150" i="1" s="1"/>
  <c r="CI150" i="1" s="1"/>
  <c r="CV150" i="1"/>
  <c r="BX151" i="1"/>
  <c r="BY151" i="1" s="1"/>
  <c r="BZ151" i="1" s="1"/>
  <c r="CA151" i="1" s="1"/>
  <c r="CB151" i="1" s="1"/>
  <c r="CC151" i="1" s="1"/>
  <c r="CD151" i="1" s="1"/>
  <c r="CE151" i="1" s="1"/>
  <c r="CF151" i="1" s="1"/>
  <c r="CG151" i="1" s="1"/>
  <c r="CH151" i="1" s="1"/>
  <c r="CI151" i="1" s="1"/>
  <c r="CV151" i="1"/>
  <c r="CR109" i="1" l="1"/>
  <c r="CT5" i="1"/>
  <c r="CK130" i="1"/>
  <c r="CN130" i="1"/>
  <c r="CU103" i="1"/>
  <c r="CK103" i="1"/>
  <c r="CM74" i="1"/>
  <c r="CR74" i="1"/>
  <c r="CO22" i="1"/>
  <c r="CT22" i="1"/>
  <c r="CS119" i="1"/>
  <c r="CP119" i="1"/>
  <c r="CR112" i="1"/>
  <c r="CU112" i="1"/>
  <c r="CO32" i="1"/>
  <c r="CP32" i="1"/>
  <c r="CQ32" i="1"/>
  <c r="CS32" i="1"/>
  <c r="CM114" i="1"/>
  <c r="CT21" i="1"/>
  <c r="CS5" i="1"/>
  <c r="CS21" i="1"/>
  <c r="CQ5" i="1"/>
  <c r="CN21" i="1"/>
  <c r="CO5" i="1"/>
  <c r="CR148" i="1"/>
  <c r="CU148" i="1"/>
  <c r="CO148" i="1"/>
  <c r="CQ148" i="1"/>
  <c r="CT148" i="1"/>
  <c r="CS148" i="1"/>
  <c r="CM148" i="1"/>
  <c r="CN148" i="1"/>
  <c r="CK148" i="1"/>
  <c r="CL148" i="1"/>
  <c r="CJ148" i="1"/>
  <c r="CP148" i="1"/>
  <c r="CJ144" i="1"/>
  <c r="CK144" i="1"/>
  <c r="CM144" i="1"/>
  <c r="CN144" i="1"/>
  <c r="CU144" i="1"/>
  <c r="CS144" i="1"/>
  <c r="CQ144" i="1"/>
  <c r="CR144" i="1"/>
  <c r="CT144" i="1"/>
  <c r="CO144" i="1"/>
  <c r="CP144" i="1"/>
  <c r="CL144" i="1"/>
  <c r="CM105" i="1"/>
  <c r="CR105" i="1"/>
  <c r="CT105" i="1"/>
  <c r="CL105" i="1"/>
  <c r="CN105" i="1"/>
  <c r="CP105" i="1"/>
  <c r="CQ105" i="1"/>
  <c r="CJ105" i="1"/>
  <c r="CK105" i="1"/>
  <c r="CO105" i="1"/>
  <c r="CS105" i="1"/>
  <c r="CU105" i="1"/>
  <c r="CS128" i="1"/>
  <c r="CU128" i="1"/>
  <c r="CJ128" i="1"/>
  <c r="CK128" i="1"/>
  <c r="CL128" i="1"/>
  <c r="CM128" i="1"/>
  <c r="CN128" i="1"/>
  <c r="CO128" i="1"/>
  <c r="CP128" i="1"/>
  <c r="CQ128" i="1"/>
  <c r="CR128" i="1"/>
  <c r="CT128" i="1"/>
  <c r="CK141" i="1"/>
  <c r="CL141" i="1"/>
  <c r="CN141" i="1"/>
  <c r="CO141" i="1"/>
  <c r="CP141" i="1"/>
  <c r="CQ141" i="1"/>
  <c r="CS141" i="1"/>
  <c r="CT141" i="1"/>
  <c r="CU141" i="1"/>
  <c r="CR141" i="1"/>
  <c r="CM141" i="1"/>
  <c r="CJ141" i="1"/>
  <c r="CJ134" i="1"/>
  <c r="CN134" i="1"/>
  <c r="CO134" i="1"/>
  <c r="CQ134" i="1"/>
  <c r="CR134" i="1"/>
  <c r="CK134" i="1"/>
  <c r="CL134" i="1"/>
  <c r="CM134" i="1"/>
  <c r="CP134" i="1"/>
  <c r="CT134" i="1"/>
  <c r="CS134" i="1"/>
  <c r="CU134" i="1"/>
  <c r="CT143" i="1"/>
  <c r="CU143" i="1"/>
  <c r="CJ143" i="1"/>
  <c r="CK143" i="1"/>
  <c r="CL143" i="1"/>
  <c r="CM143" i="1"/>
  <c r="CN143" i="1"/>
  <c r="CO143" i="1"/>
  <c r="CP143" i="1"/>
  <c r="CQ143" i="1"/>
  <c r="CS143" i="1"/>
  <c r="CR143" i="1"/>
  <c r="CK124" i="1"/>
  <c r="CL124" i="1"/>
  <c r="CM124" i="1"/>
  <c r="CN124" i="1"/>
  <c r="CP124" i="1"/>
  <c r="CR124" i="1"/>
  <c r="CS124" i="1"/>
  <c r="CT124" i="1"/>
  <c r="CU124" i="1"/>
  <c r="CQ124" i="1"/>
  <c r="CO124" i="1"/>
  <c r="CJ124" i="1"/>
  <c r="CN150" i="1"/>
  <c r="CQ150" i="1"/>
  <c r="CR150" i="1"/>
  <c r="CU150" i="1"/>
  <c r="CJ150" i="1"/>
  <c r="CK150" i="1"/>
  <c r="CL150" i="1"/>
  <c r="CO150" i="1"/>
  <c r="CT150" i="1"/>
  <c r="CM150" i="1"/>
  <c r="CP150" i="1"/>
  <c r="CS150" i="1"/>
  <c r="CR140" i="1"/>
  <c r="CS140" i="1"/>
  <c r="CU140" i="1"/>
  <c r="CQ140" i="1"/>
  <c r="CJ140" i="1"/>
  <c r="CK140" i="1"/>
  <c r="CL140" i="1"/>
  <c r="CM140" i="1"/>
  <c r="CT140" i="1"/>
  <c r="CN140" i="1"/>
  <c r="CP140" i="1"/>
  <c r="CO140" i="1"/>
  <c r="CK127" i="1"/>
  <c r="CM127" i="1"/>
  <c r="CN127" i="1"/>
  <c r="CO127" i="1"/>
  <c r="CP127" i="1"/>
  <c r="CR127" i="1"/>
  <c r="CT127" i="1"/>
  <c r="CU127" i="1"/>
  <c r="CQ127" i="1"/>
  <c r="CS127" i="1"/>
  <c r="CJ127" i="1"/>
  <c r="CL127" i="1"/>
  <c r="CM111" i="1"/>
  <c r="CP111" i="1"/>
  <c r="CQ111" i="1"/>
  <c r="CS111" i="1"/>
  <c r="CT111" i="1"/>
  <c r="CJ111" i="1"/>
  <c r="CK111" i="1"/>
  <c r="CL111" i="1"/>
  <c r="CN111" i="1"/>
  <c r="CO111" i="1"/>
  <c r="CR111" i="1"/>
  <c r="CU111" i="1"/>
  <c r="CT151" i="1"/>
  <c r="CO151" i="1"/>
  <c r="CP151" i="1"/>
  <c r="CQ151" i="1"/>
  <c r="CR151" i="1"/>
  <c r="CS151" i="1"/>
  <c r="CU151" i="1"/>
  <c r="CN151" i="1"/>
  <c r="CM151" i="1"/>
  <c r="CJ151" i="1"/>
  <c r="CK151" i="1"/>
  <c r="CL151" i="1"/>
  <c r="CK132" i="1"/>
  <c r="CN132" i="1"/>
  <c r="CR132" i="1"/>
  <c r="CS132" i="1"/>
  <c r="CU132" i="1"/>
  <c r="CJ132" i="1"/>
  <c r="CL132" i="1"/>
  <c r="CM132" i="1"/>
  <c r="CO132" i="1"/>
  <c r="CP132" i="1"/>
  <c r="CQ132" i="1"/>
  <c r="CT132" i="1"/>
  <c r="CP104" i="1"/>
  <c r="CK104" i="1"/>
  <c r="CM104" i="1"/>
  <c r="CO104" i="1"/>
  <c r="CN104" i="1"/>
  <c r="CS104" i="1"/>
  <c r="CT104" i="1"/>
  <c r="CJ104" i="1"/>
  <c r="CL104" i="1"/>
  <c r="CQ104" i="1"/>
  <c r="CR104" i="1"/>
  <c r="CU104" i="1"/>
  <c r="CK118" i="1"/>
  <c r="CJ118" i="1"/>
  <c r="CL118" i="1"/>
  <c r="CM118" i="1"/>
  <c r="CN118" i="1"/>
  <c r="CP118" i="1"/>
  <c r="CR118" i="1"/>
  <c r="CS118" i="1"/>
  <c r="CT118" i="1"/>
  <c r="CU118" i="1"/>
  <c r="CO118" i="1"/>
  <c r="CQ118" i="1"/>
  <c r="CO138" i="1"/>
  <c r="CJ138" i="1"/>
  <c r="CN138" i="1"/>
  <c r="CP138" i="1"/>
  <c r="CQ138" i="1"/>
  <c r="CR138" i="1"/>
  <c r="CS138" i="1"/>
  <c r="CT138" i="1"/>
  <c r="CU138" i="1"/>
  <c r="CM138" i="1"/>
  <c r="CK138" i="1"/>
  <c r="CL138" i="1"/>
  <c r="CJ89" i="1"/>
  <c r="CN89" i="1"/>
  <c r="CP89" i="1"/>
  <c r="CR89" i="1"/>
  <c r="CM89" i="1"/>
  <c r="CO89" i="1"/>
  <c r="CS89" i="1"/>
  <c r="CT89" i="1"/>
  <c r="CK89" i="1"/>
  <c r="CL89" i="1"/>
  <c r="CQ89" i="1"/>
  <c r="CU89" i="1"/>
  <c r="CK129" i="1"/>
  <c r="CL129" i="1"/>
  <c r="CP129" i="1"/>
  <c r="CQ129" i="1"/>
  <c r="CR129" i="1"/>
  <c r="CS129" i="1"/>
  <c r="CT129" i="1"/>
  <c r="CJ129" i="1"/>
  <c r="CM129" i="1"/>
  <c r="CN129" i="1"/>
  <c r="CO129" i="1"/>
  <c r="CU129" i="1"/>
  <c r="CM135" i="1"/>
  <c r="CT135" i="1"/>
  <c r="CU135" i="1"/>
  <c r="CQ135" i="1"/>
  <c r="CR135" i="1"/>
  <c r="CJ135" i="1"/>
  <c r="CK135" i="1"/>
  <c r="CL135" i="1"/>
  <c r="CN135" i="1"/>
  <c r="CP135" i="1"/>
  <c r="CO135" i="1"/>
  <c r="CS135" i="1"/>
  <c r="CO125" i="1"/>
  <c r="CQ125" i="1"/>
  <c r="CR125" i="1"/>
  <c r="CS125" i="1"/>
  <c r="CT125" i="1"/>
  <c r="CJ125" i="1"/>
  <c r="CK125" i="1"/>
  <c r="CM125" i="1"/>
  <c r="CL125" i="1"/>
  <c r="CN125" i="1"/>
  <c r="CP125" i="1"/>
  <c r="CU125" i="1"/>
  <c r="CP137" i="1"/>
  <c r="CQ137" i="1"/>
  <c r="CS137" i="1"/>
  <c r="CT137" i="1"/>
  <c r="CK137" i="1"/>
  <c r="CL137" i="1"/>
  <c r="CM137" i="1"/>
  <c r="CN137" i="1"/>
  <c r="CO137" i="1"/>
  <c r="CR137" i="1"/>
  <c r="CU137" i="1"/>
  <c r="CJ137" i="1"/>
  <c r="CJ146" i="1"/>
  <c r="CK146" i="1"/>
  <c r="CL146" i="1"/>
  <c r="CM146" i="1"/>
  <c r="CO146" i="1"/>
  <c r="CN146" i="1"/>
  <c r="CP146" i="1"/>
  <c r="CQ146" i="1"/>
  <c r="CR146" i="1"/>
  <c r="CS146" i="1"/>
  <c r="CT146" i="1"/>
  <c r="CU146" i="1"/>
  <c r="CS123" i="1"/>
  <c r="CU123" i="1"/>
  <c r="CJ123" i="1"/>
  <c r="CL123" i="1"/>
  <c r="CM123" i="1"/>
  <c r="CN123" i="1"/>
  <c r="CO123" i="1"/>
  <c r="CP123" i="1"/>
  <c r="CQ123" i="1"/>
  <c r="CK123" i="1"/>
  <c r="CR123" i="1"/>
  <c r="CT123" i="1"/>
  <c r="CS120" i="1"/>
  <c r="CJ120" i="1"/>
  <c r="CL120" i="1"/>
  <c r="CM120" i="1"/>
  <c r="CN120" i="1"/>
  <c r="CO120" i="1"/>
  <c r="CQ120" i="1"/>
  <c r="CT120" i="1"/>
  <c r="CU120" i="1"/>
  <c r="CK120" i="1"/>
  <c r="CP120" i="1"/>
  <c r="CR120" i="1"/>
  <c r="CJ110" i="1"/>
  <c r="CK110" i="1"/>
  <c r="CM110" i="1"/>
  <c r="CN110" i="1"/>
  <c r="CL110" i="1"/>
  <c r="CP110" i="1"/>
  <c r="CQ110" i="1"/>
  <c r="CR110" i="1"/>
  <c r="CS110" i="1"/>
  <c r="CT110" i="1"/>
  <c r="CU110" i="1"/>
  <c r="CO110" i="1"/>
  <c r="CQ133" i="1"/>
  <c r="CT133" i="1"/>
  <c r="CK133" i="1"/>
  <c r="CL133" i="1"/>
  <c r="CJ133" i="1"/>
  <c r="CM133" i="1"/>
  <c r="CN133" i="1"/>
  <c r="CO133" i="1"/>
  <c r="CP133" i="1"/>
  <c r="CR133" i="1"/>
  <c r="CS133" i="1"/>
  <c r="CU133" i="1"/>
  <c r="CS136" i="1"/>
  <c r="CJ136" i="1"/>
  <c r="CK136" i="1"/>
  <c r="CM136" i="1"/>
  <c r="CN136" i="1"/>
  <c r="CP136" i="1"/>
  <c r="CQ136" i="1"/>
  <c r="CR136" i="1"/>
  <c r="CT136" i="1"/>
  <c r="CU136" i="1"/>
  <c r="CL136" i="1"/>
  <c r="CO136" i="1"/>
  <c r="CK149" i="1"/>
  <c r="CL149" i="1"/>
  <c r="CJ149" i="1"/>
  <c r="CM149" i="1"/>
  <c r="CN149" i="1"/>
  <c r="CO149" i="1"/>
  <c r="CP149" i="1"/>
  <c r="CQ149" i="1"/>
  <c r="CR149" i="1"/>
  <c r="CS149" i="1"/>
  <c r="CT149" i="1"/>
  <c r="CU149" i="1"/>
  <c r="CP145" i="1"/>
  <c r="CQ145" i="1"/>
  <c r="CS145" i="1"/>
  <c r="CT145" i="1"/>
  <c r="CN145" i="1"/>
  <c r="CL145" i="1"/>
  <c r="CM145" i="1"/>
  <c r="CO145" i="1"/>
  <c r="CR145" i="1"/>
  <c r="CU145" i="1"/>
  <c r="CK145" i="1"/>
  <c r="CJ145" i="1"/>
  <c r="CL139" i="1"/>
  <c r="CM139" i="1"/>
  <c r="CO139" i="1"/>
  <c r="CP139" i="1"/>
  <c r="CJ139" i="1"/>
  <c r="CK139" i="1"/>
  <c r="CN139" i="1"/>
  <c r="CQ139" i="1"/>
  <c r="CR139" i="1"/>
  <c r="CS139" i="1"/>
  <c r="CT139" i="1"/>
  <c r="CU139" i="1"/>
  <c r="CL113" i="1"/>
  <c r="CM113" i="1"/>
  <c r="CO113" i="1"/>
  <c r="CP113" i="1"/>
  <c r="CQ113" i="1"/>
  <c r="CS113" i="1"/>
  <c r="CT113" i="1"/>
  <c r="CU113" i="1"/>
  <c r="CK113" i="1"/>
  <c r="CJ113" i="1"/>
  <c r="CN113" i="1"/>
  <c r="CR113" i="1"/>
  <c r="CT102" i="1"/>
  <c r="CL102" i="1"/>
  <c r="CN102" i="1"/>
  <c r="CP102" i="1"/>
  <c r="CJ102" i="1"/>
  <c r="CK102" i="1"/>
  <c r="CM102" i="1"/>
  <c r="CO102" i="1"/>
  <c r="CQ102" i="1"/>
  <c r="CR102" i="1"/>
  <c r="CU102" i="1"/>
  <c r="CS102" i="1"/>
  <c r="CK116" i="1"/>
  <c r="CO116" i="1"/>
  <c r="CQ116" i="1"/>
  <c r="CJ116" i="1"/>
  <c r="CL116" i="1"/>
  <c r="CM116" i="1"/>
  <c r="CN116" i="1"/>
  <c r="CP116" i="1"/>
  <c r="CR116" i="1"/>
  <c r="CT116" i="1"/>
  <c r="CS116" i="1"/>
  <c r="CU116" i="1"/>
  <c r="CN142" i="1"/>
  <c r="CO142" i="1"/>
  <c r="CQ142" i="1"/>
  <c r="CR142" i="1"/>
  <c r="CK142" i="1"/>
  <c r="CL142" i="1"/>
  <c r="CM142" i="1"/>
  <c r="CP142" i="1"/>
  <c r="CS142" i="1"/>
  <c r="CJ142" i="1"/>
  <c r="CT142" i="1"/>
  <c r="CU142" i="1"/>
  <c r="CL147" i="1"/>
  <c r="CO147" i="1"/>
  <c r="CP147" i="1"/>
  <c r="CJ147" i="1"/>
  <c r="CK147" i="1"/>
  <c r="CM147" i="1"/>
  <c r="CU147" i="1"/>
  <c r="CN147" i="1"/>
  <c r="CQ147" i="1"/>
  <c r="CR147" i="1"/>
  <c r="CS147" i="1"/>
  <c r="CT147" i="1"/>
  <c r="CO108" i="1"/>
  <c r="CJ108" i="1"/>
  <c r="CM108" i="1"/>
  <c r="CN108" i="1"/>
  <c r="CQ108" i="1"/>
  <c r="CR108" i="1"/>
  <c r="CK108" i="1"/>
  <c r="CL108" i="1"/>
  <c r="CP108" i="1"/>
  <c r="CS108" i="1"/>
  <c r="CT108" i="1"/>
  <c r="CU108" i="1"/>
  <c r="CU115" i="1"/>
  <c r="CK115" i="1"/>
  <c r="CL115" i="1"/>
  <c r="CM115" i="1"/>
  <c r="CN115" i="1"/>
  <c r="CO115" i="1"/>
  <c r="CQ115" i="1"/>
  <c r="CR115" i="1"/>
  <c r="CS115" i="1"/>
  <c r="CT115" i="1"/>
  <c r="CJ115" i="1"/>
  <c r="CP115" i="1"/>
  <c r="CO130" i="1"/>
  <c r="CQ130" i="1"/>
  <c r="CR130" i="1"/>
  <c r="CJ130" i="1"/>
  <c r="CS112" i="1"/>
  <c r="CJ112" i="1"/>
  <c r="CT112" i="1"/>
  <c r="CK112" i="1"/>
  <c r="CL112" i="1"/>
  <c r="CM112" i="1"/>
  <c r="CN112" i="1"/>
  <c r="CO112" i="1"/>
  <c r="CQ112" i="1"/>
  <c r="CP112" i="1"/>
  <c r="CQ109" i="1"/>
  <c r="CT109" i="1"/>
  <c r="CU109" i="1"/>
  <c r="CK109" i="1"/>
  <c r="CL109" i="1"/>
  <c r="CM109" i="1"/>
  <c r="CN109" i="1"/>
  <c r="CO109" i="1"/>
  <c r="CP109" i="1"/>
  <c r="CS109" i="1"/>
  <c r="CJ52" i="1"/>
  <c r="CQ52" i="1"/>
  <c r="CR52" i="1"/>
  <c r="CN52" i="1"/>
  <c r="CS52" i="1"/>
  <c r="CT52" i="1"/>
  <c r="CL52" i="1"/>
  <c r="CM52" i="1"/>
  <c r="CO52" i="1"/>
  <c r="CU52" i="1"/>
  <c r="CK52" i="1"/>
  <c r="CP52" i="1"/>
  <c r="CR122" i="1"/>
  <c r="CP96" i="1"/>
  <c r="CS96" i="1"/>
  <c r="CT96" i="1"/>
  <c r="CO96" i="1"/>
  <c r="CU96" i="1"/>
  <c r="CM96" i="1"/>
  <c r="CN96" i="1"/>
  <c r="CQ96" i="1"/>
  <c r="CR96" i="1"/>
  <c r="CK96" i="1"/>
  <c r="CJ96" i="1"/>
  <c r="CN93" i="1"/>
  <c r="CQ93" i="1"/>
  <c r="CR93" i="1"/>
  <c r="CS93" i="1"/>
  <c r="CK93" i="1"/>
  <c r="CL93" i="1"/>
  <c r="CJ93" i="1"/>
  <c r="CM93" i="1"/>
  <c r="CO93" i="1"/>
  <c r="CP93" i="1"/>
  <c r="CT93" i="1"/>
  <c r="CU93" i="1"/>
  <c r="CJ65" i="1"/>
  <c r="CS65" i="1"/>
  <c r="CN65" i="1"/>
  <c r="CP65" i="1"/>
  <c r="CQ65" i="1"/>
  <c r="CR65" i="1"/>
  <c r="CT65" i="1"/>
  <c r="CK65" i="1"/>
  <c r="CL65" i="1"/>
  <c r="CM65" i="1"/>
  <c r="CO65" i="1"/>
  <c r="CU65" i="1"/>
  <c r="CN62" i="1"/>
  <c r="CQ62" i="1"/>
  <c r="CT62" i="1"/>
  <c r="CU62" i="1"/>
  <c r="CO62" i="1"/>
  <c r="CS62" i="1"/>
  <c r="CP62" i="1"/>
  <c r="CJ62" i="1"/>
  <c r="CL62" i="1"/>
  <c r="CM62" i="1"/>
  <c r="CK62" i="1"/>
  <c r="CR62" i="1"/>
  <c r="CL122" i="1"/>
  <c r="CO114" i="1"/>
  <c r="CR114" i="1"/>
  <c r="CS114" i="1"/>
  <c r="CU114" i="1"/>
  <c r="CL114" i="1"/>
  <c r="CN114" i="1"/>
  <c r="CP114" i="1"/>
  <c r="CQ114" i="1"/>
  <c r="CT114" i="1"/>
  <c r="CJ114" i="1"/>
  <c r="CQ117" i="1"/>
  <c r="CU117" i="1"/>
  <c r="CO117" i="1"/>
  <c r="CR117" i="1"/>
  <c r="CS117" i="1"/>
  <c r="CT117" i="1"/>
  <c r="CJ117" i="1"/>
  <c r="CK117" i="1"/>
  <c r="CM117" i="1"/>
  <c r="CL117" i="1"/>
  <c r="CT78" i="1"/>
  <c r="CM78" i="1"/>
  <c r="CO78" i="1"/>
  <c r="CP78" i="1"/>
  <c r="CQ78" i="1"/>
  <c r="CK78" i="1"/>
  <c r="CR78" i="1"/>
  <c r="CS78" i="1"/>
  <c r="CJ78" i="1"/>
  <c r="CL78" i="1"/>
  <c r="CN78" i="1"/>
  <c r="CU78" i="1"/>
  <c r="CL55" i="1"/>
  <c r="CS55" i="1"/>
  <c r="CT55" i="1"/>
  <c r="CK55" i="1"/>
  <c r="CO55" i="1"/>
  <c r="CP55" i="1"/>
  <c r="CQ55" i="1"/>
  <c r="CU55" i="1"/>
  <c r="CJ55" i="1"/>
  <c r="CM55" i="1"/>
  <c r="CN55" i="1"/>
  <c r="CR55" i="1"/>
  <c r="CT51" i="1"/>
  <c r="CK51" i="1"/>
  <c r="CL51" i="1"/>
  <c r="CU51" i="1"/>
  <c r="CM51" i="1"/>
  <c r="CP51" i="1"/>
  <c r="CQ51" i="1"/>
  <c r="CJ51" i="1"/>
  <c r="CO51" i="1"/>
  <c r="CR51" i="1"/>
  <c r="CS51" i="1"/>
  <c r="CN51" i="1"/>
  <c r="CM38" i="1"/>
  <c r="CN38" i="1"/>
  <c r="CU38" i="1"/>
  <c r="CK38" i="1"/>
  <c r="CO38" i="1"/>
  <c r="CR38" i="1"/>
  <c r="CS38" i="1"/>
  <c r="CL38" i="1"/>
  <c r="CT38" i="1"/>
  <c r="CP38" i="1"/>
  <c r="CJ38" i="1"/>
  <c r="CQ38" i="1"/>
  <c r="CL8" i="1"/>
  <c r="CR8" i="1"/>
  <c r="CT8" i="1"/>
  <c r="CJ8" i="1"/>
  <c r="CU8" i="1"/>
  <c r="CM8" i="1"/>
  <c r="CP8" i="1"/>
  <c r="CQ8" i="1"/>
  <c r="CK8" i="1"/>
  <c r="CN8" i="1"/>
  <c r="CO8" i="1"/>
  <c r="CS8" i="1"/>
  <c r="CU126" i="1"/>
  <c r="CJ126" i="1"/>
  <c r="CL126" i="1"/>
  <c r="CN126" i="1"/>
  <c r="CO126" i="1"/>
  <c r="CP126" i="1"/>
  <c r="CQ126" i="1"/>
  <c r="CR126" i="1"/>
  <c r="CO122" i="1"/>
  <c r="CS122" i="1"/>
  <c r="CK122" i="1"/>
  <c r="CM122" i="1"/>
  <c r="CN122" i="1"/>
  <c r="CP122" i="1"/>
  <c r="CQ122" i="1"/>
  <c r="CT122" i="1"/>
  <c r="CR99" i="1"/>
  <c r="CU99" i="1"/>
  <c r="CO99" i="1"/>
  <c r="CP99" i="1"/>
  <c r="CT99" i="1"/>
  <c r="CJ99" i="1"/>
  <c r="CL99" i="1"/>
  <c r="CM99" i="1"/>
  <c r="CN99" i="1"/>
  <c r="CQ99" i="1"/>
  <c r="CS99" i="1"/>
  <c r="CL82" i="1"/>
  <c r="CO82" i="1"/>
  <c r="CP82" i="1"/>
  <c r="CR82" i="1"/>
  <c r="CJ82" i="1"/>
  <c r="CN82" i="1"/>
  <c r="CQ82" i="1"/>
  <c r="CT82" i="1"/>
  <c r="CU82" i="1"/>
  <c r="CK82" i="1"/>
  <c r="CM82" i="1"/>
  <c r="CS82" i="1"/>
  <c r="CN58" i="1"/>
  <c r="CU58" i="1"/>
  <c r="CK58" i="1"/>
  <c r="CO58" i="1"/>
  <c r="CP58" i="1"/>
  <c r="CM58" i="1"/>
  <c r="CQ58" i="1"/>
  <c r="CS58" i="1"/>
  <c r="CR58" i="1"/>
  <c r="CJ58" i="1"/>
  <c r="CL58" i="1"/>
  <c r="CT58" i="1"/>
  <c r="CR48" i="1"/>
  <c r="CJ48" i="1"/>
  <c r="CT48" i="1"/>
  <c r="CM48" i="1"/>
  <c r="CO48" i="1"/>
  <c r="CP48" i="1"/>
  <c r="CQ48" i="1"/>
  <c r="CK48" i="1"/>
  <c r="CN48" i="1"/>
  <c r="CS48" i="1"/>
  <c r="CL48" i="1"/>
  <c r="CU48" i="1"/>
  <c r="CU130" i="1"/>
  <c r="CJ95" i="1"/>
  <c r="CM95" i="1"/>
  <c r="CN95" i="1"/>
  <c r="CK95" i="1"/>
  <c r="CO95" i="1"/>
  <c r="CU95" i="1"/>
  <c r="CL95" i="1"/>
  <c r="CP95" i="1"/>
  <c r="CQ95" i="1"/>
  <c r="CR95" i="1"/>
  <c r="CT95" i="1"/>
  <c r="CJ71" i="1"/>
  <c r="CM71" i="1"/>
  <c r="CN71" i="1"/>
  <c r="CP71" i="1"/>
  <c r="CS71" i="1"/>
  <c r="CT71" i="1"/>
  <c r="CO71" i="1"/>
  <c r="CR71" i="1"/>
  <c r="CU71" i="1"/>
  <c r="CQ71" i="1"/>
  <c r="CK71" i="1"/>
  <c r="CL71" i="1"/>
  <c r="CN34" i="1"/>
  <c r="CP34" i="1"/>
  <c r="CU34" i="1"/>
  <c r="CM34" i="1"/>
  <c r="CQ34" i="1"/>
  <c r="CT34" i="1"/>
  <c r="CK34" i="1"/>
  <c r="CL34" i="1"/>
  <c r="CJ34" i="1"/>
  <c r="CS34" i="1"/>
  <c r="CO34" i="1"/>
  <c r="CR34" i="1"/>
  <c r="CU131" i="1"/>
  <c r="CL131" i="1"/>
  <c r="CM131" i="1"/>
  <c r="CO131" i="1"/>
  <c r="CP131" i="1"/>
  <c r="CS131" i="1"/>
  <c r="CT130" i="1"/>
  <c r="CN85" i="1"/>
  <c r="CQ85" i="1"/>
  <c r="CR85" i="1"/>
  <c r="CO85" i="1"/>
  <c r="CJ85" i="1"/>
  <c r="CM85" i="1"/>
  <c r="CP85" i="1"/>
  <c r="CT85" i="1"/>
  <c r="CU85" i="1"/>
  <c r="CK85" i="1"/>
  <c r="CS85" i="1"/>
  <c r="CL85" i="1"/>
  <c r="CO41" i="1"/>
  <c r="CP41" i="1"/>
  <c r="CU41" i="1"/>
  <c r="CK41" i="1"/>
  <c r="CM41" i="1"/>
  <c r="CR41" i="1"/>
  <c r="CS41" i="1"/>
  <c r="CN41" i="1"/>
  <c r="CT41" i="1"/>
  <c r="CJ41" i="1"/>
  <c r="CL41" i="1"/>
  <c r="CQ41" i="1"/>
  <c r="CN101" i="1"/>
  <c r="CP101" i="1"/>
  <c r="CU101" i="1"/>
  <c r="CK101" i="1"/>
  <c r="CL101" i="1"/>
  <c r="CO101" i="1"/>
  <c r="CQ101" i="1"/>
  <c r="CJ101" i="1"/>
  <c r="CR101" i="1"/>
  <c r="CS101" i="1"/>
  <c r="CT101" i="1"/>
  <c r="CK92" i="1"/>
  <c r="CL92" i="1"/>
  <c r="CM92" i="1"/>
  <c r="CO92" i="1"/>
  <c r="CQ92" i="1"/>
  <c r="CN92" i="1"/>
  <c r="CP92" i="1"/>
  <c r="CU92" i="1"/>
  <c r="CJ92" i="1"/>
  <c r="CR92" i="1"/>
  <c r="CS92" i="1"/>
  <c r="CJ81" i="1"/>
  <c r="CL81" i="1"/>
  <c r="CN81" i="1"/>
  <c r="CO81" i="1"/>
  <c r="CP81" i="1"/>
  <c r="CQ81" i="1"/>
  <c r="CR81" i="1"/>
  <c r="CT81" i="1"/>
  <c r="CU81" i="1"/>
  <c r="CM81" i="1"/>
  <c r="CS81" i="1"/>
  <c r="CK81" i="1"/>
  <c r="CR17" i="1"/>
  <c r="CJ17" i="1"/>
  <c r="CO17" i="1"/>
  <c r="CP17" i="1"/>
  <c r="CS17" i="1"/>
  <c r="CU17" i="1"/>
  <c r="CM17" i="1"/>
  <c r="CN17" i="1"/>
  <c r="CL17" i="1"/>
  <c r="CQ17" i="1"/>
  <c r="CK17" i="1"/>
  <c r="CT17" i="1"/>
  <c r="CL7" i="1"/>
  <c r="CN7" i="1"/>
  <c r="CS7" i="1"/>
  <c r="CT7" i="1"/>
  <c r="CM7" i="1"/>
  <c r="CP7" i="1"/>
  <c r="CU7" i="1"/>
  <c r="CJ7" i="1"/>
  <c r="CO7" i="1"/>
  <c r="CQ7" i="1"/>
  <c r="CR7" i="1"/>
  <c r="CK7" i="1"/>
  <c r="CR131" i="1"/>
  <c r="CS130" i="1"/>
  <c r="CL98" i="1"/>
  <c r="CO98" i="1"/>
  <c r="CP98" i="1"/>
  <c r="CJ98" i="1"/>
  <c r="CM98" i="1"/>
  <c r="CS98" i="1"/>
  <c r="CK98" i="1"/>
  <c r="CN98" i="1"/>
  <c r="CQ98" i="1"/>
  <c r="CR98" i="1"/>
  <c r="CU98" i="1"/>
  <c r="CT98" i="1"/>
  <c r="CP88" i="1"/>
  <c r="CS88" i="1"/>
  <c r="CT88" i="1"/>
  <c r="CM88" i="1"/>
  <c r="CU88" i="1"/>
  <c r="CJ88" i="1"/>
  <c r="CN88" i="1"/>
  <c r="CO88" i="1"/>
  <c r="CR88" i="1"/>
  <c r="CQ88" i="1"/>
  <c r="CK88" i="1"/>
  <c r="CL88" i="1"/>
  <c r="CN77" i="1"/>
  <c r="CR77" i="1"/>
  <c r="CJ77" i="1"/>
  <c r="CM77" i="1"/>
  <c r="CO77" i="1"/>
  <c r="CQ77" i="1"/>
  <c r="CT77" i="1"/>
  <c r="CU77" i="1"/>
  <c r="CK77" i="1"/>
  <c r="CL77" i="1"/>
  <c r="CS77" i="1"/>
  <c r="CP77" i="1"/>
  <c r="CQ131" i="1"/>
  <c r="CP130" i="1"/>
  <c r="CR67" i="1"/>
  <c r="CU67" i="1"/>
  <c r="CJ67" i="1"/>
  <c r="CK67" i="1"/>
  <c r="CL67" i="1"/>
  <c r="CM67" i="1"/>
  <c r="CN67" i="1"/>
  <c r="CO67" i="1"/>
  <c r="CP67" i="1"/>
  <c r="CQ67" i="1"/>
  <c r="CS67" i="1"/>
  <c r="CT67" i="1"/>
  <c r="CP64" i="1"/>
  <c r="CS64" i="1"/>
  <c r="CT64" i="1"/>
  <c r="CJ64" i="1"/>
  <c r="CK64" i="1"/>
  <c r="CO64" i="1"/>
  <c r="CR64" i="1"/>
  <c r="CU64" i="1"/>
  <c r="CL64" i="1"/>
  <c r="CQ64" i="1"/>
  <c r="CM64" i="1"/>
  <c r="CN64" i="1"/>
  <c r="CM54" i="1"/>
  <c r="CN54" i="1"/>
  <c r="CS54" i="1"/>
  <c r="CK54" i="1"/>
  <c r="CR54" i="1"/>
  <c r="CU54" i="1"/>
  <c r="CJ54" i="1"/>
  <c r="CP54" i="1"/>
  <c r="CQ54" i="1"/>
  <c r="CT54" i="1"/>
  <c r="CL54" i="1"/>
  <c r="CO54" i="1"/>
  <c r="CN50" i="1"/>
  <c r="CU50" i="1"/>
  <c r="CL50" i="1"/>
  <c r="CM50" i="1"/>
  <c r="CP50" i="1"/>
  <c r="CS50" i="1"/>
  <c r="CT50" i="1"/>
  <c r="CK50" i="1"/>
  <c r="CO50" i="1"/>
  <c r="CQ50" i="1"/>
  <c r="CJ50" i="1"/>
  <c r="CR50" i="1"/>
  <c r="CJ13" i="1"/>
  <c r="CP13" i="1"/>
  <c r="CR13" i="1"/>
  <c r="CM13" i="1"/>
  <c r="CO13" i="1"/>
  <c r="CT13" i="1"/>
  <c r="CU13" i="1"/>
  <c r="CS13" i="1"/>
  <c r="CQ13" i="1"/>
  <c r="CK13" i="1"/>
  <c r="CL13" i="1"/>
  <c r="CN13" i="1"/>
  <c r="CN10" i="1"/>
  <c r="CP10" i="1"/>
  <c r="CU10" i="1"/>
  <c r="CM10" i="1"/>
  <c r="CJ10" i="1"/>
  <c r="CK10" i="1"/>
  <c r="CO10" i="1"/>
  <c r="CS10" i="1"/>
  <c r="CT10" i="1"/>
  <c r="CL10" i="1"/>
  <c r="CQ10" i="1"/>
  <c r="CR10" i="1"/>
  <c r="CN131" i="1"/>
  <c r="CT126" i="1"/>
  <c r="CT121" i="1"/>
  <c r="CN107" i="1"/>
  <c r="CP107" i="1"/>
  <c r="CR107" i="1"/>
  <c r="CU107" i="1"/>
  <c r="CO107" i="1"/>
  <c r="CQ107" i="1"/>
  <c r="CS107" i="1"/>
  <c r="CT107" i="1"/>
  <c r="CJ107" i="1"/>
  <c r="CL107" i="1"/>
  <c r="CK107" i="1"/>
  <c r="CT70" i="1"/>
  <c r="CJ70" i="1"/>
  <c r="CN70" i="1"/>
  <c r="CS70" i="1"/>
  <c r="CM70" i="1"/>
  <c r="CQ70" i="1"/>
  <c r="CR70" i="1"/>
  <c r="CK70" i="1"/>
  <c r="CL70" i="1"/>
  <c r="CO70" i="1"/>
  <c r="CP70" i="1"/>
  <c r="CU70" i="1"/>
  <c r="CO57" i="1"/>
  <c r="CP57" i="1"/>
  <c r="CS57" i="1"/>
  <c r="CN57" i="1"/>
  <c r="CT57" i="1"/>
  <c r="CU57" i="1"/>
  <c r="CQ57" i="1"/>
  <c r="CK57" i="1"/>
  <c r="CR57" i="1"/>
  <c r="CJ57" i="1"/>
  <c r="CL57" i="1"/>
  <c r="CM57" i="1"/>
  <c r="CP37" i="1"/>
  <c r="CK37" i="1"/>
  <c r="CT37" i="1"/>
  <c r="CQ37" i="1"/>
  <c r="CU37" i="1"/>
  <c r="CN37" i="1"/>
  <c r="CR37" i="1"/>
  <c r="CS37" i="1"/>
  <c r="CJ37" i="1"/>
  <c r="CM37" i="1"/>
  <c r="CO37" i="1"/>
  <c r="CL37" i="1"/>
  <c r="CL31" i="1"/>
  <c r="CN31" i="1"/>
  <c r="CS31" i="1"/>
  <c r="CT31" i="1"/>
  <c r="CM31" i="1"/>
  <c r="CJ31" i="1"/>
  <c r="CR31" i="1"/>
  <c r="CK31" i="1"/>
  <c r="CO31" i="1"/>
  <c r="CQ31" i="1"/>
  <c r="CU31" i="1"/>
  <c r="CP31" i="1"/>
  <c r="CT20" i="1"/>
  <c r="CJ20" i="1"/>
  <c r="CL20" i="1"/>
  <c r="CQ20" i="1"/>
  <c r="CR20" i="1"/>
  <c r="CO20" i="1"/>
  <c r="CK20" i="1"/>
  <c r="CM20" i="1"/>
  <c r="CS20" i="1"/>
  <c r="CN20" i="1"/>
  <c r="CP20" i="1"/>
  <c r="CU20" i="1"/>
  <c r="CK131" i="1"/>
  <c r="CM130" i="1"/>
  <c r="CS126" i="1"/>
  <c r="CR121" i="1"/>
  <c r="CJ87" i="1"/>
  <c r="CM87" i="1"/>
  <c r="CN87" i="1"/>
  <c r="CT87" i="1"/>
  <c r="CK87" i="1"/>
  <c r="CO87" i="1"/>
  <c r="CP87" i="1"/>
  <c r="CR87" i="1"/>
  <c r="CS87" i="1"/>
  <c r="CL87" i="1"/>
  <c r="CQ87" i="1"/>
  <c r="CU87" i="1"/>
  <c r="CP80" i="1"/>
  <c r="CS80" i="1"/>
  <c r="CT80" i="1"/>
  <c r="CK80" i="1"/>
  <c r="CQ80" i="1"/>
  <c r="CU80" i="1"/>
  <c r="CJ80" i="1"/>
  <c r="CN80" i="1"/>
  <c r="CO80" i="1"/>
  <c r="CL80" i="1"/>
  <c r="CM80" i="1"/>
  <c r="CR80" i="1"/>
  <c r="CR40" i="1"/>
  <c r="CJ40" i="1"/>
  <c r="CQ40" i="1"/>
  <c r="CT40" i="1"/>
  <c r="CO40" i="1"/>
  <c r="CU40" i="1"/>
  <c r="CN40" i="1"/>
  <c r="CP40" i="1"/>
  <c r="CS40" i="1"/>
  <c r="CK40" i="1"/>
  <c r="CL40" i="1"/>
  <c r="CM40" i="1"/>
  <c r="CJ131" i="1"/>
  <c r="CL130" i="1"/>
  <c r="CM126" i="1"/>
  <c r="CP117" i="1"/>
  <c r="CR91" i="1"/>
  <c r="CU91" i="1"/>
  <c r="CM91" i="1"/>
  <c r="CS91" i="1"/>
  <c r="CL91" i="1"/>
  <c r="CN91" i="1"/>
  <c r="CP91" i="1"/>
  <c r="CQ91" i="1"/>
  <c r="CJ91" i="1"/>
  <c r="CK91" i="1"/>
  <c r="CO91" i="1"/>
  <c r="CT91" i="1"/>
  <c r="CK84" i="1"/>
  <c r="CL84" i="1"/>
  <c r="CM84" i="1"/>
  <c r="CN84" i="1"/>
  <c r="CO84" i="1"/>
  <c r="CQ84" i="1"/>
  <c r="CR84" i="1"/>
  <c r="CT84" i="1"/>
  <c r="CU84" i="1"/>
  <c r="CJ84" i="1"/>
  <c r="CP84" i="1"/>
  <c r="CS84" i="1"/>
  <c r="CL76" i="1"/>
  <c r="CS76" i="1"/>
  <c r="CP76" i="1"/>
  <c r="CK76" i="1"/>
  <c r="CO76" i="1"/>
  <c r="CQ76" i="1"/>
  <c r="CT76" i="1"/>
  <c r="CU76" i="1"/>
  <c r="CJ76" i="1"/>
  <c r="CM76" i="1"/>
  <c r="CN76" i="1"/>
  <c r="CR76" i="1"/>
  <c r="CR25" i="1"/>
  <c r="CJ25" i="1"/>
  <c r="CO25" i="1"/>
  <c r="CP25" i="1"/>
  <c r="CS25" i="1"/>
  <c r="CM25" i="1"/>
  <c r="CN25" i="1"/>
  <c r="CK25" i="1"/>
  <c r="CQ25" i="1"/>
  <c r="CT25" i="1"/>
  <c r="CL25" i="1"/>
  <c r="CU25" i="1"/>
  <c r="CM121" i="1"/>
  <c r="CS121" i="1"/>
  <c r="CU121" i="1"/>
  <c r="CK121" i="1"/>
  <c r="CL121" i="1"/>
  <c r="CN121" i="1"/>
  <c r="CO121" i="1"/>
  <c r="CP121" i="1"/>
  <c r="CQ121" i="1"/>
  <c r="CN117" i="1"/>
  <c r="CL100" i="1"/>
  <c r="CN100" i="1"/>
  <c r="CP100" i="1"/>
  <c r="CR100" i="1"/>
  <c r="CK100" i="1"/>
  <c r="CQ100" i="1"/>
  <c r="CS100" i="1"/>
  <c r="CU100" i="1"/>
  <c r="CJ100" i="1"/>
  <c r="CM100" i="1"/>
  <c r="CO100" i="1"/>
  <c r="CT100" i="1"/>
  <c r="CT94" i="1"/>
  <c r="CL94" i="1"/>
  <c r="CQ94" i="1"/>
  <c r="CS94" i="1"/>
  <c r="CJ94" i="1"/>
  <c r="CK94" i="1"/>
  <c r="CM94" i="1"/>
  <c r="CN94" i="1"/>
  <c r="CP94" i="1"/>
  <c r="CR94" i="1"/>
  <c r="CU94" i="1"/>
  <c r="CJ73" i="1"/>
  <c r="CU73" i="1"/>
  <c r="CM73" i="1"/>
  <c r="CO73" i="1"/>
  <c r="CP73" i="1"/>
  <c r="CQ73" i="1"/>
  <c r="CK73" i="1"/>
  <c r="CL73" i="1"/>
  <c r="CN73" i="1"/>
  <c r="CR73" i="1"/>
  <c r="CS73" i="1"/>
  <c r="CT73" i="1"/>
  <c r="CL66" i="1"/>
  <c r="CO66" i="1"/>
  <c r="CP66" i="1"/>
  <c r="CK66" i="1"/>
  <c r="CQ66" i="1"/>
  <c r="CR66" i="1"/>
  <c r="CJ66" i="1"/>
  <c r="CM66" i="1"/>
  <c r="CT66" i="1"/>
  <c r="CU66" i="1"/>
  <c r="CS66" i="1"/>
  <c r="CN66" i="1"/>
  <c r="CL63" i="1"/>
  <c r="CT63" i="1"/>
  <c r="CK63" i="1"/>
  <c r="CM63" i="1"/>
  <c r="CJ63" i="1"/>
  <c r="CP63" i="1"/>
  <c r="CQ63" i="1"/>
  <c r="CR63" i="1"/>
  <c r="CU63" i="1"/>
  <c r="CN63" i="1"/>
  <c r="CS63" i="1"/>
  <c r="CO63" i="1"/>
  <c r="CJ60" i="1"/>
  <c r="CR60" i="1"/>
  <c r="CO60" i="1"/>
  <c r="CS60" i="1"/>
  <c r="CT60" i="1"/>
  <c r="CL60" i="1"/>
  <c r="CU60" i="1"/>
  <c r="CN60" i="1"/>
  <c r="CP60" i="1"/>
  <c r="CQ60" i="1"/>
  <c r="CK60" i="1"/>
  <c r="CM60" i="1"/>
  <c r="CP53" i="1"/>
  <c r="CL53" i="1"/>
  <c r="CM53" i="1"/>
  <c r="CK53" i="1"/>
  <c r="CN53" i="1"/>
  <c r="CS53" i="1"/>
  <c r="CU53" i="1"/>
  <c r="CJ53" i="1"/>
  <c r="CO53" i="1"/>
  <c r="CQ53" i="1"/>
  <c r="CR53" i="1"/>
  <c r="CT53" i="1"/>
  <c r="CT28" i="1"/>
  <c r="CJ28" i="1"/>
  <c r="CL28" i="1"/>
  <c r="CQ28" i="1"/>
  <c r="CR28" i="1"/>
  <c r="CO28" i="1"/>
  <c r="CS28" i="1"/>
  <c r="CN28" i="1"/>
  <c r="CM28" i="1"/>
  <c r="CU28" i="1"/>
  <c r="CK28" i="1"/>
  <c r="CP28" i="1"/>
  <c r="CJ103" i="1"/>
  <c r="CO103" i="1"/>
  <c r="CT103" i="1"/>
  <c r="CS103" i="1"/>
  <c r="CL103" i="1"/>
  <c r="CM103" i="1"/>
  <c r="CN103" i="1"/>
  <c r="CP103" i="1"/>
  <c r="CQ103" i="1"/>
  <c r="CR103" i="1"/>
  <c r="CJ97" i="1"/>
  <c r="CK97" i="1"/>
  <c r="CP97" i="1"/>
  <c r="CR97" i="1"/>
  <c r="CT97" i="1"/>
  <c r="CS97" i="1"/>
  <c r="CU97" i="1"/>
  <c r="CL97" i="1"/>
  <c r="CM97" i="1"/>
  <c r="CO97" i="1"/>
  <c r="CN97" i="1"/>
  <c r="CJ79" i="1"/>
  <c r="CM79" i="1"/>
  <c r="CN79" i="1"/>
  <c r="CR79" i="1"/>
  <c r="CK79" i="1"/>
  <c r="CP79" i="1"/>
  <c r="CQ79" i="1"/>
  <c r="CT79" i="1"/>
  <c r="CU79" i="1"/>
  <c r="CL79" i="1"/>
  <c r="CO79" i="1"/>
  <c r="CS79" i="1"/>
  <c r="CN69" i="1"/>
  <c r="CQ69" i="1"/>
  <c r="CR69" i="1"/>
  <c r="CJ69" i="1"/>
  <c r="CM69" i="1"/>
  <c r="CO69" i="1"/>
  <c r="CP69" i="1"/>
  <c r="CK69" i="1"/>
  <c r="CL69" i="1"/>
  <c r="CT69" i="1"/>
  <c r="CU69" i="1"/>
  <c r="CS69" i="1"/>
  <c r="CN19" i="1"/>
  <c r="CT19" i="1"/>
  <c r="CK19" i="1"/>
  <c r="CL19" i="1"/>
  <c r="CS19" i="1"/>
  <c r="CJ19" i="1"/>
  <c r="CP19" i="1"/>
  <c r="CQ19" i="1"/>
  <c r="CR19" i="1"/>
  <c r="CU19" i="1"/>
  <c r="CM19" i="1"/>
  <c r="CO19" i="1"/>
  <c r="CS106" i="1"/>
  <c r="CJ106" i="1"/>
  <c r="CL106" i="1"/>
  <c r="CK106" i="1"/>
  <c r="CM106" i="1"/>
  <c r="CP106" i="1"/>
  <c r="CQ106" i="1"/>
  <c r="CR106" i="1"/>
  <c r="CT106" i="1"/>
  <c r="CU106" i="1"/>
  <c r="CN106" i="1"/>
  <c r="CR56" i="1"/>
  <c r="CJ56" i="1"/>
  <c r="CK56" i="1"/>
  <c r="CS56" i="1"/>
  <c r="CL56" i="1"/>
  <c r="CQ56" i="1"/>
  <c r="CU56" i="1"/>
  <c r="CN56" i="1"/>
  <c r="CO56" i="1"/>
  <c r="CT56" i="1"/>
  <c r="CM56" i="1"/>
  <c r="CP56" i="1"/>
  <c r="CO49" i="1"/>
  <c r="CP49" i="1"/>
  <c r="CQ49" i="1"/>
  <c r="CT49" i="1"/>
  <c r="CU49" i="1"/>
  <c r="CR49" i="1"/>
  <c r="CJ49" i="1"/>
  <c r="CL49" i="1"/>
  <c r="CM49" i="1"/>
  <c r="CN49" i="1"/>
  <c r="CK49" i="1"/>
  <c r="CS49" i="1"/>
  <c r="CM46" i="1"/>
  <c r="CN46" i="1"/>
  <c r="CQ46" i="1"/>
  <c r="CT46" i="1"/>
  <c r="CU46" i="1"/>
  <c r="CK46" i="1"/>
  <c r="CL46" i="1"/>
  <c r="CO46" i="1"/>
  <c r="CJ46" i="1"/>
  <c r="CP46" i="1"/>
  <c r="CS46" i="1"/>
  <c r="CR46" i="1"/>
  <c r="CT43" i="1"/>
  <c r="CK43" i="1"/>
  <c r="CL43" i="1"/>
  <c r="CR43" i="1"/>
  <c r="CN43" i="1"/>
  <c r="CQ43" i="1"/>
  <c r="CS43" i="1"/>
  <c r="CP43" i="1"/>
  <c r="CU43" i="1"/>
  <c r="CJ43" i="1"/>
  <c r="CM43" i="1"/>
  <c r="CO43" i="1"/>
  <c r="CT12" i="1"/>
  <c r="CJ12" i="1"/>
  <c r="CL12" i="1"/>
  <c r="CQ12" i="1"/>
  <c r="CR12" i="1"/>
  <c r="CO12" i="1"/>
  <c r="CS12" i="1"/>
  <c r="CU12" i="1"/>
  <c r="CM12" i="1"/>
  <c r="CK12" i="1"/>
  <c r="CN12" i="1"/>
  <c r="CP12" i="1"/>
  <c r="CN3" i="1"/>
  <c r="CT3" i="1"/>
  <c r="CK3" i="1"/>
  <c r="CL3" i="1"/>
  <c r="CS3" i="1"/>
  <c r="CJ3" i="1"/>
  <c r="CP3" i="1"/>
  <c r="CQ3" i="1"/>
  <c r="CO3" i="1"/>
  <c r="CM3" i="1"/>
  <c r="CR3" i="1"/>
  <c r="CU3" i="1"/>
  <c r="CM119" i="1"/>
  <c r="CQ119" i="1"/>
  <c r="CR119" i="1"/>
  <c r="CT119" i="1"/>
  <c r="CU119" i="1"/>
  <c r="CJ119" i="1"/>
  <c r="CK119" i="1"/>
  <c r="CL119" i="1"/>
  <c r="CO119" i="1"/>
  <c r="CN119" i="1"/>
  <c r="CL39" i="1"/>
  <c r="CS39" i="1"/>
  <c r="CT39" i="1"/>
  <c r="CN39" i="1"/>
  <c r="CJ39" i="1"/>
  <c r="CK39" i="1"/>
  <c r="CP39" i="1"/>
  <c r="CU39" i="1"/>
  <c r="CO39" i="1"/>
  <c r="CQ39" i="1"/>
  <c r="CM39" i="1"/>
  <c r="CR39" i="1"/>
  <c r="CL90" i="1"/>
  <c r="CO90" i="1"/>
  <c r="CP90" i="1"/>
  <c r="CT90" i="1"/>
  <c r="CJ90" i="1"/>
  <c r="CM90" i="1"/>
  <c r="CN90" i="1"/>
  <c r="CR90" i="1"/>
  <c r="CS90" i="1"/>
  <c r="CK90" i="1"/>
  <c r="CU90" i="1"/>
  <c r="CP72" i="1"/>
  <c r="CS72" i="1"/>
  <c r="CT72" i="1"/>
  <c r="CL72" i="1"/>
  <c r="CM72" i="1"/>
  <c r="CN72" i="1"/>
  <c r="CQ72" i="1"/>
  <c r="CR72" i="1"/>
  <c r="CU72" i="1"/>
  <c r="CJ72" i="1"/>
  <c r="CK72" i="1"/>
  <c r="CO72" i="1"/>
  <c r="CU122" i="1"/>
  <c r="CT86" i="1"/>
  <c r="CJ86" i="1"/>
  <c r="CO86" i="1"/>
  <c r="CQ86" i="1"/>
  <c r="CR86" i="1"/>
  <c r="CS86" i="1"/>
  <c r="CL86" i="1"/>
  <c r="CM86" i="1"/>
  <c r="CP86" i="1"/>
  <c r="CU86" i="1"/>
  <c r="CK86" i="1"/>
  <c r="CN86" i="1"/>
  <c r="CR83" i="1"/>
  <c r="CU83" i="1"/>
  <c r="CK83" i="1"/>
  <c r="CP83" i="1"/>
  <c r="CS83" i="1"/>
  <c r="CT83" i="1"/>
  <c r="CJ83" i="1"/>
  <c r="CN83" i="1"/>
  <c r="CO83" i="1"/>
  <c r="CL83" i="1"/>
  <c r="CM83" i="1"/>
  <c r="CR75" i="1"/>
  <c r="CU75" i="1"/>
  <c r="CL75" i="1"/>
  <c r="CM75" i="1"/>
  <c r="CT75" i="1"/>
  <c r="CJ75" i="1"/>
  <c r="CK75" i="1"/>
  <c r="CN75" i="1"/>
  <c r="CP75" i="1"/>
  <c r="CQ75" i="1"/>
  <c r="CO75" i="1"/>
  <c r="CS75" i="1"/>
  <c r="CT59" i="1"/>
  <c r="CK59" i="1"/>
  <c r="CL59" i="1"/>
  <c r="CM59" i="1"/>
  <c r="CN59" i="1"/>
  <c r="CJ59" i="1"/>
  <c r="CS59" i="1"/>
  <c r="CO59" i="1"/>
  <c r="CP59" i="1"/>
  <c r="CQ59" i="1"/>
  <c r="CR59" i="1"/>
  <c r="CU59" i="1"/>
  <c r="CN35" i="1"/>
  <c r="CT35" i="1"/>
  <c r="CK35" i="1"/>
  <c r="CL35" i="1"/>
  <c r="CS35" i="1"/>
  <c r="CJ35" i="1"/>
  <c r="CP35" i="1"/>
  <c r="CQ35" i="1"/>
  <c r="CM35" i="1"/>
  <c r="CO35" i="1"/>
  <c r="CR35" i="1"/>
  <c r="CU35" i="1"/>
  <c r="CP30" i="1"/>
  <c r="CM30" i="1"/>
  <c r="CN30" i="1"/>
  <c r="CS30" i="1"/>
  <c r="CJ30" i="1"/>
  <c r="CO30" i="1"/>
  <c r="CQ30" i="1"/>
  <c r="CL30" i="1"/>
  <c r="CK30" i="1"/>
  <c r="CT30" i="1"/>
  <c r="CU30" i="1"/>
  <c r="CR30" i="1"/>
  <c r="CL15" i="1"/>
  <c r="CN15" i="1"/>
  <c r="CS15" i="1"/>
  <c r="CT15" i="1"/>
  <c r="CM15" i="1"/>
  <c r="CJ15" i="1"/>
  <c r="CO15" i="1"/>
  <c r="CQ15" i="1"/>
  <c r="CR15" i="1"/>
  <c r="CU15" i="1"/>
  <c r="CK15" i="1"/>
  <c r="CP15" i="1"/>
  <c r="CL24" i="1"/>
  <c r="CR24" i="1"/>
  <c r="CT24" i="1"/>
  <c r="CJ24" i="1"/>
  <c r="CU24" i="1"/>
  <c r="CM24" i="1"/>
  <c r="CP24" i="1"/>
  <c r="CQ24" i="1"/>
  <c r="CK24" i="1"/>
  <c r="CN24" i="1"/>
  <c r="CO24" i="1"/>
  <c r="CS24" i="1"/>
  <c r="CT26" i="1"/>
  <c r="CP22" i="1"/>
  <c r="CM22" i="1"/>
  <c r="CN22" i="1"/>
  <c r="CS22" i="1"/>
  <c r="CU22" i="1"/>
  <c r="CJ22" i="1"/>
  <c r="CK22" i="1"/>
  <c r="CL22" i="1"/>
  <c r="CQ22" i="1"/>
  <c r="CR22" i="1"/>
  <c r="CL74" i="1"/>
  <c r="CO74" i="1"/>
  <c r="CP74" i="1"/>
  <c r="CN74" i="1"/>
  <c r="CS74" i="1"/>
  <c r="CT74" i="1"/>
  <c r="CJ74" i="1"/>
  <c r="CK74" i="1"/>
  <c r="CS26" i="1"/>
  <c r="CR9" i="1"/>
  <c r="CJ9" i="1"/>
  <c r="CO9" i="1"/>
  <c r="CP9" i="1"/>
  <c r="CS9" i="1"/>
  <c r="CM9" i="1"/>
  <c r="CN9" i="1"/>
  <c r="CL9" i="1"/>
  <c r="CQ9" i="1"/>
  <c r="CK9" i="1"/>
  <c r="CT9" i="1"/>
  <c r="CJ5" i="1"/>
  <c r="CP5" i="1"/>
  <c r="CR5" i="1"/>
  <c r="CM5" i="1"/>
  <c r="CK5" i="1"/>
  <c r="CL5" i="1"/>
  <c r="CU5" i="1"/>
  <c r="CN26" i="1"/>
  <c r="CP26" i="1"/>
  <c r="CU26" i="1"/>
  <c r="CM26" i="1"/>
  <c r="CJ26" i="1"/>
  <c r="CK26" i="1"/>
  <c r="CQ26" i="1"/>
  <c r="CR26" i="1"/>
  <c r="CL26" i="1"/>
  <c r="CN11" i="1"/>
  <c r="CT11" i="1"/>
  <c r="CK11" i="1"/>
  <c r="CL11" i="1"/>
  <c r="CS11" i="1"/>
  <c r="CP11" i="1"/>
  <c r="CU11" i="1"/>
  <c r="CQ11" i="1"/>
  <c r="CJ11" i="1"/>
  <c r="CO11" i="1"/>
  <c r="CR11" i="1"/>
  <c r="CS61" i="1"/>
  <c r="CU44" i="1"/>
  <c r="CO23" i="1"/>
  <c r="CR61" i="1"/>
  <c r="CT44" i="1"/>
  <c r="CR42" i="1"/>
  <c r="CT36" i="1"/>
  <c r="CJ36" i="1"/>
  <c r="CL36" i="1"/>
  <c r="CQ36" i="1"/>
  <c r="CR36" i="1"/>
  <c r="CO36" i="1"/>
  <c r="CK36" i="1"/>
  <c r="CM36" i="1"/>
  <c r="CN36" i="1"/>
  <c r="CU36" i="1"/>
  <c r="CP36" i="1"/>
  <c r="CK23" i="1"/>
  <c r="CT4" i="1"/>
  <c r="CJ4" i="1"/>
  <c r="CL4" i="1"/>
  <c r="CQ4" i="1"/>
  <c r="CR4" i="1"/>
  <c r="CO4" i="1"/>
  <c r="CK4" i="1"/>
  <c r="CM4" i="1"/>
  <c r="CN4" i="1"/>
  <c r="CS4" i="1"/>
  <c r="CU4" i="1"/>
  <c r="CP61" i="1"/>
  <c r="CK61" i="1"/>
  <c r="CL61" i="1"/>
  <c r="CU61" i="1"/>
  <c r="CN61" i="1"/>
  <c r="CT61" i="1"/>
  <c r="CJ61" i="1"/>
  <c r="CO61" i="1"/>
  <c r="CQ61" i="1"/>
  <c r="CJ44" i="1"/>
  <c r="CQ44" i="1"/>
  <c r="CR44" i="1"/>
  <c r="CL44" i="1"/>
  <c r="CO44" i="1"/>
  <c r="CP44" i="1"/>
  <c r="CM44" i="1"/>
  <c r="CN44" i="1"/>
  <c r="CK44" i="1"/>
  <c r="CN42" i="1"/>
  <c r="CU42" i="1"/>
  <c r="CM42" i="1"/>
  <c r="CJ42" i="1"/>
  <c r="CK42" i="1"/>
  <c r="CQ42" i="1"/>
  <c r="CT42" i="1"/>
  <c r="CO42" i="1"/>
  <c r="CP42" i="1"/>
  <c r="CS42" i="1"/>
  <c r="CL23" i="1"/>
  <c r="CN23" i="1"/>
  <c r="CS23" i="1"/>
  <c r="CT23" i="1"/>
  <c r="CM23" i="1"/>
  <c r="CP23" i="1"/>
  <c r="CU23" i="1"/>
  <c r="CQ23" i="1"/>
  <c r="CR23" i="1"/>
  <c r="CP6" i="1"/>
  <c r="CM6" i="1"/>
  <c r="CN6" i="1"/>
  <c r="CS6" i="1"/>
  <c r="CU6" i="1"/>
  <c r="CK6" i="1"/>
  <c r="CL6" i="1"/>
  <c r="CO6" i="1"/>
  <c r="CT6" i="1"/>
  <c r="CJ6" i="1"/>
  <c r="CQ6" i="1"/>
  <c r="CN27" i="1"/>
  <c r="CT27" i="1"/>
  <c r="CK27" i="1"/>
  <c r="CL27" i="1"/>
  <c r="CS27" i="1"/>
  <c r="CM27" i="1"/>
  <c r="CQ27" i="1"/>
  <c r="CR27" i="1"/>
  <c r="CJ27" i="1"/>
  <c r="CO27" i="1"/>
  <c r="CP27" i="1"/>
  <c r="CU27" i="1"/>
  <c r="CP14" i="1"/>
  <c r="CM14" i="1"/>
  <c r="CN14" i="1"/>
  <c r="CS14" i="1"/>
  <c r="CJ14" i="1"/>
  <c r="CO14" i="1"/>
  <c r="CQ14" i="1"/>
  <c r="CK14" i="1"/>
  <c r="CL14" i="1"/>
  <c r="CT14" i="1"/>
  <c r="CU14" i="1"/>
  <c r="CU74" i="1"/>
  <c r="CT68" i="1"/>
  <c r="CU47" i="1"/>
  <c r="CQ68" i="1"/>
  <c r="CR47" i="1"/>
  <c r="CU45" i="1"/>
  <c r="CR33" i="1"/>
  <c r="CJ33" i="1"/>
  <c r="CO33" i="1"/>
  <c r="CP33" i="1"/>
  <c r="CS33" i="1"/>
  <c r="CU33" i="1"/>
  <c r="CK33" i="1"/>
  <c r="CL33" i="1"/>
  <c r="CN33" i="1"/>
  <c r="CT33" i="1"/>
  <c r="CM33" i="1"/>
  <c r="CJ29" i="1"/>
  <c r="CP29" i="1"/>
  <c r="CR29" i="1"/>
  <c r="CM29" i="1"/>
  <c r="CO29" i="1"/>
  <c r="CT29" i="1"/>
  <c r="CU29" i="1"/>
  <c r="CS29" i="1"/>
  <c r="CQ29" i="1"/>
  <c r="CK29" i="1"/>
  <c r="CL29" i="1"/>
  <c r="CL16" i="1"/>
  <c r="CR16" i="1"/>
  <c r="CT16" i="1"/>
  <c r="CJ16" i="1"/>
  <c r="CU16" i="1"/>
  <c r="CK16" i="1"/>
  <c r="CM16" i="1"/>
  <c r="CN16" i="1"/>
  <c r="CS16" i="1"/>
  <c r="CO16" i="1"/>
  <c r="CP16" i="1"/>
  <c r="CQ74" i="1"/>
  <c r="CK68" i="1"/>
  <c r="CL68" i="1"/>
  <c r="CR68" i="1"/>
  <c r="CU68" i="1"/>
  <c r="CS68" i="1"/>
  <c r="CJ68" i="1"/>
  <c r="CM68" i="1"/>
  <c r="CO68" i="1"/>
  <c r="CP68" i="1"/>
  <c r="CL47" i="1"/>
  <c r="CS47" i="1"/>
  <c r="CT47" i="1"/>
  <c r="CM47" i="1"/>
  <c r="CN47" i="1"/>
  <c r="CJ47" i="1"/>
  <c r="CO47" i="1"/>
  <c r="CP47" i="1"/>
  <c r="CQ47" i="1"/>
  <c r="CP45" i="1"/>
  <c r="CJ45" i="1"/>
  <c r="CK45" i="1"/>
  <c r="CM45" i="1"/>
  <c r="CN45" i="1"/>
  <c r="CL45" i="1"/>
  <c r="CO45" i="1"/>
  <c r="CQ45" i="1"/>
  <c r="CS45" i="1"/>
  <c r="CT45" i="1"/>
  <c r="CN18" i="1"/>
  <c r="CP18" i="1"/>
  <c r="CU18" i="1"/>
  <c r="CM18" i="1"/>
  <c r="CQ18" i="1"/>
  <c r="CT18" i="1"/>
  <c r="CJ18" i="1"/>
  <c r="CO18" i="1"/>
  <c r="CR18" i="1"/>
  <c r="CK18" i="1"/>
  <c r="CL18" i="1"/>
  <c r="CQ21" i="1"/>
  <c r="CO21" i="1"/>
  <c r="CJ21" i="1"/>
  <c r="CP21" i="1"/>
  <c r="CR21" i="1"/>
  <c r="CM21" i="1"/>
  <c r="CK21" i="1"/>
  <c r="CU21" i="1"/>
  <c r="CL32" i="1"/>
  <c r="CR32" i="1"/>
  <c r="CT32" i="1"/>
  <c r="CJ32" i="1"/>
  <c r="CU32" i="1"/>
  <c r="CK32" i="1"/>
  <c r="CM32" i="1"/>
  <c r="CN32" i="1"/>
  <c r="CV2" i="1"/>
  <c r="BX2" i="1"/>
  <c r="BY2" i="1" s="1"/>
  <c r="BZ2" i="1" s="1"/>
  <c r="CA2" i="1" s="1"/>
  <c r="CB2" i="1" s="1"/>
  <c r="CC2" i="1" s="1"/>
  <c r="CD2" i="1" s="1"/>
  <c r="CE2" i="1" s="1"/>
  <c r="CF2" i="1" s="1"/>
  <c r="CG2" i="1" s="1"/>
  <c r="CH2" i="1" s="1"/>
  <c r="CI2" i="1" s="1"/>
  <c r="CU2" i="1" l="1"/>
  <c r="CT2" i="1"/>
  <c r="CQ2" i="1"/>
  <c r="CP2" i="1"/>
  <c r="CO2" i="1"/>
  <c r="CN2" i="1"/>
  <c r="CM2" i="1"/>
  <c r="CL2" i="1"/>
  <c r="CJ2" i="1"/>
  <c r="CS2" i="1"/>
  <c r="CR2" i="1"/>
  <c r="CK2" i="1"/>
  <c r="BV3055" i="1"/>
  <c r="BV3056" i="1"/>
  <c r="BX3055" i="1"/>
  <c r="BZ3055" i="1" s="1"/>
  <c r="CB3055" i="1" s="1"/>
  <c r="CD3055" i="1" s="1"/>
  <c r="CF3055" i="1" s="1"/>
  <c r="CN3055" i="1" s="1"/>
  <c r="CT3055" i="1"/>
  <c r="CV3055" i="1" s="1"/>
  <c r="CT3056" i="1"/>
  <c r="CV3056" i="1" s="1"/>
  <c r="CU3055" i="1"/>
  <c r="CU3056" i="1"/>
  <c r="BX3056" i="1" l="1"/>
  <c r="BZ3056" i="1" s="1"/>
  <c r="CB3056" i="1" s="1"/>
  <c r="CH3055" i="1"/>
  <c r="CL3055" i="1"/>
  <c r="CJ3055" i="1"/>
  <c r="CR3055" i="1"/>
  <c r="CP3055" i="1"/>
  <c r="CD3056" i="1" l="1"/>
  <c r="CF3056" i="1" s="1"/>
  <c r="CW3055" i="1"/>
  <c r="CW3056" i="1"/>
  <c r="CJ3056" i="1" l="1"/>
  <c r="CN3056" i="1"/>
  <c r="CL3056" i="1"/>
  <c r="CP3056" i="1"/>
  <c r="CR3056" i="1"/>
  <c r="CH3056" i="1"/>
  <c r="BU3055" i="1" l="1"/>
  <c r="BU3056" i="1"/>
  <c r="BW3055" i="1" l="1"/>
  <c r="CS3055" i="1"/>
  <c r="BW3056" i="1"/>
  <c r="CS3056" i="1"/>
  <c r="BY3056" i="1" l="1"/>
  <c r="CQ3056" i="1"/>
  <c r="BY3055" i="1"/>
  <c r="CQ3055" i="1"/>
  <c r="CA3055" i="1" l="1"/>
  <c r="CO3055" i="1"/>
  <c r="CA3056" i="1"/>
  <c r="CO3056" i="1"/>
  <c r="CC3056" i="1" l="1"/>
  <c r="CM3056" i="1"/>
  <c r="CC3055" i="1"/>
  <c r="CM3055" i="1"/>
  <c r="CE3055" i="1" l="1"/>
  <c r="CK3055" i="1"/>
  <c r="CE3056" i="1"/>
  <c r="CK3056" i="1"/>
  <c r="CG3055" i="1" l="1"/>
  <c r="CI3055" i="1"/>
  <c r="CG3056" i="1"/>
  <c r="CI3056" i="1"/>
</calcChain>
</file>

<file path=xl/sharedStrings.xml><?xml version="1.0" encoding="utf-8"?>
<sst xmlns="http://schemas.openxmlformats.org/spreadsheetml/2006/main" count="167" uniqueCount="152">
  <si>
    <t>№ п.</t>
  </si>
  <si>
    <t>Xнок, мм</t>
  </si>
  <si>
    <t>Yнок, мм</t>
  </si>
  <si>
    <t>Xкп, мм</t>
  </si>
  <si>
    <r>
      <t>a2</t>
    </r>
    <r>
      <rPr>
        <b/>
        <sz val="8"/>
        <color theme="1"/>
        <rFont val="Calibri"/>
        <family val="2"/>
        <charset val="204"/>
        <scheme val="minor"/>
      </rPr>
      <t xml:space="preserve">1, </t>
    </r>
    <r>
      <rPr>
        <b/>
        <sz val="10"/>
        <color theme="1"/>
        <rFont val="Calibri"/>
        <family val="2"/>
        <charset val="204"/>
        <scheme val="minor"/>
      </rPr>
      <t>град</t>
    </r>
  </si>
  <si>
    <r>
      <t>a2</t>
    </r>
    <r>
      <rPr>
        <b/>
        <sz val="8"/>
        <color theme="1"/>
        <rFont val="Calibri"/>
        <family val="2"/>
        <charset val="204"/>
        <scheme val="minor"/>
      </rPr>
      <t xml:space="preserve">2, </t>
    </r>
    <r>
      <rPr>
        <b/>
        <sz val="10"/>
        <color theme="1"/>
        <rFont val="Calibri"/>
        <family val="2"/>
        <charset val="204"/>
        <scheme val="minor"/>
      </rPr>
      <t>град</t>
    </r>
  </si>
  <si>
    <t>Yкп, мм</t>
  </si>
  <si>
    <t>Lкан_прям, мм</t>
  </si>
  <si>
    <t>Lкан_дуг, мм</t>
  </si>
  <si>
    <t>Lкан_леб,мм</t>
  </si>
  <si>
    <t>Xблок, мм</t>
  </si>
  <si>
    <t>Yблок,мм</t>
  </si>
  <si>
    <t>D блок,мм</t>
  </si>
  <si>
    <t>Опорн_точк,мм</t>
  </si>
  <si>
    <t>Угол_обхв, град</t>
  </si>
  <si>
    <t>Lдуг_бл, мм</t>
  </si>
  <si>
    <t>Lпрям_уч, мм</t>
  </si>
  <si>
    <t>Lкан_общ,мм</t>
  </si>
  <si>
    <t>Lкан_леб_сл, мм</t>
  </si>
  <si>
    <t>Dслой,мм</t>
  </si>
  <si>
    <t>lподв_min, мм</t>
  </si>
  <si>
    <t>Lкан_т,мм</t>
  </si>
  <si>
    <t>Кол_во перегибов</t>
  </si>
  <si>
    <r>
      <t>a2</t>
    </r>
    <r>
      <rPr>
        <sz val="8"/>
        <color theme="1"/>
        <rFont val="Calibri"/>
        <family val="2"/>
        <charset val="204"/>
        <scheme val="minor"/>
      </rPr>
      <t xml:space="preserve">1, </t>
    </r>
    <r>
      <rPr>
        <sz val="10"/>
        <color theme="1"/>
        <rFont val="Calibri"/>
        <family val="2"/>
        <charset val="204"/>
        <scheme val="minor"/>
      </rPr>
      <t>град</t>
    </r>
  </si>
  <si>
    <r>
      <t>a2</t>
    </r>
    <r>
      <rPr>
        <sz val="8"/>
        <color theme="1"/>
        <rFont val="Calibri"/>
        <family val="2"/>
        <charset val="204"/>
        <scheme val="minor"/>
      </rPr>
      <t xml:space="preserve">2, </t>
    </r>
    <r>
      <rPr>
        <sz val="10"/>
        <color theme="1"/>
        <rFont val="Calibri"/>
        <family val="2"/>
        <charset val="204"/>
        <scheme val="minor"/>
      </rPr>
      <t>град</t>
    </r>
  </si>
  <si>
    <r>
      <t>X</t>
    </r>
    <r>
      <rPr>
        <sz val="8"/>
        <color theme="1"/>
        <rFont val="Calibri"/>
        <family val="2"/>
        <charset val="204"/>
        <scheme val="minor"/>
      </rPr>
      <t>G</t>
    </r>
    <r>
      <rPr>
        <sz val="11"/>
        <color theme="1"/>
        <rFont val="Calibri"/>
        <family val="2"/>
        <charset val="204"/>
        <scheme val="minor"/>
      </rPr>
      <t>, мм</t>
    </r>
  </si>
  <si>
    <r>
      <t>Y</t>
    </r>
    <r>
      <rPr>
        <sz val="8"/>
        <color theme="1"/>
        <rFont val="Calibri"/>
        <family val="2"/>
        <charset val="204"/>
        <scheme val="minor"/>
      </rPr>
      <t>G</t>
    </r>
    <r>
      <rPr>
        <sz val="11"/>
        <color theme="1"/>
        <rFont val="Calibri"/>
        <family val="2"/>
        <charset val="204"/>
        <scheme val="minor"/>
      </rPr>
      <t>, мм</t>
    </r>
  </si>
  <si>
    <t>№стрелы</t>
  </si>
  <si>
    <t>a2min,deg</t>
  </si>
  <si>
    <t>a2max,deg</t>
  </si>
  <si>
    <t>a2ст, deg</t>
  </si>
  <si>
    <t>Lстр, мм</t>
  </si>
  <si>
    <t>№</t>
  </si>
  <si>
    <t>Dбл, мм</t>
  </si>
  <si>
    <t>Расп_бл</t>
  </si>
  <si>
    <t>Klблx</t>
  </si>
  <si>
    <t>Сх</t>
  </si>
  <si>
    <t>lбл_x,мм</t>
  </si>
  <si>
    <t>lбл_y,мм</t>
  </si>
  <si>
    <t>Вне стрелы</t>
  </si>
  <si>
    <t>A</t>
  </si>
  <si>
    <t>G</t>
  </si>
  <si>
    <t>2 Стрела</t>
  </si>
  <si>
    <t>Подвеска</t>
  </si>
  <si>
    <t>NaN</t>
  </si>
  <si>
    <t>lподв_min,мм</t>
  </si>
  <si>
    <t>mп</t>
  </si>
  <si>
    <t>aп</t>
  </si>
  <si>
    <t>∆Lлеб из за стрел</t>
  </si>
  <si>
    <t>iсл</t>
  </si>
  <si>
    <t>Столбец87</t>
  </si>
  <si>
    <t>Столбец88</t>
  </si>
  <si>
    <t>Столбец89</t>
  </si>
  <si>
    <t>Столбец90</t>
  </si>
  <si>
    <t>Столбец91</t>
  </si>
  <si>
    <t>Столбец92</t>
  </si>
  <si>
    <t>Столбец93</t>
  </si>
  <si>
    <t>Столбец94</t>
  </si>
  <si>
    <t>Столбец95</t>
  </si>
  <si>
    <t>Столбец96</t>
  </si>
  <si>
    <t>Столбец97</t>
  </si>
  <si>
    <t>Столбец98</t>
  </si>
  <si>
    <t>Столбец99</t>
  </si>
  <si>
    <t>Столбец100</t>
  </si>
  <si>
    <r>
      <t>X</t>
    </r>
    <r>
      <rPr>
        <sz val="8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, мм</t>
    </r>
  </si>
  <si>
    <r>
      <t>Y</t>
    </r>
    <r>
      <rPr>
        <sz val="8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, мм</t>
    </r>
  </si>
  <si>
    <t>X1, мм</t>
  </si>
  <si>
    <t>Y1, мм</t>
  </si>
  <si>
    <r>
      <t>X</t>
    </r>
    <r>
      <rPr>
        <sz val="8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, мм</t>
    </r>
  </si>
  <si>
    <r>
      <t>Y</t>
    </r>
    <r>
      <rPr>
        <sz val="9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, мм</t>
    </r>
  </si>
  <si>
    <r>
      <t>X</t>
    </r>
    <r>
      <rPr>
        <sz val="9"/>
        <color theme="1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>, мм</t>
    </r>
  </si>
  <si>
    <r>
      <t>Y</t>
    </r>
    <r>
      <rPr>
        <sz val="9"/>
        <color theme="1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>, мм</t>
    </r>
  </si>
  <si>
    <r>
      <t>X</t>
    </r>
    <r>
      <rPr>
        <sz val="8"/>
        <color theme="1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, мм</t>
    </r>
  </si>
  <si>
    <r>
      <t>Y</t>
    </r>
    <r>
      <rPr>
        <sz val="8"/>
        <color theme="1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, мм</t>
    </r>
  </si>
  <si>
    <r>
      <t>X</t>
    </r>
    <r>
      <rPr>
        <sz val="8"/>
        <color theme="1"/>
        <rFont val="Calibri"/>
        <family val="2"/>
        <charset val="204"/>
        <scheme val="minor"/>
      </rPr>
      <t>6</t>
    </r>
    <r>
      <rPr>
        <sz val="11"/>
        <color theme="1"/>
        <rFont val="Calibri"/>
        <family val="2"/>
        <charset val="204"/>
        <scheme val="minor"/>
      </rPr>
      <t>, мм</t>
    </r>
  </si>
  <si>
    <r>
      <t>Y</t>
    </r>
    <r>
      <rPr>
        <sz val="8"/>
        <color theme="1"/>
        <rFont val="Calibri"/>
        <family val="2"/>
        <charset val="204"/>
        <scheme val="minor"/>
      </rPr>
      <t>6</t>
    </r>
    <r>
      <rPr>
        <sz val="11"/>
        <color theme="1"/>
        <rFont val="Calibri"/>
        <family val="2"/>
        <charset val="204"/>
        <scheme val="minor"/>
      </rPr>
      <t>, мм</t>
    </r>
  </si>
  <si>
    <t>Lдуг 1,мм</t>
  </si>
  <si>
    <t>Lдуг 2,мм</t>
  </si>
  <si>
    <t>Lдуг 3,мм</t>
  </si>
  <si>
    <t>Lдуг 4,мм</t>
  </si>
  <si>
    <t>Lдуг 5,мм</t>
  </si>
  <si>
    <t>Lдуг 6,мм</t>
  </si>
  <si>
    <t>Lпрям1, мм</t>
  </si>
  <si>
    <t>Lпрям2, мм</t>
  </si>
  <si>
    <t>Lпрям3, мм</t>
  </si>
  <si>
    <t>Lпрям4, мм</t>
  </si>
  <si>
    <t>Lпрям5, мм</t>
  </si>
  <si>
    <t>Lпрям6, мм</t>
  </si>
  <si>
    <t>Угол_кан1, град</t>
  </si>
  <si>
    <t>Угол_кан2, град</t>
  </si>
  <si>
    <t>Угол_кан3, град</t>
  </si>
  <si>
    <t>Угол_кан4, град</t>
  </si>
  <si>
    <t>Угол_кан5, град</t>
  </si>
  <si>
    <t>Угол_кан6, град</t>
  </si>
  <si>
    <t>Xсход</t>
  </si>
  <si>
    <t>Xсход2</t>
  </si>
  <si>
    <t>Xсход3</t>
  </si>
  <si>
    <t>Xсход4</t>
  </si>
  <si>
    <t>Xсход5</t>
  </si>
  <si>
    <t>Xсход6</t>
  </si>
  <si>
    <t>Yсход</t>
  </si>
  <si>
    <t>Yсход2</t>
  </si>
  <si>
    <t>Yсход3</t>
  </si>
  <si>
    <t>Yсход4</t>
  </si>
  <si>
    <t>Yсход5</t>
  </si>
  <si>
    <t>Yсход6</t>
  </si>
  <si>
    <t>Xвход</t>
  </si>
  <si>
    <t>Xвход2</t>
  </si>
  <si>
    <t>Xвход3</t>
  </si>
  <si>
    <t>Xвход4</t>
  </si>
  <si>
    <t>Xвход5</t>
  </si>
  <si>
    <t>Xвход6</t>
  </si>
  <si>
    <t>Yвход</t>
  </si>
  <si>
    <t>Yвход2</t>
  </si>
  <si>
    <t>Yвход3</t>
  </si>
  <si>
    <t>Yвход4</t>
  </si>
  <si>
    <t>Yвход5</t>
  </si>
  <si>
    <t>Yвход6</t>
  </si>
  <si>
    <t>угол обхв</t>
  </si>
  <si>
    <t>угол обхв2</t>
  </si>
  <si>
    <t>угол обхв3</t>
  </si>
  <si>
    <t>угол обхв4</t>
  </si>
  <si>
    <t>угол обхв5</t>
  </si>
  <si>
    <t>угол обхв6</t>
  </si>
  <si>
    <t>Т1</t>
  </si>
  <si>
    <t>Т2</t>
  </si>
  <si>
    <t>Т3</t>
  </si>
  <si>
    <t>Т4</t>
  </si>
  <si>
    <t>Т5</t>
  </si>
  <si>
    <t>Т6</t>
  </si>
  <si>
    <t>Т7</t>
  </si>
  <si>
    <t>Т8</t>
  </si>
  <si>
    <t>Т9</t>
  </si>
  <si>
    <t>Т10</t>
  </si>
  <si>
    <t>Т11</t>
  </si>
  <si>
    <t>Т12</t>
  </si>
  <si>
    <t>Т13</t>
  </si>
  <si>
    <t>Т14</t>
  </si>
  <si>
    <t>Т15</t>
  </si>
  <si>
    <t>Т16</t>
  </si>
  <si>
    <t>Т17</t>
  </si>
  <si>
    <t>Т18</t>
  </si>
  <si>
    <t>Т19</t>
  </si>
  <si>
    <t>Т20</t>
  </si>
  <si>
    <t>Т21</t>
  </si>
  <si>
    <t>Т22</t>
  </si>
  <si>
    <t>Т23</t>
  </si>
  <si>
    <t>Т24</t>
  </si>
  <si>
    <t>Суммарная длина каната</t>
  </si>
  <si>
    <t>∆Lлеб нужно принудительно стравить чтобы обеспечить hmin</t>
  </si>
  <si>
    <t>ΔLстр, мм</t>
  </si>
  <si>
    <t>Lстр_min, мм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</si>
</sst>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7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64" fontId="5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/>
    </xf>
    <xf numFmtId="2" fontId="3" fillId="0" borderId="0" xfId="0" applyNumberFormat="1" applyFont="1" applyFill="1" applyBorder="1" applyAlignment="1">
      <alignment horizontal="center"/>
    </xf>
    <xf numFmtId="164" fontId="3" fillId="0" borderId="0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center"/>
    </xf>
    <xf numFmtId="2" fontId="11" fillId="0" borderId="0" xfId="0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0" fontId="12" fillId="0" borderId="7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12" fillId="6" borderId="8" xfId="0" applyFont="1" applyFill="1" applyBorder="1" applyAlignment="1">
      <alignment horizontal="center" vertical="center" wrapText="1"/>
    </xf>
    <xf numFmtId="0" fontId="12" fillId="6" borderId="9" xfId="0" applyFont="1" applyFill="1" applyBorder="1" applyAlignment="1">
      <alignment horizontal="center" vertical="center" wrapText="1"/>
    </xf>
    <xf numFmtId="0" fontId="12" fillId="6" borderId="10" xfId="0" applyFont="1" applyFill="1" applyBorder="1" applyAlignment="1">
      <alignment horizontal="center" vertical="center" wrapText="1"/>
    </xf>
    <xf numFmtId="0" fontId="12" fillId="2" borderId="8" xfId="0" applyFont="1" applyFill="1" applyBorder="1" applyAlignment="1">
      <alignment horizontal="center" vertical="center" wrapText="1"/>
    </xf>
    <xf numFmtId="0" fontId="12" fillId="2" borderId="9" xfId="0" applyFont="1" applyFill="1" applyBorder="1" applyAlignment="1">
      <alignment horizontal="center" vertical="center" wrapText="1"/>
    </xf>
    <xf numFmtId="0" fontId="12" fillId="2" borderId="10" xfId="0" applyFont="1" applyFill="1" applyBorder="1" applyAlignment="1">
      <alignment horizontal="center" vertical="center" wrapText="1"/>
    </xf>
    <xf numFmtId="0" fontId="12" fillId="7" borderId="8" xfId="0" applyFont="1" applyFill="1" applyBorder="1" applyAlignment="1">
      <alignment horizontal="center" vertical="center" wrapText="1"/>
    </xf>
    <xf numFmtId="0" fontId="12" fillId="7" borderId="11" xfId="0" applyFont="1" applyFill="1" applyBorder="1" applyAlignment="1">
      <alignment horizontal="center" vertical="center" wrapText="1"/>
    </xf>
    <xf numFmtId="0" fontId="12" fillId="7" borderId="12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164" fontId="5" fillId="0" borderId="4" xfId="0" applyNumberFormat="1" applyFon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12" fillId="2" borderId="15" xfId="0" applyFont="1" applyFill="1" applyBorder="1" applyAlignment="1">
      <alignment horizontal="center" vertical="center" wrapText="1"/>
    </xf>
    <xf numFmtId="0" fontId="12" fillId="8" borderId="15" xfId="0" applyFont="1" applyFill="1" applyBorder="1" applyAlignment="1">
      <alignment horizontal="center" vertical="center" wrapText="1"/>
    </xf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3" fillId="0" borderId="5" xfId="0" applyNumberFormat="1" applyFont="1" applyFill="1" applyBorder="1" applyAlignment="1">
      <alignment horizontal="center"/>
    </xf>
    <xf numFmtId="0" fontId="12" fillId="9" borderId="8" xfId="0" applyFont="1" applyFill="1" applyBorder="1" applyAlignment="1">
      <alignment horizontal="center" vertical="center" wrapText="1"/>
    </xf>
    <xf numFmtId="0" fontId="12" fillId="9" borderId="9" xfId="0" applyFont="1" applyFill="1" applyBorder="1" applyAlignment="1">
      <alignment horizontal="center" vertical="center" wrapText="1"/>
    </xf>
    <xf numFmtId="0" fontId="12" fillId="9" borderId="10" xfId="0" applyFont="1" applyFill="1" applyBorder="1" applyAlignment="1">
      <alignment horizontal="center" vertical="center" wrapText="1"/>
    </xf>
    <xf numFmtId="0" fontId="3" fillId="0" borderId="4" xfId="0" applyNumberFormat="1" applyFont="1" applyFill="1" applyBorder="1" applyAlignment="1">
      <alignment horizontal="center"/>
    </xf>
    <xf numFmtId="0" fontId="11" fillId="0" borderId="4" xfId="0" applyNumberFormat="1" applyFont="1" applyFill="1" applyBorder="1" applyAlignment="1">
      <alignment horizontal="center"/>
    </xf>
    <xf numFmtId="0" fontId="11" fillId="0" borderId="5" xfId="0" applyNumberFormat="1" applyFont="1" applyFill="1" applyBorder="1" applyAlignment="1">
      <alignment horizontal="center"/>
    </xf>
    <xf numFmtId="0" fontId="14" fillId="2" borderId="10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/>
    </xf>
    <xf numFmtId="0" fontId="15" fillId="0" borderId="5" xfId="0" applyFont="1" applyFill="1" applyBorder="1" applyAlignment="1">
      <alignment horizontal="center"/>
    </xf>
    <xf numFmtId="0" fontId="15" fillId="10" borderId="4" xfId="0" applyFont="1" applyFill="1" applyBorder="1" applyAlignment="1">
      <alignment horizontal="center"/>
    </xf>
    <xf numFmtId="0" fontId="15" fillId="10" borderId="0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15" fillId="0" borderId="0" xfId="0" applyFont="1"/>
    <xf numFmtId="1" fontId="15" fillId="0" borderId="4" xfId="0" applyNumberFormat="1" applyFont="1" applyFill="1" applyBorder="1" applyAlignment="1">
      <alignment horizontal="center"/>
    </xf>
    <xf numFmtId="1" fontId="0" fillId="0" borderId="4" xfId="0" applyNumberFormat="1" applyFont="1" applyFill="1" applyBorder="1" applyAlignment="1">
      <alignment horizontal="center"/>
    </xf>
    <xf numFmtId="1" fontId="5" fillId="0" borderId="4" xfId="0" applyNumberFormat="1" applyFont="1" applyFill="1" applyBorder="1" applyAlignment="1">
      <alignment horizontal="center"/>
    </xf>
    <xf numFmtId="1" fontId="15" fillId="0" borderId="0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" fontId="5" fillId="0" borderId="0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16" fillId="3" borderId="1" xfId="0" applyFont="1" applyFill="1" applyBorder="1" applyAlignment="1">
      <alignment horizontal="center"/>
    </xf>
    <xf numFmtId="0" fontId="0" fillId="9" borderId="1" xfId="0" applyFon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0" fillId="9" borderId="1" xfId="0" quotePrefix="1" applyFill="1" applyBorder="1" applyAlignment="1">
      <alignment horizontal="center"/>
    </xf>
  </cellXfs>
  <cellStyles count="1">
    <cellStyle name="Обычный" xfId="0" builtinId="0"/>
  </cellStyles>
  <dxfs count="139"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auto="1"/>
        </top>
        <bottom style="medium">
          <color auto="1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114300</xdr:rowOff>
    </xdr:from>
    <xdr:to>
      <xdr:col>12</xdr:col>
      <xdr:colOff>922420</xdr:colOff>
      <xdr:row>37</xdr:row>
      <xdr:rowOff>142300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781300"/>
          <a:ext cx="12038095" cy="4600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Таблица1" displayName="Таблица1" ref="A1:DK3056" totalsRowShown="0" headerRowDxfId="138" dataDxfId="136" headerRowBorderDxfId="137" tableBorderDxfId="135" totalsRowBorderDxfId="134">
  <autoFilter ref="A1:DK3056"/>
  <tableColumns count="115">
    <tableColumn id="1" name="№ п." dataDxfId="133"/>
    <tableColumn id="2" name="a21, град" dataDxfId="132"/>
    <tableColumn id="3" name="a22, град" dataDxfId="131"/>
    <tableColumn id="4" name="Xнок, мм" dataDxfId="130"/>
    <tableColumn id="5" name="Yнок, мм" dataDxfId="129"/>
    <tableColumn id="6" name="XG, мм" dataDxfId="128"/>
    <tableColumn id="7" name="YG, мм" dataDxfId="127"/>
    <tableColumn id="8" name="Xкп, мм" dataDxfId="126"/>
    <tableColumn id="9" name="Yкп, мм" dataDxfId="125"/>
    <tableColumn id="10" name="lподв_min, мм" dataDxfId="124"/>
    <tableColumn id="11" name="Lкан_прям, мм" dataDxfId="123"/>
    <tableColumn id="12" name="Lкан_дуг, мм" dataDxfId="122"/>
    <tableColumn id="13" name="Lкан_леб,мм" dataDxfId="121"/>
    <tableColumn id="14" name="∆Lлеб из за стрел" dataDxfId="120"/>
    <tableColumn id="15" name="iсл" dataDxfId="119"/>
    <tableColumn id="16" name="X1, мм" dataDxfId="118"/>
    <tableColumn id="17" name="Y1, мм" dataDxfId="117"/>
    <tableColumn id="18" name="X2, мм" dataDxfId="116"/>
    <tableColumn id="19" name="Y2, мм" dataDxfId="115"/>
    <tableColumn id="20" name="X3, мм" dataDxfId="114"/>
    <tableColumn id="21" name="Y3, мм" dataDxfId="113"/>
    <tableColumn id="22" name="X4, мм" dataDxfId="112"/>
    <tableColumn id="23" name="Y4, мм" dataDxfId="111"/>
    <tableColumn id="24" name="X5, мм" dataDxfId="110"/>
    <tableColumn id="25" name="Y5, мм" dataDxfId="109"/>
    <tableColumn id="26" name="X6, мм" dataDxfId="108"/>
    <tableColumn id="27" name="Y6, мм" dataDxfId="107"/>
    <tableColumn id="28" name="Lдуг 1,мм" dataDxfId="106"/>
    <tableColumn id="29" name="Lдуг 2,мм" dataDxfId="105"/>
    <tableColumn id="30" name="Lдуг 3,мм" dataDxfId="104"/>
    <tableColumn id="31" name="Lдуг 4,мм" dataDxfId="103"/>
    <tableColumn id="32" name="Lдуг 5,мм" dataDxfId="102"/>
    <tableColumn id="33" name="Lдуг 6,мм" dataDxfId="101"/>
    <tableColumn id="34" name="Lпрям1, мм" dataDxfId="100"/>
    <tableColumn id="35" name="Lпрям2, мм" dataDxfId="99"/>
    <tableColumn id="36" name="Lпрям3, мм" dataDxfId="98"/>
    <tableColumn id="37" name="Lпрям4, мм" dataDxfId="97"/>
    <tableColumn id="38" name="Lпрям5, мм" dataDxfId="96"/>
    <tableColumn id="39" name="Lпрям6, мм" dataDxfId="95"/>
    <tableColumn id="40" name="Угол_кан1, град" dataDxfId="94"/>
    <tableColumn id="41" name="Угол_кан2, град" dataDxfId="93"/>
    <tableColumn id="42" name="Угол_кан3, град" dataDxfId="92"/>
    <tableColumn id="43" name="Угол_кан4, град" dataDxfId="91"/>
    <tableColumn id="44" name="Угол_кан5, град" dataDxfId="90"/>
    <tableColumn id="45" name="Угол_кан6, град" dataDxfId="89"/>
    <tableColumn id="46" name="Xсход" dataDxfId="88"/>
    <tableColumn id="47" name="Xсход2" dataDxfId="87"/>
    <tableColumn id="48" name="Xсход3" dataDxfId="86"/>
    <tableColumn id="49" name="Xсход4" dataDxfId="85"/>
    <tableColumn id="50" name="Xсход5" dataDxfId="84"/>
    <tableColumn id="51" name="Xсход6" dataDxfId="83"/>
    <tableColumn id="52" name="Yсход" dataDxfId="82"/>
    <tableColumn id="53" name="Yсход2" dataDxfId="81"/>
    <tableColumn id="54" name="Yсход3" dataDxfId="80"/>
    <tableColumn id="55" name="Yсход4" dataDxfId="79"/>
    <tableColumn id="56" name="Yсход5" dataDxfId="78"/>
    <tableColumn id="57" name="Yсход6" dataDxfId="77"/>
    <tableColumn id="58" name="Xвход" dataDxfId="76"/>
    <tableColumn id="59" name="Xвход2" dataDxfId="75"/>
    <tableColumn id="60" name="Xвход3" dataDxfId="74"/>
    <tableColumn id="61" name="Xвход4" dataDxfId="73"/>
    <tableColumn id="62" name="Xвход5" dataDxfId="72"/>
    <tableColumn id="63" name="Xвход6" dataDxfId="71"/>
    <tableColumn id="64" name="Yвход" dataDxfId="70"/>
    <tableColumn id="65" name="Yвход2" dataDxfId="69"/>
    <tableColumn id="66" name="Yвход3" dataDxfId="68"/>
    <tableColumn id="67" name="Yвход4" dataDxfId="67"/>
    <tableColumn id="68" name="Yвход5" dataDxfId="66"/>
    <tableColumn id="69" name="Yвход6" dataDxfId="65"/>
    <tableColumn id="70" name="угол обхв" dataDxfId="64"/>
    <tableColumn id="71" name="угол обхв2" dataDxfId="63"/>
    <tableColumn id="97" name="угол обхв3" dataDxfId="62"/>
    <tableColumn id="72" name="угол обхв4" dataDxfId="61">
      <calculatedColumnFormula>Таблица1[[#This Row],[Lкан_леб,мм]]</calculatedColumnFormula>
    </tableColumn>
    <tableColumn id="73" name="угол обхв5" dataDxfId="60">
      <calculatedColumnFormula>Таблица1[[#This Row],[Lкан_леб,мм]]</calculatedColumnFormula>
    </tableColumn>
    <tableColumn id="74" name="угол обхв6" dataDxfId="59">
      <calculatedColumnFormula>Таблица1[[#This Row],[угол обхв4]]+Таблица1[[#This Row],[Lдуг 3,мм]]</calculatedColumnFormula>
    </tableColumn>
    <tableColumn id="75" name="Т1" dataDxfId="58">
      <calculatedColumnFormula>Таблица1[[#This Row],[угол обхв5]]+Таблица1[[#This Row],[Y5, мм]]</calculatedColumnFormula>
    </tableColumn>
    <tableColumn id="76" name="Т2" dataDxfId="57">
      <calculatedColumnFormula>Таблица1[[#This Row],[угол обхв6]]+Таблица1[[#This Row],[Lдуг 4,мм]]</calculatedColumnFormula>
    </tableColumn>
    <tableColumn id="77" name="Т3" dataDxfId="56">
      <calculatedColumnFormula>Таблица1[[#This Row],[Т1]]+Таблица1[[#This Row],[X6, мм]]</calculatedColumnFormula>
    </tableColumn>
    <tableColumn id="78" name="Т4" dataDxfId="55">
      <calculatedColumnFormula>Таблица1[[#This Row],[Т2]]+Таблица1[[#This Row],[Lдуг 5,мм]]</calculatedColumnFormula>
    </tableColumn>
    <tableColumn id="79" name="Т5" dataDxfId="54">
      <calculatedColumnFormula>Таблица1[[#This Row],[Т3]]+Таблица1[[#This Row],[Y6, мм]]</calculatedColumnFormula>
    </tableColumn>
    <tableColumn id="80" name="Т6" dataDxfId="53">
      <calculatedColumnFormula>Таблица1[[#This Row],[Т4]]+Таблица1[[#This Row],[Lдуг 6,мм]]</calculatedColumnFormula>
    </tableColumn>
    <tableColumn id="81" name="Т7" dataDxfId="52">
      <calculatedColumnFormula>Таблица1[[#This Row],[Т5]]+Таблица1[[#This Row],[Lдуг 1,мм]]</calculatedColumnFormula>
    </tableColumn>
    <tableColumn id="82" name="Т8" dataDxfId="51">
      <calculatedColumnFormula>Таблица1[[#This Row],[Т6]]+Таблица1[[#This Row],[Lпрям1, мм]]</calculatedColumnFormula>
    </tableColumn>
    <tableColumn id="83" name="Т9" dataDxfId="50">
      <calculatedColumnFormula>Таблица1[[#This Row],[Т7]]+Таблица1[[#This Row],[Lдуг 2,мм]]</calculatedColumnFormula>
    </tableColumn>
    <tableColumn id="84" name="Т10" dataDxfId="49">
      <calculatedColumnFormula>Таблица1[[#This Row],[Т8]]+Таблица1[[#This Row],[Lпрям2, мм]]</calculatedColumnFormula>
    </tableColumn>
    <tableColumn id="85" name="Т11" dataDxfId="48">
      <calculatedColumnFormula>Таблица1[[#This Row],[Т9]]-Таблица1[[#This Row],[Т9]]</calculatedColumnFormula>
    </tableColumn>
    <tableColumn id="86" name="Т12" dataDxfId="47">
      <calculatedColumnFormula>Таблица1[[#This Row],[Т9]]-Таблица1[[#This Row],[Т8]]</calculatedColumnFormula>
    </tableColumn>
    <tableColumn id="87" name="Т13" dataDxfId="46">
      <calculatedColumnFormula>Таблица1[[#This Row],[Т9]]-Таблица1[[#This Row],[Т7]]</calculatedColumnFormula>
    </tableColumn>
    <tableColumn id="88" name="Т14" dataDxfId="45">
      <calculatedColumnFormula>Таблица1[[#This Row],[Т9]]-Таблица1[[#This Row],[Т6]]</calculatedColumnFormula>
    </tableColumn>
    <tableColumn id="89" name="Т15" dataDxfId="44">
      <calculatedColumnFormula>Таблица1[[#This Row],[Т9]]-Таблица1[[#This Row],[Т5]]</calculatedColumnFormula>
    </tableColumn>
    <tableColumn id="90" name="Т16" dataDxfId="43">
      <calculatedColumnFormula>Таблица1[[#This Row],[Т9]]-Таблица1[[#This Row],[Т4]]</calculatedColumnFormula>
    </tableColumn>
    <tableColumn id="91" name="Т17" dataDxfId="42">
      <calculatedColumnFormula>Таблица1[[#This Row],[Т9]]-Таблица1[[#This Row],[Т3]]</calculatedColumnFormula>
    </tableColumn>
    <tableColumn id="92" name="Т18" dataDxfId="41">
      <calculatedColumnFormula>Таблица1[[#This Row],[Т9]]-Таблица1[[#This Row],[Т2]]</calculatedColumnFormula>
    </tableColumn>
    <tableColumn id="93" name="Т19" dataDxfId="40">
      <calculatedColumnFormula>Таблица1[[#This Row],[Т9]]-Таблица1[[#This Row],[Т1]]</calculatedColumnFormula>
    </tableColumn>
    <tableColumn id="94" name="Т20" dataDxfId="39">
      <calculatedColumnFormula>Таблица1[[#This Row],[Т9]]-Таблица1[[#This Row],[угол обхв6]]</calculatedColumnFormula>
    </tableColumn>
    <tableColumn id="95" name="Т21" dataDxfId="38">
      <calculatedColumnFormula>Таблица1[[#This Row],[Т9]]-Таблица1[[#This Row],[угол обхв5]]</calculatedColumnFormula>
    </tableColumn>
    <tableColumn id="96" name="Т22" dataDxfId="37">
      <calculatedColumnFormula>Таблица1[[#This Row],[Т9]]-Таблица1[[#This Row],[угол обхв4]]</calculatedColumnFormula>
    </tableColumn>
    <tableColumn id="98" name="Т23" dataDxfId="36">
      <calculatedColumnFormula>Таблица1[[#This Row],[Lкан_прям, мм]]+Таблица1[[#This Row],[Lкан_дуг, мм]]+Таблица1[[#This Row],[Lкан_леб,мм]]</calculatedColumnFormula>
    </tableColumn>
    <tableColumn id="99" name="Т24" dataDxfId="35">
      <calculatedColumnFormula>Таблица1[[#This Row],[Lкан_леб,мм]]</calculatedColumnFormula>
    </tableColumn>
    <tableColumn id="100" name="Суммарная длина каната" dataDxfId="34">
      <calculatedColumnFormula>2534431-(Таблица1[[#This Row],[Т23]]+Таблица1[[#This Row],[угол обхв3]])</calculatedColumnFormula>
    </tableColumn>
    <tableColumn id="101" name="∆Lлеб нужно принудительно стравить чтобы обеспечить hmin" dataDxfId="33">
      <calculatedColumnFormula>CV441-Таблица1[[#This Row],[Суммарная длина каната]]</calculatedColumnFormula>
    </tableColumn>
    <tableColumn id="102" name="Столбец87" dataDxfId="32"/>
    <tableColumn id="103" name="Столбец88" dataDxfId="31"/>
    <tableColumn id="104" name="Столбец89" dataDxfId="30"/>
    <tableColumn id="105" name="Столбец90" dataDxfId="29"/>
    <tableColumn id="106" name="Столбец91" dataDxfId="28"/>
    <tableColumn id="107" name="Столбец92" dataDxfId="27"/>
    <tableColumn id="108" name="Столбец93" dataDxfId="26"/>
    <tableColumn id="109" name="Столбец94" dataDxfId="25"/>
    <tableColumn id="110" name="Столбец95" dataDxfId="24"/>
    <tableColumn id="111" name="Столбец96" dataDxfId="23"/>
    <tableColumn id="112" name="Столбец97" dataDxfId="22"/>
    <tableColumn id="113" name="Столбец98" dataDxfId="21"/>
    <tableColumn id="114" name="Столбец99" dataDxfId="20"/>
    <tableColumn id="115" name="Столбец100" dataDxfId="1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A1:Q13" totalsRowShown="0" headerRowDxfId="18" dataDxfId="17">
  <autoFilter ref="A1:Q13"/>
  <tableColumns count="17">
    <tableColumn id="1" name="Xблок, мм" dataDxfId="16"/>
    <tableColumn id="2" name="Yблок,мм" dataDxfId="15"/>
    <tableColumn id="3" name="D блок,мм" dataDxfId="14"/>
    <tableColumn id="4" name="Опорн_точк,мм" dataDxfId="13"/>
    <tableColumn id="5" name="Угол_обхв, град" dataDxfId="12"/>
    <tableColumn id="6" name="Lдуг_бл, мм" dataDxfId="11"/>
    <tableColumn id="7" name="Lпрям_уч, мм" dataDxfId="10"/>
    <tableColumn id="8" name="lподв_min, мм" dataDxfId="9"/>
    <tableColumn id="9" name="Lкан_прям, мм" dataDxfId="8"/>
    <tableColumn id="10" name="Lкан_дуг, мм" dataDxfId="7"/>
    <tableColumn id="11" name="Lкан_леб,мм" dataDxfId="6"/>
    <tableColumn id="12" name="Lкан_общ,мм" dataDxfId="5"/>
    <tableColumn id="13" name="Lкан_леб_сл, мм" dataDxfId="4"/>
    <tableColumn id="14" name="Dслой,мм" dataDxfId="3"/>
    <tableColumn id="15" name="a21, град" dataDxfId="2"/>
    <tableColumn id="16" name="a22, град" dataDxfId="1"/>
    <tableColumn id="17" name="№ п.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K3056"/>
  <sheetViews>
    <sheetView tabSelected="1" topLeftCell="A111" zoomScale="55" zoomScaleNormal="55" workbookViewId="0">
      <selection activeCell="L164" sqref="L164"/>
    </sheetView>
  </sheetViews>
  <sheetFormatPr defaultRowHeight="15" x14ac:dyDescent="0.25"/>
  <cols>
    <col min="1" max="1" width="10.140625" style="21" bestFit="1" customWidth="1"/>
    <col min="2" max="3" width="13" style="10" bestFit="1" customWidth="1"/>
    <col min="4" max="4" width="10.7109375" style="10" customWidth="1"/>
    <col min="5" max="5" width="10.5703125" style="10" customWidth="1"/>
    <col min="6" max="7" width="11.7109375" style="10" bestFit="1" customWidth="1"/>
    <col min="8" max="8" width="9.85546875" style="10" customWidth="1"/>
    <col min="9" max="9" width="10" style="10" customWidth="1"/>
    <col min="10" max="10" width="15.140625" style="10" customWidth="1"/>
    <col min="11" max="13" width="12.85546875" style="10" customWidth="1"/>
    <col min="14" max="14" width="8.140625" style="10" customWidth="1"/>
    <col min="15" max="15" width="10.42578125" style="10" customWidth="1"/>
    <col min="16" max="16" width="9.85546875" style="21" customWidth="1"/>
    <col min="17" max="17" width="10.42578125" style="10" customWidth="1"/>
    <col min="18" max="18" width="11.28515625" style="10" customWidth="1"/>
    <col min="19" max="19" width="8" style="10" customWidth="1"/>
    <col min="20" max="20" width="9.85546875" style="10" customWidth="1"/>
    <col min="21" max="21" width="8.42578125" style="10" customWidth="1"/>
    <col min="22" max="22" width="10.42578125" style="10" customWidth="1"/>
    <col min="23" max="23" width="7.42578125" style="10" customWidth="1"/>
    <col min="24" max="26" width="9.28515625" style="10" bestFit="1" customWidth="1"/>
    <col min="27" max="27" width="9.28515625" style="27" bestFit="1" customWidth="1"/>
    <col min="28" max="28" width="9.28515625" style="21" bestFit="1" customWidth="1"/>
    <col min="29" max="32" width="9.28515625" style="10" bestFit="1" customWidth="1"/>
    <col min="33" max="33" width="9.28515625" style="27" bestFit="1" customWidth="1"/>
    <col min="34" max="34" width="9.28515625" style="21" bestFit="1" customWidth="1"/>
    <col min="35" max="38" width="9.28515625" style="10" bestFit="1" customWidth="1"/>
    <col min="39" max="39" width="9.28515625" style="27" bestFit="1" customWidth="1"/>
    <col min="40" max="40" width="9.28515625" style="21" bestFit="1" customWidth="1"/>
    <col min="41" max="42" width="9.28515625" style="10" bestFit="1" customWidth="1"/>
    <col min="43" max="43" width="12.28515625" style="10" bestFit="1" customWidth="1"/>
    <col min="44" max="44" width="9.28515625" style="10" bestFit="1" customWidth="1"/>
    <col min="45" max="45" width="9.28515625" style="27" bestFit="1" customWidth="1"/>
    <col min="46" max="46" width="9.28515625" style="21" bestFit="1" customWidth="1"/>
    <col min="47" max="50" width="9.28515625" style="10" bestFit="1" customWidth="1"/>
    <col min="51" max="51" width="9.28515625" style="27" bestFit="1" customWidth="1"/>
    <col min="52" max="52" width="9.28515625" style="21" bestFit="1" customWidth="1"/>
    <col min="53" max="56" width="9.28515625" style="10" bestFit="1" customWidth="1"/>
    <col min="57" max="57" width="9.28515625" style="27" bestFit="1" customWidth="1"/>
    <col min="58" max="58" width="9.28515625" style="21" bestFit="1" customWidth="1"/>
    <col min="59" max="62" width="9.28515625" style="10" bestFit="1" customWidth="1"/>
    <col min="63" max="63" width="9.28515625" style="27" bestFit="1" customWidth="1"/>
    <col min="64" max="64" width="9.28515625" style="21" bestFit="1" customWidth="1"/>
    <col min="65" max="68" width="9.28515625" style="10" bestFit="1" customWidth="1"/>
    <col min="69" max="69" width="9.28515625" style="27" bestFit="1" customWidth="1"/>
    <col min="70" max="70" width="9.28515625" style="21" bestFit="1" customWidth="1"/>
    <col min="71" max="71" width="9.28515625" style="10" customWidth="1"/>
    <col min="72" max="72" width="16" style="10" bestFit="1" customWidth="1"/>
    <col min="73" max="74" width="9.28515625" style="10" bestFit="1" customWidth="1"/>
    <col min="75" max="75" width="9.28515625" style="27" bestFit="1" customWidth="1"/>
    <col min="76" max="76" width="10" style="21" customWidth="1"/>
    <col min="77" max="83" width="9.140625" style="10"/>
    <col min="84" max="84" width="8.7109375" style="10" bestFit="1" customWidth="1"/>
    <col min="85" max="86" width="9.140625" style="10"/>
    <col min="87" max="87" width="9.140625" style="27"/>
    <col min="88" max="88" width="9.140625" style="21"/>
    <col min="89" max="96" width="9.140625" style="10"/>
    <col min="97" max="97" width="13" style="10" bestFit="1" customWidth="1"/>
    <col min="98" max="98" width="9.140625" style="12"/>
    <col min="99" max="99" width="13.5703125" style="10" customWidth="1"/>
    <col min="100" max="100" width="11.140625" style="10" customWidth="1"/>
    <col min="101" max="101" width="9.140625" style="27"/>
    <col min="102" max="16384" width="9.140625" style="10"/>
  </cols>
  <sheetData>
    <row r="1" spans="1:115" s="26" customFormat="1" ht="54.75" thickBot="1" x14ac:dyDescent="0.3">
      <c r="A1" s="22" t="s">
        <v>0</v>
      </c>
      <c r="B1" s="23" t="s">
        <v>23</v>
      </c>
      <c r="C1" s="23" t="s">
        <v>24</v>
      </c>
      <c r="D1" s="23" t="s">
        <v>1</v>
      </c>
      <c r="E1" s="23" t="s">
        <v>2</v>
      </c>
      <c r="F1" s="23" t="s">
        <v>25</v>
      </c>
      <c r="G1" s="23" t="s">
        <v>26</v>
      </c>
      <c r="H1" s="23" t="s">
        <v>3</v>
      </c>
      <c r="I1" s="23" t="s">
        <v>6</v>
      </c>
      <c r="J1" s="24" t="s">
        <v>20</v>
      </c>
      <c r="K1" s="24" t="s">
        <v>7</v>
      </c>
      <c r="L1" s="24" t="s">
        <v>8</v>
      </c>
      <c r="M1" s="24" t="s">
        <v>9</v>
      </c>
      <c r="N1" s="25" t="s">
        <v>48</v>
      </c>
      <c r="O1" s="38" t="s">
        <v>49</v>
      </c>
      <c r="P1" s="39" t="s">
        <v>66</v>
      </c>
      <c r="Q1" s="40" t="s">
        <v>67</v>
      </c>
      <c r="R1" s="40" t="s">
        <v>64</v>
      </c>
      <c r="S1" s="40" t="s">
        <v>65</v>
      </c>
      <c r="T1" s="40" t="s">
        <v>68</v>
      </c>
      <c r="U1" s="41" t="s">
        <v>69</v>
      </c>
      <c r="V1" s="41" t="s">
        <v>70</v>
      </c>
      <c r="W1" s="41" t="s">
        <v>71</v>
      </c>
      <c r="X1" s="41" t="s">
        <v>72</v>
      </c>
      <c r="Y1" s="41" t="s">
        <v>73</v>
      </c>
      <c r="Z1" s="41" t="s">
        <v>74</v>
      </c>
      <c r="AA1" s="42" t="s">
        <v>75</v>
      </c>
      <c r="AB1" s="28" t="s">
        <v>76</v>
      </c>
      <c r="AC1" s="29" t="s">
        <v>77</v>
      </c>
      <c r="AD1" s="29" t="s">
        <v>78</v>
      </c>
      <c r="AE1" s="29" t="s">
        <v>79</v>
      </c>
      <c r="AF1" s="29" t="s">
        <v>80</v>
      </c>
      <c r="AG1" s="30" t="s">
        <v>81</v>
      </c>
      <c r="AH1" s="31" t="s">
        <v>82</v>
      </c>
      <c r="AI1" s="32" t="s">
        <v>83</v>
      </c>
      <c r="AJ1" s="32" t="s">
        <v>84</v>
      </c>
      <c r="AK1" s="32" t="s">
        <v>85</v>
      </c>
      <c r="AL1" s="32" t="s">
        <v>86</v>
      </c>
      <c r="AM1" s="33" t="s">
        <v>87</v>
      </c>
      <c r="AN1" s="34" t="s">
        <v>88</v>
      </c>
      <c r="AO1" s="35" t="s">
        <v>89</v>
      </c>
      <c r="AP1" s="35" t="s">
        <v>90</v>
      </c>
      <c r="AQ1" s="35" t="s">
        <v>91</v>
      </c>
      <c r="AR1" s="35" t="s">
        <v>92</v>
      </c>
      <c r="AS1" s="36" t="s">
        <v>93</v>
      </c>
      <c r="AT1" s="31" t="s">
        <v>94</v>
      </c>
      <c r="AU1" s="31" t="s">
        <v>95</v>
      </c>
      <c r="AV1" s="31" t="s">
        <v>96</v>
      </c>
      <c r="AW1" s="31" t="s">
        <v>97</v>
      </c>
      <c r="AX1" s="31" t="s">
        <v>98</v>
      </c>
      <c r="AY1" s="46" t="s">
        <v>99</v>
      </c>
      <c r="AZ1" s="37" t="s">
        <v>100</v>
      </c>
      <c r="BA1" s="37" t="s">
        <v>101</v>
      </c>
      <c r="BB1" s="37" t="s">
        <v>102</v>
      </c>
      <c r="BC1" s="37" t="s">
        <v>103</v>
      </c>
      <c r="BD1" s="37" t="s">
        <v>104</v>
      </c>
      <c r="BE1" s="47" t="s">
        <v>105</v>
      </c>
      <c r="BF1" s="31" t="s">
        <v>106</v>
      </c>
      <c r="BG1" s="31" t="s">
        <v>107</v>
      </c>
      <c r="BH1" s="31" t="s">
        <v>108</v>
      </c>
      <c r="BI1" s="31" t="s">
        <v>109</v>
      </c>
      <c r="BJ1" s="31" t="s">
        <v>110</v>
      </c>
      <c r="BK1" s="46" t="s">
        <v>111</v>
      </c>
      <c r="BL1" s="37" t="s">
        <v>112</v>
      </c>
      <c r="BM1" s="37" t="s">
        <v>113</v>
      </c>
      <c r="BN1" s="37" t="s">
        <v>114</v>
      </c>
      <c r="BO1" s="37" t="s">
        <v>115</v>
      </c>
      <c r="BP1" s="37" t="s">
        <v>116</v>
      </c>
      <c r="BQ1" s="47" t="s">
        <v>117</v>
      </c>
      <c r="BR1" s="31" t="s">
        <v>118</v>
      </c>
      <c r="BS1" s="31" t="s">
        <v>119</v>
      </c>
      <c r="BT1" s="31" t="s">
        <v>120</v>
      </c>
      <c r="BU1" s="31" t="s">
        <v>121</v>
      </c>
      <c r="BV1" s="31" t="s">
        <v>122</v>
      </c>
      <c r="BW1" s="46" t="s">
        <v>123</v>
      </c>
      <c r="BX1" s="51" t="s">
        <v>124</v>
      </c>
      <c r="BY1" s="52" t="s">
        <v>125</v>
      </c>
      <c r="BZ1" s="52" t="s">
        <v>126</v>
      </c>
      <c r="CA1" s="52" t="s">
        <v>127</v>
      </c>
      <c r="CB1" s="52" t="s">
        <v>128</v>
      </c>
      <c r="CC1" s="52" t="s">
        <v>129</v>
      </c>
      <c r="CD1" s="52" t="s">
        <v>130</v>
      </c>
      <c r="CE1" s="52" t="s">
        <v>131</v>
      </c>
      <c r="CF1" s="52" t="s">
        <v>132</v>
      </c>
      <c r="CG1" s="52" t="s">
        <v>133</v>
      </c>
      <c r="CH1" s="52" t="s">
        <v>134</v>
      </c>
      <c r="CI1" s="53" t="s">
        <v>135</v>
      </c>
      <c r="CJ1" s="31" t="s">
        <v>136</v>
      </c>
      <c r="CK1" s="32" t="s">
        <v>137</v>
      </c>
      <c r="CL1" s="32" t="s">
        <v>138</v>
      </c>
      <c r="CM1" s="32" t="s">
        <v>139</v>
      </c>
      <c r="CN1" s="32" t="s">
        <v>140</v>
      </c>
      <c r="CO1" s="32" t="s">
        <v>141</v>
      </c>
      <c r="CP1" s="32" t="s">
        <v>142</v>
      </c>
      <c r="CQ1" s="32" t="s">
        <v>143</v>
      </c>
      <c r="CR1" s="32" t="s">
        <v>144</v>
      </c>
      <c r="CS1" s="32" t="s">
        <v>145</v>
      </c>
      <c r="CT1" s="32" t="s">
        <v>146</v>
      </c>
      <c r="CU1" s="32" t="s">
        <v>147</v>
      </c>
      <c r="CV1" s="32" t="s">
        <v>148</v>
      </c>
      <c r="CW1" s="57" t="s">
        <v>149</v>
      </c>
      <c r="CX1" s="20" t="s">
        <v>50</v>
      </c>
      <c r="CY1" s="20" t="s">
        <v>51</v>
      </c>
      <c r="CZ1" s="20" t="s">
        <v>52</v>
      </c>
      <c r="DA1" s="20" t="s">
        <v>53</v>
      </c>
      <c r="DB1" s="20" t="s">
        <v>54</v>
      </c>
      <c r="DC1" s="20" t="s">
        <v>55</v>
      </c>
      <c r="DD1" s="20" t="s">
        <v>56</v>
      </c>
      <c r="DE1" s="20" t="s">
        <v>57</v>
      </c>
      <c r="DF1" s="20" t="s">
        <v>58</v>
      </c>
      <c r="DG1" s="20" t="s">
        <v>59</v>
      </c>
      <c r="DH1" s="20" t="s">
        <v>60</v>
      </c>
      <c r="DI1" s="20" t="s">
        <v>61</v>
      </c>
      <c r="DJ1" s="20" t="s">
        <v>62</v>
      </c>
      <c r="DK1" s="20" t="s">
        <v>63</v>
      </c>
    </row>
    <row r="2" spans="1:115" s="59" customFormat="1" x14ac:dyDescent="0.25">
      <c r="A2" s="67">
        <v>1</v>
      </c>
      <c r="B2" s="67">
        <v>50</v>
      </c>
      <c r="C2" s="67">
        <v>40.01</v>
      </c>
      <c r="D2" s="67">
        <v>4065.3156824388634</v>
      </c>
      <c r="E2" s="67">
        <v>4814.6284651328824</v>
      </c>
      <c r="F2" s="67">
        <v>4782.9488401319641</v>
      </c>
      <c r="G2" s="67">
        <v>4051.7537041272317</v>
      </c>
      <c r="H2" s="67">
        <v>4782.8151924388631</v>
      </c>
      <c r="I2" s="67">
        <v>3492.9490188600516</v>
      </c>
      <c r="J2" s="67">
        <v>1321.6794462728308</v>
      </c>
      <c r="K2" s="67">
        <v>19792.029507903469</v>
      </c>
      <c r="L2" s="67">
        <v>4785.2484669427595</v>
      </c>
      <c r="M2" s="67">
        <v>3503809.5638855346</v>
      </c>
      <c r="N2" s="67">
        <v>0</v>
      </c>
      <c r="O2" s="67">
        <v>8</v>
      </c>
      <c r="P2" s="67">
        <v>-3322.5</v>
      </c>
      <c r="Q2" s="67">
        <v>-2811.96</v>
      </c>
      <c r="R2" s="67">
        <v>-3280</v>
      </c>
      <c r="S2" s="67">
        <v>-914.66</v>
      </c>
      <c r="T2" s="67">
        <v>-7002</v>
      </c>
      <c r="U2" s="67">
        <v>520.34</v>
      </c>
      <c r="V2" s="67">
        <v>-7002.1</v>
      </c>
      <c r="W2" s="67">
        <v>2365</v>
      </c>
      <c r="X2" s="67">
        <v>-6252</v>
      </c>
      <c r="Y2" s="67">
        <v>3800</v>
      </c>
      <c r="Z2" s="67">
        <v>4065.3156824388634</v>
      </c>
      <c r="AA2" s="67">
        <v>4814.6284651328824</v>
      </c>
      <c r="AB2" s="67">
        <v>0</v>
      </c>
      <c r="AC2" s="67">
        <v>1064.1696555107644</v>
      </c>
      <c r="AD2" s="67">
        <v>1127.0074684186504</v>
      </c>
      <c r="AE2" s="67">
        <v>1127.0852605320265</v>
      </c>
      <c r="AF2" s="67">
        <v>169.96986171733954</v>
      </c>
      <c r="AG2" s="67">
        <v>1297.0162207639787</v>
      </c>
      <c r="AH2" s="67">
        <v>1886.2998163666878</v>
      </c>
      <c r="AI2" s="67">
        <v>3721.9999999999995</v>
      </c>
      <c r="AJ2" s="67">
        <v>1844.6600027105269</v>
      </c>
      <c r="AK2" s="67">
        <v>750.10000000000059</v>
      </c>
      <c r="AL2" s="67">
        <v>10267.290237124731</v>
      </c>
      <c r="AM2" s="67">
        <v>1321.679451701526</v>
      </c>
      <c r="AN2" s="67">
        <v>-95.021003558665456</v>
      </c>
      <c r="AO2" s="67">
        <v>-180</v>
      </c>
      <c r="AP2" s="67">
        <v>-90.003106034687008</v>
      </c>
      <c r="AQ2" s="67">
        <v>1.2722218725854067E-14</v>
      </c>
      <c r="AR2" s="67">
        <v>-13.57289995933905</v>
      </c>
      <c r="AS2" s="67">
        <v>89.999999566492633</v>
      </c>
      <c r="AT2" s="67">
        <v>-2400.1625746957502</v>
      </c>
      <c r="AU2" s="67">
        <v>-3280</v>
      </c>
      <c r="AV2" s="67">
        <v>-7719.4999989457119</v>
      </c>
      <c r="AW2" s="67">
        <v>-7002.1</v>
      </c>
      <c r="AX2" s="67">
        <v>-6083.6154038983286</v>
      </c>
      <c r="AY2" s="67">
        <v>4782.8156824388634</v>
      </c>
      <c r="AZ2" s="67">
        <v>-2730.9252207921031</v>
      </c>
      <c r="BA2" s="67">
        <v>-197.16</v>
      </c>
      <c r="BB2" s="67">
        <v>520.3011039433311</v>
      </c>
      <c r="BC2" s="67">
        <v>3082.5000000000005</v>
      </c>
      <c r="BD2" s="67">
        <v>3102.538260694053</v>
      </c>
      <c r="BE2" s="67">
        <v>4814.6284705615817</v>
      </c>
      <c r="BF2" s="67">
        <v>-2565.2532760267472</v>
      </c>
      <c r="BG2" s="67">
        <v>-7002</v>
      </c>
      <c r="BH2" s="67">
        <v>-7719.5999989457123</v>
      </c>
      <c r="BI2" s="67">
        <v>-6252</v>
      </c>
      <c r="BJ2" s="67">
        <v>3896.9310863371929</v>
      </c>
      <c r="BK2" s="67">
        <v>4782.8156924388632</v>
      </c>
      <c r="BL2" s="67">
        <v>-851.86373761518519</v>
      </c>
      <c r="BM2" s="67">
        <v>-197.16</v>
      </c>
      <c r="BN2" s="67">
        <v>2364.9611039433312</v>
      </c>
      <c r="BO2" s="67">
        <v>3082.5000000000005</v>
      </c>
      <c r="BP2" s="67">
        <v>5512.0902044388295</v>
      </c>
      <c r="BQ2" s="67">
        <v>3492.9490188600557</v>
      </c>
      <c r="BR2" s="67">
        <v>0</v>
      </c>
      <c r="BS2" s="67">
        <v>84.97899644133453</v>
      </c>
      <c r="BT2" s="67">
        <v>89.996893965312992</v>
      </c>
      <c r="BU2" s="67">
        <v>90.003106034687022</v>
      </c>
      <c r="BV2" s="67">
        <v>13.572899959339063</v>
      </c>
      <c r="BW2" s="67">
        <v>103.57289952583169</v>
      </c>
      <c r="BX2" s="68">
        <f>Таблица1[[#This Row],[Lкан_леб,мм]]</f>
        <v>3503809.5638855346</v>
      </c>
      <c r="BY2" s="59">
        <f>Таблица1[[#This Row],[Т1]]+Таблица1[[#This Row],[Lпрям1, мм]]</f>
        <v>3505695.8637019014</v>
      </c>
      <c r="BZ2" s="59">
        <f>Таблица1[[#This Row],[Т2]]+Таблица1[[#This Row],[Lдуг 2,мм]]</f>
        <v>3506760.0333574121</v>
      </c>
      <c r="CA2" s="59">
        <f>Таблица1[[#This Row],[Т3]]+Таблица1[[#This Row],[Lпрям2, мм]]</f>
        <v>3510482.0333574121</v>
      </c>
      <c r="CB2" s="59">
        <f>Таблица1[[#This Row],[Т4]]+Таблица1[[#This Row],[Lдуг 3,мм]]</f>
        <v>3511609.0408258308</v>
      </c>
      <c r="CC2" s="59">
        <f>Таблица1[[#This Row],[Т5]]+Таблица1[[#This Row],[Lпрям3, мм]]</f>
        <v>3513453.7008285411</v>
      </c>
      <c r="CD2" s="59">
        <f>Таблица1[[#This Row],[Т6]]+Таблица1[[#This Row],[Lдуг 4,мм]]</f>
        <v>3514580.7860890729</v>
      </c>
      <c r="CE2" s="59">
        <f>Таблица1[[#This Row],[Т7]]+Таблица1[[#This Row],[Lпрям4, мм]]</f>
        <v>3515330.886089073</v>
      </c>
      <c r="CF2" s="71">
        <f>Таблица1[[#This Row],[Т8]]+Таблица1[[#This Row],[Lдуг 5,мм]]</f>
        <v>3515500.8559507905</v>
      </c>
      <c r="CG2" s="59">
        <f>Таблица1[[#This Row],[Т9]]+Таблица1[[#This Row],[Lпрям5, мм]]</f>
        <v>3525768.146187915</v>
      </c>
      <c r="CH2" s="59">
        <f>Таблица1[[#This Row],[Т10]]+Таблица1[[#This Row],[Lдуг 6,мм]]</f>
        <v>3527065.1624086788</v>
      </c>
      <c r="CI2" s="60">
        <f>Таблица1[[#This Row],[Т11]]+Таблица1[[#This Row],[Lпрям6, мм]]</f>
        <v>3528386.8418603805</v>
      </c>
      <c r="CJ2" s="58">
        <f>Таблица1[[#This Row],[Т12]]-Таблица1[[#This Row],[Т12]]</f>
        <v>0</v>
      </c>
      <c r="CK2" s="59">
        <f>Таблица1[[#This Row],[Т12]]-Таблица1[[#This Row],[Т11]]</f>
        <v>1321.679451701697</v>
      </c>
      <c r="CL2" s="59">
        <f>Таблица1[[#This Row],[Т12]]-Таблица1[[#This Row],[Т10]]</f>
        <v>2618.6956724654883</v>
      </c>
      <c r="CM2" s="59">
        <f>Таблица1[[#This Row],[Т12]]-Таблица1[[#This Row],[Т9]]</f>
        <v>12885.985909590032</v>
      </c>
      <c r="CN2" s="59">
        <f>Таблица1[[#This Row],[Т12]]-Таблица1[[#This Row],[Т8]]</f>
        <v>13055.955771307461</v>
      </c>
      <c r="CO2" s="59">
        <f>Таблица1[[#This Row],[Т12]]-Таблица1[[#This Row],[Т7]]</f>
        <v>13806.055771307554</v>
      </c>
      <c r="CP2" s="59">
        <f>Таблица1[[#This Row],[Т12]]-Таблица1[[#This Row],[Т6]]</f>
        <v>14933.141031839419</v>
      </c>
      <c r="CQ2" s="59">
        <f>Таблица1[[#This Row],[Т12]]-Таблица1[[#This Row],[Т5]]</f>
        <v>16777.801034549717</v>
      </c>
      <c r="CR2" s="59">
        <f>Таблица1[[#This Row],[Т12]]-Таблица1[[#This Row],[Т4]]</f>
        <v>17904.808502968401</v>
      </c>
      <c r="CS2" s="59">
        <f>Таблица1[[#This Row],[Т12]]-Таблица1[[#This Row],[Т3]]</f>
        <v>21626.808502968401</v>
      </c>
      <c r="CT2" s="59">
        <f>Таблица1[[#This Row],[Т12]]-Таблица1[[#This Row],[Т2]]</f>
        <v>22690.978158479091</v>
      </c>
      <c r="CU2" s="59">
        <f>Таблица1[[#This Row],[Т12]]-Таблица1[[#This Row],[Т1]]</f>
        <v>24577.277974845842</v>
      </c>
      <c r="CV2" s="59">
        <f>Таблица1[[#This Row],[Lкан_леб,мм]]+Таблица1[[#This Row],[Lкан_дуг, мм]]+Таблица1[[#This Row],[Lкан_прям, мм]]</f>
        <v>3528386.841860381</v>
      </c>
      <c r="CW2" s="60">
        <f>3511128.4-(Таблица1[[#This Row],[Lкан_леб,мм]]+Таблица1[[#This Row],[∆Lлеб из за стрел]])</f>
        <v>7318.836114465259</v>
      </c>
    </row>
    <row r="3" spans="1:115" x14ac:dyDescent="0.25">
      <c r="A3">
        <v>2</v>
      </c>
      <c r="B3">
        <v>50.510067114093964</v>
      </c>
      <c r="C3">
        <v>39.499932885906034</v>
      </c>
      <c r="D3">
        <v>4014.3856312643857</v>
      </c>
      <c r="E3">
        <v>4856.9789728833412</v>
      </c>
      <c r="F3">
        <v>4732.0187889574863</v>
      </c>
      <c r="G3">
        <v>4094.10421187769</v>
      </c>
      <c r="H3">
        <v>4731.8851412643853</v>
      </c>
      <c r="I3">
        <v>3535.2995266103703</v>
      </c>
      <c r="J3">
        <v>1321.6794462729711</v>
      </c>
      <c r="K3">
        <v>19745.143053357599</v>
      </c>
      <c r="L3">
        <v>4792.7041351139469</v>
      </c>
      <c r="M3">
        <v>3503848.9946719096</v>
      </c>
      <c r="N3">
        <v>0</v>
      </c>
      <c r="O3">
        <v>8</v>
      </c>
      <c r="P3">
        <v>-3322.5</v>
      </c>
      <c r="Q3">
        <v>-2811.96</v>
      </c>
      <c r="R3">
        <v>-3280</v>
      </c>
      <c r="S3">
        <v>-914.66</v>
      </c>
      <c r="T3">
        <v>-7002</v>
      </c>
      <c r="U3">
        <v>520.34</v>
      </c>
      <c r="V3">
        <v>-7002.1</v>
      </c>
      <c r="W3">
        <v>2365</v>
      </c>
      <c r="X3">
        <v>-6252</v>
      </c>
      <c r="Y3">
        <v>3800</v>
      </c>
      <c r="Z3">
        <v>4014.3856312643857</v>
      </c>
      <c r="AA3">
        <v>4856.9789728833412</v>
      </c>
      <c r="AB3">
        <v>0</v>
      </c>
      <c r="AC3">
        <v>1064.1696555107644</v>
      </c>
      <c r="AD3">
        <v>1127.0074684186504</v>
      </c>
      <c r="AE3">
        <v>1127.0852605320265</v>
      </c>
      <c r="AF3">
        <v>173.69769580293328</v>
      </c>
      <c r="AG3">
        <v>1300.7440548495726</v>
      </c>
      <c r="AH3">
        <v>1886.2998163666878</v>
      </c>
      <c r="AI3">
        <v>3721.9999999999995</v>
      </c>
      <c r="AJ3">
        <v>1844.6600027105269</v>
      </c>
      <c r="AK3">
        <v>750.10000000000059</v>
      </c>
      <c r="AL3">
        <v>10220.403782578716</v>
      </c>
      <c r="AM3">
        <v>1321.6794517016654</v>
      </c>
      <c r="AN3">
        <v>-95.021003558665456</v>
      </c>
      <c r="AO3">
        <v>-180</v>
      </c>
      <c r="AP3">
        <v>-90.003106034687008</v>
      </c>
      <c r="AQ3">
        <v>1.2722218725854067E-14</v>
      </c>
      <c r="AR3">
        <v>-13.870585199519581</v>
      </c>
      <c r="AS3">
        <v>89.999999566492647</v>
      </c>
      <c r="AT3">
        <v>-2400.1625746957502</v>
      </c>
      <c r="AU3">
        <v>-3280</v>
      </c>
      <c r="AV3">
        <v>-7719.4999989457119</v>
      </c>
      <c r="AW3">
        <v>-7002.1</v>
      </c>
      <c r="AX3">
        <v>-6079.9939693469732</v>
      </c>
      <c r="AY3">
        <v>4731.8856312643857</v>
      </c>
      <c r="AZ3">
        <v>-2730.9252207921031</v>
      </c>
      <c r="BA3">
        <v>-197.16</v>
      </c>
      <c r="BB3">
        <v>520.3011039433311</v>
      </c>
      <c r="BC3">
        <v>3082.5000000000005</v>
      </c>
      <c r="BD3">
        <v>3103.4225273388533</v>
      </c>
      <c r="BE3">
        <v>4856.9789783120395</v>
      </c>
      <c r="BF3">
        <v>-2565.2532760267472</v>
      </c>
      <c r="BG3">
        <v>-7002</v>
      </c>
      <c r="BH3">
        <v>-7719.5999989457123</v>
      </c>
      <c r="BI3">
        <v>-6252</v>
      </c>
      <c r="BJ3">
        <v>3842.3796006113589</v>
      </c>
      <c r="BK3">
        <v>4731.8856412643845</v>
      </c>
      <c r="BL3">
        <v>-851.86373761518519</v>
      </c>
      <c r="BM3">
        <v>-197.16</v>
      </c>
      <c r="BN3">
        <v>2364.9611039433312</v>
      </c>
      <c r="BO3">
        <v>3082.5000000000005</v>
      </c>
      <c r="BP3">
        <v>5553.5564455444874</v>
      </c>
      <c r="BQ3">
        <v>3535.2995266103744</v>
      </c>
      <c r="BR3">
        <v>0</v>
      </c>
      <c r="BS3">
        <v>84.97899644133453</v>
      </c>
      <c r="BT3">
        <v>89.996893965312992</v>
      </c>
      <c r="BU3">
        <v>90.003106034687022</v>
      </c>
      <c r="BV3">
        <v>13.870585199519594</v>
      </c>
      <c r="BW3">
        <v>103.87058476601223</v>
      </c>
      <c r="BX3" s="69">
        <f>Таблица1[[#This Row],[Lкан_леб,мм]]</f>
        <v>3503848.9946719096</v>
      </c>
      <c r="BY3" s="65">
        <f>Таблица1[[#This Row],[Т1]]+Таблица1[[#This Row],[Lпрям1, мм]]</f>
        <v>3505735.2944882764</v>
      </c>
      <c r="BZ3" s="65">
        <f>Таблица1[[#This Row],[Т2]]+Таблица1[[#This Row],[Lдуг 2,мм]]</f>
        <v>3506799.464143787</v>
      </c>
      <c r="CA3" s="65">
        <f>Таблица1[[#This Row],[Т3]]+Таблица1[[#This Row],[Lпрям2, мм]]</f>
        <v>3510521.464143787</v>
      </c>
      <c r="CB3" s="65">
        <f>Таблица1[[#This Row],[Т4]]+Таблица1[[#This Row],[Lдуг 3,мм]]</f>
        <v>3511648.4716122057</v>
      </c>
      <c r="CC3" s="65">
        <f>Таблица1[[#This Row],[Т5]]+Таблица1[[#This Row],[Lпрям3, мм]]</f>
        <v>3513493.131614916</v>
      </c>
      <c r="CD3" s="65">
        <f>Таблица1[[#This Row],[Т6]]+Таблица1[[#This Row],[Lдуг 4,мм]]</f>
        <v>3514620.2168754479</v>
      </c>
      <c r="CE3" s="65">
        <f>Таблица1[[#This Row],[Т7]]+Таблица1[[#This Row],[Lпрям4, мм]]</f>
        <v>3515370.316875448</v>
      </c>
      <c r="CF3" s="72">
        <f>Таблица1[[#This Row],[Т8]]+Таблица1[[#This Row],[Lдуг 5,мм]]</f>
        <v>3515544.0145712509</v>
      </c>
      <c r="CG3" s="65">
        <f>Таблица1[[#This Row],[Т9]]+Таблица1[[#This Row],[Lпрям5, мм]]</f>
        <v>3525764.4183538295</v>
      </c>
      <c r="CH3" s="65">
        <f>Таблица1[[#This Row],[Т10]]+Таблица1[[#This Row],[Lдуг 6,мм]]</f>
        <v>3527065.1624086793</v>
      </c>
      <c r="CI3" s="66">
        <f>Таблица1[[#This Row],[Т11]]+Таблица1[[#This Row],[Lпрям6, мм]]</f>
        <v>3528386.841860381</v>
      </c>
      <c r="CJ3" s="64">
        <f>Таблица1[[#This Row],[Т12]]-Таблица1[[#This Row],[Т12]]</f>
        <v>0</v>
      </c>
      <c r="CK3" s="65">
        <f>Таблица1[[#This Row],[Т12]]-Таблица1[[#This Row],[Т11]]</f>
        <v>1321.679451701697</v>
      </c>
      <c r="CL3" s="65">
        <f>Таблица1[[#This Row],[Т12]]-Таблица1[[#This Row],[Т10]]</f>
        <v>2622.4235065514222</v>
      </c>
      <c r="CM3" s="65">
        <f>Таблица1[[#This Row],[Т12]]-Таблица1[[#This Row],[Т9]]</f>
        <v>12842.827289130073</v>
      </c>
      <c r="CN3" s="65">
        <f>Таблица1[[#This Row],[Т12]]-Таблица1[[#This Row],[Т8]]</f>
        <v>13016.52498493297</v>
      </c>
      <c r="CO3" s="65">
        <f>Таблица1[[#This Row],[Т12]]-Таблица1[[#This Row],[Т7]]</f>
        <v>13766.624984933063</v>
      </c>
      <c r="CP3" s="65">
        <f>Таблица1[[#This Row],[Т12]]-Таблица1[[#This Row],[Т6]]</f>
        <v>14893.710245464928</v>
      </c>
      <c r="CQ3" s="65">
        <f>Таблица1[[#This Row],[Т12]]-Таблица1[[#This Row],[Т5]]</f>
        <v>16738.370248175226</v>
      </c>
      <c r="CR3" s="65">
        <f>Таблица1[[#This Row],[Т12]]-Таблица1[[#This Row],[Т4]]</f>
        <v>17865.37771659391</v>
      </c>
      <c r="CS3" s="65">
        <f>Таблица1[[#This Row],[Т12]]-Таблица1[[#This Row],[Т3]]</f>
        <v>21587.37771659391</v>
      </c>
      <c r="CT3" s="65">
        <f>Таблица1[[#This Row],[Т12]]-Таблица1[[#This Row],[Т2]]</f>
        <v>22651.5473721046</v>
      </c>
      <c r="CU3" s="65">
        <f>Таблица1[[#This Row],[Т12]]-Таблица1[[#This Row],[Т1]]</f>
        <v>24537.847188471351</v>
      </c>
      <c r="CV3" s="65">
        <f>Таблица1[[#This Row],[Lкан_леб,мм]]+Таблица1[[#This Row],[Lкан_дуг, мм]]+Таблица1[[#This Row],[Lкан_прям, мм]]</f>
        <v>3528386.841860381</v>
      </c>
      <c r="CW3" s="60">
        <f>3511128.4-(Таблица1[[#This Row],[Lкан_леб,мм]]+Таблица1[[#This Row],[∆Lлеб из за стрел]])</f>
        <v>7279.4053280903026</v>
      </c>
    </row>
    <row r="4" spans="1:115" x14ac:dyDescent="0.25">
      <c r="A4">
        <v>3</v>
      </c>
      <c r="B4">
        <v>51.020134228187921</v>
      </c>
      <c r="C4">
        <v>38.98986577181207</v>
      </c>
      <c r="D4">
        <v>3963.0805841408937</v>
      </c>
      <c r="E4">
        <v>4898.8744112867389</v>
      </c>
      <c r="F4">
        <v>4680.7137418339953</v>
      </c>
      <c r="G4">
        <v>4135.9996502810882</v>
      </c>
      <c r="H4">
        <v>4680.5800941408943</v>
      </c>
      <c r="I4">
        <v>3577.1949650140782</v>
      </c>
      <c r="J4">
        <v>1321.6794462726607</v>
      </c>
      <c r="K4">
        <v>19698.046073990252</v>
      </c>
      <c r="L4">
        <v>4800.1735686685524</v>
      </c>
      <c r="M4">
        <v>3503888.6222177218</v>
      </c>
      <c r="N4">
        <v>0</v>
      </c>
      <c r="O4">
        <v>8</v>
      </c>
      <c r="P4">
        <v>-3322.5</v>
      </c>
      <c r="Q4">
        <v>-2811.96</v>
      </c>
      <c r="R4">
        <v>-3280</v>
      </c>
      <c r="S4">
        <v>-914.66</v>
      </c>
      <c r="T4">
        <v>-7002</v>
      </c>
      <c r="U4">
        <v>520.34</v>
      </c>
      <c r="V4">
        <v>-7002.1</v>
      </c>
      <c r="W4">
        <v>2365</v>
      </c>
      <c r="X4">
        <v>-6252</v>
      </c>
      <c r="Y4">
        <v>3800</v>
      </c>
      <c r="Z4">
        <v>3963.0805841408937</v>
      </c>
      <c r="AA4">
        <v>4898.8744112867389</v>
      </c>
      <c r="AB4">
        <v>0</v>
      </c>
      <c r="AC4">
        <v>1064.1696555107644</v>
      </c>
      <c r="AD4">
        <v>1127.0074684186504</v>
      </c>
      <c r="AE4">
        <v>1127.0852605320265</v>
      </c>
      <c r="AF4">
        <v>177.43241258023625</v>
      </c>
      <c r="AG4">
        <v>1304.478771626875</v>
      </c>
      <c r="AH4">
        <v>1886.2998163666878</v>
      </c>
      <c r="AI4">
        <v>3721.9999999999995</v>
      </c>
      <c r="AJ4">
        <v>1844.6600027105269</v>
      </c>
      <c r="AK4">
        <v>750.10000000000059</v>
      </c>
      <c r="AL4">
        <v>10173.306803211681</v>
      </c>
      <c r="AM4">
        <v>1321.6794517013559</v>
      </c>
      <c r="AN4">
        <v>-95.021003558665456</v>
      </c>
      <c r="AO4">
        <v>-180</v>
      </c>
      <c r="AP4">
        <v>-90.003106034687008</v>
      </c>
      <c r="AQ4">
        <v>1.2722218725854067E-14</v>
      </c>
      <c r="AR4">
        <v>-14.168820055291237</v>
      </c>
      <c r="AS4">
        <v>89.999999566492605</v>
      </c>
      <c r="AT4">
        <v>-2400.1625746957502</v>
      </c>
      <c r="AU4">
        <v>-3280</v>
      </c>
      <c r="AV4">
        <v>-7719.4999989457119</v>
      </c>
      <c r="AW4">
        <v>-7002.1</v>
      </c>
      <c r="AX4">
        <v>-6076.3705046190034</v>
      </c>
      <c r="AY4">
        <v>4680.5805841408937</v>
      </c>
      <c r="AZ4">
        <v>-2730.9252207921031</v>
      </c>
      <c r="BA4">
        <v>-197.16</v>
      </c>
      <c r="BB4">
        <v>520.3011039433311</v>
      </c>
      <c r="BC4">
        <v>3082.5000000000005</v>
      </c>
      <c r="BD4">
        <v>3104.3272821561736</v>
      </c>
      <c r="BE4">
        <v>4898.8744167154382</v>
      </c>
      <c r="BF4">
        <v>-2565.2532760267472</v>
      </c>
      <c r="BG4">
        <v>-7002</v>
      </c>
      <c r="BH4">
        <v>-7719.5999989457123</v>
      </c>
      <c r="BI4">
        <v>-6252</v>
      </c>
      <c r="BJ4">
        <v>3787.4510887598976</v>
      </c>
      <c r="BK4">
        <v>4680.5805941408935</v>
      </c>
      <c r="BL4">
        <v>-851.86373761518519</v>
      </c>
      <c r="BM4">
        <v>-197.16</v>
      </c>
      <c r="BN4">
        <v>2364.9611039433312</v>
      </c>
      <c r="BO4">
        <v>3082.5000000000005</v>
      </c>
      <c r="BP4">
        <v>5594.5471291305657</v>
      </c>
      <c r="BQ4">
        <v>3577.1949650140823</v>
      </c>
      <c r="BR4">
        <v>0</v>
      </c>
      <c r="BS4">
        <v>84.97899644133453</v>
      </c>
      <c r="BT4">
        <v>89.996893965312992</v>
      </c>
      <c r="BU4">
        <v>90.003106034687022</v>
      </c>
      <c r="BV4">
        <v>14.168820055291249</v>
      </c>
      <c r="BW4">
        <v>104.16881962178384</v>
      </c>
      <c r="BX4" s="69">
        <f>Таблица1[[#This Row],[Lкан_леб,мм]]</f>
        <v>3503888.6222177218</v>
      </c>
      <c r="BY4" s="65">
        <f>Таблица1[[#This Row],[Т1]]+Таблица1[[#This Row],[Lпрям1, мм]]</f>
        <v>3505774.9220340885</v>
      </c>
      <c r="BZ4" s="65">
        <f>Таблица1[[#This Row],[Т2]]+Таблица1[[#This Row],[Lдуг 2,мм]]</f>
        <v>3506839.0916895992</v>
      </c>
      <c r="CA4" s="65">
        <f>Таблица1[[#This Row],[Т3]]+Таблица1[[#This Row],[Lпрям2, мм]]</f>
        <v>3510561.0916895992</v>
      </c>
      <c r="CB4" s="65">
        <f>Таблица1[[#This Row],[Т4]]+Таблица1[[#This Row],[Lдуг 3,мм]]</f>
        <v>3511688.0991580179</v>
      </c>
      <c r="CC4" s="65">
        <f>Таблица1[[#This Row],[Т5]]+Таблица1[[#This Row],[Lпрям3, мм]]</f>
        <v>3513532.7591607282</v>
      </c>
      <c r="CD4" s="65">
        <f>Таблица1[[#This Row],[Т6]]+Таблица1[[#This Row],[Lдуг 4,мм]]</f>
        <v>3514659.8444212601</v>
      </c>
      <c r="CE4" s="65">
        <f>Таблица1[[#This Row],[Т7]]+Таблица1[[#This Row],[Lпрям4, мм]]</f>
        <v>3515409.9444212602</v>
      </c>
      <c r="CF4" s="72">
        <f>Таблица1[[#This Row],[Т8]]+Таблица1[[#This Row],[Lдуг 5,мм]]</f>
        <v>3515587.3768338403</v>
      </c>
      <c r="CG4" s="65">
        <f>Таблица1[[#This Row],[Т9]]+Таблица1[[#This Row],[Lпрям5, мм]]</f>
        <v>3525760.6836370518</v>
      </c>
      <c r="CH4" s="65">
        <f>Таблица1[[#This Row],[Т10]]+Таблица1[[#This Row],[Lдуг 6,мм]]</f>
        <v>3527065.1624086788</v>
      </c>
      <c r="CI4" s="66">
        <f>Таблица1[[#This Row],[Т11]]+Таблица1[[#This Row],[Lпрям6, мм]]</f>
        <v>3528386.84186038</v>
      </c>
      <c r="CJ4" s="64">
        <f>Таблица1[[#This Row],[Т12]]-Таблица1[[#This Row],[Т12]]</f>
        <v>0</v>
      </c>
      <c r="CK4" s="65">
        <f>Таблица1[[#This Row],[Т12]]-Таблица1[[#This Row],[Т11]]</f>
        <v>1321.6794517012313</v>
      </c>
      <c r="CL4" s="65">
        <f>Таблица1[[#This Row],[Т12]]-Таблица1[[#This Row],[Т10]]</f>
        <v>2626.1582233281806</v>
      </c>
      <c r="CM4" s="65">
        <f>Таблица1[[#This Row],[Т12]]-Таблица1[[#This Row],[Т9]]</f>
        <v>12799.46502653975</v>
      </c>
      <c r="CN4" s="65">
        <f>Таблица1[[#This Row],[Т12]]-Таблица1[[#This Row],[Т8]]</f>
        <v>12976.897439119872</v>
      </c>
      <c r="CO4" s="65">
        <f>Таблица1[[#This Row],[Т12]]-Таблица1[[#This Row],[Т7]]</f>
        <v>13726.997439119965</v>
      </c>
      <c r="CP4" s="65">
        <f>Таблица1[[#This Row],[Т12]]-Таблица1[[#This Row],[Т6]]</f>
        <v>14854.08269965183</v>
      </c>
      <c r="CQ4" s="65">
        <f>Таблица1[[#This Row],[Т12]]-Таблица1[[#This Row],[Т5]]</f>
        <v>16698.742702362128</v>
      </c>
      <c r="CR4" s="65">
        <f>Таблица1[[#This Row],[Т12]]-Таблица1[[#This Row],[Т4]]</f>
        <v>17825.750170780811</v>
      </c>
      <c r="CS4" s="65">
        <f>Таблица1[[#This Row],[Т12]]-Таблица1[[#This Row],[Т3]]</f>
        <v>21547.750170780811</v>
      </c>
      <c r="CT4" s="65">
        <f>Таблица1[[#This Row],[Т12]]-Таблица1[[#This Row],[Т2]]</f>
        <v>22611.919826291502</v>
      </c>
      <c r="CU4" s="65">
        <f>Таблица1[[#This Row],[Т12]]-Таблица1[[#This Row],[Т1]]</f>
        <v>24498.219642658252</v>
      </c>
      <c r="CV4" s="65">
        <f>Таблица1[[#This Row],[Lкан_леб,мм]]+Таблица1[[#This Row],[Lкан_дуг, мм]]+Таблица1[[#This Row],[Lкан_прям, мм]]</f>
        <v>3528386.841860381</v>
      </c>
      <c r="CW4" s="60">
        <f>3511128.4-(Таблица1[[#This Row],[Lкан_леб,мм]]+Таблица1[[#This Row],[∆Lлеб из за стрел]])</f>
        <v>7239.7777822781354</v>
      </c>
    </row>
    <row r="5" spans="1:115" x14ac:dyDescent="0.25">
      <c r="A5">
        <v>4</v>
      </c>
      <c r="B5">
        <v>51.530201342281885</v>
      </c>
      <c r="C5">
        <v>38.479798657718113</v>
      </c>
      <c r="D5">
        <v>3911.404607061193</v>
      </c>
      <c r="E5">
        <v>4940.3114600742056</v>
      </c>
      <c r="F5">
        <v>4629.0377647542937</v>
      </c>
      <c r="G5">
        <v>4177.4366990685539</v>
      </c>
      <c r="H5">
        <v>4628.9041170611927</v>
      </c>
      <c r="I5">
        <v>3618.6320138011929</v>
      </c>
      <c r="J5">
        <v>1321.6794462730129</v>
      </c>
      <c r="K5">
        <v>19650.739390905786</v>
      </c>
      <c r="L5">
        <v>4807.6570016136002</v>
      </c>
      <c r="M5">
        <v>3503928.4454678618</v>
      </c>
      <c r="N5">
        <v>0</v>
      </c>
      <c r="O5">
        <v>8</v>
      </c>
      <c r="P5">
        <v>-3322.5</v>
      </c>
      <c r="Q5">
        <v>-2811.96</v>
      </c>
      <c r="R5">
        <v>-3280</v>
      </c>
      <c r="S5">
        <v>-914.66</v>
      </c>
      <c r="T5">
        <v>-7002</v>
      </c>
      <c r="U5">
        <v>520.34</v>
      </c>
      <c r="V5">
        <v>-7002.1</v>
      </c>
      <c r="W5">
        <v>2365</v>
      </c>
      <c r="X5">
        <v>-6252</v>
      </c>
      <c r="Y5">
        <v>3800</v>
      </c>
      <c r="Z5">
        <v>3911.404607061193</v>
      </c>
      <c r="AA5">
        <v>4940.3114600742056</v>
      </c>
      <c r="AB5">
        <v>0</v>
      </c>
      <c r="AC5">
        <v>1064.1696555107644</v>
      </c>
      <c r="AD5">
        <v>1127.0074684186504</v>
      </c>
      <c r="AE5">
        <v>1127.0852605320265</v>
      </c>
      <c r="AF5">
        <v>181.17412905275987</v>
      </c>
      <c r="AG5">
        <v>1308.2204880993991</v>
      </c>
      <c r="AH5">
        <v>1886.2998163666878</v>
      </c>
      <c r="AI5">
        <v>3721.9999999999995</v>
      </c>
      <c r="AJ5">
        <v>1844.6600027105269</v>
      </c>
      <c r="AK5">
        <v>750.10000000000059</v>
      </c>
      <c r="AL5">
        <v>10126.000120126862</v>
      </c>
      <c r="AM5">
        <v>1321.6794517017081</v>
      </c>
      <c r="AN5">
        <v>-95.021003558665456</v>
      </c>
      <c r="AO5">
        <v>-180</v>
      </c>
      <c r="AP5">
        <v>-90.003106034687008</v>
      </c>
      <c r="AQ5">
        <v>1.2722218725854067E-14</v>
      </c>
      <c r="AR5">
        <v>-14.467613869939571</v>
      </c>
      <c r="AS5">
        <v>89.999999566492619</v>
      </c>
      <c r="AT5">
        <v>-2400.1625746957502</v>
      </c>
      <c r="AU5">
        <v>-3280</v>
      </c>
      <c r="AV5">
        <v>-7719.4999989457119</v>
      </c>
      <c r="AW5">
        <v>-7002.1</v>
      </c>
      <c r="AX5">
        <v>-6072.7450206318963</v>
      </c>
      <c r="AY5">
        <v>4628.904607061193</v>
      </c>
      <c r="AZ5">
        <v>-2730.9252207921031</v>
      </c>
      <c r="BA5">
        <v>-197.16</v>
      </c>
      <c r="BB5">
        <v>520.3011039433311</v>
      </c>
      <c r="BC5">
        <v>3082.5000000000005</v>
      </c>
      <c r="BD5">
        <v>3105.2526341383214</v>
      </c>
      <c r="BE5">
        <v>4940.3114655029049</v>
      </c>
      <c r="BF5">
        <v>-2565.2532760267472</v>
      </c>
      <c r="BG5">
        <v>-7002</v>
      </c>
      <c r="BH5">
        <v>-7719.5999989457123</v>
      </c>
      <c r="BI5">
        <v>-6252</v>
      </c>
      <c r="BJ5">
        <v>3732.1496276930898</v>
      </c>
      <c r="BK5">
        <v>4628.9046170611928</v>
      </c>
      <c r="BL5">
        <v>-851.86373761518519</v>
      </c>
      <c r="BM5">
        <v>-197.16</v>
      </c>
      <c r="BN5">
        <v>2364.9611039433312</v>
      </c>
      <c r="BO5">
        <v>3082.5000000000005</v>
      </c>
      <c r="BP5">
        <v>5635.0588259358838</v>
      </c>
      <c r="BQ5">
        <v>3618.632013801197</v>
      </c>
      <c r="BR5">
        <v>0</v>
      </c>
      <c r="BS5">
        <v>84.97899644133453</v>
      </c>
      <c r="BT5">
        <v>89.996893965312992</v>
      </c>
      <c r="BU5">
        <v>90.003106034687022</v>
      </c>
      <c r="BV5">
        <v>14.467613869939584</v>
      </c>
      <c r="BW5">
        <v>104.46761343643219</v>
      </c>
      <c r="BX5" s="69">
        <f>Таблица1[[#This Row],[Lкан_леб,мм]]</f>
        <v>3503928.4454678618</v>
      </c>
      <c r="BY5" s="65">
        <f>Таблица1[[#This Row],[Т1]]+Таблица1[[#This Row],[Lпрям1, мм]]</f>
        <v>3505814.7452842286</v>
      </c>
      <c r="BZ5" s="65">
        <f>Таблица1[[#This Row],[Т2]]+Таблица1[[#This Row],[Lдуг 2,мм]]</f>
        <v>3506878.9149397393</v>
      </c>
      <c r="CA5" s="65">
        <f>Таблица1[[#This Row],[Т3]]+Таблица1[[#This Row],[Lпрям2, мм]]</f>
        <v>3510600.9149397393</v>
      </c>
      <c r="CB5" s="65">
        <f>Таблица1[[#This Row],[Т4]]+Таблица1[[#This Row],[Lдуг 3,мм]]</f>
        <v>3511727.922408158</v>
      </c>
      <c r="CC5" s="65">
        <f>Таблица1[[#This Row],[Т5]]+Таблица1[[#This Row],[Lпрям3, мм]]</f>
        <v>3513572.5824108683</v>
      </c>
      <c r="CD5" s="65">
        <f>Таблица1[[#This Row],[Т6]]+Таблица1[[#This Row],[Lдуг 4,мм]]</f>
        <v>3514699.6676714001</v>
      </c>
      <c r="CE5" s="65">
        <f>Таблица1[[#This Row],[Т7]]+Таблица1[[#This Row],[Lпрям4, мм]]</f>
        <v>3515449.7676714002</v>
      </c>
      <c r="CF5" s="72">
        <f>Таблица1[[#This Row],[Т8]]+Таблица1[[#This Row],[Lдуг 5,мм]]</f>
        <v>3515630.9418004528</v>
      </c>
      <c r="CG5" s="65">
        <f>Таблица1[[#This Row],[Т9]]+Таблица1[[#This Row],[Lпрям5, мм]]</f>
        <v>3525756.9419205794</v>
      </c>
      <c r="CH5" s="65">
        <f>Таблица1[[#This Row],[Т10]]+Таблица1[[#This Row],[Lдуг 6,мм]]</f>
        <v>3527065.1624086788</v>
      </c>
      <c r="CI5" s="66">
        <f>Таблица1[[#This Row],[Т11]]+Таблица1[[#This Row],[Lпрям6, мм]]</f>
        <v>3528386.8418603805</v>
      </c>
      <c r="CJ5" s="64">
        <f>Таблица1[[#This Row],[Т12]]-Таблица1[[#This Row],[Т12]]</f>
        <v>0</v>
      </c>
      <c r="CK5" s="65">
        <f>Таблица1[[#This Row],[Т12]]-Таблица1[[#This Row],[Т11]]</f>
        <v>1321.679451701697</v>
      </c>
      <c r="CL5" s="65">
        <f>Таблица1[[#This Row],[Т12]]-Таблица1[[#This Row],[Т10]]</f>
        <v>2629.8999398010783</v>
      </c>
      <c r="CM5" s="65">
        <f>Таблица1[[#This Row],[Т12]]-Таблица1[[#This Row],[Т9]]</f>
        <v>12755.900059927721</v>
      </c>
      <c r="CN5" s="65">
        <f>Таблица1[[#This Row],[Т12]]-Таблица1[[#This Row],[Т8]]</f>
        <v>12937.074188980274</v>
      </c>
      <c r="CO5" s="65">
        <f>Таблица1[[#This Row],[Т12]]-Таблица1[[#This Row],[Т7]]</f>
        <v>13687.174188980367</v>
      </c>
      <c r="CP5" s="65">
        <f>Таблица1[[#This Row],[Т12]]-Таблица1[[#This Row],[Т6]]</f>
        <v>14814.259449512232</v>
      </c>
      <c r="CQ5" s="65">
        <f>Таблица1[[#This Row],[Т12]]-Таблица1[[#This Row],[Т5]]</f>
        <v>16658.91945222253</v>
      </c>
      <c r="CR5" s="65">
        <f>Таблица1[[#This Row],[Т12]]-Таблица1[[#This Row],[Т4]]</f>
        <v>17785.926920641214</v>
      </c>
      <c r="CS5" s="65">
        <f>Таблица1[[#This Row],[Т12]]-Таблица1[[#This Row],[Т3]]</f>
        <v>21507.926920641214</v>
      </c>
      <c r="CT5" s="65">
        <f>Таблица1[[#This Row],[Т12]]-Таблица1[[#This Row],[Т2]]</f>
        <v>22572.096576151904</v>
      </c>
      <c r="CU5" s="65">
        <f>Таблица1[[#This Row],[Т12]]-Таблица1[[#This Row],[Т1]]</f>
        <v>24458.396392518654</v>
      </c>
      <c r="CV5" s="65">
        <f>Таблица1[[#This Row],[Lкан_леб,мм]]+Таблица1[[#This Row],[Lкан_дуг, мм]]+Таблица1[[#This Row],[Lкан_прям, мм]]</f>
        <v>3528386.8418603814</v>
      </c>
      <c r="CW5" s="60">
        <f>3511128.4-(Таблица1[[#This Row],[Lкан_леб,мм]]+Таблица1[[#This Row],[∆Lлеб из за стрел]])</f>
        <v>7199.954532138072</v>
      </c>
    </row>
    <row r="6" spans="1:115" x14ac:dyDescent="0.25">
      <c r="A6">
        <v>5</v>
      </c>
      <c r="B6">
        <v>52.040268456375848</v>
      </c>
      <c r="C6">
        <v>37.96973154362415</v>
      </c>
      <c r="D6">
        <v>3859.3617954147744</v>
      </c>
      <c r="E6">
        <v>4981.2868353048461</v>
      </c>
      <c r="F6">
        <v>4576.9949531078755</v>
      </c>
      <c r="G6">
        <v>4218.4120742991963</v>
      </c>
      <c r="H6">
        <v>4576.8613054147745</v>
      </c>
      <c r="I6">
        <v>3659.6073890320672</v>
      </c>
      <c r="J6">
        <v>1321.6794462727792</v>
      </c>
      <c r="K6">
        <v>19603.223826754256</v>
      </c>
      <c r="L6">
        <v>4815.1546735286311</v>
      </c>
      <c r="M6">
        <v>3503968.4633600982</v>
      </c>
      <c r="N6">
        <v>0</v>
      </c>
      <c r="O6">
        <v>8</v>
      </c>
      <c r="P6">
        <v>-3322.5</v>
      </c>
      <c r="Q6">
        <v>-2811.96</v>
      </c>
      <c r="R6">
        <v>-3280</v>
      </c>
      <c r="S6">
        <v>-914.66</v>
      </c>
      <c r="T6">
        <v>-7002</v>
      </c>
      <c r="U6">
        <v>520.34</v>
      </c>
      <c r="V6">
        <v>-7002.1</v>
      </c>
      <c r="W6">
        <v>2365</v>
      </c>
      <c r="X6">
        <v>-6252</v>
      </c>
      <c r="Y6">
        <v>3800</v>
      </c>
      <c r="Z6">
        <v>3859.3617954147744</v>
      </c>
      <c r="AA6">
        <v>4981.2868353048461</v>
      </c>
      <c r="AB6">
        <v>0</v>
      </c>
      <c r="AC6">
        <v>1064.1696555107644</v>
      </c>
      <c r="AD6">
        <v>1127.0074684186504</v>
      </c>
      <c r="AE6">
        <v>1127.0852605320265</v>
      </c>
      <c r="AF6">
        <v>184.92296501027522</v>
      </c>
      <c r="AG6">
        <v>1311.9693240569143</v>
      </c>
      <c r="AH6">
        <v>1886.2998163666878</v>
      </c>
      <c r="AI6">
        <v>3721.9999999999995</v>
      </c>
      <c r="AJ6">
        <v>1844.6600027105269</v>
      </c>
      <c r="AK6">
        <v>750.10000000000059</v>
      </c>
      <c r="AL6">
        <v>10078.484555975565</v>
      </c>
      <c r="AM6">
        <v>1321.6794517014744</v>
      </c>
      <c r="AN6">
        <v>-95.021003558665456</v>
      </c>
      <c r="AO6">
        <v>-180</v>
      </c>
      <c r="AP6">
        <v>-90.003106034687008</v>
      </c>
      <c r="AQ6">
        <v>1.2722218725854067E-14</v>
      </c>
      <c r="AR6">
        <v>-14.766976209246211</v>
      </c>
      <c r="AS6">
        <v>89.999999566492619</v>
      </c>
      <c r="AT6">
        <v>-2400.1625746957502</v>
      </c>
      <c r="AU6">
        <v>-3280</v>
      </c>
      <c r="AV6">
        <v>-7719.4999989457119</v>
      </c>
      <c r="AW6">
        <v>-7002.1</v>
      </c>
      <c r="AX6">
        <v>-6069.1175272318751</v>
      </c>
      <c r="AY6">
        <v>4576.861795414774</v>
      </c>
      <c r="AZ6">
        <v>-2730.9252207921031</v>
      </c>
      <c r="BA6">
        <v>-197.16</v>
      </c>
      <c r="BB6">
        <v>520.3011039433311</v>
      </c>
      <c r="BC6">
        <v>3082.5000000000005</v>
      </c>
      <c r="BD6">
        <v>3106.1986947589276</v>
      </c>
      <c r="BE6">
        <v>4981.2868407335454</v>
      </c>
      <c r="BF6">
        <v>-2565.2532760267472</v>
      </c>
      <c r="BG6">
        <v>-7002</v>
      </c>
      <c r="BH6">
        <v>-7719.5999989457123</v>
      </c>
      <c r="BI6">
        <v>-6252</v>
      </c>
      <c r="BJ6">
        <v>3676.4793226466495</v>
      </c>
      <c r="BK6">
        <v>4576.8618054147737</v>
      </c>
      <c r="BL6">
        <v>-851.86373761518519</v>
      </c>
      <c r="BM6">
        <v>-197.16</v>
      </c>
      <c r="BN6">
        <v>2364.9611039433312</v>
      </c>
      <c r="BO6">
        <v>3082.5000000000005</v>
      </c>
      <c r="BP6">
        <v>5675.0881405459195</v>
      </c>
      <c r="BQ6">
        <v>3659.6073890320713</v>
      </c>
      <c r="BR6">
        <v>0</v>
      </c>
      <c r="BS6">
        <v>84.97899644133453</v>
      </c>
      <c r="BT6">
        <v>89.996893965312992</v>
      </c>
      <c r="BU6">
        <v>90.003106034687022</v>
      </c>
      <c r="BV6">
        <v>14.766976209246224</v>
      </c>
      <c r="BW6">
        <v>104.76697577573883</v>
      </c>
      <c r="BX6" s="69">
        <f>Таблица1[[#This Row],[Lкан_леб,мм]]</f>
        <v>3503968.4633600982</v>
      </c>
      <c r="BY6" s="65">
        <f>Таблица1[[#This Row],[Т1]]+Таблица1[[#This Row],[Lпрям1, мм]]</f>
        <v>3505854.7631764649</v>
      </c>
      <c r="BZ6" s="65">
        <f>Таблица1[[#This Row],[Т2]]+Таблица1[[#This Row],[Lдуг 2,мм]]</f>
        <v>3506918.9328319756</v>
      </c>
      <c r="CA6" s="65">
        <f>Таблица1[[#This Row],[Т3]]+Таблица1[[#This Row],[Lпрям2, мм]]</f>
        <v>3510640.9328319756</v>
      </c>
      <c r="CB6" s="65">
        <f>Таблица1[[#This Row],[Т4]]+Таблица1[[#This Row],[Lдуг 3,мм]]</f>
        <v>3511767.9403003943</v>
      </c>
      <c r="CC6" s="65">
        <f>Таблица1[[#This Row],[Т5]]+Таблица1[[#This Row],[Lпрям3, мм]]</f>
        <v>3513612.6003031046</v>
      </c>
      <c r="CD6" s="65">
        <f>Таблица1[[#This Row],[Т6]]+Таблица1[[#This Row],[Lдуг 4,мм]]</f>
        <v>3514739.6855636365</v>
      </c>
      <c r="CE6" s="65">
        <f>Таблица1[[#This Row],[Т7]]+Таблица1[[#This Row],[Lпрям4, мм]]</f>
        <v>3515489.7855636366</v>
      </c>
      <c r="CF6" s="72">
        <f>Таблица1[[#This Row],[Т8]]+Таблица1[[#This Row],[Lдуг 5,мм]]</f>
        <v>3515674.7085286467</v>
      </c>
      <c r="CG6" s="65">
        <f>Таблица1[[#This Row],[Т9]]+Таблица1[[#This Row],[Lпрям5, мм]]</f>
        <v>3525753.1930846223</v>
      </c>
      <c r="CH6" s="65">
        <f>Таблица1[[#This Row],[Т10]]+Таблица1[[#This Row],[Lдуг 6,мм]]</f>
        <v>3527065.1624086793</v>
      </c>
      <c r="CI6" s="66">
        <f>Таблица1[[#This Row],[Т11]]+Таблица1[[#This Row],[Lпрям6, мм]]</f>
        <v>3528386.841860381</v>
      </c>
      <c r="CJ6" s="64">
        <f>Таблица1[[#This Row],[Т12]]-Таблица1[[#This Row],[Т12]]</f>
        <v>0</v>
      </c>
      <c r="CK6" s="65">
        <f>Таблица1[[#This Row],[Т12]]-Таблица1[[#This Row],[Т11]]</f>
        <v>1321.679451701697</v>
      </c>
      <c r="CL6" s="65">
        <f>Таблица1[[#This Row],[Т12]]-Таблица1[[#This Row],[Т10]]</f>
        <v>2633.6487757586874</v>
      </c>
      <c r="CM6" s="65">
        <f>Таблица1[[#This Row],[Т12]]-Таблица1[[#This Row],[Т9]]</f>
        <v>12712.133331734221</v>
      </c>
      <c r="CN6" s="65">
        <f>Таблица1[[#This Row],[Т12]]-Таблица1[[#This Row],[Т8]]</f>
        <v>12897.056296744384</v>
      </c>
      <c r="CO6" s="65">
        <f>Таблица1[[#This Row],[Т12]]-Таблица1[[#This Row],[Т7]]</f>
        <v>13647.156296744477</v>
      </c>
      <c r="CP6" s="65">
        <f>Таблица1[[#This Row],[Т12]]-Таблица1[[#This Row],[Т6]]</f>
        <v>14774.241557276342</v>
      </c>
      <c r="CQ6" s="65">
        <f>Таблица1[[#This Row],[Т12]]-Таблица1[[#This Row],[Т5]]</f>
        <v>16618.90155998664</v>
      </c>
      <c r="CR6" s="65">
        <f>Таблица1[[#This Row],[Т12]]-Таблица1[[#This Row],[Т4]]</f>
        <v>17745.909028405324</v>
      </c>
      <c r="CS6" s="65">
        <f>Таблица1[[#This Row],[Т12]]-Таблица1[[#This Row],[Т3]]</f>
        <v>21467.909028405324</v>
      </c>
      <c r="CT6" s="65">
        <f>Таблица1[[#This Row],[Т12]]-Таблица1[[#This Row],[Т2]]</f>
        <v>22532.078683916014</v>
      </c>
      <c r="CU6" s="65">
        <f>Таблица1[[#This Row],[Т12]]-Таблица1[[#This Row],[Т1]]</f>
        <v>24418.378500282764</v>
      </c>
      <c r="CV6" s="65">
        <f>Таблица1[[#This Row],[Lкан_леб,мм]]+Таблица1[[#This Row],[Lкан_дуг, мм]]+Таблица1[[#This Row],[Lкан_прям, мм]]</f>
        <v>3528386.8418603814</v>
      </c>
      <c r="CW6" s="60">
        <f>3511128.4-(Таблица1[[#This Row],[Lкан_леб,мм]]+Таблица1[[#This Row],[∆Lлеб из за стрел]])</f>
        <v>7159.9366399017163</v>
      </c>
    </row>
    <row r="7" spans="1:115" x14ac:dyDescent="0.25">
      <c r="A7">
        <v>6</v>
      </c>
      <c r="B7">
        <v>52.550335570469812</v>
      </c>
      <c r="C7">
        <v>37.459664429530186</v>
      </c>
      <c r="D7">
        <v>3806.956273663252</v>
      </c>
      <c r="E7">
        <v>5021.7972896260153</v>
      </c>
      <c r="F7">
        <v>4524.5894313563531</v>
      </c>
      <c r="G7">
        <v>4258.9225286203637</v>
      </c>
      <c r="H7">
        <v>4524.4557836632521</v>
      </c>
      <c r="I7">
        <v>3700.1178433531413</v>
      </c>
      <c r="J7">
        <v>1321.6794462728737</v>
      </c>
      <c r="K7">
        <v>19555.500205643435</v>
      </c>
      <c r="L7">
        <v>4822.6668297304086</v>
      </c>
      <c r="M7">
        <v>3504008.6748250071</v>
      </c>
      <c r="N7">
        <v>0</v>
      </c>
      <c r="O7">
        <v>8</v>
      </c>
      <c r="P7">
        <v>-3322.5</v>
      </c>
      <c r="Q7">
        <v>-2811.96</v>
      </c>
      <c r="R7">
        <v>-3280</v>
      </c>
      <c r="S7">
        <v>-914.66</v>
      </c>
      <c r="T7">
        <v>-7002</v>
      </c>
      <c r="U7">
        <v>520.34</v>
      </c>
      <c r="V7">
        <v>-7002.1</v>
      </c>
      <c r="W7">
        <v>2365</v>
      </c>
      <c r="X7">
        <v>-6252</v>
      </c>
      <c r="Y7">
        <v>3800</v>
      </c>
      <c r="Z7">
        <v>3806.956273663252</v>
      </c>
      <c r="AA7">
        <v>5021.7972896260153</v>
      </c>
      <c r="AB7">
        <v>0</v>
      </c>
      <c r="AC7">
        <v>1064.1696555107644</v>
      </c>
      <c r="AD7">
        <v>1127.0074684186504</v>
      </c>
      <c r="AE7">
        <v>1127.0852605320265</v>
      </c>
      <c r="AF7">
        <v>188.67904311116445</v>
      </c>
      <c r="AG7">
        <v>1315.7254021578035</v>
      </c>
      <c r="AH7">
        <v>1886.2998163666878</v>
      </c>
      <c r="AI7">
        <v>3721.9999999999995</v>
      </c>
      <c r="AJ7">
        <v>1844.6600027105269</v>
      </c>
      <c r="AK7">
        <v>750.10000000000059</v>
      </c>
      <c r="AL7">
        <v>10030.760934864653</v>
      </c>
      <c r="AM7">
        <v>1321.679451701569</v>
      </c>
      <c r="AN7">
        <v>-95.021003558665456</v>
      </c>
      <c r="AO7">
        <v>-180</v>
      </c>
      <c r="AP7">
        <v>-90.003106034687008</v>
      </c>
      <c r="AQ7">
        <v>1.2722218725854067E-14</v>
      </c>
      <c r="AR7">
        <v>-15.066916868064979</v>
      </c>
      <c r="AS7">
        <v>89.999999566492619</v>
      </c>
      <c r="AT7">
        <v>-2400.1625746957502</v>
      </c>
      <c r="AU7">
        <v>-3280</v>
      </c>
      <c r="AV7">
        <v>-7719.4999989457119</v>
      </c>
      <c r="AW7">
        <v>-7002.1</v>
      </c>
      <c r="AX7">
        <v>-6065.4880331669419</v>
      </c>
      <c r="AY7">
        <v>4524.4562736632515</v>
      </c>
      <c r="AZ7">
        <v>-2730.9252207921031</v>
      </c>
      <c r="BA7">
        <v>-197.16</v>
      </c>
      <c r="BB7">
        <v>520.3011039433311</v>
      </c>
      <c r="BC7">
        <v>3082.5000000000005</v>
      </c>
      <c r="BD7">
        <v>3107.1655780577407</v>
      </c>
      <c r="BE7">
        <v>5021.7972950547146</v>
      </c>
      <c r="BF7">
        <v>-2565.2532760267472</v>
      </c>
      <c r="BG7">
        <v>-7002</v>
      </c>
      <c r="BH7">
        <v>-7719.5999989457123</v>
      </c>
      <c r="BI7">
        <v>-6252</v>
      </c>
      <c r="BJ7">
        <v>3620.4443068301939</v>
      </c>
      <c r="BK7">
        <v>4524.4562836632513</v>
      </c>
      <c r="BL7">
        <v>-851.86373761518519</v>
      </c>
      <c r="BM7">
        <v>-197.16</v>
      </c>
      <c r="BN7">
        <v>2364.9611039433312</v>
      </c>
      <c r="BO7">
        <v>3082.5000000000005</v>
      </c>
      <c r="BP7">
        <v>5714.6317115682741</v>
      </c>
      <c r="BQ7">
        <v>3700.117843353145</v>
      </c>
      <c r="BR7">
        <v>0</v>
      </c>
      <c r="BS7">
        <v>84.97899644133453</v>
      </c>
      <c r="BT7">
        <v>89.996893965312992</v>
      </c>
      <c r="BU7">
        <v>90.003106034687022</v>
      </c>
      <c r="BV7">
        <v>15.066916868064993</v>
      </c>
      <c r="BW7">
        <v>105.0669164345576</v>
      </c>
      <c r="BX7" s="69">
        <f>Таблица1[[#This Row],[Lкан_леб,мм]]</f>
        <v>3504008.6748250071</v>
      </c>
      <c r="BY7" s="65">
        <f>Таблица1[[#This Row],[Т1]]+Таблица1[[#This Row],[Lпрям1, мм]]</f>
        <v>3505894.9746413738</v>
      </c>
      <c r="BZ7" s="65">
        <f>Таблица1[[#This Row],[Т2]]+Таблица1[[#This Row],[Lдуг 2,мм]]</f>
        <v>3506959.1442968845</v>
      </c>
      <c r="CA7" s="65">
        <f>Таблица1[[#This Row],[Т3]]+Таблица1[[#This Row],[Lпрям2, мм]]</f>
        <v>3510681.1442968845</v>
      </c>
      <c r="CB7" s="65">
        <f>Таблица1[[#This Row],[Т4]]+Таблица1[[#This Row],[Lдуг 3,мм]]</f>
        <v>3511808.1517653032</v>
      </c>
      <c r="CC7" s="65">
        <f>Таблица1[[#This Row],[Т5]]+Таблица1[[#This Row],[Lпрям3, мм]]</f>
        <v>3513652.8117680135</v>
      </c>
      <c r="CD7" s="65">
        <f>Таблица1[[#This Row],[Т6]]+Таблица1[[#This Row],[Lдуг 4,мм]]</f>
        <v>3514779.8970285454</v>
      </c>
      <c r="CE7" s="65">
        <f>Таблица1[[#This Row],[Т7]]+Таблица1[[#This Row],[Lпрям4, мм]]</f>
        <v>3515529.9970285455</v>
      </c>
      <c r="CF7" s="72">
        <f>Таблица1[[#This Row],[Т8]]+Таблица1[[#This Row],[Lдуг 5,мм]]</f>
        <v>3515718.6760716569</v>
      </c>
      <c r="CG7" s="65">
        <f>Таблица1[[#This Row],[Т9]]+Таблица1[[#This Row],[Lпрям5, мм]]</f>
        <v>3525749.4370065215</v>
      </c>
      <c r="CH7" s="65">
        <f>Таблица1[[#This Row],[Т10]]+Таблица1[[#This Row],[Lдуг 6,мм]]</f>
        <v>3527065.1624086793</v>
      </c>
      <c r="CI7" s="66">
        <f>Таблица1[[#This Row],[Т11]]+Таблица1[[#This Row],[Lпрям6, мм]]</f>
        <v>3528386.841860381</v>
      </c>
      <c r="CJ7" s="64">
        <f>Таблица1[[#This Row],[Т12]]-Таблица1[[#This Row],[Т12]]</f>
        <v>0</v>
      </c>
      <c r="CK7" s="65">
        <f>Таблица1[[#This Row],[Т12]]-Таблица1[[#This Row],[Т11]]</f>
        <v>1321.679451701697</v>
      </c>
      <c r="CL7" s="65">
        <f>Таблица1[[#This Row],[Т12]]-Таблица1[[#This Row],[Т10]]</f>
        <v>2637.4048538594507</v>
      </c>
      <c r="CM7" s="65">
        <f>Таблица1[[#This Row],[Т12]]-Таблица1[[#This Row],[Т9]]</f>
        <v>12668.165788724087</v>
      </c>
      <c r="CN7" s="65">
        <f>Таблица1[[#This Row],[Т12]]-Таблица1[[#This Row],[Т8]]</f>
        <v>12856.844831835479</v>
      </c>
      <c r="CO7" s="65">
        <f>Таблица1[[#This Row],[Т12]]-Таблица1[[#This Row],[Т7]]</f>
        <v>13606.944831835572</v>
      </c>
      <c r="CP7" s="65">
        <f>Таблица1[[#This Row],[Т12]]-Таблица1[[#This Row],[Т6]]</f>
        <v>14734.030092367437</v>
      </c>
      <c r="CQ7" s="65">
        <f>Таблица1[[#This Row],[Т12]]-Таблица1[[#This Row],[Т5]]</f>
        <v>16578.690095077734</v>
      </c>
      <c r="CR7" s="65">
        <f>Таблица1[[#This Row],[Т12]]-Таблица1[[#This Row],[Т4]]</f>
        <v>17705.697563496418</v>
      </c>
      <c r="CS7" s="65">
        <f>Таблица1[[#This Row],[Т12]]-Таблица1[[#This Row],[Т3]]</f>
        <v>21427.697563496418</v>
      </c>
      <c r="CT7" s="65">
        <f>Таблица1[[#This Row],[Т12]]-Таблица1[[#This Row],[Т2]]</f>
        <v>22491.867219007108</v>
      </c>
      <c r="CU7" s="65">
        <f>Таблица1[[#This Row],[Т12]]-Таблица1[[#This Row],[Т1]]</f>
        <v>24378.167035373859</v>
      </c>
      <c r="CV7" s="65">
        <f>Таблица1[[#This Row],[Lкан_леб,мм]]+Таблица1[[#This Row],[Lкан_дуг, мм]]+Таблица1[[#This Row],[Lкан_прям, мм]]</f>
        <v>3528386.841860381</v>
      </c>
      <c r="CW7" s="60">
        <f>3511128.4-(Таблица1[[#This Row],[Lкан_леб,мм]]+Таблица1[[#This Row],[∆Lлеб из за стрел]])</f>
        <v>7119.7251749928109</v>
      </c>
    </row>
    <row r="8" spans="1:115" x14ac:dyDescent="0.25">
      <c r="A8">
        <v>7</v>
      </c>
      <c r="B8">
        <v>53.060402684563776</v>
      </c>
      <c r="C8">
        <v>36.949597315436222</v>
      </c>
      <c r="D8">
        <v>3754.1921950135006</v>
      </c>
      <c r="E8">
        <v>5061.8396125306526</v>
      </c>
      <c r="F8">
        <v>4471.8253527066017</v>
      </c>
      <c r="G8">
        <v>4298.9648515250019</v>
      </c>
      <c r="H8">
        <v>4471.6917050135007</v>
      </c>
      <c r="I8">
        <v>3740.1601662577864</v>
      </c>
      <c r="J8">
        <v>1321.6794462728662</v>
      </c>
      <c r="K8">
        <v>19507.569353040049</v>
      </c>
      <c r="L8">
        <v>4830.1937214435338</v>
      </c>
      <c r="M8">
        <v>3504049.0787858977</v>
      </c>
      <c r="N8">
        <v>0</v>
      </c>
      <c r="O8">
        <v>8</v>
      </c>
      <c r="P8">
        <v>-3322.5</v>
      </c>
      <c r="Q8">
        <v>-2811.96</v>
      </c>
      <c r="R8">
        <v>-3280</v>
      </c>
      <c r="S8">
        <v>-914.66</v>
      </c>
      <c r="T8">
        <v>-7002</v>
      </c>
      <c r="U8">
        <v>520.34</v>
      </c>
      <c r="V8">
        <v>-7002.1</v>
      </c>
      <c r="W8">
        <v>2365</v>
      </c>
      <c r="X8">
        <v>-6252</v>
      </c>
      <c r="Y8">
        <v>3800</v>
      </c>
      <c r="Z8">
        <v>3754.1921950135006</v>
      </c>
      <c r="AA8">
        <v>5061.8396125306526</v>
      </c>
      <c r="AB8">
        <v>0</v>
      </c>
      <c r="AC8">
        <v>1064.1696555107644</v>
      </c>
      <c r="AD8">
        <v>1127.0074684186504</v>
      </c>
      <c r="AE8">
        <v>1127.0852605320265</v>
      </c>
      <c r="AF8">
        <v>192.4424889677268</v>
      </c>
      <c r="AG8">
        <v>1319.4888480143659</v>
      </c>
      <c r="AH8">
        <v>1886.2998163666878</v>
      </c>
      <c r="AI8">
        <v>3721.9999999999995</v>
      </c>
      <c r="AJ8">
        <v>1844.6600027105269</v>
      </c>
      <c r="AK8">
        <v>750.10000000000059</v>
      </c>
      <c r="AL8">
        <v>9982.8300822612728</v>
      </c>
      <c r="AM8">
        <v>1321.6794517015614</v>
      </c>
      <c r="AN8">
        <v>-95.021003558665456</v>
      </c>
      <c r="AO8">
        <v>-180</v>
      </c>
      <c r="AP8">
        <v>-90.003106034687008</v>
      </c>
      <c r="AQ8">
        <v>1.2722218725854067E-14</v>
      </c>
      <c r="AR8">
        <v>-15.367445877133997</v>
      </c>
      <c r="AS8">
        <v>89.999999566492619</v>
      </c>
      <c r="AT8">
        <v>-2400.1625746957502</v>
      </c>
      <c r="AU8">
        <v>-3280</v>
      </c>
      <c r="AV8">
        <v>-7719.4999989457119</v>
      </c>
      <c r="AW8">
        <v>-7002.1</v>
      </c>
      <c r="AX8">
        <v>-6061.8565460592008</v>
      </c>
      <c r="AY8">
        <v>4471.6921950135002</v>
      </c>
      <c r="AZ8">
        <v>-2730.9252207921031</v>
      </c>
      <c r="BA8">
        <v>-197.16</v>
      </c>
      <c r="BB8">
        <v>520.3011039433311</v>
      </c>
      <c r="BC8">
        <v>3082.5000000000005</v>
      </c>
      <c r="BD8">
        <v>3108.1534007285554</v>
      </c>
      <c r="BE8">
        <v>5061.8396179593519</v>
      </c>
      <c r="BF8">
        <v>-2565.2532760267472</v>
      </c>
      <c r="BG8">
        <v>-7002</v>
      </c>
      <c r="BH8">
        <v>-7719.5999989457123</v>
      </c>
      <c r="BI8">
        <v>-6252</v>
      </c>
      <c r="BJ8">
        <v>3564.0487410727019</v>
      </c>
      <c r="BK8">
        <v>4471.6922050134999</v>
      </c>
      <c r="BL8">
        <v>-851.86373761518519</v>
      </c>
      <c r="BM8">
        <v>-197.16</v>
      </c>
      <c r="BN8">
        <v>2364.9611039433312</v>
      </c>
      <c r="BO8">
        <v>3082.5000000000005</v>
      </c>
      <c r="BP8">
        <v>5753.6862118020972</v>
      </c>
      <c r="BQ8">
        <v>3740.1601662577905</v>
      </c>
      <c r="BR8">
        <v>0</v>
      </c>
      <c r="BS8">
        <v>84.97899644133453</v>
      </c>
      <c r="BT8">
        <v>89.996893965312992</v>
      </c>
      <c r="BU8">
        <v>90.003106034687022</v>
      </c>
      <c r="BV8">
        <v>15.36744587713401</v>
      </c>
      <c r="BW8">
        <v>105.36744544362662</v>
      </c>
      <c r="BX8" s="69">
        <f>Таблица1[[#This Row],[Lкан_леб,мм]]</f>
        <v>3504049.0787858977</v>
      </c>
      <c r="BY8" s="65">
        <f>Таблица1[[#This Row],[Т1]]+Таблица1[[#This Row],[Lпрям1, мм]]</f>
        <v>3505935.3786022644</v>
      </c>
      <c r="BZ8" s="65">
        <f>Таблица1[[#This Row],[Т2]]+Таблица1[[#This Row],[Lдуг 2,мм]]</f>
        <v>3506999.5482577751</v>
      </c>
      <c r="CA8" s="65">
        <f>Таблица1[[#This Row],[Т3]]+Таблица1[[#This Row],[Lпрям2, мм]]</f>
        <v>3510721.5482577751</v>
      </c>
      <c r="CB8" s="65">
        <f>Таблица1[[#This Row],[Т4]]+Таблица1[[#This Row],[Lдуг 3,мм]]</f>
        <v>3511848.5557261938</v>
      </c>
      <c r="CC8" s="65">
        <f>Таблица1[[#This Row],[Т5]]+Таблица1[[#This Row],[Lпрям3, мм]]</f>
        <v>3513693.2157289041</v>
      </c>
      <c r="CD8" s="65">
        <f>Таблица1[[#This Row],[Т6]]+Таблица1[[#This Row],[Lдуг 4,мм]]</f>
        <v>3514820.300989436</v>
      </c>
      <c r="CE8" s="65">
        <f>Таблица1[[#This Row],[Т7]]+Таблица1[[#This Row],[Lпрям4, мм]]</f>
        <v>3515570.4009894361</v>
      </c>
      <c r="CF8" s="72">
        <f>Таблица1[[#This Row],[Т8]]+Таблица1[[#This Row],[Lдуг 5,мм]]</f>
        <v>3515762.843478404</v>
      </c>
      <c r="CG8" s="65">
        <f>Таблица1[[#This Row],[Т9]]+Таблица1[[#This Row],[Lпрям5, мм]]</f>
        <v>3525745.6735606655</v>
      </c>
      <c r="CH8" s="65">
        <f>Таблица1[[#This Row],[Т10]]+Таблица1[[#This Row],[Lдуг 6,мм]]</f>
        <v>3527065.1624086797</v>
      </c>
      <c r="CI8" s="66">
        <f>Таблица1[[#This Row],[Т11]]+Таблица1[[#This Row],[Lпрям6, мм]]</f>
        <v>3528386.8418603814</v>
      </c>
      <c r="CJ8" s="64">
        <f>Таблица1[[#This Row],[Т12]]-Таблица1[[#This Row],[Т12]]</f>
        <v>0</v>
      </c>
      <c r="CK8" s="65">
        <f>Таблица1[[#This Row],[Т12]]-Таблица1[[#This Row],[Т11]]</f>
        <v>1321.679451701697</v>
      </c>
      <c r="CL8" s="65">
        <f>Таблица1[[#This Row],[Т12]]-Таблица1[[#This Row],[Т10]]</f>
        <v>2641.168299715966</v>
      </c>
      <c r="CM8" s="65">
        <f>Таблица1[[#This Row],[Т12]]-Таблица1[[#This Row],[Т9]]</f>
        <v>12623.998381977435</v>
      </c>
      <c r="CN8" s="65">
        <f>Таблица1[[#This Row],[Т12]]-Таблица1[[#This Row],[Т8]]</f>
        <v>12816.440870945342</v>
      </c>
      <c r="CO8" s="65">
        <f>Таблица1[[#This Row],[Т12]]-Таблица1[[#This Row],[Т7]]</f>
        <v>13566.540870945435</v>
      </c>
      <c r="CP8" s="65">
        <f>Таблица1[[#This Row],[Т12]]-Таблица1[[#This Row],[Т6]]</f>
        <v>14693.6261314773</v>
      </c>
      <c r="CQ8" s="65">
        <f>Таблица1[[#This Row],[Т12]]-Таблица1[[#This Row],[Т5]]</f>
        <v>16538.286134187598</v>
      </c>
      <c r="CR8" s="65">
        <f>Таблица1[[#This Row],[Т12]]-Таблица1[[#This Row],[Т4]]</f>
        <v>17665.293602606282</v>
      </c>
      <c r="CS8" s="65">
        <f>Таблица1[[#This Row],[Т12]]-Таблица1[[#This Row],[Т3]]</f>
        <v>21387.293602606282</v>
      </c>
      <c r="CT8" s="65">
        <f>Таблица1[[#This Row],[Т12]]-Таблица1[[#This Row],[Т2]]</f>
        <v>22451.463258116972</v>
      </c>
      <c r="CU8" s="65">
        <f>Таблица1[[#This Row],[Т12]]-Таблица1[[#This Row],[Т1]]</f>
        <v>24337.763074483722</v>
      </c>
      <c r="CV8" s="65">
        <f>Таблица1[[#This Row],[Lкан_леб,мм]]+Таблица1[[#This Row],[Lкан_дуг, мм]]+Таблица1[[#This Row],[Lкан_прям, мм]]</f>
        <v>3528386.841860381</v>
      </c>
      <c r="CW8" s="60">
        <f>3511128.4-(Таблица1[[#This Row],[Lкан_леб,мм]]+Таблица1[[#This Row],[∆Lлеб из за стрел]])</f>
        <v>7079.3212141022086</v>
      </c>
    </row>
    <row r="9" spans="1:115" x14ac:dyDescent="0.25">
      <c r="A9">
        <v>8</v>
      </c>
      <c r="B9">
        <v>53.570469798657733</v>
      </c>
      <c r="C9">
        <v>36.439530201342265</v>
      </c>
      <c r="D9">
        <v>3701.0737410884985</v>
      </c>
      <c r="E9">
        <v>5101.4106306117437</v>
      </c>
      <c r="F9">
        <v>4418.7068987815992</v>
      </c>
      <c r="G9">
        <v>4338.535869606093</v>
      </c>
      <c r="H9">
        <v>4418.5732510884991</v>
      </c>
      <c r="I9">
        <v>3779.7311843387361</v>
      </c>
      <c r="J9">
        <v>1321.6794462730074</v>
      </c>
      <c r="K9">
        <v>19459.432095673637</v>
      </c>
      <c r="L9">
        <v>4837.7356059772246</v>
      </c>
      <c r="M9">
        <v>3504089.6741587301</v>
      </c>
      <c r="N9">
        <v>0</v>
      </c>
      <c r="O9">
        <v>8</v>
      </c>
      <c r="P9">
        <v>-3322.5</v>
      </c>
      <c r="Q9">
        <v>-2811.96</v>
      </c>
      <c r="R9">
        <v>-3280</v>
      </c>
      <c r="S9">
        <v>-914.66</v>
      </c>
      <c r="T9">
        <v>-7002</v>
      </c>
      <c r="U9">
        <v>520.34</v>
      </c>
      <c r="V9">
        <v>-7002.1</v>
      </c>
      <c r="W9">
        <v>2365</v>
      </c>
      <c r="X9">
        <v>-6252</v>
      </c>
      <c r="Y9">
        <v>3800</v>
      </c>
      <c r="Z9">
        <v>3701.0737410884985</v>
      </c>
      <c r="AA9">
        <v>5101.4106306117437</v>
      </c>
      <c r="AB9">
        <v>0</v>
      </c>
      <c r="AC9">
        <v>1064.1696555107644</v>
      </c>
      <c r="AD9">
        <v>1127.0074684186504</v>
      </c>
      <c r="AE9">
        <v>1127.0852605320265</v>
      </c>
      <c r="AF9">
        <v>196.21343123457223</v>
      </c>
      <c r="AG9">
        <v>1323.2597902812113</v>
      </c>
      <c r="AH9">
        <v>1886.2998163666878</v>
      </c>
      <c r="AI9">
        <v>3721.9999999999995</v>
      </c>
      <c r="AJ9">
        <v>1844.6600027105269</v>
      </c>
      <c r="AK9">
        <v>750.10000000000059</v>
      </c>
      <c r="AL9">
        <v>9934.6928248947206</v>
      </c>
      <c r="AM9">
        <v>1321.6794517017026</v>
      </c>
      <c r="AN9">
        <v>-95.021003558665456</v>
      </c>
      <c r="AO9">
        <v>-180</v>
      </c>
      <c r="AP9">
        <v>-90.003106034687008</v>
      </c>
      <c r="AQ9">
        <v>1.2722218725854067E-14</v>
      </c>
      <c r="AR9">
        <v>-15.668573510134328</v>
      </c>
      <c r="AS9">
        <v>89.999999566492619</v>
      </c>
      <c r="AT9">
        <v>-2400.1625746957502</v>
      </c>
      <c r="AU9">
        <v>-3280</v>
      </c>
      <c r="AV9">
        <v>-7719.4999989457119</v>
      </c>
      <c r="AW9">
        <v>-7002.1</v>
      </c>
      <c r="AX9">
        <v>-6058.2230723764287</v>
      </c>
      <c r="AY9">
        <v>4418.5737410884985</v>
      </c>
      <c r="AZ9">
        <v>-2730.9252207921031</v>
      </c>
      <c r="BA9">
        <v>-197.16</v>
      </c>
      <c r="BB9">
        <v>520.3011039433311</v>
      </c>
      <c r="BC9">
        <v>3082.5000000000005</v>
      </c>
      <c r="BD9">
        <v>3109.1622822103809</v>
      </c>
      <c r="BE9">
        <v>5101.410636040443</v>
      </c>
      <c r="BF9">
        <v>-2565.2532760267472</v>
      </c>
      <c r="BG9">
        <v>-7002</v>
      </c>
      <c r="BH9">
        <v>-7719.5999989457123</v>
      </c>
      <c r="BI9">
        <v>-6252</v>
      </c>
      <c r="BJ9">
        <v>3507.2968134649282</v>
      </c>
      <c r="BK9">
        <v>4418.5737510884983</v>
      </c>
      <c r="BL9">
        <v>-851.86373761518519</v>
      </c>
      <c r="BM9">
        <v>-197.16</v>
      </c>
      <c r="BN9">
        <v>2364.9611039433312</v>
      </c>
      <c r="BO9">
        <v>3082.5000000000005</v>
      </c>
      <c r="BP9">
        <v>5792.2483484013628</v>
      </c>
      <c r="BQ9">
        <v>3779.7311843387401</v>
      </c>
      <c r="BR9">
        <v>0</v>
      </c>
      <c r="BS9">
        <v>84.97899644133453</v>
      </c>
      <c r="BT9">
        <v>89.996893965312992</v>
      </c>
      <c r="BU9">
        <v>90.003106034687022</v>
      </c>
      <c r="BV9">
        <v>15.668573510134342</v>
      </c>
      <c r="BW9">
        <v>105.66857307662696</v>
      </c>
      <c r="BX9" s="69">
        <f>Таблица1[[#This Row],[Lкан_леб,мм]]</f>
        <v>3504089.6741587301</v>
      </c>
      <c r="BY9" s="65">
        <f>Таблица1[[#This Row],[Т1]]+Таблица1[[#This Row],[Lпрям1, мм]]</f>
        <v>3505975.9739750968</v>
      </c>
      <c r="BZ9" s="65">
        <f>Таблица1[[#This Row],[Т2]]+Таблица1[[#This Row],[Lдуг 2,мм]]</f>
        <v>3507040.1436306075</v>
      </c>
      <c r="CA9" s="65">
        <f>Таблица1[[#This Row],[Т3]]+Таблица1[[#This Row],[Lпрям2, мм]]</f>
        <v>3510762.1436306075</v>
      </c>
      <c r="CB9" s="65">
        <f>Таблица1[[#This Row],[Т4]]+Таблица1[[#This Row],[Lдуг 3,мм]]</f>
        <v>3511889.1510990262</v>
      </c>
      <c r="CC9" s="65">
        <f>Таблица1[[#This Row],[Т5]]+Таблица1[[#This Row],[Lпрям3, мм]]</f>
        <v>3513733.8111017365</v>
      </c>
      <c r="CD9" s="65">
        <f>Таблица1[[#This Row],[Т6]]+Таблица1[[#This Row],[Lдуг 4,мм]]</f>
        <v>3514860.8963622684</v>
      </c>
      <c r="CE9" s="65">
        <f>Таблица1[[#This Row],[Т7]]+Таблица1[[#This Row],[Lпрям4, мм]]</f>
        <v>3515610.9963622685</v>
      </c>
      <c r="CF9" s="72">
        <f>Таблица1[[#This Row],[Т8]]+Таблица1[[#This Row],[Lдуг 5,мм]]</f>
        <v>3515807.2097935029</v>
      </c>
      <c r="CG9" s="65">
        <f>Таблица1[[#This Row],[Т9]]+Таблица1[[#This Row],[Lпрям5, мм]]</f>
        <v>3525741.9026183975</v>
      </c>
      <c r="CH9" s="65">
        <f>Таблица1[[#This Row],[Т10]]+Таблица1[[#This Row],[Lдуг 6,мм]]</f>
        <v>3527065.1624086788</v>
      </c>
      <c r="CI9" s="66">
        <f>Таблица1[[#This Row],[Т11]]+Таблица1[[#This Row],[Lпрям6, мм]]</f>
        <v>3528386.8418603805</v>
      </c>
      <c r="CJ9" s="64">
        <f>Таблица1[[#This Row],[Т12]]-Таблица1[[#This Row],[Т12]]</f>
        <v>0</v>
      </c>
      <c r="CK9" s="65">
        <f>Таблица1[[#This Row],[Т12]]-Таблица1[[#This Row],[Т11]]</f>
        <v>1321.679451701697</v>
      </c>
      <c r="CL9" s="65">
        <f>Таблица1[[#This Row],[Т12]]-Таблица1[[#This Row],[Т10]]</f>
        <v>2644.9392419829965</v>
      </c>
      <c r="CM9" s="65">
        <f>Таблица1[[#This Row],[Т12]]-Таблица1[[#This Row],[Т9]]</f>
        <v>12579.632066877559</v>
      </c>
      <c r="CN9" s="65">
        <f>Таблица1[[#This Row],[Т12]]-Таблица1[[#This Row],[Т8]]</f>
        <v>12775.84549811203</v>
      </c>
      <c r="CO9" s="65">
        <f>Таблица1[[#This Row],[Т12]]-Таблица1[[#This Row],[Т7]]</f>
        <v>13525.945498112123</v>
      </c>
      <c r="CP9" s="65">
        <f>Таблица1[[#This Row],[Т12]]-Таблица1[[#This Row],[Т6]]</f>
        <v>14653.030758643989</v>
      </c>
      <c r="CQ9" s="65">
        <f>Таблица1[[#This Row],[Т12]]-Таблица1[[#This Row],[Т5]]</f>
        <v>16497.690761354286</v>
      </c>
      <c r="CR9" s="65">
        <f>Таблица1[[#This Row],[Т12]]-Таблица1[[#This Row],[Т4]]</f>
        <v>17624.69822977297</v>
      </c>
      <c r="CS9" s="65">
        <f>Таблица1[[#This Row],[Т12]]-Таблица1[[#This Row],[Т3]]</f>
        <v>21346.69822977297</v>
      </c>
      <c r="CT9" s="65">
        <f>Таблица1[[#This Row],[Т12]]-Таблица1[[#This Row],[Т2]]</f>
        <v>22410.86788528366</v>
      </c>
      <c r="CU9" s="65">
        <f>Таблица1[[#This Row],[Т12]]-Таблица1[[#This Row],[Т1]]</f>
        <v>24297.167701650411</v>
      </c>
      <c r="CV9" s="65">
        <f>Таблица1[[#This Row],[Lкан_леб,мм]]+Таблица1[[#This Row],[Lкан_дуг, мм]]+Таблица1[[#This Row],[Lкан_прям, мм]]</f>
        <v>3528386.841860381</v>
      </c>
      <c r="CW9" s="60">
        <f>3511128.4-(Таблица1[[#This Row],[Lкан_леб,мм]]+Таблица1[[#This Row],[∆Lлеб из за стрел]])</f>
        <v>7038.7258412698284</v>
      </c>
    </row>
    <row r="10" spans="1:115" x14ac:dyDescent="0.25">
      <c r="A10">
        <v>9</v>
      </c>
      <c r="B10">
        <v>54.080536912751697</v>
      </c>
      <c r="C10">
        <v>35.929463087248301</v>
      </c>
      <c r="D10">
        <v>3647.6051215959342</v>
      </c>
      <c r="E10">
        <v>5140.5072078137955</v>
      </c>
      <c r="F10">
        <v>4365.2382792890348</v>
      </c>
      <c r="G10">
        <v>4377.6324468081448</v>
      </c>
      <c r="H10">
        <v>4365.1046315959338</v>
      </c>
      <c r="I10">
        <v>3818.8277615412389</v>
      </c>
      <c r="J10">
        <v>1321.6794462725568</v>
      </c>
      <c r="K10">
        <v>19411.089261433724</v>
      </c>
      <c r="L10">
        <v>4845.2927469085344</v>
      </c>
      <c r="M10">
        <v>3504130.4598520384</v>
      </c>
      <c r="N10">
        <v>0</v>
      </c>
      <c r="O10">
        <v>8</v>
      </c>
      <c r="P10">
        <v>-3322.5</v>
      </c>
      <c r="Q10">
        <v>-2811.96</v>
      </c>
      <c r="R10">
        <v>-3280</v>
      </c>
      <c r="S10">
        <v>-914.66</v>
      </c>
      <c r="T10">
        <v>-7002</v>
      </c>
      <c r="U10">
        <v>520.34</v>
      </c>
      <c r="V10">
        <v>-7002.1</v>
      </c>
      <c r="W10">
        <v>2365</v>
      </c>
      <c r="X10">
        <v>-6252</v>
      </c>
      <c r="Y10">
        <v>3800</v>
      </c>
      <c r="Z10">
        <v>3647.6051215959342</v>
      </c>
      <c r="AA10">
        <v>5140.5072078137955</v>
      </c>
      <c r="AB10">
        <v>0</v>
      </c>
      <c r="AC10">
        <v>1064.1696555107644</v>
      </c>
      <c r="AD10">
        <v>1127.0074684186504</v>
      </c>
      <c r="AE10">
        <v>1127.0852605320265</v>
      </c>
      <c r="AF10">
        <v>199.99200170022695</v>
      </c>
      <c r="AG10">
        <v>1327.0383607468664</v>
      </c>
      <c r="AH10">
        <v>1886.2998163666878</v>
      </c>
      <c r="AI10">
        <v>3721.9999999999995</v>
      </c>
      <c r="AJ10">
        <v>1844.6600027105269</v>
      </c>
      <c r="AK10">
        <v>750.10000000000059</v>
      </c>
      <c r="AL10">
        <v>9886.3499906552552</v>
      </c>
      <c r="AM10">
        <v>1321.679451701252</v>
      </c>
      <c r="AN10">
        <v>-95.021003558665456</v>
      </c>
      <c r="AO10">
        <v>-180</v>
      </c>
      <c r="AP10">
        <v>-90.003106034687008</v>
      </c>
      <c r="AQ10">
        <v>1.2722218725854067E-14</v>
      </c>
      <c r="AR10">
        <v>-15.970310291005127</v>
      </c>
      <c r="AS10">
        <v>89.999999566492633</v>
      </c>
      <c r="AT10">
        <v>-2400.1625746957502</v>
      </c>
      <c r="AU10">
        <v>-3280</v>
      </c>
      <c r="AV10">
        <v>-7719.4999989457119</v>
      </c>
      <c r="AW10">
        <v>-7002.1</v>
      </c>
      <c r="AX10">
        <v>-6054.5876174028863</v>
      </c>
      <c r="AY10">
        <v>4365.1051215959342</v>
      </c>
      <c r="AZ10">
        <v>-2730.9252207921031</v>
      </c>
      <c r="BA10">
        <v>-197.16</v>
      </c>
      <c r="BB10">
        <v>520.3011039433311</v>
      </c>
      <c r="BC10">
        <v>3082.5000000000005</v>
      </c>
      <c r="BD10">
        <v>3110.1923447820177</v>
      </c>
      <c r="BE10">
        <v>5140.5072132424948</v>
      </c>
      <c r="BF10">
        <v>-2565.2532760267472</v>
      </c>
      <c r="BG10">
        <v>-7002</v>
      </c>
      <c r="BH10">
        <v>-7719.5999989457123</v>
      </c>
      <c r="BI10">
        <v>-6252</v>
      </c>
      <c r="BJ10">
        <v>3450.1927389988205</v>
      </c>
      <c r="BK10">
        <v>4365.1051315959339</v>
      </c>
      <c r="BL10">
        <v>-851.86373761518519</v>
      </c>
      <c r="BM10">
        <v>-197.16</v>
      </c>
      <c r="BN10">
        <v>2364.9611039433312</v>
      </c>
      <c r="BO10">
        <v>3082.5000000000005</v>
      </c>
      <c r="BP10">
        <v>5830.3148630317783</v>
      </c>
      <c r="BQ10">
        <v>3818.827761541243</v>
      </c>
      <c r="BR10">
        <v>0</v>
      </c>
      <c r="BS10">
        <v>84.97899644133453</v>
      </c>
      <c r="BT10">
        <v>89.996893965312992</v>
      </c>
      <c r="BU10">
        <v>90.003106034687022</v>
      </c>
      <c r="BV10">
        <v>15.97031029100514</v>
      </c>
      <c r="BW10">
        <v>105.97030985749777</v>
      </c>
      <c r="BX10" s="69">
        <f>Таблица1[[#This Row],[Lкан_леб,мм]]</f>
        <v>3504130.4598520384</v>
      </c>
      <c r="BY10" s="65">
        <f>Таблица1[[#This Row],[Т1]]+Таблица1[[#This Row],[Lпрям1, мм]]</f>
        <v>3506016.7596684052</v>
      </c>
      <c r="BZ10" s="65">
        <f>Таблица1[[#This Row],[Т2]]+Таблица1[[#This Row],[Lдуг 2,мм]]</f>
        <v>3507080.9293239159</v>
      </c>
      <c r="CA10" s="65">
        <f>Таблица1[[#This Row],[Т3]]+Таблица1[[#This Row],[Lпрям2, мм]]</f>
        <v>3510802.9293239159</v>
      </c>
      <c r="CB10" s="65">
        <f>Таблица1[[#This Row],[Т4]]+Таблица1[[#This Row],[Lдуг 3,мм]]</f>
        <v>3511929.9367923345</v>
      </c>
      <c r="CC10" s="65">
        <f>Таблица1[[#This Row],[Т5]]+Таблица1[[#This Row],[Lпрям3, мм]]</f>
        <v>3513774.5967950448</v>
      </c>
      <c r="CD10" s="65">
        <f>Таблица1[[#This Row],[Т6]]+Таблица1[[#This Row],[Lдуг 4,мм]]</f>
        <v>3514901.6820555767</v>
      </c>
      <c r="CE10" s="65">
        <f>Таблица1[[#This Row],[Т7]]+Таблица1[[#This Row],[Lпрям4, мм]]</f>
        <v>3515651.7820555768</v>
      </c>
      <c r="CF10" s="72">
        <f>Таблица1[[#This Row],[Т8]]+Таблица1[[#This Row],[Lдуг 5,мм]]</f>
        <v>3515851.774057277</v>
      </c>
      <c r="CG10" s="65">
        <f>Таблица1[[#This Row],[Т9]]+Таблица1[[#This Row],[Lпрям5, мм]]</f>
        <v>3525738.1240479322</v>
      </c>
      <c r="CH10" s="65">
        <f>Таблица1[[#This Row],[Т10]]+Таблица1[[#This Row],[Lдуг 6,мм]]</f>
        <v>3527065.1624086793</v>
      </c>
      <c r="CI10" s="66">
        <f>Таблица1[[#This Row],[Т11]]+Таблица1[[#This Row],[Lпрям6, мм]]</f>
        <v>3528386.8418603805</v>
      </c>
      <c r="CJ10" s="64">
        <f>Таблица1[[#This Row],[Т12]]-Таблица1[[#This Row],[Т12]]</f>
        <v>0</v>
      </c>
      <c r="CK10" s="65">
        <f>Таблица1[[#This Row],[Т12]]-Таблица1[[#This Row],[Т11]]</f>
        <v>1321.6794517012313</v>
      </c>
      <c r="CL10" s="65">
        <f>Таблица1[[#This Row],[Т12]]-Таблица1[[#This Row],[Т10]]</f>
        <v>2648.7178124482743</v>
      </c>
      <c r="CM10" s="65">
        <f>Таблица1[[#This Row],[Т12]]-Таблица1[[#This Row],[Т9]]</f>
        <v>12535.067803103477</v>
      </c>
      <c r="CN10" s="65">
        <f>Таблица1[[#This Row],[Т12]]-Таблица1[[#This Row],[Т8]]</f>
        <v>12735.059804803692</v>
      </c>
      <c r="CO10" s="65">
        <f>Таблица1[[#This Row],[Т12]]-Таблица1[[#This Row],[Т7]]</f>
        <v>13485.159804803785</v>
      </c>
      <c r="CP10" s="65">
        <f>Таблица1[[#This Row],[Т12]]-Таблица1[[#This Row],[Т6]]</f>
        <v>14612.24506533565</v>
      </c>
      <c r="CQ10" s="65">
        <f>Таблица1[[#This Row],[Т12]]-Таблица1[[#This Row],[Т5]]</f>
        <v>16456.905068045948</v>
      </c>
      <c r="CR10" s="65">
        <f>Таблица1[[#This Row],[Т12]]-Таблица1[[#This Row],[Т4]]</f>
        <v>17583.912536464632</v>
      </c>
      <c r="CS10" s="65">
        <f>Таблица1[[#This Row],[Т12]]-Таблица1[[#This Row],[Т3]]</f>
        <v>21305.912536464632</v>
      </c>
      <c r="CT10" s="65">
        <f>Таблица1[[#This Row],[Т12]]-Таблица1[[#This Row],[Т2]]</f>
        <v>22370.082191975322</v>
      </c>
      <c r="CU10" s="65">
        <f>Таблица1[[#This Row],[Т12]]-Таблица1[[#This Row],[Т1]]</f>
        <v>24256.382008342072</v>
      </c>
      <c r="CV10" s="65">
        <f>Таблица1[[#This Row],[Lкан_леб,мм]]+Таблица1[[#This Row],[Lкан_дуг, мм]]+Таблица1[[#This Row],[Lкан_прям, мм]]</f>
        <v>3528386.8418603805</v>
      </c>
      <c r="CW10" s="60">
        <f>3511128.4-(Таблица1[[#This Row],[Lкан_леб,мм]]+Таблица1[[#This Row],[∆Lлеб из за стрел]])</f>
        <v>6997.9401479614899</v>
      </c>
    </row>
    <row r="11" spans="1:115" x14ac:dyDescent="0.25">
      <c r="A11">
        <v>10</v>
      </c>
      <c r="B11">
        <v>54.590604026845661</v>
      </c>
      <c r="C11">
        <v>35.419395973154337</v>
      </c>
      <c r="D11">
        <v>3593.7905739945795</v>
      </c>
      <c r="E11">
        <v>5179.1262456813811</v>
      </c>
      <c r="F11">
        <v>4311.4237316876806</v>
      </c>
      <c r="G11">
        <v>4416.2514846757304</v>
      </c>
      <c r="H11">
        <v>4311.2900839945796</v>
      </c>
      <c r="I11">
        <v>3857.4467994086335</v>
      </c>
      <c r="J11">
        <v>1321.6794462727476</v>
      </c>
      <c r="K11">
        <v>19362.541679268455</v>
      </c>
      <c r="L11">
        <v>4852.8654142722662</v>
      </c>
      <c r="M11">
        <v>3504171.4347668402</v>
      </c>
      <c r="N11">
        <v>0</v>
      </c>
      <c r="O11">
        <v>8</v>
      </c>
      <c r="P11">
        <v>-3322.5</v>
      </c>
      <c r="Q11">
        <v>-2811.96</v>
      </c>
      <c r="R11">
        <v>-3280</v>
      </c>
      <c r="S11">
        <v>-914.66</v>
      </c>
      <c r="T11">
        <v>-7002</v>
      </c>
      <c r="U11">
        <v>520.34</v>
      </c>
      <c r="V11">
        <v>-7002.1</v>
      </c>
      <c r="W11">
        <v>2365</v>
      </c>
      <c r="X11">
        <v>-6252</v>
      </c>
      <c r="Y11">
        <v>3800</v>
      </c>
      <c r="Z11">
        <v>3593.7905739945795</v>
      </c>
      <c r="AA11">
        <v>5179.1262456813811</v>
      </c>
      <c r="AB11">
        <v>0</v>
      </c>
      <c r="AC11">
        <v>1064.1696555107644</v>
      </c>
      <c r="AD11">
        <v>1127.0074684186504</v>
      </c>
      <c r="AE11">
        <v>1127.0852605320265</v>
      </c>
      <c r="AF11">
        <v>203.77833538209288</v>
      </c>
      <c r="AG11">
        <v>1330.8246944287323</v>
      </c>
      <c r="AH11">
        <v>1886.2998163666878</v>
      </c>
      <c r="AI11">
        <v>3721.9999999999995</v>
      </c>
      <c r="AJ11">
        <v>1844.6600027105269</v>
      </c>
      <c r="AK11">
        <v>750.10000000000059</v>
      </c>
      <c r="AL11">
        <v>9837.8024084898007</v>
      </c>
      <c r="AM11">
        <v>1321.679451701443</v>
      </c>
      <c r="AN11">
        <v>-95.021003558665456</v>
      </c>
      <c r="AO11">
        <v>-180</v>
      </c>
      <c r="AP11">
        <v>-90.003106034687008</v>
      </c>
      <c r="AQ11">
        <v>1.2722218725854067E-14</v>
      </c>
      <c r="AR11">
        <v>-16.272667001526589</v>
      </c>
      <c r="AS11">
        <v>89.999999566492619</v>
      </c>
      <c r="AT11">
        <v>-2400.1625746957502</v>
      </c>
      <c r="AU11">
        <v>-3280</v>
      </c>
      <c r="AV11">
        <v>-7719.4999989457119</v>
      </c>
      <c r="AW11">
        <v>-7002.1</v>
      </c>
      <c r="AX11">
        <v>-6050.9501852093326</v>
      </c>
      <c r="AY11">
        <v>4311.2905739945791</v>
      </c>
      <c r="AZ11">
        <v>-2730.9252207921031</v>
      </c>
      <c r="BA11">
        <v>-197.16</v>
      </c>
      <c r="BB11">
        <v>520.3011039433311</v>
      </c>
      <c r="BC11">
        <v>3082.5000000000005</v>
      </c>
      <c r="BD11">
        <v>3111.243713660167</v>
      </c>
      <c r="BE11">
        <v>5179.1262511100804</v>
      </c>
      <c r="BF11">
        <v>-2565.2532760267472</v>
      </c>
      <c r="BG11">
        <v>-7002</v>
      </c>
      <c r="BH11">
        <v>-7719.5999989457123</v>
      </c>
      <c r="BI11">
        <v>-6252</v>
      </c>
      <c r="BJ11">
        <v>3392.7407592039126</v>
      </c>
      <c r="BK11">
        <v>4311.2905839945797</v>
      </c>
      <c r="BL11">
        <v>-851.86373761518519</v>
      </c>
      <c r="BM11">
        <v>-197.16</v>
      </c>
      <c r="BN11">
        <v>2364.9611039433312</v>
      </c>
      <c r="BO11">
        <v>3082.5000000000005</v>
      </c>
      <c r="BP11">
        <v>5867.8825320212145</v>
      </c>
      <c r="BQ11">
        <v>3857.4467994086372</v>
      </c>
      <c r="BR11">
        <v>0</v>
      </c>
      <c r="BS11">
        <v>84.97899644133453</v>
      </c>
      <c r="BT11">
        <v>89.996893965312992</v>
      </c>
      <c r="BU11">
        <v>90.003106034687022</v>
      </c>
      <c r="BV11">
        <v>16.2726670015266</v>
      </c>
      <c r="BW11">
        <v>106.27266656801922</v>
      </c>
      <c r="BX11" s="69">
        <f>Таблица1[[#This Row],[Lкан_леб,мм]]</f>
        <v>3504171.4347668402</v>
      </c>
      <c r="BY11" s="65">
        <f>Таблица1[[#This Row],[Т1]]+Таблица1[[#This Row],[Lпрям1, мм]]</f>
        <v>3506057.7345832069</v>
      </c>
      <c r="BZ11" s="65">
        <f>Таблица1[[#This Row],[Т2]]+Таблица1[[#This Row],[Lдуг 2,мм]]</f>
        <v>3507121.9042387176</v>
      </c>
      <c r="CA11" s="65">
        <f>Таблица1[[#This Row],[Т3]]+Таблица1[[#This Row],[Lпрям2, мм]]</f>
        <v>3510843.9042387176</v>
      </c>
      <c r="CB11" s="65">
        <f>Таблица1[[#This Row],[Т4]]+Таблица1[[#This Row],[Lдуг 3,мм]]</f>
        <v>3511970.9117071363</v>
      </c>
      <c r="CC11" s="65">
        <f>Таблица1[[#This Row],[Т5]]+Таблица1[[#This Row],[Lпрям3, мм]]</f>
        <v>3513815.5717098466</v>
      </c>
      <c r="CD11" s="65">
        <f>Таблица1[[#This Row],[Т6]]+Таблица1[[#This Row],[Lдуг 4,мм]]</f>
        <v>3514942.6569703785</v>
      </c>
      <c r="CE11" s="65">
        <f>Таблица1[[#This Row],[Т7]]+Таблица1[[#This Row],[Lпрям4, мм]]</f>
        <v>3515692.7569703786</v>
      </c>
      <c r="CF11" s="72">
        <f>Таблица1[[#This Row],[Т8]]+Таблица1[[#This Row],[Lдуг 5,мм]]</f>
        <v>3515896.5353057608</v>
      </c>
      <c r="CG11" s="65">
        <f>Таблица1[[#This Row],[Т9]]+Таблица1[[#This Row],[Lпрям5, мм]]</f>
        <v>3525734.3377142507</v>
      </c>
      <c r="CH11" s="65">
        <f>Таблица1[[#This Row],[Т10]]+Таблица1[[#This Row],[Lдуг 6,мм]]</f>
        <v>3527065.1624086793</v>
      </c>
      <c r="CI11" s="66">
        <f>Таблица1[[#This Row],[Т11]]+Таблица1[[#This Row],[Lпрям6, мм]]</f>
        <v>3528386.8418603805</v>
      </c>
      <c r="CJ11" s="64">
        <f>Таблица1[[#This Row],[Т12]]-Таблица1[[#This Row],[Т12]]</f>
        <v>0</v>
      </c>
      <c r="CK11" s="65">
        <f>Таблица1[[#This Row],[Т12]]-Таблица1[[#This Row],[Т11]]</f>
        <v>1321.6794517012313</v>
      </c>
      <c r="CL11" s="65">
        <f>Таблица1[[#This Row],[Т12]]-Таблица1[[#This Row],[Т10]]</f>
        <v>2652.5041461298242</v>
      </c>
      <c r="CM11" s="65">
        <f>Таблица1[[#This Row],[Т12]]-Таблица1[[#This Row],[Т9]]</f>
        <v>12490.306554619689</v>
      </c>
      <c r="CN11" s="65">
        <f>Таблица1[[#This Row],[Т12]]-Таблица1[[#This Row],[Т8]]</f>
        <v>12694.084890001919</v>
      </c>
      <c r="CO11" s="65">
        <f>Таблица1[[#This Row],[Т12]]-Таблица1[[#This Row],[Т7]]</f>
        <v>13444.184890002012</v>
      </c>
      <c r="CP11" s="65">
        <f>Таблица1[[#This Row],[Т12]]-Таблица1[[#This Row],[Т6]]</f>
        <v>14571.270150533877</v>
      </c>
      <c r="CQ11" s="65">
        <f>Таблица1[[#This Row],[Т12]]-Таблица1[[#This Row],[Т5]]</f>
        <v>16415.930153244175</v>
      </c>
      <c r="CR11" s="65">
        <f>Таблица1[[#This Row],[Т12]]-Таблица1[[#This Row],[Т4]]</f>
        <v>17542.937621662859</v>
      </c>
      <c r="CS11" s="65">
        <f>Таблица1[[#This Row],[Т12]]-Таблица1[[#This Row],[Т3]]</f>
        <v>21264.937621662859</v>
      </c>
      <c r="CT11" s="65">
        <f>Таблица1[[#This Row],[Т12]]-Таблица1[[#This Row],[Т2]]</f>
        <v>22329.107277173549</v>
      </c>
      <c r="CU11" s="65">
        <f>Таблица1[[#This Row],[Т12]]-Таблица1[[#This Row],[Т1]]</f>
        <v>24215.4070935403</v>
      </c>
      <c r="CV11" s="65">
        <f>Таблица1[[#This Row],[Lкан_леб,мм]]+Таблица1[[#This Row],[Lкан_дуг, мм]]+Таблица1[[#This Row],[Lкан_прям, мм]]</f>
        <v>3528386.8418603805</v>
      </c>
      <c r="CW11" s="60">
        <f>3511128.4-(Таблица1[[#This Row],[Lкан_леб,мм]]+Таблица1[[#This Row],[∆Lлеб из за стрел]])</f>
        <v>6956.9652331597172</v>
      </c>
    </row>
    <row r="12" spans="1:115" x14ac:dyDescent="0.25">
      <c r="A12">
        <v>11</v>
      </c>
      <c r="B12">
        <v>55.100671140939625</v>
      </c>
      <c r="C12">
        <v>34.909328859060373</v>
      </c>
      <c r="D12">
        <v>3539.6343631584696</v>
      </c>
      <c r="E12">
        <v>5217.264683604707</v>
      </c>
      <c r="F12">
        <v>4257.2675208515702</v>
      </c>
      <c r="G12">
        <v>4454.3899225990563</v>
      </c>
      <c r="H12">
        <v>4257.1338731584692</v>
      </c>
      <c r="I12">
        <v>3895.5852373318658</v>
      </c>
      <c r="J12">
        <v>1321.6794462728415</v>
      </c>
      <c r="K12">
        <v>19313.790179073127</v>
      </c>
      <c r="L12">
        <v>4860.4538847578879</v>
      </c>
      <c r="M12">
        <v>3504212.59779655</v>
      </c>
      <c r="N12">
        <v>0</v>
      </c>
      <c r="O12">
        <v>8</v>
      </c>
      <c r="P12">
        <v>-3322.5</v>
      </c>
      <c r="Q12">
        <v>-2811.96</v>
      </c>
      <c r="R12">
        <v>-3280</v>
      </c>
      <c r="S12">
        <v>-914.66</v>
      </c>
      <c r="T12">
        <v>-7002</v>
      </c>
      <c r="U12">
        <v>520.34</v>
      </c>
      <c r="V12">
        <v>-7002.1</v>
      </c>
      <c r="W12">
        <v>2365</v>
      </c>
      <c r="X12">
        <v>-6252</v>
      </c>
      <c r="Y12">
        <v>3800</v>
      </c>
      <c r="Z12">
        <v>3539.6343631584696</v>
      </c>
      <c r="AA12">
        <v>5217.264683604707</v>
      </c>
      <c r="AB12">
        <v>0</v>
      </c>
      <c r="AC12">
        <v>1064.1696555107644</v>
      </c>
      <c r="AD12">
        <v>1127.0074684186504</v>
      </c>
      <c r="AE12">
        <v>1127.0852605320265</v>
      </c>
      <c r="AF12">
        <v>207.57257062490399</v>
      </c>
      <c r="AG12">
        <v>1334.6189296715429</v>
      </c>
      <c r="AH12">
        <v>1886.2998163666878</v>
      </c>
      <c r="AI12">
        <v>3721.9999999999995</v>
      </c>
      <c r="AJ12">
        <v>1844.6600027105269</v>
      </c>
      <c r="AK12">
        <v>750.10000000000059</v>
      </c>
      <c r="AL12">
        <v>9789.0509082943736</v>
      </c>
      <c r="AM12">
        <v>1321.6794517015367</v>
      </c>
      <c r="AN12">
        <v>-95.021003558665456</v>
      </c>
      <c r="AO12">
        <v>-180</v>
      </c>
      <c r="AP12">
        <v>-90.003106034687008</v>
      </c>
      <c r="AQ12">
        <v>1.2722218725854067E-14</v>
      </c>
      <c r="AR12">
        <v>-16.575654689182159</v>
      </c>
      <c r="AS12">
        <v>89.999999566492605</v>
      </c>
      <c r="AT12">
        <v>-2400.1625746957502</v>
      </c>
      <c r="AU12">
        <v>-3280</v>
      </c>
      <c r="AV12">
        <v>-7719.4999989457119</v>
      </c>
      <c r="AW12">
        <v>-7002.1</v>
      </c>
      <c r="AX12">
        <v>-6047.3107786222336</v>
      </c>
      <c r="AY12">
        <v>4257.1343631584696</v>
      </c>
      <c r="AZ12">
        <v>-2730.9252207921031</v>
      </c>
      <c r="BA12">
        <v>-197.16</v>
      </c>
      <c r="BB12">
        <v>520.3011039433311</v>
      </c>
      <c r="BC12">
        <v>3082.5000000000005</v>
      </c>
      <c r="BD12">
        <v>3112.3165171012442</v>
      </c>
      <c r="BE12">
        <v>5217.2646890334063</v>
      </c>
      <c r="BF12">
        <v>-2565.2532760267472</v>
      </c>
      <c r="BG12">
        <v>-7002</v>
      </c>
      <c r="BH12">
        <v>-7719.5999989457123</v>
      </c>
      <c r="BI12">
        <v>-6252</v>
      </c>
      <c r="BJ12">
        <v>3334.9451417807031</v>
      </c>
      <c r="BK12">
        <v>4257.1343731584693</v>
      </c>
      <c r="BL12">
        <v>-851.86373761518519</v>
      </c>
      <c r="BM12">
        <v>-197.16</v>
      </c>
      <c r="BN12">
        <v>2364.9611039433312</v>
      </c>
      <c r="BO12">
        <v>3082.5000000000005</v>
      </c>
      <c r="BP12">
        <v>5904.9481665034637</v>
      </c>
      <c r="BQ12">
        <v>3895.5852373318698</v>
      </c>
      <c r="BR12">
        <v>0</v>
      </c>
      <c r="BS12">
        <v>84.97899644133453</v>
      </c>
      <c r="BT12">
        <v>89.996893965312992</v>
      </c>
      <c r="BU12">
        <v>90.003106034687022</v>
      </c>
      <c r="BV12">
        <v>16.575654689182169</v>
      </c>
      <c r="BW12">
        <v>106.57565425567476</v>
      </c>
      <c r="BX12" s="69">
        <f>Таблица1[[#This Row],[Lкан_леб,мм]]</f>
        <v>3504212.59779655</v>
      </c>
      <c r="BY12" s="65">
        <f>Таблица1[[#This Row],[Т1]]+Таблица1[[#This Row],[Lпрям1, мм]]</f>
        <v>3506098.8976129168</v>
      </c>
      <c r="BZ12" s="65">
        <f>Таблица1[[#This Row],[Т2]]+Таблица1[[#This Row],[Lдуг 2,мм]]</f>
        <v>3507163.0672684275</v>
      </c>
      <c r="CA12" s="65">
        <f>Таблица1[[#This Row],[Т3]]+Таблица1[[#This Row],[Lпрям2, мм]]</f>
        <v>3510885.0672684275</v>
      </c>
      <c r="CB12" s="65">
        <f>Таблица1[[#This Row],[Т4]]+Таблица1[[#This Row],[Lдуг 3,мм]]</f>
        <v>3512012.0747368461</v>
      </c>
      <c r="CC12" s="65">
        <f>Таблица1[[#This Row],[Т5]]+Таблица1[[#This Row],[Lпрям3, мм]]</f>
        <v>3513856.7347395564</v>
      </c>
      <c r="CD12" s="65">
        <f>Таблица1[[#This Row],[Т6]]+Таблица1[[#This Row],[Lдуг 4,мм]]</f>
        <v>3514983.8200000883</v>
      </c>
      <c r="CE12" s="65">
        <f>Таблица1[[#This Row],[Т7]]+Таблица1[[#This Row],[Lпрям4, мм]]</f>
        <v>3515733.9200000884</v>
      </c>
      <c r="CF12" s="72">
        <f>Таблица1[[#This Row],[Т8]]+Таблица1[[#This Row],[Lдуг 5,мм]]</f>
        <v>3515941.4925707132</v>
      </c>
      <c r="CG12" s="65">
        <f>Таблица1[[#This Row],[Т9]]+Таблица1[[#This Row],[Lпрям5, мм]]</f>
        <v>3525730.5434790077</v>
      </c>
      <c r="CH12" s="65">
        <f>Таблица1[[#This Row],[Т10]]+Таблица1[[#This Row],[Lдуг 6,мм]]</f>
        <v>3527065.1624086793</v>
      </c>
      <c r="CI12" s="66">
        <f>Таблица1[[#This Row],[Т11]]+Таблица1[[#This Row],[Lпрям6, мм]]</f>
        <v>3528386.841860381</v>
      </c>
      <c r="CJ12" s="64">
        <f>Таблица1[[#This Row],[Т12]]-Таблица1[[#This Row],[Т12]]</f>
        <v>0</v>
      </c>
      <c r="CK12" s="65">
        <f>Таблица1[[#This Row],[Т12]]-Таблица1[[#This Row],[Т11]]</f>
        <v>1321.679451701697</v>
      </c>
      <c r="CL12" s="65">
        <f>Таблица1[[#This Row],[Т12]]-Таблица1[[#This Row],[Т10]]</f>
        <v>2656.2983813732862</v>
      </c>
      <c r="CM12" s="65">
        <f>Таблица1[[#This Row],[Т12]]-Таблица1[[#This Row],[Т9]]</f>
        <v>12445.349289667793</v>
      </c>
      <c r="CN12" s="65">
        <f>Таблица1[[#This Row],[Т12]]-Таблица1[[#This Row],[Т8]]</f>
        <v>12652.921860292554</v>
      </c>
      <c r="CO12" s="65">
        <f>Таблица1[[#This Row],[Т12]]-Таблица1[[#This Row],[Т7]]</f>
        <v>13403.021860292647</v>
      </c>
      <c r="CP12" s="65">
        <f>Таблица1[[#This Row],[Т12]]-Таблица1[[#This Row],[Т6]]</f>
        <v>14530.107120824512</v>
      </c>
      <c r="CQ12" s="65">
        <f>Таблица1[[#This Row],[Т12]]-Таблица1[[#This Row],[Т5]]</f>
        <v>16374.76712353481</v>
      </c>
      <c r="CR12" s="65">
        <f>Таблица1[[#This Row],[Т12]]-Таблица1[[#This Row],[Т4]]</f>
        <v>17501.774591953494</v>
      </c>
      <c r="CS12" s="65">
        <f>Таблица1[[#This Row],[Т12]]-Таблица1[[#This Row],[Т3]]</f>
        <v>21223.774591953494</v>
      </c>
      <c r="CT12" s="65">
        <f>Таблица1[[#This Row],[Т12]]-Таблица1[[#This Row],[Т2]]</f>
        <v>22287.944247464184</v>
      </c>
      <c r="CU12" s="65">
        <f>Таблица1[[#This Row],[Т12]]-Таблица1[[#This Row],[Т1]]</f>
        <v>24174.244063830934</v>
      </c>
      <c r="CV12" s="65">
        <f>Таблица1[[#This Row],[Lкан_леб,мм]]+Таблица1[[#This Row],[Lкан_дуг, мм]]+Таблица1[[#This Row],[Lкан_прям, мм]]</f>
        <v>3528386.8418603814</v>
      </c>
      <c r="CW12" s="60">
        <f>3511128.4-(Таблица1[[#This Row],[Lкан_леб,мм]]+Таблица1[[#This Row],[∆Lлеб из за стрел]])</f>
        <v>6915.8022034498863</v>
      </c>
    </row>
    <row r="13" spans="1:115" x14ac:dyDescent="0.25">
      <c r="A13">
        <v>12</v>
      </c>
      <c r="B13">
        <v>55.610738255033581</v>
      </c>
      <c r="C13">
        <v>34.399261744966417</v>
      </c>
      <c r="D13">
        <v>3485.1407810388973</v>
      </c>
      <c r="E13">
        <v>5254.9194990621509</v>
      </c>
      <c r="F13">
        <v>4202.773938731998</v>
      </c>
      <c r="G13">
        <v>4492.0447380565001</v>
      </c>
      <c r="H13">
        <v>4202.6402910388979</v>
      </c>
      <c r="I13">
        <v>3933.2400527893037</v>
      </c>
      <c r="J13">
        <v>1321.6794462728471</v>
      </c>
      <c r="K13">
        <v>19264.835591581854</v>
      </c>
      <c r="L13">
        <v>4868.0584419137367</v>
      </c>
      <c r="M13">
        <v>3504253.9478268852</v>
      </c>
      <c r="N13">
        <v>0</v>
      </c>
      <c r="O13">
        <v>8</v>
      </c>
      <c r="P13">
        <v>-3322.5</v>
      </c>
      <c r="Q13">
        <v>-2811.96</v>
      </c>
      <c r="R13">
        <v>-3280</v>
      </c>
      <c r="S13">
        <v>-914.66</v>
      </c>
      <c r="T13">
        <v>-7002</v>
      </c>
      <c r="U13">
        <v>520.34</v>
      </c>
      <c r="V13">
        <v>-7002.1</v>
      </c>
      <c r="W13">
        <v>2365</v>
      </c>
      <c r="X13">
        <v>-6252</v>
      </c>
      <c r="Y13">
        <v>3800</v>
      </c>
      <c r="Z13">
        <v>3485.1407810388973</v>
      </c>
      <c r="AA13">
        <v>5254.9194990621509</v>
      </c>
      <c r="AB13">
        <v>0</v>
      </c>
      <c r="AC13">
        <v>1064.1696555107644</v>
      </c>
      <c r="AD13">
        <v>1127.0074684186504</v>
      </c>
      <c r="AE13">
        <v>1127.0852605320265</v>
      </c>
      <c r="AF13">
        <v>211.3748492028283</v>
      </c>
      <c r="AG13">
        <v>1338.4212082494676</v>
      </c>
      <c r="AH13">
        <v>1886.2998163666878</v>
      </c>
      <c r="AI13">
        <v>3721.9999999999995</v>
      </c>
      <c r="AJ13">
        <v>1844.6600027105269</v>
      </c>
      <c r="AK13">
        <v>750.10000000000059</v>
      </c>
      <c r="AL13">
        <v>9740.0963208030971</v>
      </c>
      <c r="AM13">
        <v>1321.6794517015423</v>
      </c>
      <c r="AN13">
        <v>-95.021003558665456</v>
      </c>
      <c r="AO13">
        <v>-180</v>
      </c>
      <c r="AP13">
        <v>-90.003106034687008</v>
      </c>
      <c r="AQ13">
        <v>1.2722218725854067E-14</v>
      </c>
      <c r="AR13">
        <v>-16.879284675311869</v>
      </c>
      <c r="AS13">
        <v>89.999999566492619</v>
      </c>
      <c r="AT13">
        <v>-2400.1625746957502</v>
      </c>
      <c r="AU13">
        <v>-3280</v>
      </c>
      <c r="AV13">
        <v>-7719.4999989457119</v>
      </c>
      <c r="AW13">
        <v>-7002.1</v>
      </c>
      <c r="AX13">
        <v>-6043.6693991921256</v>
      </c>
      <c r="AY13">
        <v>4202.6407810388973</v>
      </c>
      <c r="AZ13">
        <v>-2730.9252207921031</v>
      </c>
      <c r="BA13">
        <v>-197.16</v>
      </c>
      <c r="BB13">
        <v>520.3011039433311</v>
      </c>
      <c r="BC13">
        <v>3082.5000000000005</v>
      </c>
      <c r="BD13">
        <v>3113.4108865070534</v>
      </c>
      <c r="BE13">
        <v>5254.9195044908502</v>
      </c>
      <c r="BF13">
        <v>-2565.2532760267472</v>
      </c>
      <c r="BG13">
        <v>-7002</v>
      </c>
      <c r="BH13">
        <v>-7719.5999989457123</v>
      </c>
      <c r="BI13">
        <v>-6252</v>
      </c>
      <c r="BJ13">
        <v>3276.8101802310234</v>
      </c>
      <c r="BK13">
        <v>4202.6407910388971</v>
      </c>
      <c r="BL13">
        <v>-851.86373761518519</v>
      </c>
      <c r="BM13">
        <v>-197.16</v>
      </c>
      <c r="BN13">
        <v>2364.9611039433312</v>
      </c>
      <c r="BO13">
        <v>3082.5000000000005</v>
      </c>
      <c r="BP13">
        <v>5941.508612555097</v>
      </c>
      <c r="BQ13">
        <v>3933.2400527893074</v>
      </c>
      <c r="BR13">
        <v>0</v>
      </c>
      <c r="BS13">
        <v>84.97899644133453</v>
      </c>
      <c r="BT13">
        <v>89.996893965312992</v>
      </c>
      <c r="BU13">
        <v>90.003106034687022</v>
      </c>
      <c r="BV13">
        <v>16.879284675311883</v>
      </c>
      <c r="BW13">
        <v>106.87928424180448</v>
      </c>
      <c r="BX13" s="69">
        <f>Таблица1[[#This Row],[Lкан_леб,мм]]</f>
        <v>3504253.9478268852</v>
      </c>
      <c r="BY13" s="65">
        <f>Таблица1[[#This Row],[Т1]]+Таблица1[[#This Row],[Lпрям1, мм]]</f>
        <v>3506140.2476432519</v>
      </c>
      <c r="BZ13" s="65">
        <f>Таблица1[[#This Row],[Т2]]+Таблица1[[#This Row],[Lдуг 2,мм]]</f>
        <v>3507204.4172987626</v>
      </c>
      <c r="CA13" s="65">
        <f>Таблица1[[#This Row],[Т3]]+Таблица1[[#This Row],[Lпрям2, мм]]</f>
        <v>3510926.4172987626</v>
      </c>
      <c r="CB13" s="65">
        <f>Таблица1[[#This Row],[Т4]]+Таблица1[[#This Row],[Lдуг 3,мм]]</f>
        <v>3512053.4247671813</v>
      </c>
      <c r="CC13" s="65">
        <f>Таблица1[[#This Row],[Т5]]+Таблица1[[#This Row],[Lпрям3, мм]]</f>
        <v>3513898.0847698916</v>
      </c>
      <c r="CD13" s="65">
        <f>Таблица1[[#This Row],[Т6]]+Таблица1[[#This Row],[Lдуг 4,мм]]</f>
        <v>3515025.1700304234</v>
      </c>
      <c r="CE13" s="65">
        <f>Таблица1[[#This Row],[Т7]]+Таблица1[[#This Row],[Lпрям4, мм]]</f>
        <v>3515775.2700304235</v>
      </c>
      <c r="CF13" s="72">
        <f>Таблица1[[#This Row],[Т8]]+Таблица1[[#This Row],[Lдуг 5,мм]]</f>
        <v>3515986.6448796266</v>
      </c>
      <c r="CG13" s="65">
        <f>Таблица1[[#This Row],[Т9]]+Таблица1[[#This Row],[Lпрям5, мм]]</f>
        <v>3525726.7412004299</v>
      </c>
      <c r="CH13" s="65">
        <f>Таблица1[[#This Row],[Т10]]+Таблица1[[#This Row],[Lдуг 6,мм]]</f>
        <v>3527065.1624086793</v>
      </c>
      <c r="CI13" s="66">
        <f>Таблица1[[#This Row],[Т11]]+Таблица1[[#This Row],[Lпрям6, мм]]</f>
        <v>3528386.841860381</v>
      </c>
      <c r="CJ13" s="64">
        <f>Таблица1[[#This Row],[Т12]]-Таблица1[[#This Row],[Т12]]</f>
        <v>0</v>
      </c>
      <c r="CK13" s="65">
        <f>Таблица1[[#This Row],[Т12]]-Таблица1[[#This Row],[Т11]]</f>
        <v>1321.679451701697</v>
      </c>
      <c r="CL13" s="65">
        <f>Таблица1[[#This Row],[Т12]]-Таблица1[[#This Row],[Т10]]</f>
        <v>2660.100659951102</v>
      </c>
      <c r="CM13" s="65">
        <f>Таблица1[[#This Row],[Т12]]-Таблица1[[#This Row],[Т9]]</f>
        <v>12400.196980754379</v>
      </c>
      <c r="CN13" s="65">
        <f>Таблица1[[#This Row],[Т12]]-Таблица1[[#This Row],[Т8]]</f>
        <v>12611.571829957422</v>
      </c>
      <c r="CO13" s="65">
        <f>Таблица1[[#This Row],[Т12]]-Таблица1[[#This Row],[Т7]]</f>
        <v>13361.671829957515</v>
      </c>
      <c r="CP13" s="65">
        <f>Таблица1[[#This Row],[Т12]]-Таблица1[[#This Row],[Т6]]</f>
        <v>14488.75709048938</v>
      </c>
      <c r="CQ13" s="65">
        <f>Таблица1[[#This Row],[Т12]]-Таблица1[[#This Row],[Т5]]</f>
        <v>16333.417093199678</v>
      </c>
      <c r="CR13" s="65">
        <f>Таблица1[[#This Row],[Т12]]-Таблица1[[#This Row],[Т4]]</f>
        <v>17460.424561618362</v>
      </c>
      <c r="CS13" s="65">
        <f>Таблица1[[#This Row],[Т12]]-Таблица1[[#This Row],[Т3]]</f>
        <v>21182.424561618362</v>
      </c>
      <c r="CT13" s="65">
        <f>Таблица1[[#This Row],[Т12]]-Таблица1[[#This Row],[Т2]]</f>
        <v>22246.594217129052</v>
      </c>
      <c r="CU13" s="65">
        <f>Таблица1[[#This Row],[Т12]]-Таблица1[[#This Row],[Т1]]</f>
        <v>24132.894033495802</v>
      </c>
      <c r="CV13" s="65">
        <f>Таблица1[[#This Row],[Lкан_леб,мм]]+Таблица1[[#This Row],[Lкан_дуг, мм]]+Таблица1[[#This Row],[Lкан_прям, мм]]</f>
        <v>3528386.8418603805</v>
      </c>
      <c r="CW13" s="60">
        <f>3511128.4-(Таблица1[[#This Row],[Lкан_леб,мм]]+Таблица1[[#This Row],[∆Lлеб из за стрел]])</f>
        <v>6874.4521731147543</v>
      </c>
    </row>
    <row r="14" spans="1:115" x14ac:dyDescent="0.25">
      <c r="A14">
        <v>13</v>
      </c>
      <c r="B14">
        <v>56.120805369127545</v>
      </c>
      <c r="C14">
        <v>33.889194630872453</v>
      </c>
      <c r="D14">
        <v>3430.314146324281</v>
      </c>
      <c r="E14">
        <v>5292.0877078598141</v>
      </c>
      <c r="F14">
        <v>4147.9473040173825</v>
      </c>
      <c r="G14">
        <v>4529.2129468541625</v>
      </c>
      <c r="H14">
        <v>4147.8136563242815</v>
      </c>
      <c r="I14">
        <v>3970.4082615869534</v>
      </c>
      <c r="J14">
        <v>1321.6794462728606</v>
      </c>
      <c r="K14">
        <v>19215.678748252441</v>
      </c>
      <c r="L14">
        <v>4875.6793763588385</v>
      </c>
      <c r="M14">
        <v>3504295.4837357695</v>
      </c>
      <c r="N14">
        <v>0</v>
      </c>
      <c r="O14">
        <v>8</v>
      </c>
      <c r="P14">
        <v>-3322.5</v>
      </c>
      <c r="Q14">
        <v>-2811.96</v>
      </c>
      <c r="R14">
        <v>-3280</v>
      </c>
      <c r="S14">
        <v>-914.66</v>
      </c>
      <c r="T14">
        <v>-7002</v>
      </c>
      <c r="U14">
        <v>520.34</v>
      </c>
      <c r="V14">
        <v>-7002.1</v>
      </c>
      <c r="W14">
        <v>2365</v>
      </c>
      <c r="X14">
        <v>-6252</v>
      </c>
      <c r="Y14">
        <v>3800</v>
      </c>
      <c r="Z14">
        <v>3430.314146324281</v>
      </c>
      <c r="AA14">
        <v>5292.0877078598141</v>
      </c>
      <c r="AB14">
        <v>0</v>
      </c>
      <c r="AC14">
        <v>1064.1696555107644</v>
      </c>
      <c r="AD14">
        <v>1127.0074684186504</v>
      </c>
      <c r="AE14">
        <v>1127.0852605320265</v>
      </c>
      <c r="AF14">
        <v>215.18531642537883</v>
      </c>
      <c r="AG14">
        <v>1342.231675472018</v>
      </c>
      <c r="AH14">
        <v>1886.2998163666878</v>
      </c>
      <c r="AI14">
        <v>3721.9999999999995</v>
      </c>
      <c r="AJ14">
        <v>1844.6600027105269</v>
      </c>
      <c r="AK14">
        <v>750.10000000000059</v>
      </c>
      <c r="AL14">
        <v>9690.9394774736702</v>
      </c>
      <c r="AM14">
        <v>1321.6794517015558</v>
      </c>
      <c r="AN14">
        <v>-95.021003558665456</v>
      </c>
      <c r="AO14">
        <v>-180</v>
      </c>
      <c r="AP14">
        <v>-90.003106034687008</v>
      </c>
      <c r="AQ14">
        <v>1.2722218725854067E-14</v>
      </c>
      <c r="AR14">
        <v>-17.183568563569825</v>
      </c>
      <c r="AS14">
        <v>89.999999566492619</v>
      </c>
      <c r="AT14">
        <v>-2400.1625746957502</v>
      </c>
      <c r="AU14">
        <v>-3280</v>
      </c>
      <c r="AV14">
        <v>-7719.4999989457119</v>
      </c>
      <c r="AW14">
        <v>-7002.1</v>
      </c>
      <c r="AX14">
        <v>-6040.0260471611227</v>
      </c>
      <c r="AY14">
        <v>4147.814146324281</v>
      </c>
      <c r="AZ14">
        <v>-2730.9252207921031</v>
      </c>
      <c r="BA14">
        <v>-197.16</v>
      </c>
      <c r="BB14">
        <v>520.3011039433311</v>
      </c>
      <c r="BC14">
        <v>3082.5000000000005</v>
      </c>
      <c r="BD14">
        <v>3114.5269565344956</v>
      </c>
      <c r="BE14">
        <v>5292.0877132885134</v>
      </c>
      <c r="BF14">
        <v>-2565.2532760267472</v>
      </c>
      <c r="BG14">
        <v>-7002</v>
      </c>
      <c r="BH14">
        <v>-7719.5999989457123</v>
      </c>
      <c r="BI14">
        <v>-6252</v>
      </c>
      <c r="BJ14">
        <v>3218.3401934854041</v>
      </c>
      <c r="BK14">
        <v>4147.8141563242807</v>
      </c>
      <c r="BL14">
        <v>-851.86373761518519</v>
      </c>
      <c r="BM14">
        <v>-197.16</v>
      </c>
      <c r="BN14">
        <v>2364.9611039433312</v>
      </c>
      <c r="BO14">
        <v>3082.5000000000005</v>
      </c>
      <c r="BP14">
        <v>5977.560751325319</v>
      </c>
      <c r="BQ14">
        <v>3970.4082615869575</v>
      </c>
      <c r="BR14">
        <v>0</v>
      </c>
      <c r="BS14">
        <v>84.97899644133453</v>
      </c>
      <c r="BT14">
        <v>89.996893965312992</v>
      </c>
      <c r="BU14">
        <v>90.003106034687022</v>
      </c>
      <c r="BV14">
        <v>17.183568563569835</v>
      </c>
      <c r="BW14">
        <v>107.18356813006244</v>
      </c>
      <c r="BX14" s="69">
        <f>Таблица1[[#This Row],[Lкан_леб,мм]]</f>
        <v>3504295.4837357695</v>
      </c>
      <c r="BY14" s="65">
        <f>Таблица1[[#This Row],[Т1]]+Таблица1[[#This Row],[Lпрям1, мм]]</f>
        <v>3506181.7835521363</v>
      </c>
      <c r="BZ14" s="65">
        <f>Таблица1[[#This Row],[Т2]]+Таблица1[[#This Row],[Lдуг 2,мм]]</f>
        <v>3507245.953207647</v>
      </c>
      <c r="CA14" s="65">
        <f>Таблица1[[#This Row],[Т3]]+Таблица1[[#This Row],[Lпрям2, мм]]</f>
        <v>3510967.953207647</v>
      </c>
      <c r="CB14" s="65">
        <f>Таблица1[[#This Row],[Т4]]+Таблица1[[#This Row],[Lдуг 3,мм]]</f>
        <v>3512094.9606760656</v>
      </c>
      <c r="CC14" s="65">
        <f>Таблица1[[#This Row],[Т5]]+Таблица1[[#This Row],[Lпрям3, мм]]</f>
        <v>3513939.6206787759</v>
      </c>
      <c r="CD14" s="65">
        <f>Таблица1[[#This Row],[Т6]]+Таблица1[[#This Row],[Lдуг 4,мм]]</f>
        <v>3515066.7059393078</v>
      </c>
      <c r="CE14" s="65">
        <f>Таблица1[[#This Row],[Т7]]+Таблица1[[#This Row],[Lпрям4, мм]]</f>
        <v>3515816.8059393079</v>
      </c>
      <c r="CF14" s="72">
        <f>Таблица1[[#This Row],[Т8]]+Таблица1[[#This Row],[Lдуг 5,мм]]</f>
        <v>3516031.9912557332</v>
      </c>
      <c r="CG14" s="65">
        <f>Таблица1[[#This Row],[Т9]]+Таблица1[[#This Row],[Lпрям5, мм]]</f>
        <v>3525722.9307332067</v>
      </c>
      <c r="CH14" s="65">
        <f>Таблица1[[#This Row],[Т10]]+Таблица1[[#This Row],[Lдуг 6,мм]]</f>
        <v>3527065.1624086788</v>
      </c>
      <c r="CI14" s="66">
        <f>Таблица1[[#This Row],[Т11]]+Таблица1[[#This Row],[Lпрям6, мм]]</f>
        <v>3528386.8418603805</v>
      </c>
      <c r="CJ14" s="64">
        <f>Таблица1[[#This Row],[Т12]]-Таблица1[[#This Row],[Т12]]</f>
        <v>0</v>
      </c>
      <c r="CK14" s="65">
        <f>Таблица1[[#This Row],[Т12]]-Таблица1[[#This Row],[Т11]]</f>
        <v>1321.679451701697</v>
      </c>
      <c r="CL14" s="65">
        <f>Таблица1[[#This Row],[Т12]]-Таблица1[[#This Row],[Т10]]</f>
        <v>2663.9111271738075</v>
      </c>
      <c r="CM14" s="65">
        <f>Таблица1[[#This Row],[Т12]]-Таблица1[[#This Row],[Т9]]</f>
        <v>12354.850604647305</v>
      </c>
      <c r="CN14" s="65">
        <f>Таблица1[[#This Row],[Т12]]-Таблица1[[#This Row],[Т8]]</f>
        <v>12570.035921072587</v>
      </c>
      <c r="CO14" s="65">
        <f>Таблица1[[#This Row],[Т12]]-Таблица1[[#This Row],[Т7]]</f>
        <v>13320.135921072681</v>
      </c>
      <c r="CP14" s="65">
        <f>Таблица1[[#This Row],[Т12]]-Таблица1[[#This Row],[Т6]]</f>
        <v>14447.221181604546</v>
      </c>
      <c r="CQ14" s="65">
        <f>Таблица1[[#This Row],[Т12]]-Таблица1[[#This Row],[Т5]]</f>
        <v>16291.881184314843</v>
      </c>
      <c r="CR14" s="65">
        <f>Таблица1[[#This Row],[Т12]]-Таблица1[[#This Row],[Т4]]</f>
        <v>17418.888652733527</v>
      </c>
      <c r="CS14" s="65">
        <f>Таблица1[[#This Row],[Т12]]-Таблица1[[#This Row],[Т3]]</f>
        <v>21140.888652733527</v>
      </c>
      <c r="CT14" s="65">
        <f>Таблица1[[#This Row],[Т12]]-Таблица1[[#This Row],[Т2]]</f>
        <v>22205.058308244217</v>
      </c>
      <c r="CU14" s="65">
        <f>Таблица1[[#This Row],[Т12]]-Таблица1[[#This Row],[Т1]]</f>
        <v>24091.358124610968</v>
      </c>
      <c r="CV14" s="65">
        <f>Таблица1[[#This Row],[Lкан_леб,мм]]+Таблица1[[#This Row],[Lкан_дуг, мм]]+Таблица1[[#This Row],[Lкан_прям, мм]]</f>
        <v>3528386.8418603805</v>
      </c>
      <c r="CW14" s="60">
        <f>3511128.4-(Таблица1[[#This Row],[Lкан_леб,мм]]+Таблица1[[#This Row],[∆Lлеб из за стрел]])</f>
        <v>6832.9162642303854</v>
      </c>
    </row>
    <row r="15" spans="1:115" x14ac:dyDescent="0.25">
      <c r="A15">
        <v>14</v>
      </c>
      <c r="B15">
        <v>56.630872483221509</v>
      </c>
      <c r="C15">
        <v>33.379127516778489</v>
      </c>
      <c r="D15">
        <v>3375.158804097895</v>
      </c>
      <c r="E15">
        <v>5328.7663643680162</v>
      </c>
      <c r="F15">
        <v>4092.7919617909961</v>
      </c>
      <c r="G15">
        <v>4565.8916033623655</v>
      </c>
      <c r="H15">
        <v>4092.6583140978951</v>
      </c>
      <c r="I15">
        <v>4007.0869180949753</v>
      </c>
      <c r="J15">
        <v>1321.6794462730413</v>
      </c>
      <c r="K15">
        <v>19166.320481148057</v>
      </c>
      <c r="L15">
        <v>4883.3169860026737</v>
      </c>
      <c r="M15">
        <v>3504337.2043932304</v>
      </c>
      <c r="N15">
        <v>0</v>
      </c>
      <c r="O15">
        <v>8</v>
      </c>
      <c r="P15">
        <v>-3322.5</v>
      </c>
      <c r="Q15">
        <v>-2811.96</v>
      </c>
      <c r="R15">
        <v>-3280</v>
      </c>
      <c r="S15">
        <v>-914.66</v>
      </c>
      <c r="T15">
        <v>-7002</v>
      </c>
      <c r="U15">
        <v>520.34</v>
      </c>
      <c r="V15">
        <v>-7002.1</v>
      </c>
      <c r="W15">
        <v>2365</v>
      </c>
      <c r="X15">
        <v>-6252</v>
      </c>
      <c r="Y15">
        <v>3800</v>
      </c>
      <c r="Z15">
        <v>3375.158804097895</v>
      </c>
      <c r="AA15">
        <v>5328.7663643680162</v>
      </c>
      <c r="AB15">
        <v>0</v>
      </c>
      <c r="AC15">
        <v>1064.1696555107644</v>
      </c>
      <c r="AD15">
        <v>1127.0074684186504</v>
      </c>
      <c r="AE15">
        <v>1127.0852605320265</v>
      </c>
      <c r="AF15">
        <v>219.00412124729664</v>
      </c>
      <c r="AG15">
        <v>1346.0504802939356</v>
      </c>
      <c r="AH15">
        <v>1886.2998163666878</v>
      </c>
      <c r="AI15">
        <v>3721.9999999999995</v>
      </c>
      <c r="AJ15">
        <v>1844.6600027105269</v>
      </c>
      <c r="AK15">
        <v>750.10000000000059</v>
      </c>
      <c r="AL15">
        <v>9641.5812103691078</v>
      </c>
      <c r="AM15">
        <v>1321.679451701737</v>
      </c>
      <c r="AN15">
        <v>-95.021003558665456</v>
      </c>
      <c r="AO15">
        <v>-180</v>
      </c>
      <c r="AP15">
        <v>-90.003106034687008</v>
      </c>
      <c r="AQ15">
        <v>1.2722218725854067E-14</v>
      </c>
      <c r="AR15">
        <v>-17.488518248698877</v>
      </c>
      <c r="AS15">
        <v>89.999999566492619</v>
      </c>
      <c r="AT15">
        <v>-2400.1625746957502</v>
      </c>
      <c r="AU15">
        <v>-3280</v>
      </c>
      <c r="AV15">
        <v>-7719.4999989457119</v>
      </c>
      <c r="AW15">
        <v>-7002.1</v>
      </c>
      <c r="AX15">
        <v>-6036.3807214295239</v>
      </c>
      <c r="AY15">
        <v>4092.658804097895</v>
      </c>
      <c r="AZ15">
        <v>-2730.9252207921031</v>
      </c>
      <c r="BA15">
        <v>-197.16</v>
      </c>
      <c r="BB15">
        <v>520.3011039433311</v>
      </c>
      <c r="BC15">
        <v>3082.5000000000005</v>
      </c>
      <c r="BD15">
        <v>3115.6648652094887</v>
      </c>
      <c r="BE15">
        <v>5328.7663697967155</v>
      </c>
      <c r="BF15">
        <v>-2565.2532760267472</v>
      </c>
      <c r="BG15">
        <v>-7002</v>
      </c>
      <c r="BH15">
        <v>-7719.5999989457123</v>
      </c>
      <c r="BI15">
        <v>-6252</v>
      </c>
      <c r="BJ15">
        <v>3159.5395255274198</v>
      </c>
      <c r="BK15">
        <v>4092.6588140978947</v>
      </c>
      <c r="BL15">
        <v>-851.86373761518519</v>
      </c>
      <c r="BM15">
        <v>-197.16</v>
      </c>
      <c r="BN15">
        <v>2364.9611039433312</v>
      </c>
      <c r="BO15">
        <v>3082.5000000000005</v>
      </c>
      <c r="BP15">
        <v>6013.101499158528</v>
      </c>
      <c r="BQ15">
        <v>4007.086918094979</v>
      </c>
      <c r="BR15">
        <v>0</v>
      </c>
      <c r="BS15">
        <v>84.97899644133453</v>
      </c>
      <c r="BT15">
        <v>89.996893965312992</v>
      </c>
      <c r="BU15">
        <v>90.003106034687022</v>
      </c>
      <c r="BV15">
        <v>17.488518248698892</v>
      </c>
      <c r="BW15">
        <v>107.4885178151915</v>
      </c>
      <c r="BX15" s="69">
        <f>Таблица1[[#This Row],[Lкан_леб,мм]]</f>
        <v>3504337.2043932304</v>
      </c>
      <c r="BY15" s="65">
        <f>Таблица1[[#This Row],[Т1]]+Таблица1[[#This Row],[Lпрям1, мм]]</f>
        <v>3506223.5042095971</v>
      </c>
      <c r="BZ15" s="65">
        <f>Таблица1[[#This Row],[Т2]]+Таблица1[[#This Row],[Lдуг 2,мм]]</f>
        <v>3507287.6738651078</v>
      </c>
      <c r="CA15" s="65">
        <f>Таблица1[[#This Row],[Т3]]+Таблица1[[#This Row],[Lпрям2, мм]]</f>
        <v>3511009.6738651078</v>
      </c>
      <c r="CB15" s="65">
        <f>Таблица1[[#This Row],[Т4]]+Таблица1[[#This Row],[Lдуг 3,мм]]</f>
        <v>3512136.6813335265</v>
      </c>
      <c r="CC15" s="65">
        <f>Таблица1[[#This Row],[Т5]]+Таблица1[[#This Row],[Lпрям3, мм]]</f>
        <v>3513981.3413362368</v>
      </c>
      <c r="CD15" s="65">
        <f>Таблица1[[#This Row],[Т6]]+Таблица1[[#This Row],[Lдуг 4,мм]]</f>
        <v>3515108.4265967687</v>
      </c>
      <c r="CE15" s="65">
        <f>Таблица1[[#This Row],[Т7]]+Таблица1[[#This Row],[Lпрям4, мм]]</f>
        <v>3515858.5265967688</v>
      </c>
      <c r="CF15" s="72">
        <f>Таблица1[[#This Row],[Т8]]+Таблица1[[#This Row],[Lдуг 5,мм]]</f>
        <v>3516077.530718016</v>
      </c>
      <c r="CG15" s="65">
        <f>Таблица1[[#This Row],[Т9]]+Таблица1[[#This Row],[Lпрям5, мм]]</f>
        <v>3525719.1119283852</v>
      </c>
      <c r="CH15" s="65">
        <f>Таблица1[[#This Row],[Т10]]+Таблица1[[#This Row],[Lдуг 6,мм]]</f>
        <v>3527065.1624086793</v>
      </c>
      <c r="CI15" s="66">
        <f>Таблица1[[#This Row],[Т11]]+Таблица1[[#This Row],[Lпрям6, мм]]</f>
        <v>3528386.841860381</v>
      </c>
      <c r="CJ15" s="64">
        <f>Таблица1[[#This Row],[Т12]]-Таблица1[[#This Row],[Т12]]</f>
        <v>0</v>
      </c>
      <c r="CK15" s="65">
        <f>Таблица1[[#This Row],[Т12]]-Таблица1[[#This Row],[Т11]]</f>
        <v>1321.679451701697</v>
      </c>
      <c r="CL15" s="65">
        <f>Таблица1[[#This Row],[Т12]]-Таблица1[[#This Row],[Т10]]</f>
        <v>2667.7299319957383</v>
      </c>
      <c r="CM15" s="65">
        <f>Таблица1[[#This Row],[Т12]]-Таблица1[[#This Row],[Т9]]</f>
        <v>12309.311142364983</v>
      </c>
      <c r="CN15" s="65">
        <f>Таблица1[[#This Row],[Т12]]-Таблица1[[#This Row],[Т8]]</f>
        <v>12528.315263612196</v>
      </c>
      <c r="CO15" s="65">
        <f>Таблица1[[#This Row],[Т12]]-Таблица1[[#This Row],[Т7]]</f>
        <v>13278.415263612289</v>
      </c>
      <c r="CP15" s="65">
        <f>Таблица1[[#This Row],[Т12]]-Таблица1[[#This Row],[Т6]]</f>
        <v>14405.500524144154</v>
      </c>
      <c r="CQ15" s="65">
        <f>Таблица1[[#This Row],[Т12]]-Таблица1[[#This Row],[Т5]]</f>
        <v>16250.160526854452</v>
      </c>
      <c r="CR15" s="65">
        <f>Таблица1[[#This Row],[Т12]]-Таблица1[[#This Row],[Т4]]</f>
        <v>17377.167995273136</v>
      </c>
      <c r="CS15" s="65">
        <f>Таблица1[[#This Row],[Т12]]-Таблица1[[#This Row],[Т3]]</f>
        <v>21099.167995273136</v>
      </c>
      <c r="CT15" s="65">
        <f>Таблица1[[#This Row],[Т12]]-Таблица1[[#This Row],[Т2]]</f>
        <v>22163.337650783826</v>
      </c>
      <c r="CU15" s="65">
        <f>Таблица1[[#This Row],[Т12]]-Таблица1[[#This Row],[Т1]]</f>
        <v>24049.637467150576</v>
      </c>
      <c r="CV15" s="65">
        <f>Таблица1[[#This Row],[Lкан_леб,мм]]+Таблица1[[#This Row],[Lкан_дуг, мм]]+Таблица1[[#This Row],[Lкан_прям, мм]]</f>
        <v>3528386.841860381</v>
      </c>
      <c r="CW15" s="60">
        <f>3511128.4-(Таблица1[[#This Row],[Lкан_леб,мм]]+Таблица1[[#This Row],[∆Lлеб из за стрел]])</f>
        <v>6791.1956067695282</v>
      </c>
    </row>
    <row r="16" spans="1:115" x14ac:dyDescent="0.25">
      <c r="A16">
        <v>15</v>
      </c>
      <c r="B16">
        <v>57.140939597315473</v>
      </c>
      <c r="C16">
        <v>32.869060402684525</v>
      </c>
      <c r="D16">
        <v>3319.679125493516</v>
      </c>
      <c r="E16">
        <v>5364.9525617547479</v>
      </c>
      <c r="F16">
        <v>4037.3122831866172</v>
      </c>
      <c r="G16">
        <v>4602.0778007490962</v>
      </c>
      <c r="H16">
        <v>4037.1786354935161</v>
      </c>
      <c r="I16">
        <v>4043.2731154821367</v>
      </c>
      <c r="J16">
        <v>1321.6794462726114</v>
      </c>
      <c r="K16">
        <v>19116.761622814149</v>
      </c>
      <c r="L16">
        <v>4890.9715762732485</v>
      </c>
      <c r="M16">
        <v>3504379.1086612935</v>
      </c>
      <c r="N16">
        <v>0</v>
      </c>
      <c r="O16">
        <v>8</v>
      </c>
      <c r="P16">
        <v>-3322.5</v>
      </c>
      <c r="Q16">
        <v>-2811.96</v>
      </c>
      <c r="R16">
        <v>-3280</v>
      </c>
      <c r="S16">
        <v>-914.66</v>
      </c>
      <c r="T16">
        <v>-7002</v>
      </c>
      <c r="U16">
        <v>520.34</v>
      </c>
      <c r="V16">
        <v>-7002.1</v>
      </c>
      <c r="W16">
        <v>2365</v>
      </c>
      <c r="X16">
        <v>-6252</v>
      </c>
      <c r="Y16">
        <v>3800</v>
      </c>
      <c r="Z16">
        <v>3319.679125493516</v>
      </c>
      <c r="AA16">
        <v>5364.9525617547479</v>
      </c>
      <c r="AB16">
        <v>0</v>
      </c>
      <c r="AC16">
        <v>1064.1696555107644</v>
      </c>
      <c r="AD16">
        <v>1127.0074684186504</v>
      </c>
      <c r="AE16">
        <v>1127.0852605320265</v>
      </c>
      <c r="AF16">
        <v>222.83141638258391</v>
      </c>
      <c r="AG16">
        <v>1349.8777754292232</v>
      </c>
      <c r="AH16">
        <v>1886.2998163666878</v>
      </c>
      <c r="AI16">
        <v>3721.9999999999995</v>
      </c>
      <c r="AJ16">
        <v>1844.6600027105269</v>
      </c>
      <c r="AK16">
        <v>750.10000000000059</v>
      </c>
      <c r="AL16">
        <v>9592.0223520356267</v>
      </c>
      <c r="AM16">
        <v>1321.679451701307</v>
      </c>
      <c r="AN16">
        <v>-95.021003558665456</v>
      </c>
      <c r="AO16">
        <v>-180</v>
      </c>
      <c r="AP16">
        <v>-90.003106034687008</v>
      </c>
      <c r="AQ16">
        <v>1.2722218725854067E-14</v>
      </c>
      <c r="AR16">
        <v>-17.794145925636737</v>
      </c>
      <c r="AS16">
        <v>89.999999566492633</v>
      </c>
      <c r="AT16">
        <v>-2400.1625746957502</v>
      </c>
      <c r="AU16">
        <v>-3280</v>
      </c>
      <c r="AV16">
        <v>-7719.4999989457119</v>
      </c>
      <c r="AW16">
        <v>-7002.1</v>
      </c>
      <c r="AX16">
        <v>-6032.7334195215153</v>
      </c>
      <c r="AY16">
        <v>4037.179125493516</v>
      </c>
      <c r="AZ16">
        <v>-2730.9252207921031</v>
      </c>
      <c r="BA16">
        <v>-197.16</v>
      </c>
      <c r="BB16">
        <v>520.3011039433311</v>
      </c>
      <c r="BC16">
        <v>3082.5000000000005</v>
      </c>
      <c r="BD16">
        <v>3116.8247540452944</v>
      </c>
      <c r="BE16">
        <v>5364.9525671834472</v>
      </c>
      <c r="BF16">
        <v>-2565.2532760267472</v>
      </c>
      <c r="BG16">
        <v>-7002</v>
      </c>
      <c r="BH16">
        <v>-7719.5999989457123</v>
      </c>
      <c r="BI16">
        <v>-6252</v>
      </c>
      <c r="BJ16">
        <v>3100.4125450150327</v>
      </c>
      <c r="BK16">
        <v>4037.1791354935158</v>
      </c>
      <c r="BL16">
        <v>-851.86373761518519</v>
      </c>
      <c r="BM16">
        <v>-197.16</v>
      </c>
      <c r="BN16">
        <v>2364.9611039433312</v>
      </c>
      <c r="BO16">
        <v>3082.5000000000005</v>
      </c>
      <c r="BP16">
        <v>6048.1278077094539</v>
      </c>
      <c r="BQ16">
        <v>4043.2731154821404</v>
      </c>
      <c r="BR16">
        <v>0</v>
      </c>
      <c r="BS16">
        <v>84.97899644133453</v>
      </c>
      <c r="BT16">
        <v>89.996893965312992</v>
      </c>
      <c r="BU16">
        <v>90.003106034687022</v>
      </c>
      <c r="BV16">
        <v>17.794145925636748</v>
      </c>
      <c r="BW16">
        <v>107.79414549212937</v>
      </c>
      <c r="BX16" s="69">
        <f>Таблица1[[#This Row],[Lкан_леб,мм]]</f>
        <v>3504379.1086612935</v>
      </c>
      <c r="BY16" s="65">
        <f>Таблица1[[#This Row],[Т1]]+Таблица1[[#This Row],[Lпрям1, мм]]</f>
        <v>3506265.4084776603</v>
      </c>
      <c r="BZ16" s="65">
        <f>Таблица1[[#This Row],[Т2]]+Таблица1[[#This Row],[Lдуг 2,мм]]</f>
        <v>3507329.578133171</v>
      </c>
      <c r="CA16" s="65">
        <f>Таблица1[[#This Row],[Т3]]+Таблица1[[#This Row],[Lпрям2, мм]]</f>
        <v>3511051.578133171</v>
      </c>
      <c r="CB16" s="65">
        <f>Таблица1[[#This Row],[Т4]]+Таблица1[[#This Row],[Lдуг 3,мм]]</f>
        <v>3512178.5856015896</v>
      </c>
      <c r="CC16" s="65">
        <f>Таблица1[[#This Row],[Т5]]+Таблица1[[#This Row],[Lпрям3, мм]]</f>
        <v>3514023.2456042999</v>
      </c>
      <c r="CD16" s="65">
        <f>Таблица1[[#This Row],[Т6]]+Таблица1[[#This Row],[Lдуг 4,мм]]</f>
        <v>3515150.3308648318</v>
      </c>
      <c r="CE16" s="65">
        <f>Таблица1[[#This Row],[Т7]]+Таблица1[[#This Row],[Lпрям4, мм]]</f>
        <v>3515900.4308648319</v>
      </c>
      <c r="CF16" s="72">
        <f>Таблица1[[#This Row],[Т8]]+Таблица1[[#This Row],[Lдуг 5,мм]]</f>
        <v>3516123.2622812144</v>
      </c>
      <c r="CG16" s="65">
        <f>Таблица1[[#This Row],[Т9]]+Таблица1[[#This Row],[Lпрям5, мм]]</f>
        <v>3525715.28463325</v>
      </c>
      <c r="CH16" s="65">
        <f>Таблица1[[#This Row],[Т10]]+Таблица1[[#This Row],[Lдуг 6,мм]]</f>
        <v>3527065.1624086793</v>
      </c>
      <c r="CI16" s="66">
        <f>Таблица1[[#This Row],[Т11]]+Таблица1[[#This Row],[Lпрям6, мм]]</f>
        <v>3528386.8418603805</v>
      </c>
      <c r="CJ16" s="64">
        <f>Таблица1[[#This Row],[Т12]]-Таблица1[[#This Row],[Т12]]</f>
        <v>0</v>
      </c>
      <c r="CK16" s="65">
        <f>Таблица1[[#This Row],[Т12]]-Таблица1[[#This Row],[Т11]]</f>
        <v>1321.6794517012313</v>
      </c>
      <c r="CL16" s="65">
        <f>Таблица1[[#This Row],[Т12]]-Таблица1[[#This Row],[Т10]]</f>
        <v>2671.5572271305136</v>
      </c>
      <c r="CM16" s="65">
        <f>Таблица1[[#This Row],[Т12]]-Таблица1[[#This Row],[Т9]]</f>
        <v>12263.579579166137</v>
      </c>
      <c r="CN16" s="65">
        <f>Таблица1[[#This Row],[Т12]]-Таблица1[[#This Row],[Т8]]</f>
        <v>12486.410995548591</v>
      </c>
      <c r="CO16" s="65">
        <f>Таблица1[[#This Row],[Т12]]-Таблица1[[#This Row],[Т7]]</f>
        <v>13236.510995548684</v>
      </c>
      <c r="CP16" s="65">
        <f>Таблица1[[#This Row],[Т12]]-Таблица1[[#This Row],[Т6]]</f>
        <v>14363.596256080549</v>
      </c>
      <c r="CQ16" s="65">
        <f>Таблица1[[#This Row],[Т12]]-Таблица1[[#This Row],[Т5]]</f>
        <v>16208.256258790847</v>
      </c>
      <c r="CR16" s="65">
        <f>Таблица1[[#This Row],[Т12]]-Таблица1[[#This Row],[Т4]]</f>
        <v>17335.263727209531</v>
      </c>
      <c r="CS16" s="65">
        <f>Таблица1[[#This Row],[Т12]]-Таблица1[[#This Row],[Т3]]</f>
        <v>21057.263727209531</v>
      </c>
      <c r="CT16" s="65">
        <f>Таблица1[[#This Row],[Т12]]-Таблица1[[#This Row],[Т2]]</f>
        <v>22121.433382720221</v>
      </c>
      <c r="CU16" s="65">
        <f>Таблица1[[#This Row],[Т12]]-Таблица1[[#This Row],[Т1]]</f>
        <v>24007.733199086972</v>
      </c>
      <c r="CV16" s="65">
        <f>Таблица1[[#This Row],[Lкан_леб,мм]]+Таблица1[[#This Row],[Lкан_дуг, мм]]+Таблица1[[#This Row],[Lкан_прям, мм]]</f>
        <v>3528386.841860381</v>
      </c>
      <c r="CW16" s="60">
        <f>3511128.4-(Таблица1[[#This Row],[Lкан_леб,мм]]+Таблица1[[#This Row],[∆Lлеб из за стрел]])</f>
        <v>6749.2913387063891</v>
      </c>
    </row>
    <row r="17" spans="1:101" x14ac:dyDescent="0.25">
      <c r="A17">
        <v>16</v>
      </c>
      <c r="B17">
        <v>57.65100671140943</v>
      </c>
      <c r="C17">
        <v>32.358993288590568</v>
      </c>
      <c r="D17">
        <v>3263.8795073490114</v>
      </c>
      <c r="E17">
        <v>5400.6434322160303</v>
      </c>
      <c r="F17">
        <v>3981.512665042113</v>
      </c>
      <c r="G17">
        <v>4637.7686712103796</v>
      </c>
      <c r="H17">
        <v>3981.3790173490115</v>
      </c>
      <c r="I17">
        <v>4078.9639859431777</v>
      </c>
      <c r="J17">
        <v>1321.6794462728528</v>
      </c>
      <c r="K17">
        <v>19067.003006155246</v>
      </c>
      <c r="L17">
        <v>4898.6434603538182</v>
      </c>
      <c r="M17">
        <v>3504421.195393872</v>
      </c>
      <c r="N17">
        <v>0</v>
      </c>
      <c r="O17">
        <v>8</v>
      </c>
      <c r="P17">
        <v>-3322.5</v>
      </c>
      <c r="Q17">
        <v>-2811.96</v>
      </c>
      <c r="R17">
        <v>-3280</v>
      </c>
      <c r="S17">
        <v>-914.66</v>
      </c>
      <c r="T17">
        <v>-7002</v>
      </c>
      <c r="U17">
        <v>520.34</v>
      </c>
      <c r="V17">
        <v>-7002.1</v>
      </c>
      <c r="W17">
        <v>2365</v>
      </c>
      <c r="X17">
        <v>-6252</v>
      </c>
      <c r="Y17">
        <v>3800</v>
      </c>
      <c r="Z17">
        <v>3263.8795073490114</v>
      </c>
      <c r="AA17">
        <v>5400.6434322160303</v>
      </c>
      <c r="AB17">
        <v>0</v>
      </c>
      <c r="AC17">
        <v>1064.1696555107644</v>
      </c>
      <c r="AD17">
        <v>1127.0074684186504</v>
      </c>
      <c r="AE17">
        <v>1127.0852605320265</v>
      </c>
      <c r="AF17">
        <v>226.66735842286886</v>
      </c>
      <c r="AG17">
        <v>1353.7137174695081</v>
      </c>
      <c r="AH17">
        <v>1886.2998163666878</v>
      </c>
      <c r="AI17">
        <v>3721.9999999999995</v>
      </c>
      <c r="AJ17">
        <v>1844.6600027105269</v>
      </c>
      <c r="AK17">
        <v>750.10000000000059</v>
      </c>
      <c r="AL17">
        <v>9542.2637353764858</v>
      </c>
      <c r="AM17">
        <v>1321.6794517015487</v>
      </c>
      <c r="AN17">
        <v>-95.021003558665456</v>
      </c>
      <c r="AO17">
        <v>-180</v>
      </c>
      <c r="AP17">
        <v>-90.003106034687008</v>
      </c>
      <c r="AQ17">
        <v>1.2722218725854067E-14</v>
      </c>
      <c r="AR17">
        <v>-18.100464098967926</v>
      </c>
      <c r="AS17">
        <v>89.999999566492619</v>
      </c>
      <c r="AT17">
        <v>-2400.1625746957502</v>
      </c>
      <c r="AU17">
        <v>-3280</v>
      </c>
      <c r="AV17">
        <v>-7719.4999989457119</v>
      </c>
      <c r="AW17">
        <v>-7002.1</v>
      </c>
      <c r="AX17">
        <v>-6029.0841375499185</v>
      </c>
      <c r="AY17">
        <v>3981.379507349011</v>
      </c>
      <c r="AZ17">
        <v>-2730.9252207921031</v>
      </c>
      <c r="BA17">
        <v>-197.16</v>
      </c>
      <c r="BB17">
        <v>520.3011039433311</v>
      </c>
      <c r="BC17">
        <v>3082.5000000000005</v>
      </c>
      <c r="BD17">
        <v>3118.0067681654486</v>
      </c>
      <c r="BE17">
        <v>5400.6434376447296</v>
      </c>
      <c r="BF17">
        <v>-2565.2532760267472</v>
      </c>
      <c r="BG17">
        <v>-7002</v>
      </c>
      <c r="BH17">
        <v>-7719.5999989457123</v>
      </c>
      <c r="BI17">
        <v>-6252</v>
      </c>
      <c r="BJ17">
        <v>3040.9636448989304</v>
      </c>
      <c r="BK17">
        <v>3981.3795173490116</v>
      </c>
      <c r="BL17">
        <v>-851.86373761518519</v>
      </c>
      <c r="BM17">
        <v>-197.16</v>
      </c>
      <c r="BN17">
        <v>2364.9611039433312</v>
      </c>
      <c r="BO17">
        <v>3082.5000000000005</v>
      </c>
      <c r="BP17">
        <v>6082.6366640505821</v>
      </c>
      <c r="BQ17">
        <v>4078.9639859431813</v>
      </c>
      <c r="BR17">
        <v>0</v>
      </c>
      <c r="BS17">
        <v>84.97899644133453</v>
      </c>
      <c r="BT17">
        <v>89.996893965312992</v>
      </c>
      <c r="BU17">
        <v>90.003106034687022</v>
      </c>
      <c r="BV17">
        <v>18.10046409896794</v>
      </c>
      <c r="BW17">
        <v>108.10046366546055</v>
      </c>
      <c r="BX17" s="69">
        <f>Таблица1[[#This Row],[Lкан_леб,мм]]</f>
        <v>3504421.195393872</v>
      </c>
      <c r="BY17" s="65">
        <f>Таблица1[[#This Row],[Т1]]+Таблица1[[#This Row],[Lпрям1, мм]]</f>
        <v>3506307.4952102387</v>
      </c>
      <c r="BZ17" s="65">
        <f>Таблица1[[#This Row],[Т2]]+Таблица1[[#This Row],[Lдуг 2,мм]]</f>
        <v>3507371.6648657494</v>
      </c>
      <c r="CA17" s="65">
        <f>Таблица1[[#This Row],[Т3]]+Таблица1[[#This Row],[Lпрям2, мм]]</f>
        <v>3511093.6648657494</v>
      </c>
      <c r="CB17" s="65">
        <f>Таблица1[[#This Row],[Т4]]+Таблица1[[#This Row],[Lдуг 3,мм]]</f>
        <v>3512220.6723341681</v>
      </c>
      <c r="CC17" s="65">
        <f>Таблица1[[#This Row],[Т5]]+Таблица1[[#This Row],[Lпрям3, мм]]</f>
        <v>3514065.3323368784</v>
      </c>
      <c r="CD17" s="65">
        <f>Таблица1[[#This Row],[Т6]]+Таблица1[[#This Row],[Lдуг 4,мм]]</f>
        <v>3515192.4175974103</v>
      </c>
      <c r="CE17" s="65">
        <f>Таблица1[[#This Row],[Т7]]+Таблица1[[#This Row],[Lпрям4, мм]]</f>
        <v>3515942.5175974104</v>
      </c>
      <c r="CF17" s="72">
        <f>Таблица1[[#This Row],[Т8]]+Таблица1[[#This Row],[Lдуг 5,мм]]</f>
        <v>3516169.184955833</v>
      </c>
      <c r="CG17" s="65">
        <f>Таблица1[[#This Row],[Т9]]+Таблица1[[#This Row],[Lпрям5, мм]]</f>
        <v>3525711.4486912093</v>
      </c>
      <c r="CH17" s="65">
        <f>Таблица1[[#This Row],[Т10]]+Таблица1[[#This Row],[Lдуг 6,мм]]</f>
        <v>3527065.1624086788</v>
      </c>
      <c r="CI17" s="66">
        <f>Таблица1[[#This Row],[Т11]]+Таблица1[[#This Row],[Lпрям6, мм]]</f>
        <v>3528386.8418603805</v>
      </c>
      <c r="CJ17" s="64">
        <f>Таблица1[[#This Row],[Т12]]-Таблица1[[#This Row],[Т12]]</f>
        <v>0</v>
      </c>
      <c r="CK17" s="65">
        <f>Таблица1[[#This Row],[Т12]]-Таблица1[[#This Row],[Т11]]</f>
        <v>1321.679451701697</v>
      </c>
      <c r="CL17" s="65">
        <f>Таблица1[[#This Row],[Т12]]-Таблица1[[#This Row],[Т10]]</f>
        <v>2675.3931691711769</v>
      </c>
      <c r="CM17" s="65">
        <f>Таблица1[[#This Row],[Т12]]-Таблица1[[#This Row],[Т9]]</f>
        <v>12217.656904547475</v>
      </c>
      <c r="CN17" s="65">
        <f>Таблица1[[#This Row],[Т12]]-Таблица1[[#This Row],[Т8]]</f>
        <v>12444.324262970127</v>
      </c>
      <c r="CO17" s="65">
        <f>Таблица1[[#This Row],[Т12]]-Таблица1[[#This Row],[Т7]]</f>
        <v>13194.42426297022</v>
      </c>
      <c r="CP17" s="65">
        <f>Таблица1[[#This Row],[Т12]]-Таблица1[[#This Row],[Т6]]</f>
        <v>14321.509523502085</v>
      </c>
      <c r="CQ17" s="65">
        <f>Таблица1[[#This Row],[Т12]]-Таблица1[[#This Row],[Т5]]</f>
        <v>16166.169526212383</v>
      </c>
      <c r="CR17" s="65">
        <f>Таблица1[[#This Row],[Т12]]-Таблица1[[#This Row],[Т4]]</f>
        <v>17293.176994631067</v>
      </c>
      <c r="CS17" s="65">
        <f>Таблица1[[#This Row],[Т12]]-Таблица1[[#This Row],[Т3]]</f>
        <v>21015.176994631067</v>
      </c>
      <c r="CT17" s="65">
        <f>Таблица1[[#This Row],[Т12]]-Таблица1[[#This Row],[Т2]]</f>
        <v>22079.346650141757</v>
      </c>
      <c r="CU17" s="65">
        <f>Таблица1[[#This Row],[Т12]]-Таблица1[[#This Row],[Т1]]</f>
        <v>23965.646466508508</v>
      </c>
      <c r="CV17" s="65">
        <f>Таблица1[[#This Row],[Lкан_леб,мм]]+Таблица1[[#This Row],[Lкан_дуг, мм]]+Таблица1[[#This Row],[Lкан_прям, мм]]</f>
        <v>3528386.841860381</v>
      </c>
      <c r="CW17" s="60">
        <f>3511128.4-(Таблица1[[#This Row],[Lкан_леб,мм]]+Таблица1[[#This Row],[∆Lлеб из за стрел]])</f>
        <v>6707.2046061279252</v>
      </c>
    </row>
    <row r="18" spans="1:101" x14ac:dyDescent="0.25">
      <c r="A18">
        <v>17</v>
      </c>
      <c r="B18">
        <v>58.161073825503387</v>
      </c>
      <c r="C18">
        <v>31.848926174496608</v>
      </c>
      <c r="D18">
        <v>3207.7643718578788</v>
      </c>
      <c r="E18">
        <v>5435.8361472032029</v>
      </c>
      <c r="F18">
        <v>3925.3975295509799</v>
      </c>
      <c r="G18">
        <v>4672.9613861975513</v>
      </c>
      <c r="H18">
        <v>3925.2638818578785</v>
      </c>
      <c r="I18">
        <v>4114.1567009306</v>
      </c>
      <c r="J18">
        <v>1321.6794462726025</v>
      </c>
      <c r="K18">
        <v>19017.045464300103</v>
      </c>
      <c r="L18">
        <v>4906.3329594286779</v>
      </c>
      <c r="M18">
        <v>3504463.463436652</v>
      </c>
      <c r="N18">
        <v>0</v>
      </c>
      <c r="O18">
        <v>8</v>
      </c>
      <c r="P18">
        <v>-3322.5</v>
      </c>
      <c r="Q18">
        <v>-2811.96</v>
      </c>
      <c r="R18">
        <v>-3280</v>
      </c>
      <c r="S18">
        <v>-914.66</v>
      </c>
      <c r="T18">
        <v>-7002</v>
      </c>
      <c r="U18">
        <v>520.34</v>
      </c>
      <c r="V18">
        <v>-7002.1</v>
      </c>
      <c r="W18">
        <v>2365</v>
      </c>
      <c r="X18">
        <v>-6252</v>
      </c>
      <c r="Y18">
        <v>3800</v>
      </c>
      <c r="Z18">
        <v>3207.7643718578788</v>
      </c>
      <c r="AA18">
        <v>5435.8361472032029</v>
      </c>
      <c r="AB18">
        <v>0</v>
      </c>
      <c r="AC18">
        <v>1064.1696555107644</v>
      </c>
      <c r="AD18">
        <v>1127.0074684186504</v>
      </c>
      <c r="AE18">
        <v>1127.0852605320265</v>
      </c>
      <c r="AF18">
        <v>230.51210796029844</v>
      </c>
      <c r="AG18">
        <v>1357.5584670069377</v>
      </c>
      <c r="AH18">
        <v>1886.2998163666878</v>
      </c>
      <c r="AI18">
        <v>3721.9999999999995</v>
      </c>
      <c r="AJ18">
        <v>1844.6600027105269</v>
      </c>
      <c r="AK18">
        <v>750.10000000000059</v>
      </c>
      <c r="AL18">
        <v>9492.3061935215883</v>
      </c>
      <c r="AM18">
        <v>1321.6794517012981</v>
      </c>
      <c r="AN18">
        <v>-95.021003558665456</v>
      </c>
      <c r="AO18">
        <v>-180</v>
      </c>
      <c r="AP18">
        <v>-90.003106034687008</v>
      </c>
      <c r="AQ18">
        <v>1.2722218725854067E-14</v>
      </c>
      <c r="AR18">
        <v>-18.407485592737391</v>
      </c>
      <c r="AS18">
        <v>89.999999566492633</v>
      </c>
      <c r="AT18">
        <v>-2400.1625746957502</v>
      </c>
      <c r="AU18">
        <v>-3280</v>
      </c>
      <c r="AV18">
        <v>-7719.4999989457119</v>
      </c>
      <c r="AW18">
        <v>-7002.1</v>
      </c>
      <c r="AX18">
        <v>-6025.4328701799686</v>
      </c>
      <c r="AY18">
        <v>3925.2643718578788</v>
      </c>
      <c r="AZ18">
        <v>-2730.9252207921031</v>
      </c>
      <c r="BA18">
        <v>-197.16</v>
      </c>
      <c r="BB18">
        <v>520.3011039433311</v>
      </c>
      <c r="BC18">
        <v>3082.5000000000005</v>
      </c>
      <c r="BD18">
        <v>3119.2110564315012</v>
      </c>
      <c r="BE18">
        <v>5435.8361526319022</v>
      </c>
      <c r="BF18">
        <v>-2565.2532760267472</v>
      </c>
      <c r="BG18">
        <v>-7002</v>
      </c>
      <c r="BH18">
        <v>-7719.5999989457123</v>
      </c>
      <c r="BI18">
        <v>-6252</v>
      </c>
      <c r="BJ18">
        <v>2981.1972420378474</v>
      </c>
      <c r="BK18">
        <v>3925.2643818578786</v>
      </c>
      <c r="BL18">
        <v>-851.86373761518519</v>
      </c>
      <c r="BM18">
        <v>-197.16</v>
      </c>
      <c r="BN18">
        <v>2364.9611039433312</v>
      </c>
      <c r="BO18">
        <v>3082.5000000000005</v>
      </c>
      <c r="BP18">
        <v>6116.6250907717022</v>
      </c>
      <c r="BQ18">
        <v>4114.1567009306036</v>
      </c>
      <c r="BR18">
        <v>0</v>
      </c>
      <c r="BS18">
        <v>84.97899644133453</v>
      </c>
      <c r="BT18">
        <v>89.996893965312992</v>
      </c>
      <c r="BU18">
        <v>90.003106034687022</v>
      </c>
      <c r="BV18">
        <v>18.407485592737405</v>
      </c>
      <c r="BW18">
        <v>108.40748515923002</v>
      </c>
      <c r="BX18" s="69">
        <f>Таблица1[[#This Row],[Lкан_леб,мм]]</f>
        <v>3504463.463436652</v>
      </c>
      <c r="BY18" s="65">
        <f>Таблица1[[#This Row],[Т1]]+Таблица1[[#This Row],[Lпрям1, мм]]</f>
        <v>3506349.7632530187</v>
      </c>
      <c r="BZ18" s="65">
        <f>Таблица1[[#This Row],[Т2]]+Таблица1[[#This Row],[Lдуг 2,мм]]</f>
        <v>3507413.9329085294</v>
      </c>
      <c r="CA18" s="65">
        <f>Таблица1[[#This Row],[Т3]]+Таблица1[[#This Row],[Lпрям2, мм]]</f>
        <v>3511135.9329085294</v>
      </c>
      <c r="CB18" s="65">
        <f>Таблица1[[#This Row],[Т4]]+Таблица1[[#This Row],[Lдуг 3,мм]]</f>
        <v>3512262.9403769481</v>
      </c>
      <c r="CC18" s="65">
        <f>Таблица1[[#This Row],[Т5]]+Таблица1[[#This Row],[Lпрям3, мм]]</f>
        <v>3514107.6003796584</v>
      </c>
      <c r="CD18" s="65">
        <f>Таблица1[[#This Row],[Т6]]+Таблица1[[#This Row],[Lдуг 4,мм]]</f>
        <v>3515234.6856401903</v>
      </c>
      <c r="CE18" s="65">
        <f>Таблица1[[#This Row],[Т7]]+Таблица1[[#This Row],[Lпрям4, мм]]</f>
        <v>3515984.7856401904</v>
      </c>
      <c r="CF18" s="72">
        <f>Таблица1[[#This Row],[Т8]]+Таблица1[[#This Row],[Lдуг 5,мм]]</f>
        <v>3516215.2977481508</v>
      </c>
      <c r="CG18" s="65">
        <f>Таблица1[[#This Row],[Т9]]+Таблица1[[#This Row],[Lпрям5, мм]]</f>
        <v>3525707.6039416725</v>
      </c>
      <c r="CH18" s="65">
        <f>Таблица1[[#This Row],[Т10]]+Таблица1[[#This Row],[Lдуг 6,мм]]</f>
        <v>3527065.1624086793</v>
      </c>
      <c r="CI18" s="66">
        <f>Таблица1[[#This Row],[Т11]]+Таблица1[[#This Row],[Lпрям6, мм]]</f>
        <v>3528386.8418603805</v>
      </c>
      <c r="CJ18" s="64">
        <f>Таблица1[[#This Row],[Т12]]-Таблица1[[#This Row],[Т12]]</f>
        <v>0</v>
      </c>
      <c r="CK18" s="65">
        <f>Таблица1[[#This Row],[Т12]]-Таблица1[[#This Row],[Т11]]</f>
        <v>1321.6794517012313</v>
      </c>
      <c r="CL18" s="65">
        <f>Таблица1[[#This Row],[Т12]]-Таблица1[[#This Row],[Т10]]</f>
        <v>2679.2379187080078</v>
      </c>
      <c r="CM18" s="65">
        <f>Таблица1[[#This Row],[Т12]]-Таблица1[[#This Row],[Т9]]</f>
        <v>12171.54411222972</v>
      </c>
      <c r="CN18" s="65">
        <f>Таблица1[[#This Row],[Т12]]-Таблица1[[#This Row],[Т8]]</f>
        <v>12402.056220190134</v>
      </c>
      <c r="CO18" s="65">
        <f>Таблица1[[#This Row],[Т12]]-Таблица1[[#This Row],[Т7]]</f>
        <v>13152.156220190227</v>
      </c>
      <c r="CP18" s="65">
        <f>Таблица1[[#This Row],[Т12]]-Таблица1[[#This Row],[Т6]]</f>
        <v>14279.241480722092</v>
      </c>
      <c r="CQ18" s="65">
        <f>Таблица1[[#This Row],[Т12]]-Таблица1[[#This Row],[Т5]]</f>
        <v>16123.90148343239</v>
      </c>
      <c r="CR18" s="65">
        <f>Таблица1[[#This Row],[Т12]]-Таблица1[[#This Row],[Т4]]</f>
        <v>17250.908951851074</v>
      </c>
      <c r="CS18" s="65">
        <f>Таблица1[[#This Row],[Т12]]-Таблица1[[#This Row],[Т3]]</f>
        <v>20972.908951851074</v>
      </c>
      <c r="CT18" s="65">
        <f>Таблица1[[#This Row],[Т12]]-Таблица1[[#This Row],[Т2]]</f>
        <v>22037.078607361764</v>
      </c>
      <c r="CU18" s="65">
        <f>Таблица1[[#This Row],[Т12]]-Таблица1[[#This Row],[Т1]]</f>
        <v>23923.378423728514</v>
      </c>
      <c r="CV18" s="65">
        <f>Таблица1[[#This Row],[Lкан_леб,мм]]+Таблица1[[#This Row],[Lкан_дуг, мм]]+Таблица1[[#This Row],[Lкан_прям, мм]]</f>
        <v>3528386.841860381</v>
      </c>
      <c r="CW18" s="60">
        <f>3511128.4-(Таблица1[[#This Row],[Lкан_леб,мм]]+Таблица1[[#This Row],[∆Lлеб из за стрел]])</f>
        <v>6664.936563347932</v>
      </c>
    </row>
    <row r="19" spans="1:101" x14ac:dyDescent="0.25">
      <c r="A19">
        <v>18</v>
      </c>
      <c r="B19">
        <v>58.671140939597343</v>
      </c>
      <c r="C19">
        <v>31.338859060402655</v>
      </c>
      <c r="D19">
        <v>3151.3381662187821</v>
      </c>
      <c r="E19">
        <v>5470.5279176470822</v>
      </c>
      <c r="F19">
        <v>3868.9713239118837</v>
      </c>
      <c r="G19">
        <v>4707.6531566414305</v>
      </c>
      <c r="H19">
        <v>3868.8376762187818</v>
      </c>
      <c r="I19">
        <v>4148.8484713742955</v>
      </c>
      <c r="J19">
        <v>1321.6794462727871</v>
      </c>
      <c r="K19">
        <v>18966.889830471395</v>
      </c>
      <c r="L19">
        <v>4914.0404029384035</v>
      </c>
      <c r="M19">
        <v>3504505.9116269713</v>
      </c>
      <c r="N19">
        <v>0</v>
      </c>
      <c r="O19">
        <v>8</v>
      </c>
      <c r="P19">
        <v>-3322.5</v>
      </c>
      <c r="Q19">
        <v>-2811.96</v>
      </c>
      <c r="R19">
        <v>-3280</v>
      </c>
      <c r="S19">
        <v>-914.66</v>
      </c>
      <c r="T19">
        <v>-7002</v>
      </c>
      <c r="U19">
        <v>520.34</v>
      </c>
      <c r="V19">
        <v>-7002.1</v>
      </c>
      <c r="W19">
        <v>2365</v>
      </c>
      <c r="X19">
        <v>-6252</v>
      </c>
      <c r="Y19">
        <v>3800</v>
      </c>
      <c r="Z19">
        <v>3151.3381662187821</v>
      </c>
      <c r="AA19">
        <v>5470.5279176470822</v>
      </c>
      <c r="AB19">
        <v>0</v>
      </c>
      <c r="AC19">
        <v>1064.1696555107644</v>
      </c>
      <c r="AD19">
        <v>1127.0074684186504</v>
      </c>
      <c r="AE19">
        <v>1127.0852605320265</v>
      </c>
      <c r="AF19">
        <v>234.36582971516157</v>
      </c>
      <c r="AG19">
        <v>1361.4121887618007</v>
      </c>
      <c r="AH19">
        <v>1886.2998163666878</v>
      </c>
      <c r="AI19">
        <v>3721.9999999999995</v>
      </c>
      <c r="AJ19">
        <v>1844.6600027105269</v>
      </c>
      <c r="AK19">
        <v>750.10000000000059</v>
      </c>
      <c r="AL19">
        <v>9442.1505596926945</v>
      </c>
      <c r="AM19">
        <v>1321.679451701483</v>
      </c>
      <c r="AN19">
        <v>-95.021003558665456</v>
      </c>
      <c r="AO19">
        <v>-180</v>
      </c>
      <c r="AP19">
        <v>-90.003106034687008</v>
      </c>
      <c r="AQ19">
        <v>1.2722218725854067E-14</v>
      </c>
      <c r="AR19">
        <v>-18.715223560641789</v>
      </c>
      <c r="AS19">
        <v>89.999999566492633</v>
      </c>
      <c r="AT19">
        <v>-2400.1625746957502</v>
      </c>
      <c r="AU19">
        <v>-3280</v>
      </c>
      <c r="AV19">
        <v>-7719.4999989457119</v>
      </c>
      <c r="AW19">
        <v>-7002.1</v>
      </c>
      <c r="AX19">
        <v>-6021.7796105920952</v>
      </c>
      <c r="AY19">
        <v>3868.8381662187821</v>
      </c>
      <c r="AZ19">
        <v>-2730.9252207921031</v>
      </c>
      <c r="BA19">
        <v>-197.16</v>
      </c>
      <c r="BB19">
        <v>520.3011039433311</v>
      </c>
      <c r="BC19">
        <v>3082.5000000000005</v>
      </c>
      <c r="BD19">
        <v>3120.4377715757942</v>
      </c>
      <c r="BE19">
        <v>5470.5279230757815</v>
      </c>
      <c r="BF19">
        <v>-2565.2532760267472</v>
      </c>
      <c r="BG19">
        <v>-7002</v>
      </c>
      <c r="BH19">
        <v>-7719.5999989457123</v>
      </c>
      <c r="BI19">
        <v>-6252</v>
      </c>
      <c r="BJ19">
        <v>2921.1177768108773</v>
      </c>
      <c r="BK19">
        <v>3868.8381762187819</v>
      </c>
      <c r="BL19">
        <v>-851.86373761518519</v>
      </c>
      <c r="BM19">
        <v>-197.16</v>
      </c>
      <c r="BN19">
        <v>2364.9611039433312</v>
      </c>
      <c r="BO19">
        <v>3082.5000000000005</v>
      </c>
      <c r="BP19">
        <v>6150.0901460712885</v>
      </c>
      <c r="BQ19">
        <v>4148.8484713742992</v>
      </c>
      <c r="BR19">
        <v>0</v>
      </c>
      <c r="BS19">
        <v>84.97899644133453</v>
      </c>
      <c r="BT19">
        <v>89.996893965312992</v>
      </c>
      <c r="BU19">
        <v>90.003106034687022</v>
      </c>
      <c r="BV19">
        <v>18.715223560641803</v>
      </c>
      <c r="BW19">
        <v>108.71522312713442</v>
      </c>
      <c r="BX19" s="69">
        <f>Таблица1[[#This Row],[Lкан_леб,мм]]</f>
        <v>3504505.9116269713</v>
      </c>
      <c r="BY19" s="65">
        <f>Таблица1[[#This Row],[Т1]]+Таблица1[[#This Row],[Lпрям1, мм]]</f>
        <v>3506392.2114433381</v>
      </c>
      <c r="BZ19" s="65">
        <f>Таблица1[[#This Row],[Т2]]+Таблица1[[#This Row],[Lдуг 2,мм]]</f>
        <v>3507456.3810988488</v>
      </c>
      <c r="CA19" s="65">
        <f>Таблица1[[#This Row],[Т3]]+Таблица1[[#This Row],[Lпрям2, мм]]</f>
        <v>3511178.3810988488</v>
      </c>
      <c r="CB19" s="65">
        <f>Таблица1[[#This Row],[Т4]]+Таблица1[[#This Row],[Lдуг 3,мм]]</f>
        <v>3512305.3885672675</v>
      </c>
      <c r="CC19" s="65">
        <f>Таблица1[[#This Row],[Т5]]+Таблица1[[#This Row],[Lпрям3, мм]]</f>
        <v>3514150.0485699777</v>
      </c>
      <c r="CD19" s="65">
        <f>Таблица1[[#This Row],[Т6]]+Таблица1[[#This Row],[Lдуг 4,мм]]</f>
        <v>3515277.1338305096</v>
      </c>
      <c r="CE19" s="65">
        <f>Таблица1[[#This Row],[Т7]]+Таблица1[[#This Row],[Lпрям4, мм]]</f>
        <v>3516027.2338305097</v>
      </c>
      <c r="CF19" s="72">
        <f>Таблица1[[#This Row],[Т8]]+Таблица1[[#This Row],[Lдуг 5,мм]]</f>
        <v>3516261.5996602247</v>
      </c>
      <c r="CG19" s="65">
        <f>Таблица1[[#This Row],[Т9]]+Таблица1[[#This Row],[Lпрям5, мм]]</f>
        <v>3525703.7502199174</v>
      </c>
      <c r="CH19" s="65">
        <f>Таблица1[[#This Row],[Т10]]+Таблица1[[#This Row],[Lдуг 6,мм]]</f>
        <v>3527065.1624086793</v>
      </c>
      <c r="CI19" s="66">
        <f>Таблица1[[#This Row],[Т11]]+Таблица1[[#This Row],[Lпрям6, мм]]</f>
        <v>3528386.841860381</v>
      </c>
      <c r="CJ19" s="64">
        <f>Таблица1[[#This Row],[Т12]]-Таблица1[[#This Row],[Т12]]</f>
        <v>0</v>
      </c>
      <c r="CK19" s="65">
        <f>Таблица1[[#This Row],[Т12]]-Таблица1[[#This Row],[Т11]]</f>
        <v>1321.679451701697</v>
      </c>
      <c r="CL19" s="65">
        <f>Таблица1[[#This Row],[Т12]]-Таблица1[[#This Row],[Т10]]</f>
        <v>2683.0916404635645</v>
      </c>
      <c r="CM19" s="65">
        <f>Таблица1[[#This Row],[Т12]]-Таблица1[[#This Row],[Т9]]</f>
        <v>12125.242200156208</v>
      </c>
      <c r="CN19" s="65">
        <f>Таблица1[[#This Row],[Т12]]-Таблица1[[#This Row],[Т8]]</f>
        <v>12359.608029871248</v>
      </c>
      <c r="CO19" s="65">
        <f>Таблица1[[#This Row],[Т12]]-Таблица1[[#This Row],[Т7]]</f>
        <v>13109.708029871341</v>
      </c>
      <c r="CP19" s="65">
        <f>Таблица1[[#This Row],[Т12]]-Таблица1[[#This Row],[Т6]]</f>
        <v>14236.793290403206</v>
      </c>
      <c r="CQ19" s="65">
        <f>Таблица1[[#This Row],[Т12]]-Таблица1[[#This Row],[Т5]]</f>
        <v>16081.453293113504</v>
      </c>
      <c r="CR19" s="65">
        <f>Таблица1[[#This Row],[Т12]]-Таблица1[[#This Row],[Т4]]</f>
        <v>17208.460761532187</v>
      </c>
      <c r="CS19" s="65">
        <f>Таблица1[[#This Row],[Т12]]-Таблица1[[#This Row],[Т3]]</f>
        <v>20930.460761532187</v>
      </c>
      <c r="CT19" s="65">
        <f>Таблица1[[#This Row],[Т12]]-Таблица1[[#This Row],[Т2]]</f>
        <v>21994.630417042878</v>
      </c>
      <c r="CU19" s="65">
        <f>Таблица1[[#This Row],[Т12]]-Таблица1[[#This Row],[Т1]]</f>
        <v>23880.930233409628</v>
      </c>
      <c r="CV19" s="65">
        <f>Таблица1[[#This Row],[Lкан_леб,мм]]+Таблица1[[#This Row],[Lкан_дуг, мм]]+Таблица1[[#This Row],[Lкан_прям, мм]]</f>
        <v>3528386.8418603814</v>
      </c>
      <c r="CW19" s="60">
        <f>3511128.4-(Таблица1[[#This Row],[Lкан_леб,мм]]+Таблица1[[#This Row],[∆Lлеб из за стрел]])</f>
        <v>6622.4883730285801</v>
      </c>
    </row>
    <row r="20" spans="1:101" x14ac:dyDescent="0.25">
      <c r="A20">
        <v>19</v>
      </c>
      <c r="B20">
        <v>59.1812080536913</v>
      </c>
      <c r="C20">
        <v>30.828791946308698</v>
      </c>
      <c r="D20">
        <v>3094.605362283105</v>
      </c>
      <c r="E20">
        <v>5504.7159941790032</v>
      </c>
      <c r="F20">
        <v>3812.2385199762061</v>
      </c>
      <c r="G20">
        <v>4741.8412331733525</v>
      </c>
      <c r="H20">
        <v>3812.1048722831051</v>
      </c>
      <c r="I20">
        <v>4183.0365479061147</v>
      </c>
      <c r="J20">
        <v>1321.6794462728885</v>
      </c>
      <c r="K20">
        <v>18916.536937842811</v>
      </c>
      <c r="L20">
        <v>4921.7661288449926</v>
      </c>
      <c r="M20">
        <v>3504548.5387936933</v>
      </c>
      <c r="N20">
        <v>0</v>
      </c>
      <c r="O20">
        <v>8</v>
      </c>
      <c r="P20">
        <v>-3322.5</v>
      </c>
      <c r="Q20">
        <v>-2811.96</v>
      </c>
      <c r="R20">
        <v>-3280</v>
      </c>
      <c r="S20">
        <v>-914.66</v>
      </c>
      <c r="T20">
        <v>-7002</v>
      </c>
      <c r="U20">
        <v>520.34</v>
      </c>
      <c r="V20">
        <v>-7002.1</v>
      </c>
      <c r="W20">
        <v>2365</v>
      </c>
      <c r="X20">
        <v>-6252</v>
      </c>
      <c r="Y20">
        <v>3800</v>
      </c>
      <c r="Z20">
        <v>3094.605362283105</v>
      </c>
      <c r="AA20">
        <v>5504.7159941790032</v>
      </c>
      <c r="AB20">
        <v>0</v>
      </c>
      <c r="AC20">
        <v>1064.1696555107644</v>
      </c>
      <c r="AD20">
        <v>1127.0074684186504</v>
      </c>
      <c r="AE20">
        <v>1127.0852605320265</v>
      </c>
      <c r="AF20">
        <v>238.22869266845564</v>
      </c>
      <c r="AG20">
        <v>1365.2750517150951</v>
      </c>
      <c r="AH20">
        <v>1886.2998163666878</v>
      </c>
      <c r="AI20">
        <v>3721.9999999999995</v>
      </c>
      <c r="AJ20">
        <v>1844.6600027105269</v>
      </c>
      <c r="AK20">
        <v>750.10000000000059</v>
      </c>
      <c r="AL20">
        <v>9391.797667064011</v>
      </c>
      <c r="AM20">
        <v>1321.6794517015842</v>
      </c>
      <c r="AN20">
        <v>-95.021003558665456</v>
      </c>
      <c r="AO20">
        <v>-180</v>
      </c>
      <c r="AP20">
        <v>-90.003106034687008</v>
      </c>
      <c r="AQ20">
        <v>1.2722218725854067E-14</v>
      </c>
      <c r="AR20">
        <v>-19.023691496615577</v>
      </c>
      <c r="AS20">
        <v>89.999999566492633</v>
      </c>
      <c r="AT20">
        <v>-2400.1625746957502</v>
      </c>
      <c r="AU20">
        <v>-3280</v>
      </c>
      <c r="AV20">
        <v>-7719.4999989457119</v>
      </c>
      <c r="AW20">
        <v>-7002.1</v>
      </c>
      <c r="AX20">
        <v>-6018.124350443667</v>
      </c>
      <c r="AY20">
        <v>3812.1053622831046</v>
      </c>
      <c r="AZ20">
        <v>-2730.9252207921031</v>
      </c>
      <c r="BA20">
        <v>-197.16</v>
      </c>
      <c r="BB20">
        <v>520.3011039433311</v>
      </c>
      <c r="BC20">
        <v>3082.5000000000005</v>
      </c>
      <c r="BD20">
        <v>3121.6870703395052</v>
      </c>
      <c r="BE20">
        <v>5504.7159996077025</v>
      </c>
      <c r="BF20">
        <v>-2565.2532760267472</v>
      </c>
      <c r="BG20">
        <v>-7002</v>
      </c>
      <c r="BH20">
        <v>-7719.5999989457123</v>
      </c>
      <c r="BI20">
        <v>-6252</v>
      </c>
      <c r="BJ20">
        <v>2860.7297127267725</v>
      </c>
      <c r="BK20">
        <v>3812.1053722831052</v>
      </c>
      <c r="BL20">
        <v>-851.86373761518519</v>
      </c>
      <c r="BM20">
        <v>-197.16</v>
      </c>
      <c r="BN20">
        <v>2364.9611039433312</v>
      </c>
      <c r="BO20">
        <v>3082.5000000000005</v>
      </c>
      <c r="BP20">
        <v>6183.028923839498</v>
      </c>
      <c r="BQ20">
        <v>4183.0365479061184</v>
      </c>
      <c r="BR20">
        <v>0</v>
      </c>
      <c r="BS20">
        <v>84.97899644133453</v>
      </c>
      <c r="BT20">
        <v>89.996893965312992</v>
      </c>
      <c r="BU20">
        <v>90.003106034687022</v>
      </c>
      <c r="BV20">
        <v>19.023691496615587</v>
      </c>
      <c r="BW20">
        <v>109.0236910631082</v>
      </c>
      <c r="BX20" s="69">
        <f>Таблица1[[#This Row],[Lкан_леб,мм]]</f>
        <v>3504548.5387936933</v>
      </c>
      <c r="BY20" s="65">
        <f>Таблица1[[#This Row],[Т1]]+Таблица1[[#This Row],[Lпрям1, мм]]</f>
        <v>3506434.83861006</v>
      </c>
      <c r="BZ20" s="65">
        <f>Таблица1[[#This Row],[Т2]]+Таблица1[[#This Row],[Lдуг 2,мм]]</f>
        <v>3507499.0082655707</v>
      </c>
      <c r="CA20" s="65">
        <f>Таблица1[[#This Row],[Т3]]+Таблица1[[#This Row],[Lпрям2, мм]]</f>
        <v>3511221.0082655707</v>
      </c>
      <c r="CB20" s="65">
        <f>Таблица1[[#This Row],[Т4]]+Таблица1[[#This Row],[Lдуг 3,мм]]</f>
        <v>3512348.0157339894</v>
      </c>
      <c r="CC20" s="65">
        <f>Таблица1[[#This Row],[Т5]]+Таблица1[[#This Row],[Lпрям3, мм]]</f>
        <v>3514192.6757366997</v>
      </c>
      <c r="CD20" s="65">
        <f>Таблица1[[#This Row],[Т6]]+Таблица1[[#This Row],[Lдуг 4,мм]]</f>
        <v>3515319.7609972316</v>
      </c>
      <c r="CE20" s="65">
        <f>Таблица1[[#This Row],[Т7]]+Таблица1[[#This Row],[Lпрям4, мм]]</f>
        <v>3516069.8609972317</v>
      </c>
      <c r="CF20" s="72">
        <f>Таблица1[[#This Row],[Т8]]+Таблица1[[#This Row],[Lдуг 5,мм]]</f>
        <v>3516308.0896899002</v>
      </c>
      <c r="CG20" s="65">
        <f>Таблица1[[#This Row],[Т9]]+Таблица1[[#This Row],[Lпрям5, мм]]</f>
        <v>3525699.8873569644</v>
      </c>
      <c r="CH20" s="65">
        <f>Таблица1[[#This Row],[Т10]]+Таблица1[[#This Row],[Lдуг 6,мм]]</f>
        <v>3527065.1624086797</v>
      </c>
      <c r="CI20" s="66">
        <f>Таблица1[[#This Row],[Т11]]+Таблица1[[#This Row],[Lпрям6, мм]]</f>
        <v>3528386.8418603814</v>
      </c>
      <c r="CJ20" s="64">
        <f>Таблица1[[#This Row],[Т12]]-Таблица1[[#This Row],[Т12]]</f>
        <v>0</v>
      </c>
      <c r="CK20" s="65">
        <f>Таблица1[[#This Row],[Т12]]-Таблица1[[#This Row],[Т11]]</f>
        <v>1321.679451701697</v>
      </c>
      <c r="CL20" s="65">
        <f>Таблица1[[#This Row],[Т12]]-Таблица1[[#This Row],[Т10]]</f>
        <v>2686.9545034170151</v>
      </c>
      <c r="CM20" s="65">
        <f>Таблица1[[#This Row],[Т12]]-Таблица1[[#This Row],[Т9]]</f>
        <v>12078.752170481253</v>
      </c>
      <c r="CN20" s="65">
        <f>Таблица1[[#This Row],[Т12]]-Таблица1[[#This Row],[Т8]]</f>
        <v>12316.980863149744</v>
      </c>
      <c r="CO20" s="65">
        <f>Таблица1[[#This Row],[Т12]]-Таблица1[[#This Row],[Т7]]</f>
        <v>13067.080863149837</v>
      </c>
      <c r="CP20" s="65">
        <f>Таблица1[[#This Row],[Т12]]-Таблица1[[#This Row],[Т6]]</f>
        <v>14194.166123681702</v>
      </c>
      <c r="CQ20" s="65">
        <f>Таблица1[[#This Row],[Т12]]-Таблица1[[#This Row],[Т5]]</f>
        <v>16038.826126391999</v>
      </c>
      <c r="CR20" s="65">
        <f>Таблица1[[#This Row],[Т12]]-Таблица1[[#This Row],[Т4]]</f>
        <v>17165.833594810683</v>
      </c>
      <c r="CS20" s="65">
        <f>Таблица1[[#This Row],[Т12]]-Таблица1[[#This Row],[Т3]]</f>
        <v>20887.833594810683</v>
      </c>
      <c r="CT20" s="65">
        <f>Таблица1[[#This Row],[Т12]]-Таблица1[[#This Row],[Т2]]</f>
        <v>21952.003250321373</v>
      </c>
      <c r="CU20" s="65">
        <f>Таблица1[[#This Row],[Т12]]-Таблица1[[#This Row],[Т1]]</f>
        <v>23838.303066688124</v>
      </c>
      <c r="CV20" s="65">
        <f>Таблица1[[#This Row],[Lкан_леб,мм]]+Таблица1[[#This Row],[Lкан_дуг, мм]]+Таблица1[[#This Row],[Lкан_прям, мм]]</f>
        <v>3528386.841860381</v>
      </c>
      <c r="CW20" s="60">
        <f>3511128.4-(Таблица1[[#This Row],[Lкан_леб,мм]]+Таблица1[[#This Row],[∆Lлеб из за стрел]])</f>
        <v>6579.8612063066103</v>
      </c>
    </row>
    <row r="21" spans="1:101" x14ac:dyDescent="0.25">
      <c r="A21">
        <v>20</v>
      </c>
      <c r="B21">
        <v>59.691275167785257</v>
      </c>
      <c r="C21">
        <v>30.318724832214741</v>
      </c>
      <c r="D21">
        <v>3037.5704562005526</v>
      </c>
      <c r="E21">
        <v>5538.3976673487095</v>
      </c>
      <c r="F21">
        <v>3755.2036138936537</v>
      </c>
      <c r="G21">
        <v>4775.5229063430588</v>
      </c>
      <c r="H21">
        <v>3755.0699662005527</v>
      </c>
      <c r="I21">
        <v>4216.7182210760602</v>
      </c>
      <c r="J21">
        <v>1321.6794462726486</v>
      </c>
      <c r="K21">
        <v>18865.987619396506</v>
      </c>
      <c r="L21">
        <v>4929.510483907331</v>
      </c>
      <c r="M21">
        <v>3504591.3437570771</v>
      </c>
      <c r="N21">
        <v>0</v>
      </c>
      <c r="O21">
        <v>8</v>
      </c>
      <c r="P21">
        <v>-3322.5</v>
      </c>
      <c r="Q21">
        <v>-2811.96</v>
      </c>
      <c r="R21">
        <v>-3280</v>
      </c>
      <c r="S21">
        <v>-914.66</v>
      </c>
      <c r="T21">
        <v>-7002</v>
      </c>
      <c r="U21">
        <v>520.34</v>
      </c>
      <c r="V21">
        <v>-7002.1</v>
      </c>
      <c r="W21">
        <v>2365</v>
      </c>
      <c r="X21">
        <v>-6252</v>
      </c>
      <c r="Y21">
        <v>3800</v>
      </c>
      <c r="Z21">
        <v>3037.5704562005526</v>
      </c>
      <c r="AA21">
        <v>5538.3976673487095</v>
      </c>
      <c r="AB21">
        <v>0</v>
      </c>
      <c r="AC21">
        <v>1064.1696555107644</v>
      </c>
      <c r="AD21">
        <v>1127.0074684186504</v>
      </c>
      <c r="AE21">
        <v>1127.0852605320265</v>
      </c>
      <c r="AF21">
        <v>242.10087019962538</v>
      </c>
      <c r="AG21">
        <v>1369.1472292462645</v>
      </c>
      <c r="AH21">
        <v>1886.2998163666878</v>
      </c>
      <c r="AI21">
        <v>3721.9999999999995</v>
      </c>
      <c r="AJ21">
        <v>1844.6600027105269</v>
      </c>
      <c r="AK21">
        <v>750.10000000000059</v>
      </c>
      <c r="AL21">
        <v>9341.2483486179499</v>
      </c>
      <c r="AM21">
        <v>1321.6794517013443</v>
      </c>
      <c r="AN21">
        <v>-95.021003558665456</v>
      </c>
      <c r="AO21">
        <v>-180</v>
      </c>
      <c r="AP21">
        <v>-90.003106034687008</v>
      </c>
      <c r="AQ21">
        <v>1.2722218725854067E-14</v>
      </c>
      <c r="AR21">
        <v>-19.332903245830089</v>
      </c>
      <c r="AS21">
        <v>89.999999566492619</v>
      </c>
      <c r="AT21">
        <v>-2400.1625746957502</v>
      </c>
      <c r="AU21">
        <v>-3280</v>
      </c>
      <c r="AV21">
        <v>-7719.4999989457119</v>
      </c>
      <c r="AW21">
        <v>-7002.1</v>
      </c>
      <c r="AX21">
        <v>-6014.4670798296747</v>
      </c>
      <c r="AY21">
        <v>3755.0704562005526</v>
      </c>
      <c r="AZ21">
        <v>-2730.9252207921031</v>
      </c>
      <c r="BA21">
        <v>-197.16</v>
      </c>
      <c r="BB21">
        <v>520.3011039433311</v>
      </c>
      <c r="BC21">
        <v>3082.5000000000005</v>
      </c>
      <c r="BD21">
        <v>3122.959113616203</v>
      </c>
      <c r="BE21">
        <v>5538.3976727774088</v>
      </c>
      <c r="BF21">
        <v>-2565.2532760267472</v>
      </c>
      <c r="BG21">
        <v>-7002</v>
      </c>
      <c r="BH21">
        <v>-7719.5999989457123</v>
      </c>
      <c r="BI21">
        <v>-6252</v>
      </c>
      <c r="BJ21">
        <v>2800.0375360302273</v>
      </c>
      <c r="BK21">
        <v>3755.0704662005528</v>
      </c>
      <c r="BL21">
        <v>-851.86373761518519</v>
      </c>
      <c r="BM21">
        <v>-197.16</v>
      </c>
      <c r="BN21">
        <v>2364.9611039433312</v>
      </c>
      <c r="BO21">
        <v>3082.5000000000005</v>
      </c>
      <c r="BP21">
        <v>6215.438553732507</v>
      </c>
      <c r="BQ21">
        <v>4216.7182210760639</v>
      </c>
      <c r="BR21">
        <v>0</v>
      </c>
      <c r="BS21">
        <v>84.97899644133453</v>
      </c>
      <c r="BT21">
        <v>89.996893965312992</v>
      </c>
      <c r="BU21">
        <v>90.003106034687022</v>
      </c>
      <c r="BV21">
        <v>19.332903245830103</v>
      </c>
      <c r="BW21">
        <v>109.33290281232271</v>
      </c>
      <c r="BX21" s="69">
        <f>Таблица1[[#This Row],[Lкан_леб,мм]]</f>
        <v>3504591.3437570771</v>
      </c>
      <c r="BY21" s="65">
        <f>Таблица1[[#This Row],[Т1]]+Таблица1[[#This Row],[Lпрям1, мм]]</f>
        <v>3506477.6435734439</v>
      </c>
      <c r="BZ21" s="65">
        <f>Таблица1[[#This Row],[Т2]]+Таблица1[[#This Row],[Lдуг 2,мм]]</f>
        <v>3507541.8132289546</v>
      </c>
      <c r="CA21" s="65">
        <f>Таблица1[[#This Row],[Т3]]+Таблица1[[#This Row],[Lпрям2, мм]]</f>
        <v>3511263.8132289546</v>
      </c>
      <c r="CB21" s="65">
        <f>Таблица1[[#This Row],[Т4]]+Таблица1[[#This Row],[Lдуг 3,мм]]</f>
        <v>3512390.8206973732</v>
      </c>
      <c r="CC21" s="65">
        <f>Таблица1[[#This Row],[Т5]]+Таблица1[[#This Row],[Lпрям3, мм]]</f>
        <v>3514235.4807000835</v>
      </c>
      <c r="CD21" s="65">
        <f>Таблица1[[#This Row],[Т6]]+Таблица1[[#This Row],[Lдуг 4,мм]]</f>
        <v>3515362.5659606154</v>
      </c>
      <c r="CE21" s="65">
        <f>Таблица1[[#This Row],[Т7]]+Таблица1[[#This Row],[Lпрям4, мм]]</f>
        <v>3516112.6659606155</v>
      </c>
      <c r="CF21" s="72">
        <f>Таблица1[[#This Row],[Т8]]+Таблица1[[#This Row],[Lдуг 5,мм]]</f>
        <v>3516354.766830815</v>
      </c>
      <c r="CG21" s="65">
        <f>Таблица1[[#This Row],[Т9]]+Таблица1[[#This Row],[Lпрям5, мм]]</f>
        <v>3525696.0151794329</v>
      </c>
      <c r="CH21" s="65">
        <f>Таблица1[[#This Row],[Т10]]+Таблица1[[#This Row],[Lдуг 6,мм]]</f>
        <v>3527065.1624086793</v>
      </c>
      <c r="CI21" s="66">
        <f>Таблица1[[#This Row],[Т11]]+Таблица1[[#This Row],[Lпрям6, мм]]</f>
        <v>3528386.8418603805</v>
      </c>
      <c r="CJ21" s="64">
        <f>Таблица1[[#This Row],[Т12]]-Таблица1[[#This Row],[Т12]]</f>
        <v>0</v>
      </c>
      <c r="CK21" s="65">
        <f>Таблица1[[#This Row],[Т12]]-Таблица1[[#This Row],[Т11]]</f>
        <v>1321.6794517012313</v>
      </c>
      <c r="CL21" s="65">
        <f>Таблица1[[#This Row],[Т12]]-Таблица1[[#This Row],[Т10]]</f>
        <v>2690.8266809475608</v>
      </c>
      <c r="CM21" s="65">
        <f>Таблица1[[#This Row],[Т12]]-Таблица1[[#This Row],[Т9]]</f>
        <v>12032.075029565487</v>
      </c>
      <c r="CN21" s="65">
        <f>Таблица1[[#This Row],[Т12]]-Таблица1[[#This Row],[Т8]]</f>
        <v>12274.175899764989</v>
      </c>
      <c r="CO21" s="65">
        <f>Таблица1[[#This Row],[Т12]]-Таблица1[[#This Row],[Т7]]</f>
        <v>13024.275899765082</v>
      </c>
      <c r="CP21" s="65">
        <f>Таблица1[[#This Row],[Т12]]-Таблица1[[#This Row],[Т6]]</f>
        <v>14151.361160296947</v>
      </c>
      <c r="CQ21" s="65">
        <f>Таблица1[[#This Row],[Т12]]-Таблица1[[#This Row],[Т5]]</f>
        <v>15996.021163007244</v>
      </c>
      <c r="CR21" s="65">
        <f>Таблица1[[#This Row],[Т12]]-Таблица1[[#This Row],[Т4]]</f>
        <v>17123.028631425928</v>
      </c>
      <c r="CS21" s="65">
        <f>Таблица1[[#This Row],[Т12]]-Таблица1[[#This Row],[Т3]]</f>
        <v>20845.028631425928</v>
      </c>
      <c r="CT21" s="65">
        <f>Таблица1[[#This Row],[Т12]]-Таблица1[[#This Row],[Т2]]</f>
        <v>21909.198286936618</v>
      </c>
      <c r="CU21" s="65">
        <f>Таблица1[[#This Row],[Т12]]-Таблица1[[#This Row],[Т1]]</f>
        <v>23795.498103303369</v>
      </c>
      <c r="CV21" s="65">
        <f>Таблица1[[#This Row],[Lкан_леб,мм]]+Таблица1[[#This Row],[Lкан_дуг, мм]]+Таблица1[[#This Row],[Lкан_прям, мм]]</f>
        <v>3528386.841860381</v>
      </c>
      <c r="CW21" s="60">
        <f>3511128.4-(Таблица1[[#This Row],[Lкан_леб,мм]]+Таблица1[[#This Row],[∆Lлеб из за стрел]])</f>
        <v>6537.0562429227866</v>
      </c>
    </row>
    <row r="22" spans="1:101" x14ac:dyDescent="0.25">
      <c r="A22">
        <v>21</v>
      </c>
      <c r="B22">
        <v>60.201342281879214</v>
      </c>
      <c r="C22">
        <v>29.808657718120784</v>
      </c>
      <c r="D22">
        <v>2980.2379680628237</v>
      </c>
      <c r="E22">
        <v>5571.570267839078</v>
      </c>
      <c r="F22">
        <v>3697.8711257559253</v>
      </c>
      <c r="G22">
        <v>4808.6955068334273</v>
      </c>
      <c r="H22">
        <v>3697.7374780628238</v>
      </c>
      <c r="I22">
        <v>4249.8908215665333</v>
      </c>
      <c r="J22">
        <v>1321.6794462725447</v>
      </c>
      <c r="K22">
        <v>18815.24270777433</v>
      </c>
      <c r="L22">
        <v>4937.2738239674945</v>
      </c>
      <c r="M22">
        <v>3504634.3253286388</v>
      </c>
      <c r="N22">
        <v>0</v>
      </c>
      <c r="O22">
        <v>8</v>
      </c>
      <c r="P22">
        <v>-3322.5</v>
      </c>
      <c r="Q22">
        <v>-2811.96</v>
      </c>
      <c r="R22">
        <v>-3280</v>
      </c>
      <c r="S22">
        <v>-914.66</v>
      </c>
      <c r="T22">
        <v>-7002</v>
      </c>
      <c r="U22">
        <v>520.34</v>
      </c>
      <c r="V22">
        <v>-7002.1</v>
      </c>
      <c r="W22">
        <v>2365</v>
      </c>
      <c r="X22">
        <v>-6252</v>
      </c>
      <c r="Y22">
        <v>3800</v>
      </c>
      <c r="Z22">
        <v>2980.2379680628237</v>
      </c>
      <c r="AA22">
        <v>5571.570267839078</v>
      </c>
      <c r="AB22">
        <v>0</v>
      </c>
      <c r="AC22">
        <v>1064.1696555107644</v>
      </c>
      <c r="AD22">
        <v>1127.0074684186504</v>
      </c>
      <c r="AE22">
        <v>1127.0852605320265</v>
      </c>
      <c r="AF22">
        <v>245.98254022970713</v>
      </c>
      <c r="AG22">
        <v>1373.0288992763465</v>
      </c>
      <c r="AH22">
        <v>1886.2998163666878</v>
      </c>
      <c r="AI22">
        <v>3721.9999999999995</v>
      </c>
      <c r="AJ22">
        <v>1844.6600027105269</v>
      </c>
      <c r="AK22">
        <v>750.10000000000059</v>
      </c>
      <c r="AL22">
        <v>9290.5034369958776</v>
      </c>
      <c r="AM22">
        <v>1321.6794517012404</v>
      </c>
      <c r="AN22">
        <v>-95.021003558665456</v>
      </c>
      <c r="AO22">
        <v>-180</v>
      </c>
      <c r="AP22">
        <v>-90.003106034687008</v>
      </c>
      <c r="AQ22">
        <v>1.2722218725854067E-14</v>
      </c>
      <c r="AR22">
        <v>-19.642873016124309</v>
      </c>
      <c r="AS22">
        <v>89.999999566492619</v>
      </c>
      <c r="AT22">
        <v>-2400.1625746957502</v>
      </c>
      <c r="AU22">
        <v>-3280</v>
      </c>
      <c r="AV22">
        <v>-7719.4999989457119</v>
      </c>
      <c r="AW22">
        <v>-7002.1</v>
      </c>
      <c r="AX22">
        <v>-6010.807787242321</v>
      </c>
      <c r="AY22">
        <v>3697.7379680628237</v>
      </c>
      <c r="AZ22">
        <v>-2730.9252207921031</v>
      </c>
      <c r="BA22">
        <v>-197.16</v>
      </c>
      <c r="BB22">
        <v>520.3011039433311</v>
      </c>
      <c r="BC22">
        <v>3082.5000000000005</v>
      </c>
      <c r="BD22">
        <v>3124.2540666011714</v>
      </c>
      <c r="BE22">
        <v>5571.5702732677773</v>
      </c>
      <c r="BF22">
        <v>-2565.2532760267472</v>
      </c>
      <c r="BG22">
        <v>-7002</v>
      </c>
      <c r="BH22">
        <v>-7719.5999989457123</v>
      </c>
      <c r="BI22">
        <v>-6252</v>
      </c>
      <c r="BJ22">
        <v>2739.0457553051451</v>
      </c>
      <c r="BK22">
        <v>3697.7379780628239</v>
      </c>
      <c r="BL22">
        <v>-851.86373761518519</v>
      </c>
      <c r="BM22">
        <v>-197.16</v>
      </c>
      <c r="BN22">
        <v>2364.9611039433312</v>
      </c>
      <c r="BO22">
        <v>3082.5000000000005</v>
      </c>
      <c r="BP22">
        <v>6247.316201237908</v>
      </c>
      <c r="BQ22">
        <v>4249.8908215665369</v>
      </c>
      <c r="BR22">
        <v>0</v>
      </c>
      <c r="BS22">
        <v>84.97899644133453</v>
      </c>
      <c r="BT22">
        <v>89.996893965312992</v>
      </c>
      <c r="BU22">
        <v>90.003106034687022</v>
      </c>
      <c r="BV22">
        <v>19.642873016124323</v>
      </c>
      <c r="BW22">
        <v>109.64287258261693</v>
      </c>
      <c r="BX22" s="69">
        <f>Таблица1[[#This Row],[Lкан_леб,мм]]</f>
        <v>3504634.3253286388</v>
      </c>
      <c r="BY22" s="65">
        <f>Таблица1[[#This Row],[Т1]]+Таблица1[[#This Row],[Lпрям1, мм]]</f>
        <v>3506520.6251450055</v>
      </c>
      <c r="BZ22" s="65">
        <f>Таблица1[[#This Row],[Т2]]+Таблица1[[#This Row],[Lдуг 2,мм]]</f>
        <v>3507584.7948005162</v>
      </c>
      <c r="CA22" s="65">
        <f>Таблица1[[#This Row],[Т3]]+Таблица1[[#This Row],[Lпрям2, мм]]</f>
        <v>3511306.7948005162</v>
      </c>
      <c r="CB22" s="65">
        <f>Таблица1[[#This Row],[Т4]]+Таблица1[[#This Row],[Lдуг 3,мм]]</f>
        <v>3512433.8022689349</v>
      </c>
      <c r="CC22" s="65">
        <f>Таблица1[[#This Row],[Т5]]+Таблица1[[#This Row],[Lпрям3, мм]]</f>
        <v>3514278.4622716452</v>
      </c>
      <c r="CD22" s="65">
        <f>Таблица1[[#This Row],[Т6]]+Таблица1[[#This Row],[Lдуг 4,мм]]</f>
        <v>3515405.5475321771</v>
      </c>
      <c r="CE22" s="65">
        <f>Таблица1[[#This Row],[Т7]]+Таблица1[[#This Row],[Lпрям4, мм]]</f>
        <v>3516155.6475321772</v>
      </c>
      <c r="CF22" s="72">
        <f>Таблица1[[#This Row],[Т8]]+Таблица1[[#This Row],[Lдуг 5,мм]]</f>
        <v>3516401.630072407</v>
      </c>
      <c r="CG22" s="65">
        <f>Таблица1[[#This Row],[Т9]]+Таблица1[[#This Row],[Lпрям5, мм]]</f>
        <v>3525692.1335094026</v>
      </c>
      <c r="CH22" s="65">
        <f>Таблица1[[#This Row],[Т10]]+Таблица1[[#This Row],[Lдуг 6,мм]]</f>
        <v>3527065.1624086788</v>
      </c>
      <c r="CI22" s="66">
        <f>Таблица1[[#This Row],[Т11]]+Таблица1[[#This Row],[Lпрям6, мм]]</f>
        <v>3528386.84186038</v>
      </c>
      <c r="CJ22" s="64">
        <f>Таблица1[[#This Row],[Т12]]-Таблица1[[#This Row],[Т12]]</f>
        <v>0</v>
      </c>
      <c r="CK22" s="65">
        <f>Таблица1[[#This Row],[Т12]]-Таблица1[[#This Row],[Т11]]</f>
        <v>1321.6794517012313</v>
      </c>
      <c r="CL22" s="65">
        <f>Таблица1[[#This Row],[Т12]]-Таблица1[[#This Row],[Т10]]</f>
        <v>2694.7083509773947</v>
      </c>
      <c r="CM22" s="65">
        <f>Таблица1[[#This Row],[Т12]]-Таблица1[[#This Row],[Т9]]</f>
        <v>11985.211787973065</v>
      </c>
      <c r="CN22" s="65">
        <f>Таблица1[[#This Row],[Т12]]-Таблица1[[#This Row],[Т8]]</f>
        <v>12231.194328202866</v>
      </c>
      <c r="CO22" s="65">
        <f>Таблица1[[#This Row],[Т12]]-Таблица1[[#This Row],[Т7]]</f>
        <v>12981.294328202959</v>
      </c>
      <c r="CP22" s="65">
        <f>Таблица1[[#This Row],[Т12]]-Таблица1[[#This Row],[Т6]]</f>
        <v>14108.379588734824</v>
      </c>
      <c r="CQ22" s="65">
        <f>Таблица1[[#This Row],[Т12]]-Таблица1[[#This Row],[Т5]]</f>
        <v>15953.039591445122</v>
      </c>
      <c r="CR22" s="65">
        <f>Таблица1[[#This Row],[Т12]]-Таблица1[[#This Row],[Т4]]</f>
        <v>17080.047059863806</v>
      </c>
      <c r="CS22" s="65">
        <f>Таблица1[[#This Row],[Т12]]-Таблица1[[#This Row],[Т3]]</f>
        <v>20802.047059863806</v>
      </c>
      <c r="CT22" s="65">
        <f>Таблица1[[#This Row],[Т12]]-Таблица1[[#This Row],[Т2]]</f>
        <v>21866.216715374496</v>
      </c>
      <c r="CU22" s="65">
        <f>Таблица1[[#This Row],[Т12]]-Таблица1[[#This Row],[Т1]]</f>
        <v>23752.516531741247</v>
      </c>
      <c r="CV22" s="65">
        <f>Таблица1[[#This Row],[Lкан_леб,мм]]+Таблица1[[#This Row],[Lкан_дуг, мм]]+Таблица1[[#This Row],[Lкан_прям, мм]]</f>
        <v>3528386.841860381</v>
      </c>
      <c r="CW22" s="60">
        <f>3511128.4-(Таблица1[[#This Row],[Lкан_леб,мм]]+Таблица1[[#This Row],[∆Lлеб из за стрел]])</f>
        <v>6494.0746713611297</v>
      </c>
    </row>
    <row r="23" spans="1:101" x14ac:dyDescent="0.25">
      <c r="A23">
        <v>22</v>
      </c>
      <c r="B23">
        <v>60.71140939597317</v>
      </c>
      <c r="C23">
        <v>29.298590604026831</v>
      </c>
      <c r="D23">
        <v>2922.6124415453896</v>
      </c>
      <c r="E23">
        <v>5604.231166677675</v>
      </c>
      <c r="F23">
        <v>3640.2455992384907</v>
      </c>
      <c r="G23">
        <v>4841.3564056720234</v>
      </c>
      <c r="H23">
        <v>3640.1119515453897</v>
      </c>
      <c r="I23">
        <v>4282.5517204048001</v>
      </c>
      <c r="J23">
        <v>1321.6794462728742</v>
      </c>
      <c r="K23">
        <v>18764.303035122342</v>
      </c>
      <c r="L23">
        <v>4945.0565142483447</v>
      </c>
      <c r="M23">
        <v>3504677.4823110104</v>
      </c>
      <c r="N23">
        <v>0</v>
      </c>
      <c r="O23">
        <v>8</v>
      </c>
      <c r="P23">
        <v>-3322.5</v>
      </c>
      <c r="Q23">
        <v>-2811.96</v>
      </c>
      <c r="R23">
        <v>-3280</v>
      </c>
      <c r="S23">
        <v>-914.66</v>
      </c>
      <c r="T23">
        <v>-7002</v>
      </c>
      <c r="U23">
        <v>520.34</v>
      </c>
      <c r="V23">
        <v>-7002.1</v>
      </c>
      <c r="W23">
        <v>2365</v>
      </c>
      <c r="X23">
        <v>-6252</v>
      </c>
      <c r="Y23">
        <v>3800</v>
      </c>
      <c r="Z23">
        <v>2922.6124415453896</v>
      </c>
      <c r="AA23">
        <v>5604.231166677675</v>
      </c>
      <c r="AB23">
        <v>0</v>
      </c>
      <c r="AC23">
        <v>1064.1696555107644</v>
      </c>
      <c r="AD23">
        <v>1127.0074684186504</v>
      </c>
      <c r="AE23">
        <v>1127.0852605320265</v>
      </c>
      <c r="AF23">
        <v>249.87388537013206</v>
      </c>
      <c r="AG23">
        <v>1376.9202444167709</v>
      </c>
      <c r="AH23">
        <v>1886.2998163666878</v>
      </c>
      <c r="AI23">
        <v>3721.9999999999995</v>
      </c>
      <c r="AJ23">
        <v>1844.6600027105269</v>
      </c>
      <c r="AK23">
        <v>750.10000000000059</v>
      </c>
      <c r="AL23">
        <v>9239.5637643435584</v>
      </c>
      <c r="AM23">
        <v>1321.6794517015699</v>
      </c>
      <c r="AN23">
        <v>-95.021003558665456</v>
      </c>
      <c r="AO23">
        <v>-180</v>
      </c>
      <c r="AP23">
        <v>-90.003106034687008</v>
      </c>
      <c r="AQ23">
        <v>1.2722218725854067E-14</v>
      </c>
      <c r="AR23">
        <v>-19.953615389887499</v>
      </c>
      <c r="AS23">
        <v>89.999999566492605</v>
      </c>
      <c r="AT23">
        <v>-2400.1625746957502</v>
      </c>
      <c r="AU23">
        <v>-3280</v>
      </c>
      <c r="AV23">
        <v>-7719.4999989457119</v>
      </c>
      <c r="AW23">
        <v>-7002.1</v>
      </c>
      <c r="AX23">
        <v>-6007.1464595294838</v>
      </c>
      <c r="AY23">
        <v>3640.1124415453896</v>
      </c>
      <c r="AZ23">
        <v>-2730.9252207921031</v>
      </c>
      <c r="BA23">
        <v>-197.16</v>
      </c>
      <c r="BB23">
        <v>520.3011039433311</v>
      </c>
      <c r="BC23">
        <v>3082.5000000000005</v>
      </c>
      <c r="BD23">
        <v>3125.5720989467786</v>
      </c>
      <c r="BE23">
        <v>5604.2311721063743</v>
      </c>
      <c r="BF23">
        <v>-2565.2532760267472</v>
      </c>
      <c r="BG23">
        <v>-7002</v>
      </c>
      <c r="BH23">
        <v>-7719.5999989457123</v>
      </c>
      <c r="BI23">
        <v>-6252</v>
      </c>
      <c r="BJ23">
        <v>2677.7589010748743</v>
      </c>
      <c r="BK23">
        <v>3640.1124515453898</v>
      </c>
      <c r="BL23">
        <v>-851.86373761518519</v>
      </c>
      <c r="BM23">
        <v>-197.16</v>
      </c>
      <c r="BN23">
        <v>2364.9611039433312</v>
      </c>
      <c r="BO23">
        <v>3082.5000000000005</v>
      </c>
      <c r="BP23">
        <v>6278.6590677308959</v>
      </c>
      <c r="BQ23">
        <v>4282.5517204048037</v>
      </c>
      <c r="BR23">
        <v>0</v>
      </c>
      <c r="BS23">
        <v>84.97899644133453</v>
      </c>
      <c r="BT23">
        <v>89.996893965312992</v>
      </c>
      <c r="BU23">
        <v>90.003106034687022</v>
      </c>
      <c r="BV23">
        <v>19.953615389887513</v>
      </c>
      <c r="BW23">
        <v>109.95361495638012</v>
      </c>
      <c r="BX23" s="69">
        <f>Таблица1[[#This Row],[Lкан_леб,мм]]</f>
        <v>3504677.4823110104</v>
      </c>
      <c r="BY23" s="65">
        <f>Таблица1[[#This Row],[Т1]]+Таблица1[[#This Row],[Lпрям1, мм]]</f>
        <v>3506563.7821273771</v>
      </c>
      <c r="BZ23" s="65">
        <f>Таблица1[[#This Row],[Т2]]+Таблица1[[#This Row],[Lдуг 2,мм]]</f>
        <v>3507627.9517828878</v>
      </c>
      <c r="CA23" s="65">
        <f>Таблица1[[#This Row],[Т3]]+Таблица1[[#This Row],[Lпрям2, мм]]</f>
        <v>3511349.9517828878</v>
      </c>
      <c r="CB23" s="65">
        <f>Таблица1[[#This Row],[Т4]]+Таблица1[[#This Row],[Lдуг 3,мм]]</f>
        <v>3512476.9592513065</v>
      </c>
      <c r="CC23" s="65">
        <f>Таблица1[[#This Row],[Т5]]+Таблица1[[#This Row],[Lпрям3, мм]]</f>
        <v>3514321.6192540168</v>
      </c>
      <c r="CD23" s="65">
        <f>Таблица1[[#This Row],[Т6]]+Таблица1[[#This Row],[Lдуг 4,мм]]</f>
        <v>3515448.7045145486</v>
      </c>
      <c r="CE23" s="65">
        <f>Таблица1[[#This Row],[Т7]]+Таблица1[[#This Row],[Lпрям4, мм]]</f>
        <v>3516198.8045145487</v>
      </c>
      <c r="CF23" s="72">
        <f>Таблица1[[#This Row],[Т8]]+Таблица1[[#This Row],[Lдуг 5,мм]]</f>
        <v>3516448.6783999191</v>
      </c>
      <c r="CG23" s="65">
        <f>Таблица1[[#This Row],[Т9]]+Таблица1[[#This Row],[Lпрям5, мм]]</f>
        <v>3525688.2421642626</v>
      </c>
      <c r="CH23" s="65">
        <f>Таблица1[[#This Row],[Т10]]+Таблица1[[#This Row],[Lдуг 6,мм]]</f>
        <v>3527065.1624086793</v>
      </c>
      <c r="CI23" s="66">
        <f>Таблица1[[#This Row],[Т11]]+Таблица1[[#This Row],[Lпрям6, мм]]</f>
        <v>3528386.841860381</v>
      </c>
      <c r="CJ23" s="64">
        <f>Таблица1[[#This Row],[Т12]]-Таблица1[[#This Row],[Т12]]</f>
        <v>0</v>
      </c>
      <c r="CK23" s="65">
        <f>Таблица1[[#This Row],[Т12]]-Таблица1[[#This Row],[Т11]]</f>
        <v>1321.679451701697</v>
      </c>
      <c r="CL23" s="65">
        <f>Таблица1[[#This Row],[Т12]]-Таблица1[[#This Row],[Т10]]</f>
        <v>2698.5996961183846</v>
      </c>
      <c r="CM23" s="65">
        <f>Таблица1[[#This Row],[Т12]]-Таблица1[[#This Row],[Т9]]</f>
        <v>11938.163460461888</v>
      </c>
      <c r="CN23" s="65">
        <f>Таблица1[[#This Row],[Т12]]-Таблица1[[#This Row],[Т8]]</f>
        <v>12188.037345832214</v>
      </c>
      <c r="CO23" s="65">
        <f>Таблица1[[#This Row],[Т12]]-Таблица1[[#This Row],[Т7]]</f>
        <v>12938.137345832307</v>
      </c>
      <c r="CP23" s="65">
        <f>Таблица1[[#This Row],[Т12]]-Таблица1[[#This Row],[Т6]]</f>
        <v>14065.222606364172</v>
      </c>
      <c r="CQ23" s="65">
        <f>Таблица1[[#This Row],[Т12]]-Таблица1[[#This Row],[Т5]]</f>
        <v>15909.88260907447</v>
      </c>
      <c r="CR23" s="65">
        <f>Таблица1[[#This Row],[Т12]]-Таблица1[[#This Row],[Т4]]</f>
        <v>17036.890077493154</v>
      </c>
      <c r="CS23" s="65">
        <f>Таблица1[[#This Row],[Т12]]-Таблица1[[#This Row],[Т3]]</f>
        <v>20758.890077493154</v>
      </c>
      <c r="CT23" s="65">
        <f>Таблица1[[#This Row],[Т12]]-Таблица1[[#This Row],[Т2]]</f>
        <v>21823.059733003844</v>
      </c>
      <c r="CU23" s="65">
        <f>Таблица1[[#This Row],[Т12]]-Таблица1[[#This Row],[Т1]]</f>
        <v>23709.359549370594</v>
      </c>
      <c r="CV23" s="65">
        <f>Таблица1[[#This Row],[Lкан_леб,мм]]+Таблица1[[#This Row],[Lкан_дуг, мм]]+Таблица1[[#This Row],[Lкан_прям, мм]]</f>
        <v>3528386.841860381</v>
      </c>
      <c r="CW23" s="60">
        <f>3511128.4-(Таблица1[[#This Row],[Lкан_леб,мм]]+Таблица1[[#This Row],[∆Lлеб из за стрел]])</f>
        <v>6450.9176889895461</v>
      </c>
    </row>
    <row r="24" spans="1:101" x14ac:dyDescent="0.25">
      <c r="A24">
        <v>23</v>
      </c>
      <c r="B24">
        <v>61.22147651006712</v>
      </c>
      <c r="C24">
        <v>28.788523489932874</v>
      </c>
      <c r="D24">
        <v>2864.6984435473983</v>
      </c>
      <c r="E24">
        <v>5636.3777754450875</v>
      </c>
      <c r="F24">
        <v>3582.3316012404994</v>
      </c>
      <c r="G24">
        <v>4873.5030144394368</v>
      </c>
      <c r="H24">
        <v>3582.1979535473984</v>
      </c>
      <c r="I24">
        <v>4314.6983291719816</v>
      </c>
      <c r="J24">
        <v>1321.6794462731052</v>
      </c>
      <c r="K24">
        <v>18713.169432930121</v>
      </c>
      <c r="L24">
        <v>4952.8589296629762</v>
      </c>
      <c r="M24">
        <v>3504720.8134977883</v>
      </c>
      <c r="N24">
        <v>0</v>
      </c>
      <c r="O24">
        <v>8</v>
      </c>
      <c r="P24">
        <v>-3322.5</v>
      </c>
      <c r="Q24">
        <v>-2811.96</v>
      </c>
      <c r="R24">
        <v>-3280</v>
      </c>
      <c r="S24">
        <v>-914.66</v>
      </c>
      <c r="T24">
        <v>-7002</v>
      </c>
      <c r="U24">
        <v>520.34</v>
      </c>
      <c r="V24">
        <v>-7002.1</v>
      </c>
      <c r="W24">
        <v>2365</v>
      </c>
      <c r="X24">
        <v>-6252</v>
      </c>
      <c r="Y24">
        <v>3800</v>
      </c>
      <c r="Z24">
        <v>2864.6984435473983</v>
      </c>
      <c r="AA24">
        <v>5636.3777754450875</v>
      </c>
      <c r="AB24">
        <v>0</v>
      </c>
      <c r="AC24">
        <v>1064.1696555107644</v>
      </c>
      <c r="AD24">
        <v>1127.0074684186504</v>
      </c>
      <c r="AE24">
        <v>1127.0852605320265</v>
      </c>
      <c r="AF24">
        <v>253.77509307744782</v>
      </c>
      <c r="AG24">
        <v>1380.8214521240868</v>
      </c>
      <c r="AH24">
        <v>1886.2998163666878</v>
      </c>
      <c r="AI24">
        <v>3721.9999999999995</v>
      </c>
      <c r="AJ24">
        <v>1844.6600027105269</v>
      </c>
      <c r="AK24">
        <v>750.10000000000059</v>
      </c>
      <c r="AL24">
        <v>9188.4301621511077</v>
      </c>
      <c r="AM24">
        <v>1321.6794517018009</v>
      </c>
      <c r="AN24">
        <v>-95.021003558665456</v>
      </c>
      <c r="AO24">
        <v>-180</v>
      </c>
      <c r="AP24">
        <v>-90.003106034687008</v>
      </c>
      <c r="AQ24">
        <v>1.2722218725854067E-14</v>
      </c>
      <c r="AR24">
        <v>-20.265145336414474</v>
      </c>
      <c r="AS24">
        <v>89.999999566492619</v>
      </c>
      <c r="AT24">
        <v>-2400.1625746957502</v>
      </c>
      <c r="AU24">
        <v>-3280</v>
      </c>
      <c r="AV24">
        <v>-7719.4999989457119</v>
      </c>
      <c r="AW24">
        <v>-7002.1</v>
      </c>
      <c r="AX24">
        <v>-6003.4830818520286</v>
      </c>
      <c r="AY24">
        <v>3582.1984435473978</v>
      </c>
      <c r="AZ24">
        <v>-2730.9252207921031</v>
      </c>
      <c r="BA24">
        <v>-197.16</v>
      </c>
      <c r="BB24">
        <v>520.3011039433311</v>
      </c>
      <c r="BC24">
        <v>3082.5000000000005</v>
      </c>
      <c r="BD24">
        <v>3126.9133849241734</v>
      </c>
      <c r="BE24">
        <v>5636.3777808737859</v>
      </c>
      <c r="BF24">
        <v>-2565.2532760267472</v>
      </c>
      <c r="BG24">
        <v>-7002</v>
      </c>
      <c r="BH24">
        <v>-7719.5999989457123</v>
      </c>
      <c r="BI24">
        <v>-6252</v>
      </c>
      <c r="BJ24">
        <v>2616.1815253994264</v>
      </c>
      <c r="BK24">
        <v>3582.198453547398</v>
      </c>
      <c r="BL24">
        <v>-851.86373761518519</v>
      </c>
      <c r="BM24">
        <v>-197.16</v>
      </c>
      <c r="BN24">
        <v>2364.9611039433312</v>
      </c>
      <c r="BO24">
        <v>3082.5000000000005</v>
      </c>
      <c r="BP24">
        <v>6309.4643905209141</v>
      </c>
      <c r="BQ24">
        <v>4314.6983291719853</v>
      </c>
      <c r="BR24">
        <v>0</v>
      </c>
      <c r="BS24">
        <v>84.97899644133453</v>
      </c>
      <c r="BT24">
        <v>89.996893965312992</v>
      </c>
      <c r="BU24">
        <v>90.003106034687022</v>
      </c>
      <c r="BV24">
        <v>20.265145336414484</v>
      </c>
      <c r="BW24">
        <v>110.2651449029071</v>
      </c>
      <c r="BX24" s="69">
        <f>Таблица1[[#This Row],[Lкан_леб,мм]]</f>
        <v>3504720.8134977883</v>
      </c>
      <c r="BY24" s="65">
        <f>Таблица1[[#This Row],[Т1]]+Таблица1[[#This Row],[Lпрям1, мм]]</f>
        <v>3506607.113314155</v>
      </c>
      <c r="BZ24" s="65">
        <f>Таблица1[[#This Row],[Т2]]+Таблица1[[#This Row],[Lдуг 2,мм]]</f>
        <v>3507671.2829696657</v>
      </c>
      <c r="CA24" s="65">
        <f>Таблица1[[#This Row],[Т3]]+Таблица1[[#This Row],[Lпрям2, мм]]</f>
        <v>3511393.2829696657</v>
      </c>
      <c r="CB24" s="65">
        <f>Таблица1[[#This Row],[Т4]]+Таблица1[[#This Row],[Lдуг 3,мм]]</f>
        <v>3512520.2904380844</v>
      </c>
      <c r="CC24" s="65">
        <f>Таблица1[[#This Row],[Т5]]+Таблица1[[#This Row],[Lпрям3, мм]]</f>
        <v>3514364.9504407947</v>
      </c>
      <c r="CD24" s="65">
        <f>Таблица1[[#This Row],[Т6]]+Таблица1[[#This Row],[Lдуг 4,мм]]</f>
        <v>3515492.0357013266</v>
      </c>
      <c r="CE24" s="65">
        <f>Таблица1[[#This Row],[Т7]]+Таблица1[[#This Row],[Lпрям4, мм]]</f>
        <v>3516242.1357013267</v>
      </c>
      <c r="CF24" s="72">
        <f>Таблица1[[#This Row],[Т8]]+Таблица1[[#This Row],[Lдуг 5,мм]]</f>
        <v>3516495.9107944039</v>
      </c>
      <c r="CG24" s="65">
        <f>Таблица1[[#This Row],[Т9]]+Таблица1[[#This Row],[Lпрям5, мм]]</f>
        <v>3525684.3409565547</v>
      </c>
      <c r="CH24" s="65">
        <f>Таблица1[[#This Row],[Т10]]+Таблица1[[#This Row],[Lдуг 6,мм]]</f>
        <v>3527065.1624086788</v>
      </c>
      <c r="CI24" s="66">
        <f>Таблица1[[#This Row],[Т11]]+Таблица1[[#This Row],[Lпрям6, мм]]</f>
        <v>3528386.8418603805</v>
      </c>
      <c r="CJ24" s="64">
        <f>Таблица1[[#This Row],[Т12]]-Таблица1[[#This Row],[Т12]]</f>
        <v>0</v>
      </c>
      <c r="CK24" s="65">
        <f>Таблица1[[#This Row],[Т12]]-Таблица1[[#This Row],[Т11]]</f>
        <v>1321.679451701697</v>
      </c>
      <c r="CL24" s="65">
        <f>Таблица1[[#This Row],[Т12]]-Таблица1[[#This Row],[Т10]]</f>
        <v>2702.5009038257413</v>
      </c>
      <c r="CM24" s="65">
        <f>Таблица1[[#This Row],[Т12]]-Таблица1[[#This Row],[Т9]]</f>
        <v>11890.93106597662</v>
      </c>
      <c r="CN24" s="65">
        <f>Таблица1[[#This Row],[Т12]]-Таблица1[[#This Row],[Т8]]</f>
        <v>12144.706159053836</v>
      </c>
      <c r="CO24" s="65">
        <f>Таблица1[[#This Row],[Т12]]-Таблица1[[#This Row],[Т7]]</f>
        <v>12894.806159053929</v>
      </c>
      <c r="CP24" s="65">
        <f>Таблица1[[#This Row],[Т12]]-Таблица1[[#This Row],[Т6]]</f>
        <v>14021.891419585794</v>
      </c>
      <c r="CQ24" s="65">
        <f>Таблица1[[#This Row],[Т12]]-Таблица1[[#This Row],[Т5]]</f>
        <v>15866.551422296092</v>
      </c>
      <c r="CR24" s="65">
        <f>Таблица1[[#This Row],[Т12]]-Таблица1[[#This Row],[Т4]]</f>
        <v>16993.558890714776</v>
      </c>
      <c r="CS24" s="65">
        <f>Таблица1[[#This Row],[Т12]]-Таблица1[[#This Row],[Т3]]</f>
        <v>20715.558890714776</v>
      </c>
      <c r="CT24" s="65">
        <f>Таблица1[[#This Row],[Т12]]-Таблица1[[#This Row],[Т2]]</f>
        <v>21779.728546225466</v>
      </c>
      <c r="CU24" s="65">
        <f>Таблица1[[#This Row],[Т12]]-Таблица1[[#This Row],[Т1]]</f>
        <v>23666.028362592217</v>
      </c>
      <c r="CV24" s="65">
        <f>Таблица1[[#This Row],[Lкан_леб,мм]]+Таблица1[[#This Row],[Lкан_дуг, мм]]+Таблица1[[#This Row],[Lкан_прям, мм]]</f>
        <v>3528386.8418603814</v>
      </c>
      <c r="CW24" s="60">
        <f>3511128.4-(Таблица1[[#This Row],[Lкан_леб,мм]]+Таблица1[[#This Row],[∆Lлеб из за стрел]])</f>
        <v>6407.5865022116341</v>
      </c>
    </row>
    <row r="25" spans="1:101" x14ac:dyDescent="0.25">
      <c r="A25">
        <v>24</v>
      </c>
      <c r="B25">
        <v>61.731543624161077</v>
      </c>
      <c r="C25">
        <v>28.278456375838918</v>
      </c>
      <c r="D25">
        <v>2806.5005638297462</v>
      </c>
      <c r="E25">
        <v>5668.0075464800839</v>
      </c>
      <c r="F25">
        <v>3524.1337215228477</v>
      </c>
      <c r="G25">
        <v>4905.1327854744322</v>
      </c>
      <c r="H25">
        <v>3524.0000738297463</v>
      </c>
      <c r="I25">
        <v>4346.3281002073072</v>
      </c>
      <c r="J25">
        <v>1321.6794462727764</v>
      </c>
      <c r="K25">
        <v>18661.842731865818</v>
      </c>
      <c r="L25">
        <v>4960.6814551365633</v>
      </c>
      <c r="M25">
        <v>3504764.3176733786</v>
      </c>
      <c r="N25">
        <v>0</v>
      </c>
      <c r="O25">
        <v>8</v>
      </c>
      <c r="P25">
        <v>-3322.5</v>
      </c>
      <c r="Q25">
        <v>-2811.96</v>
      </c>
      <c r="R25">
        <v>-3280</v>
      </c>
      <c r="S25">
        <v>-914.66</v>
      </c>
      <c r="T25">
        <v>-7002</v>
      </c>
      <c r="U25">
        <v>520.34</v>
      </c>
      <c r="V25">
        <v>-7002.1</v>
      </c>
      <c r="W25">
        <v>2365</v>
      </c>
      <c r="X25">
        <v>-6252</v>
      </c>
      <c r="Y25">
        <v>3800</v>
      </c>
      <c r="Z25">
        <v>2806.5005638297462</v>
      </c>
      <c r="AA25">
        <v>5668.0075464800839</v>
      </c>
      <c r="AB25">
        <v>0</v>
      </c>
      <c r="AC25">
        <v>1064.1696555107644</v>
      </c>
      <c r="AD25">
        <v>1127.0074684186504</v>
      </c>
      <c r="AE25">
        <v>1127.0852605320265</v>
      </c>
      <c r="AF25">
        <v>257.68635581424138</v>
      </c>
      <c r="AG25">
        <v>1384.7327148608806</v>
      </c>
      <c r="AH25">
        <v>1886.2998163666878</v>
      </c>
      <c r="AI25">
        <v>3721.9999999999995</v>
      </c>
      <c r="AJ25">
        <v>1844.6600027105269</v>
      </c>
      <c r="AK25">
        <v>750.10000000000059</v>
      </c>
      <c r="AL25">
        <v>9137.1034610871284</v>
      </c>
      <c r="AM25">
        <v>1321.6794517014723</v>
      </c>
      <c r="AN25">
        <v>-95.021003558665456</v>
      </c>
      <c r="AO25">
        <v>-180</v>
      </c>
      <c r="AP25">
        <v>-90.003106034687008</v>
      </c>
      <c r="AQ25">
        <v>1.2722218725854067E-14</v>
      </c>
      <c r="AR25">
        <v>-20.577478224756018</v>
      </c>
      <c r="AS25">
        <v>89.999999566492619</v>
      </c>
      <c r="AT25">
        <v>-2400.1625746957502</v>
      </c>
      <c r="AU25">
        <v>-3280</v>
      </c>
      <c r="AV25">
        <v>-7719.4999989457119</v>
      </c>
      <c r="AW25">
        <v>-7002.1</v>
      </c>
      <c r="AX25">
        <v>-5999.8176376399106</v>
      </c>
      <c r="AY25">
        <v>3524.0005638297462</v>
      </c>
      <c r="AZ25">
        <v>-2730.9252207921031</v>
      </c>
      <c r="BA25">
        <v>-197.16</v>
      </c>
      <c r="BB25">
        <v>520.3011039433311</v>
      </c>
      <c r="BC25">
        <v>3082.5000000000005</v>
      </c>
      <c r="BD25">
        <v>3128.2781035916096</v>
      </c>
      <c r="BE25">
        <v>5668.0075519087832</v>
      </c>
      <c r="BF25">
        <v>-2565.2532760267472</v>
      </c>
      <c r="BG25">
        <v>-7002</v>
      </c>
      <c r="BH25">
        <v>-7719.5999989457123</v>
      </c>
      <c r="BI25">
        <v>-6252</v>
      </c>
      <c r="BJ25">
        <v>2554.3182014696567</v>
      </c>
      <c r="BK25">
        <v>3524.0005738297464</v>
      </c>
      <c r="BL25">
        <v>-851.86373761518519</v>
      </c>
      <c r="BM25">
        <v>-197.16</v>
      </c>
      <c r="BN25">
        <v>2364.9611039433312</v>
      </c>
      <c r="BO25">
        <v>3082.5000000000005</v>
      </c>
      <c r="BP25">
        <v>6339.7294428884743</v>
      </c>
      <c r="BQ25">
        <v>4346.3281002073109</v>
      </c>
      <c r="BR25">
        <v>0</v>
      </c>
      <c r="BS25">
        <v>84.97899644133453</v>
      </c>
      <c r="BT25">
        <v>89.996893965312992</v>
      </c>
      <c r="BU25">
        <v>90.003106034687022</v>
      </c>
      <c r="BV25">
        <v>20.577478224756032</v>
      </c>
      <c r="BW25">
        <v>110.57747779124864</v>
      </c>
      <c r="BX25" s="69">
        <f>Таблица1[[#This Row],[Lкан_леб,мм]]</f>
        <v>3504764.3176733786</v>
      </c>
      <c r="BY25" s="65">
        <f>Таблица1[[#This Row],[Т1]]+Таблица1[[#This Row],[Lпрям1, мм]]</f>
        <v>3506650.6174897454</v>
      </c>
      <c r="BZ25" s="65">
        <f>Таблица1[[#This Row],[Т2]]+Таблица1[[#This Row],[Lдуг 2,мм]]</f>
        <v>3507714.7871452561</v>
      </c>
      <c r="CA25" s="65">
        <f>Таблица1[[#This Row],[Т3]]+Таблица1[[#This Row],[Lпрям2, мм]]</f>
        <v>3511436.7871452561</v>
      </c>
      <c r="CB25" s="65">
        <f>Таблица1[[#This Row],[Т4]]+Таблица1[[#This Row],[Lдуг 3,мм]]</f>
        <v>3512563.7946136747</v>
      </c>
      <c r="CC25" s="65">
        <f>Таблица1[[#This Row],[Т5]]+Таблица1[[#This Row],[Lпрям3, мм]]</f>
        <v>3514408.454616385</v>
      </c>
      <c r="CD25" s="65">
        <f>Таблица1[[#This Row],[Т6]]+Таблица1[[#This Row],[Lдуг 4,мм]]</f>
        <v>3515535.5398769169</v>
      </c>
      <c r="CE25" s="65">
        <f>Таблица1[[#This Row],[Т7]]+Таблица1[[#This Row],[Lпрям4, мм]]</f>
        <v>3516285.639876917</v>
      </c>
      <c r="CF25" s="72">
        <f>Таблица1[[#This Row],[Т8]]+Таблица1[[#This Row],[Lдуг 5,мм]]</f>
        <v>3516543.3262327313</v>
      </c>
      <c r="CG25" s="65">
        <f>Таблица1[[#This Row],[Т9]]+Таблица1[[#This Row],[Lпрям5, мм]]</f>
        <v>3525680.4296938186</v>
      </c>
      <c r="CH25" s="65">
        <f>Таблица1[[#This Row],[Т10]]+Таблица1[[#This Row],[Lдуг 6,мм]]</f>
        <v>3527065.1624086793</v>
      </c>
      <c r="CI25" s="66">
        <f>Таблица1[[#This Row],[Т11]]+Таблица1[[#This Row],[Lпрям6, мм]]</f>
        <v>3528386.841860381</v>
      </c>
      <c r="CJ25" s="64">
        <f>Таблица1[[#This Row],[Т12]]-Таблица1[[#This Row],[Т12]]</f>
        <v>0</v>
      </c>
      <c r="CK25" s="65">
        <f>Таблица1[[#This Row],[Т12]]-Таблица1[[#This Row],[Т11]]</f>
        <v>1321.679451701697</v>
      </c>
      <c r="CL25" s="65">
        <f>Таблица1[[#This Row],[Т12]]-Таблица1[[#This Row],[Т10]]</f>
        <v>2706.412166562397</v>
      </c>
      <c r="CM25" s="65">
        <f>Таблица1[[#This Row],[Т12]]-Таблица1[[#This Row],[Т9]]</f>
        <v>11843.515627649613</v>
      </c>
      <c r="CN25" s="65">
        <f>Таблица1[[#This Row],[Т12]]-Таблица1[[#This Row],[Т8]]</f>
        <v>12101.20198346395</v>
      </c>
      <c r="CO25" s="65">
        <f>Таблица1[[#This Row],[Т12]]-Таблица1[[#This Row],[Т7]]</f>
        <v>12851.301983464044</v>
      </c>
      <c r="CP25" s="65">
        <f>Таблица1[[#This Row],[Т12]]-Таблица1[[#This Row],[Т6]]</f>
        <v>13978.387243995909</v>
      </c>
      <c r="CQ25" s="65">
        <f>Таблица1[[#This Row],[Т12]]-Таблица1[[#This Row],[Т5]]</f>
        <v>15823.047246706206</v>
      </c>
      <c r="CR25" s="65">
        <f>Таблица1[[#This Row],[Т12]]-Таблица1[[#This Row],[Т4]]</f>
        <v>16950.05471512489</v>
      </c>
      <c r="CS25" s="65">
        <f>Таблица1[[#This Row],[Т12]]-Таблица1[[#This Row],[Т3]]</f>
        <v>20672.05471512489</v>
      </c>
      <c r="CT25" s="65">
        <f>Таблица1[[#This Row],[Т12]]-Таблица1[[#This Row],[Т2]]</f>
        <v>21736.22437063558</v>
      </c>
      <c r="CU25" s="65">
        <f>Таблица1[[#This Row],[Т12]]-Таблица1[[#This Row],[Т1]]</f>
        <v>23622.524187002331</v>
      </c>
      <c r="CV25" s="65">
        <f>Таблица1[[#This Row],[Lкан_леб,мм]]+Таблица1[[#This Row],[Lкан_дуг, мм]]+Таблица1[[#This Row],[Lкан_прям, мм]]</f>
        <v>3528386.841860381</v>
      </c>
      <c r="CW25" s="60">
        <f>3511128.4-(Таблица1[[#This Row],[Lкан_леб,мм]]+Таблица1[[#This Row],[∆Lлеб из за стрел]])</f>
        <v>6364.0823266212828</v>
      </c>
    </row>
    <row r="26" spans="1:101" x14ac:dyDescent="0.25">
      <c r="A26">
        <v>25</v>
      </c>
      <c r="B26">
        <v>62.241610738255034</v>
      </c>
      <c r="C26">
        <v>27.768389261744961</v>
      </c>
      <c r="D26">
        <v>2748.0234146513308</v>
      </c>
      <c r="E26">
        <v>5699.1179730814938</v>
      </c>
      <c r="F26">
        <v>3465.6565723444323</v>
      </c>
      <c r="G26">
        <v>4936.2432120758431</v>
      </c>
      <c r="H26">
        <v>3465.5229246513304</v>
      </c>
      <c r="I26">
        <v>4377.4385268084707</v>
      </c>
      <c r="J26">
        <v>1321.6794462730234</v>
      </c>
      <c r="K26">
        <v>18610.323761605785</v>
      </c>
      <c r="L26">
        <v>4968.5244859411769</v>
      </c>
      <c r="M26">
        <v>3504807.9936128343</v>
      </c>
      <c r="N26">
        <v>0</v>
      </c>
      <c r="O26">
        <v>8</v>
      </c>
      <c r="P26">
        <v>-3322.5</v>
      </c>
      <c r="Q26">
        <v>-2811.96</v>
      </c>
      <c r="R26">
        <v>-3280</v>
      </c>
      <c r="S26">
        <v>-914.66</v>
      </c>
      <c r="T26">
        <v>-7002</v>
      </c>
      <c r="U26">
        <v>520.34</v>
      </c>
      <c r="V26">
        <v>-7002.1</v>
      </c>
      <c r="W26">
        <v>2365</v>
      </c>
      <c r="X26">
        <v>-6252</v>
      </c>
      <c r="Y26">
        <v>3800</v>
      </c>
      <c r="Z26">
        <v>2748.0234146513308</v>
      </c>
      <c r="AA26">
        <v>5699.1179730814938</v>
      </c>
      <c r="AB26">
        <v>0</v>
      </c>
      <c r="AC26">
        <v>1064.1696555107644</v>
      </c>
      <c r="AD26">
        <v>1127.0074684186504</v>
      </c>
      <c r="AE26">
        <v>1127.0852605320265</v>
      </c>
      <c r="AF26">
        <v>261.60787121654801</v>
      </c>
      <c r="AG26">
        <v>1388.6542302631872</v>
      </c>
      <c r="AH26">
        <v>1886.2998163666878</v>
      </c>
      <c r="AI26">
        <v>3721.9999999999995</v>
      </c>
      <c r="AJ26">
        <v>1844.6600027105269</v>
      </c>
      <c r="AK26">
        <v>750.10000000000059</v>
      </c>
      <c r="AL26">
        <v>9085.5844908268482</v>
      </c>
      <c r="AM26">
        <v>1321.6794517017192</v>
      </c>
      <c r="AN26">
        <v>-95.021003558665456</v>
      </c>
      <c r="AO26">
        <v>-180</v>
      </c>
      <c r="AP26">
        <v>-90.003106034687008</v>
      </c>
      <c r="AQ26">
        <v>1.2722218725854067E-14</v>
      </c>
      <c r="AR26">
        <v>-20.890629837087332</v>
      </c>
      <c r="AS26">
        <v>89.999999566492633</v>
      </c>
      <c r="AT26">
        <v>-2400.1625746957502</v>
      </c>
      <c r="AU26">
        <v>-3280</v>
      </c>
      <c r="AV26">
        <v>-7719.4999989457119</v>
      </c>
      <c r="AW26">
        <v>-7002.1</v>
      </c>
      <c r="AX26">
        <v>-5996.1501085470763</v>
      </c>
      <c r="AY26">
        <v>3465.5234146513312</v>
      </c>
      <c r="AZ26">
        <v>-2730.9252207921031</v>
      </c>
      <c r="BA26">
        <v>-197.16</v>
      </c>
      <c r="BB26">
        <v>520.3011039433311</v>
      </c>
      <c r="BC26">
        <v>3082.5000000000005</v>
      </c>
      <c r="BD26">
        <v>3129.6664389697266</v>
      </c>
      <c r="BE26">
        <v>5699.1179785101931</v>
      </c>
      <c r="BF26">
        <v>-2565.2532760267472</v>
      </c>
      <c r="BG26">
        <v>-7002</v>
      </c>
      <c r="BH26">
        <v>-7719.5999989457123</v>
      </c>
      <c r="BI26">
        <v>-6252</v>
      </c>
      <c r="BJ26">
        <v>2492.1735231984076</v>
      </c>
      <c r="BK26">
        <v>3465.5234246513305</v>
      </c>
      <c r="BL26">
        <v>-851.86373761518519</v>
      </c>
      <c r="BM26">
        <v>-197.16</v>
      </c>
      <c r="BN26">
        <v>2364.9611039433312</v>
      </c>
      <c r="BO26">
        <v>3082.5000000000005</v>
      </c>
      <c r="BP26">
        <v>6369.4515341117667</v>
      </c>
      <c r="BQ26">
        <v>4377.4385268084734</v>
      </c>
      <c r="BR26">
        <v>0</v>
      </c>
      <c r="BS26">
        <v>84.97899644133453</v>
      </c>
      <c r="BT26">
        <v>89.996893965312992</v>
      </c>
      <c r="BU26">
        <v>90.003106034687022</v>
      </c>
      <c r="BV26">
        <v>20.890629837087346</v>
      </c>
      <c r="BW26">
        <v>110.89062940357996</v>
      </c>
      <c r="BX26" s="69">
        <f>Таблица1[[#This Row],[Lкан_леб,мм]]</f>
        <v>3504807.9936128343</v>
      </c>
      <c r="BY26" s="65">
        <f>Таблица1[[#This Row],[Т1]]+Таблица1[[#This Row],[Lпрям1, мм]]</f>
        <v>3506694.293429201</v>
      </c>
      <c r="BZ26" s="65">
        <f>Таблица1[[#This Row],[Т2]]+Таблица1[[#This Row],[Lдуг 2,мм]]</f>
        <v>3507758.4630847117</v>
      </c>
      <c r="CA26" s="65">
        <f>Таблица1[[#This Row],[Т3]]+Таблица1[[#This Row],[Lпрям2, мм]]</f>
        <v>3511480.4630847117</v>
      </c>
      <c r="CB26" s="65">
        <f>Таблица1[[#This Row],[Т4]]+Таблица1[[#This Row],[Lдуг 3,мм]]</f>
        <v>3512607.4705531304</v>
      </c>
      <c r="CC26" s="65">
        <f>Таблица1[[#This Row],[Т5]]+Таблица1[[#This Row],[Lпрям3, мм]]</f>
        <v>3514452.1305558407</v>
      </c>
      <c r="CD26" s="65">
        <f>Таблица1[[#This Row],[Т6]]+Таблица1[[#This Row],[Lдуг 4,мм]]</f>
        <v>3515579.2158163725</v>
      </c>
      <c r="CE26" s="65">
        <f>Таблица1[[#This Row],[Т7]]+Таблица1[[#This Row],[Lпрям4, мм]]</f>
        <v>3516329.3158163726</v>
      </c>
      <c r="CF26" s="72">
        <f>Таблица1[[#This Row],[Т8]]+Таблица1[[#This Row],[Lдуг 5,мм]]</f>
        <v>3516590.9236875894</v>
      </c>
      <c r="CG26" s="65">
        <f>Таблица1[[#This Row],[Т9]]+Таблица1[[#This Row],[Lпрям5, мм]]</f>
        <v>3525676.5081784162</v>
      </c>
      <c r="CH26" s="65">
        <f>Таблица1[[#This Row],[Т10]]+Таблица1[[#This Row],[Lдуг 6,мм]]</f>
        <v>3527065.1624086793</v>
      </c>
      <c r="CI26" s="66">
        <f>Таблица1[[#This Row],[Т11]]+Таблица1[[#This Row],[Lпрям6, мм]]</f>
        <v>3528386.841860381</v>
      </c>
      <c r="CJ26" s="64">
        <f>Таблица1[[#This Row],[Т12]]-Таблица1[[#This Row],[Т12]]</f>
        <v>0</v>
      </c>
      <c r="CK26" s="65">
        <f>Таблица1[[#This Row],[Т12]]-Таблица1[[#This Row],[Т11]]</f>
        <v>1321.679451701697</v>
      </c>
      <c r="CL26" s="65">
        <f>Таблица1[[#This Row],[Т12]]-Таблица1[[#This Row],[Т10]]</f>
        <v>2710.3336819647811</v>
      </c>
      <c r="CM26" s="65">
        <f>Таблица1[[#This Row],[Т12]]-Таблица1[[#This Row],[Т9]]</f>
        <v>11795.9181727916</v>
      </c>
      <c r="CN26" s="65">
        <f>Таблица1[[#This Row],[Т12]]-Таблица1[[#This Row],[Т8]]</f>
        <v>12057.526044008322</v>
      </c>
      <c r="CO26" s="65">
        <f>Таблица1[[#This Row],[Т12]]-Таблица1[[#This Row],[Т7]]</f>
        <v>12807.626044008415</v>
      </c>
      <c r="CP26" s="65">
        <f>Таблица1[[#This Row],[Т12]]-Таблица1[[#This Row],[Т6]]</f>
        <v>13934.71130454028</v>
      </c>
      <c r="CQ26" s="65">
        <f>Таблица1[[#This Row],[Т12]]-Таблица1[[#This Row],[Т5]]</f>
        <v>15779.371307250578</v>
      </c>
      <c r="CR26" s="65">
        <f>Таблица1[[#This Row],[Т12]]-Таблица1[[#This Row],[Т4]]</f>
        <v>16906.378775669262</v>
      </c>
      <c r="CS26" s="65">
        <f>Таблица1[[#This Row],[Т12]]-Таблица1[[#This Row],[Т3]]</f>
        <v>20628.378775669262</v>
      </c>
      <c r="CT26" s="65">
        <f>Таблица1[[#This Row],[Т12]]-Таблица1[[#This Row],[Т2]]</f>
        <v>21692.548431179952</v>
      </c>
      <c r="CU26" s="65">
        <f>Таблица1[[#This Row],[Т12]]-Таблица1[[#This Row],[Т1]]</f>
        <v>23578.848247546703</v>
      </c>
      <c r="CV26" s="65">
        <f>Таблица1[[#This Row],[Lкан_леб,мм]]+Таблица1[[#This Row],[Lкан_дуг, мм]]+Таблица1[[#This Row],[Lкан_прям, мм]]</f>
        <v>3528386.841860381</v>
      </c>
      <c r="CW26" s="60">
        <f>3511128.4-(Таблица1[[#This Row],[Lкан_леб,мм]]+Таблица1[[#This Row],[∆Lлеб из за стрел]])</f>
        <v>6320.4063871656545</v>
      </c>
    </row>
    <row r="27" spans="1:101" x14ac:dyDescent="0.25">
      <c r="A27">
        <v>26</v>
      </c>
      <c r="B27">
        <v>62.75167785234899</v>
      </c>
      <c r="C27">
        <v>27.258322147651008</v>
      </c>
      <c r="D27">
        <v>2689.2716304035221</v>
      </c>
      <c r="E27">
        <v>5729.7065897068915</v>
      </c>
      <c r="F27">
        <v>3406.9047880966232</v>
      </c>
      <c r="G27">
        <v>4966.8318287012398</v>
      </c>
      <c r="H27">
        <v>3406.7711404035222</v>
      </c>
      <c r="I27">
        <v>4408.0271434339811</v>
      </c>
      <c r="J27">
        <v>1321.6794462729106</v>
      </c>
      <c r="K27">
        <v>18558.613350652697</v>
      </c>
      <c r="L27">
        <v>4976.3884280442044</v>
      </c>
      <c r="M27">
        <v>3504851.8400816843</v>
      </c>
      <c r="N27">
        <v>0</v>
      </c>
      <c r="O27">
        <v>8</v>
      </c>
      <c r="P27">
        <v>-3322.5</v>
      </c>
      <c r="Q27">
        <v>-2811.96</v>
      </c>
      <c r="R27">
        <v>-3280</v>
      </c>
      <c r="S27">
        <v>-914.66</v>
      </c>
      <c r="T27">
        <v>-7002</v>
      </c>
      <c r="U27">
        <v>520.34</v>
      </c>
      <c r="V27">
        <v>-7002.1</v>
      </c>
      <c r="W27">
        <v>2365</v>
      </c>
      <c r="X27">
        <v>-6252</v>
      </c>
      <c r="Y27">
        <v>3800</v>
      </c>
      <c r="Z27">
        <v>2689.2716304035221</v>
      </c>
      <c r="AA27">
        <v>5729.7065897068915</v>
      </c>
      <c r="AB27">
        <v>0</v>
      </c>
      <c r="AC27">
        <v>1064.1696555107644</v>
      </c>
      <c r="AD27">
        <v>1127.0074684186504</v>
      </c>
      <c r="AE27">
        <v>1127.0852605320265</v>
      </c>
      <c r="AF27">
        <v>265.53984226806233</v>
      </c>
      <c r="AG27">
        <v>1392.5862013147012</v>
      </c>
      <c r="AH27">
        <v>1886.2998163666878</v>
      </c>
      <c r="AI27">
        <v>3721.9999999999995</v>
      </c>
      <c r="AJ27">
        <v>1844.6600027105269</v>
      </c>
      <c r="AK27">
        <v>750.10000000000059</v>
      </c>
      <c r="AL27">
        <v>9033.8740798738745</v>
      </c>
      <c r="AM27">
        <v>1321.6794517016065</v>
      </c>
      <c r="AN27">
        <v>-95.021003558665456</v>
      </c>
      <c r="AO27">
        <v>-180</v>
      </c>
      <c r="AP27">
        <v>-90.003106034687008</v>
      </c>
      <c r="AQ27">
        <v>1.2722218725854067E-14</v>
      </c>
      <c r="AR27">
        <v>-21.204616382619577</v>
      </c>
      <c r="AS27">
        <v>89.999999566492605</v>
      </c>
      <c r="AT27">
        <v>-2400.1625746957502</v>
      </c>
      <c r="AU27">
        <v>-3280</v>
      </c>
      <c r="AV27">
        <v>-7719.4999989457119</v>
      </c>
      <c r="AW27">
        <v>-7002.1</v>
      </c>
      <c r="AX27">
        <v>-5992.4804744050816</v>
      </c>
      <c r="AY27">
        <v>3406.7716304035221</v>
      </c>
      <c r="AZ27">
        <v>-2730.9252207921031</v>
      </c>
      <c r="BA27">
        <v>-197.16</v>
      </c>
      <c r="BB27">
        <v>520.3011039433311</v>
      </c>
      <c r="BC27">
        <v>3082.5000000000005</v>
      </c>
      <c r="BD27">
        <v>3131.0785802241126</v>
      </c>
      <c r="BE27">
        <v>5729.7065951355908</v>
      </c>
      <c r="BF27">
        <v>-2565.2532760267472</v>
      </c>
      <c r="BG27">
        <v>-7002</v>
      </c>
      <c r="BH27">
        <v>-7719.5999989457123</v>
      </c>
      <c r="BI27">
        <v>-6252</v>
      </c>
      <c r="BJ27">
        <v>2429.7521048086041</v>
      </c>
      <c r="BK27">
        <v>3406.7716404035223</v>
      </c>
      <c r="BL27">
        <v>-851.86373761518519</v>
      </c>
      <c r="BM27">
        <v>-197.16</v>
      </c>
      <c r="BN27">
        <v>2364.9611039433312</v>
      </c>
      <c r="BO27">
        <v>3082.5000000000005</v>
      </c>
      <c r="BP27">
        <v>6398.628009482778</v>
      </c>
      <c r="BQ27">
        <v>4408.0271434339847</v>
      </c>
      <c r="BR27">
        <v>0</v>
      </c>
      <c r="BS27">
        <v>84.97899644133453</v>
      </c>
      <c r="BT27">
        <v>89.996893965312992</v>
      </c>
      <c r="BU27">
        <v>90.003106034687022</v>
      </c>
      <c r="BV27">
        <v>21.204616382619587</v>
      </c>
      <c r="BW27">
        <v>111.20461594911218</v>
      </c>
      <c r="BX27" s="69">
        <f>Таблица1[[#This Row],[Lкан_леб,мм]]</f>
        <v>3504851.8400816843</v>
      </c>
      <c r="BY27" s="65">
        <f>Таблица1[[#This Row],[Т1]]+Таблица1[[#This Row],[Lпрям1, мм]]</f>
        <v>3506738.139898051</v>
      </c>
      <c r="BZ27" s="65">
        <f>Таблица1[[#This Row],[Т2]]+Таблица1[[#This Row],[Lдуг 2,мм]]</f>
        <v>3507802.3095535617</v>
      </c>
      <c r="CA27" s="65">
        <f>Таблица1[[#This Row],[Т3]]+Таблица1[[#This Row],[Lпрям2, мм]]</f>
        <v>3511524.3095535617</v>
      </c>
      <c r="CB27" s="65">
        <f>Таблица1[[#This Row],[Т4]]+Таблица1[[#This Row],[Lдуг 3,мм]]</f>
        <v>3512651.3170219804</v>
      </c>
      <c r="CC27" s="65">
        <f>Таблица1[[#This Row],[Т5]]+Таблица1[[#This Row],[Lпрям3, мм]]</f>
        <v>3514495.9770246907</v>
      </c>
      <c r="CD27" s="65">
        <f>Таблица1[[#This Row],[Т6]]+Таблица1[[#This Row],[Lдуг 4,мм]]</f>
        <v>3515623.0622852226</v>
      </c>
      <c r="CE27" s="65">
        <f>Таблица1[[#This Row],[Т7]]+Таблица1[[#This Row],[Lпрям4, мм]]</f>
        <v>3516373.1622852227</v>
      </c>
      <c r="CF27" s="72">
        <f>Таблица1[[#This Row],[Т8]]+Таблица1[[#This Row],[Lдуг 5,мм]]</f>
        <v>3516638.7021274907</v>
      </c>
      <c r="CG27" s="65">
        <f>Таблица1[[#This Row],[Т9]]+Таблица1[[#This Row],[Lпрям5, мм]]</f>
        <v>3525672.5762073644</v>
      </c>
      <c r="CH27" s="65">
        <f>Таблица1[[#This Row],[Т10]]+Таблица1[[#This Row],[Lдуг 6,мм]]</f>
        <v>3527065.1624086793</v>
      </c>
      <c r="CI27" s="66">
        <f>Таблица1[[#This Row],[Т11]]+Таблица1[[#This Row],[Lпрям6, мм]]</f>
        <v>3528386.841860381</v>
      </c>
      <c r="CJ27" s="64">
        <f>Таблица1[[#This Row],[Т12]]-Таблица1[[#This Row],[Т12]]</f>
        <v>0</v>
      </c>
      <c r="CK27" s="65">
        <f>Таблица1[[#This Row],[Т12]]-Таблица1[[#This Row],[Т11]]</f>
        <v>1321.679451701697</v>
      </c>
      <c r="CL27" s="65">
        <f>Таблица1[[#This Row],[Т12]]-Таблица1[[#This Row],[Т10]]</f>
        <v>2714.2656530165114</v>
      </c>
      <c r="CM27" s="65">
        <f>Таблица1[[#This Row],[Т12]]-Таблица1[[#This Row],[Т9]]</f>
        <v>11748.139732890297</v>
      </c>
      <c r="CN27" s="65">
        <f>Таблица1[[#This Row],[Т12]]-Таблица1[[#This Row],[Т8]]</f>
        <v>12013.679575158283</v>
      </c>
      <c r="CO27" s="65">
        <f>Таблица1[[#This Row],[Т12]]-Таблица1[[#This Row],[Т7]]</f>
        <v>12763.779575158376</v>
      </c>
      <c r="CP27" s="65">
        <f>Таблица1[[#This Row],[Т12]]-Таблица1[[#This Row],[Т6]]</f>
        <v>13890.864835690241</v>
      </c>
      <c r="CQ27" s="65">
        <f>Таблица1[[#This Row],[Т12]]-Таблица1[[#This Row],[Т5]]</f>
        <v>15735.524838400539</v>
      </c>
      <c r="CR27" s="65">
        <f>Таблица1[[#This Row],[Т12]]-Таблица1[[#This Row],[Т4]]</f>
        <v>16862.532306819223</v>
      </c>
      <c r="CS27" s="65">
        <f>Таблица1[[#This Row],[Т12]]-Таблица1[[#This Row],[Т3]]</f>
        <v>20584.532306819223</v>
      </c>
      <c r="CT27" s="65">
        <f>Таблица1[[#This Row],[Т12]]-Таблица1[[#This Row],[Т2]]</f>
        <v>21648.701962329913</v>
      </c>
      <c r="CU27" s="65">
        <f>Таблица1[[#This Row],[Т12]]-Таблица1[[#This Row],[Т1]]</f>
        <v>23535.001778696664</v>
      </c>
      <c r="CV27" s="65">
        <f>Таблица1[[#This Row],[Lкан_леб,мм]]+Таблица1[[#This Row],[Lкан_дуг, мм]]+Таблица1[[#This Row],[Lкан_прям, мм]]</f>
        <v>3528386.841860381</v>
      </c>
      <c r="CW27" s="60">
        <f>3511128.4-(Таблица1[[#This Row],[Lкан_леб,мм]]+Таблица1[[#This Row],[∆Lлеб из за стрел]])</f>
        <v>6276.5599183156155</v>
      </c>
    </row>
    <row r="28" spans="1:101" x14ac:dyDescent="0.25">
      <c r="A28">
        <v>27</v>
      </c>
      <c r="B28">
        <v>63.261744966442947</v>
      </c>
      <c r="C28">
        <v>26.748255033557051</v>
      </c>
      <c r="D28">
        <v>2630.2498672428842</v>
      </c>
      <c r="E28">
        <v>5759.7709721679685</v>
      </c>
      <c r="F28">
        <v>3347.8830249359858</v>
      </c>
      <c r="G28">
        <v>4996.8962111623187</v>
      </c>
      <c r="H28">
        <v>3347.7493772428843</v>
      </c>
      <c r="I28">
        <v>4438.0915258954847</v>
      </c>
      <c r="J28">
        <v>1321.6794462724843</v>
      </c>
      <c r="K28">
        <v>18506.712326153724</v>
      </c>
      <c r="L28">
        <v>4984.2736984710191</v>
      </c>
      <c r="M28">
        <v>3504895.8558357563</v>
      </c>
      <c r="N28">
        <v>0</v>
      </c>
      <c r="O28">
        <v>8</v>
      </c>
      <c r="P28">
        <v>-3322.5</v>
      </c>
      <c r="Q28">
        <v>-2811.96</v>
      </c>
      <c r="R28">
        <v>-3280</v>
      </c>
      <c r="S28">
        <v>-914.66</v>
      </c>
      <c r="T28">
        <v>-7002</v>
      </c>
      <c r="U28">
        <v>520.34</v>
      </c>
      <c r="V28">
        <v>-7002.1</v>
      </c>
      <c r="W28">
        <v>2365</v>
      </c>
      <c r="X28">
        <v>-6252</v>
      </c>
      <c r="Y28">
        <v>3800</v>
      </c>
      <c r="Z28">
        <v>2630.2498672428842</v>
      </c>
      <c r="AA28">
        <v>5759.7709721679685</v>
      </c>
      <c r="AB28">
        <v>0</v>
      </c>
      <c r="AC28">
        <v>1064.1696555107644</v>
      </c>
      <c r="AD28">
        <v>1127.0074684186504</v>
      </c>
      <c r="AE28">
        <v>1127.0852605320265</v>
      </c>
      <c r="AF28">
        <v>269.48247748146974</v>
      </c>
      <c r="AG28">
        <v>1396.528836528109</v>
      </c>
      <c r="AH28">
        <v>1886.2998163666878</v>
      </c>
      <c r="AI28">
        <v>3721.9999999999995</v>
      </c>
      <c r="AJ28">
        <v>1844.6600027105269</v>
      </c>
      <c r="AK28">
        <v>750.10000000000059</v>
      </c>
      <c r="AL28">
        <v>8981.9730553753288</v>
      </c>
      <c r="AM28">
        <v>1321.6794517011801</v>
      </c>
      <c r="AN28">
        <v>-95.021003558665456</v>
      </c>
      <c r="AO28">
        <v>-180</v>
      </c>
      <c r="AP28">
        <v>-90.003106034687008</v>
      </c>
      <c r="AQ28">
        <v>1.2722218725854067E-14</v>
      </c>
      <c r="AR28">
        <v>-21.519454512080074</v>
      </c>
      <c r="AS28">
        <v>89.999999566492605</v>
      </c>
      <c r="AT28">
        <v>-2400.1625746957502</v>
      </c>
      <c r="AU28">
        <v>-3280</v>
      </c>
      <c r="AV28">
        <v>-7719.4999989457119</v>
      </c>
      <c r="AW28">
        <v>-7002.1</v>
      </c>
      <c r="AX28">
        <v>-5988.8087131754282</v>
      </c>
      <c r="AY28">
        <v>3347.7498672428842</v>
      </c>
      <c r="AZ28">
        <v>-2730.9252207921031</v>
      </c>
      <c r="BA28">
        <v>-197.16</v>
      </c>
      <c r="BB28">
        <v>520.3011039433311</v>
      </c>
      <c r="BC28">
        <v>3082.5000000000005</v>
      </c>
      <c r="BD28">
        <v>3132.5147218555107</v>
      </c>
      <c r="BE28">
        <v>5759.7709775966678</v>
      </c>
      <c r="BF28">
        <v>-2565.2532760267472</v>
      </c>
      <c r="BG28">
        <v>-7002</v>
      </c>
      <c r="BH28">
        <v>-7719.5999989457123</v>
      </c>
      <c r="BI28">
        <v>-6252</v>
      </c>
      <c r="BJ28">
        <v>2367.0585804183129</v>
      </c>
      <c r="BK28">
        <v>3347.7498772428844</v>
      </c>
      <c r="BL28">
        <v>-851.86373761518519</v>
      </c>
      <c r="BM28">
        <v>-197.16</v>
      </c>
      <c r="BN28">
        <v>2364.9611039433312</v>
      </c>
      <c r="BO28">
        <v>3082.5000000000005</v>
      </c>
      <c r="BP28">
        <v>6427.2562503124582</v>
      </c>
      <c r="BQ28">
        <v>4438.0915258954883</v>
      </c>
      <c r="BR28">
        <v>0</v>
      </c>
      <c r="BS28">
        <v>84.97899644133453</v>
      </c>
      <c r="BT28">
        <v>89.996893965312992</v>
      </c>
      <c r="BU28">
        <v>90.003106034687022</v>
      </c>
      <c r="BV28">
        <v>21.519454512080088</v>
      </c>
      <c r="BW28">
        <v>111.51945407857269</v>
      </c>
      <c r="BX28" s="69">
        <f>Таблица1[[#This Row],[Lкан_леб,мм]]</f>
        <v>3504895.8558357563</v>
      </c>
      <c r="BY28" s="65">
        <f>Таблица1[[#This Row],[Т1]]+Таблица1[[#This Row],[Lпрям1, мм]]</f>
        <v>3506782.155652123</v>
      </c>
      <c r="BZ28" s="65">
        <f>Таблица1[[#This Row],[Т2]]+Таблица1[[#This Row],[Lдуг 2,мм]]</f>
        <v>3507846.3253076337</v>
      </c>
      <c r="CA28" s="65">
        <f>Таблица1[[#This Row],[Т3]]+Таблица1[[#This Row],[Lпрям2, мм]]</f>
        <v>3511568.3253076337</v>
      </c>
      <c r="CB28" s="65">
        <f>Таблица1[[#This Row],[Т4]]+Таблица1[[#This Row],[Lдуг 3,мм]]</f>
        <v>3512695.3327760524</v>
      </c>
      <c r="CC28" s="65">
        <f>Таблица1[[#This Row],[Т5]]+Таблица1[[#This Row],[Lпрям3, мм]]</f>
        <v>3514539.9927787627</v>
      </c>
      <c r="CD28" s="65">
        <f>Таблица1[[#This Row],[Т6]]+Таблица1[[#This Row],[Lдуг 4,мм]]</f>
        <v>3515667.0780392946</v>
      </c>
      <c r="CE28" s="65">
        <f>Таблица1[[#This Row],[Т7]]+Таблица1[[#This Row],[Lпрям4, мм]]</f>
        <v>3516417.1780392947</v>
      </c>
      <c r="CF28" s="72">
        <f>Таблица1[[#This Row],[Т8]]+Таблица1[[#This Row],[Lдуг 5,мм]]</f>
        <v>3516686.6605167761</v>
      </c>
      <c r="CG28" s="65">
        <f>Таблица1[[#This Row],[Т9]]+Таблица1[[#This Row],[Lпрям5, мм]]</f>
        <v>3525668.6335721514</v>
      </c>
      <c r="CH28" s="65">
        <f>Таблица1[[#This Row],[Т10]]+Таблица1[[#This Row],[Lдуг 6,мм]]</f>
        <v>3527065.1624086797</v>
      </c>
      <c r="CI28" s="66">
        <f>Таблица1[[#This Row],[Т11]]+Таблица1[[#This Row],[Lпрям6, мм]]</f>
        <v>3528386.841860381</v>
      </c>
      <c r="CJ28" s="64">
        <f>Таблица1[[#This Row],[Т12]]-Таблица1[[#This Row],[Т12]]</f>
        <v>0</v>
      </c>
      <c r="CK28" s="65">
        <f>Таблица1[[#This Row],[Т12]]-Таблица1[[#This Row],[Т11]]</f>
        <v>1321.6794517012313</v>
      </c>
      <c r="CL28" s="65">
        <f>Таблица1[[#This Row],[Т12]]-Таблица1[[#This Row],[Т10]]</f>
        <v>2718.2082882295363</v>
      </c>
      <c r="CM28" s="65">
        <f>Таблица1[[#This Row],[Т12]]-Таблица1[[#This Row],[Т9]]</f>
        <v>11700.181343604811</v>
      </c>
      <c r="CN28" s="65">
        <f>Таблица1[[#This Row],[Т12]]-Таблица1[[#This Row],[Т8]]</f>
        <v>11969.663821086287</v>
      </c>
      <c r="CO28" s="65">
        <f>Таблица1[[#This Row],[Т12]]-Таблица1[[#This Row],[Т7]]</f>
        <v>12719.763821086381</v>
      </c>
      <c r="CP28" s="65">
        <f>Таблица1[[#This Row],[Т12]]-Таблица1[[#This Row],[Т6]]</f>
        <v>13846.849081618246</v>
      </c>
      <c r="CQ28" s="65">
        <f>Таблица1[[#This Row],[Т12]]-Таблица1[[#This Row],[Т5]]</f>
        <v>15691.509084328543</v>
      </c>
      <c r="CR28" s="65">
        <f>Таблица1[[#This Row],[Т12]]-Таблица1[[#This Row],[Т4]]</f>
        <v>16818.516552747227</v>
      </c>
      <c r="CS28" s="65">
        <f>Таблица1[[#This Row],[Т12]]-Таблица1[[#This Row],[Т3]]</f>
        <v>20540.516552747227</v>
      </c>
      <c r="CT28" s="65">
        <f>Таблица1[[#This Row],[Т12]]-Таблица1[[#This Row],[Т2]]</f>
        <v>21604.686208257917</v>
      </c>
      <c r="CU28" s="65">
        <f>Таблица1[[#This Row],[Т12]]-Таблица1[[#This Row],[Т1]]</f>
        <v>23490.986024624668</v>
      </c>
      <c r="CV28" s="65">
        <f>Таблица1[[#This Row],[Lкан_леб,мм]]+Таблица1[[#This Row],[Lкан_дуг, мм]]+Таблица1[[#This Row],[Lкан_прям, мм]]</f>
        <v>3528386.841860381</v>
      </c>
      <c r="CW28" s="60">
        <f>3511128.4-(Таблица1[[#This Row],[Lкан_леб,мм]]+Таблица1[[#This Row],[∆Lлеб из за стрел]])</f>
        <v>6232.5441642436199</v>
      </c>
    </row>
    <row r="29" spans="1:101" x14ac:dyDescent="0.25">
      <c r="A29">
        <v>28</v>
      </c>
      <c r="B29">
        <v>63.771812080536904</v>
      </c>
      <c r="C29">
        <v>26.238187919463094</v>
      </c>
      <c r="D29">
        <v>2570.9628027221656</v>
      </c>
      <c r="E29">
        <v>5789.308737822681</v>
      </c>
      <c r="F29">
        <v>3288.5959604152672</v>
      </c>
      <c r="G29">
        <v>5026.4339768170294</v>
      </c>
      <c r="H29">
        <v>3288.4623127221657</v>
      </c>
      <c r="I29">
        <v>4467.6292915499189</v>
      </c>
      <c r="J29">
        <v>1321.6794462727623</v>
      </c>
      <c r="K29">
        <v>18454.62151370868</v>
      </c>
      <c r="L29">
        <v>4992.1807256825768</v>
      </c>
      <c r="M29">
        <v>3504940.0396209899</v>
      </c>
      <c r="N29">
        <v>0</v>
      </c>
      <c r="O29">
        <v>8</v>
      </c>
      <c r="P29">
        <v>-3322.5</v>
      </c>
      <c r="Q29">
        <v>-2811.96</v>
      </c>
      <c r="R29">
        <v>-3280</v>
      </c>
      <c r="S29">
        <v>-914.66</v>
      </c>
      <c r="T29">
        <v>-7002</v>
      </c>
      <c r="U29">
        <v>520.34</v>
      </c>
      <c r="V29">
        <v>-7002.1</v>
      </c>
      <c r="W29">
        <v>2365</v>
      </c>
      <c r="X29">
        <v>-6252</v>
      </c>
      <c r="Y29">
        <v>3800</v>
      </c>
      <c r="Z29">
        <v>2570.9628027221656</v>
      </c>
      <c r="AA29">
        <v>5789.308737822681</v>
      </c>
      <c r="AB29">
        <v>0</v>
      </c>
      <c r="AC29">
        <v>1064.1696555107644</v>
      </c>
      <c r="AD29">
        <v>1127.0074684186504</v>
      </c>
      <c r="AE29">
        <v>1127.0852605320265</v>
      </c>
      <c r="AF29">
        <v>273.435991087248</v>
      </c>
      <c r="AG29">
        <v>1400.4823501338869</v>
      </c>
      <c r="AH29">
        <v>1886.2998163666878</v>
      </c>
      <c r="AI29">
        <v>3721.9999999999995</v>
      </c>
      <c r="AJ29">
        <v>1844.6600027105269</v>
      </c>
      <c r="AK29">
        <v>750.10000000000059</v>
      </c>
      <c r="AL29">
        <v>8929.8822429300053</v>
      </c>
      <c r="AM29">
        <v>1321.679451701458</v>
      </c>
      <c r="AN29">
        <v>-95.021003558665456</v>
      </c>
      <c r="AO29">
        <v>-180</v>
      </c>
      <c r="AP29">
        <v>-90.003106034687008</v>
      </c>
      <c r="AQ29">
        <v>1.2722218725854067E-14</v>
      </c>
      <c r="AR29">
        <v>-21.835161332788978</v>
      </c>
      <c r="AS29">
        <v>89.999999566492605</v>
      </c>
      <c r="AT29">
        <v>-2400.1625746957502</v>
      </c>
      <c r="AU29">
        <v>-3280</v>
      </c>
      <c r="AV29">
        <v>-7719.4999989457119</v>
      </c>
      <c r="AW29">
        <v>-7002.1</v>
      </c>
      <c r="AX29">
        <v>-5985.1348009005587</v>
      </c>
      <c r="AY29">
        <v>3288.4628027221661</v>
      </c>
      <c r="AZ29">
        <v>-2730.9252207921031</v>
      </c>
      <c r="BA29">
        <v>-197.16</v>
      </c>
      <c r="BB29">
        <v>520.3011039433311</v>
      </c>
      <c r="BC29">
        <v>3082.5000000000005</v>
      </c>
      <c r="BD29">
        <v>3133.9750638980436</v>
      </c>
      <c r="BE29">
        <v>5789.3087432513803</v>
      </c>
      <c r="BF29">
        <v>-2565.2532760267472</v>
      </c>
      <c r="BG29">
        <v>-7002</v>
      </c>
      <c r="BH29">
        <v>-7719.5999989457123</v>
      </c>
      <c r="BI29">
        <v>-6252</v>
      </c>
      <c r="BJ29">
        <v>2304.0976036227248</v>
      </c>
      <c r="BK29">
        <v>3288.4628127221658</v>
      </c>
      <c r="BL29">
        <v>-851.86373761518519</v>
      </c>
      <c r="BM29">
        <v>-197.16</v>
      </c>
      <c r="BN29">
        <v>2364.9611039433312</v>
      </c>
      <c r="BO29">
        <v>3082.5000000000005</v>
      </c>
      <c r="BP29">
        <v>6455.3336739246379</v>
      </c>
      <c r="BQ29">
        <v>4467.6292915499225</v>
      </c>
      <c r="BR29">
        <v>0</v>
      </c>
      <c r="BS29">
        <v>84.97899644133453</v>
      </c>
      <c r="BT29">
        <v>89.996893965312992</v>
      </c>
      <c r="BU29">
        <v>90.003106034687022</v>
      </c>
      <c r="BV29">
        <v>21.835161332788989</v>
      </c>
      <c r="BW29">
        <v>111.83516089928159</v>
      </c>
      <c r="BX29" s="69">
        <f>Таблица1[[#This Row],[Lкан_леб,мм]]</f>
        <v>3504940.0396209899</v>
      </c>
      <c r="BY29" s="65">
        <f>Таблица1[[#This Row],[Т1]]+Таблица1[[#This Row],[Lпрям1, мм]]</f>
        <v>3506826.3394373567</v>
      </c>
      <c r="BZ29" s="65">
        <f>Таблица1[[#This Row],[Т2]]+Таблица1[[#This Row],[Lдуг 2,мм]]</f>
        <v>3507890.5090928674</v>
      </c>
      <c r="CA29" s="65">
        <f>Таблица1[[#This Row],[Т3]]+Таблица1[[#This Row],[Lпрям2, мм]]</f>
        <v>3511612.5090928674</v>
      </c>
      <c r="CB29" s="65">
        <f>Таблица1[[#This Row],[Т4]]+Таблица1[[#This Row],[Lдуг 3,мм]]</f>
        <v>3512739.5165612861</v>
      </c>
      <c r="CC29" s="65">
        <f>Таблица1[[#This Row],[Т5]]+Таблица1[[#This Row],[Lпрям3, мм]]</f>
        <v>3514584.1765639964</v>
      </c>
      <c r="CD29" s="65">
        <f>Таблица1[[#This Row],[Т6]]+Таблица1[[#This Row],[Lдуг 4,мм]]</f>
        <v>3515711.2618245282</v>
      </c>
      <c r="CE29" s="65">
        <f>Таблица1[[#This Row],[Т7]]+Таблица1[[#This Row],[Lпрям4, мм]]</f>
        <v>3516461.3618245283</v>
      </c>
      <c r="CF29" s="72">
        <f>Таблица1[[#This Row],[Т8]]+Таблица1[[#This Row],[Lдуг 5,мм]]</f>
        <v>3516734.7978156158</v>
      </c>
      <c r="CG29" s="65">
        <f>Таблица1[[#This Row],[Т9]]+Таблица1[[#This Row],[Lпрям5, мм]]</f>
        <v>3525664.6800585459</v>
      </c>
      <c r="CH29" s="65">
        <f>Таблица1[[#This Row],[Т10]]+Таблица1[[#This Row],[Lдуг 6,мм]]</f>
        <v>3527065.1624086797</v>
      </c>
      <c r="CI29" s="66">
        <f>Таблица1[[#This Row],[Т11]]+Таблица1[[#This Row],[Lпрям6, мм]]</f>
        <v>3528386.841860381</v>
      </c>
      <c r="CJ29" s="64">
        <f>Таблица1[[#This Row],[Т12]]-Таблица1[[#This Row],[Т12]]</f>
        <v>0</v>
      </c>
      <c r="CK29" s="65">
        <f>Таблица1[[#This Row],[Т12]]-Таблица1[[#This Row],[Т11]]</f>
        <v>1321.6794517012313</v>
      </c>
      <c r="CL29" s="65">
        <f>Таблица1[[#This Row],[Т12]]-Таблица1[[#This Row],[Т10]]</f>
        <v>2722.1618018350564</v>
      </c>
      <c r="CM29" s="65">
        <f>Таблица1[[#This Row],[Т12]]-Таблица1[[#This Row],[Т9]]</f>
        <v>11652.044044765178</v>
      </c>
      <c r="CN29" s="65">
        <f>Таблица1[[#This Row],[Т12]]-Таблица1[[#This Row],[Т8]]</f>
        <v>11925.480035852641</v>
      </c>
      <c r="CO29" s="65">
        <f>Таблица1[[#This Row],[Т12]]-Таблица1[[#This Row],[Т7]]</f>
        <v>12675.580035852734</v>
      </c>
      <c r="CP29" s="65">
        <f>Таблица1[[#This Row],[Т12]]-Таблица1[[#This Row],[Т6]]</f>
        <v>13802.665296384599</v>
      </c>
      <c r="CQ29" s="65">
        <f>Таблица1[[#This Row],[Т12]]-Таблица1[[#This Row],[Т5]]</f>
        <v>15647.325299094897</v>
      </c>
      <c r="CR29" s="65">
        <f>Таблица1[[#This Row],[Т12]]-Таблица1[[#This Row],[Т4]]</f>
        <v>16774.332767513581</v>
      </c>
      <c r="CS29" s="65">
        <f>Таблица1[[#This Row],[Т12]]-Таблица1[[#This Row],[Т3]]</f>
        <v>20496.332767513581</v>
      </c>
      <c r="CT29" s="65">
        <f>Таблица1[[#This Row],[Т12]]-Таблица1[[#This Row],[Т2]]</f>
        <v>21560.502423024271</v>
      </c>
      <c r="CU29" s="65">
        <f>Таблица1[[#This Row],[Т12]]-Таблица1[[#This Row],[Т1]]</f>
        <v>23446.802239391021</v>
      </c>
      <c r="CV29" s="65">
        <f>Таблица1[[#This Row],[Lкан_леб,мм]]+Таблица1[[#This Row],[Lкан_дуг, мм]]+Таблица1[[#This Row],[Lкан_прям, мм]]</f>
        <v>3528386.841860381</v>
      </c>
      <c r="CW29" s="60">
        <f>3511128.4-(Таблица1[[#This Row],[Lкан_леб,мм]]+Таблица1[[#This Row],[∆Lлеб из за стрел]])</f>
        <v>6188.3603790099733</v>
      </c>
    </row>
    <row r="30" spans="1:101" x14ac:dyDescent="0.25">
      <c r="A30">
        <v>29</v>
      </c>
      <c r="B30">
        <v>64.281879194630861</v>
      </c>
      <c r="C30">
        <v>25.728120805369141</v>
      </c>
      <c r="D30">
        <v>2511.4151354195992</v>
      </c>
      <c r="E30">
        <v>5818.3175457640509</v>
      </c>
      <c r="F30">
        <v>3229.0482931127008</v>
      </c>
      <c r="G30">
        <v>5055.4427847584002</v>
      </c>
      <c r="H30">
        <v>3228.9146454195998</v>
      </c>
      <c r="I30">
        <v>4496.6380994909032</v>
      </c>
      <c r="J30">
        <v>1321.6794462731477</v>
      </c>
      <c r="K30">
        <v>18402.341737168299</v>
      </c>
      <c r="L30">
        <v>5000.1099499686679</v>
      </c>
      <c r="M30">
        <v>3504984.3901732443</v>
      </c>
      <c r="N30">
        <v>0</v>
      </c>
      <c r="O30">
        <v>8</v>
      </c>
      <c r="P30">
        <v>-3322.5</v>
      </c>
      <c r="Q30">
        <v>-2811.96</v>
      </c>
      <c r="R30">
        <v>-3280</v>
      </c>
      <c r="S30">
        <v>-914.66</v>
      </c>
      <c r="T30">
        <v>-7002</v>
      </c>
      <c r="U30">
        <v>520.34</v>
      </c>
      <c r="V30">
        <v>-7002.1</v>
      </c>
      <c r="W30">
        <v>2365</v>
      </c>
      <c r="X30">
        <v>-6252</v>
      </c>
      <c r="Y30">
        <v>3800</v>
      </c>
      <c r="Z30">
        <v>2511.4151354195992</v>
      </c>
      <c r="AA30">
        <v>5818.3175457640509</v>
      </c>
      <c r="AB30">
        <v>0</v>
      </c>
      <c r="AC30">
        <v>1064.1696555107644</v>
      </c>
      <c r="AD30">
        <v>1127.0074684186504</v>
      </c>
      <c r="AE30">
        <v>1127.0852605320265</v>
      </c>
      <c r="AF30">
        <v>277.400603230294</v>
      </c>
      <c r="AG30">
        <v>1404.4469622769332</v>
      </c>
      <c r="AH30">
        <v>1886.2998163666878</v>
      </c>
      <c r="AI30">
        <v>3721.9999999999995</v>
      </c>
      <c r="AJ30">
        <v>1844.6600027105269</v>
      </c>
      <c r="AK30">
        <v>750.10000000000059</v>
      </c>
      <c r="AL30">
        <v>8877.6024663892404</v>
      </c>
      <c r="AM30">
        <v>1321.6794517018436</v>
      </c>
      <c r="AN30">
        <v>-95.021003558665456</v>
      </c>
      <c r="AO30">
        <v>-180</v>
      </c>
      <c r="AP30">
        <v>-90.003106034687008</v>
      </c>
      <c r="AQ30">
        <v>1.2722218725854067E-14</v>
      </c>
      <c r="AR30">
        <v>-22.151754424360899</v>
      </c>
      <c r="AS30">
        <v>89.999999566492605</v>
      </c>
      <c r="AT30">
        <v>-2400.1625746957502</v>
      </c>
      <c r="AU30">
        <v>-3280</v>
      </c>
      <c r="AV30">
        <v>-7719.4999989457119</v>
      </c>
      <c r="AW30">
        <v>-7002.1</v>
      </c>
      <c r="AX30">
        <v>-5981.4587116534876</v>
      </c>
      <c r="AY30">
        <v>3228.9151354195997</v>
      </c>
      <c r="AZ30">
        <v>-2730.9252207921031</v>
      </c>
      <c r="BA30">
        <v>-197.16</v>
      </c>
      <c r="BB30">
        <v>520.3011039433311</v>
      </c>
      <c r="BC30">
        <v>3082.5000000000005</v>
      </c>
      <c r="BD30">
        <v>3135.4598121258509</v>
      </c>
      <c r="BE30">
        <v>5818.3175511927502</v>
      </c>
      <c r="BF30">
        <v>-2565.2532760267472</v>
      </c>
      <c r="BG30">
        <v>-7002</v>
      </c>
      <c r="BH30">
        <v>-7719.5999989457123</v>
      </c>
      <c r="BI30">
        <v>-6252</v>
      </c>
      <c r="BJ30">
        <v>2240.8738470730882</v>
      </c>
      <c r="BK30">
        <v>3228.9151454195994</v>
      </c>
      <c r="BL30">
        <v>-851.86373761518519</v>
      </c>
      <c r="BM30">
        <v>-197.16</v>
      </c>
      <c r="BN30">
        <v>2364.9611039433312</v>
      </c>
      <c r="BO30">
        <v>3082.5000000000005</v>
      </c>
      <c r="BP30">
        <v>6482.8577336382004</v>
      </c>
      <c r="BQ30">
        <v>4496.6380994909068</v>
      </c>
      <c r="BR30">
        <v>0</v>
      </c>
      <c r="BS30">
        <v>84.97899644133453</v>
      </c>
      <c r="BT30">
        <v>89.996893965312992</v>
      </c>
      <c r="BU30">
        <v>90.003106034687022</v>
      </c>
      <c r="BV30">
        <v>22.151754424360909</v>
      </c>
      <c r="BW30">
        <v>112.15175399085351</v>
      </c>
      <c r="BX30" s="69">
        <f>Таблица1[[#This Row],[Lкан_леб,мм]]</f>
        <v>3504984.3901732443</v>
      </c>
      <c r="BY30" s="65">
        <f>Таблица1[[#This Row],[Т1]]+Таблица1[[#This Row],[Lпрям1, мм]]</f>
        <v>3506870.689989611</v>
      </c>
      <c r="BZ30" s="65">
        <f>Таблица1[[#This Row],[Т2]]+Таблица1[[#This Row],[Lдуг 2,мм]]</f>
        <v>3507934.8596451217</v>
      </c>
      <c r="CA30" s="65">
        <f>Таблица1[[#This Row],[Т3]]+Таблица1[[#This Row],[Lпрям2, мм]]</f>
        <v>3511656.8596451217</v>
      </c>
      <c r="CB30" s="65">
        <f>Таблица1[[#This Row],[Т4]]+Таблица1[[#This Row],[Lдуг 3,мм]]</f>
        <v>3512783.8671135404</v>
      </c>
      <c r="CC30" s="65">
        <f>Таблица1[[#This Row],[Т5]]+Таблица1[[#This Row],[Lпрям3, мм]]</f>
        <v>3514628.5271162507</v>
      </c>
      <c r="CD30" s="65">
        <f>Таблица1[[#This Row],[Т6]]+Таблица1[[#This Row],[Lдуг 4,мм]]</f>
        <v>3515755.6123767826</v>
      </c>
      <c r="CE30" s="65">
        <f>Таблица1[[#This Row],[Т7]]+Таблица1[[#This Row],[Lпрям4, мм]]</f>
        <v>3516505.7123767827</v>
      </c>
      <c r="CF30" s="72">
        <f>Таблица1[[#This Row],[Т8]]+Таблица1[[#This Row],[Lдуг 5,мм]]</f>
        <v>3516783.1129800128</v>
      </c>
      <c r="CG30" s="65">
        <f>Таблица1[[#This Row],[Т9]]+Таблица1[[#This Row],[Lпрям5, мм]]</f>
        <v>3525660.7154464019</v>
      </c>
      <c r="CH30" s="65">
        <f>Таблица1[[#This Row],[Т10]]+Таблица1[[#This Row],[Lдуг 6,мм]]</f>
        <v>3527065.1624086788</v>
      </c>
      <c r="CI30" s="66">
        <f>Таблица1[[#This Row],[Т11]]+Таблица1[[#This Row],[Lпрям6, мм]]</f>
        <v>3528386.8418603805</v>
      </c>
      <c r="CJ30" s="64">
        <f>Таблица1[[#This Row],[Т12]]-Таблица1[[#This Row],[Т12]]</f>
        <v>0</v>
      </c>
      <c r="CK30" s="65">
        <f>Таблица1[[#This Row],[Т12]]-Таблица1[[#This Row],[Т11]]</f>
        <v>1321.679451701697</v>
      </c>
      <c r="CL30" s="65">
        <f>Таблица1[[#This Row],[Т12]]-Таблица1[[#This Row],[Т10]]</f>
        <v>2726.1264139786363</v>
      </c>
      <c r="CM30" s="65">
        <f>Таблица1[[#This Row],[Т12]]-Таблица1[[#This Row],[Т9]]</f>
        <v>11603.728880367707</v>
      </c>
      <c r="CN30" s="65">
        <f>Таблица1[[#This Row],[Т12]]-Таблица1[[#This Row],[Т8]]</f>
        <v>11881.129483597819</v>
      </c>
      <c r="CO30" s="65">
        <f>Таблица1[[#This Row],[Т12]]-Таблица1[[#This Row],[Т7]]</f>
        <v>12631.229483597912</v>
      </c>
      <c r="CP30" s="65">
        <f>Таблица1[[#This Row],[Т12]]-Таблица1[[#This Row],[Т6]]</f>
        <v>13758.314744129777</v>
      </c>
      <c r="CQ30" s="65">
        <f>Таблица1[[#This Row],[Т12]]-Таблица1[[#This Row],[Т5]]</f>
        <v>15602.974746840075</v>
      </c>
      <c r="CR30" s="65">
        <f>Таблица1[[#This Row],[Т12]]-Таблица1[[#This Row],[Т4]]</f>
        <v>16729.982215258759</v>
      </c>
      <c r="CS30" s="65">
        <f>Таблица1[[#This Row],[Т12]]-Таблица1[[#This Row],[Т3]]</f>
        <v>20451.982215258759</v>
      </c>
      <c r="CT30" s="65">
        <f>Таблица1[[#This Row],[Т12]]-Таблица1[[#This Row],[Т2]]</f>
        <v>21516.151870769449</v>
      </c>
      <c r="CU30" s="65">
        <f>Таблица1[[#This Row],[Т12]]-Таблица1[[#This Row],[Т1]]</f>
        <v>23402.451687136199</v>
      </c>
      <c r="CV30" s="65">
        <f>Таблица1[[#This Row],[Lкан_леб,мм]]+Таблица1[[#This Row],[Lкан_дуг, мм]]+Таблица1[[#This Row],[Lкан_прям, мм]]</f>
        <v>3528386.8418603814</v>
      </c>
      <c r="CW30" s="60">
        <f>3511128.4-(Таблица1[[#This Row],[Lкан_леб,мм]]+Таблица1[[#This Row],[∆Lлеб из за стрел]])</f>
        <v>6144.0098267556168</v>
      </c>
    </row>
    <row r="31" spans="1:101" x14ac:dyDescent="0.25">
      <c r="A31">
        <v>30</v>
      </c>
      <c r="B31">
        <v>64.791946308724818</v>
      </c>
      <c r="C31">
        <v>25.218053691275184</v>
      </c>
      <c r="D31">
        <v>2451.6115845665322</v>
      </c>
      <c r="E31">
        <v>5846.7950970057063</v>
      </c>
      <c r="F31">
        <v>3169.2447422596338</v>
      </c>
      <c r="G31">
        <v>5083.9203360000556</v>
      </c>
      <c r="H31">
        <v>3169.1110945665323</v>
      </c>
      <c r="I31">
        <v>4525.1156507326677</v>
      </c>
      <c r="J31">
        <v>1321.6794462730386</v>
      </c>
      <c r="K31">
        <v>18349.873818429045</v>
      </c>
      <c r="L31">
        <v>5008.0618238576099</v>
      </c>
      <c r="M31">
        <v>3505028.9062180943</v>
      </c>
      <c r="N31">
        <v>0</v>
      </c>
      <c r="O31">
        <v>8</v>
      </c>
      <c r="P31">
        <v>-3322.5</v>
      </c>
      <c r="Q31">
        <v>-2811.96</v>
      </c>
      <c r="R31">
        <v>-3280</v>
      </c>
      <c r="S31">
        <v>-914.66</v>
      </c>
      <c r="T31">
        <v>-7002</v>
      </c>
      <c r="U31">
        <v>520.34</v>
      </c>
      <c r="V31">
        <v>-7002.1</v>
      </c>
      <c r="W31">
        <v>2365</v>
      </c>
      <c r="X31">
        <v>-6252</v>
      </c>
      <c r="Y31">
        <v>3800</v>
      </c>
      <c r="Z31">
        <v>2451.6115845665322</v>
      </c>
      <c r="AA31">
        <v>5846.7950970057063</v>
      </c>
      <c r="AB31">
        <v>0</v>
      </c>
      <c r="AC31">
        <v>1064.1696555107644</v>
      </c>
      <c r="AD31">
        <v>1127.0074684186504</v>
      </c>
      <c r="AE31">
        <v>1127.0852605320265</v>
      </c>
      <c r="AF31">
        <v>281.37654017476495</v>
      </c>
      <c r="AG31">
        <v>1408.4228992214041</v>
      </c>
      <c r="AH31">
        <v>1886.2998163666878</v>
      </c>
      <c r="AI31">
        <v>3721.9999999999995</v>
      </c>
      <c r="AJ31">
        <v>1844.6600027105269</v>
      </c>
      <c r="AK31">
        <v>750.10000000000059</v>
      </c>
      <c r="AL31">
        <v>8825.1345476500992</v>
      </c>
      <c r="AM31">
        <v>1321.6794517017343</v>
      </c>
      <c r="AN31">
        <v>-95.021003558665456</v>
      </c>
      <c r="AO31">
        <v>-180</v>
      </c>
      <c r="AP31">
        <v>-90.003106034687008</v>
      </c>
      <c r="AQ31">
        <v>1.2722218725854067E-14</v>
      </c>
      <c r="AR31">
        <v>-22.469251855062403</v>
      </c>
      <c r="AS31">
        <v>89.999999566492619</v>
      </c>
      <c r="AT31">
        <v>-2400.1625746957502</v>
      </c>
      <c r="AU31">
        <v>-3280</v>
      </c>
      <c r="AV31">
        <v>-7719.4999989457119</v>
      </c>
      <c r="AW31">
        <v>-7002.1</v>
      </c>
      <c r="AX31">
        <v>-5977.7804174860312</v>
      </c>
      <c r="AY31">
        <v>3169.1115845665322</v>
      </c>
      <c r="AZ31">
        <v>-2730.9252207921031</v>
      </c>
      <c r="BA31">
        <v>-197.16</v>
      </c>
      <c r="BB31">
        <v>520.3011039433311</v>
      </c>
      <c r="BC31">
        <v>3082.5000000000005</v>
      </c>
      <c r="BD31">
        <v>3136.9691782685632</v>
      </c>
      <c r="BE31">
        <v>5846.7951024344056</v>
      </c>
      <c r="BF31">
        <v>-2565.2532760267472</v>
      </c>
      <c r="BG31">
        <v>-7002</v>
      </c>
      <c r="BH31">
        <v>-7719.5999989457123</v>
      </c>
      <c r="BI31">
        <v>-6252</v>
      </c>
      <c r="BJ31">
        <v>2177.3920020525643</v>
      </c>
      <c r="BK31">
        <v>3169.1115945665324</v>
      </c>
      <c r="BL31">
        <v>-851.86373761518519</v>
      </c>
      <c r="BM31">
        <v>-197.16</v>
      </c>
      <c r="BN31">
        <v>2364.9611039433312</v>
      </c>
      <c r="BO31">
        <v>3082.5000000000005</v>
      </c>
      <c r="BP31">
        <v>6509.8259187371441</v>
      </c>
      <c r="BQ31">
        <v>4525.1156507326714</v>
      </c>
      <c r="BR31">
        <v>0</v>
      </c>
      <c r="BS31">
        <v>84.97899644133453</v>
      </c>
      <c r="BT31">
        <v>89.996893965312992</v>
      </c>
      <c r="BU31">
        <v>90.003106034687022</v>
      </c>
      <c r="BV31">
        <v>22.469251855062414</v>
      </c>
      <c r="BW31">
        <v>112.46925142155501</v>
      </c>
      <c r="BX31" s="69">
        <f>Таблица1[[#This Row],[Lкан_леб,мм]]</f>
        <v>3505028.9062180943</v>
      </c>
      <c r="BY31" s="65">
        <f>Таблица1[[#This Row],[Т1]]+Таблица1[[#This Row],[Lпрям1, мм]]</f>
        <v>3506915.206034461</v>
      </c>
      <c r="BZ31" s="65">
        <f>Таблица1[[#This Row],[Т2]]+Таблица1[[#This Row],[Lдуг 2,мм]]</f>
        <v>3507979.3756899717</v>
      </c>
      <c r="CA31" s="65">
        <f>Таблица1[[#This Row],[Т3]]+Таблица1[[#This Row],[Lпрям2, мм]]</f>
        <v>3511701.3756899717</v>
      </c>
      <c r="CB31" s="65">
        <f>Таблица1[[#This Row],[Т4]]+Таблица1[[#This Row],[Lдуг 3,мм]]</f>
        <v>3512828.3831583904</v>
      </c>
      <c r="CC31" s="65">
        <f>Таблица1[[#This Row],[Т5]]+Таблица1[[#This Row],[Lпрям3, мм]]</f>
        <v>3514673.0431611007</v>
      </c>
      <c r="CD31" s="65">
        <f>Таблица1[[#This Row],[Т6]]+Таблица1[[#This Row],[Lдуг 4,мм]]</f>
        <v>3515800.1284216326</v>
      </c>
      <c r="CE31" s="65">
        <f>Таблица1[[#This Row],[Т7]]+Таблица1[[#This Row],[Lпрям4, мм]]</f>
        <v>3516550.2284216327</v>
      </c>
      <c r="CF31" s="72">
        <f>Таблица1[[#This Row],[Т8]]+Таблица1[[#This Row],[Lдуг 5,мм]]</f>
        <v>3516831.6049618074</v>
      </c>
      <c r="CG31" s="65">
        <f>Таблица1[[#This Row],[Т9]]+Таблица1[[#This Row],[Lпрям5, мм]]</f>
        <v>3525656.7395094573</v>
      </c>
      <c r="CH31" s="65">
        <f>Таблица1[[#This Row],[Т10]]+Таблица1[[#This Row],[Lдуг 6,мм]]</f>
        <v>3527065.1624086788</v>
      </c>
      <c r="CI31" s="66">
        <f>Таблица1[[#This Row],[Т11]]+Таблица1[[#This Row],[Lпрям6, мм]]</f>
        <v>3528386.8418603805</v>
      </c>
      <c r="CJ31" s="64">
        <f>Таблица1[[#This Row],[Т12]]-Таблица1[[#This Row],[Т12]]</f>
        <v>0</v>
      </c>
      <c r="CK31" s="65">
        <f>Таблица1[[#This Row],[Т12]]-Таблица1[[#This Row],[Т11]]</f>
        <v>1321.679451701697</v>
      </c>
      <c r="CL31" s="65">
        <f>Таблица1[[#This Row],[Т12]]-Таблица1[[#This Row],[Т10]]</f>
        <v>2730.1023509232327</v>
      </c>
      <c r="CM31" s="65">
        <f>Таблица1[[#This Row],[Т12]]-Таблица1[[#This Row],[Т9]]</f>
        <v>11555.236898573115</v>
      </c>
      <c r="CN31" s="65">
        <f>Таблица1[[#This Row],[Т12]]-Таблица1[[#This Row],[Т8]]</f>
        <v>11836.613438747823</v>
      </c>
      <c r="CO31" s="65">
        <f>Таблица1[[#This Row],[Т12]]-Таблица1[[#This Row],[Т7]]</f>
        <v>12586.713438747916</v>
      </c>
      <c r="CP31" s="65">
        <f>Таблица1[[#This Row],[Т12]]-Таблица1[[#This Row],[Т6]]</f>
        <v>13713.798699279781</v>
      </c>
      <c r="CQ31" s="65">
        <f>Таблица1[[#This Row],[Т12]]-Таблица1[[#This Row],[Т5]]</f>
        <v>15558.458701990079</v>
      </c>
      <c r="CR31" s="65">
        <f>Таблица1[[#This Row],[Т12]]-Таблица1[[#This Row],[Т4]]</f>
        <v>16685.466170408763</v>
      </c>
      <c r="CS31" s="65">
        <f>Таблица1[[#This Row],[Т12]]-Таблица1[[#This Row],[Т3]]</f>
        <v>20407.466170408763</v>
      </c>
      <c r="CT31" s="65">
        <f>Таблица1[[#This Row],[Т12]]-Таблица1[[#This Row],[Т2]]</f>
        <v>21471.635825919453</v>
      </c>
      <c r="CU31" s="65">
        <f>Таблица1[[#This Row],[Т12]]-Таблица1[[#This Row],[Т1]]</f>
        <v>23357.935642286204</v>
      </c>
      <c r="CV31" s="65">
        <f>Таблица1[[#This Row],[Lкан_леб,мм]]+Таблица1[[#This Row],[Lкан_дуг, мм]]+Таблица1[[#This Row],[Lкан_прям, мм]]</f>
        <v>3528386.841860381</v>
      </c>
      <c r="CW31" s="60">
        <f>3511128.4-(Таблица1[[#This Row],[Lкан_леб,мм]]+Таблица1[[#This Row],[∆Lлеб из за стрел]])</f>
        <v>6099.4937819056213</v>
      </c>
    </row>
    <row r="32" spans="1:101" x14ac:dyDescent="0.25">
      <c r="A32">
        <v>31</v>
      </c>
      <c r="B32">
        <v>65.302013422818774</v>
      </c>
      <c r="C32">
        <v>24.707986577181227</v>
      </c>
      <c r="D32">
        <v>2391.5568896734212</v>
      </c>
      <c r="E32">
        <v>5874.7391346640661</v>
      </c>
      <c r="F32">
        <v>3109.1900473665223</v>
      </c>
      <c r="G32">
        <v>5111.8643736584163</v>
      </c>
      <c r="H32">
        <v>3109.0563996734213</v>
      </c>
      <c r="I32">
        <v>4553.0596883913067</v>
      </c>
      <c r="J32">
        <v>1321.6794462727596</v>
      </c>
      <c r="K32">
        <v>18297.218577219213</v>
      </c>
      <c r="L32">
        <v>5016.0368125431469</v>
      </c>
      <c r="M32">
        <v>3505073.5864706188</v>
      </c>
      <c r="N32">
        <v>0</v>
      </c>
      <c r="O32">
        <v>8</v>
      </c>
      <c r="P32">
        <v>-3322.5</v>
      </c>
      <c r="Q32">
        <v>-2811.96</v>
      </c>
      <c r="R32">
        <v>-3280</v>
      </c>
      <c r="S32">
        <v>-914.66</v>
      </c>
      <c r="T32">
        <v>-7002</v>
      </c>
      <c r="U32">
        <v>520.34</v>
      </c>
      <c r="V32">
        <v>-7002.1</v>
      </c>
      <c r="W32">
        <v>2365</v>
      </c>
      <c r="X32">
        <v>-6252</v>
      </c>
      <c r="Y32">
        <v>3800</v>
      </c>
      <c r="Z32">
        <v>2391.5568896734212</v>
      </c>
      <c r="AA32">
        <v>5874.7391346640661</v>
      </c>
      <c r="AB32">
        <v>0</v>
      </c>
      <c r="AC32">
        <v>1064.1696555107644</v>
      </c>
      <c r="AD32">
        <v>1127.0074684186504</v>
      </c>
      <c r="AE32">
        <v>1127.0852605320265</v>
      </c>
      <c r="AF32">
        <v>285.36403451753347</v>
      </c>
      <c r="AG32">
        <v>1412.4103935641726</v>
      </c>
      <c r="AH32">
        <v>1886.2998163666878</v>
      </c>
      <c r="AI32">
        <v>3721.9999999999995</v>
      </c>
      <c r="AJ32">
        <v>1844.6600027105269</v>
      </c>
      <c r="AK32">
        <v>750.10000000000059</v>
      </c>
      <c r="AL32">
        <v>8772.4793064405385</v>
      </c>
      <c r="AM32">
        <v>1321.6794517014553</v>
      </c>
      <c r="AN32">
        <v>-95.021003558665456</v>
      </c>
      <c r="AO32">
        <v>-180</v>
      </c>
      <c r="AP32">
        <v>-90.003106034687008</v>
      </c>
      <c r="AQ32">
        <v>1.2722218725854067E-14</v>
      </c>
      <c r="AR32">
        <v>-22.787672198857418</v>
      </c>
      <c r="AS32">
        <v>89.999999566492633</v>
      </c>
      <c r="AT32">
        <v>-2400.1625746957502</v>
      </c>
      <c r="AU32">
        <v>-3280</v>
      </c>
      <c r="AV32">
        <v>-7719.4999989457119</v>
      </c>
      <c r="AW32">
        <v>-7002.1</v>
      </c>
      <c r="AX32">
        <v>-5974.0998883755801</v>
      </c>
      <c r="AY32">
        <v>3109.0568896734208</v>
      </c>
      <c r="AZ32">
        <v>-2730.9252207921031</v>
      </c>
      <c r="BA32">
        <v>-197.16</v>
      </c>
      <c r="BB32">
        <v>520.3011039433311</v>
      </c>
      <c r="BC32">
        <v>3082.5000000000005</v>
      </c>
      <c r="BD32">
        <v>3138.5033802360481</v>
      </c>
      <c r="BE32">
        <v>5874.7391400927654</v>
      </c>
      <c r="BF32">
        <v>-2565.2532760267472</v>
      </c>
      <c r="BG32">
        <v>-7002</v>
      </c>
      <c r="BH32">
        <v>-7719.5999989457123</v>
      </c>
      <c r="BI32">
        <v>-6252</v>
      </c>
      <c r="BJ32">
        <v>2113.6567780490013</v>
      </c>
      <c r="BK32">
        <v>3109.0568996734214</v>
      </c>
      <c r="BL32">
        <v>-851.86373761518519</v>
      </c>
      <c r="BM32">
        <v>-197.16</v>
      </c>
      <c r="BN32">
        <v>2364.9611039433312</v>
      </c>
      <c r="BO32">
        <v>3082.5000000000005</v>
      </c>
      <c r="BP32">
        <v>6536.2357544280194</v>
      </c>
      <c r="BQ32">
        <v>4553.0596883913104</v>
      </c>
      <c r="BR32">
        <v>0</v>
      </c>
      <c r="BS32">
        <v>84.97899644133453</v>
      </c>
      <c r="BT32">
        <v>89.996893965312992</v>
      </c>
      <c r="BU32">
        <v>90.003106034687022</v>
      </c>
      <c r="BV32">
        <v>22.787672198857432</v>
      </c>
      <c r="BW32">
        <v>112.78767176535005</v>
      </c>
      <c r="BX32" s="69">
        <f>Таблица1[[#This Row],[Lкан_леб,мм]]</f>
        <v>3505073.5864706188</v>
      </c>
      <c r="BY32" s="65">
        <f>Таблица1[[#This Row],[Т1]]+Таблица1[[#This Row],[Lпрям1, мм]]</f>
        <v>3506959.8862869856</v>
      </c>
      <c r="BZ32" s="65">
        <f>Таблица1[[#This Row],[Т2]]+Таблица1[[#This Row],[Lдуг 2,мм]]</f>
        <v>3508024.0559424963</v>
      </c>
      <c r="CA32" s="65">
        <f>Таблица1[[#This Row],[Т3]]+Таблица1[[#This Row],[Lпрям2, мм]]</f>
        <v>3511746.0559424963</v>
      </c>
      <c r="CB32" s="65">
        <f>Таблица1[[#This Row],[Т4]]+Таблица1[[#This Row],[Lдуг 3,мм]]</f>
        <v>3512873.063410915</v>
      </c>
      <c r="CC32" s="65">
        <f>Таблица1[[#This Row],[Т5]]+Таблица1[[#This Row],[Lпрям3, мм]]</f>
        <v>3514717.7234136253</v>
      </c>
      <c r="CD32" s="65">
        <f>Таблица1[[#This Row],[Т6]]+Таблица1[[#This Row],[Lдуг 4,мм]]</f>
        <v>3515844.8086741571</v>
      </c>
      <c r="CE32" s="65">
        <f>Таблица1[[#This Row],[Т7]]+Таблица1[[#This Row],[Lпрям4, мм]]</f>
        <v>3516594.9086741572</v>
      </c>
      <c r="CF32" s="72">
        <f>Таблица1[[#This Row],[Т8]]+Таблица1[[#This Row],[Lдуг 5,мм]]</f>
        <v>3516880.2727086749</v>
      </c>
      <c r="CG32" s="65">
        <f>Таблица1[[#This Row],[Т9]]+Таблица1[[#This Row],[Lпрям5, мм]]</f>
        <v>3525652.7520151152</v>
      </c>
      <c r="CH32" s="65">
        <f>Таблица1[[#This Row],[Т10]]+Таблица1[[#This Row],[Lдуг 6,мм]]</f>
        <v>3527065.1624086793</v>
      </c>
      <c r="CI32" s="66">
        <f>Таблица1[[#This Row],[Т11]]+Таблица1[[#This Row],[Lпрям6, мм]]</f>
        <v>3528386.8418603805</v>
      </c>
      <c r="CJ32" s="64">
        <f>Таблица1[[#This Row],[Т12]]-Таблица1[[#This Row],[Т12]]</f>
        <v>0</v>
      </c>
      <c r="CK32" s="65">
        <f>Таблица1[[#This Row],[Т12]]-Таблица1[[#This Row],[Т11]]</f>
        <v>1321.6794517012313</v>
      </c>
      <c r="CL32" s="65">
        <f>Таблица1[[#This Row],[Т12]]-Таблица1[[#This Row],[Т10]]</f>
        <v>2734.0898452652618</v>
      </c>
      <c r="CM32" s="65">
        <f>Таблица1[[#This Row],[Т12]]-Таблица1[[#This Row],[Т9]]</f>
        <v>11506.569151705597</v>
      </c>
      <c r="CN32" s="65">
        <f>Таблица1[[#This Row],[Т12]]-Таблица1[[#This Row],[Т8]]</f>
        <v>11791.933186223265</v>
      </c>
      <c r="CO32" s="65">
        <f>Таблица1[[#This Row],[Т12]]-Таблица1[[#This Row],[Т7]]</f>
        <v>12542.033186223358</v>
      </c>
      <c r="CP32" s="65">
        <f>Таблица1[[#This Row],[Т12]]-Таблица1[[#This Row],[Т6]]</f>
        <v>13669.118446755223</v>
      </c>
      <c r="CQ32" s="65">
        <f>Таблица1[[#This Row],[Т12]]-Таблица1[[#This Row],[Т5]]</f>
        <v>15513.778449465521</v>
      </c>
      <c r="CR32" s="65">
        <f>Таблица1[[#This Row],[Т12]]-Таблица1[[#This Row],[Т4]]</f>
        <v>16640.785917884205</v>
      </c>
      <c r="CS32" s="65">
        <f>Таблица1[[#This Row],[Т12]]-Таблица1[[#This Row],[Т3]]</f>
        <v>20362.785917884205</v>
      </c>
      <c r="CT32" s="65">
        <f>Таблица1[[#This Row],[Т12]]-Таблица1[[#This Row],[Т2]]</f>
        <v>21426.955573394895</v>
      </c>
      <c r="CU32" s="65">
        <f>Таблица1[[#This Row],[Т12]]-Таблица1[[#This Row],[Т1]]</f>
        <v>23313.255389761645</v>
      </c>
      <c r="CV32" s="65">
        <f>Таблица1[[#This Row],[Lкан_леб,мм]]+Таблица1[[#This Row],[Lкан_дуг, мм]]+Таблица1[[#This Row],[Lкан_прям, мм]]</f>
        <v>3528386.841860381</v>
      </c>
      <c r="CW32" s="60">
        <f>3511128.4-(Таблица1[[#This Row],[Lкан_леб,мм]]+Таблица1[[#This Row],[∆Lлеб из за стрел]])</f>
        <v>6054.8135293810628</v>
      </c>
    </row>
    <row r="33" spans="1:101" x14ac:dyDescent="0.25">
      <c r="A33">
        <v>32</v>
      </c>
      <c r="B33">
        <v>65.812080536912731</v>
      </c>
      <c r="C33">
        <v>24.19791946308727</v>
      </c>
      <c r="D33">
        <v>2331.2558101542209</v>
      </c>
      <c r="E33">
        <v>5902.1474441372102</v>
      </c>
      <c r="F33">
        <v>3048.888967847322</v>
      </c>
      <c r="G33">
        <v>5139.2726831315586</v>
      </c>
      <c r="H33">
        <v>3048.755320154221</v>
      </c>
      <c r="I33">
        <v>4580.467997864399</v>
      </c>
      <c r="J33">
        <v>1321.6794462728112</v>
      </c>
      <c r="K33">
        <v>18244.376830874826</v>
      </c>
      <c r="L33">
        <v>5024.0353943294504</v>
      </c>
      <c r="M33">
        <v>3505118.4296351764</v>
      </c>
      <c r="N33">
        <v>0</v>
      </c>
      <c r="O33">
        <v>8</v>
      </c>
      <c r="P33">
        <v>-3322.5</v>
      </c>
      <c r="Q33">
        <v>-2811.96</v>
      </c>
      <c r="R33">
        <v>-3280</v>
      </c>
      <c r="S33">
        <v>-914.66</v>
      </c>
      <c r="T33">
        <v>-7002</v>
      </c>
      <c r="U33">
        <v>520.34</v>
      </c>
      <c r="V33">
        <v>-7002.1</v>
      </c>
      <c r="W33">
        <v>2365</v>
      </c>
      <c r="X33">
        <v>-6252</v>
      </c>
      <c r="Y33">
        <v>3800</v>
      </c>
      <c r="Z33">
        <v>2331.2558101542209</v>
      </c>
      <c r="AA33">
        <v>5902.1474441372102</v>
      </c>
      <c r="AB33">
        <v>0</v>
      </c>
      <c r="AC33">
        <v>1064.1696555107644</v>
      </c>
      <c r="AD33">
        <v>1127.0074684186504</v>
      </c>
      <c r="AE33">
        <v>1127.0852605320265</v>
      </c>
      <c r="AF33">
        <v>289.36332541068549</v>
      </c>
      <c r="AG33">
        <v>1416.4096844573244</v>
      </c>
      <c r="AH33">
        <v>1886.2998163666878</v>
      </c>
      <c r="AI33">
        <v>3721.9999999999995</v>
      </c>
      <c r="AJ33">
        <v>1844.6600027105269</v>
      </c>
      <c r="AK33">
        <v>750.10000000000059</v>
      </c>
      <c r="AL33">
        <v>8719.6375600961073</v>
      </c>
      <c r="AM33">
        <v>1321.6794517015069</v>
      </c>
      <c r="AN33">
        <v>-95.021003558665456</v>
      </c>
      <c r="AO33">
        <v>-180</v>
      </c>
      <c r="AP33">
        <v>-90.003106034687008</v>
      </c>
      <c r="AQ33">
        <v>1.2722218725854067E-14</v>
      </c>
      <c r="AR33">
        <v>-23.107034553174795</v>
      </c>
      <c r="AS33">
        <v>89.999999566492605</v>
      </c>
      <c r="AT33">
        <v>-2400.1625746957502</v>
      </c>
      <c r="AU33">
        <v>-3280</v>
      </c>
      <c r="AV33">
        <v>-7719.4999989457119</v>
      </c>
      <c r="AW33">
        <v>-7002.1</v>
      </c>
      <c r="AX33">
        <v>-5970.4170921704026</v>
      </c>
      <c r="AY33">
        <v>3048.7558101542209</v>
      </c>
      <c r="AZ33">
        <v>-2730.9252207921031</v>
      </c>
      <c r="BA33">
        <v>-197.16</v>
      </c>
      <c r="BB33">
        <v>520.3011039433311</v>
      </c>
      <c r="BC33">
        <v>3082.5000000000005</v>
      </c>
      <c r="BD33">
        <v>3140.0626423529056</v>
      </c>
      <c r="BE33">
        <v>5902.1474495659095</v>
      </c>
      <c r="BF33">
        <v>-2565.2532760267472</v>
      </c>
      <c r="BG33">
        <v>-7002</v>
      </c>
      <c r="BH33">
        <v>-7719.5999989457123</v>
      </c>
      <c r="BI33">
        <v>-6252</v>
      </c>
      <c r="BJ33">
        <v>2049.6729023246239</v>
      </c>
      <c r="BK33">
        <v>3048.7558201542206</v>
      </c>
      <c r="BL33">
        <v>-851.86373761518519</v>
      </c>
      <c r="BM33">
        <v>-197.16</v>
      </c>
      <c r="BN33">
        <v>2364.9611039433312</v>
      </c>
      <c r="BO33">
        <v>3082.5000000000005</v>
      </c>
      <c r="BP33">
        <v>6562.0848017843045</v>
      </c>
      <c r="BQ33">
        <v>4580.4679978644026</v>
      </c>
      <c r="BR33">
        <v>0</v>
      </c>
      <c r="BS33">
        <v>84.97899644133453</v>
      </c>
      <c r="BT33">
        <v>89.996893965312992</v>
      </c>
      <c r="BU33">
        <v>90.003106034687022</v>
      </c>
      <c r="BV33">
        <v>23.107034553174806</v>
      </c>
      <c r="BW33">
        <v>113.1070341196674</v>
      </c>
      <c r="BX33" s="69">
        <f>Таблица1[[#This Row],[Lкан_леб,мм]]</f>
        <v>3505118.4296351764</v>
      </c>
      <c r="BY33" s="65">
        <f>Таблица1[[#This Row],[Т1]]+Таблица1[[#This Row],[Lпрям1, мм]]</f>
        <v>3507004.7294515432</v>
      </c>
      <c r="BZ33" s="65">
        <f>Таблица1[[#This Row],[Т2]]+Таблица1[[#This Row],[Lдуг 2,мм]]</f>
        <v>3508068.8991070539</v>
      </c>
      <c r="CA33" s="65">
        <f>Таблица1[[#This Row],[Т3]]+Таблица1[[#This Row],[Lпрям2, мм]]</f>
        <v>3511790.8991070539</v>
      </c>
      <c r="CB33" s="65">
        <f>Таблица1[[#This Row],[Т4]]+Таблица1[[#This Row],[Lдуг 3,мм]]</f>
        <v>3512917.9065754726</v>
      </c>
      <c r="CC33" s="65">
        <f>Таблица1[[#This Row],[Т5]]+Таблица1[[#This Row],[Lпрям3, мм]]</f>
        <v>3514762.5665781829</v>
      </c>
      <c r="CD33" s="65">
        <f>Таблица1[[#This Row],[Т6]]+Таблица1[[#This Row],[Lдуг 4,мм]]</f>
        <v>3515889.6518387147</v>
      </c>
      <c r="CE33" s="65">
        <f>Таблица1[[#This Row],[Т7]]+Таблица1[[#This Row],[Lпрям4, мм]]</f>
        <v>3516639.7518387148</v>
      </c>
      <c r="CF33" s="72">
        <f>Таблица1[[#This Row],[Т8]]+Таблица1[[#This Row],[Lдуг 5,мм]]</f>
        <v>3516929.1151641253</v>
      </c>
      <c r="CG33" s="65">
        <f>Таблица1[[#This Row],[Т9]]+Таблица1[[#This Row],[Lпрям5, мм]]</f>
        <v>3525648.7527242214</v>
      </c>
      <c r="CH33" s="65">
        <f>Таблица1[[#This Row],[Т10]]+Таблица1[[#This Row],[Lдуг 6,мм]]</f>
        <v>3527065.1624086788</v>
      </c>
      <c r="CI33" s="66">
        <f>Таблица1[[#This Row],[Т11]]+Таблица1[[#This Row],[Lпрям6, мм]]</f>
        <v>3528386.8418603805</v>
      </c>
      <c r="CJ33" s="64">
        <f>Таблица1[[#This Row],[Т12]]-Таблица1[[#This Row],[Т12]]</f>
        <v>0</v>
      </c>
      <c r="CK33" s="65">
        <f>Таблица1[[#This Row],[Т12]]-Таблица1[[#This Row],[Т11]]</f>
        <v>1321.679451701697</v>
      </c>
      <c r="CL33" s="65">
        <f>Таблица1[[#This Row],[Т12]]-Таблица1[[#This Row],[Т10]]</f>
        <v>2738.0891361590475</v>
      </c>
      <c r="CM33" s="65">
        <f>Таблица1[[#This Row],[Т12]]-Таблица1[[#This Row],[Т9]]</f>
        <v>11457.726696255151</v>
      </c>
      <c r="CN33" s="65">
        <f>Таблица1[[#This Row],[Т12]]-Таблица1[[#This Row],[Т8]]</f>
        <v>11747.090021665674</v>
      </c>
      <c r="CO33" s="65">
        <f>Таблица1[[#This Row],[Т12]]-Таблица1[[#This Row],[Т7]]</f>
        <v>12497.190021665767</v>
      </c>
      <c r="CP33" s="65">
        <f>Таблица1[[#This Row],[Т12]]-Таблица1[[#This Row],[Т6]]</f>
        <v>13624.275282197632</v>
      </c>
      <c r="CQ33" s="65">
        <f>Таблица1[[#This Row],[Т12]]-Таблица1[[#This Row],[Т5]]</f>
        <v>15468.93528490793</v>
      </c>
      <c r="CR33" s="65">
        <f>Таблица1[[#This Row],[Т12]]-Таблица1[[#This Row],[Т4]]</f>
        <v>16595.942753326613</v>
      </c>
      <c r="CS33" s="65">
        <f>Таблица1[[#This Row],[Т12]]-Таблица1[[#This Row],[Т3]]</f>
        <v>20317.942753326613</v>
      </c>
      <c r="CT33" s="65">
        <f>Таблица1[[#This Row],[Т12]]-Таблица1[[#This Row],[Т2]]</f>
        <v>21382.112408837304</v>
      </c>
      <c r="CU33" s="65">
        <f>Таблица1[[#This Row],[Т12]]-Таблица1[[#This Row],[Т1]]</f>
        <v>23268.412225204054</v>
      </c>
      <c r="CV33" s="65">
        <f>Таблица1[[#This Row],[Lкан_леб,мм]]+Таблица1[[#This Row],[Lкан_дуг, мм]]+Таблица1[[#This Row],[Lкан_прям, мм]]</f>
        <v>3528386.841860381</v>
      </c>
      <c r="CW33" s="60">
        <f>3511128.4-(Таблица1[[#This Row],[Lкан_леб,мм]]+Таблица1[[#This Row],[∆Lлеб из за стрел]])</f>
        <v>6009.9703648234718</v>
      </c>
    </row>
    <row r="34" spans="1:101" x14ac:dyDescent="0.25">
      <c r="A34">
        <v>33</v>
      </c>
      <c r="B34">
        <v>66.322147651006688</v>
      </c>
      <c r="C34">
        <v>23.687852348993317</v>
      </c>
      <c r="D34">
        <v>2270.7131249491931</v>
      </c>
      <c r="E34">
        <v>5929.0178532803775</v>
      </c>
      <c r="F34">
        <v>2988.3462826422942</v>
      </c>
      <c r="G34">
        <v>5166.1430922747277</v>
      </c>
      <c r="H34">
        <v>2988.2126349491932</v>
      </c>
      <c r="I34">
        <v>4607.338407007449</v>
      </c>
      <c r="J34">
        <v>1321.6794462729283</v>
      </c>
      <c r="K34">
        <v>18191.349394106634</v>
      </c>
      <c r="L34">
        <v>5032.0580610951038</v>
      </c>
      <c r="M34">
        <v>3505163.4344051792</v>
      </c>
      <c r="N34">
        <v>0</v>
      </c>
      <c r="O34">
        <v>8</v>
      </c>
      <c r="P34">
        <v>-3322.5</v>
      </c>
      <c r="Q34">
        <v>-2811.96</v>
      </c>
      <c r="R34">
        <v>-3280</v>
      </c>
      <c r="S34">
        <v>-914.66</v>
      </c>
      <c r="T34">
        <v>-7002</v>
      </c>
      <c r="U34">
        <v>520.34</v>
      </c>
      <c r="V34">
        <v>-7002.1</v>
      </c>
      <c r="W34">
        <v>2365</v>
      </c>
      <c r="X34">
        <v>-6252</v>
      </c>
      <c r="Y34">
        <v>3800</v>
      </c>
      <c r="Z34">
        <v>2270.7131249491931</v>
      </c>
      <c r="AA34">
        <v>5929.0178532803775</v>
      </c>
      <c r="AB34">
        <v>0</v>
      </c>
      <c r="AC34">
        <v>1064.1696555107644</v>
      </c>
      <c r="AD34">
        <v>1127.0074684186504</v>
      </c>
      <c r="AE34">
        <v>1127.0852605320265</v>
      </c>
      <c r="AF34">
        <v>293.3746587935118</v>
      </c>
      <c r="AG34">
        <v>1420.4210178401513</v>
      </c>
      <c r="AH34">
        <v>1886.2998163666878</v>
      </c>
      <c r="AI34">
        <v>3721.9999999999995</v>
      </c>
      <c r="AJ34">
        <v>1844.6600027105269</v>
      </c>
      <c r="AK34">
        <v>750.10000000000059</v>
      </c>
      <c r="AL34">
        <v>8666.610123327795</v>
      </c>
      <c r="AM34">
        <v>1321.6794517016242</v>
      </c>
      <c r="AN34">
        <v>-95.021003558665456</v>
      </c>
      <c r="AO34">
        <v>-180</v>
      </c>
      <c r="AP34">
        <v>-90.003106034687008</v>
      </c>
      <c r="AQ34">
        <v>1.2722218725854067E-14</v>
      </c>
      <c r="AR34">
        <v>-23.42735855743387</v>
      </c>
      <c r="AS34">
        <v>89.999999566492619</v>
      </c>
      <c r="AT34">
        <v>-2400.1625746957502</v>
      </c>
      <c r="AU34">
        <v>-3280</v>
      </c>
      <c r="AV34">
        <v>-7719.4999989457119</v>
      </c>
      <c r="AW34">
        <v>-7002.1</v>
      </c>
      <c r="AX34">
        <v>-5966.731994533433</v>
      </c>
      <c r="AY34">
        <v>2988.2131249491931</v>
      </c>
      <c r="AZ34">
        <v>-2730.9252207921031</v>
      </c>
      <c r="BA34">
        <v>-197.16</v>
      </c>
      <c r="BB34">
        <v>520.3011039433311</v>
      </c>
      <c r="BC34">
        <v>3082.5000000000005</v>
      </c>
      <c r="BD34">
        <v>3141.6471956032037</v>
      </c>
      <c r="BE34">
        <v>5929.0178587090768</v>
      </c>
      <c r="BF34">
        <v>-2565.2532760267472</v>
      </c>
      <c r="BG34">
        <v>-7002</v>
      </c>
      <c r="BH34">
        <v>-7719.5999989457123</v>
      </c>
      <c r="BI34">
        <v>-6252</v>
      </c>
      <c r="BJ34">
        <v>1985.4451194826263</v>
      </c>
      <c r="BK34">
        <v>2988.2131349491933</v>
      </c>
      <c r="BL34">
        <v>-851.86373761518519</v>
      </c>
      <c r="BM34">
        <v>-197.16</v>
      </c>
      <c r="BN34">
        <v>2364.9611039433312</v>
      </c>
      <c r="BO34">
        <v>3082.5000000000005</v>
      </c>
      <c r="BP34">
        <v>6587.3706576771747</v>
      </c>
      <c r="BQ34">
        <v>4607.3384070074526</v>
      </c>
      <c r="BR34">
        <v>0</v>
      </c>
      <c r="BS34">
        <v>84.97899644133453</v>
      </c>
      <c r="BT34">
        <v>89.996893965312992</v>
      </c>
      <c r="BU34">
        <v>90.003106034687022</v>
      </c>
      <c r="BV34">
        <v>23.427358557433884</v>
      </c>
      <c r="BW34">
        <v>113.4273581239265</v>
      </c>
      <c r="BX34" s="69">
        <f>Таблица1[[#This Row],[Lкан_леб,мм]]</f>
        <v>3505163.4344051792</v>
      </c>
      <c r="BY34" s="65">
        <f>Таблица1[[#This Row],[Т1]]+Таблица1[[#This Row],[Lпрям1, мм]]</f>
        <v>3507049.734221546</v>
      </c>
      <c r="BZ34" s="65">
        <f>Таблица1[[#This Row],[Т2]]+Таблица1[[#This Row],[Lдуг 2,мм]]</f>
        <v>3508113.9038770567</v>
      </c>
      <c r="CA34" s="65">
        <f>Таблица1[[#This Row],[Т3]]+Таблица1[[#This Row],[Lпрям2, мм]]</f>
        <v>3511835.9038770567</v>
      </c>
      <c r="CB34" s="65">
        <f>Таблица1[[#This Row],[Т4]]+Таблица1[[#This Row],[Lдуг 3,мм]]</f>
        <v>3512962.9113454754</v>
      </c>
      <c r="CC34" s="65">
        <f>Таблица1[[#This Row],[Т5]]+Таблица1[[#This Row],[Lпрям3, мм]]</f>
        <v>3514807.5713481857</v>
      </c>
      <c r="CD34" s="65">
        <f>Таблица1[[#This Row],[Т6]]+Таблица1[[#This Row],[Lдуг 4,мм]]</f>
        <v>3515934.6566087175</v>
      </c>
      <c r="CE34" s="65">
        <f>Таблица1[[#This Row],[Т7]]+Таблица1[[#This Row],[Lпрям4, мм]]</f>
        <v>3516684.7566087176</v>
      </c>
      <c r="CF34" s="72">
        <f>Таблица1[[#This Row],[Т8]]+Таблица1[[#This Row],[Lдуг 5,мм]]</f>
        <v>3516978.1312675113</v>
      </c>
      <c r="CG34" s="65">
        <f>Таблица1[[#This Row],[Т9]]+Таблица1[[#This Row],[Lпрям5, мм]]</f>
        <v>3525644.7413908392</v>
      </c>
      <c r="CH34" s="65">
        <f>Таблица1[[#This Row],[Т10]]+Таблица1[[#This Row],[Lдуг 6,мм]]</f>
        <v>3527065.1624086793</v>
      </c>
      <c r="CI34" s="66">
        <f>Таблица1[[#This Row],[Т11]]+Таблица1[[#This Row],[Lпрям6, мм]]</f>
        <v>3528386.841860381</v>
      </c>
      <c r="CJ34" s="64">
        <f>Таблица1[[#This Row],[Т12]]-Таблица1[[#This Row],[Т12]]</f>
        <v>0</v>
      </c>
      <c r="CK34" s="65">
        <f>Таблица1[[#This Row],[Т12]]-Таблица1[[#This Row],[Т11]]</f>
        <v>1321.679451701697</v>
      </c>
      <c r="CL34" s="65">
        <f>Таблица1[[#This Row],[Т12]]-Таблица1[[#This Row],[Т10]]</f>
        <v>2742.1004695417359</v>
      </c>
      <c r="CM34" s="65">
        <f>Таблица1[[#This Row],[Т12]]-Таблица1[[#This Row],[Т9]]</f>
        <v>11408.710592869669</v>
      </c>
      <c r="CN34" s="65">
        <f>Таблица1[[#This Row],[Т12]]-Таблица1[[#This Row],[Т8]]</f>
        <v>11702.085251663346</v>
      </c>
      <c r="CO34" s="65">
        <f>Таблица1[[#This Row],[Т12]]-Таблица1[[#This Row],[Т7]]</f>
        <v>12452.185251663439</v>
      </c>
      <c r="CP34" s="65">
        <f>Таблица1[[#This Row],[Т12]]-Таблица1[[#This Row],[Т6]]</f>
        <v>13579.270512195304</v>
      </c>
      <c r="CQ34" s="65">
        <f>Таблица1[[#This Row],[Т12]]-Таблица1[[#This Row],[Т5]]</f>
        <v>15423.930514905602</v>
      </c>
      <c r="CR34" s="65">
        <f>Таблица1[[#This Row],[Т12]]-Таблица1[[#This Row],[Т4]]</f>
        <v>16550.937983324286</v>
      </c>
      <c r="CS34" s="65">
        <f>Таблица1[[#This Row],[Т12]]-Таблица1[[#This Row],[Т3]]</f>
        <v>20272.937983324286</v>
      </c>
      <c r="CT34" s="65">
        <f>Таблица1[[#This Row],[Т12]]-Таблица1[[#This Row],[Т2]]</f>
        <v>21337.107638834976</v>
      </c>
      <c r="CU34" s="65">
        <f>Таблица1[[#This Row],[Т12]]-Таблица1[[#This Row],[Т1]]</f>
        <v>23223.407455201726</v>
      </c>
      <c r="CV34" s="65">
        <f>Таблица1[[#This Row],[Lкан_леб,мм]]+Таблица1[[#This Row],[Lкан_дуг, мм]]+Таблица1[[#This Row],[Lкан_прям, мм]]</f>
        <v>3528386.841860381</v>
      </c>
      <c r="CW34" s="60">
        <f>3511128.4-(Таблица1[[#This Row],[Lкан_леб,мм]]+Таблица1[[#This Row],[∆Lлеб из за стрел]])</f>
        <v>5964.9655948206782</v>
      </c>
    </row>
    <row r="35" spans="1:101" x14ac:dyDescent="0.25">
      <c r="A35">
        <v>34</v>
      </c>
      <c r="B35">
        <v>66.83221476510063</v>
      </c>
      <c r="C35">
        <v>23.17778523489936</v>
      </c>
      <c r="D35">
        <v>2209.9336321461683</v>
      </c>
      <c r="E35">
        <v>5955.3482325781315</v>
      </c>
      <c r="F35">
        <v>2927.5667898392694</v>
      </c>
      <c r="G35">
        <v>5192.4734715724808</v>
      </c>
      <c r="H35">
        <v>2927.4331421461684</v>
      </c>
      <c r="I35">
        <v>4633.6687863052803</v>
      </c>
      <c r="J35">
        <v>1321.6794462728512</v>
      </c>
      <c r="K35">
        <v>18138.137078759315</v>
      </c>
      <c r="L35">
        <v>5040.1053187770249</v>
      </c>
      <c r="M35">
        <v>3505208.5994628444</v>
      </c>
      <c r="N35">
        <v>0</v>
      </c>
      <c r="O35">
        <v>8</v>
      </c>
      <c r="P35">
        <v>-3322.5</v>
      </c>
      <c r="Q35">
        <v>-2811.96</v>
      </c>
      <c r="R35">
        <v>-3280</v>
      </c>
      <c r="S35">
        <v>-914.66</v>
      </c>
      <c r="T35">
        <v>-7002</v>
      </c>
      <c r="U35">
        <v>520.34</v>
      </c>
      <c r="V35">
        <v>-7002.1</v>
      </c>
      <c r="W35">
        <v>2365</v>
      </c>
      <c r="X35">
        <v>-6252</v>
      </c>
      <c r="Y35">
        <v>3800</v>
      </c>
      <c r="Z35">
        <v>2209.9336321461683</v>
      </c>
      <c r="AA35">
        <v>5955.3482325781315</v>
      </c>
      <c r="AB35">
        <v>0</v>
      </c>
      <c r="AC35">
        <v>1064.1696555107644</v>
      </c>
      <c r="AD35">
        <v>1127.0074684186504</v>
      </c>
      <c r="AE35">
        <v>1127.0852605320265</v>
      </c>
      <c r="AF35">
        <v>297.39828763447258</v>
      </c>
      <c r="AG35">
        <v>1424.4446466811116</v>
      </c>
      <c r="AH35">
        <v>1886.2998163666878</v>
      </c>
      <c r="AI35">
        <v>3721.9999999999995</v>
      </c>
      <c r="AJ35">
        <v>1844.6600027105269</v>
      </c>
      <c r="AK35">
        <v>750.10000000000059</v>
      </c>
      <c r="AL35">
        <v>8613.3978079805493</v>
      </c>
      <c r="AM35">
        <v>1321.6794517015469</v>
      </c>
      <c r="AN35">
        <v>-95.021003558665456</v>
      </c>
      <c r="AO35">
        <v>-180</v>
      </c>
      <c r="AP35">
        <v>-90.003106034687008</v>
      </c>
      <c r="AQ35">
        <v>1.2722218725854067E-14</v>
      </c>
      <c r="AR35">
        <v>-23.748664412366505</v>
      </c>
      <c r="AS35">
        <v>89.999999566492605</v>
      </c>
      <c r="AT35">
        <v>-2400.1625746957502</v>
      </c>
      <c r="AU35">
        <v>-3280</v>
      </c>
      <c r="AV35">
        <v>-7719.4999989457119</v>
      </c>
      <c r="AW35">
        <v>-7002.1</v>
      </c>
      <c r="AX35">
        <v>-5963.0445588844841</v>
      </c>
      <c r="AY35">
        <v>2927.4336321461678</v>
      </c>
      <c r="AZ35">
        <v>-2730.9252207921031</v>
      </c>
      <c r="BA35">
        <v>-197.16</v>
      </c>
      <c r="BB35">
        <v>520.3011039433311</v>
      </c>
      <c r="BC35">
        <v>3082.5000000000005</v>
      </c>
      <c r="BD35">
        <v>3143.2572778859767</v>
      </c>
      <c r="BE35">
        <v>5955.3482380068308</v>
      </c>
      <c r="BF35">
        <v>-2565.2532760267472</v>
      </c>
      <c r="BG35">
        <v>-7002</v>
      </c>
      <c r="BH35">
        <v>-7719.5999989457123</v>
      </c>
      <c r="BI35">
        <v>-6252</v>
      </c>
      <c r="BJ35">
        <v>1920.9781910306526</v>
      </c>
      <c r="BK35">
        <v>2927.4336421461685</v>
      </c>
      <c r="BL35">
        <v>-851.86373761518519</v>
      </c>
      <c r="BM35">
        <v>-197.16</v>
      </c>
      <c r="BN35">
        <v>2364.9611039433312</v>
      </c>
      <c r="BO35">
        <v>3082.5000000000005</v>
      </c>
      <c r="BP35">
        <v>6612.0909546921557</v>
      </c>
      <c r="BQ35">
        <v>4633.6687863052839</v>
      </c>
      <c r="BR35">
        <v>0</v>
      </c>
      <c r="BS35">
        <v>84.97899644133453</v>
      </c>
      <c r="BT35">
        <v>89.996893965312992</v>
      </c>
      <c r="BU35">
        <v>90.003106034687022</v>
      </c>
      <c r="BV35">
        <v>23.748664412366516</v>
      </c>
      <c r="BW35">
        <v>113.74866397885911</v>
      </c>
      <c r="BX35" s="69">
        <f>Таблица1[[#This Row],[Lкан_леб,мм]]</f>
        <v>3505208.5994628444</v>
      </c>
      <c r="BY35" s="65">
        <f>Таблица1[[#This Row],[Т1]]+Таблица1[[#This Row],[Lпрям1, мм]]</f>
        <v>3507094.8992792112</v>
      </c>
      <c r="BZ35" s="65">
        <f>Таблица1[[#This Row],[Т2]]+Таблица1[[#This Row],[Lдуг 2,мм]]</f>
        <v>3508159.0689347219</v>
      </c>
      <c r="CA35" s="65">
        <f>Таблица1[[#This Row],[Т3]]+Таблица1[[#This Row],[Lпрям2, мм]]</f>
        <v>3511881.0689347219</v>
      </c>
      <c r="CB35" s="65">
        <f>Таблица1[[#This Row],[Т4]]+Таблица1[[#This Row],[Lдуг 3,мм]]</f>
        <v>3513008.0764031406</v>
      </c>
      <c r="CC35" s="65">
        <f>Таблица1[[#This Row],[Т5]]+Таблица1[[#This Row],[Lпрям3, мм]]</f>
        <v>3514852.7364058509</v>
      </c>
      <c r="CD35" s="65">
        <f>Таблица1[[#This Row],[Т6]]+Таблица1[[#This Row],[Lдуг 4,мм]]</f>
        <v>3515979.8216663827</v>
      </c>
      <c r="CE35" s="65">
        <f>Таблица1[[#This Row],[Т7]]+Таблица1[[#This Row],[Lпрям4, мм]]</f>
        <v>3516729.9216663828</v>
      </c>
      <c r="CF35" s="72">
        <f>Таблица1[[#This Row],[Т8]]+Таблица1[[#This Row],[Lдуг 5,мм]]</f>
        <v>3517027.3199540172</v>
      </c>
      <c r="CG35" s="65">
        <f>Таблица1[[#This Row],[Т9]]+Таблица1[[#This Row],[Lпрям5, мм]]</f>
        <v>3525640.7177619976</v>
      </c>
      <c r="CH35" s="65">
        <f>Таблица1[[#This Row],[Т10]]+Таблица1[[#This Row],[Lдуг 6,мм]]</f>
        <v>3527065.1624086788</v>
      </c>
      <c r="CI35" s="66">
        <f>Таблица1[[#This Row],[Т11]]+Таблица1[[#This Row],[Lпрям6, мм]]</f>
        <v>3528386.8418603805</v>
      </c>
      <c r="CJ35" s="64">
        <f>Таблица1[[#This Row],[Т12]]-Таблица1[[#This Row],[Т12]]</f>
        <v>0</v>
      </c>
      <c r="CK35" s="65">
        <f>Таблица1[[#This Row],[Т12]]-Таблица1[[#This Row],[Т11]]</f>
        <v>1321.679451701697</v>
      </c>
      <c r="CL35" s="65">
        <f>Таблица1[[#This Row],[Т12]]-Таблица1[[#This Row],[Т10]]</f>
        <v>2746.1240983828902</v>
      </c>
      <c r="CM35" s="65">
        <f>Таблица1[[#This Row],[Т12]]-Таблица1[[#This Row],[Т9]]</f>
        <v>11359.521906363312</v>
      </c>
      <c r="CN35" s="65">
        <f>Таблица1[[#This Row],[Т12]]-Таблица1[[#This Row],[Т8]]</f>
        <v>11656.920193997677</v>
      </c>
      <c r="CO35" s="65">
        <f>Таблица1[[#This Row],[Т12]]-Таблица1[[#This Row],[Т7]]</f>
        <v>12407.020193997771</v>
      </c>
      <c r="CP35" s="65">
        <f>Таблица1[[#This Row],[Т12]]-Таблица1[[#This Row],[Т6]]</f>
        <v>13534.105454529636</v>
      </c>
      <c r="CQ35" s="65">
        <f>Таблица1[[#This Row],[Т12]]-Таблица1[[#This Row],[Т5]]</f>
        <v>15378.765457239933</v>
      </c>
      <c r="CR35" s="65">
        <f>Таблица1[[#This Row],[Т12]]-Таблица1[[#This Row],[Т4]]</f>
        <v>16505.772925658617</v>
      </c>
      <c r="CS35" s="65">
        <f>Таблица1[[#This Row],[Т12]]-Таблица1[[#This Row],[Т3]]</f>
        <v>20227.772925658617</v>
      </c>
      <c r="CT35" s="65">
        <f>Таблица1[[#This Row],[Т12]]-Таблица1[[#This Row],[Т2]]</f>
        <v>21291.942581169307</v>
      </c>
      <c r="CU35" s="65">
        <f>Таблица1[[#This Row],[Т12]]-Таблица1[[#This Row],[Т1]]</f>
        <v>23178.242397536058</v>
      </c>
      <c r="CV35" s="65">
        <f>Таблица1[[#This Row],[Lкан_леб,мм]]+Таблица1[[#This Row],[Lкан_дуг, мм]]+Таблица1[[#This Row],[Lкан_прям, мм]]</f>
        <v>3528386.8418603805</v>
      </c>
      <c r="CW35" s="60">
        <f>3511128.4-(Таблица1[[#This Row],[Lкан_леб,мм]]+Таблица1[[#This Row],[∆Lлеб из за стрел]])</f>
        <v>5919.8005371554755</v>
      </c>
    </row>
    <row r="36" spans="1:101" x14ac:dyDescent="0.25">
      <c r="A36">
        <v>35</v>
      </c>
      <c r="B36">
        <v>67.342281879194587</v>
      </c>
      <c r="C36">
        <v>22.667718120805404</v>
      </c>
      <c r="D36">
        <v>2148.9221486002934</v>
      </c>
      <c r="E36">
        <v>5981.1364953131033</v>
      </c>
      <c r="F36">
        <v>2866.555306293395</v>
      </c>
      <c r="G36">
        <v>5218.2617343074526</v>
      </c>
      <c r="H36">
        <v>2866.4216586002931</v>
      </c>
      <c r="I36">
        <v>4659.4570490404994</v>
      </c>
      <c r="J36">
        <v>1321.6794462726043</v>
      </c>
      <c r="K36">
        <v>18084.740693560503</v>
      </c>
      <c r="L36">
        <v>5048.1776878753535</v>
      </c>
      <c r="M36">
        <v>3505253.9234789452</v>
      </c>
      <c r="N36">
        <v>0</v>
      </c>
      <c r="O36">
        <v>8</v>
      </c>
      <c r="P36">
        <v>-3322.5</v>
      </c>
      <c r="Q36">
        <v>-2811.96</v>
      </c>
      <c r="R36">
        <v>-3280</v>
      </c>
      <c r="S36">
        <v>-914.66</v>
      </c>
      <c r="T36">
        <v>-7002</v>
      </c>
      <c r="U36">
        <v>520.34</v>
      </c>
      <c r="V36">
        <v>-7002.1</v>
      </c>
      <c r="W36">
        <v>2365</v>
      </c>
      <c r="X36">
        <v>-6252</v>
      </c>
      <c r="Y36">
        <v>3800</v>
      </c>
      <c r="Z36">
        <v>2148.9221486002934</v>
      </c>
      <c r="AA36">
        <v>5981.1364953131033</v>
      </c>
      <c r="AB36">
        <v>0</v>
      </c>
      <c r="AC36">
        <v>1064.1696555107644</v>
      </c>
      <c r="AD36">
        <v>1127.0074684186504</v>
      </c>
      <c r="AE36">
        <v>1127.0852605320265</v>
      </c>
      <c r="AF36">
        <v>301.43447218363639</v>
      </c>
      <c r="AG36">
        <v>1428.480831230276</v>
      </c>
      <c r="AH36">
        <v>1886.2998163666878</v>
      </c>
      <c r="AI36">
        <v>3721.9999999999995</v>
      </c>
      <c r="AJ36">
        <v>1844.6600027105269</v>
      </c>
      <c r="AK36">
        <v>750.10000000000059</v>
      </c>
      <c r="AL36">
        <v>8560.0014227819902</v>
      </c>
      <c r="AM36">
        <v>1321.6794517013</v>
      </c>
      <c r="AN36">
        <v>-95.021003558665456</v>
      </c>
      <c r="AO36">
        <v>-180</v>
      </c>
      <c r="AP36">
        <v>-90.003106034687008</v>
      </c>
      <c r="AQ36">
        <v>1.2722218725854067E-14</v>
      </c>
      <c r="AR36">
        <v>-24.070972900175565</v>
      </c>
      <c r="AS36">
        <v>89.999999566492633</v>
      </c>
      <c r="AT36">
        <v>-2400.1625746957502</v>
      </c>
      <c r="AU36">
        <v>-3280</v>
      </c>
      <c r="AV36">
        <v>-7719.4999989457119</v>
      </c>
      <c r="AW36">
        <v>-7002.1</v>
      </c>
      <c r="AX36">
        <v>-5959.3547463408859</v>
      </c>
      <c r="AY36">
        <v>2866.4221486002939</v>
      </c>
      <c r="AZ36">
        <v>-2730.9252207921031</v>
      </c>
      <c r="BA36">
        <v>-197.16</v>
      </c>
      <c r="BB36">
        <v>520.3011039433311</v>
      </c>
      <c r="BC36">
        <v>3082.5000000000005</v>
      </c>
      <c r="BD36">
        <v>3144.8931342820529</v>
      </c>
      <c r="BE36">
        <v>5981.1365007418026</v>
      </c>
      <c r="BF36">
        <v>-2565.2532760267472</v>
      </c>
      <c r="BG36">
        <v>-7002</v>
      </c>
      <c r="BH36">
        <v>-7719.5999989457123</v>
      </c>
      <c r="BI36">
        <v>-6252</v>
      </c>
      <c r="BJ36">
        <v>1856.2768949411802</v>
      </c>
      <c r="BK36">
        <v>2866.4221586002932</v>
      </c>
      <c r="BL36">
        <v>-851.86373761518519</v>
      </c>
      <c r="BM36">
        <v>-197.16</v>
      </c>
      <c r="BN36">
        <v>2364.9611039433312</v>
      </c>
      <c r="BO36">
        <v>3082.5000000000005</v>
      </c>
      <c r="BP36">
        <v>6636.2433610310518</v>
      </c>
      <c r="BQ36">
        <v>4659.4570490405031</v>
      </c>
      <c r="BR36">
        <v>0</v>
      </c>
      <c r="BS36">
        <v>84.97899644133453</v>
      </c>
      <c r="BT36">
        <v>89.996893965312992</v>
      </c>
      <c r="BU36">
        <v>90.003106034687022</v>
      </c>
      <c r="BV36">
        <v>24.070972900175576</v>
      </c>
      <c r="BW36">
        <v>114.0709724666682</v>
      </c>
      <c r="BX36" s="69">
        <f>Таблица1[[#This Row],[Lкан_леб,мм]]</f>
        <v>3505253.9234789452</v>
      </c>
      <c r="BY36" s="65">
        <f>Таблица1[[#This Row],[Т1]]+Таблица1[[#This Row],[Lпрям1, мм]]</f>
        <v>3507140.2232953119</v>
      </c>
      <c r="BZ36" s="65">
        <f>Таблица1[[#This Row],[Т2]]+Таблица1[[#This Row],[Lдуг 2,мм]]</f>
        <v>3508204.3929508226</v>
      </c>
      <c r="CA36" s="65">
        <f>Таблица1[[#This Row],[Т3]]+Таблица1[[#This Row],[Lпрям2, мм]]</f>
        <v>3511926.3929508226</v>
      </c>
      <c r="CB36" s="65">
        <f>Таблица1[[#This Row],[Т4]]+Таблица1[[#This Row],[Lдуг 3,мм]]</f>
        <v>3513053.4004192413</v>
      </c>
      <c r="CC36" s="65">
        <f>Таблица1[[#This Row],[Т5]]+Таблица1[[#This Row],[Lпрям3, мм]]</f>
        <v>3514898.0604219516</v>
      </c>
      <c r="CD36" s="65">
        <f>Таблица1[[#This Row],[Т6]]+Таблица1[[#This Row],[Lдуг 4,мм]]</f>
        <v>3516025.1456824834</v>
      </c>
      <c r="CE36" s="65">
        <f>Таблица1[[#This Row],[Т7]]+Таблица1[[#This Row],[Lпрям4, мм]]</f>
        <v>3516775.2456824835</v>
      </c>
      <c r="CF36" s="72">
        <f>Таблица1[[#This Row],[Т8]]+Таблица1[[#This Row],[Lдуг 5,мм]]</f>
        <v>3517076.6801546672</v>
      </c>
      <c r="CG36" s="65">
        <f>Таблица1[[#This Row],[Т9]]+Таблица1[[#This Row],[Lпрям5, мм]]</f>
        <v>3525636.6815774492</v>
      </c>
      <c r="CH36" s="65">
        <f>Таблица1[[#This Row],[Т10]]+Таблица1[[#This Row],[Lдуг 6,мм]]</f>
        <v>3527065.1624086793</v>
      </c>
      <c r="CI36" s="66">
        <f>Таблица1[[#This Row],[Т11]]+Таблица1[[#This Row],[Lпрям6, мм]]</f>
        <v>3528386.8418603805</v>
      </c>
      <c r="CJ36" s="64">
        <f>Таблица1[[#This Row],[Т12]]-Таблица1[[#This Row],[Т12]]</f>
        <v>0</v>
      </c>
      <c r="CK36" s="65">
        <f>Таблица1[[#This Row],[Т12]]-Таблица1[[#This Row],[Т11]]</f>
        <v>1321.6794517012313</v>
      </c>
      <c r="CL36" s="65">
        <f>Таблица1[[#This Row],[Т12]]-Таблица1[[#This Row],[Т10]]</f>
        <v>2750.1602829312906</v>
      </c>
      <c r="CM36" s="65">
        <f>Таблица1[[#This Row],[Т12]]-Таблица1[[#This Row],[Т9]]</f>
        <v>11310.161705713253</v>
      </c>
      <c r="CN36" s="65">
        <f>Таблица1[[#This Row],[Т12]]-Таблица1[[#This Row],[Т8]]</f>
        <v>11611.59617789695</v>
      </c>
      <c r="CO36" s="65">
        <f>Таблица1[[#This Row],[Т12]]-Таблица1[[#This Row],[Т7]]</f>
        <v>12361.696177897044</v>
      </c>
      <c r="CP36" s="65">
        <f>Таблица1[[#This Row],[Т12]]-Таблица1[[#This Row],[Т6]]</f>
        <v>13488.781438428909</v>
      </c>
      <c r="CQ36" s="65">
        <f>Таблица1[[#This Row],[Т12]]-Таблица1[[#This Row],[Т5]]</f>
        <v>15333.441441139206</v>
      </c>
      <c r="CR36" s="65">
        <f>Таблица1[[#This Row],[Т12]]-Таблица1[[#This Row],[Т4]]</f>
        <v>16460.44890955789</v>
      </c>
      <c r="CS36" s="65">
        <f>Таблица1[[#This Row],[Т12]]-Таблица1[[#This Row],[Т3]]</f>
        <v>20182.44890955789</v>
      </c>
      <c r="CT36" s="65">
        <f>Таблица1[[#This Row],[Т12]]-Таблица1[[#This Row],[Т2]]</f>
        <v>21246.61856506858</v>
      </c>
      <c r="CU36" s="65">
        <f>Таблица1[[#This Row],[Т12]]-Таблица1[[#This Row],[Т1]]</f>
        <v>23132.918381435331</v>
      </c>
      <c r="CV36" s="65">
        <f>Таблица1[[#This Row],[Lкан_леб,мм]]+Таблица1[[#This Row],[Lкан_дуг, мм]]+Таблица1[[#This Row],[Lкан_прям, мм]]</f>
        <v>3528386.841860381</v>
      </c>
      <c r="CW36" s="60">
        <f>3511128.4-(Таблица1[[#This Row],[Lкан_леб,мм]]+Таблица1[[#This Row],[∆Lлеб из за стрел]])</f>
        <v>5874.4765210547484</v>
      </c>
    </row>
    <row r="37" spans="1:101" x14ac:dyDescent="0.25">
      <c r="A37">
        <v>36</v>
      </c>
      <c r="B37">
        <v>67.852348993288544</v>
      </c>
      <c r="C37">
        <v>22.157651006711447</v>
      </c>
      <c r="D37">
        <v>2087.6835095522883</v>
      </c>
      <c r="E37">
        <v>6006.3805977313841</v>
      </c>
      <c r="F37">
        <v>2805.3166672453899</v>
      </c>
      <c r="G37">
        <v>5243.5058367257334</v>
      </c>
      <c r="H37">
        <v>2805.183019552288</v>
      </c>
      <c r="I37">
        <v>4684.7011514585884</v>
      </c>
      <c r="J37">
        <v>1321.679446272796</v>
      </c>
      <c r="K37">
        <v>18031.161043859553</v>
      </c>
      <c r="L37">
        <v>5056.2757039803473</v>
      </c>
      <c r="M37">
        <v>3505299.4051125408</v>
      </c>
      <c r="N37">
        <v>0</v>
      </c>
      <c r="O37">
        <v>8</v>
      </c>
      <c r="P37">
        <v>-3322.5</v>
      </c>
      <c r="Q37">
        <v>-2811.96</v>
      </c>
      <c r="R37">
        <v>-3280</v>
      </c>
      <c r="S37">
        <v>-914.66</v>
      </c>
      <c r="T37">
        <v>-7002</v>
      </c>
      <c r="U37">
        <v>520.34</v>
      </c>
      <c r="V37">
        <v>-7002.1</v>
      </c>
      <c r="W37">
        <v>2365</v>
      </c>
      <c r="X37">
        <v>-6252</v>
      </c>
      <c r="Y37">
        <v>3800</v>
      </c>
      <c r="Z37">
        <v>2087.6835095522883</v>
      </c>
      <c r="AA37">
        <v>6006.3805977313841</v>
      </c>
      <c r="AB37">
        <v>0</v>
      </c>
      <c r="AC37">
        <v>1064.1696555107644</v>
      </c>
      <c r="AD37">
        <v>1127.0074684186504</v>
      </c>
      <c r="AE37">
        <v>1127.0852605320265</v>
      </c>
      <c r="AF37">
        <v>305.483480236133</v>
      </c>
      <c r="AG37">
        <v>1432.5298392827724</v>
      </c>
      <c r="AH37">
        <v>1886.2998163666878</v>
      </c>
      <c r="AI37">
        <v>3721.9999999999995</v>
      </c>
      <c r="AJ37">
        <v>1844.6600027105269</v>
      </c>
      <c r="AK37">
        <v>750.10000000000059</v>
      </c>
      <c r="AL37">
        <v>8506.421773080845</v>
      </c>
      <c r="AM37">
        <v>1321.6794517014919</v>
      </c>
      <c r="AN37">
        <v>-95.021003558665456</v>
      </c>
      <c r="AO37">
        <v>-180</v>
      </c>
      <c r="AP37">
        <v>-90.003106034687008</v>
      </c>
      <c r="AQ37">
        <v>1.2722218725854067E-14</v>
      </c>
      <c r="AR37">
        <v>-24.394305405572837</v>
      </c>
      <c r="AS37">
        <v>89.999999566492633</v>
      </c>
      <c r="AT37">
        <v>-2400.1625746957502</v>
      </c>
      <c r="AU37">
        <v>-3280</v>
      </c>
      <c r="AV37">
        <v>-7719.4999989457119</v>
      </c>
      <c r="AW37">
        <v>-7002.1</v>
      </c>
      <c r="AX37">
        <v>-5955.6625156564805</v>
      </c>
      <c r="AY37">
        <v>2805.1835095522888</v>
      </c>
      <c r="AZ37">
        <v>-2730.9252207921031</v>
      </c>
      <c r="BA37">
        <v>-197.16</v>
      </c>
      <c r="BB37">
        <v>520.3011039433311</v>
      </c>
      <c r="BC37">
        <v>3082.5000000000005</v>
      </c>
      <c r="BD37">
        <v>3146.555017332787</v>
      </c>
      <c r="BE37">
        <v>6006.3806031600834</v>
      </c>
      <c r="BF37">
        <v>-2565.2532760267472</v>
      </c>
      <c r="BG37">
        <v>-7002</v>
      </c>
      <c r="BH37">
        <v>-7719.5999989457123</v>
      </c>
      <c r="BI37">
        <v>-6252</v>
      </c>
      <c r="BJ37">
        <v>1791.3460252087689</v>
      </c>
      <c r="BK37">
        <v>2805.1835195522881</v>
      </c>
      <c r="BL37">
        <v>-851.86373761518519</v>
      </c>
      <c r="BM37">
        <v>-197.16</v>
      </c>
      <c r="BN37">
        <v>2364.9611039433312</v>
      </c>
      <c r="BO37">
        <v>3082.5000000000005</v>
      </c>
      <c r="BP37">
        <v>6659.8255803985976</v>
      </c>
      <c r="BQ37">
        <v>4684.701151458592</v>
      </c>
      <c r="BR37">
        <v>0</v>
      </c>
      <c r="BS37">
        <v>84.97899644133453</v>
      </c>
      <c r="BT37">
        <v>89.996893965312992</v>
      </c>
      <c r="BU37">
        <v>90.003106034687022</v>
      </c>
      <c r="BV37">
        <v>24.394305405572851</v>
      </c>
      <c r="BW37">
        <v>114.39430497206547</v>
      </c>
      <c r="BX37" s="69">
        <f>Таблица1[[#This Row],[Lкан_леб,мм]]</f>
        <v>3505299.4051125408</v>
      </c>
      <c r="BY37" s="65">
        <f>Таблица1[[#This Row],[Т1]]+Таблица1[[#This Row],[Lпрям1, мм]]</f>
        <v>3507185.7049289076</v>
      </c>
      <c r="BZ37" s="65">
        <f>Таблица1[[#This Row],[Т2]]+Таблица1[[#This Row],[Lдуг 2,мм]]</f>
        <v>3508249.8745844183</v>
      </c>
      <c r="CA37" s="65">
        <f>Таблица1[[#This Row],[Т3]]+Таблица1[[#This Row],[Lпрям2, мм]]</f>
        <v>3511971.8745844183</v>
      </c>
      <c r="CB37" s="65">
        <f>Таблица1[[#This Row],[Т4]]+Таблица1[[#This Row],[Lдуг 3,мм]]</f>
        <v>3513098.8820528369</v>
      </c>
      <c r="CC37" s="65">
        <f>Таблица1[[#This Row],[Т5]]+Таблица1[[#This Row],[Lпрям3, мм]]</f>
        <v>3514943.5420555472</v>
      </c>
      <c r="CD37" s="65">
        <f>Таблица1[[#This Row],[Т6]]+Таблица1[[#This Row],[Lдуг 4,мм]]</f>
        <v>3516070.6273160791</v>
      </c>
      <c r="CE37" s="65">
        <f>Таблица1[[#This Row],[Т7]]+Таблица1[[#This Row],[Lпрям4, мм]]</f>
        <v>3516820.7273160792</v>
      </c>
      <c r="CF37" s="72">
        <f>Таблица1[[#This Row],[Т8]]+Таблица1[[#This Row],[Lдуг 5,мм]]</f>
        <v>3517126.2107963152</v>
      </c>
      <c r="CG37" s="65">
        <f>Таблица1[[#This Row],[Т9]]+Таблица1[[#This Row],[Lпрям5, мм]]</f>
        <v>3525632.6325693959</v>
      </c>
      <c r="CH37" s="65">
        <f>Таблица1[[#This Row],[Т10]]+Таблица1[[#This Row],[Lдуг 6,мм]]</f>
        <v>3527065.1624086788</v>
      </c>
      <c r="CI37" s="66">
        <f>Таблица1[[#This Row],[Т11]]+Таблица1[[#This Row],[Lпрям6, мм]]</f>
        <v>3528386.8418603805</v>
      </c>
      <c r="CJ37" s="64">
        <f>Таблица1[[#This Row],[Т12]]-Таблица1[[#This Row],[Т12]]</f>
        <v>0</v>
      </c>
      <c r="CK37" s="65">
        <f>Таблица1[[#This Row],[Т12]]-Таблица1[[#This Row],[Т11]]</f>
        <v>1321.679451701697</v>
      </c>
      <c r="CL37" s="65">
        <f>Таблица1[[#This Row],[Т12]]-Таблица1[[#This Row],[Т10]]</f>
        <v>2754.2092909845524</v>
      </c>
      <c r="CM37" s="65">
        <f>Таблица1[[#This Row],[Т12]]-Таблица1[[#This Row],[Т9]]</f>
        <v>11260.631064065266</v>
      </c>
      <c r="CN37" s="65">
        <f>Таблица1[[#This Row],[Т12]]-Таблица1[[#This Row],[Т8]]</f>
        <v>11566.114544301294</v>
      </c>
      <c r="CO37" s="65">
        <f>Таблица1[[#This Row],[Т12]]-Таблица1[[#This Row],[Т7]]</f>
        <v>12316.214544301387</v>
      </c>
      <c r="CP37" s="65">
        <f>Таблица1[[#This Row],[Т12]]-Таблица1[[#This Row],[Т6]]</f>
        <v>13443.299804833252</v>
      </c>
      <c r="CQ37" s="65">
        <f>Таблица1[[#This Row],[Т12]]-Таблица1[[#This Row],[Т5]]</f>
        <v>15287.95980754355</v>
      </c>
      <c r="CR37" s="65">
        <f>Таблица1[[#This Row],[Т12]]-Таблица1[[#This Row],[Т4]]</f>
        <v>16414.967275962234</v>
      </c>
      <c r="CS37" s="65">
        <f>Таблица1[[#This Row],[Т12]]-Таблица1[[#This Row],[Т3]]</f>
        <v>20136.967275962234</v>
      </c>
      <c r="CT37" s="65">
        <f>Таблица1[[#This Row],[Т12]]-Таблица1[[#This Row],[Т2]]</f>
        <v>21201.136931472924</v>
      </c>
      <c r="CU37" s="65">
        <f>Таблица1[[#This Row],[Т12]]-Таблица1[[#This Row],[Т1]]</f>
        <v>23087.436747839674</v>
      </c>
      <c r="CV37" s="65">
        <f>Таблица1[[#This Row],[Lкан_леб,мм]]+Таблица1[[#This Row],[Lкан_дуг, мм]]+Таблица1[[#This Row],[Lкан_прям, мм]]</f>
        <v>3528386.8418603805</v>
      </c>
      <c r="CW37" s="60">
        <f>3511128.4-(Таблица1[[#This Row],[Lкан_леб,мм]]+Таблица1[[#This Row],[∆Lлеб из за стрел]])</f>
        <v>5828.9948874590918</v>
      </c>
    </row>
    <row r="38" spans="1:101" x14ac:dyDescent="0.25">
      <c r="A38">
        <v>37</v>
      </c>
      <c r="B38">
        <v>68.362416107382501</v>
      </c>
      <c r="C38">
        <v>21.647583892617494</v>
      </c>
      <c r="D38">
        <v>2026.2225682452465</v>
      </c>
      <c r="E38">
        <v>6031.0785392044882</v>
      </c>
      <c r="F38">
        <v>2743.8557259383479</v>
      </c>
      <c r="G38">
        <v>5268.2037781988365</v>
      </c>
      <c r="H38">
        <v>2743.7220782452468</v>
      </c>
      <c r="I38">
        <v>4709.3990929317506</v>
      </c>
      <c r="J38">
        <v>1321.6794462727376</v>
      </c>
      <c r="K38">
        <v>17977.398931353171</v>
      </c>
      <c r="L38">
        <v>5064.399918322446</v>
      </c>
      <c r="M38">
        <v>3505345.0430107056</v>
      </c>
      <c r="N38">
        <v>0</v>
      </c>
      <c r="O38">
        <v>8</v>
      </c>
      <c r="P38">
        <v>-3322.5</v>
      </c>
      <c r="Q38">
        <v>-2811.96</v>
      </c>
      <c r="R38">
        <v>-3280</v>
      </c>
      <c r="S38">
        <v>-914.66</v>
      </c>
      <c r="T38">
        <v>-7002</v>
      </c>
      <c r="U38">
        <v>520.34</v>
      </c>
      <c r="V38">
        <v>-7002.1</v>
      </c>
      <c r="W38">
        <v>2365</v>
      </c>
      <c r="X38">
        <v>-6252</v>
      </c>
      <c r="Y38">
        <v>3800</v>
      </c>
      <c r="Z38">
        <v>2026.2225682452465</v>
      </c>
      <c r="AA38">
        <v>6031.0785392044882</v>
      </c>
      <c r="AB38">
        <v>0</v>
      </c>
      <c r="AC38">
        <v>1064.1696555107644</v>
      </c>
      <c r="AD38">
        <v>1127.0074684186504</v>
      </c>
      <c r="AE38">
        <v>1127.0852605320265</v>
      </c>
      <c r="AF38">
        <v>309.54558740718329</v>
      </c>
      <c r="AG38">
        <v>1436.5919464538222</v>
      </c>
      <c r="AH38">
        <v>1886.2998163666878</v>
      </c>
      <c r="AI38">
        <v>3721.9999999999995</v>
      </c>
      <c r="AJ38">
        <v>1844.6600027105269</v>
      </c>
      <c r="AK38">
        <v>750.10000000000059</v>
      </c>
      <c r="AL38">
        <v>8452.6596605745199</v>
      </c>
      <c r="AM38">
        <v>1321.6794517014332</v>
      </c>
      <c r="AN38">
        <v>-95.021003558665456</v>
      </c>
      <c r="AO38">
        <v>-180</v>
      </c>
      <c r="AP38">
        <v>-90.003106034687008</v>
      </c>
      <c r="AQ38">
        <v>1.2722218725854067E-14</v>
      </c>
      <c r="AR38">
        <v>-24.718683937741481</v>
      </c>
      <c r="AS38">
        <v>89.999999566492619</v>
      </c>
      <c r="AT38">
        <v>-2400.1625746957502</v>
      </c>
      <c r="AU38">
        <v>-3280</v>
      </c>
      <c r="AV38">
        <v>-7719.4999989457119</v>
      </c>
      <c r="AW38">
        <v>-7002.1</v>
      </c>
      <c r="AX38">
        <v>-5951.9678231589432</v>
      </c>
      <c r="AY38">
        <v>2743.7225682452463</v>
      </c>
      <c r="AZ38">
        <v>-2730.9252207921031</v>
      </c>
      <c r="BA38">
        <v>-197.16</v>
      </c>
      <c r="BB38">
        <v>520.3011039433311</v>
      </c>
      <c r="BC38">
        <v>3082.5000000000005</v>
      </c>
      <c r="BD38">
        <v>3148.2431873313353</v>
      </c>
      <c r="BE38">
        <v>6031.0785446331874</v>
      </c>
      <c r="BF38">
        <v>-2565.2532760267472</v>
      </c>
      <c r="BG38">
        <v>-7002</v>
      </c>
      <c r="BH38">
        <v>-7719.5999989457123</v>
      </c>
      <c r="BI38">
        <v>-6252</v>
      </c>
      <c r="BJ38">
        <v>1726.1903914041907</v>
      </c>
      <c r="BK38">
        <v>2743.722578245247</v>
      </c>
      <c r="BL38">
        <v>-851.86373761518519</v>
      </c>
      <c r="BM38">
        <v>-197.16</v>
      </c>
      <c r="BN38">
        <v>2364.9611039433312</v>
      </c>
      <c r="BO38">
        <v>3082.5000000000005</v>
      </c>
      <c r="BP38">
        <v>6682.8353518731537</v>
      </c>
      <c r="BQ38">
        <v>4709.3990929317542</v>
      </c>
      <c r="BR38">
        <v>0</v>
      </c>
      <c r="BS38">
        <v>84.97899644133453</v>
      </c>
      <c r="BT38">
        <v>89.996893965312992</v>
      </c>
      <c r="BU38">
        <v>90.003106034687022</v>
      </c>
      <c r="BV38">
        <v>24.718683937741496</v>
      </c>
      <c r="BW38">
        <v>114.71868350423409</v>
      </c>
      <c r="BX38" s="69">
        <f>Таблица1[[#This Row],[Lкан_леб,мм]]</f>
        <v>3505345.0430107056</v>
      </c>
      <c r="BY38" s="65">
        <f>Таблица1[[#This Row],[Т1]]+Таблица1[[#This Row],[Lпрям1, мм]]</f>
        <v>3507231.3428270724</v>
      </c>
      <c r="BZ38" s="65">
        <f>Таблица1[[#This Row],[Т2]]+Таблица1[[#This Row],[Lдуг 2,мм]]</f>
        <v>3508295.5124825831</v>
      </c>
      <c r="CA38" s="65">
        <f>Таблица1[[#This Row],[Т3]]+Таблица1[[#This Row],[Lпрям2, мм]]</f>
        <v>3512017.5124825831</v>
      </c>
      <c r="CB38" s="65">
        <f>Таблица1[[#This Row],[Т4]]+Таблица1[[#This Row],[Lдуг 3,мм]]</f>
        <v>3513144.5199510017</v>
      </c>
      <c r="CC38" s="65">
        <f>Таблица1[[#This Row],[Т5]]+Таблица1[[#This Row],[Lпрям3, мм]]</f>
        <v>3514989.179953712</v>
      </c>
      <c r="CD38" s="65">
        <f>Таблица1[[#This Row],[Т6]]+Таблица1[[#This Row],[Lдуг 4,мм]]</f>
        <v>3516116.2652142439</v>
      </c>
      <c r="CE38" s="65">
        <f>Таблица1[[#This Row],[Т7]]+Таблица1[[#This Row],[Lпрям4, мм]]</f>
        <v>3516866.365214244</v>
      </c>
      <c r="CF38" s="72">
        <f>Таблица1[[#This Row],[Т8]]+Таблица1[[#This Row],[Lдуг 5,мм]]</f>
        <v>3517175.910801651</v>
      </c>
      <c r="CG38" s="65">
        <f>Таблица1[[#This Row],[Т9]]+Таблица1[[#This Row],[Lпрям5, мм]]</f>
        <v>3525628.5704622255</v>
      </c>
      <c r="CH38" s="65">
        <f>Таблица1[[#This Row],[Т10]]+Таблица1[[#This Row],[Lдуг 6,мм]]</f>
        <v>3527065.1624086793</v>
      </c>
      <c r="CI38" s="66">
        <f>Таблица1[[#This Row],[Т11]]+Таблица1[[#This Row],[Lпрям6, мм]]</f>
        <v>3528386.8418603805</v>
      </c>
      <c r="CJ38" s="64">
        <f>Таблица1[[#This Row],[Т12]]-Таблица1[[#This Row],[Т12]]</f>
        <v>0</v>
      </c>
      <c r="CK38" s="65">
        <f>Таблица1[[#This Row],[Т12]]-Таблица1[[#This Row],[Т11]]</f>
        <v>1321.6794517012313</v>
      </c>
      <c r="CL38" s="65">
        <f>Таблица1[[#This Row],[Т12]]-Таблица1[[#This Row],[Т10]]</f>
        <v>2758.2713981550187</v>
      </c>
      <c r="CM38" s="65">
        <f>Таблица1[[#This Row],[Т12]]-Таблица1[[#This Row],[Т9]]</f>
        <v>11210.931058729533</v>
      </c>
      <c r="CN38" s="65">
        <f>Таблица1[[#This Row],[Т12]]-Таблица1[[#This Row],[Т8]]</f>
        <v>11520.476646136492</v>
      </c>
      <c r="CO38" s="65">
        <f>Таблица1[[#This Row],[Т12]]-Таблица1[[#This Row],[Т7]]</f>
        <v>12270.576646136586</v>
      </c>
      <c r="CP38" s="65">
        <f>Таблица1[[#This Row],[Т12]]-Таблица1[[#This Row],[Т6]]</f>
        <v>13397.661906668451</v>
      </c>
      <c r="CQ38" s="65">
        <f>Таблица1[[#This Row],[Т12]]-Таблица1[[#This Row],[Т5]]</f>
        <v>15242.321909378748</v>
      </c>
      <c r="CR38" s="65">
        <f>Таблица1[[#This Row],[Т12]]-Таблица1[[#This Row],[Т4]]</f>
        <v>16369.329377797432</v>
      </c>
      <c r="CS38" s="65">
        <f>Таблица1[[#This Row],[Т12]]-Таблица1[[#This Row],[Т3]]</f>
        <v>20091.329377797432</v>
      </c>
      <c r="CT38" s="65">
        <f>Таблица1[[#This Row],[Т12]]-Таблица1[[#This Row],[Т2]]</f>
        <v>21155.499033308122</v>
      </c>
      <c r="CU38" s="65">
        <f>Таблица1[[#This Row],[Т12]]-Таблица1[[#This Row],[Т1]]</f>
        <v>23041.798849674873</v>
      </c>
      <c r="CV38" s="65">
        <f>Таблица1[[#This Row],[Lкан_леб,мм]]+Таблица1[[#This Row],[Lкан_дуг, мм]]+Таблица1[[#This Row],[Lкан_прям, мм]]</f>
        <v>3528386.8418603814</v>
      </c>
      <c r="CW38" s="60">
        <f>3511128.4-(Таблица1[[#This Row],[Lкан_леб,мм]]+Таблица1[[#This Row],[∆Lлеб из за стрел]])</f>
        <v>5783.3569892942905</v>
      </c>
    </row>
    <row r="39" spans="1:101" x14ac:dyDescent="0.25">
      <c r="A39">
        <v>38</v>
      </c>
      <c r="B39">
        <v>68.872483221476458</v>
      </c>
      <c r="C39">
        <v>21.137516778523537</v>
      </c>
      <c r="D39">
        <v>1964.544195540009</v>
      </c>
      <c r="E39">
        <v>6055.2283623879057</v>
      </c>
      <c r="F39">
        <v>2682.1773532331104</v>
      </c>
      <c r="G39">
        <v>5292.353601382255</v>
      </c>
      <c r="H39">
        <v>2682.0437055400093</v>
      </c>
      <c r="I39">
        <v>4733.5489161151145</v>
      </c>
      <c r="J39">
        <v>1321.6794462727917</v>
      </c>
      <c r="K39">
        <v>17923.455153803981</v>
      </c>
      <c r="L39">
        <v>5072.5508983466952</v>
      </c>
      <c r="M39">
        <v>3505390.8358082301</v>
      </c>
      <c r="N39">
        <v>0</v>
      </c>
      <c r="O39">
        <v>8</v>
      </c>
      <c r="P39">
        <v>-3322.5</v>
      </c>
      <c r="Q39">
        <v>-2811.96</v>
      </c>
      <c r="R39">
        <v>-3280</v>
      </c>
      <c r="S39">
        <v>-914.66</v>
      </c>
      <c r="T39">
        <v>-7002</v>
      </c>
      <c r="U39">
        <v>520.34</v>
      </c>
      <c r="V39">
        <v>-7002.1</v>
      </c>
      <c r="W39">
        <v>2365</v>
      </c>
      <c r="X39">
        <v>-6252</v>
      </c>
      <c r="Y39">
        <v>3800</v>
      </c>
      <c r="Z39">
        <v>1964.544195540009</v>
      </c>
      <c r="AA39">
        <v>6055.2283623879057</v>
      </c>
      <c r="AB39">
        <v>0</v>
      </c>
      <c r="AC39">
        <v>1064.1696555107644</v>
      </c>
      <c r="AD39">
        <v>1127.0074684186504</v>
      </c>
      <c r="AE39">
        <v>1127.0852605320265</v>
      </c>
      <c r="AF39">
        <v>313.62107741930743</v>
      </c>
      <c r="AG39">
        <v>1440.6674364659466</v>
      </c>
      <c r="AH39">
        <v>1886.2998163666878</v>
      </c>
      <c r="AI39">
        <v>3721.9999999999995</v>
      </c>
      <c r="AJ39">
        <v>1844.6600027105269</v>
      </c>
      <c r="AK39">
        <v>750.10000000000059</v>
      </c>
      <c r="AL39">
        <v>8398.7158830252774</v>
      </c>
      <c r="AM39">
        <v>1321.6794517014873</v>
      </c>
      <c r="AN39">
        <v>-95.021003558665456</v>
      </c>
      <c r="AO39">
        <v>-180</v>
      </c>
      <c r="AP39">
        <v>-90.003106034687008</v>
      </c>
      <c r="AQ39">
        <v>1.2722218725854067E-14</v>
      </c>
      <c r="AR39">
        <v>-25.04413115327101</v>
      </c>
      <c r="AS39">
        <v>89.999999566492619</v>
      </c>
      <c r="AT39">
        <v>-2400.1625746957502</v>
      </c>
      <c r="AU39">
        <v>-3280</v>
      </c>
      <c r="AV39">
        <v>-7719.4999989457119</v>
      </c>
      <c r="AW39">
        <v>-7002.1</v>
      </c>
      <c r="AX39">
        <v>-5948.2706226854116</v>
      </c>
      <c r="AY39">
        <v>2682.0441955400092</v>
      </c>
      <c r="AZ39">
        <v>-2730.9252207921031</v>
      </c>
      <c r="BA39">
        <v>-197.16</v>
      </c>
      <c r="BB39">
        <v>520.3011039433311</v>
      </c>
      <c r="BC39">
        <v>3082.5000000000005</v>
      </c>
      <c r="BD39">
        <v>3149.9579126271187</v>
      </c>
      <c r="BE39">
        <v>6055.228367816605</v>
      </c>
      <c r="BF39">
        <v>-2565.2532760267472</v>
      </c>
      <c r="BG39">
        <v>-7002</v>
      </c>
      <c r="BH39">
        <v>-7719.5999989457123</v>
      </c>
      <c r="BI39">
        <v>-6252</v>
      </c>
      <c r="BJ39">
        <v>1660.8148182254213</v>
      </c>
      <c r="BK39">
        <v>2682.0442055400094</v>
      </c>
      <c r="BL39">
        <v>-851.86373761518519</v>
      </c>
      <c r="BM39">
        <v>-197.16</v>
      </c>
      <c r="BN39">
        <v>2364.9611039433312</v>
      </c>
      <c r="BO39">
        <v>3082.5000000000005</v>
      </c>
      <c r="BP39">
        <v>6705.2704497607874</v>
      </c>
      <c r="BQ39">
        <v>4733.5489161151181</v>
      </c>
      <c r="BR39">
        <v>0</v>
      </c>
      <c r="BS39">
        <v>84.97899644133453</v>
      </c>
      <c r="BT39">
        <v>89.996893965312992</v>
      </c>
      <c r="BU39">
        <v>90.003106034687022</v>
      </c>
      <c r="BV39">
        <v>25.044131153271024</v>
      </c>
      <c r="BW39">
        <v>115.04413071976363</v>
      </c>
      <c r="BX39" s="69">
        <f>Таблица1[[#This Row],[Lкан_леб,мм]]</f>
        <v>3505390.8358082301</v>
      </c>
      <c r="BY39" s="65">
        <f>Таблица1[[#This Row],[Т1]]+Таблица1[[#This Row],[Lпрям1, мм]]</f>
        <v>3507277.1356245968</v>
      </c>
      <c r="BZ39" s="65">
        <f>Таблица1[[#This Row],[Т2]]+Таблица1[[#This Row],[Lдуг 2,мм]]</f>
        <v>3508341.3052801075</v>
      </c>
      <c r="CA39" s="65">
        <f>Таблица1[[#This Row],[Т3]]+Таблица1[[#This Row],[Lпрям2, мм]]</f>
        <v>3512063.3052801075</v>
      </c>
      <c r="CB39" s="65">
        <f>Таблица1[[#This Row],[Т4]]+Таблица1[[#This Row],[Lдуг 3,мм]]</f>
        <v>3513190.3127485262</v>
      </c>
      <c r="CC39" s="65">
        <f>Таблица1[[#This Row],[Т5]]+Таблица1[[#This Row],[Lпрям3, мм]]</f>
        <v>3515034.9727512365</v>
      </c>
      <c r="CD39" s="65">
        <f>Таблица1[[#This Row],[Т6]]+Таблица1[[#This Row],[Lдуг 4,мм]]</f>
        <v>3516162.0580117684</v>
      </c>
      <c r="CE39" s="65">
        <f>Таблица1[[#This Row],[Т7]]+Таблица1[[#This Row],[Lпрям4, мм]]</f>
        <v>3516912.1580117685</v>
      </c>
      <c r="CF39" s="72">
        <f>Таблица1[[#This Row],[Т8]]+Таблица1[[#This Row],[Lдуг 5,мм]]</f>
        <v>3517225.7790891877</v>
      </c>
      <c r="CG39" s="65">
        <f>Таблица1[[#This Row],[Т9]]+Таблица1[[#This Row],[Lпрям5, мм]]</f>
        <v>3525624.4949722132</v>
      </c>
      <c r="CH39" s="65">
        <f>Таблица1[[#This Row],[Т10]]+Таблица1[[#This Row],[Lдуг 6,мм]]</f>
        <v>3527065.1624086793</v>
      </c>
      <c r="CI39" s="66">
        <f>Таблица1[[#This Row],[Т11]]+Таблица1[[#This Row],[Lпрям6, мм]]</f>
        <v>3528386.841860381</v>
      </c>
      <c r="CJ39" s="64">
        <f>Таблица1[[#This Row],[Т12]]-Таблица1[[#This Row],[Т12]]</f>
        <v>0</v>
      </c>
      <c r="CK39" s="65">
        <f>Таблица1[[#This Row],[Т12]]-Таблица1[[#This Row],[Т11]]</f>
        <v>1321.679451701697</v>
      </c>
      <c r="CL39" s="65">
        <f>Таблица1[[#This Row],[Т12]]-Таблица1[[#This Row],[Т10]]</f>
        <v>2762.3468881677836</v>
      </c>
      <c r="CM39" s="65">
        <f>Таблица1[[#This Row],[Т12]]-Таблица1[[#This Row],[Т9]]</f>
        <v>11161.062771193217</v>
      </c>
      <c r="CN39" s="65">
        <f>Таблица1[[#This Row],[Т12]]-Таблица1[[#This Row],[Т8]]</f>
        <v>11474.683848612476</v>
      </c>
      <c r="CO39" s="65">
        <f>Таблица1[[#This Row],[Т12]]-Таблица1[[#This Row],[Т7]]</f>
        <v>12224.783848612569</v>
      </c>
      <c r="CP39" s="65">
        <f>Таблица1[[#This Row],[Т12]]-Таблица1[[#This Row],[Т6]]</f>
        <v>13351.869109144434</v>
      </c>
      <c r="CQ39" s="65">
        <f>Таблица1[[#This Row],[Т12]]-Таблица1[[#This Row],[Т5]]</f>
        <v>15196.529111854732</v>
      </c>
      <c r="CR39" s="65">
        <f>Таблица1[[#This Row],[Т12]]-Таблица1[[#This Row],[Т4]]</f>
        <v>16323.536580273416</v>
      </c>
      <c r="CS39" s="65">
        <f>Таблица1[[#This Row],[Т12]]-Таблица1[[#This Row],[Т3]]</f>
        <v>20045.536580273416</v>
      </c>
      <c r="CT39" s="65">
        <f>Таблица1[[#This Row],[Т12]]-Таблица1[[#This Row],[Т2]]</f>
        <v>21109.706235784106</v>
      </c>
      <c r="CU39" s="65">
        <f>Таблица1[[#This Row],[Т12]]-Таблица1[[#This Row],[Т1]]</f>
        <v>22996.006052150857</v>
      </c>
      <c r="CV39" s="65">
        <f>Таблица1[[#This Row],[Lкан_леб,мм]]+Таблица1[[#This Row],[Lкан_дуг, мм]]+Таблица1[[#This Row],[Lкан_прям, мм]]</f>
        <v>3528386.8418603805</v>
      </c>
      <c r="CW39" s="60">
        <f>3511128.4-(Таблица1[[#This Row],[Lкан_леб,мм]]+Таблица1[[#This Row],[∆Lлеб из за стрел]])</f>
        <v>5737.5641917698085</v>
      </c>
    </row>
    <row r="40" spans="1:101" x14ac:dyDescent="0.25">
      <c r="A40">
        <v>39</v>
      </c>
      <c r="B40">
        <v>69.382550335570414</v>
      </c>
      <c r="C40">
        <v>20.62744966442958</v>
      </c>
      <c r="D40">
        <v>1902.6532795291432</v>
      </c>
      <c r="E40">
        <v>6078.8281533762265</v>
      </c>
      <c r="F40">
        <v>2620.2864372222448</v>
      </c>
      <c r="G40">
        <v>5315.9533923705758</v>
      </c>
      <c r="H40">
        <v>2620.1527895291433</v>
      </c>
      <c r="I40">
        <v>4757.1487071037118</v>
      </c>
      <c r="J40">
        <v>1321.6794462725154</v>
      </c>
      <c r="K40">
        <v>17869.330504742826</v>
      </c>
      <c r="L40">
        <v>5080.7292283127763</v>
      </c>
      <c r="M40">
        <v>3505436.7821273254</v>
      </c>
      <c r="N40">
        <v>0</v>
      </c>
      <c r="O40">
        <v>8</v>
      </c>
      <c r="P40">
        <v>-3322.5</v>
      </c>
      <c r="Q40">
        <v>-2811.96</v>
      </c>
      <c r="R40">
        <v>-3280</v>
      </c>
      <c r="S40">
        <v>-914.66</v>
      </c>
      <c r="T40">
        <v>-7002</v>
      </c>
      <c r="U40">
        <v>520.34</v>
      </c>
      <c r="V40">
        <v>-7002.1</v>
      </c>
      <c r="W40">
        <v>2365</v>
      </c>
      <c r="X40">
        <v>-6252</v>
      </c>
      <c r="Y40">
        <v>3800</v>
      </c>
      <c r="Z40">
        <v>1902.6532795291432</v>
      </c>
      <c r="AA40">
        <v>6078.8281533762265</v>
      </c>
      <c r="AB40">
        <v>0</v>
      </c>
      <c r="AC40">
        <v>1064.1696555107644</v>
      </c>
      <c r="AD40">
        <v>1127.0074684186504</v>
      </c>
      <c r="AE40">
        <v>1127.0852605320265</v>
      </c>
      <c r="AF40">
        <v>317.71024240234834</v>
      </c>
      <c r="AG40">
        <v>1444.7566014489873</v>
      </c>
      <c r="AH40">
        <v>1886.2998163666878</v>
      </c>
      <c r="AI40">
        <v>3721.9999999999995</v>
      </c>
      <c r="AJ40">
        <v>1844.6600027105269</v>
      </c>
      <c r="AK40">
        <v>750.10000000000059</v>
      </c>
      <c r="AL40">
        <v>8344.5912339644001</v>
      </c>
      <c r="AM40">
        <v>1321.6794517012111</v>
      </c>
      <c r="AN40">
        <v>-95.021003558665456</v>
      </c>
      <c r="AO40">
        <v>-180</v>
      </c>
      <c r="AP40">
        <v>-90.003106034687008</v>
      </c>
      <c r="AQ40">
        <v>1.2722218725854067E-14</v>
      </c>
      <c r="AR40">
        <v>-25.370670380115509</v>
      </c>
      <c r="AS40">
        <v>89.999999566492619</v>
      </c>
      <c r="AT40">
        <v>-2400.1625746957502</v>
      </c>
      <c r="AU40">
        <v>-3280</v>
      </c>
      <c r="AV40">
        <v>-7719.4999989457119</v>
      </c>
      <c r="AW40">
        <v>-7002.1</v>
      </c>
      <c r="AX40">
        <v>-5944.5708655163508</v>
      </c>
      <c r="AY40">
        <v>2620.1532795291432</v>
      </c>
      <c r="AZ40">
        <v>-2730.9252207921031</v>
      </c>
      <c r="BA40">
        <v>-197.16</v>
      </c>
      <c r="BB40">
        <v>520.3011039433311</v>
      </c>
      <c r="BC40">
        <v>3082.5000000000005</v>
      </c>
      <c r="BD40">
        <v>3151.6994699441975</v>
      </c>
      <c r="BE40">
        <v>6078.8281588049258</v>
      </c>
      <c r="BF40">
        <v>-2565.2532760267472</v>
      </c>
      <c r="BG40">
        <v>-7002</v>
      </c>
      <c r="BH40">
        <v>-7719.5999989457123</v>
      </c>
      <c r="BI40">
        <v>-6252</v>
      </c>
      <c r="BJ40">
        <v>1595.2241450454944</v>
      </c>
      <c r="BK40">
        <v>2620.1532895291434</v>
      </c>
      <c r="BL40">
        <v>-851.86373761518519</v>
      </c>
      <c r="BM40">
        <v>-197.16</v>
      </c>
      <c r="BN40">
        <v>2364.9611039433312</v>
      </c>
      <c r="BO40">
        <v>3082.5000000000005</v>
      </c>
      <c r="BP40">
        <v>6727.1286834320299</v>
      </c>
      <c r="BQ40">
        <v>4757.1487071037154</v>
      </c>
      <c r="BR40">
        <v>0</v>
      </c>
      <c r="BS40">
        <v>84.97899644133453</v>
      </c>
      <c r="BT40">
        <v>89.996893965312992</v>
      </c>
      <c r="BU40">
        <v>90.003106034687022</v>
      </c>
      <c r="BV40">
        <v>25.37067038011552</v>
      </c>
      <c r="BW40">
        <v>115.37066994660813</v>
      </c>
      <c r="BX40" s="69">
        <f>Таблица1[[#This Row],[Lкан_леб,мм]]</f>
        <v>3505436.7821273254</v>
      </c>
      <c r="BY40" s="65">
        <f>Таблица1[[#This Row],[Т1]]+Таблица1[[#This Row],[Lпрям1, мм]]</f>
        <v>3507323.0819436922</v>
      </c>
      <c r="BZ40" s="65">
        <f>Таблица1[[#This Row],[Т2]]+Таблица1[[#This Row],[Lдуг 2,мм]]</f>
        <v>3508387.2515992029</v>
      </c>
      <c r="CA40" s="65">
        <f>Таблица1[[#This Row],[Т3]]+Таблица1[[#This Row],[Lпрям2, мм]]</f>
        <v>3512109.2515992029</v>
      </c>
      <c r="CB40" s="65">
        <f>Таблица1[[#This Row],[Т4]]+Таблица1[[#This Row],[Lдуг 3,мм]]</f>
        <v>3513236.2590676215</v>
      </c>
      <c r="CC40" s="65">
        <f>Таблица1[[#This Row],[Т5]]+Таблица1[[#This Row],[Lпрям3, мм]]</f>
        <v>3515080.9190703318</v>
      </c>
      <c r="CD40" s="65">
        <f>Таблица1[[#This Row],[Т6]]+Таблица1[[#This Row],[Lдуг 4,мм]]</f>
        <v>3516208.0043308637</v>
      </c>
      <c r="CE40" s="65">
        <f>Таблица1[[#This Row],[Т7]]+Таблица1[[#This Row],[Lпрям4, мм]]</f>
        <v>3516958.1043308638</v>
      </c>
      <c r="CF40" s="72">
        <f>Таблица1[[#This Row],[Т8]]+Таблица1[[#This Row],[Lдуг 5,мм]]</f>
        <v>3517275.8145732661</v>
      </c>
      <c r="CG40" s="65">
        <f>Таблица1[[#This Row],[Т9]]+Таблица1[[#This Row],[Lпрям5, мм]]</f>
        <v>3525620.4058072306</v>
      </c>
      <c r="CH40" s="65">
        <f>Таблица1[[#This Row],[Т10]]+Таблица1[[#This Row],[Lдуг 6,мм]]</f>
        <v>3527065.1624086797</v>
      </c>
      <c r="CI40" s="66">
        <f>Таблица1[[#This Row],[Т11]]+Таблица1[[#This Row],[Lпрям6, мм]]</f>
        <v>3528386.841860381</v>
      </c>
      <c r="CJ40" s="64">
        <f>Таблица1[[#This Row],[Т12]]-Таблица1[[#This Row],[Т12]]</f>
        <v>0</v>
      </c>
      <c r="CK40" s="65">
        <f>Таблица1[[#This Row],[Т12]]-Таблица1[[#This Row],[Т11]]</f>
        <v>1321.6794517012313</v>
      </c>
      <c r="CL40" s="65">
        <f>Таблица1[[#This Row],[Т12]]-Таблица1[[#This Row],[Т10]]</f>
        <v>2766.4360531503335</v>
      </c>
      <c r="CM40" s="65">
        <f>Таблица1[[#This Row],[Т12]]-Таблица1[[#This Row],[Т9]]</f>
        <v>11111.027287114877</v>
      </c>
      <c r="CN40" s="65">
        <f>Таблица1[[#This Row],[Т12]]-Таблица1[[#This Row],[Т8]]</f>
        <v>11428.737529517151</v>
      </c>
      <c r="CO40" s="65">
        <f>Таблица1[[#This Row],[Т12]]-Таблица1[[#This Row],[Т7]]</f>
        <v>12178.837529517245</v>
      </c>
      <c r="CP40" s="65">
        <f>Таблица1[[#This Row],[Т12]]-Таблица1[[#This Row],[Т6]]</f>
        <v>13305.92279004911</v>
      </c>
      <c r="CQ40" s="65">
        <f>Таблица1[[#This Row],[Т12]]-Таблица1[[#This Row],[Т5]]</f>
        <v>15150.582792759407</v>
      </c>
      <c r="CR40" s="65">
        <f>Таблица1[[#This Row],[Т12]]-Таблица1[[#This Row],[Т4]]</f>
        <v>16277.590261178091</v>
      </c>
      <c r="CS40" s="65">
        <f>Таблица1[[#This Row],[Т12]]-Таблица1[[#This Row],[Т3]]</f>
        <v>19999.590261178091</v>
      </c>
      <c r="CT40" s="65">
        <f>Таблица1[[#This Row],[Т12]]-Таблица1[[#This Row],[Т2]]</f>
        <v>21063.759916688781</v>
      </c>
      <c r="CU40" s="65">
        <f>Таблица1[[#This Row],[Т12]]-Таблица1[[#This Row],[Т1]]</f>
        <v>22950.059733055532</v>
      </c>
      <c r="CV40" s="65">
        <f>Таблица1[[#This Row],[Lкан_леб,мм]]+Таблица1[[#This Row],[Lкан_дуг, мм]]+Таблица1[[#This Row],[Lкан_прям, мм]]</f>
        <v>3528386.841860381</v>
      </c>
      <c r="CW40" s="60">
        <f>3511128.4-(Таблица1[[#This Row],[Lкан_леб,мм]]+Таблица1[[#This Row],[∆Lлеб из за стрел]])</f>
        <v>5691.6178726744838</v>
      </c>
    </row>
    <row r="41" spans="1:101" x14ac:dyDescent="0.25">
      <c r="A41">
        <v>40</v>
      </c>
      <c r="B41">
        <v>69.892617449664371</v>
      </c>
      <c r="C41">
        <v>20.117382550335623</v>
      </c>
      <c r="D41">
        <v>1840.5547251495545</v>
      </c>
      <c r="E41">
        <v>6101.8760418548209</v>
      </c>
      <c r="F41">
        <v>2558.1878828426561</v>
      </c>
      <c r="G41">
        <v>5339.0012808491701</v>
      </c>
      <c r="H41">
        <v>2558.0542351495546</v>
      </c>
      <c r="I41">
        <v>4780.1965955821133</v>
      </c>
      <c r="J41">
        <v>1321.6794462727073</v>
      </c>
      <c r="K41">
        <v>17815.025773162328</v>
      </c>
      <c r="L41">
        <v>5088.9355099220456</v>
      </c>
      <c r="M41">
        <v>3505482.8805772965</v>
      </c>
      <c r="N41">
        <v>0</v>
      </c>
      <c r="O41">
        <v>8</v>
      </c>
      <c r="P41">
        <v>-3322.5</v>
      </c>
      <c r="Q41">
        <v>-2811.96</v>
      </c>
      <c r="R41">
        <v>-3280</v>
      </c>
      <c r="S41">
        <v>-914.66</v>
      </c>
      <c r="T41">
        <v>-7002</v>
      </c>
      <c r="U41">
        <v>520.34</v>
      </c>
      <c r="V41">
        <v>-7002.1</v>
      </c>
      <c r="W41">
        <v>2365</v>
      </c>
      <c r="X41">
        <v>-6252</v>
      </c>
      <c r="Y41">
        <v>3800</v>
      </c>
      <c r="Z41">
        <v>1840.5547251495545</v>
      </c>
      <c r="AA41">
        <v>6101.8760418548209</v>
      </c>
      <c r="AB41">
        <v>0</v>
      </c>
      <c r="AC41">
        <v>1064.1696555107644</v>
      </c>
      <c r="AD41">
        <v>1127.0074684186504</v>
      </c>
      <c r="AE41">
        <v>1127.0852605320265</v>
      </c>
      <c r="AF41">
        <v>321.81338320698262</v>
      </c>
      <c r="AG41">
        <v>1448.859742253622</v>
      </c>
      <c r="AH41">
        <v>1886.2998163666878</v>
      </c>
      <c r="AI41">
        <v>3721.9999999999995</v>
      </c>
      <c r="AJ41">
        <v>1844.6600027105269</v>
      </c>
      <c r="AK41">
        <v>750.10000000000059</v>
      </c>
      <c r="AL41">
        <v>8290.286502383713</v>
      </c>
      <c r="AM41">
        <v>1321.679451701403</v>
      </c>
      <c r="AN41">
        <v>-95.021003558665456</v>
      </c>
      <c r="AO41">
        <v>-180</v>
      </c>
      <c r="AP41">
        <v>-90.003106034687008</v>
      </c>
      <c r="AQ41">
        <v>1.2722218725854067E-14</v>
      </c>
      <c r="AR41">
        <v>-25.698325642629037</v>
      </c>
      <c r="AS41">
        <v>89.999999566492619</v>
      </c>
      <c r="AT41">
        <v>-2400.1625746957502</v>
      </c>
      <c r="AU41">
        <v>-3280</v>
      </c>
      <c r="AV41">
        <v>-7719.4999989457119</v>
      </c>
      <c r="AW41">
        <v>-7002.1</v>
      </c>
      <c r="AX41">
        <v>-5940.8685003076553</v>
      </c>
      <c r="AY41">
        <v>2558.054725149555</v>
      </c>
      <c r="AZ41">
        <v>-2730.9252207921031</v>
      </c>
      <c r="BA41">
        <v>-197.16</v>
      </c>
      <c r="BB41">
        <v>520.3011039433311</v>
      </c>
      <c r="BC41">
        <v>3082.5000000000005</v>
      </c>
      <c r="BD41">
        <v>3153.4681447142816</v>
      </c>
      <c r="BE41">
        <v>6101.8760472835202</v>
      </c>
      <c r="BF41">
        <v>-2565.2532760267472</v>
      </c>
      <c r="BG41">
        <v>-7002</v>
      </c>
      <c r="BH41">
        <v>-7719.5999989457123</v>
      </c>
      <c r="BI41">
        <v>-6252</v>
      </c>
      <c r="BJ41">
        <v>1529.4232254572109</v>
      </c>
      <c r="BK41">
        <v>2558.0547351495547</v>
      </c>
      <c r="BL41">
        <v>-851.86373761518519</v>
      </c>
      <c r="BM41">
        <v>-197.16</v>
      </c>
      <c r="BN41">
        <v>2364.9611039433312</v>
      </c>
      <c r="BO41">
        <v>3082.5000000000005</v>
      </c>
      <c r="BP41">
        <v>6748.4078971405388</v>
      </c>
      <c r="BQ41">
        <v>4780.196595582117</v>
      </c>
      <c r="BR41">
        <v>0</v>
      </c>
      <c r="BS41">
        <v>84.97899644133453</v>
      </c>
      <c r="BT41">
        <v>89.996893965312992</v>
      </c>
      <c r="BU41">
        <v>90.003106034687022</v>
      </c>
      <c r="BV41">
        <v>25.698325642629051</v>
      </c>
      <c r="BW41">
        <v>115.69832520912166</v>
      </c>
      <c r="BX41" s="69">
        <f>Таблица1[[#This Row],[Lкан_леб,мм]]</f>
        <v>3505482.8805772965</v>
      </c>
      <c r="BY41" s="65">
        <f>Таблица1[[#This Row],[Т1]]+Таблица1[[#This Row],[Lпрям1, мм]]</f>
        <v>3507369.1803936632</v>
      </c>
      <c r="BZ41" s="65">
        <f>Таблица1[[#This Row],[Т2]]+Таблица1[[#This Row],[Lдуг 2,мм]]</f>
        <v>3508433.3500491739</v>
      </c>
      <c r="CA41" s="65">
        <f>Таблица1[[#This Row],[Т3]]+Таблица1[[#This Row],[Lпрям2, мм]]</f>
        <v>3512155.3500491739</v>
      </c>
      <c r="CB41" s="65">
        <f>Таблица1[[#This Row],[Т4]]+Таблица1[[#This Row],[Lдуг 3,мм]]</f>
        <v>3513282.3575175926</v>
      </c>
      <c r="CC41" s="65">
        <f>Таблица1[[#This Row],[Т5]]+Таблица1[[#This Row],[Lпрям3, мм]]</f>
        <v>3515127.0175203029</v>
      </c>
      <c r="CD41" s="65">
        <f>Таблица1[[#This Row],[Т6]]+Таблица1[[#This Row],[Lдуг 4,мм]]</f>
        <v>3516254.1027808348</v>
      </c>
      <c r="CE41" s="65">
        <f>Таблица1[[#This Row],[Т7]]+Таблица1[[#This Row],[Lпрям4, мм]]</f>
        <v>3517004.2027808349</v>
      </c>
      <c r="CF41" s="72">
        <f>Таблица1[[#This Row],[Т8]]+Таблица1[[#This Row],[Lдуг 5,мм]]</f>
        <v>3517326.0161640421</v>
      </c>
      <c r="CG41" s="65">
        <f>Таблица1[[#This Row],[Т9]]+Таблица1[[#This Row],[Lпрям5, мм]]</f>
        <v>3525616.3026664257</v>
      </c>
      <c r="CH41" s="65">
        <f>Таблица1[[#This Row],[Т10]]+Таблица1[[#This Row],[Lдуг 6,мм]]</f>
        <v>3527065.1624086793</v>
      </c>
      <c r="CI41" s="66">
        <f>Таблица1[[#This Row],[Т11]]+Таблица1[[#This Row],[Lпрям6, мм]]</f>
        <v>3528386.8418603805</v>
      </c>
      <c r="CJ41" s="64">
        <f>Таблица1[[#This Row],[Т12]]-Таблица1[[#This Row],[Т12]]</f>
        <v>0</v>
      </c>
      <c r="CK41" s="65">
        <f>Таблица1[[#This Row],[Т12]]-Таблица1[[#This Row],[Т11]]</f>
        <v>1321.6794517012313</v>
      </c>
      <c r="CL41" s="65">
        <f>Таблица1[[#This Row],[Т12]]-Таблица1[[#This Row],[Т10]]</f>
        <v>2770.5391939547844</v>
      </c>
      <c r="CM41" s="65">
        <f>Таблица1[[#This Row],[Т12]]-Таблица1[[#This Row],[Т9]]</f>
        <v>11060.825696338434</v>
      </c>
      <c r="CN41" s="65">
        <f>Таблица1[[#This Row],[Т12]]-Таблица1[[#This Row],[Т8]]</f>
        <v>11382.639079545625</v>
      </c>
      <c r="CO41" s="65">
        <f>Таблица1[[#This Row],[Т12]]-Таблица1[[#This Row],[Т7]]</f>
        <v>12132.739079545718</v>
      </c>
      <c r="CP41" s="65">
        <f>Таблица1[[#This Row],[Т12]]-Таблица1[[#This Row],[Т6]]</f>
        <v>13259.824340077583</v>
      </c>
      <c r="CQ41" s="65">
        <f>Таблица1[[#This Row],[Т12]]-Таблица1[[#This Row],[Т5]]</f>
        <v>15104.48434278788</v>
      </c>
      <c r="CR41" s="65">
        <f>Таблица1[[#This Row],[Т12]]-Таблица1[[#This Row],[Т4]]</f>
        <v>16231.491811206564</v>
      </c>
      <c r="CS41" s="65">
        <f>Таблица1[[#This Row],[Т12]]-Таблица1[[#This Row],[Т3]]</f>
        <v>19953.491811206564</v>
      </c>
      <c r="CT41" s="65">
        <f>Таблица1[[#This Row],[Т12]]-Таблица1[[#This Row],[Т2]]</f>
        <v>21017.661466717254</v>
      </c>
      <c r="CU41" s="65">
        <f>Таблица1[[#This Row],[Т12]]-Таблица1[[#This Row],[Т1]]</f>
        <v>22903.961283084005</v>
      </c>
      <c r="CV41" s="65">
        <f>Таблица1[[#This Row],[Lкан_леб,мм]]+Таблица1[[#This Row],[Lкан_дуг, мм]]+Таблица1[[#This Row],[Lкан_прям, мм]]</f>
        <v>3528386.841860381</v>
      </c>
      <c r="CW41" s="60">
        <f>3511128.4-(Таблица1[[#This Row],[Lкан_леб,мм]]+Таблица1[[#This Row],[∆Lлеб из за стрел]])</f>
        <v>5645.5194227034226</v>
      </c>
    </row>
    <row r="42" spans="1:101" x14ac:dyDescent="0.25">
      <c r="A42">
        <v>41</v>
      </c>
      <c r="B42">
        <v>70.402684563758328</v>
      </c>
      <c r="C42">
        <v>19.60731543624167</v>
      </c>
      <c r="D42">
        <v>1778.253453793762</v>
      </c>
      <c r="E42">
        <v>6124.3702012480589</v>
      </c>
      <c r="F42">
        <v>2495.8866114868633</v>
      </c>
      <c r="G42">
        <v>5361.4954402424082</v>
      </c>
      <c r="H42">
        <v>2495.7529637937619</v>
      </c>
      <c r="I42">
        <v>4802.6907549755542</v>
      </c>
      <c r="J42">
        <v>1321.6794462725047</v>
      </c>
      <c r="K42">
        <v>17760.541743192171</v>
      </c>
      <c r="L42">
        <v>5097.1703629729545</v>
      </c>
      <c r="M42">
        <v>3505529.1297542155</v>
      </c>
      <c r="N42">
        <v>0</v>
      </c>
      <c r="O42">
        <v>8</v>
      </c>
      <c r="P42">
        <v>-3322.5</v>
      </c>
      <c r="Q42">
        <v>-2811.96</v>
      </c>
      <c r="R42">
        <v>-3280</v>
      </c>
      <c r="S42">
        <v>-914.66</v>
      </c>
      <c r="T42">
        <v>-7002</v>
      </c>
      <c r="U42">
        <v>520.34</v>
      </c>
      <c r="V42">
        <v>-7002.1</v>
      </c>
      <c r="W42">
        <v>2365</v>
      </c>
      <c r="X42">
        <v>-6252</v>
      </c>
      <c r="Y42">
        <v>3800</v>
      </c>
      <c r="Z42">
        <v>1778.253453793762</v>
      </c>
      <c r="AA42">
        <v>6124.3702012480589</v>
      </c>
      <c r="AB42">
        <v>0</v>
      </c>
      <c r="AC42">
        <v>1064.1696555107644</v>
      </c>
      <c r="AD42">
        <v>1127.0074684186504</v>
      </c>
      <c r="AE42">
        <v>1127.0852605320265</v>
      </c>
      <c r="AF42">
        <v>325.93080973243707</v>
      </c>
      <c r="AG42">
        <v>1452.9771687790762</v>
      </c>
      <c r="AH42">
        <v>1886.2998163666878</v>
      </c>
      <c r="AI42">
        <v>3721.9999999999995</v>
      </c>
      <c r="AJ42">
        <v>1844.6600027105269</v>
      </c>
      <c r="AK42">
        <v>750.10000000000059</v>
      </c>
      <c r="AL42">
        <v>8235.8024724137576</v>
      </c>
      <c r="AM42">
        <v>1321.6794517012004</v>
      </c>
      <c r="AN42">
        <v>-95.021003558665456</v>
      </c>
      <c r="AO42">
        <v>-180</v>
      </c>
      <c r="AP42">
        <v>-90.003106034687008</v>
      </c>
      <c r="AQ42">
        <v>1.2722218725854067E-14</v>
      </c>
      <c r="AR42">
        <v>-26.02712168773532</v>
      </c>
      <c r="AS42">
        <v>89.999999566492605</v>
      </c>
      <c r="AT42">
        <v>-2400.1625746957502</v>
      </c>
      <c r="AU42">
        <v>-3280</v>
      </c>
      <c r="AV42">
        <v>-7719.4999989457119</v>
      </c>
      <c r="AW42">
        <v>-7002.1</v>
      </c>
      <c r="AX42">
        <v>-5937.1634730209344</v>
      </c>
      <c r="AY42">
        <v>2495.7534537937622</v>
      </c>
      <c r="AZ42">
        <v>-2730.9252207921031</v>
      </c>
      <c r="BA42">
        <v>-197.16</v>
      </c>
      <c r="BB42">
        <v>520.3011039433311</v>
      </c>
      <c r="BC42">
        <v>3082.5000000000005</v>
      </c>
      <c r="BD42">
        <v>3155.264231425183</v>
      </c>
      <c r="BE42">
        <v>6124.3702066767582</v>
      </c>
      <c r="BF42">
        <v>-2565.2532760267472</v>
      </c>
      <c r="BG42">
        <v>-7002</v>
      </c>
      <c r="BH42">
        <v>-7719.5999989457123</v>
      </c>
      <c r="BI42">
        <v>-6252</v>
      </c>
      <c r="BJ42">
        <v>1463.416926814697</v>
      </c>
      <c r="BK42">
        <v>2495.753463793762</v>
      </c>
      <c r="BL42">
        <v>-851.86373761518519</v>
      </c>
      <c r="BM42">
        <v>-197.16</v>
      </c>
      <c r="BN42">
        <v>2364.9611039433312</v>
      </c>
      <c r="BO42">
        <v>3082.5000000000005</v>
      </c>
      <c r="BP42">
        <v>6769.1059698228755</v>
      </c>
      <c r="BQ42">
        <v>4802.6907549755579</v>
      </c>
      <c r="BR42">
        <v>0</v>
      </c>
      <c r="BS42">
        <v>84.97899644133453</v>
      </c>
      <c r="BT42">
        <v>89.996893965312992</v>
      </c>
      <c r="BU42">
        <v>90.003106034687022</v>
      </c>
      <c r="BV42">
        <v>26.027121687735331</v>
      </c>
      <c r="BW42">
        <v>116.02712125422794</v>
      </c>
      <c r="BX42" s="69">
        <f>Таблица1[[#This Row],[Lкан_леб,мм]]</f>
        <v>3505529.1297542155</v>
      </c>
      <c r="BY42" s="65">
        <f>Таблица1[[#This Row],[Т1]]+Таблица1[[#This Row],[Lпрям1, мм]]</f>
        <v>3507415.4295705822</v>
      </c>
      <c r="BZ42" s="65">
        <f>Таблица1[[#This Row],[Т2]]+Таблица1[[#This Row],[Lдуг 2,мм]]</f>
        <v>3508479.5992260929</v>
      </c>
      <c r="CA42" s="65">
        <f>Таблица1[[#This Row],[Т3]]+Таблица1[[#This Row],[Lпрям2, мм]]</f>
        <v>3512201.5992260929</v>
      </c>
      <c r="CB42" s="65">
        <f>Таблица1[[#This Row],[Т4]]+Таблица1[[#This Row],[Lдуг 3,мм]]</f>
        <v>3513328.6066945116</v>
      </c>
      <c r="CC42" s="65">
        <f>Таблица1[[#This Row],[Т5]]+Таблица1[[#This Row],[Lпрям3, мм]]</f>
        <v>3515173.2666972219</v>
      </c>
      <c r="CD42" s="65">
        <f>Таблица1[[#This Row],[Т6]]+Таблица1[[#This Row],[Lдуг 4,мм]]</f>
        <v>3516300.3519577538</v>
      </c>
      <c r="CE42" s="65">
        <f>Таблица1[[#This Row],[Т7]]+Таблица1[[#This Row],[Lпрям4, мм]]</f>
        <v>3517050.4519577539</v>
      </c>
      <c r="CF42" s="72">
        <f>Таблица1[[#This Row],[Т8]]+Таблица1[[#This Row],[Lдуг 5,мм]]</f>
        <v>3517376.3827674864</v>
      </c>
      <c r="CG42" s="65">
        <f>Таблица1[[#This Row],[Т9]]+Таблица1[[#This Row],[Lпрям5, мм]]</f>
        <v>3525612.1852399004</v>
      </c>
      <c r="CH42" s="65">
        <f>Таблица1[[#This Row],[Т10]]+Таблица1[[#This Row],[Lдуг 6,мм]]</f>
        <v>3527065.1624086793</v>
      </c>
      <c r="CI42" s="66">
        <f>Таблица1[[#This Row],[Т11]]+Таблица1[[#This Row],[Lпрям6, мм]]</f>
        <v>3528386.8418603805</v>
      </c>
      <c r="CJ42" s="64">
        <f>Таблица1[[#This Row],[Т12]]-Таблица1[[#This Row],[Т12]]</f>
        <v>0</v>
      </c>
      <c r="CK42" s="65">
        <f>Таблица1[[#This Row],[Т12]]-Таблица1[[#This Row],[Т11]]</f>
        <v>1321.6794517012313</v>
      </c>
      <c r="CL42" s="65">
        <f>Таблица1[[#This Row],[Т12]]-Таблица1[[#This Row],[Т10]]</f>
        <v>2774.6566204801202</v>
      </c>
      <c r="CM42" s="65">
        <f>Таблица1[[#This Row],[Т12]]-Таблица1[[#This Row],[Т9]]</f>
        <v>11010.459092894103</v>
      </c>
      <c r="CN42" s="65">
        <f>Таблица1[[#This Row],[Т12]]-Таблица1[[#This Row],[Т8]]</f>
        <v>11336.38990262663</v>
      </c>
      <c r="CO42" s="65">
        <f>Таблица1[[#This Row],[Т12]]-Таблица1[[#This Row],[Т7]]</f>
        <v>12086.489902626723</v>
      </c>
      <c r="CP42" s="65">
        <f>Таблица1[[#This Row],[Т12]]-Таблица1[[#This Row],[Т6]]</f>
        <v>13213.575163158588</v>
      </c>
      <c r="CQ42" s="65">
        <f>Таблица1[[#This Row],[Т12]]-Таблица1[[#This Row],[Т5]]</f>
        <v>15058.235165868886</v>
      </c>
      <c r="CR42" s="65">
        <f>Таблица1[[#This Row],[Т12]]-Таблица1[[#This Row],[Т4]]</f>
        <v>16185.24263428757</v>
      </c>
      <c r="CS42" s="65">
        <f>Таблица1[[#This Row],[Т12]]-Таблица1[[#This Row],[Т3]]</f>
        <v>19907.24263428757</v>
      </c>
      <c r="CT42" s="65">
        <f>Таблица1[[#This Row],[Т12]]-Таблица1[[#This Row],[Т2]]</f>
        <v>20971.41228979826</v>
      </c>
      <c r="CU42" s="65">
        <f>Таблица1[[#This Row],[Т12]]-Таблица1[[#This Row],[Т1]]</f>
        <v>22857.71210616501</v>
      </c>
      <c r="CV42" s="65">
        <f>Таблица1[[#This Row],[Lкан_леб,мм]]+Таблица1[[#This Row],[Lкан_дуг, мм]]+Таблица1[[#This Row],[Lкан_прям, мм]]</f>
        <v>3528386.841860381</v>
      </c>
      <c r="CW42" s="60">
        <f>3511128.4-(Таблица1[[#This Row],[Lкан_леб,мм]]+Таблица1[[#This Row],[∆Lлеб из за стрел]])</f>
        <v>5599.270245784428</v>
      </c>
    </row>
    <row r="43" spans="1:101" x14ac:dyDescent="0.25">
      <c r="A43">
        <v>42</v>
      </c>
      <c r="B43">
        <v>70.912751677852285</v>
      </c>
      <c r="C43">
        <v>19.097248322147713</v>
      </c>
      <c r="D43">
        <v>1715.7544029198757</v>
      </c>
      <c r="E43">
        <v>6146.3088488640769</v>
      </c>
      <c r="F43">
        <v>2433.3875606129773</v>
      </c>
      <c r="G43">
        <v>5383.4340878584253</v>
      </c>
      <c r="H43">
        <v>2433.2539129198758</v>
      </c>
      <c r="I43">
        <v>4824.6294025911693</v>
      </c>
      <c r="J43">
        <v>1321.6794462729081</v>
      </c>
      <c r="K43">
        <v>17705.879193766748</v>
      </c>
      <c r="L43">
        <v>5105.4344260464186</v>
      </c>
      <c r="M43">
        <v>3505575.528240568</v>
      </c>
      <c r="N43">
        <v>0</v>
      </c>
      <c r="O43">
        <v>8</v>
      </c>
      <c r="P43">
        <v>-3322.5</v>
      </c>
      <c r="Q43">
        <v>-2811.96</v>
      </c>
      <c r="R43">
        <v>-3280</v>
      </c>
      <c r="S43">
        <v>-914.66</v>
      </c>
      <c r="T43">
        <v>-7002</v>
      </c>
      <c r="U43">
        <v>520.34</v>
      </c>
      <c r="V43">
        <v>-7002.1</v>
      </c>
      <c r="W43">
        <v>2365</v>
      </c>
      <c r="X43">
        <v>-6252</v>
      </c>
      <c r="Y43">
        <v>3800</v>
      </c>
      <c r="Z43">
        <v>1715.7544029198757</v>
      </c>
      <c r="AA43">
        <v>6146.3088488640769</v>
      </c>
      <c r="AB43">
        <v>0</v>
      </c>
      <c r="AC43">
        <v>1064.1696555107644</v>
      </c>
      <c r="AD43">
        <v>1127.0074684186504</v>
      </c>
      <c r="AE43">
        <v>1127.0852605320265</v>
      </c>
      <c r="AF43">
        <v>330.06284126916887</v>
      </c>
      <c r="AG43">
        <v>1457.109200315808</v>
      </c>
      <c r="AH43">
        <v>1886.2998163666878</v>
      </c>
      <c r="AI43">
        <v>3721.9999999999995</v>
      </c>
      <c r="AJ43">
        <v>1844.6600027105269</v>
      </c>
      <c r="AK43">
        <v>750.10000000000059</v>
      </c>
      <c r="AL43">
        <v>8181.139922987928</v>
      </c>
      <c r="AM43">
        <v>1321.6794517016037</v>
      </c>
      <c r="AN43">
        <v>-95.021003558665456</v>
      </c>
      <c r="AO43">
        <v>-180</v>
      </c>
      <c r="AP43">
        <v>-90.003106034687008</v>
      </c>
      <c r="AQ43">
        <v>1.2722218725854067E-14</v>
      </c>
      <c r="AR43">
        <v>-26.357084012292372</v>
      </c>
      <c r="AS43">
        <v>89.999999566492619</v>
      </c>
      <c r="AT43">
        <v>-2400.1625746957502</v>
      </c>
      <c r="AU43">
        <v>-3280</v>
      </c>
      <c r="AV43">
        <v>-7719.4999989457119</v>
      </c>
      <c r="AW43">
        <v>-7002.1</v>
      </c>
      <c r="AX43">
        <v>-5933.4557268519438</v>
      </c>
      <c r="AY43">
        <v>2433.2544029198757</v>
      </c>
      <c r="AZ43">
        <v>-2730.9252207921031</v>
      </c>
      <c r="BA43">
        <v>-197.16</v>
      </c>
      <c r="BB43">
        <v>520.3011039433311</v>
      </c>
      <c r="BC43">
        <v>3082.5000000000005</v>
      </c>
      <c r="BD43">
        <v>3157.0880339855407</v>
      </c>
      <c r="BE43">
        <v>6146.3088542927762</v>
      </c>
      <c r="BF43">
        <v>-2565.2532760267472</v>
      </c>
      <c r="BG43">
        <v>-7002</v>
      </c>
      <c r="BH43">
        <v>-7719.5999989457123</v>
      </c>
      <c r="BI43">
        <v>-6252</v>
      </c>
      <c r="BJ43">
        <v>1397.2101297718207</v>
      </c>
      <c r="BK43">
        <v>2433.2544129198759</v>
      </c>
      <c r="BL43">
        <v>-851.86373761518519</v>
      </c>
      <c r="BM43">
        <v>-197.16</v>
      </c>
      <c r="BN43">
        <v>2364.9611039433312</v>
      </c>
      <c r="BO43">
        <v>3082.5000000000005</v>
      </c>
      <c r="BP43">
        <v>6789.2208148785367</v>
      </c>
      <c r="BQ43">
        <v>4824.6294025911729</v>
      </c>
      <c r="BR43">
        <v>0</v>
      </c>
      <c r="BS43">
        <v>84.97899644133453</v>
      </c>
      <c r="BT43">
        <v>89.996893965312992</v>
      </c>
      <c r="BU43">
        <v>90.003106034687022</v>
      </c>
      <c r="BV43">
        <v>26.357084012292383</v>
      </c>
      <c r="BW43">
        <v>116.35708357878501</v>
      </c>
      <c r="BX43" s="69">
        <f>Таблица1[[#This Row],[Lкан_леб,мм]]</f>
        <v>3505575.528240568</v>
      </c>
      <c r="BY43" s="65">
        <f>Таблица1[[#This Row],[Т1]]+Таблица1[[#This Row],[Lпрям1, мм]]</f>
        <v>3507461.8280569348</v>
      </c>
      <c r="BZ43" s="65">
        <f>Таблица1[[#This Row],[Т2]]+Таблица1[[#This Row],[Lдуг 2,мм]]</f>
        <v>3508525.9977124454</v>
      </c>
      <c r="CA43" s="65">
        <f>Таблица1[[#This Row],[Т3]]+Таблица1[[#This Row],[Lпрям2, мм]]</f>
        <v>3512247.9977124454</v>
      </c>
      <c r="CB43" s="65">
        <f>Таблица1[[#This Row],[Т4]]+Таблица1[[#This Row],[Lдуг 3,мм]]</f>
        <v>3513375.0051808641</v>
      </c>
      <c r="CC43" s="65">
        <f>Таблица1[[#This Row],[Т5]]+Таблица1[[#This Row],[Lпрям3, мм]]</f>
        <v>3515219.6651835744</v>
      </c>
      <c r="CD43" s="65">
        <f>Таблица1[[#This Row],[Т6]]+Таблица1[[#This Row],[Lдуг 4,мм]]</f>
        <v>3516346.7504441063</v>
      </c>
      <c r="CE43" s="65">
        <f>Таблица1[[#This Row],[Т7]]+Таблица1[[#This Row],[Lпрям4, мм]]</f>
        <v>3517096.8504441064</v>
      </c>
      <c r="CF43" s="72">
        <f>Таблица1[[#This Row],[Т8]]+Таблица1[[#This Row],[Lдуг 5,мм]]</f>
        <v>3517426.9132853756</v>
      </c>
      <c r="CG43" s="65">
        <f>Таблица1[[#This Row],[Т9]]+Таблица1[[#This Row],[Lпрям5, мм]]</f>
        <v>3525608.0532083637</v>
      </c>
      <c r="CH43" s="65">
        <f>Таблица1[[#This Row],[Т10]]+Таблица1[[#This Row],[Lдуг 6,мм]]</f>
        <v>3527065.1624086797</v>
      </c>
      <c r="CI43" s="66">
        <f>Таблица1[[#This Row],[Т11]]+Таблица1[[#This Row],[Lпрям6, мм]]</f>
        <v>3528386.8418603814</v>
      </c>
      <c r="CJ43" s="64">
        <f>Таблица1[[#This Row],[Т12]]-Таблица1[[#This Row],[Т12]]</f>
        <v>0</v>
      </c>
      <c r="CK43" s="65">
        <f>Таблица1[[#This Row],[Т12]]-Таблица1[[#This Row],[Т11]]</f>
        <v>1321.679451701697</v>
      </c>
      <c r="CL43" s="65">
        <f>Таблица1[[#This Row],[Т12]]-Таблица1[[#This Row],[Т10]]</f>
        <v>2778.7886520177126</v>
      </c>
      <c r="CM43" s="65">
        <f>Таблица1[[#This Row],[Т12]]-Таблица1[[#This Row],[Т9]]</f>
        <v>10959.928575005848</v>
      </c>
      <c r="CN43" s="65">
        <f>Таблица1[[#This Row],[Т12]]-Таблица1[[#This Row],[Т8]]</f>
        <v>11289.991416275036</v>
      </c>
      <c r="CO43" s="65">
        <f>Таблица1[[#This Row],[Т12]]-Таблица1[[#This Row],[Т7]]</f>
        <v>12040.091416275129</v>
      </c>
      <c r="CP43" s="65">
        <f>Таблица1[[#This Row],[Т12]]-Таблица1[[#This Row],[Т6]]</f>
        <v>13167.176676806994</v>
      </c>
      <c r="CQ43" s="65">
        <f>Таблица1[[#This Row],[Т12]]-Таблица1[[#This Row],[Т5]]</f>
        <v>15011.836679517291</v>
      </c>
      <c r="CR43" s="65">
        <f>Таблица1[[#This Row],[Т12]]-Таблица1[[#This Row],[Т4]]</f>
        <v>16138.844147935975</v>
      </c>
      <c r="CS43" s="65">
        <f>Таблица1[[#This Row],[Т12]]-Таблица1[[#This Row],[Т3]]</f>
        <v>19860.844147935975</v>
      </c>
      <c r="CT43" s="65">
        <f>Таблица1[[#This Row],[Т12]]-Таблица1[[#This Row],[Т2]]</f>
        <v>20925.013803446665</v>
      </c>
      <c r="CU43" s="65">
        <f>Таблица1[[#This Row],[Т12]]-Таблица1[[#This Row],[Т1]]</f>
        <v>22811.313619813416</v>
      </c>
      <c r="CV43" s="65">
        <f>Таблица1[[#This Row],[Lкан_леб,мм]]+Таблица1[[#This Row],[Lкан_дуг, мм]]+Таблица1[[#This Row],[Lкан_прям, мм]]</f>
        <v>3528386.8418603814</v>
      </c>
      <c r="CW43" s="60">
        <f>3511128.4-(Таблица1[[#This Row],[Lкан_леб,мм]]+Таблица1[[#This Row],[∆Lлеб из за стрел]])</f>
        <v>5552.8717594319023</v>
      </c>
    </row>
    <row r="44" spans="1:101" x14ac:dyDescent="0.25">
      <c r="A44">
        <v>43</v>
      </c>
      <c r="B44">
        <v>71.422818791946241</v>
      </c>
      <c r="C44">
        <v>18.587181208053757</v>
      </c>
      <c r="D44">
        <v>1653.0625256602907</v>
      </c>
      <c r="E44">
        <v>6167.6902460360488</v>
      </c>
      <c r="F44">
        <v>2370.6956833533923</v>
      </c>
      <c r="G44">
        <v>5404.8154850303972</v>
      </c>
      <c r="H44">
        <v>2370.5620356602908</v>
      </c>
      <c r="I44">
        <v>4846.0107997631249</v>
      </c>
      <c r="J44">
        <v>1321.679446272924</v>
      </c>
      <c r="K44">
        <v>17651.038898270606</v>
      </c>
      <c r="L44">
        <v>5113.7283572227097</v>
      </c>
      <c r="M44">
        <v>3505622.074604888</v>
      </c>
      <c r="N44">
        <v>0</v>
      </c>
      <c r="O44">
        <v>8</v>
      </c>
      <c r="P44">
        <v>-3322.5</v>
      </c>
      <c r="Q44">
        <v>-2811.96</v>
      </c>
      <c r="R44">
        <v>-3280</v>
      </c>
      <c r="S44">
        <v>-914.66</v>
      </c>
      <c r="T44">
        <v>-7002</v>
      </c>
      <c r="U44">
        <v>520.34</v>
      </c>
      <c r="V44">
        <v>-7002.1</v>
      </c>
      <c r="W44">
        <v>2365</v>
      </c>
      <c r="X44">
        <v>-6252</v>
      </c>
      <c r="Y44">
        <v>3800</v>
      </c>
      <c r="Z44">
        <v>1653.0625256602907</v>
      </c>
      <c r="AA44">
        <v>6167.6902460360488</v>
      </c>
      <c r="AB44">
        <v>0</v>
      </c>
      <c r="AC44">
        <v>1064.1696555107644</v>
      </c>
      <c r="AD44">
        <v>1127.0074684186504</v>
      </c>
      <c r="AE44">
        <v>1127.0852605320265</v>
      </c>
      <c r="AF44">
        <v>334.20980685731485</v>
      </c>
      <c r="AG44">
        <v>1461.2561659039538</v>
      </c>
      <c r="AH44">
        <v>1886.2998163666878</v>
      </c>
      <c r="AI44">
        <v>3721.9999999999995</v>
      </c>
      <c r="AJ44">
        <v>1844.6600027105269</v>
      </c>
      <c r="AK44">
        <v>750.10000000000059</v>
      </c>
      <c r="AL44">
        <v>8126.2996274917696</v>
      </c>
      <c r="AM44">
        <v>1321.6794517016197</v>
      </c>
      <c r="AN44">
        <v>-95.021003558665456</v>
      </c>
      <c r="AO44">
        <v>-180</v>
      </c>
      <c r="AP44">
        <v>-90.003106034687008</v>
      </c>
      <c r="AQ44">
        <v>1.2722218725854067E-14</v>
      </c>
      <c r="AR44">
        <v>-26.688238891716416</v>
      </c>
      <c r="AS44">
        <v>89.999999566492605</v>
      </c>
      <c r="AT44">
        <v>-2400.1625746957502</v>
      </c>
      <c r="AU44">
        <v>-3280</v>
      </c>
      <c r="AV44">
        <v>-7719.4999989457119</v>
      </c>
      <c r="AW44">
        <v>-7002.1</v>
      </c>
      <c r="AX44">
        <v>-5929.745202157158</v>
      </c>
      <c r="AY44">
        <v>2370.5625256602907</v>
      </c>
      <c r="AZ44">
        <v>-2730.9252207921031</v>
      </c>
      <c r="BA44">
        <v>-197.16</v>
      </c>
      <c r="BB44">
        <v>520.3011039433311</v>
      </c>
      <c r="BC44">
        <v>3082.5000000000005</v>
      </c>
      <c r="BD44">
        <v>3158.9398661067207</v>
      </c>
      <c r="BE44">
        <v>6167.6902514647481</v>
      </c>
      <c r="BF44">
        <v>-2565.2532760267472</v>
      </c>
      <c r="BG44">
        <v>-7002</v>
      </c>
      <c r="BH44">
        <v>-7719.5999989457123</v>
      </c>
      <c r="BI44">
        <v>-6252</v>
      </c>
      <c r="BJ44">
        <v>1330.8077278174489</v>
      </c>
      <c r="BK44">
        <v>2370.5625356602909</v>
      </c>
      <c r="BL44">
        <v>-851.86373761518519</v>
      </c>
      <c r="BM44">
        <v>-197.16</v>
      </c>
      <c r="BN44">
        <v>2364.9611039433312</v>
      </c>
      <c r="BO44">
        <v>3082.5000000000005</v>
      </c>
      <c r="BP44">
        <v>6808.7503799293281</v>
      </c>
      <c r="BQ44">
        <v>4846.0107997631285</v>
      </c>
      <c r="BR44">
        <v>0</v>
      </c>
      <c r="BS44">
        <v>84.97899644133453</v>
      </c>
      <c r="BT44">
        <v>89.996893965312992</v>
      </c>
      <c r="BU44">
        <v>90.003106034687022</v>
      </c>
      <c r="BV44">
        <v>26.688238891716427</v>
      </c>
      <c r="BW44">
        <v>116.68823845820903</v>
      </c>
      <c r="BX44" s="69">
        <f>Таблица1[[#This Row],[Lкан_леб,мм]]</f>
        <v>3505622.074604888</v>
      </c>
      <c r="BY44" s="65">
        <f>Таблица1[[#This Row],[Т1]]+Таблица1[[#This Row],[Lпрям1, мм]]</f>
        <v>3507508.3744212547</v>
      </c>
      <c r="BZ44" s="65">
        <f>Таблица1[[#This Row],[Т2]]+Таблица1[[#This Row],[Lдуг 2,мм]]</f>
        <v>3508572.5440767654</v>
      </c>
      <c r="CA44" s="65">
        <f>Таблица1[[#This Row],[Т3]]+Таблица1[[#This Row],[Lпрям2, мм]]</f>
        <v>3512294.5440767654</v>
      </c>
      <c r="CB44" s="65">
        <f>Таблица1[[#This Row],[Т4]]+Таблица1[[#This Row],[Lдуг 3,мм]]</f>
        <v>3513421.5515451841</v>
      </c>
      <c r="CC44" s="65">
        <f>Таблица1[[#This Row],[Т5]]+Таблица1[[#This Row],[Lпрям3, мм]]</f>
        <v>3515266.2115478944</v>
      </c>
      <c r="CD44" s="65">
        <f>Таблица1[[#This Row],[Т6]]+Таблица1[[#This Row],[Lдуг 4,мм]]</f>
        <v>3516393.2968084263</v>
      </c>
      <c r="CE44" s="65">
        <f>Таблица1[[#This Row],[Т7]]+Таблица1[[#This Row],[Lпрям4, мм]]</f>
        <v>3517143.3968084264</v>
      </c>
      <c r="CF44" s="72">
        <f>Таблица1[[#This Row],[Т8]]+Таблица1[[#This Row],[Lдуг 5,мм]]</f>
        <v>3517477.6066152835</v>
      </c>
      <c r="CG44" s="65">
        <f>Таблица1[[#This Row],[Т9]]+Таблица1[[#This Row],[Lпрям5, мм]]</f>
        <v>3525603.9062427753</v>
      </c>
      <c r="CH44" s="65">
        <f>Таблица1[[#This Row],[Т10]]+Таблица1[[#This Row],[Lдуг 6,мм]]</f>
        <v>3527065.1624086793</v>
      </c>
      <c r="CI44" s="66">
        <f>Таблица1[[#This Row],[Т11]]+Таблица1[[#This Row],[Lпрям6, мм]]</f>
        <v>3528386.841860381</v>
      </c>
      <c r="CJ44" s="64">
        <f>Таблица1[[#This Row],[Т12]]-Таблица1[[#This Row],[Т12]]</f>
        <v>0</v>
      </c>
      <c r="CK44" s="65">
        <f>Таблица1[[#This Row],[Т12]]-Таблица1[[#This Row],[Т11]]</f>
        <v>1321.679451701697</v>
      </c>
      <c r="CL44" s="65">
        <f>Таблица1[[#This Row],[Т12]]-Таблица1[[#This Row],[Т10]]</f>
        <v>2782.9356176056899</v>
      </c>
      <c r="CM44" s="65">
        <f>Таблица1[[#This Row],[Т12]]-Таблица1[[#This Row],[Т9]]</f>
        <v>10909.235245097429</v>
      </c>
      <c r="CN44" s="65">
        <f>Таблица1[[#This Row],[Т12]]-Таблица1[[#This Row],[Т8]]</f>
        <v>11243.445051954594</v>
      </c>
      <c r="CO44" s="65">
        <f>Таблица1[[#This Row],[Т12]]-Таблица1[[#This Row],[Т7]]</f>
        <v>11993.545051954687</v>
      </c>
      <c r="CP44" s="65">
        <f>Таблица1[[#This Row],[Т12]]-Таблица1[[#This Row],[Т6]]</f>
        <v>13120.630312486552</v>
      </c>
      <c r="CQ44" s="65">
        <f>Таблица1[[#This Row],[Т12]]-Таблица1[[#This Row],[Т5]]</f>
        <v>14965.290315196849</v>
      </c>
      <c r="CR44" s="65">
        <f>Таблица1[[#This Row],[Т12]]-Таблица1[[#This Row],[Т4]]</f>
        <v>16092.297783615533</v>
      </c>
      <c r="CS44" s="65">
        <f>Таблица1[[#This Row],[Т12]]-Таблица1[[#This Row],[Т3]]</f>
        <v>19814.297783615533</v>
      </c>
      <c r="CT44" s="65">
        <f>Таблица1[[#This Row],[Т12]]-Таблица1[[#This Row],[Т2]]</f>
        <v>20878.467439126223</v>
      </c>
      <c r="CU44" s="65">
        <f>Таблица1[[#This Row],[Т12]]-Таблица1[[#This Row],[Т1]]</f>
        <v>22764.767255492974</v>
      </c>
      <c r="CV44" s="65">
        <f>Таблица1[[#This Row],[Lкан_леб,мм]]+Таблица1[[#This Row],[Lкан_дуг, мм]]+Таблица1[[#This Row],[Lкан_прям, мм]]</f>
        <v>3528386.8418603814</v>
      </c>
      <c r="CW44" s="60">
        <f>3511128.4-(Таблица1[[#This Row],[Lкан_леб,мм]]+Таблица1[[#This Row],[∆Lлеб из за стрел]])</f>
        <v>5506.3253951119259</v>
      </c>
    </row>
    <row r="45" spans="1:101" x14ac:dyDescent="0.25">
      <c r="A45">
        <v>44</v>
      </c>
      <c r="B45">
        <v>71.932885906040198</v>
      </c>
      <c r="C45">
        <v>18.077114093959803</v>
      </c>
      <c r="D45">
        <v>1590.1827904291501</v>
      </c>
      <c r="E45">
        <v>6188.5126982599877</v>
      </c>
      <c r="F45">
        <v>2307.8159481222515</v>
      </c>
      <c r="G45">
        <v>5425.6379372543361</v>
      </c>
      <c r="H45">
        <v>2307.68230042915</v>
      </c>
      <c r="I45">
        <v>4866.8332519873666</v>
      </c>
      <c r="J45">
        <v>1321.6794462726211</v>
      </c>
      <c r="K45">
        <v>17596.021624175191</v>
      </c>
      <c r="L45">
        <v>5122.0528348316211</v>
      </c>
      <c r="M45">
        <v>3505668.7674013739</v>
      </c>
      <c r="N45">
        <v>0</v>
      </c>
      <c r="O45">
        <v>8</v>
      </c>
      <c r="P45">
        <v>-3322.5</v>
      </c>
      <c r="Q45">
        <v>-2811.96</v>
      </c>
      <c r="R45">
        <v>-3280</v>
      </c>
      <c r="S45">
        <v>-914.66</v>
      </c>
      <c r="T45">
        <v>-7002</v>
      </c>
      <c r="U45">
        <v>520.34</v>
      </c>
      <c r="V45">
        <v>-7002.1</v>
      </c>
      <c r="W45">
        <v>2365</v>
      </c>
      <c r="X45">
        <v>-6252</v>
      </c>
      <c r="Y45">
        <v>3800</v>
      </c>
      <c r="Z45">
        <v>1590.1827904291501</v>
      </c>
      <c r="AA45">
        <v>6188.5126982599877</v>
      </c>
      <c r="AB45">
        <v>0</v>
      </c>
      <c r="AC45">
        <v>1064.1696555107644</v>
      </c>
      <c r="AD45">
        <v>1127.0074684186504</v>
      </c>
      <c r="AE45">
        <v>1127.0852605320265</v>
      </c>
      <c r="AF45">
        <v>338.37204566177007</v>
      </c>
      <c r="AG45">
        <v>1465.4184047084093</v>
      </c>
      <c r="AH45">
        <v>1886.2998163666878</v>
      </c>
      <c r="AI45">
        <v>3721.9999999999995</v>
      </c>
      <c r="AJ45">
        <v>1844.6600027105269</v>
      </c>
      <c r="AK45">
        <v>750.10000000000059</v>
      </c>
      <c r="AL45">
        <v>8071.2823533966593</v>
      </c>
      <c r="AM45">
        <v>1321.6794517013168</v>
      </c>
      <c r="AN45">
        <v>-95.021003558665456</v>
      </c>
      <c r="AO45">
        <v>-180</v>
      </c>
      <c r="AP45">
        <v>-90.003106034687008</v>
      </c>
      <c r="AQ45">
        <v>1.2722218725854067E-14</v>
      </c>
      <c r="AR45">
        <v>-27.020613409933645</v>
      </c>
      <c r="AS45">
        <v>89.999999566492619</v>
      </c>
      <c r="AT45">
        <v>-2400.1625746957502</v>
      </c>
      <c r="AU45">
        <v>-3280</v>
      </c>
      <c r="AV45">
        <v>-7719.4999989457119</v>
      </c>
      <c r="AW45">
        <v>-7002.1</v>
      </c>
      <c r="AX45">
        <v>-5926.031836378419</v>
      </c>
      <c r="AY45">
        <v>2307.6827904291504</v>
      </c>
      <c r="AZ45">
        <v>-2730.9252207921031</v>
      </c>
      <c r="BA45">
        <v>-197.16</v>
      </c>
      <c r="BB45">
        <v>520.3011039433311</v>
      </c>
      <c r="BC45">
        <v>3082.5000000000005</v>
      </c>
      <c r="BD45">
        <v>3160.8200517028295</v>
      </c>
      <c r="BE45">
        <v>6188.512703688687</v>
      </c>
      <c r="BF45">
        <v>-2565.2532760267472</v>
      </c>
      <c r="BG45">
        <v>-7002</v>
      </c>
      <c r="BH45">
        <v>-7719.5999989457123</v>
      </c>
      <c r="BI45">
        <v>-6252</v>
      </c>
      <c r="BJ45">
        <v>1264.2146268075692</v>
      </c>
      <c r="BK45">
        <v>2307.6828004291501</v>
      </c>
      <c r="BL45">
        <v>-851.86373761518519</v>
      </c>
      <c r="BM45">
        <v>-197.16</v>
      </c>
      <c r="BN45">
        <v>2364.9611039433312</v>
      </c>
      <c r="BO45">
        <v>3082.5000000000005</v>
      </c>
      <c r="BP45">
        <v>6827.6926465571587</v>
      </c>
      <c r="BQ45">
        <v>4866.8332519873702</v>
      </c>
      <c r="BR45">
        <v>0</v>
      </c>
      <c r="BS45">
        <v>84.97899644133453</v>
      </c>
      <c r="BT45">
        <v>89.996893965312992</v>
      </c>
      <c r="BU45">
        <v>90.003106034687022</v>
      </c>
      <c r="BV45">
        <v>27.020613409933656</v>
      </c>
      <c r="BW45">
        <v>117.02061297642626</v>
      </c>
      <c r="BX45" s="69">
        <f>Таблица1[[#This Row],[Lкан_леб,мм]]</f>
        <v>3505668.7674013739</v>
      </c>
      <c r="BY45" s="65">
        <f>Таблица1[[#This Row],[Т1]]+Таблица1[[#This Row],[Lпрям1, мм]]</f>
        <v>3507555.0672177407</v>
      </c>
      <c r="BZ45" s="65">
        <f>Таблица1[[#This Row],[Т2]]+Таблица1[[#This Row],[Lдуг 2,мм]]</f>
        <v>3508619.2368732514</v>
      </c>
      <c r="CA45" s="65">
        <f>Таблица1[[#This Row],[Т3]]+Таблица1[[#This Row],[Lпрям2, мм]]</f>
        <v>3512341.2368732514</v>
      </c>
      <c r="CB45" s="65">
        <f>Таблица1[[#This Row],[Т4]]+Таблица1[[#This Row],[Lдуг 3,мм]]</f>
        <v>3513468.2443416701</v>
      </c>
      <c r="CC45" s="65">
        <f>Таблица1[[#This Row],[Т5]]+Таблица1[[#This Row],[Lпрям3, мм]]</f>
        <v>3515312.9043443804</v>
      </c>
      <c r="CD45" s="65">
        <f>Таблица1[[#This Row],[Т6]]+Таблица1[[#This Row],[Lдуг 4,мм]]</f>
        <v>3516439.9896049122</v>
      </c>
      <c r="CE45" s="65">
        <f>Таблица1[[#This Row],[Т7]]+Таблица1[[#This Row],[Lпрям4, мм]]</f>
        <v>3517190.0896049123</v>
      </c>
      <c r="CF45" s="72">
        <f>Таблица1[[#This Row],[Т8]]+Таблица1[[#This Row],[Lдуг 5,мм]]</f>
        <v>3517528.4616505741</v>
      </c>
      <c r="CG45" s="65">
        <f>Таблица1[[#This Row],[Т9]]+Таблица1[[#This Row],[Lпрям5, мм]]</f>
        <v>3525599.7440039706</v>
      </c>
      <c r="CH45" s="65">
        <f>Таблица1[[#This Row],[Т10]]+Таблица1[[#This Row],[Lдуг 6,мм]]</f>
        <v>3527065.1624086793</v>
      </c>
      <c r="CI45" s="66">
        <f>Таблица1[[#This Row],[Т11]]+Таблица1[[#This Row],[Lпрям6, мм]]</f>
        <v>3528386.8418603805</v>
      </c>
      <c r="CJ45" s="64">
        <f>Таблица1[[#This Row],[Т12]]-Таблица1[[#This Row],[Т12]]</f>
        <v>0</v>
      </c>
      <c r="CK45" s="65">
        <f>Таблица1[[#This Row],[Т12]]-Таблица1[[#This Row],[Т11]]</f>
        <v>1321.6794517012313</v>
      </c>
      <c r="CL45" s="65">
        <f>Таблица1[[#This Row],[Т12]]-Таблица1[[#This Row],[Т10]]</f>
        <v>2787.0978564098477</v>
      </c>
      <c r="CM45" s="65">
        <f>Таблица1[[#This Row],[Т12]]-Таблица1[[#This Row],[Т9]]</f>
        <v>10858.380209806375</v>
      </c>
      <c r="CN45" s="65">
        <f>Таблица1[[#This Row],[Т12]]-Таблица1[[#This Row],[Т8]]</f>
        <v>11196.752255468164</v>
      </c>
      <c r="CO45" s="65">
        <f>Таблица1[[#This Row],[Т12]]-Таблица1[[#This Row],[Т7]]</f>
        <v>11946.852255468257</v>
      </c>
      <c r="CP45" s="65">
        <f>Таблица1[[#This Row],[Т12]]-Таблица1[[#This Row],[Т6]]</f>
        <v>13073.937516000122</v>
      </c>
      <c r="CQ45" s="65">
        <f>Таблица1[[#This Row],[Т12]]-Таблица1[[#This Row],[Т5]]</f>
        <v>14918.59751871042</v>
      </c>
      <c r="CR45" s="65">
        <f>Таблица1[[#This Row],[Т12]]-Таблица1[[#This Row],[Т4]]</f>
        <v>16045.604987129103</v>
      </c>
      <c r="CS45" s="65">
        <f>Таблица1[[#This Row],[Т12]]-Таблица1[[#This Row],[Т3]]</f>
        <v>19767.604987129103</v>
      </c>
      <c r="CT45" s="65">
        <f>Таблица1[[#This Row],[Т12]]-Таблица1[[#This Row],[Т2]]</f>
        <v>20831.774642639793</v>
      </c>
      <c r="CU45" s="65">
        <f>Таблица1[[#This Row],[Т12]]-Таблица1[[#This Row],[Т1]]</f>
        <v>22718.074459006544</v>
      </c>
      <c r="CV45" s="65">
        <f>Таблица1[[#This Row],[Lкан_леб,мм]]+Таблица1[[#This Row],[Lкан_дуг, мм]]+Таблица1[[#This Row],[Lкан_прям, мм]]</f>
        <v>3528386.841860381</v>
      </c>
      <c r="CW45" s="60">
        <f>3511128.4-(Таблица1[[#This Row],[Lкан_леб,мм]]+Таблица1[[#This Row],[∆Lлеб из за стрел]])</f>
        <v>5459.6325986259617</v>
      </c>
    </row>
    <row r="46" spans="1:101" x14ac:dyDescent="0.25">
      <c r="A46">
        <v>45</v>
      </c>
      <c r="B46">
        <v>72.442953020134155</v>
      </c>
      <c r="C46">
        <v>17.567046979865847</v>
      </c>
      <c r="D46">
        <v>1527.1201805285898</v>
      </c>
      <c r="E46">
        <v>6208.7745553290288</v>
      </c>
      <c r="F46">
        <v>2244.7533382216911</v>
      </c>
      <c r="G46">
        <v>5445.8997943233771</v>
      </c>
      <c r="H46">
        <v>2244.6196905285901</v>
      </c>
      <c r="I46">
        <v>4887.0951090561512</v>
      </c>
      <c r="J46">
        <v>1321.6794462728778</v>
      </c>
      <c r="K46">
        <v>17540.828132655741</v>
      </c>
      <c r="L46">
        <v>5130.4085582376829</v>
      </c>
      <c r="M46">
        <v>3505715.6051694877</v>
      </c>
      <c r="N46">
        <v>0</v>
      </c>
      <c r="O46">
        <v>8</v>
      </c>
      <c r="P46">
        <v>-3322.5</v>
      </c>
      <c r="Q46">
        <v>-2811.96</v>
      </c>
      <c r="R46">
        <v>-3280</v>
      </c>
      <c r="S46">
        <v>-914.66</v>
      </c>
      <c r="T46">
        <v>-7002</v>
      </c>
      <c r="U46">
        <v>520.34</v>
      </c>
      <c r="V46">
        <v>-7002.1</v>
      </c>
      <c r="W46">
        <v>2365</v>
      </c>
      <c r="X46">
        <v>-6252</v>
      </c>
      <c r="Y46">
        <v>3800</v>
      </c>
      <c r="Z46">
        <v>1527.1201805285898</v>
      </c>
      <c r="AA46">
        <v>6208.7745553290288</v>
      </c>
      <c r="AB46">
        <v>0</v>
      </c>
      <c r="AC46">
        <v>1064.1696555107644</v>
      </c>
      <c r="AD46">
        <v>1127.0074684186504</v>
      </c>
      <c r="AE46">
        <v>1127.0852605320265</v>
      </c>
      <c r="AF46">
        <v>342.54990736480084</v>
      </c>
      <c r="AG46">
        <v>1469.5962664114402</v>
      </c>
      <c r="AH46">
        <v>1886.2998163666878</v>
      </c>
      <c r="AI46">
        <v>3721.9999999999995</v>
      </c>
      <c r="AJ46">
        <v>1844.6600027105269</v>
      </c>
      <c r="AK46">
        <v>750.10000000000059</v>
      </c>
      <c r="AL46">
        <v>8016.0888618769513</v>
      </c>
      <c r="AM46">
        <v>1321.6794517015735</v>
      </c>
      <c r="AN46">
        <v>-95.021003558665456</v>
      </c>
      <c r="AO46">
        <v>-180</v>
      </c>
      <c r="AP46">
        <v>-90.003106034687008</v>
      </c>
      <c r="AQ46">
        <v>1.2722218725854067E-14</v>
      </c>
      <c r="AR46">
        <v>-27.354235490732258</v>
      </c>
      <c r="AS46">
        <v>89.999999566492605</v>
      </c>
      <c r="AT46">
        <v>-2400.1625746957502</v>
      </c>
      <c r="AU46">
        <v>-3280</v>
      </c>
      <c r="AV46">
        <v>-7719.4999989457119</v>
      </c>
      <c r="AW46">
        <v>-7002.1</v>
      </c>
      <c r="AX46">
        <v>-5922.3155639656752</v>
      </c>
      <c r="AY46">
        <v>2244.6201805285896</v>
      </c>
      <c r="AZ46">
        <v>-2730.9252207921031</v>
      </c>
      <c r="BA46">
        <v>-197.16</v>
      </c>
      <c r="BB46">
        <v>520.3011039433311</v>
      </c>
      <c r="BC46">
        <v>3082.5000000000005</v>
      </c>
      <c r="BD46">
        <v>3162.7289253098575</v>
      </c>
      <c r="BE46">
        <v>6208.7745607577281</v>
      </c>
      <c r="BF46">
        <v>-2565.2532760267472</v>
      </c>
      <c r="BG46">
        <v>-7002</v>
      </c>
      <c r="BH46">
        <v>-7719.5999989457123</v>
      </c>
      <c r="BI46">
        <v>-6252</v>
      </c>
      <c r="BJ46">
        <v>1197.4357444942652</v>
      </c>
      <c r="BK46">
        <v>2244.6201905285902</v>
      </c>
      <c r="BL46">
        <v>-851.86373761518519</v>
      </c>
      <c r="BM46">
        <v>-197.16</v>
      </c>
      <c r="BN46">
        <v>2364.9611039433312</v>
      </c>
      <c r="BO46">
        <v>3082.5000000000005</v>
      </c>
      <c r="BP46">
        <v>6846.0456300191709</v>
      </c>
      <c r="BQ46">
        <v>4887.0951090561548</v>
      </c>
      <c r="BR46">
        <v>0</v>
      </c>
      <c r="BS46">
        <v>84.97899644133453</v>
      </c>
      <c r="BT46">
        <v>89.996893965312992</v>
      </c>
      <c r="BU46">
        <v>90.003106034687022</v>
      </c>
      <c r="BV46">
        <v>27.354235490732268</v>
      </c>
      <c r="BW46">
        <v>117.35423505722487</v>
      </c>
      <c r="BX46" s="69">
        <f>Таблица1[[#This Row],[Lкан_леб,мм]]</f>
        <v>3505715.6051694877</v>
      </c>
      <c r="BY46" s="65">
        <f>Таблица1[[#This Row],[Т1]]+Таблица1[[#This Row],[Lпрям1, мм]]</f>
        <v>3507601.9049858544</v>
      </c>
      <c r="BZ46" s="65">
        <f>Таблица1[[#This Row],[Т2]]+Таблица1[[#This Row],[Lдуг 2,мм]]</f>
        <v>3508666.0746413651</v>
      </c>
      <c r="CA46" s="65">
        <f>Таблица1[[#This Row],[Т3]]+Таблица1[[#This Row],[Lпрям2, мм]]</f>
        <v>3512388.0746413651</v>
      </c>
      <c r="CB46" s="65">
        <f>Таблица1[[#This Row],[Т4]]+Таблица1[[#This Row],[Lдуг 3,мм]]</f>
        <v>3513515.0821097838</v>
      </c>
      <c r="CC46" s="65">
        <f>Таблица1[[#This Row],[Т5]]+Таблица1[[#This Row],[Lпрям3, мм]]</f>
        <v>3515359.7421124941</v>
      </c>
      <c r="CD46" s="65">
        <f>Таблица1[[#This Row],[Т6]]+Таблица1[[#This Row],[Lдуг 4,мм]]</f>
        <v>3516486.8273730259</v>
      </c>
      <c r="CE46" s="65">
        <f>Таблица1[[#This Row],[Т7]]+Таблица1[[#This Row],[Lпрям4, мм]]</f>
        <v>3517236.927373026</v>
      </c>
      <c r="CF46" s="72">
        <f>Таблица1[[#This Row],[Т8]]+Таблица1[[#This Row],[Lдуг 5,мм]]</f>
        <v>3517579.4772803909</v>
      </c>
      <c r="CG46" s="65">
        <f>Таблица1[[#This Row],[Т9]]+Таблица1[[#This Row],[Lпрям5, мм]]</f>
        <v>3525595.566142268</v>
      </c>
      <c r="CH46" s="65">
        <f>Таблица1[[#This Row],[Т10]]+Таблица1[[#This Row],[Lдуг 6,мм]]</f>
        <v>3527065.1624086793</v>
      </c>
      <c r="CI46" s="66">
        <f>Таблица1[[#This Row],[Т11]]+Таблица1[[#This Row],[Lпрям6, мм]]</f>
        <v>3528386.841860381</v>
      </c>
      <c r="CJ46" s="64">
        <f>Таблица1[[#This Row],[Т12]]-Таблица1[[#This Row],[Т12]]</f>
        <v>0</v>
      </c>
      <c r="CK46" s="65">
        <f>Таблица1[[#This Row],[Т12]]-Таблица1[[#This Row],[Т11]]</f>
        <v>1321.679451701697</v>
      </c>
      <c r="CL46" s="65">
        <f>Таблица1[[#This Row],[Т12]]-Таблица1[[#This Row],[Т10]]</f>
        <v>2791.2757181129418</v>
      </c>
      <c r="CM46" s="65">
        <f>Таблица1[[#This Row],[Т12]]-Таблица1[[#This Row],[Т9]]</f>
        <v>10807.364579990041</v>
      </c>
      <c r="CN46" s="65">
        <f>Таблица1[[#This Row],[Т12]]-Таблица1[[#This Row],[Т8]]</f>
        <v>11149.914487354923</v>
      </c>
      <c r="CO46" s="65">
        <f>Таблица1[[#This Row],[Т12]]-Таблица1[[#This Row],[Т7]]</f>
        <v>11900.014487355016</v>
      </c>
      <c r="CP46" s="65">
        <f>Таблица1[[#This Row],[Т12]]-Таблица1[[#This Row],[Т6]]</f>
        <v>13027.099747886881</v>
      </c>
      <c r="CQ46" s="65">
        <f>Таблица1[[#This Row],[Т12]]-Таблица1[[#This Row],[Т5]]</f>
        <v>14871.759750597179</v>
      </c>
      <c r="CR46" s="65">
        <f>Таблица1[[#This Row],[Т12]]-Таблица1[[#This Row],[Т4]]</f>
        <v>15998.767219015863</v>
      </c>
      <c r="CS46" s="65">
        <f>Таблица1[[#This Row],[Т12]]-Таблица1[[#This Row],[Т3]]</f>
        <v>19720.767219015863</v>
      </c>
      <c r="CT46" s="65">
        <f>Таблица1[[#This Row],[Т12]]-Таблица1[[#This Row],[Т2]]</f>
        <v>20784.936874526553</v>
      </c>
      <c r="CU46" s="65">
        <f>Таблица1[[#This Row],[Т12]]-Таблица1[[#This Row],[Т1]]</f>
        <v>22671.236690893304</v>
      </c>
      <c r="CV46" s="65">
        <f>Таблица1[[#This Row],[Lкан_леб,мм]]+Таблица1[[#This Row],[Lкан_дуг, мм]]+Таблица1[[#This Row],[Lкан_прям, мм]]</f>
        <v>3528386.8418603814</v>
      </c>
      <c r="CW46" s="60">
        <f>3511128.4-(Таблица1[[#This Row],[Lкан_леб,мм]]+Таблица1[[#This Row],[∆Lлеб из за стрел]])</f>
        <v>5412.7948305122554</v>
      </c>
    </row>
    <row r="47" spans="1:101" x14ac:dyDescent="0.25">
      <c r="A47">
        <v>46</v>
      </c>
      <c r="B47">
        <v>72.953020134228112</v>
      </c>
      <c r="C47">
        <v>17.05697986577189</v>
      </c>
      <c r="D47">
        <v>1463.8796937538041</v>
      </c>
      <c r="E47">
        <v>6228.4742114642168</v>
      </c>
      <c r="F47">
        <v>2181.5128514469056</v>
      </c>
      <c r="G47">
        <v>5465.5994504585651</v>
      </c>
      <c r="H47">
        <v>2181.3792037538042</v>
      </c>
      <c r="I47">
        <v>4906.7947651918157</v>
      </c>
      <c r="J47">
        <v>1321.6794462724008</v>
      </c>
      <c r="K47">
        <v>17485.459178188008</v>
      </c>
      <c r="L47">
        <v>5138.7962486624128</v>
      </c>
      <c r="M47">
        <v>3505762.5864335303</v>
      </c>
      <c r="N47">
        <v>0</v>
      </c>
      <c r="O47">
        <v>8</v>
      </c>
      <c r="P47">
        <v>-3322.5</v>
      </c>
      <c r="Q47">
        <v>-2811.96</v>
      </c>
      <c r="R47">
        <v>-3280</v>
      </c>
      <c r="S47">
        <v>-914.66</v>
      </c>
      <c r="T47">
        <v>-7002</v>
      </c>
      <c r="U47">
        <v>520.34</v>
      </c>
      <c r="V47">
        <v>-7002.1</v>
      </c>
      <c r="W47">
        <v>2365</v>
      </c>
      <c r="X47">
        <v>-6252</v>
      </c>
      <c r="Y47">
        <v>3800</v>
      </c>
      <c r="Z47">
        <v>1463.8796937538041</v>
      </c>
      <c r="AA47">
        <v>6228.4742114642168</v>
      </c>
      <c r="AB47">
        <v>0</v>
      </c>
      <c r="AC47">
        <v>1064.1696555107644</v>
      </c>
      <c r="AD47">
        <v>1127.0074684186504</v>
      </c>
      <c r="AE47">
        <v>1127.0852605320265</v>
      </c>
      <c r="AF47">
        <v>346.74375257716645</v>
      </c>
      <c r="AG47">
        <v>1473.7901116238054</v>
      </c>
      <c r="AH47">
        <v>1886.2998163666878</v>
      </c>
      <c r="AI47">
        <v>3721.9999999999995</v>
      </c>
      <c r="AJ47">
        <v>1844.6600027105269</v>
      </c>
      <c r="AK47">
        <v>750.10000000000059</v>
      </c>
      <c r="AL47">
        <v>7960.7199074096961</v>
      </c>
      <c r="AM47">
        <v>1321.6794517010965</v>
      </c>
      <c r="AN47">
        <v>-95.021003558665456</v>
      </c>
      <c r="AO47">
        <v>-180</v>
      </c>
      <c r="AP47">
        <v>-90.003106034687008</v>
      </c>
      <c r="AQ47">
        <v>1.2722218725854067E-14</v>
      </c>
      <c r="AR47">
        <v>-27.689133930592455</v>
      </c>
      <c r="AS47">
        <v>89.999999566492619</v>
      </c>
      <c r="AT47">
        <v>-2400.1625746957502</v>
      </c>
      <c r="AU47">
        <v>-3280</v>
      </c>
      <c r="AV47">
        <v>-7719.4999989457119</v>
      </c>
      <c r="AW47">
        <v>-7002.1</v>
      </c>
      <c r="AX47">
        <v>-5918.5963162977587</v>
      </c>
      <c r="AY47">
        <v>2181.3796937538045</v>
      </c>
      <c r="AZ47">
        <v>-2730.9252207921031</v>
      </c>
      <c r="BA47">
        <v>-197.16</v>
      </c>
      <c r="BB47">
        <v>520.3011039433311</v>
      </c>
      <c r="BC47">
        <v>3082.5000000000005</v>
      </c>
      <c r="BD47">
        <v>3164.6668325250321</v>
      </c>
      <c r="BE47">
        <v>6228.474216892916</v>
      </c>
      <c r="BF47">
        <v>-2565.2532760267472</v>
      </c>
      <c r="BG47">
        <v>-7002</v>
      </c>
      <c r="BH47">
        <v>-7719.5999989457123</v>
      </c>
      <c r="BI47">
        <v>-6252</v>
      </c>
      <c r="BJ47">
        <v>1130.4760100515632</v>
      </c>
      <c r="BK47">
        <v>2181.3797037538043</v>
      </c>
      <c r="BL47">
        <v>-851.86373761518519</v>
      </c>
      <c r="BM47">
        <v>-197.16</v>
      </c>
      <c r="BN47">
        <v>2364.9611039433312</v>
      </c>
      <c r="BO47">
        <v>3082.5000000000005</v>
      </c>
      <c r="BP47">
        <v>6863.8073789391856</v>
      </c>
      <c r="BQ47">
        <v>4906.7947651918194</v>
      </c>
      <c r="BR47">
        <v>0</v>
      </c>
      <c r="BS47">
        <v>84.97899644133453</v>
      </c>
      <c r="BT47">
        <v>89.996893965312992</v>
      </c>
      <c r="BU47">
        <v>90.003106034687022</v>
      </c>
      <c r="BV47">
        <v>27.689133930592469</v>
      </c>
      <c r="BW47">
        <v>117.68913349708508</v>
      </c>
      <c r="BX47" s="69">
        <f>Таблица1[[#This Row],[Lкан_леб,мм]]</f>
        <v>3505762.5864335303</v>
      </c>
      <c r="BY47" s="65">
        <f>Таблица1[[#This Row],[Т1]]+Таблица1[[#This Row],[Lпрям1, мм]]</f>
        <v>3507648.8862498971</v>
      </c>
      <c r="BZ47" s="65">
        <f>Таблица1[[#This Row],[Т2]]+Таблица1[[#This Row],[Lдуг 2,мм]]</f>
        <v>3508713.0559054078</v>
      </c>
      <c r="CA47" s="65">
        <f>Таблица1[[#This Row],[Т3]]+Таблица1[[#This Row],[Lпрям2, мм]]</f>
        <v>3512435.0559054078</v>
      </c>
      <c r="CB47" s="65">
        <f>Таблица1[[#This Row],[Т4]]+Таблица1[[#This Row],[Lдуг 3,мм]]</f>
        <v>3513562.0633738264</v>
      </c>
      <c r="CC47" s="65">
        <f>Таблица1[[#This Row],[Т5]]+Таблица1[[#This Row],[Lпрям3, мм]]</f>
        <v>3515406.7233765367</v>
      </c>
      <c r="CD47" s="65">
        <f>Таблица1[[#This Row],[Т6]]+Таблица1[[#This Row],[Lдуг 4,мм]]</f>
        <v>3516533.8086370686</v>
      </c>
      <c r="CE47" s="65">
        <f>Таблица1[[#This Row],[Т7]]+Таблица1[[#This Row],[Lпрям4, мм]]</f>
        <v>3517283.9086370687</v>
      </c>
      <c r="CF47" s="72">
        <f>Таблица1[[#This Row],[Т8]]+Таблица1[[#This Row],[Lдуг 5,мм]]</f>
        <v>3517630.652389646</v>
      </c>
      <c r="CG47" s="65">
        <f>Таблица1[[#This Row],[Т9]]+Таблица1[[#This Row],[Lпрям5, мм]]</f>
        <v>3525591.3722970556</v>
      </c>
      <c r="CH47" s="65">
        <f>Таблица1[[#This Row],[Т10]]+Таблица1[[#This Row],[Lдуг 6,мм]]</f>
        <v>3527065.1624086793</v>
      </c>
      <c r="CI47" s="66">
        <f>Таблица1[[#This Row],[Т11]]+Таблица1[[#This Row],[Lпрям6, мм]]</f>
        <v>3528386.8418603805</v>
      </c>
      <c r="CJ47" s="64">
        <f>Таблица1[[#This Row],[Т12]]-Таблица1[[#This Row],[Т12]]</f>
        <v>0</v>
      </c>
      <c r="CK47" s="65">
        <f>Таблица1[[#This Row],[Т12]]-Таблица1[[#This Row],[Т11]]</f>
        <v>1321.6794517012313</v>
      </c>
      <c r="CL47" s="65">
        <f>Таблица1[[#This Row],[Т12]]-Таблица1[[#This Row],[Т10]]</f>
        <v>2795.4695633249357</v>
      </c>
      <c r="CM47" s="65">
        <f>Таблица1[[#This Row],[Т12]]-Таблица1[[#This Row],[Т9]]</f>
        <v>10756.189470734447</v>
      </c>
      <c r="CN47" s="65">
        <f>Таблица1[[#This Row],[Т12]]-Таблица1[[#This Row],[Т8]]</f>
        <v>11102.933223311789</v>
      </c>
      <c r="CO47" s="65">
        <f>Таблица1[[#This Row],[Т12]]-Таблица1[[#This Row],[Т7]]</f>
        <v>11853.033223311882</v>
      </c>
      <c r="CP47" s="65">
        <f>Таблица1[[#This Row],[Т12]]-Таблица1[[#This Row],[Т6]]</f>
        <v>12980.118483843748</v>
      </c>
      <c r="CQ47" s="65">
        <f>Таблица1[[#This Row],[Т12]]-Таблица1[[#This Row],[Т5]]</f>
        <v>14824.778486554045</v>
      </c>
      <c r="CR47" s="65">
        <f>Таблица1[[#This Row],[Т12]]-Таблица1[[#This Row],[Т4]]</f>
        <v>15951.785954972729</v>
      </c>
      <c r="CS47" s="65">
        <f>Таблица1[[#This Row],[Т12]]-Таблица1[[#This Row],[Т3]]</f>
        <v>19673.785954972729</v>
      </c>
      <c r="CT47" s="65">
        <f>Таблица1[[#This Row],[Т12]]-Таблица1[[#This Row],[Т2]]</f>
        <v>20737.955610483419</v>
      </c>
      <c r="CU47" s="65">
        <f>Таблица1[[#This Row],[Т12]]-Таблица1[[#This Row],[Т1]]</f>
        <v>22624.25542685017</v>
      </c>
      <c r="CV47" s="65">
        <f>Таблица1[[#This Row],[Lкан_леб,мм]]+Таблица1[[#This Row],[Lкан_дуг, мм]]+Таблица1[[#This Row],[Lкан_прям, мм]]</f>
        <v>3528386.8418603805</v>
      </c>
      <c r="CW47" s="60">
        <f>3511128.4-(Таблица1[[#This Row],[Lкан_леб,мм]]+Таблица1[[#This Row],[∆Lлеб из за стрел]])</f>
        <v>5365.8135664695874</v>
      </c>
    </row>
    <row r="48" spans="1:101" x14ac:dyDescent="0.25">
      <c r="A48">
        <v>47</v>
      </c>
      <c r="B48">
        <v>73.463087248322068</v>
      </c>
      <c r="C48">
        <v>16.546912751677933</v>
      </c>
      <c r="D48">
        <v>1400.4663419969652</v>
      </c>
      <c r="E48">
        <v>6247.6101054417613</v>
      </c>
      <c r="F48">
        <v>2118.0994996900668</v>
      </c>
      <c r="G48">
        <v>5484.7353444361106</v>
      </c>
      <c r="H48">
        <v>2117.9658519969653</v>
      </c>
      <c r="I48">
        <v>4925.9306591689838</v>
      </c>
      <c r="J48">
        <v>1321.6794462727783</v>
      </c>
      <c r="K48">
        <v>17429.915508134629</v>
      </c>
      <c r="L48">
        <v>5147.2166500456278</v>
      </c>
      <c r="M48">
        <v>3505809.7097022007</v>
      </c>
      <c r="N48">
        <v>0</v>
      </c>
      <c r="O48">
        <v>8</v>
      </c>
      <c r="P48">
        <v>-3322.5</v>
      </c>
      <c r="Q48">
        <v>-2811.96</v>
      </c>
      <c r="R48">
        <v>-3280</v>
      </c>
      <c r="S48">
        <v>-914.66</v>
      </c>
      <c r="T48">
        <v>-7002</v>
      </c>
      <c r="U48">
        <v>520.34</v>
      </c>
      <c r="V48">
        <v>-7002.1</v>
      </c>
      <c r="W48">
        <v>2365</v>
      </c>
      <c r="X48">
        <v>-6252</v>
      </c>
      <c r="Y48">
        <v>3800</v>
      </c>
      <c r="Z48">
        <v>1400.4663419969652</v>
      </c>
      <c r="AA48">
        <v>6247.6101054417613</v>
      </c>
      <c r="AB48">
        <v>0</v>
      </c>
      <c r="AC48">
        <v>1064.1696555107644</v>
      </c>
      <c r="AD48">
        <v>1127.0074684186504</v>
      </c>
      <c r="AE48">
        <v>1127.0852605320265</v>
      </c>
      <c r="AF48">
        <v>350.953953268774</v>
      </c>
      <c r="AG48">
        <v>1478.0003123154131</v>
      </c>
      <c r="AH48">
        <v>1886.2998163666878</v>
      </c>
      <c r="AI48">
        <v>3721.9999999999995</v>
      </c>
      <c r="AJ48">
        <v>1844.6600027105269</v>
      </c>
      <c r="AK48">
        <v>750.10000000000059</v>
      </c>
      <c r="AL48">
        <v>7905.1762373559413</v>
      </c>
      <c r="AM48">
        <v>1321.6794517014741</v>
      </c>
      <c r="AN48">
        <v>-95.021003558665456</v>
      </c>
      <c r="AO48">
        <v>-180</v>
      </c>
      <c r="AP48">
        <v>-90.003106034687008</v>
      </c>
      <c r="AQ48">
        <v>1.2722218725854067E-14</v>
      </c>
      <c r="AR48">
        <v>-28.025338433076321</v>
      </c>
      <c r="AS48">
        <v>89.999999566492619</v>
      </c>
      <c r="AT48">
        <v>-2400.1625746957502</v>
      </c>
      <c r="AU48">
        <v>-3280</v>
      </c>
      <c r="AV48">
        <v>-7719.4999989457119</v>
      </c>
      <c r="AW48">
        <v>-7002.1</v>
      </c>
      <c r="AX48">
        <v>-5914.8740216011965</v>
      </c>
      <c r="AY48">
        <v>2117.9663419969647</v>
      </c>
      <c r="AZ48">
        <v>-2730.9252207921031</v>
      </c>
      <c r="BA48">
        <v>-197.16</v>
      </c>
      <c r="BB48">
        <v>520.3011039433311</v>
      </c>
      <c r="BC48">
        <v>3082.5000000000005</v>
      </c>
      <c r="BD48">
        <v>3166.6341304675079</v>
      </c>
      <c r="BE48">
        <v>6247.6101108704606</v>
      </c>
      <c r="BF48">
        <v>-2565.2532760267472</v>
      </c>
      <c r="BG48">
        <v>-7002</v>
      </c>
      <c r="BH48">
        <v>-7719.5999989457123</v>
      </c>
      <c r="BI48">
        <v>-6252</v>
      </c>
      <c r="BJ48">
        <v>1063.340363598162</v>
      </c>
      <c r="BK48">
        <v>2117.9663519969654</v>
      </c>
      <c r="BL48">
        <v>-851.86373761518519</v>
      </c>
      <c r="BM48">
        <v>-197.16</v>
      </c>
      <c r="BN48">
        <v>2364.9611039433312</v>
      </c>
      <c r="BO48">
        <v>3082.5000000000005</v>
      </c>
      <c r="BP48">
        <v>6880.9759749742534</v>
      </c>
      <c r="BQ48">
        <v>4925.9306591689874</v>
      </c>
      <c r="BR48">
        <v>0</v>
      </c>
      <c r="BS48">
        <v>84.97899644133453</v>
      </c>
      <c r="BT48">
        <v>89.996893965312992</v>
      </c>
      <c r="BU48">
        <v>90.003106034687022</v>
      </c>
      <c r="BV48">
        <v>28.025338433076335</v>
      </c>
      <c r="BW48">
        <v>118.02533799956895</v>
      </c>
      <c r="BX48" s="69">
        <f>Таблица1[[#This Row],[Lкан_леб,мм]]</f>
        <v>3505809.7097022007</v>
      </c>
      <c r="BY48" s="65">
        <f>Таблица1[[#This Row],[Т1]]+Таблица1[[#This Row],[Lпрям1, мм]]</f>
        <v>3507696.0095185675</v>
      </c>
      <c r="BZ48" s="65">
        <f>Таблица1[[#This Row],[Т2]]+Таблица1[[#This Row],[Lдуг 2,мм]]</f>
        <v>3508760.1791740782</v>
      </c>
      <c r="CA48" s="65">
        <f>Таблица1[[#This Row],[Т3]]+Таблица1[[#This Row],[Lпрям2, мм]]</f>
        <v>3512482.1791740782</v>
      </c>
      <c r="CB48" s="65">
        <f>Таблица1[[#This Row],[Т4]]+Таблица1[[#This Row],[Lдуг 3,мм]]</f>
        <v>3513609.1866424968</v>
      </c>
      <c r="CC48" s="65">
        <f>Таблица1[[#This Row],[Т5]]+Таблица1[[#This Row],[Lпрям3, мм]]</f>
        <v>3515453.8466452071</v>
      </c>
      <c r="CD48" s="65">
        <f>Таблица1[[#This Row],[Т6]]+Таблица1[[#This Row],[Lдуг 4,мм]]</f>
        <v>3516580.931905739</v>
      </c>
      <c r="CE48" s="65">
        <f>Таблица1[[#This Row],[Т7]]+Таблица1[[#This Row],[Lпрям4, мм]]</f>
        <v>3517331.0319057391</v>
      </c>
      <c r="CF48" s="72">
        <f>Таблица1[[#This Row],[Т8]]+Таблица1[[#This Row],[Lдуг 5,мм]]</f>
        <v>3517681.985859008</v>
      </c>
      <c r="CG48" s="65">
        <f>Таблица1[[#This Row],[Т9]]+Таблица1[[#This Row],[Lпрям5, мм]]</f>
        <v>3525587.162096364</v>
      </c>
      <c r="CH48" s="65">
        <f>Таблица1[[#This Row],[Т10]]+Таблица1[[#This Row],[Lдуг 6,мм]]</f>
        <v>3527065.1624086793</v>
      </c>
      <c r="CI48" s="66">
        <f>Таблица1[[#This Row],[Т11]]+Таблица1[[#This Row],[Lпрям6, мм]]</f>
        <v>3528386.841860381</v>
      </c>
      <c r="CJ48" s="64">
        <f>Таблица1[[#This Row],[Т12]]-Таблица1[[#This Row],[Т12]]</f>
        <v>0</v>
      </c>
      <c r="CK48" s="65">
        <f>Таблица1[[#This Row],[Т12]]-Таблица1[[#This Row],[Т11]]</f>
        <v>1321.679451701697</v>
      </c>
      <c r="CL48" s="65">
        <f>Таблица1[[#This Row],[Т12]]-Таблица1[[#This Row],[Т10]]</f>
        <v>2799.6797640169971</v>
      </c>
      <c r="CM48" s="65">
        <f>Таблица1[[#This Row],[Т12]]-Таблица1[[#This Row],[Т9]]</f>
        <v>10704.856001372915</v>
      </c>
      <c r="CN48" s="65">
        <f>Таблица1[[#This Row],[Т12]]-Таблица1[[#This Row],[Т8]]</f>
        <v>11055.809954641853</v>
      </c>
      <c r="CO48" s="65">
        <f>Таблица1[[#This Row],[Т12]]-Таблица1[[#This Row],[Т7]]</f>
        <v>11805.909954641946</v>
      </c>
      <c r="CP48" s="65">
        <f>Таблица1[[#This Row],[Т12]]-Таблица1[[#This Row],[Т6]]</f>
        <v>12932.995215173811</v>
      </c>
      <c r="CQ48" s="65">
        <f>Таблица1[[#This Row],[Т12]]-Таблица1[[#This Row],[Т5]]</f>
        <v>14777.655217884108</v>
      </c>
      <c r="CR48" s="65">
        <f>Таблица1[[#This Row],[Т12]]-Таблица1[[#This Row],[Т4]]</f>
        <v>15904.662686302792</v>
      </c>
      <c r="CS48" s="65">
        <f>Таблица1[[#This Row],[Т12]]-Таблица1[[#This Row],[Т3]]</f>
        <v>19626.662686302792</v>
      </c>
      <c r="CT48" s="65">
        <f>Таблица1[[#This Row],[Т12]]-Таблица1[[#This Row],[Т2]]</f>
        <v>20690.832341813482</v>
      </c>
      <c r="CU48" s="65">
        <f>Таблица1[[#This Row],[Т12]]-Таблица1[[#This Row],[Т1]]</f>
        <v>22577.132158180233</v>
      </c>
      <c r="CV48" s="65">
        <f>Таблица1[[#This Row],[Lкан_леб,мм]]+Таблица1[[#This Row],[Lкан_дуг, мм]]+Таблица1[[#This Row],[Lкан_прям, мм]]</f>
        <v>3528386.841860381</v>
      </c>
      <c r="CW48" s="60">
        <f>3511128.4-(Таблица1[[#This Row],[Lкан_леб,мм]]+Таблица1[[#This Row],[∆Lлеб из за стрел]])</f>
        <v>5318.6902977991849</v>
      </c>
    </row>
    <row r="49" spans="1:101" x14ac:dyDescent="0.25">
      <c r="A49">
        <v>48</v>
      </c>
      <c r="B49">
        <v>73.973154362416025</v>
      </c>
      <c r="C49">
        <v>16.03684563758398</v>
      </c>
      <c r="D49">
        <v>1336.8851508500227</v>
      </c>
      <c r="E49">
        <v>6266.180720716774</v>
      </c>
      <c r="F49">
        <v>2054.518308543124</v>
      </c>
      <c r="G49">
        <v>5503.3059597111223</v>
      </c>
      <c r="H49">
        <v>2054.384660850023</v>
      </c>
      <c r="I49">
        <v>4944.5012744440746</v>
      </c>
      <c r="J49">
        <v>1321.6794462726994</v>
      </c>
      <c r="K49">
        <v>17374.197862301156</v>
      </c>
      <c r="L49">
        <v>5155.6705299480145</v>
      </c>
      <c r="M49">
        <v>3505856.9734681319</v>
      </c>
      <c r="N49">
        <v>0</v>
      </c>
      <c r="O49">
        <v>8</v>
      </c>
      <c r="P49">
        <v>-3322.5</v>
      </c>
      <c r="Q49">
        <v>-2811.96</v>
      </c>
      <c r="R49">
        <v>-3280</v>
      </c>
      <c r="S49">
        <v>-914.66</v>
      </c>
      <c r="T49">
        <v>-7002</v>
      </c>
      <c r="U49">
        <v>520.34</v>
      </c>
      <c r="V49">
        <v>-7002.1</v>
      </c>
      <c r="W49">
        <v>2365</v>
      </c>
      <c r="X49">
        <v>-6252</v>
      </c>
      <c r="Y49">
        <v>3800</v>
      </c>
      <c r="Z49">
        <v>1336.8851508500227</v>
      </c>
      <c r="AA49">
        <v>6266.180720716774</v>
      </c>
      <c r="AB49">
        <v>0</v>
      </c>
      <c r="AC49">
        <v>1064.1696555107644</v>
      </c>
      <c r="AD49">
        <v>1127.0074684186504</v>
      </c>
      <c r="AE49">
        <v>1127.0852605320265</v>
      </c>
      <c r="AF49">
        <v>355.18089321996712</v>
      </c>
      <c r="AG49">
        <v>1482.2272522666062</v>
      </c>
      <c r="AH49">
        <v>1886.2998163666878</v>
      </c>
      <c r="AI49">
        <v>3721.9999999999995</v>
      </c>
      <c r="AJ49">
        <v>1844.6600027105269</v>
      </c>
      <c r="AK49">
        <v>750.10000000000059</v>
      </c>
      <c r="AL49">
        <v>7849.4585915225443</v>
      </c>
      <c r="AM49">
        <v>1321.679451701395</v>
      </c>
      <c r="AN49">
        <v>-95.021003558665456</v>
      </c>
      <c r="AO49">
        <v>-180</v>
      </c>
      <c r="AP49">
        <v>-90.003106034687008</v>
      </c>
      <c r="AQ49">
        <v>1.2722218725854067E-14</v>
      </c>
      <c r="AR49">
        <v>-28.362879644865316</v>
      </c>
      <c r="AS49">
        <v>89.999999566492605</v>
      </c>
      <c r="AT49">
        <v>-2400.1625746957502</v>
      </c>
      <c r="AU49">
        <v>-3280</v>
      </c>
      <c r="AV49">
        <v>-7719.4999989457119</v>
      </c>
      <c r="AW49">
        <v>-7002.1</v>
      </c>
      <c r="AX49">
        <v>-5911.1486048670413</v>
      </c>
      <c r="AY49">
        <v>2054.3851508500229</v>
      </c>
      <c r="AZ49">
        <v>-2730.9252207921031</v>
      </c>
      <c r="BA49">
        <v>-197.16</v>
      </c>
      <c r="BB49">
        <v>520.3011039433311</v>
      </c>
      <c r="BC49">
        <v>3082.5000000000005</v>
      </c>
      <c r="BD49">
        <v>3168.6311882616342</v>
      </c>
      <c r="BE49">
        <v>6266.1807261454724</v>
      </c>
      <c r="BF49">
        <v>-2565.2532760267472</v>
      </c>
      <c r="BG49">
        <v>-7002</v>
      </c>
      <c r="BH49">
        <v>-7719.5999989457123</v>
      </c>
      <c r="BI49">
        <v>-6252</v>
      </c>
      <c r="BJ49">
        <v>996.03375571706511</v>
      </c>
      <c r="BK49">
        <v>2054.3851608500231</v>
      </c>
      <c r="BL49">
        <v>-851.86373761518519</v>
      </c>
      <c r="BM49">
        <v>-197.16</v>
      </c>
      <c r="BN49">
        <v>2364.9611039433312</v>
      </c>
      <c r="BO49">
        <v>3082.5000000000005</v>
      </c>
      <c r="BP49">
        <v>6897.5495324551403</v>
      </c>
      <c r="BQ49">
        <v>4944.5012744440783</v>
      </c>
      <c r="BR49">
        <v>0</v>
      </c>
      <c r="BS49">
        <v>84.97899644133453</v>
      </c>
      <c r="BT49">
        <v>89.996893965312992</v>
      </c>
      <c r="BU49">
        <v>90.003106034687022</v>
      </c>
      <c r="BV49">
        <v>28.362879644865327</v>
      </c>
      <c r="BW49">
        <v>118.36287921135794</v>
      </c>
      <c r="BX49" s="69">
        <f>Таблица1[[#This Row],[Lкан_леб,мм]]</f>
        <v>3505856.9734681319</v>
      </c>
      <c r="BY49" s="65">
        <f>Таблица1[[#This Row],[Т1]]+Таблица1[[#This Row],[Lпрям1, мм]]</f>
        <v>3507743.2732844986</v>
      </c>
      <c r="BZ49" s="65">
        <f>Таблица1[[#This Row],[Т2]]+Таблица1[[#This Row],[Lдуг 2,мм]]</f>
        <v>3508807.4429400093</v>
      </c>
      <c r="CA49" s="65">
        <f>Таблица1[[#This Row],[Т3]]+Таблица1[[#This Row],[Lпрям2, мм]]</f>
        <v>3512529.4429400093</v>
      </c>
      <c r="CB49" s="65">
        <f>Таблица1[[#This Row],[Т4]]+Таблица1[[#This Row],[Lдуг 3,мм]]</f>
        <v>3513656.450408428</v>
      </c>
      <c r="CC49" s="65">
        <f>Таблица1[[#This Row],[Т5]]+Таблица1[[#This Row],[Lпрям3, мм]]</f>
        <v>3515501.1104111383</v>
      </c>
      <c r="CD49" s="65">
        <f>Таблица1[[#This Row],[Т6]]+Таблица1[[#This Row],[Lдуг 4,мм]]</f>
        <v>3516628.1956716701</v>
      </c>
      <c r="CE49" s="65">
        <f>Таблица1[[#This Row],[Т7]]+Таблица1[[#This Row],[Lпрям4, мм]]</f>
        <v>3517378.2956716702</v>
      </c>
      <c r="CF49" s="72">
        <f>Таблица1[[#This Row],[Т8]]+Таблица1[[#This Row],[Lдуг 5,мм]]</f>
        <v>3517733.4765648902</v>
      </c>
      <c r="CG49" s="65">
        <f>Таблица1[[#This Row],[Т9]]+Таблица1[[#This Row],[Lпрям5, мм]]</f>
        <v>3525582.9351564129</v>
      </c>
      <c r="CH49" s="65">
        <f>Таблица1[[#This Row],[Т10]]+Таблица1[[#This Row],[Lдуг 6,мм]]</f>
        <v>3527065.1624086797</v>
      </c>
      <c r="CI49" s="66">
        <f>Таблица1[[#This Row],[Т11]]+Таблица1[[#This Row],[Lпрям6, мм]]</f>
        <v>3528386.841860381</v>
      </c>
      <c r="CJ49" s="64">
        <f>Таблица1[[#This Row],[Т12]]-Таблица1[[#This Row],[Т12]]</f>
        <v>0</v>
      </c>
      <c r="CK49" s="65">
        <f>Таблица1[[#This Row],[Т12]]-Таблица1[[#This Row],[Т11]]</f>
        <v>1321.6794517012313</v>
      </c>
      <c r="CL49" s="65">
        <f>Таблица1[[#This Row],[Т12]]-Таблица1[[#This Row],[Т10]]</f>
        <v>2803.9067039680667</v>
      </c>
      <c r="CM49" s="65">
        <f>Таблица1[[#This Row],[Т12]]-Таблица1[[#This Row],[Т9]]</f>
        <v>10653.365295490716</v>
      </c>
      <c r="CN49" s="65">
        <f>Таблица1[[#This Row],[Т12]]-Таблица1[[#This Row],[Т8]]</f>
        <v>11008.546188710723</v>
      </c>
      <c r="CO49" s="65">
        <f>Таблица1[[#This Row],[Т12]]-Таблица1[[#This Row],[Т7]]</f>
        <v>11758.646188710816</v>
      </c>
      <c r="CP49" s="65">
        <f>Таблица1[[#This Row],[Т12]]-Таблица1[[#This Row],[Т6]]</f>
        <v>12885.731449242681</v>
      </c>
      <c r="CQ49" s="65">
        <f>Таблица1[[#This Row],[Т12]]-Таблица1[[#This Row],[Т5]]</f>
        <v>14730.391451952979</v>
      </c>
      <c r="CR49" s="65">
        <f>Таблица1[[#This Row],[Т12]]-Таблица1[[#This Row],[Т4]]</f>
        <v>15857.398920371663</v>
      </c>
      <c r="CS49" s="65">
        <f>Таблица1[[#This Row],[Т12]]-Таблица1[[#This Row],[Т3]]</f>
        <v>19579.398920371663</v>
      </c>
      <c r="CT49" s="65">
        <f>Таблица1[[#This Row],[Т12]]-Таблица1[[#This Row],[Т2]]</f>
        <v>20643.568575882353</v>
      </c>
      <c r="CU49" s="65">
        <f>Таблица1[[#This Row],[Т12]]-Таблица1[[#This Row],[Т1]]</f>
        <v>22529.868392249104</v>
      </c>
      <c r="CV49" s="65">
        <f>Таблица1[[#This Row],[Lкан_леб,мм]]+Таблица1[[#This Row],[Lкан_дуг, мм]]+Таблица1[[#This Row],[Lкан_прям, мм]]</f>
        <v>3528386.841860381</v>
      </c>
      <c r="CW49" s="60">
        <f>3511128.4-(Таблица1[[#This Row],[Lкан_леб,мм]]+Таблица1[[#This Row],[∆Lлеб из за стрел]])</f>
        <v>5271.4265318680555</v>
      </c>
    </row>
    <row r="50" spans="1:101" x14ac:dyDescent="0.25">
      <c r="A50">
        <v>49</v>
      </c>
      <c r="B50">
        <v>74.483221476509968</v>
      </c>
      <c r="C50">
        <v>15.526778523490023</v>
      </c>
      <c r="D50">
        <v>1273.1411592064217</v>
      </c>
      <c r="E50">
        <v>6284.1845855434394</v>
      </c>
      <c r="F50">
        <v>1990.7743168995228</v>
      </c>
      <c r="G50">
        <v>5521.3098245377887</v>
      </c>
      <c r="H50">
        <v>1990.6406692064218</v>
      </c>
      <c r="I50">
        <v>4962.5051392704408</v>
      </c>
      <c r="J50">
        <v>1321.6794462729986</v>
      </c>
      <c r="K50">
        <v>17318.306972482293</v>
      </c>
      <c r="L50">
        <v>5164.1586804973067</v>
      </c>
      <c r="M50">
        <v>3505904.3762074015</v>
      </c>
      <c r="N50">
        <v>0</v>
      </c>
      <c r="O50">
        <v>8</v>
      </c>
      <c r="P50">
        <v>-3322.5</v>
      </c>
      <c r="Q50">
        <v>-2811.96</v>
      </c>
      <c r="R50">
        <v>-3280</v>
      </c>
      <c r="S50">
        <v>-914.66</v>
      </c>
      <c r="T50">
        <v>-7002</v>
      </c>
      <c r="U50">
        <v>520.34</v>
      </c>
      <c r="V50">
        <v>-7002.1</v>
      </c>
      <c r="W50">
        <v>2365</v>
      </c>
      <c r="X50">
        <v>-6252</v>
      </c>
      <c r="Y50">
        <v>3800</v>
      </c>
      <c r="Z50">
        <v>1273.1411592064217</v>
      </c>
      <c r="AA50">
        <v>6284.1845855434394</v>
      </c>
      <c r="AB50">
        <v>0</v>
      </c>
      <c r="AC50">
        <v>1064.1696555107644</v>
      </c>
      <c r="AD50">
        <v>1127.0074684186504</v>
      </c>
      <c r="AE50">
        <v>1127.0852605320265</v>
      </c>
      <c r="AF50">
        <v>359.42496849461315</v>
      </c>
      <c r="AG50">
        <v>1486.4713275412523</v>
      </c>
      <c r="AH50">
        <v>1886.2998163666878</v>
      </c>
      <c r="AI50">
        <v>3721.9999999999995</v>
      </c>
      <c r="AJ50">
        <v>1844.6600027105269</v>
      </c>
      <c r="AK50">
        <v>750.10000000000059</v>
      </c>
      <c r="AL50">
        <v>7793.567701703385</v>
      </c>
      <c r="AM50">
        <v>1321.6794517016942</v>
      </c>
      <c r="AN50">
        <v>-95.021003558665456</v>
      </c>
      <c r="AO50">
        <v>-180</v>
      </c>
      <c r="AP50">
        <v>-90.003106034687008</v>
      </c>
      <c r="AQ50">
        <v>1.2722218725854067E-14</v>
      </c>
      <c r="AR50">
        <v>-28.701789193538541</v>
      </c>
      <c r="AS50">
        <v>89.999999566492619</v>
      </c>
      <c r="AT50">
        <v>-2400.1625746957502</v>
      </c>
      <c r="AU50">
        <v>-3280</v>
      </c>
      <c r="AV50">
        <v>-7719.4999989457119</v>
      </c>
      <c r="AW50">
        <v>-7002.1</v>
      </c>
      <c r="AX50">
        <v>-5907.4199877657165</v>
      </c>
      <c r="AY50">
        <v>1990.6411592064217</v>
      </c>
      <c r="AZ50">
        <v>-2730.9252207921031</v>
      </c>
      <c r="BA50">
        <v>-197.16</v>
      </c>
      <c r="BB50">
        <v>520.3011039433311</v>
      </c>
      <c r="BC50">
        <v>3082.5000000000005</v>
      </c>
      <c r="BD50">
        <v>3170.658387544077</v>
      </c>
      <c r="BE50">
        <v>6284.1845909721387</v>
      </c>
      <c r="BF50">
        <v>-2565.2532760267472</v>
      </c>
      <c r="BG50">
        <v>-7002</v>
      </c>
      <c r="BH50">
        <v>-7719.5999989457123</v>
      </c>
      <c r="BI50">
        <v>-6252</v>
      </c>
      <c r="BJ50">
        <v>928.56114697213843</v>
      </c>
      <c r="BK50">
        <v>1990.6411692064219</v>
      </c>
      <c r="BL50">
        <v>-851.86373761518519</v>
      </c>
      <c r="BM50">
        <v>-197.16</v>
      </c>
      <c r="BN50">
        <v>2364.9611039433312</v>
      </c>
      <c r="BO50">
        <v>3082.5000000000005</v>
      </c>
      <c r="BP50">
        <v>6913.5261979993629</v>
      </c>
      <c r="BQ50">
        <v>4962.5051392704445</v>
      </c>
      <c r="BR50">
        <v>0</v>
      </c>
      <c r="BS50">
        <v>84.97899644133453</v>
      </c>
      <c r="BT50">
        <v>89.996893965312992</v>
      </c>
      <c r="BU50">
        <v>90.003106034687022</v>
      </c>
      <c r="BV50">
        <v>28.701789193538556</v>
      </c>
      <c r="BW50">
        <v>118.70178876003116</v>
      </c>
      <c r="BX50" s="69">
        <f>Таблица1[[#This Row],[Lкан_леб,мм]]</f>
        <v>3505904.3762074015</v>
      </c>
      <c r="BY50" s="65">
        <f>Таблица1[[#This Row],[Т1]]+Таблица1[[#This Row],[Lпрям1, мм]]</f>
        <v>3507790.6760237683</v>
      </c>
      <c r="BZ50" s="65">
        <f>Таблица1[[#This Row],[Т2]]+Таблица1[[#This Row],[Lдуг 2,мм]]</f>
        <v>3508854.845679279</v>
      </c>
      <c r="CA50" s="65">
        <f>Таблица1[[#This Row],[Т3]]+Таблица1[[#This Row],[Lпрям2, мм]]</f>
        <v>3512576.845679279</v>
      </c>
      <c r="CB50" s="65">
        <f>Таблица1[[#This Row],[Т4]]+Таблица1[[#This Row],[Lдуг 3,мм]]</f>
        <v>3513703.8531476976</v>
      </c>
      <c r="CC50" s="65">
        <f>Таблица1[[#This Row],[Т5]]+Таблица1[[#This Row],[Lпрям3, мм]]</f>
        <v>3515548.5131504079</v>
      </c>
      <c r="CD50" s="65">
        <f>Таблица1[[#This Row],[Т6]]+Таблица1[[#This Row],[Lдуг 4,мм]]</f>
        <v>3516675.5984109398</v>
      </c>
      <c r="CE50" s="65">
        <f>Таблица1[[#This Row],[Т7]]+Таблица1[[#This Row],[Lпрям4, мм]]</f>
        <v>3517425.6984109399</v>
      </c>
      <c r="CF50" s="72">
        <f>Таблица1[[#This Row],[Т8]]+Таблица1[[#This Row],[Lдуг 5,мм]]</f>
        <v>3517785.1233794345</v>
      </c>
      <c r="CG50" s="65">
        <f>Таблица1[[#This Row],[Т9]]+Таблица1[[#This Row],[Lпрям5, мм]]</f>
        <v>3525578.6910811379</v>
      </c>
      <c r="CH50" s="65">
        <f>Таблица1[[#This Row],[Т10]]+Таблица1[[#This Row],[Lдуг 6,мм]]</f>
        <v>3527065.1624086793</v>
      </c>
      <c r="CI50" s="66">
        <f>Таблица1[[#This Row],[Т11]]+Таблица1[[#This Row],[Lпрям6, мм]]</f>
        <v>3528386.841860381</v>
      </c>
      <c r="CJ50" s="64">
        <f>Таблица1[[#This Row],[Т12]]-Таблица1[[#This Row],[Т12]]</f>
        <v>0</v>
      </c>
      <c r="CK50" s="65">
        <f>Таблица1[[#This Row],[Т12]]-Таблица1[[#This Row],[Т11]]</f>
        <v>1321.679451701697</v>
      </c>
      <c r="CL50" s="65">
        <f>Таблица1[[#This Row],[Т12]]-Таблица1[[#This Row],[Т10]]</f>
        <v>2808.150779243093</v>
      </c>
      <c r="CM50" s="65">
        <f>Таблица1[[#This Row],[Т12]]-Таблица1[[#This Row],[Т9]]</f>
        <v>10601.718480946496</v>
      </c>
      <c r="CN50" s="65">
        <f>Таблица1[[#This Row],[Т12]]-Таблица1[[#This Row],[Т8]]</f>
        <v>10961.143449441064</v>
      </c>
      <c r="CO50" s="65">
        <f>Таблица1[[#This Row],[Т12]]-Таблица1[[#This Row],[Т7]]</f>
        <v>11711.243449441157</v>
      </c>
      <c r="CP50" s="65">
        <f>Таблица1[[#This Row],[Т12]]-Таблица1[[#This Row],[Т6]]</f>
        <v>12838.328709973022</v>
      </c>
      <c r="CQ50" s="65">
        <f>Таблица1[[#This Row],[Т12]]-Таблица1[[#This Row],[Т5]]</f>
        <v>14682.98871268332</v>
      </c>
      <c r="CR50" s="65">
        <f>Таблица1[[#This Row],[Т12]]-Таблица1[[#This Row],[Т4]]</f>
        <v>15809.996181102004</v>
      </c>
      <c r="CS50" s="65">
        <f>Таблица1[[#This Row],[Т12]]-Таблица1[[#This Row],[Т3]]</f>
        <v>19531.996181102004</v>
      </c>
      <c r="CT50" s="65">
        <f>Таблица1[[#This Row],[Т12]]-Таблица1[[#This Row],[Т2]]</f>
        <v>20596.165836612694</v>
      </c>
      <c r="CU50" s="65">
        <f>Таблица1[[#This Row],[Т12]]-Таблица1[[#This Row],[Т1]]</f>
        <v>22482.465652979445</v>
      </c>
      <c r="CV50" s="65">
        <f>Таблица1[[#This Row],[Lкан_леб,мм]]+Таблица1[[#This Row],[Lкан_дуг, мм]]+Таблица1[[#This Row],[Lкан_прям, мм]]</f>
        <v>3528386.841860381</v>
      </c>
      <c r="CW50" s="60">
        <f>3511128.4-(Таблица1[[#This Row],[Lкан_леб,мм]]+Таблица1[[#This Row],[∆Lлеб из за стрел]])</f>
        <v>5224.0237925983965</v>
      </c>
    </row>
    <row r="51" spans="1:101" x14ac:dyDescent="0.25">
      <c r="A51">
        <v>50</v>
      </c>
      <c r="B51">
        <v>74.993288590603925</v>
      </c>
      <c r="C51">
        <v>15.016711409396066</v>
      </c>
      <c r="D51">
        <v>1209.2394188617588</v>
      </c>
      <c r="E51">
        <v>6301.6202730916784</v>
      </c>
      <c r="F51">
        <v>1926.8725765548602</v>
      </c>
      <c r="G51">
        <v>5538.7455120860286</v>
      </c>
      <c r="H51">
        <v>1926.7389288617587</v>
      </c>
      <c r="I51">
        <v>4979.9408268192037</v>
      </c>
      <c r="J51">
        <v>1321.6794462724745</v>
      </c>
      <c r="K51">
        <v>17262.243561977186</v>
      </c>
      <c r="L51">
        <v>5172.6819193805513</v>
      </c>
      <c r="M51">
        <v>3505951.9163790233</v>
      </c>
      <c r="N51">
        <v>0</v>
      </c>
      <c r="O51">
        <v>8</v>
      </c>
      <c r="P51">
        <v>-3322.5</v>
      </c>
      <c r="Q51">
        <v>-2811.96</v>
      </c>
      <c r="R51">
        <v>-3280</v>
      </c>
      <c r="S51">
        <v>-914.66</v>
      </c>
      <c r="T51">
        <v>-7002</v>
      </c>
      <c r="U51">
        <v>520.34</v>
      </c>
      <c r="V51">
        <v>-7002.1</v>
      </c>
      <c r="W51">
        <v>2365</v>
      </c>
      <c r="X51">
        <v>-6252</v>
      </c>
      <c r="Y51">
        <v>3800</v>
      </c>
      <c r="Z51">
        <v>1209.2394188617588</v>
      </c>
      <c r="AA51">
        <v>6301.6202730916784</v>
      </c>
      <c r="AB51">
        <v>0</v>
      </c>
      <c r="AC51">
        <v>1064.1696555107644</v>
      </c>
      <c r="AD51">
        <v>1127.0074684186504</v>
      </c>
      <c r="AE51">
        <v>1127.0852605320265</v>
      </c>
      <c r="AF51">
        <v>363.68658793623553</v>
      </c>
      <c r="AG51">
        <v>1490.7329469828746</v>
      </c>
      <c r="AH51">
        <v>1886.2998163666878</v>
      </c>
      <c r="AI51">
        <v>3721.9999999999995</v>
      </c>
      <c r="AJ51">
        <v>1844.6600027105269</v>
      </c>
      <c r="AK51">
        <v>750.10000000000059</v>
      </c>
      <c r="AL51">
        <v>7737.5042911987985</v>
      </c>
      <c r="AM51">
        <v>1321.6794517011704</v>
      </c>
      <c r="AN51">
        <v>-95.021003558665456</v>
      </c>
      <c r="AO51">
        <v>-180</v>
      </c>
      <c r="AP51">
        <v>-90.003106034687008</v>
      </c>
      <c r="AQ51">
        <v>1.2722218725854067E-14</v>
      </c>
      <c r="AR51">
        <v>-29.042099727191314</v>
      </c>
      <c r="AS51">
        <v>89.999999566492633</v>
      </c>
      <c r="AT51">
        <v>-2400.1625746957502</v>
      </c>
      <c r="AU51">
        <v>-3280</v>
      </c>
      <c r="AV51">
        <v>-7719.4999989457119</v>
      </c>
      <c r="AW51">
        <v>-7002.1</v>
      </c>
      <c r="AX51">
        <v>-5903.6880885598603</v>
      </c>
      <c r="AY51">
        <v>1926.7394188617588</v>
      </c>
      <c r="AZ51">
        <v>-2730.9252207921031</v>
      </c>
      <c r="BA51">
        <v>-197.16</v>
      </c>
      <c r="BB51">
        <v>520.3011039433311</v>
      </c>
      <c r="BC51">
        <v>3082.5000000000005</v>
      </c>
      <c r="BD51">
        <v>3172.7161229962016</v>
      </c>
      <c r="BE51">
        <v>6301.6202785203777</v>
      </c>
      <c r="BF51">
        <v>-2565.2532760267472</v>
      </c>
      <c r="BG51">
        <v>-7002</v>
      </c>
      <c r="BH51">
        <v>-7719.5999989457123</v>
      </c>
      <c r="BI51">
        <v>-6252</v>
      </c>
      <c r="BJ51">
        <v>860.92750742162002</v>
      </c>
      <c r="BK51">
        <v>1926.7394288617588</v>
      </c>
      <c r="BL51">
        <v>-851.86373761518519</v>
      </c>
      <c r="BM51">
        <v>-197.16</v>
      </c>
      <c r="BN51">
        <v>2364.9611039433312</v>
      </c>
      <c r="BO51">
        <v>3082.5000000000005</v>
      </c>
      <c r="BP51">
        <v>6928.9041500954772</v>
      </c>
      <c r="BQ51">
        <v>4979.9408268192074</v>
      </c>
      <c r="BR51">
        <v>0</v>
      </c>
      <c r="BS51">
        <v>84.97899644133453</v>
      </c>
      <c r="BT51">
        <v>89.996893965312992</v>
      </c>
      <c r="BU51">
        <v>90.003106034687022</v>
      </c>
      <c r="BV51">
        <v>29.042099727191328</v>
      </c>
      <c r="BW51">
        <v>119.04209929368395</v>
      </c>
      <c r="BX51" s="69">
        <f>Таблица1[[#This Row],[Lкан_леб,мм]]</f>
        <v>3505951.9163790233</v>
      </c>
      <c r="BY51" s="65">
        <f>Таблица1[[#This Row],[Т1]]+Таблица1[[#This Row],[Lпрям1, мм]]</f>
        <v>3507838.2161953901</v>
      </c>
      <c r="BZ51" s="65">
        <f>Таблица1[[#This Row],[Т2]]+Таблица1[[#This Row],[Lдуг 2,мм]]</f>
        <v>3508902.3858509008</v>
      </c>
      <c r="CA51" s="65">
        <f>Таблица1[[#This Row],[Т3]]+Таблица1[[#This Row],[Lпрям2, мм]]</f>
        <v>3512624.3858509008</v>
      </c>
      <c r="CB51" s="65">
        <f>Таблица1[[#This Row],[Т4]]+Таблица1[[#This Row],[Lдуг 3,мм]]</f>
        <v>3513751.3933193195</v>
      </c>
      <c r="CC51" s="65">
        <f>Таблица1[[#This Row],[Т5]]+Таблица1[[#This Row],[Lпрям3, мм]]</f>
        <v>3515596.0533220298</v>
      </c>
      <c r="CD51" s="65">
        <f>Таблица1[[#This Row],[Т6]]+Таблица1[[#This Row],[Lдуг 4,мм]]</f>
        <v>3516723.1385825616</v>
      </c>
      <c r="CE51" s="65">
        <f>Таблица1[[#This Row],[Т7]]+Таблица1[[#This Row],[Lпрям4, мм]]</f>
        <v>3517473.2385825617</v>
      </c>
      <c r="CF51" s="72">
        <f>Таблица1[[#This Row],[Т8]]+Таблица1[[#This Row],[Lдуг 5,мм]]</f>
        <v>3517836.925170498</v>
      </c>
      <c r="CG51" s="65">
        <f>Таблица1[[#This Row],[Т9]]+Таблица1[[#This Row],[Lпрям5, мм]]</f>
        <v>3525574.4294616967</v>
      </c>
      <c r="CH51" s="65">
        <f>Таблица1[[#This Row],[Т10]]+Таблица1[[#This Row],[Lдуг 6,мм]]</f>
        <v>3527065.1624086797</v>
      </c>
      <c r="CI51" s="66">
        <f>Таблица1[[#This Row],[Т11]]+Таблица1[[#This Row],[Lпрям6, мм]]</f>
        <v>3528386.841860381</v>
      </c>
      <c r="CJ51" s="64">
        <f>Таблица1[[#This Row],[Т12]]-Таблица1[[#This Row],[Т12]]</f>
        <v>0</v>
      </c>
      <c r="CK51" s="65">
        <f>Таблица1[[#This Row],[Т12]]-Таблица1[[#This Row],[Т11]]</f>
        <v>1321.6794517012313</v>
      </c>
      <c r="CL51" s="65">
        <f>Таблица1[[#This Row],[Т12]]-Таблица1[[#This Row],[Т10]]</f>
        <v>2812.4123986843042</v>
      </c>
      <c r="CM51" s="65">
        <f>Таблица1[[#This Row],[Т12]]-Таблица1[[#This Row],[Т9]]</f>
        <v>10549.916689882986</v>
      </c>
      <c r="CN51" s="65">
        <f>Таблица1[[#This Row],[Т12]]-Таблица1[[#This Row],[Т8]]</f>
        <v>10913.603277819231</v>
      </c>
      <c r="CO51" s="65">
        <f>Таблица1[[#This Row],[Т12]]-Таблица1[[#This Row],[Т7]]</f>
        <v>11663.703277819324</v>
      </c>
      <c r="CP51" s="65">
        <f>Таблица1[[#This Row],[Т12]]-Таблица1[[#This Row],[Т6]]</f>
        <v>12790.788538351189</v>
      </c>
      <c r="CQ51" s="65">
        <f>Таблица1[[#This Row],[Т12]]-Таблица1[[#This Row],[Т5]]</f>
        <v>14635.448541061487</v>
      </c>
      <c r="CR51" s="65">
        <f>Таблица1[[#This Row],[Т12]]-Таблица1[[#This Row],[Т4]]</f>
        <v>15762.456009480171</v>
      </c>
      <c r="CS51" s="65">
        <f>Таблица1[[#This Row],[Т12]]-Таблица1[[#This Row],[Т3]]</f>
        <v>19484.456009480171</v>
      </c>
      <c r="CT51" s="65">
        <f>Таблица1[[#This Row],[Т12]]-Таблица1[[#This Row],[Т2]]</f>
        <v>20548.625664990861</v>
      </c>
      <c r="CU51" s="65">
        <f>Таблица1[[#This Row],[Т12]]-Таблица1[[#This Row],[Т1]]</f>
        <v>22434.925481357612</v>
      </c>
      <c r="CV51" s="65">
        <f>Таблица1[[#This Row],[Lкан_леб,мм]]+Таблица1[[#This Row],[Lкан_дуг, мм]]+Таблица1[[#This Row],[Lкан_прям, мм]]</f>
        <v>3528386.841860381</v>
      </c>
      <c r="CW51" s="60">
        <f>3511128.4-(Таблица1[[#This Row],[Lкан_леб,мм]]+Таблица1[[#This Row],[∆Lлеб из за стрел]])</f>
        <v>5176.4836209765635</v>
      </c>
    </row>
    <row r="52" spans="1:101" x14ac:dyDescent="0.25">
      <c r="A52">
        <v>51</v>
      </c>
      <c r="B52">
        <v>75.503355704697881</v>
      </c>
      <c r="C52">
        <v>14.506644295302111</v>
      </c>
      <c r="D52">
        <v>1145.1849941134267</v>
      </c>
      <c r="E52">
        <v>6318.4864015602016</v>
      </c>
      <c r="F52">
        <v>1862.818151806528</v>
      </c>
      <c r="G52">
        <v>5555.6116405545517</v>
      </c>
      <c r="H52">
        <v>1862.6845041134268</v>
      </c>
      <c r="I52">
        <v>4996.8069552872512</v>
      </c>
      <c r="J52">
        <v>1321.6794462729506</v>
      </c>
      <c r="K52">
        <v>17206.008345090766</v>
      </c>
      <c r="L52">
        <v>5181.2410908851089</v>
      </c>
      <c r="M52">
        <v>3505999.5924244053</v>
      </c>
      <c r="N52">
        <v>0</v>
      </c>
      <c r="O52">
        <v>8</v>
      </c>
      <c r="P52">
        <v>-3322.5</v>
      </c>
      <c r="Q52">
        <v>-2811.96</v>
      </c>
      <c r="R52">
        <v>-3280</v>
      </c>
      <c r="S52">
        <v>-914.66</v>
      </c>
      <c r="T52">
        <v>-7002</v>
      </c>
      <c r="U52">
        <v>520.34</v>
      </c>
      <c r="V52">
        <v>-7002.1</v>
      </c>
      <c r="W52">
        <v>2365</v>
      </c>
      <c r="X52">
        <v>-6252</v>
      </c>
      <c r="Y52">
        <v>3800</v>
      </c>
      <c r="Z52">
        <v>1145.1849941134267</v>
      </c>
      <c r="AA52">
        <v>6318.4864015602016</v>
      </c>
      <c r="AB52">
        <v>0</v>
      </c>
      <c r="AC52">
        <v>1064.1696555107644</v>
      </c>
      <c r="AD52">
        <v>1127.0074684186504</v>
      </c>
      <c r="AE52">
        <v>1127.0852605320265</v>
      </c>
      <c r="AF52">
        <v>367.96617368851457</v>
      </c>
      <c r="AG52">
        <v>1495.0125327351534</v>
      </c>
      <c r="AH52">
        <v>1886.2998163666878</v>
      </c>
      <c r="AI52">
        <v>3721.9999999999995</v>
      </c>
      <c r="AJ52">
        <v>1844.6600027105269</v>
      </c>
      <c r="AK52">
        <v>750.10000000000059</v>
      </c>
      <c r="AL52">
        <v>7681.2690743119074</v>
      </c>
      <c r="AM52">
        <v>1321.6794517016463</v>
      </c>
      <c r="AN52">
        <v>-95.021003558665456</v>
      </c>
      <c r="AO52">
        <v>-180</v>
      </c>
      <c r="AP52">
        <v>-90.003106034687008</v>
      </c>
      <c r="AQ52">
        <v>1.2722218725854067E-14</v>
      </c>
      <c r="AR52">
        <v>-29.38384495599955</v>
      </c>
      <c r="AS52">
        <v>89.999999566492605</v>
      </c>
      <c r="AT52">
        <v>-2400.1625746957502</v>
      </c>
      <c r="AU52">
        <v>-3280</v>
      </c>
      <c r="AV52">
        <v>-7719.4999989457119</v>
      </c>
      <c r="AW52">
        <v>-7002.1</v>
      </c>
      <c r="AX52">
        <v>-5899.9528220152042</v>
      </c>
      <c r="AY52">
        <v>1862.6849941134267</v>
      </c>
      <c r="AZ52">
        <v>-2730.9252207921031</v>
      </c>
      <c r="BA52">
        <v>-197.16</v>
      </c>
      <c r="BB52">
        <v>520.3011039433311</v>
      </c>
      <c r="BC52">
        <v>3082.5000000000005</v>
      </c>
      <c r="BD52">
        <v>3174.8048029031725</v>
      </c>
      <c r="BE52">
        <v>6318.4864069889009</v>
      </c>
      <c r="BF52">
        <v>-2565.2532760267472</v>
      </c>
      <c r="BG52">
        <v>-7002</v>
      </c>
      <c r="BH52">
        <v>-7719.5999989457123</v>
      </c>
      <c r="BI52">
        <v>-6252</v>
      </c>
      <c r="BJ52">
        <v>793.13781612863067</v>
      </c>
      <c r="BK52">
        <v>1862.6850041134269</v>
      </c>
      <c r="BL52">
        <v>-851.86373761518519</v>
      </c>
      <c r="BM52">
        <v>-197.16</v>
      </c>
      <c r="BN52">
        <v>2364.9611039433312</v>
      </c>
      <c r="BO52">
        <v>3082.5000000000005</v>
      </c>
      <c r="BP52">
        <v>6943.6815986570291</v>
      </c>
      <c r="BQ52">
        <v>4996.8069552872548</v>
      </c>
      <c r="BR52">
        <v>0</v>
      </c>
      <c r="BS52">
        <v>84.97899644133453</v>
      </c>
      <c r="BT52">
        <v>89.996893965312992</v>
      </c>
      <c r="BU52">
        <v>90.003106034687022</v>
      </c>
      <c r="BV52">
        <v>29.38384495599956</v>
      </c>
      <c r="BW52">
        <v>119.38384452249214</v>
      </c>
      <c r="BX52" s="69">
        <f>Таблица1[[#This Row],[Lкан_леб,мм]]</f>
        <v>3505999.5924244053</v>
      </c>
      <c r="BY52" s="65">
        <f>Таблица1[[#This Row],[Т1]]+Таблица1[[#This Row],[Lпрям1, мм]]</f>
        <v>3507885.892240772</v>
      </c>
      <c r="BZ52" s="65">
        <f>Таблица1[[#This Row],[Т2]]+Таблица1[[#This Row],[Lдуг 2,мм]]</f>
        <v>3508950.0618962827</v>
      </c>
      <c r="CA52" s="65">
        <f>Таблица1[[#This Row],[Т3]]+Таблица1[[#This Row],[Lпрям2, мм]]</f>
        <v>3512672.0618962827</v>
      </c>
      <c r="CB52" s="65">
        <f>Таблица1[[#This Row],[Т4]]+Таблица1[[#This Row],[Lдуг 3,мм]]</f>
        <v>3513799.0693647014</v>
      </c>
      <c r="CC52" s="65">
        <f>Таблица1[[#This Row],[Т5]]+Таблица1[[#This Row],[Lпрям3, мм]]</f>
        <v>3515643.7293674117</v>
      </c>
      <c r="CD52" s="65">
        <f>Таблица1[[#This Row],[Т6]]+Таблица1[[#This Row],[Lдуг 4,мм]]</f>
        <v>3516770.8146279436</v>
      </c>
      <c r="CE52" s="65">
        <f>Таблица1[[#This Row],[Т7]]+Таблица1[[#This Row],[Lпрям4, мм]]</f>
        <v>3517520.9146279437</v>
      </c>
      <c r="CF52" s="72">
        <f>Таблица1[[#This Row],[Т8]]+Таблица1[[#This Row],[Lдуг 5,мм]]</f>
        <v>3517888.8808016321</v>
      </c>
      <c r="CG52" s="65">
        <f>Таблица1[[#This Row],[Т9]]+Таблица1[[#This Row],[Lпрям5, мм]]</f>
        <v>3525570.149875944</v>
      </c>
      <c r="CH52" s="65">
        <f>Таблица1[[#This Row],[Т10]]+Таблица1[[#This Row],[Lдуг 6,мм]]</f>
        <v>3527065.1624086793</v>
      </c>
      <c r="CI52" s="66">
        <f>Таблица1[[#This Row],[Т11]]+Таблица1[[#This Row],[Lпрям6, мм]]</f>
        <v>3528386.841860381</v>
      </c>
      <c r="CJ52" s="64">
        <f>Таблица1[[#This Row],[Т12]]-Таблица1[[#This Row],[Т12]]</f>
        <v>0</v>
      </c>
      <c r="CK52" s="65">
        <f>Таблица1[[#This Row],[Т12]]-Таблица1[[#This Row],[Т11]]</f>
        <v>1321.679451701697</v>
      </c>
      <c r="CL52" s="65">
        <f>Таблица1[[#This Row],[Т12]]-Таблица1[[#This Row],[Т10]]</f>
        <v>2816.6919844369404</v>
      </c>
      <c r="CM52" s="65">
        <f>Таблица1[[#This Row],[Т12]]-Таблица1[[#This Row],[Т9]]</f>
        <v>10497.961058748886</v>
      </c>
      <c r="CN52" s="65">
        <f>Таблица1[[#This Row],[Т12]]-Таблица1[[#This Row],[Т8]]</f>
        <v>10865.927232437301</v>
      </c>
      <c r="CO52" s="65">
        <f>Таблица1[[#This Row],[Т12]]-Таблица1[[#This Row],[Т7]]</f>
        <v>11616.027232437395</v>
      </c>
      <c r="CP52" s="65">
        <f>Таблица1[[#This Row],[Т12]]-Таблица1[[#This Row],[Т6]]</f>
        <v>12743.11249296926</v>
      </c>
      <c r="CQ52" s="65">
        <f>Таблица1[[#This Row],[Т12]]-Таблица1[[#This Row],[Т5]]</f>
        <v>14587.772495679557</v>
      </c>
      <c r="CR52" s="65">
        <f>Таблица1[[#This Row],[Т12]]-Таблица1[[#This Row],[Т4]]</f>
        <v>15714.779964098241</v>
      </c>
      <c r="CS52" s="65">
        <f>Таблица1[[#This Row],[Т12]]-Таблица1[[#This Row],[Т3]]</f>
        <v>19436.779964098241</v>
      </c>
      <c r="CT52" s="65">
        <f>Таблица1[[#This Row],[Т12]]-Таблица1[[#This Row],[Т2]]</f>
        <v>20500.949619608931</v>
      </c>
      <c r="CU52" s="65">
        <f>Таблица1[[#This Row],[Т12]]-Таблица1[[#This Row],[Т1]]</f>
        <v>22387.249435975682</v>
      </c>
      <c r="CV52" s="65">
        <f>Таблица1[[#This Row],[Lкан_леб,мм]]+Таблица1[[#This Row],[Lкан_дуг, мм]]+Таблица1[[#This Row],[Lкан_прям, мм]]</f>
        <v>3528386.841860381</v>
      </c>
      <c r="CW52" s="60">
        <f>3511128.4-(Таблица1[[#This Row],[Lкан_леб,мм]]+Таблица1[[#This Row],[∆Lлеб из за стрел]])</f>
        <v>5128.8075755946338</v>
      </c>
    </row>
    <row r="53" spans="1:101" x14ac:dyDescent="0.25">
      <c r="A53">
        <v>52</v>
      </c>
      <c r="B53">
        <v>76.013422818791838</v>
      </c>
      <c r="C53">
        <v>13.996577181208155</v>
      </c>
      <c r="D53">
        <v>1080.9829613592576</v>
      </c>
      <c r="E53">
        <v>6334.781634286036</v>
      </c>
      <c r="F53">
        <v>1798.616119052359</v>
      </c>
      <c r="G53">
        <v>5571.9068732803853</v>
      </c>
      <c r="H53">
        <v>1798.4824713592575</v>
      </c>
      <c r="I53">
        <v>5013.1021880131229</v>
      </c>
      <c r="J53">
        <v>1321.6794462729133</v>
      </c>
      <c r="K53">
        <v>17149.602026599347</v>
      </c>
      <c r="L53">
        <v>5189.8370669912301</v>
      </c>
      <c r="M53">
        <v>3506047.4027667907</v>
      </c>
      <c r="N53">
        <v>0</v>
      </c>
      <c r="O53">
        <v>8</v>
      </c>
      <c r="P53">
        <v>-3322.5</v>
      </c>
      <c r="Q53">
        <v>-2811.96</v>
      </c>
      <c r="R53">
        <v>-3280</v>
      </c>
      <c r="S53">
        <v>-914.66</v>
      </c>
      <c r="T53">
        <v>-7002</v>
      </c>
      <c r="U53">
        <v>520.34</v>
      </c>
      <c r="V53">
        <v>-7002.1</v>
      </c>
      <c r="W53">
        <v>2365</v>
      </c>
      <c r="X53">
        <v>-6252</v>
      </c>
      <c r="Y53">
        <v>3800</v>
      </c>
      <c r="Z53">
        <v>1080.9829613592576</v>
      </c>
      <c r="AA53">
        <v>6334.781634286036</v>
      </c>
      <c r="AB53">
        <v>0</v>
      </c>
      <c r="AC53">
        <v>1064.1696555107644</v>
      </c>
      <c r="AD53">
        <v>1127.0074684186504</v>
      </c>
      <c r="AE53">
        <v>1127.0852605320265</v>
      </c>
      <c r="AF53">
        <v>372.26416174157481</v>
      </c>
      <c r="AG53">
        <v>1499.3105207882143</v>
      </c>
      <c r="AH53">
        <v>1886.2998163666878</v>
      </c>
      <c r="AI53">
        <v>3721.9999999999995</v>
      </c>
      <c r="AJ53">
        <v>1844.6600027105269</v>
      </c>
      <c r="AK53">
        <v>750.10000000000059</v>
      </c>
      <c r="AL53">
        <v>7624.8627558205244</v>
      </c>
      <c r="AM53">
        <v>1321.679451701609</v>
      </c>
      <c r="AN53">
        <v>-95.021003558665456</v>
      </c>
      <c r="AO53">
        <v>-180</v>
      </c>
      <c r="AP53">
        <v>-90.003106034687008</v>
      </c>
      <c r="AQ53">
        <v>1.2722218725854067E-14</v>
      </c>
      <c r="AR53">
        <v>-29.727059695843451</v>
      </c>
      <c r="AS53">
        <v>89.999999566492633</v>
      </c>
      <c r="AT53">
        <v>-2400.1625746957502</v>
      </c>
      <c r="AU53">
        <v>-3280</v>
      </c>
      <c r="AV53">
        <v>-7719.4999989457119</v>
      </c>
      <c r="AW53">
        <v>-7002.1</v>
      </c>
      <c r="AX53">
        <v>-5896.2140993094581</v>
      </c>
      <c r="AY53">
        <v>1798.4829613592576</v>
      </c>
      <c r="AZ53">
        <v>-2730.9252207921031</v>
      </c>
      <c r="BA53">
        <v>-197.16</v>
      </c>
      <c r="BB53">
        <v>520.3011039433311</v>
      </c>
      <c r="BC53">
        <v>3082.5000000000005</v>
      </c>
      <c r="BD53">
        <v>3176.9248497413655</v>
      </c>
      <c r="BE53">
        <v>6334.7816397147353</v>
      </c>
      <c r="BF53">
        <v>-2565.2532760267472</v>
      </c>
      <c r="BG53">
        <v>-7002</v>
      </c>
      <c r="BH53">
        <v>-7719.5999989457123</v>
      </c>
      <c r="BI53">
        <v>-6252</v>
      </c>
      <c r="BJ53">
        <v>725.19706066871595</v>
      </c>
      <c r="BK53">
        <v>1798.4829713592576</v>
      </c>
      <c r="BL53">
        <v>-851.86373761518519</v>
      </c>
      <c r="BM53">
        <v>-197.16</v>
      </c>
      <c r="BN53">
        <v>2364.9611039433312</v>
      </c>
      <c r="BO53">
        <v>3082.5000000000005</v>
      </c>
      <c r="BP53">
        <v>6957.8567845446705</v>
      </c>
      <c r="BQ53">
        <v>5013.1021880131266</v>
      </c>
      <c r="BR53">
        <v>0</v>
      </c>
      <c r="BS53">
        <v>84.97899644133453</v>
      </c>
      <c r="BT53">
        <v>89.996893965312992</v>
      </c>
      <c r="BU53">
        <v>90.003106034687022</v>
      </c>
      <c r="BV53">
        <v>29.727059695843465</v>
      </c>
      <c r="BW53">
        <v>119.7270592623361</v>
      </c>
      <c r="BX53" s="69">
        <f>Таблица1[[#This Row],[Lкан_леб,мм]]</f>
        <v>3506047.4027667907</v>
      </c>
      <c r="BY53" s="65">
        <f>Таблица1[[#This Row],[Т1]]+Таблица1[[#This Row],[Lпрям1, мм]]</f>
        <v>3507933.7025831575</v>
      </c>
      <c r="BZ53" s="65">
        <f>Таблица1[[#This Row],[Т2]]+Таблица1[[#This Row],[Lдуг 2,мм]]</f>
        <v>3508997.8722386681</v>
      </c>
      <c r="CA53" s="65">
        <f>Таблица1[[#This Row],[Т3]]+Таблица1[[#This Row],[Lпрям2, мм]]</f>
        <v>3512719.8722386681</v>
      </c>
      <c r="CB53" s="65">
        <f>Таблица1[[#This Row],[Т4]]+Таблица1[[#This Row],[Lдуг 3,мм]]</f>
        <v>3513846.8797070868</v>
      </c>
      <c r="CC53" s="65">
        <f>Таблица1[[#This Row],[Т5]]+Таблица1[[#This Row],[Lпрям3, мм]]</f>
        <v>3515691.5397097971</v>
      </c>
      <c r="CD53" s="65">
        <f>Таблица1[[#This Row],[Т6]]+Таблица1[[#This Row],[Lдуг 4,мм]]</f>
        <v>3516818.624970329</v>
      </c>
      <c r="CE53" s="65">
        <f>Таблица1[[#This Row],[Т7]]+Таблица1[[#This Row],[Lпрям4, мм]]</f>
        <v>3517568.7249703291</v>
      </c>
      <c r="CF53" s="72">
        <f>Таблица1[[#This Row],[Т8]]+Таблица1[[#This Row],[Lдуг 5,мм]]</f>
        <v>3517940.9891320704</v>
      </c>
      <c r="CG53" s="65">
        <f>Таблица1[[#This Row],[Т9]]+Таблица1[[#This Row],[Lпрям5, мм]]</f>
        <v>3525565.8518878911</v>
      </c>
      <c r="CH53" s="65">
        <f>Таблица1[[#This Row],[Т10]]+Таблица1[[#This Row],[Lдуг 6,мм]]</f>
        <v>3527065.1624086793</v>
      </c>
      <c r="CI53" s="66">
        <f>Таблица1[[#This Row],[Т11]]+Таблица1[[#This Row],[Lпрям6, мм]]</f>
        <v>3528386.841860381</v>
      </c>
      <c r="CJ53" s="64">
        <f>Таблица1[[#This Row],[Т12]]-Таблица1[[#This Row],[Т12]]</f>
        <v>0</v>
      </c>
      <c r="CK53" s="65">
        <f>Таблица1[[#This Row],[Т12]]-Таблица1[[#This Row],[Т11]]</f>
        <v>1321.679451701697</v>
      </c>
      <c r="CL53" s="65">
        <f>Таблица1[[#This Row],[Т12]]-Таблица1[[#This Row],[Т10]]</f>
        <v>2820.989972489886</v>
      </c>
      <c r="CM53" s="65">
        <f>Таблица1[[#This Row],[Т12]]-Таблица1[[#This Row],[Т9]]</f>
        <v>10445.852728310507</v>
      </c>
      <c r="CN53" s="65">
        <f>Таблица1[[#This Row],[Т12]]-Таблица1[[#This Row],[Т8]]</f>
        <v>10818.116890051868</v>
      </c>
      <c r="CO53" s="65">
        <f>Таблица1[[#This Row],[Т12]]-Таблица1[[#This Row],[Т7]]</f>
        <v>11568.216890051961</v>
      </c>
      <c r="CP53" s="65">
        <f>Таблица1[[#This Row],[Т12]]-Таблица1[[#This Row],[Т6]]</f>
        <v>12695.302150583826</v>
      </c>
      <c r="CQ53" s="65">
        <f>Таблица1[[#This Row],[Т12]]-Таблица1[[#This Row],[Т5]]</f>
        <v>14539.962153294124</v>
      </c>
      <c r="CR53" s="65">
        <f>Таблица1[[#This Row],[Т12]]-Таблица1[[#This Row],[Т4]]</f>
        <v>15666.969621712808</v>
      </c>
      <c r="CS53" s="65">
        <f>Таблица1[[#This Row],[Т12]]-Таблица1[[#This Row],[Т3]]</f>
        <v>19388.969621712808</v>
      </c>
      <c r="CT53" s="65">
        <f>Таблица1[[#This Row],[Т12]]-Таблица1[[#This Row],[Т2]]</f>
        <v>20453.139277223498</v>
      </c>
      <c r="CU53" s="65">
        <f>Таблица1[[#This Row],[Т12]]-Таблица1[[#This Row],[Т1]]</f>
        <v>22339.439093590248</v>
      </c>
      <c r="CV53" s="65">
        <f>Таблица1[[#This Row],[Lкан_леб,мм]]+Таблица1[[#This Row],[Lкан_дуг, мм]]+Таблица1[[#This Row],[Lкан_прям, мм]]</f>
        <v>3528386.8418603814</v>
      </c>
      <c r="CW53" s="60">
        <f>3511128.4-(Таблица1[[#This Row],[Lкан_леб,мм]]+Таблица1[[#This Row],[∆Lлеб из за стрел]])</f>
        <v>5080.9972332092002</v>
      </c>
    </row>
    <row r="54" spans="1:101" x14ac:dyDescent="0.25">
      <c r="A54">
        <v>53</v>
      </c>
      <c r="B54">
        <v>76.523489932885795</v>
      </c>
      <c r="C54">
        <v>13.4865100671142</v>
      </c>
      <c r="D54">
        <v>1016.6384086952131</v>
      </c>
      <c r="E54">
        <v>6350.5046798504436</v>
      </c>
      <c r="F54">
        <v>1734.2715663883143</v>
      </c>
      <c r="G54">
        <v>5587.6299188447929</v>
      </c>
      <c r="H54">
        <v>1734.1379186952133</v>
      </c>
      <c r="I54">
        <v>5028.8252335777024</v>
      </c>
      <c r="J54">
        <v>1321.679446272741</v>
      </c>
      <c r="K54">
        <v>17093.025301201804</v>
      </c>
      <c r="L54">
        <v>5198.4707485192121</v>
      </c>
      <c r="M54">
        <v>3506095.3458106602</v>
      </c>
      <c r="N54">
        <v>0</v>
      </c>
      <c r="O54">
        <v>8</v>
      </c>
      <c r="P54">
        <v>-3322.5</v>
      </c>
      <c r="Q54">
        <v>-2811.96</v>
      </c>
      <c r="R54">
        <v>-3280</v>
      </c>
      <c r="S54">
        <v>-914.66</v>
      </c>
      <c r="T54">
        <v>-7002</v>
      </c>
      <c r="U54">
        <v>520.34</v>
      </c>
      <c r="V54">
        <v>-7002.1</v>
      </c>
      <c r="W54">
        <v>2365</v>
      </c>
      <c r="X54">
        <v>-6252</v>
      </c>
      <c r="Y54">
        <v>3800</v>
      </c>
      <c r="Z54">
        <v>1016.6384086952131</v>
      </c>
      <c r="AA54">
        <v>6350.5046798504436</v>
      </c>
      <c r="AB54">
        <v>0</v>
      </c>
      <c r="AC54">
        <v>1064.1696555107644</v>
      </c>
      <c r="AD54">
        <v>1127.0074684186504</v>
      </c>
      <c r="AE54">
        <v>1127.0852605320265</v>
      </c>
      <c r="AF54">
        <v>376.58100250556583</v>
      </c>
      <c r="AG54">
        <v>1503.627361552205</v>
      </c>
      <c r="AH54">
        <v>1886.2998163666878</v>
      </c>
      <c r="AI54">
        <v>3721.9999999999995</v>
      </c>
      <c r="AJ54">
        <v>1844.6600027105269</v>
      </c>
      <c r="AK54">
        <v>750.10000000000059</v>
      </c>
      <c r="AL54">
        <v>7568.2860304231563</v>
      </c>
      <c r="AM54">
        <v>1321.6794517014366</v>
      </c>
      <c r="AN54">
        <v>-95.021003558665456</v>
      </c>
      <c r="AO54">
        <v>-180</v>
      </c>
      <c r="AP54">
        <v>-90.003106034687008</v>
      </c>
      <c r="AQ54">
        <v>1.2722218725854067E-14</v>
      </c>
      <c r="AR54">
        <v>-30.07177991411065</v>
      </c>
      <c r="AS54">
        <v>89.999999566492619</v>
      </c>
      <c r="AT54">
        <v>-2400.1625746957502</v>
      </c>
      <c r="AU54">
        <v>-3280</v>
      </c>
      <c r="AV54">
        <v>-7719.4999989457119</v>
      </c>
      <c r="AW54">
        <v>-7002.1</v>
      </c>
      <c r="AX54">
        <v>-5892.4718279392728</v>
      </c>
      <c r="AY54">
        <v>1734.1384086952132</v>
      </c>
      <c r="AZ54">
        <v>-2730.9252207921031</v>
      </c>
      <c r="BA54">
        <v>-197.16</v>
      </c>
      <c r="BB54">
        <v>520.3011039433311</v>
      </c>
      <c r="BC54">
        <v>3082.5000000000005</v>
      </c>
      <c r="BD54">
        <v>3179.0767007957647</v>
      </c>
      <c r="BE54">
        <v>6350.5046852791429</v>
      </c>
      <c r="BF54">
        <v>-2565.2532760267472</v>
      </c>
      <c r="BG54">
        <v>-7002</v>
      </c>
      <c r="BH54">
        <v>-7719.5999989457123</v>
      </c>
      <c r="BI54">
        <v>-6252</v>
      </c>
      <c r="BJ54">
        <v>657.11023663448645</v>
      </c>
      <c r="BK54">
        <v>1734.1384186952132</v>
      </c>
      <c r="BL54">
        <v>-851.86373761518519</v>
      </c>
      <c r="BM54">
        <v>-197.16</v>
      </c>
      <c r="BN54">
        <v>2364.9611039433312</v>
      </c>
      <c r="BO54">
        <v>3082.5000000000005</v>
      </c>
      <c r="BP54">
        <v>6971.427979054678</v>
      </c>
      <c r="BQ54">
        <v>5028.8252335777061</v>
      </c>
      <c r="BR54">
        <v>0</v>
      </c>
      <c r="BS54">
        <v>84.97899644133453</v>
      </c>
      <c r="BT54">
        <v>89.996893965312992</v>
      </c>
      <c r="BU54">
        <v>90.003106034687022</v>
      </c>
      <c r="BV54">
        <v>30.071779914110664</v>
      </c>
      <c r="BW54">
        <v>120.07177948060328</v>
      </c>
      <c r="BX54" s="69">
        <f>Таблица1[[#This Row],[Lкан_леб,мм]]</f>
        <v>3506095.3458106602</v>
      </c>
      <c r="BY54" s="65">
        <f>Таблица1[[#This Row],[Т1]]+Таблица1[[#This Row],[Lпрям1, мм]]</f>
        <v>3507981.6456270269</v>
      </c>
      <c r="BZ54" s="65">
        <f>Таблица1[[#This Row],[Т2]]+Таблица1[[#This Row],[Lдуг 2,мм]]</f>
        <v>3509045.8152825376</v>
      </c>
      <c r="CA54" s="65">
        <f>Таблица1[[#This Row],[Т3]]+Таблица1[[#This Row],[Lпрям2, мм]]</f>
        <v>3512767.8152825376</v>
      </c>
      <c r="CB54" s="65">
        <f>Таблица1[[#This Row],[Т4]]+Таблица1[[#This Row],[Lдуг 3,мм]]</f>
        <v>3513894.8227509563</v>
      </c>
      <c r="CC54" s="65">
        <f>Таблица1[[#This Row],[Т5]]+Таблица1[[#This Row],[Lпрям3, мм]]</f>
        <v>3515739.4827536666</v>
      </c>
      <c r="CD54" s="65">
        <f>Таблица1[[#This Row],[Т6]]+Таблица1[[#This Row],[Lдуг 4,мм]]</f>
        <v>3516866.5680141984</v>
      </c>
      <c r="CE54" s="65">
        <f>Таблица1[[#This Row],[Т7]]+Таблица1[[#This Row],[Lпрям4, мм]]</f>
        <v>3517616.6680141985</v>
      </c>
      <c r="CF54" s="72">
        <f>Таблица1[[#This Row],[Т8]]+Таблица1[[#This Row],[Lдуг 5,мм]]</f>
        <v>3517993.249016704</v>
      </c>
      <c r="CG54" s="65">
        <f>Таблица1[[#This Row],[Т9]]+Таблица1[[#This Row],[Lпрям5, мм]]</f>
        <v>3525561.5350471274</v>
      </c>
      <c r="CH54" s="65">
        <f>Таблица1[[#This Row],[Т10]]+Таблица1[[#This Row],[Lдуг 6,мм]]</f>
        <v>3527065.1624086797</v>
      </c>
      <c r="CI54" s="66">
        <f>Таблица1[[#This Row],[Т11]]+Таблица1[[#This Row],[Lпрям6, мм]]</f>
        <v>3528386.841860381</v>
      </c>
      <c r="CJ54" s="64">
        <f>Таблица1[[#This Row],[Т12]]-Таблица1[[#This Row],[Т12]]</f>
        <v>0</v>
      </c>
      <c r="CK54" s="65">
        <f>Таблица1[[#This Row],[Т12]]-Таблица1[[#This Row],[Т11]]</f>
        <v>1321.6794517012313</v>
      </c>
      <c r="CL54" s="65">
        <f>Таблица1[[#This Row],[Т12]]-Таблица1[[#This Row],[Т10]]</f>
        <v>2825.3068132535554</v>
      </c>
      <c r="CM54" s="65">
        <f>Таблица1[[#This Row],[Т12]]-Таблица1[[#This Row],[Т9]]</f>
        <v>10393.592843676917</v>
      </c>
      <c r="CN54" s="65">
        <f>Таблица1[[#This Row],[Т12]]-Таблица1[[#This Row],[Т8]]</f>
        <v>10770.173846182413</v>
      </c>
      <c r="CO54" s="65">
        <f>Таблица1[[#This Row],[Т12]]-Таблица1[[#This Row],[Т7]]</f>
        <v>11520.273846182507</v>
      </c>
      <c r="CP54" s="65">
        <f>Таблица1[[#This Row],[Т12]]-Таблица1[[#This Row],[Т6]]</f>
        <v>12647.359106714372</v>
      </c>
      <c r="CQ54" s="65">
        <f>Таблица1[[#This Row],[Т12]]-Таблица1[[#This Row],[Т5]]</f>
        <v>14492.019109424669</v>
      </c>
      <c r="CR54" s="65">
        <f>Таблица1[[#This Row],[Т12]]-Таблица1[[#This Row],[Т4]]</f>
        <v>15619.026577843353</v>
      </c>
      <c r="CS54" s="65">
        <f>Таблица1[[#This Row],[Т12]]-Таблица1[[#This Row],[Т3]]</f>
        <v>19341.026577843353</v>
      </c>
      <c r="CT54" s="65">
        <f>Таблица1[[#This Row],[Т12]]-Таблица1[[#This Row],[Т2]]</f>
        <v>20405.196233354043</v>
      </c>
      <c r="CU54" s="65">
        <f>Таблица1[[#This Row],[Т12]]-Таблица1[[#This Row],[Т1]]</f>
        <v>22291.496049720794</v>
      </c>
      <c r="CV54" s="65">
        <f>Таблица1[[#This Row],[Lкан_леб,мм]]+Таблица1[[#This Row],[Lкан_дуг, мм]]+Таблица1[[#This Row],[Lкан_прям, мм]]</f>
        <v>3528386.841860381</v>
      </c>
      <c r="CW54" s="60">
        <f>3511128.4-(Таблица1[[#This Row],[Lкан_леб,мм]]+Таблица1[[#This Row],[∆Lлеб из за стрел]])</f>
        <v>5033.0541893397458</v>
      </c>
    </row>
    <row r="55" spans="1:101" x14ac:dyDescent="0.25">
      <c r="A55">
        <v>54</v>
      </c>
      <c r="B55">
        <v>77.033557046979752</v>
      </c>
      <c r="C55">
        <v>12.976442953020243</v>
      </c>
      <c r="D55">
        <v>952.15643551214623</v>
      </c>
      <c r="E55">
        <v>6365.6542921812843</v>
      </c>
      <c r="F55">
        <v>1669.7895932052475</v>
      </c>
      <c r="G55">
        <v>5602.7795311756327</v>
      </c>
      <c r="H55">
        <v>1669.6559455121464</v>
      </c>
      <c r="I55">
        <v>5043.9748459085777</v>
      </c>
      <c r="J55">
        <v>1321.6794462727073</v>
      </c>
      <c r="K55">
        <v>17036.278852936146</v>
      </c>
      <c r="L55">
        <v>5207.1430663343835</v>
      </c>
      <c r="M55">
        <v>3506143.4199411105</v>
      </c>
      <c r="N55">
        <v>0</v>
      </c>
      <c r="O55">
        <v>8</v>
      </c>
      <c r="P55">
        <v>-3322.5</v>
      </c>
      <c r="Q55">
        <v>-2811.96</v>
      </c>
      <c r="R55">
        <v>-3280</v>
      </c>
      <c r="S55">
        <v>-914.66</v>
      </c>
      <c r="T55">
        <v>-7002</v>
      </c>
      <c r="U55">
        <v>520.34</v>
      </c>
      <c r="V55">
        <v>-7002.1</v>
      </c>
      <c r="W55">
        <v>2365</v>
      </c>
      <c r="X55">
        <v>-6252</v>
      </c>
      <c r="Y55">
        <v>3800</v>
      </c>
      <c r="Z55">
        <v>952.15643551214623</v>
      </c>
      <c r="AA55">
        <v>6365.6542921812843</v>
      </c>
      <c r="AB55">
        <v>0</v>
      </c>
      <c r="AC55">
        <v>1064.1696555107644</v>
      </c>
      <c r="AD55">
        <v>1127.0074684186504</v>
      </c>
      <c r="AE55">
        <v>1127.0852605320265</v>
      </c>
      <c r="AF55">
        <v>380.91716141315203</v>
      </c>
      <c r="AG55">
        <v>1507.963520459791</v>
      </c>
      <c r="AH55">
        <v>1886.2998163666878</v>
      </c>
      <c r="AI55">
        <v>3721.9999999999995</v>
      </c>
      <c r="AJ55">
        <v>1844.6600027105269</v>
      </c>
      <c r="AK55">
        <v>750.10000000000059</v>
      </c>
      <c r="AL55">
        <v>7511.5395821575294</v>
      </c>
      <c r="AM55">
        <v>1321.679451701403</v>
      </c>
      <c r="AN55">
        <v>-95.021003558665456</v>
      </c>
      <c r="AO55">
        <v>-180</v>
      </c>
      <c r="AP55">
        <v>-90.003106034687008</v>
      </c>
      <c r="AQ55">
        <v>1.2722218725854067E-14</v>
      </c>
      <c r="AR55">
        <v>-30.418042777807855</v>
      </c>
      <c r="AS55">
        <v>89.999999566492619</v>
      </c>
      <c r="AT55">
        <v>-2400.1625746957502</v>
      </c>
      <c r="AU55">
        <v>-3280</v>
      </c>
      <c r="AV55">
        <v>-7719.4999989457119</v>
      </c>
      <c r="AW55">
        <v>-7002.1</v>
      </c>
      <c r="AX55">
        <v>-5888.7259116252735</v>
      </c>
      <c r="AY55">
        <v>1669.6564355121461</v>
      </c>
      <c r="AZ55">
        <v>-2730.9252207921031</v>
      </c>
      <c r="BA55">
        <v>-197.16</v>
      </c>
      <c r="BB55">
        <v>520.3011039433311</v>
      </c>
      <c r="BC55">
        <v>3082.5000000000005</v>
      </c>
      <c r="BD55">
        <v>3181.2608088091465</v>
      </c>
      <c r="BE55">
        <v>6365.6542976099836</v>
      </c>
      <c r="BF55">
        <v>-2565.2532760267472</v>
      </c>
      <c r="BG55">
        <v>-7002</v>
      </c>
      <c r="BH55">
        <v>-7719.5999989457123</v>
      </c>
      <c r="BI55">
        <v>-6252</v>
      </c>
      <c r="BJ55">
        <v>588.8823471374202</v>
      </c>
      <c r="BK55">
        <v>1669.6564455121465</v>
      </c>
      <c r="BL55">
        <v>-851.86373761518519</v>
      </c>
      <c r="BM55">
        <v>-197.16</v>
      </c>
      <c r="BN55">
        <v>2364.9611039433312</v>
      </c>
      <c r="BO55">
        <v>3082.5000000000005</v>
      </c>
      <c r="BP55">
        <v>6984.3934833721387</v>
      </c>
      <c r="BQ55">
        <v>5043.9748459085804</v>
      </c>
      <c r="BR55">
        <v>0</v>
      </c>
      <c r="BS55">
        <v>84.97899644133453</v>
      </c>
      <c r="BT55">
        <v>89.996893965312992</v>
      </c>
      <c r="BU55">
        <v>90.003106034687022</v>
      </c>
      <c r="BV55">
        <v>30.418042777807869</v>
      </c>
      <c r="BW55">
        <v>120.41804234430047</v>
      </c>
      <c r="BX55" s="69">
        <f>Таблица1[[#This Row],[Lкан_леб,мм]]</f>
        <v>3506143.4199411105</v>
      </c>
      <c r="BY55" s="65">
        <f>Таблица1[[#This Row],[Т1]]+Таблица1[[#This Row],[Lпрям1, мм]]</f>
        <v>3508029.7197574773</v>
      </c>
      <c r="BZ55" s="65">
        <f>Таблица1[[#This Row],[Т2]]+Таблица1[[#This Row],[Lдуг 2,мм]]</f>
        <v>3509093.889412988</v>
      </c>
      <c r="CA55" s="65">
        <f>Таблица1[[#This Row],[Т3]]+Таблица1[[#This Row],[Lпрям2, мм]]</f>
        <v>3512815.889412988</v>
      </c>
      <c r="CB55" s="65">
        <f>Таблица1[[#This Row],[Т4]]+Таблица1[[#This Row],[Lдуг 3,мм]]</f>
        <v>3513942.8968814067</v>
      </c>
      <c r="CC55" s="65">
        <f>Таблица1[[#This Row],[Т5]]+Таблица1[[#This Row],[Lпрям3, мм]]</f>
        <v>3515787.556884117</v>
      </c>
      <c r="CD55" s="65">
        <f>Таблица1[[#This Row],[Т6]]+Таблица1[[#This Row],[Lдуг 4,мм]]</f>
        <v>3516914.6421446488</v>
      </c>
      <c r="CE55" s="65">
        <f>Таблица1[[#This Row],[Т7]]+Таблица1[[#This Row],[Lпрям4, мм]]</f>
        <v>3517664.7421446489</v>
      </c>
      <c r="CF55" s="72">
        <f>Таблица1[[#This Row],[Т8]]+Таблица1[[#This Row],[Lдуг 5,мм]]</f>
        <v>3518045.6593060619</v>
      </c>
      <c r="CG55" s="65">
        <f>Таблица1[[#This Row],[Т9]]+Таблица1[[#This Row],[Lпрям5, мм]]</f>
        <v>3525557.1988882194</v>
      </c>
      <c r="CH55" s="65">
        <f>Таблица1[[#This Row],[Т10]]+Таблица1[[#This Row],[Lдуг 6,мм]]</f>
        <v>3527065.1624086793</v>
      </c>
      <c r="CI55" s="66">
        <f>Таблица1[[#This Row],[Т11]]+Таблица1[[#This Row],[Lпрям6, мм]]</f>
        <v>3528386.8418603805</v>
      </c>
      <c r="CJ55" s="64">
        <f>Таблица1[[#This Row],[Т12]]-Таблица1[[#This Row],[Т12]]</f>
        <v>0</v>
      </c>
      <c r="CK55" s="65">
        <f>Таблица1[[#This Row],[Т12]]-Таблица1[[#This Row],[Т11]]</f>
        <v>1321.6794517012313</v>
      </c>
      <c r="CL55" s="65">
        <f>Таблица1[[#This Row],[Т12]]-Таблица1[[#This Row],[Т10]]</f>
        <v>2829.6429721610621</v>
      </c>
      <c r="CM55" s="65">
        <f>Таблица1[[#This Row],[Т12]]-Таблица1[[#This Row],[Т9]]</f>
        <v>10341.18255431857</v>
      </c>
      <c r="CN55" s="65">
        <f>Таблица1[[#This Row],[Т12]]-Таблица1[[#This Row],[Т8]]</f>
        <v>10722.099715731572</v>
      </c>
      <c r="CO55" s="65">
        <f>Таблица1[[#This Row],[Т12]]-Таблица1[[#This Row],[Т7]]</f>
        <v>11472.199715731665</v>
      </c>
      <c r="CP55" s="65">
        <f>Таблица1[[#This Row],[Т12]]-Таблица1[[#This Row],[Т6]]</f>
        <v>12599.284976263531</v>
      </c>
      <c r="CQ55" s="65">
        <f>Таблица1[[#This Row],[Т12]]-Таблица1[[#This Row],[Т5]]</f>
        <v>14443.944978973828</v>
      </c>
      <c r="CR55" s="65">
        <f>Таблица1[[#This Row],[Т12]]-Таблица1[[#This Row],[Т4]]</f>
        <v>15570.952447392512</v>
      </c>
      <c r="CS55" s="65">
        <f>Таблица1[[#This Row],[Т12]]-Таблица1[[#This Row],[Т3]]</f>
        <v>19292.952447392512</v>
      </c>
      <c r="CT55" s="65">
        <f>Таблица1[[#This Row],[Т12]]-Таблица1[[#This Row],[Т2]]</f>
        <v>20357.122102903202</v>
      </c>
      <c r="CU55" s="65">
        <f>Таблица1[[#This Row],[Т12]]-Таблица1[[#This Row],[Т1]]</f>
        <v>22243.421919269953</v>
      </c>
      <c r="CV55" s="65">
        <f>Таблица1[[#This Row],[Lкан_леб,мм]]+Таблица1[[#This Row],[Lкан_дуг, мм]]+Таблица1[[#This Row],[Lкан_прям, мм]]</f>
        <v>3528386.8418603814</v>
      </c>
      <c r="CW55" s="60">
        <f>3511128.4-(Таблица1[[#This Row],[Lкан_леб,мм]]+Таблица1[[#This Row],[∆Lлеб из за стрел]])</f>
        <v>4984.9800588893704</v>
      </c>
    </row>
    <row r="56" spans="1:101" x14ac:dyDescent="0.25">
      <c r="A56">
        <v>55</v>
      </c>
      <c r="B56">
        <v>77.543624161073708</v>
      </c>
      <c r="C56">
        <v>12.466375838926288</v>
      </c>
      <c r="D56">
        <v>887.54215209166807</v>
      </c>
      <c r="E56">
        <v>6380.2292706517519</v>
      </c>
      <c r="F56">
        <v>1605.1753097847693</v>
      </c>
      <c r="G56">
        <v>5617.3545096461012</v>
      </c>
      <c r="H56">
        <v>1605.0416620916683</v>
      </c>
      <c r="I56">
        <v>5058.5498243793791</v>
      </c>
      <c r="J56">
        <v>1321.6794462723724</v>
      </c>
      <c r="K56">
        <v>16979.363354568275</v>
      </c>
      <c r="L56">
        <v>5215.8549826133376</v>
      </c>
      <c r="M56">
        <v>3506191.623523199</v>
      </c>
      <c r="N56">
        <v>0</v>
      </c>
      <c r="O56">
        <v>8</v>
      </c>
      <c r="P56">
        <v>-3322.5</v>
      </c>
      <c r="Q56">
        <v>-2811.96</v>
      </c>
      <c r="R56">
        <v>-3280</v>
      </c>
      <c r="S56">
        <v>-914.66</v>
      </c>
      <c r="T56">
        <v>-7002</v>
      </c>
      <c r="U56">
        <v>520.34</v>
      </c>
      <c r="V56">
        <v>-7002.1</v>
      </c>
      <c r="W56">
        <v>2365</v>
      </c>
      <c r="X56">
        <v>-6252</v>
      </c>
      <c r="Y56">
        <v>3800</v>
      </c>
      <c r="Z56">
        <v>887.54215209166807</v>
      </c>
      <c r="AA56">
        <v>6380.2292706517519</v>
      </c>
      <c r="AB56">
        <v>0</v>
      </c>
      <c r="AC56">
        <v>1064.1696555107644</v>
      </c>
      <c r="AD56">
        <v>1127.0074684186504</v>
      </c>
      <c r="AE56">
        <v>1127.0852605320265</v>
      </c>
      <c r="AF56">
        <v>385.27311955262877</v>
      </c>
      <c r="AG56">
        <v>1512.3194785992678</v>
      </c>
      <c r="AH56">
        <v>1886.2998163666878</v>
      </c>
      <c r="AI56">
        <v>3721.9999999999995</v>
      </c>
      <c r="AJ56">
        <v>1844.6600027105269</v>
      </c>
      <c r="AK56">
        <v>750.10000000000059</v>
      </c>
      <c r="AL56">
        <v>7454.6240837899923</v>
      </c>
      <c r="AM56">
        <v>1321.679451701068</v>
      </c>
      <c r="AN56">
        <v>-95.021003558665456</v>
      </c>
      <c r="AO56">
        <v>-180</v>
      </c>
      <c r="AP56">
        <v>-90.003106034687008</v>
      </c>
      <c r="AQ56">
        <v>1.2722218725854067E-14</v>
      </c>
      <c r="AR56">
        <v>-30.765886704118206</v>
      </c>
      <c r="AS56">
        <v>89.999999566492605</v>
      </c>
      <c r="AT56">
        <v>-2400.1625746957502</v>
      </c>
      <c r="AU56">
        <v>-3280</v>
      </c>
      <c r="AV56">
        <v>-7719.4999989457119</v>
      </c>
      <c r="AW56">
        <v>-7002.1</v>
      </c>
      <c r="AX56">
        <v>-5884.9762502152389</v>
      </c>
      <c r="AY56">
        <v>1605.0421520916682</v>
      </c>
      <c r="AZ56">
        <v>-2730.9252207921031</v>
      </c>
      <c r="BA56">
        <v>-197.16</v>
      </c>
      <c r="BB56">
        <v>520.3011039433311</v>
      </c>
      <c r="BC56">
        <v>3082.5000000000005</v>
      </c>
      <c r="BD56">
        <v>3183.4776426649773</v>
      </c>
      <c r="BE56">
        <v>6380.2292760804503</v>
      </c>
      <c r="BF56">
        <v>-2565.2532760267472</v>
      </c>
      <c r="BG56">
        <v>-7002</v>
      </c>
      <c r="BH56">
        <v>-7719.5999989457123</v>
      </c>
      <c r="BI56">
        <v>-6252</v>
      </c>
      <c r="BJ56">
        <v>520.51840230690732</v>
      </c>
      <c r="BK56">
        <v>1605.0421620916684</v>
      </c>
      <c r="BL56">
        <v>-851.86373761518519</v>
      </c>
      <c r="BM56">
        <v>-197.16</v>
      </c>
      <c r="BN56">
        <v>2364.9611039433312</v>
      </c>
      <c r="BO56">
        <v>3082.5000000000005</v>
      </c>
      <c r="BP56">
        <v>6996.7516279867741</v>
      </c>
      <c r="BQ56">
        <v>5058.5498243793827</v>
      </c>
      <c r="BR56">
        <v>0</v>
      </c>
      <c r="BS56">
        <v>84.97899644133453</v>
      </c>
      <c r="BT56">
        <v>89.996893965312992</v>
      </c>
      <c r="BU56">
        <v>90.003106034687022</v>
      </c>
      <c r="BV56">
        <v>30.765886704118216</v>
      </c>
      <c r="BW56">
        <v>120.76588627061081</v>
      </c>
      <c r="BX56" s="69">
        <f>Таблица1[[#This Row],[Lкан_леб,мм]]</f>
        <v>3506191.623523199</v>
      </c>
      <c r="BY56" s="65">
        <f>Таблица1[[#This Row],[Т1]]+Таблица1[[#This Row],[Lпрям1, мм]]</f>
        <v>3508077.9233395658</v>
      </c>
      <c r="BZ56" s="65">
        <f>Таблица1[[#This Row],[Т2]]+Таблица1[[#This Row],[Lдуг 2,мм]]</f>
        <v>3509142.0929950764</v>
      </c>
      <c r="CA56" s="65">
        <f>Таблица1[[#This Row],[Т3]]+Таблица1[[#This Row],[Lпрям2, мм]]</f>
        <v>3512864.0929950764</v>
      </c>
      <c r="CB56" s="65">
        <f>Таблица1[[#This Row],[Т4]]+Таблица1[[#This Row],[Lдуг 3,мм]]</f>
        <v>3513991.1004634951</v>
      </c>
      <c r="CC56" s="65">
        <f>Таблица1[[#This Row],[Т5]]+Таблица1[[#This Row],[Lпрям3, мм]]</f>
        <v>3515835.7604662054</v>
      </c>
      <c r="CD56" s="65">
        <f>Таблица1[[#This Row],[Т6]]+Таблица1[[#This Row],[Lдуг 4,мм]]</f>
        <v>3516962.8457267373</v>
      </c>
      <c r="CE56" s="65">
        <f>Таблица1[[#This Row],[Т7]]+Таблица1[[#This Row],[Lпрям4, мм]]</f>
        <v>3517712.9457267374</v>
      </c>
      <c r="CF56" s="72">
        <f>Таблица1[[#This Row],[Т8]]+Таблица1[[#This Row],[Lдуг 5,мм]]</f>
        <v>3518098.2188462899</v>
      </c>
      <c r="CG56" s="65">
        <f>Таблица1[[#This Row],[Т9]]+Таблица1[[#This Row],[Lпрям5, мм]]</f>
        <v>3525552.8429300799</v>
      </c>
      <c r="CH56" s="65">
        <f>Таблица1[[#This Row],[Т10]]+Таблица1[[#This Row],[Lдуг 6,мм]]</f>
        <v>3527065.1624086793</v>
      </c>
      <c r="CI56" s="66">
        <f>Таблица1[[#This Row],[Т11]]+Таблица1[[#This Row],[Lпрям6, мм]]</f>
        <v>3528386.8418603805</v>
      </c>
      <c r="CJ56" s="64">
        <f>Таблица1[[#This Row],[Т12]]-Таблица1[[#This Row],[Т12]]</f>
        <v>0</v>
      </c>
      <c r="CK56" s="65">
        <f>Таблица1[[#This Row],[Т12]]-Таблица1[[#This Row],[Т11]]</f>
        <v>1321.6794517012313</v>
      </c>
      <c r="CL56" s="65">
        <f>Таблица1[[#This Row],[Т12]]-Таблица1[[#This Row],[Т10]]</f>
        <v>2833.9989303005859</v>
      </c>
      <c r="CM56" s="65">
        <f>Таблица1[[#This Row],[Т12]]-Таблица1[[#This Row],[Т9]]</f>
        <v>10288.623014090583</v>
      </c>
      <c r="CN56" s="65">
        <f>Таблица1[[#This Row],[Т12]]-Таблица1[[#This Row],[Т8]]</f>
        <v>10673.896133643109</v>
      </c>
      <c r="CO56" s="65">
        <f>Таблица1[[#This Row],[Т12]]-Таблица1[[#This Row],[Т7]]</f>
        <v>11423.996133643202</v>
      </c>
      <c r="CP56" s="65">
        <f>Таблица1[[#This Row],[Т12]]-Таблица1[[#This Row],[Т6]]</f>
        <v>12551.081394175068</v>
      </c>
      <c r="CQ56" s="65">
        <f>Таблица1[[#This Row],[Т12]]-Таблица1[[#This Row],[Т5]]</f>
        <v>14395.741396885365</v>
      </c>
      <c r="CR56" s="65">
        <f>Таблица1[[#This Row],[Т12]]-Таблица1[[#This Row],[Т4]]</f>
        <v>15522.748865304049</v>
      </c>
      <c r="CS56" s="65">
        <f>Таблица1[[#This Row],[Т12]]-Таблица1[[#This Row],[Т3]]</f>
        <v>19244.748865304049</v>
      </c>
      <c r="CT56" s="65">
        <f>Таблица1[[#This Row],[Т12]]-Таблица1[[#This Row],[Т2]]</f>
        <v>20308.918520814739</v>
      </c>
      <c r="CU56" s="65">
        <f>Таблица1[[#This Row],[Т12]]-Таблица1[[#This Row],[Т1]]</f>
        <v>22195.21833718149</v>
      </c>
      <c r="CV56" s="65">
        <f>Таблица1[[#This Row],[Lкан_леб,мм]]+Таблица1[[#This Row],[Lкан_дуг, мм]]+Таблица1[[#This Row],[Lкан_прям, мм]]</f>
        <v>3528386.8418603805</v>
      </c>
      <c r="CW56" s="60">
        <f>3511128.4-(Таблица1[[#This Row],[Lкан_леб,мм]]+Таблица1[[#This Row],[∆Lлеб из за стрел]])</f>
        <v>4936.7764768009074</v>
      </c>
    </row>
    <row r="57" spans="1:101" x14ac:dyDescent="0.25">
      <c r="A57">
        <v>56</v>
      </c>
      <c r="B57">
        <v>78.053691275167665</v>
      </c>
      <c r="C57">
        <v>11.956308724832331</v>
      </c>
      <c r="D57">
        <v>822.80067920115096</v>
      </c>
      <c r="E57">
        <v>6394.2284601755382</v>
      </c>
      <c r="F57">
        <v>1540.4338368942522</v>
      </c>
      <c r="G57">
        <v>5631.3536991698875</v>
      </c>
      <c r="H57">
        <v>1540.3001892011507</v>
      </c>
      <c r="I57">
        <v>5072.5490139029489</v>
      </c>
      <c r="J57">
        <v>1321.6794462725891</v>
      </c>
      <c r="K57">
        <v>16922.279466952481</v>
      </c>
      <c r="L57">
        <v>5224.6074921751087</v>
      </c>
      <c r="M57">
        <v>3506239.9549012533</v>
      </c>
      <c r="N57">
        <v>0</v>
      </c>
      <c r="O57">
        <v>8</v>
      </c>
      <c r="P57">
        <v>-3322.5</v>
      </c>
      <c r="Q57">
        <v>-2811.96</v>
      </c>
      <c r="R57">
        <v>-3280</v>
      </c>
      <c r="S57">
        <v>-914.66</v>
      </c>
      <c r="T57">
        <v>-7002</v>
      </c>
      <c r="U57">
        <v>520.34</v>
      </c>
      <c r="V57">
        <v>-7002.1</v>
      </c>
      <c r="W57">
        <v>2365</v>
      </c>
      <c r="X57">
        <v>-6252</v>
      </c>
      <c r="Y57">
        <v>3800</v>
      </c>
      <c r="Z57">
        <v>822.80067920115096</v>
      </c>
      <c r="AA57">
        <v>6394.2284601755382</v>
      </c>
      <c r="AB57">
        <v>0</v>
      </c>
      <c r="AC57">
        <v>1064.1696555107644</v>
      </c>
      <c r="AD57">
        <v>1127.0074684186504</v>
      </c>
      <c r="AE57">
        <v>1127.0852605320265</v>
      </c>
      <c r="AF57">
        <v>389.64937433351383</v>
      </c>
      <c r="AG57">
        <v>1516.6957333801533</v>
      </c>
      <c r="AH57">
        <v>1886.2998163666878</v>
      </c>
      <c r="AI57">
        <v>3721.9999999999995</v>
      </c>
      <c r="AJ57">
        <v>1844.6600027105269</v>
      </c>
      <c r="AK57">
        <v>750.10000000000059</v>
      </c>
      <c r="AL57">
        <v>7397.5401961739826</v>
      </c>
      <c r="AM57">
        <v>1321.6794517012847</v>
      </c>
      <c r="AN57">
        <v>-95.021003558665456</v>
      </c>
      <c r="AO57">
        <v>-180</v>
      </c>
      <c r="AP57">
        <v>-90.003106034687008</v>
      </c>
      <c r="AQ57">
        <v>1.2722218725854067E-14</v>
      </c>
      <c r="AR57">
        <v>-31.115351413551881</v>
      </c>
      <c r="AS57">
        <v>89.999999566492633</v>
      </c>
      <c r="AT57">
        <v>-2400.1625746957502</v>
      </c>
      <c r="AU57">
        <v>-3280</v>
      </c>
      <c r="AV57">
        <v>-7719.4999989457119</v>
      </c>
      <c r="AW57">
        <v>-7002.1</v>
      </c>
      <c r="AX57">
        <v>-5881.2227395854734</v>
      </c>
      <c r="AY57">
        <v>1540.3006792011511</v>
      </c>
      <c r="AZ57">
        <v>-2730.9252207921031</v>
      </c>
      <c r="BA57">
        <v>-197.16</v>
      </c>
      <c r="BB57">
        <v>520.3011039433311</v>
      </c>
      <c r="BC57">
        <v>3082.5000000000005</v>
      </c>
      <c r="BD57">
        <v>3185.7276881060816</v>
      </c>
      <c r="BE57">
        <v>6394.2284656042375</v>
      </c>
      <c r="BF57">
        <v>-2565.2532760267472</v>
      </c>
      <c r="BG57">
        <v>-7002</v>
      </c>
      <c r="BH57">
        <v>-7719.5999989457123</v>
      </c>
      <c r="BI57">
        <v>-6252</v>
      </c>
      <c r="BJ57">
        <v>452.02341878662531</v>
      </c>
      <c r="BK57">
        <v>1540.3006892011508</v>
      </c>
      <c r="BL57">
        <v>-851.86373761518519</v>
      </c>
      <c r="BM57">
        <v>-197.16</v>
      </c>
      <c r="BN57">
        <v>2364.9611039433312</v>
      </c>
      <c r="BO57">
        <v>3082.5000000000005</v>
      </c>
      <c r="BP57">
        <v>7008.5007720694566</v>
      </c>
      <c r="BQ57">
        <v>5072.5490139029525</v>
      </c>
      <c r="BR57">
        <v>0</v>
      </c>
      <c r="BS57">
        <v>84.97899644133453</v>
      </c>
      <c r="BT57">
        <v>89.996893965312992</v>
      </c>
      <c r="BU57">
        <v>90.003106034687022</v>
      </c>
      <c r="BV57">
        <v>31.115351413551895</v>
      </c>
      <c r="BW57">
        <v>121.11535098004452</v>
      </c>
      <c r="BX57" s="69">
        <f>Таблица1[[#This Row],[Lкан_леб,мм]]</f>
        <v>3506239.9549012533</v>
      </c>
      <c r="BY57" s="65">
        <f>Таблица1[[#This Row],[Т1]]+Таблица1[[#This Row],[Lпрям1, мм]]</f>
        <v>3508126.2547176201</v>
      </c>
      <c r="BZ57" s="65">
        <f>Таблица1[[#This Row],[Т2]]+Таблица1[[#This Row],[Lдуг 2,мм]]</f>
        <v>3509190.4243731308</v>
      </c>
      <c r="CA57" s="65">
        <f>Таблица1[[#This Row],[Т3]]+Таблица1[[#This Row],[Lпрям2, мм]]</f>
        <v>3512912.4243731308</v>
      </c>
      <c r="CB57" s="65">
        <f>Таблица1[[#This Row],[Т4]]+Таблица1[[#This Row],[Lдуг 3,мм]]</f>
        <v>3514039.4318415495</v>
      </c>
      <c r="CC57" s="65">
        <f>Таблица1[[#This Row],[Т5]]+Таблица1[[#This Row],[Lпрям3, мм]]</f>
        <v>3515884.0918442598</v>
      </c>
      <c r="CD57" s="65">
        <f>Таблица1[[#This Row],[Т6]]+Таблица1[[#This Row],[Lдуг 4,мм]]</f>
        <v>3517011.1771047916</v>
      </c>
      <c r="CE57" s="65">
        <f>Таблица1[[#This Row],[Т7]]+Таблица1[[#This Row],[Lпрям4, мм]]</f>
        <v>3517761.2771047917</v>
      </c>
      <c r="CF57" s="72">
        <f>Таблица1[[#This Row],[Т8]]+Таблица1[[#This Row],[Lдуг 5,мм]]</f>
        <v>3518150.9264791254</v>
      </c>
      <c r="CG57" s="65">
        <f>Таблица1[[#This Row],[Т9]]+Таблица1[[#This Row],[Lпрям5, мм]]</f>
        <v>3525548.4666752992</v>
      </c>
      <c r="CH57" s="65">
        <f>Таблица1[[#This Row],[Т10]]+Таблица1[[#This Row],[Lдуг 6,мм]]</f>
        <v>3527065.1624086793</v>
      </c>
      <c r="CI57" s="66">
        <f>Таблица1[[#This Row],[Т11]]+Таблица1[[#This Row],[Lпрям6, мм]]</f>
        <v>3528386.8418603805</v>
      </c>
      <c r="CJ57" s="64">
        <f>Таблица1[[#This Row],[Т12]]-Таблица1[[#This Row],[Т12]]</f>
        <v>0</v>
      </c>
      <c r="CK57" s="65">
        <f>Таблица1[[#This Row],[Т12]]-Таблица1[[#This Row],[Т11]]</f>
        <v>1321.6794517012313</v>
      </c>
      <c r="CL57" s="65">
        <f>Таблица1[[#This Row],[Т12]]-Таблица1[[#This Row],[Т10]]</f>
        <v>2838.3751850812696</v>
      </c>
      <c r="CM57" s="65">
        <f>Таблица1[[#This Row],[Т12]]-Таблица1[[#This Row],[Т9]]</f>
        <v>10235.915381255094</v>
      </c>
      <c r="CN57" s="65">
        <f>Таблица1[[#This Row],[Т12]]-Таблица1[[#This Row],[Т8]]</f>
        <v>10625.56475558877</v>
      </c>
      <c r="CO57" s="65">
        <f>Таблица1[[#This Row],[Т12]]-Таблица1[[#This Row],[Т7]]</f>
        <v>11375.664755588863</v>
      </c>
      <c r="CP57" s="65">
        <f>Таблица1[[#This Row],[Т12]]-Таблица1[[#This Row],[Т6]]</f>
        <v>12502.750016120728</v>
      </c>
      <c r="CQ57" s="65">
        <f>Таблица1[[#This Row],[Т12]]-Таблица1[[#This Row],[Т5]]</f>
        <v>14347.410018831026</v>
      </c>
      <c r="CR57" s="65">
        <f>Таблица1[[#This Row],[Т12]]-Таблица1[[#This Row],[Т4]]</f>
        <v>15474.41748724971</v>
      </c>
      <c r="CS57" s="65">
        <f>Таблица1[[#This Row],[Т12]]-Таблица1[[#This Row],[Т3]]</f>
        <v>19196.41748724971</v>
      </c>
      <c r="CT57" s="65">
        <f>Таблица1[[#This Row],[Т12]]-Таблица1[[#This Row],[Т2]]</f>
        <v>20260.5871427604</v>
      </c>
      <c r="CU57" s="65">
        <f>Таблица1[[#This Row],[Т12]]-Таблица1[[#This Row],[Т1]]</f>
        <v>22146.88695912715</v>
      </c>
      <c r="CV57" s="65">
        <f>Таблица1[[#This Row],[Lкан_леб,мм]]+Таблица1[[#This Row],[Lкан_дуг, мм]]+Таблица1[[#This Row],[Lкан_прям, мм]]</f>
        <v>3528386.841860381</v>
      </c>
      <c r="CW57" s="60">
        <f>3511128.4-(Таблица1[[#This Row],[Lкан_леб,мм]]+Таблица1[[#This Row],[∆Lлеб из за стрел]])</f>
        <v>4888.445098746568</v>
      </c>
    </row>
    <row r="58" spans="1:101" x14ac:dyDescent="0.25">
      <c r="A58">
        <v>57</v>
      </c>
      <c r="B58">
        <v>78.563758389261622</v>
      </c>
      <c r="C58">
        <v>11.446241610738376</v>
      </c>
      <c r="D58">
        <v>757.93714768790028</v>
      </c>
      <c r="E58">
        <v>6407.6507512983699</v>
      </c>
      <c r="F58">
        <v>1475.5703053810016</v>
      </c>
      <c r="G58">
        <v>5644.7759902927191</v>
      </c>
      <c r="H58">
        <v>1475.4366576879006</v>
      </c>
      <c r="I58">
        <v>5085.9713050260216</v>
      </c>
      <c r="J58">
        <v>1321.6794462723476</v>
      </c>
      <c r="K58">
        <v>16865.027838353904</v>
      </c>
      <c r="L58">
        <v>5233.4016238812328</v>
      </c>
      <c r="M58">
        <v>3506288.4123981455</v>
      </c>
      <c r="N58">
        <v>0</v>
      </c>
      <c r="O58">
        <v>8</v>
      </c>
      <c r="P58">
        <v>-3322.5</v>
      </c>
      <c r="Q58">
        <v>-2811.96</v>
      </c>
      <c r="R58">
        <v>-3280</v>
      </c>
      <c r="S58">
        <v>-914.66</v>
      </c>
      <c r="T58">
        <v>-7002</v>
      </c>
      <c r="U58">
        <v>520.34</v>
      </c>
      <c r="V58">
        <v>-7002.1</v>
      </c>
      <c r="W58">
        <v>2365</v>
      </c>
      <c r="X58">
        <v>-6252</v>
      </c>
      <c r="Y58">
        <v>3800</v>
      </c>
      <c r="Z58">
        <v>757.93714768790028</v>
      </c>
      <c r="AA58">
        <v>6407.6507512983699</v>
      </c>
      <c r="AB58">
        <v>0</v>
      </c>
      <c r="AC58">
        <v>1064.1696555107644</v>
      </c>
      <c r="AD58">
        <v>1127.0074684186504</v>
      </c>
      <c r="AE58">
        <v>1127.0852605320265</v>
      </c>
      <c r="AF58">
        <v>394.04644018657626</v>
      </c>
      <c r="AG58">
        <v>1521.0927992332151</v>
      </c>
      <c r="AH58">
        <v>1886.2998163666878</v>
      </c>
      <c r="AI58">
        <v>3721.9999999999995</v>
      </c>
      <c r="AJ58">
        <v>1844.6600027105269</v>
      </c>
      <c r="AK58">
        <v>750.10000000000059</v>
      </c>
      <c r="AL58">
        <v>7340.2885675756452</v>
      </c>
      <c r="AM58">
        <v>1321.6794517010433</v>
      </c>
      <c r="AN58">
        <v>-95.021003558665456</v>
      </c>
      <c r="AO58">
        <v>-180</v>
      </c>
      <c r="AP58">
        <v>-90.003106034687008</v>
      </c>
      <c r="AQ58">
        <v>1.2722218725854067E-14</v>
      </c>
      <c r="AR58">
        <v>-31.466477985846755</v>
      </c>
      <c r="AS58">
        <v>89.999999566492619</v>
      </c>
      <c r="AT58">
        <v>-2400.1625746957502</v>
      </c>
      <c r="AU58">
        <v>-3280</v>
      </c>
      <c r="AV58">
        <v>-7719.4999989457119</v>
      </c>
      <c r="AW58">
        <v>-7002.1</v>
      </c>
      <c r="AX58">
        <v>-5877.4652715404618</v>
      </c>
      <c r="AY58">
        <v>1475.4371476879005</v>
      </c>
      <c r="AZ58">
        <v>-2730.9252207921031</v>
      </c>
      <c r="BA58">
        <v>-197.16</v>
      </c>
      <c r="BB58">
        <v>520.3011039433311</v>
      </c>
      <c r="BC58">
        <v>3082.5000000000005</v>
      </c>
      <c r="BD58">
        <v>3188.011448491281</v>
      </c>
      <c r="BE58">
        <v>6407.6507567270692</v>
      </c>
      <c r="BF58">
        <v>-2565.2532760267472</v>
      </c>
      <c r="BG58">
        <v>-7002</v>
      </c>
      <c r="BH58">
        <v>-7719.5999989457123</v>
      </c>
      <c r="BI58">
        <v>-6252</v>
      </c>
      <c r="BJ58">
        <v>383.40241922836276</v>
      </c>
      <c r="BK58">
        <v>1475.4371576879005</v>
      </c>
      <c r="BL58">
        <v>-851.86373761518519</v>
      </c>
      <c r="BM58">
        <v>-197.16</v>
      </c>
      <c r="BN58">
        <v>2364.9611039433312</v>
      </c>
      <c r="BO58">
        <v>3082.5000000000005</v>
      </c>
      <c r="BP58">
        <v>7019.6393028070888</v>
      </c>
      <c r="BQ58">
        <v>5085.9713050260252</v>
      </c>
      <c r="BR58">
        <v>0</v>
      </c>
      <c r="BS58">
        <v>84.97899644133453</v>
      </c>
      <c r="BT58">
        <v>89.996893965312992</v>
      </c>
      <c r="BU58">
        <v>90.003106034687022</v>
      </c>
      <c r="BV58">
        <v>31.466477985846765</v>
      </c>
      <c r="BW58">
        <v>121.46647755233936</v>
      </c>
      <c r="BX58" s="69">
        <f>Таблица1[[#This Row],[Lкан_леб,мм]]</f>
        <v>3506288.4123981455</v>
      </c>
      <c r="BY58" s="65">
        <f>Таблица1[[#This Row],[Т1]]+Таблица1[[#This Row],[Lпрям1, мм]]</f>
        <v>3508174.7122145123</v>
      </c>
      <c r="BZ58" s="65">
        <f>Таблица1[[#This Row],[Т2]]+Таблица1[[#This Row],[Lдуг 2,мм]]</f>
        <v>3509238.881870023</v>
      </c>
      <c r="CA58" s="65">
        <f>Таблица1[[#This Row],[Т3]]+Таблица1[[#This Row],[Lпрям2, мм]]</f>
        <v>3512960.881870023</v>
      </c>
      <c r="CB58" s="65">
        <f>Таблица1[[#This Row],[Т4]]+Таблица1[[#This Row],[Lдуг 3,мм]]</f>
        <v>3514087.8893384417</v>
      </c>
      <c r="CC58" s="65">
        <f>Таблица1[[#This Row],[Т5]]+Таблица1[[#This Row],[Lпрям3, мм]]</f>
        <v>3515932.549341152</v>
      </c>
      <c r="CD58" s="65">
        <f>Таблица1[[#This Row],[Т6]]+Таблица1[[#This Row],[Lдуг 4,мм]]</f>
        <v>3517059.6346016838</v>
      </c>
      <c r="CE58" s="65">
        <f>Таблица1[[#This Row],[Т7]]+Таблица1[[#This Row],[Lпрям4, мм]]</f>
        <v>3517809.7346016839</v>
      </c>
      <c r="CF58" s="72">
        <f>Таблица1[[#This Row],[Т8]]+Таблица1[[#This Row],[Lдуг 5,мм]]</f>
        <v>3518203.7810418704</v>
      </c>
      <c r="CG58" s="65">
        <f>Таблица1[[#This Row],[Т9]]+Таблица1[[#This Row],[Lпрям5, мм]]</f>
        <v>3525544.069609446</v>
      </c>
      <c r="CH58" s="65">
        <f>Таблица1[[#This Row],[Т10]]+Таблица1[[#This Row],[Lдуг 6,мм]]</f>
        <v>3527065.1624086793</v>
      </c>
      <c r="CI58" s="66">
        <f>Таблица1[[#This Row],[Т11]]+Таблица1[[#This Row],[Lпрям6, мм]]</f>
        <v>3528386.8418603805</v>
      </c>
      <c r="CJ58" s="64">
        <f>Таблица1[[#This Row],[Т12]]-Таблица1[[#This Row],[Т12]]</f>
        <v>0</v>
      </c>
      <c r="CK58" s="65">
        <f>Таблица1[[#This Row],[Т12]]-Таблица1[[#This Row],[Т11]]</f>
        <v>1321.6794517012313</v>
      </c>
      <c r="CL58" s="65">
        <f>Таблица1[[#This Row],[Т12]]-Таблица1[[#This Row],[Т10]]</f>
        <v>2842.772250934504</v>
      </c>
      <c r="CM58" s="65">
        <f>Таблица1[[#This Row],[Т12]]-Таблица1[[#This Row],[Т9]]</f>
        <v>10183.06081851013</v>
      </c>
      <c r="CN58" s="65">
        <f>Таблица1[[#This Row],[Т12]]-Таблица1[[#This Row],[Т8]]</f>
        <v>10577.107258696575</v>
      </c>
      <c r="CO58" s="65">
        <f>Таблица1[[#This Row],[Т12]]-Таблица1[[#This Row],[Т7]]</f>
        <v>11327.207258696668</v>
      </c>
      <c r="CP58" s="65">
        <f>Таблица1[[#This Row],[Т12]]-Таблица1[[#This Row],[Т6]]</f>
        <v>12454.292519228533</v>
      </c>
      <c r="CQ58" s="65">
        <f>Таблица1[[#This Row],[Т12]]-Таблица1[[#This Row],[Т5]]</f>
        <v>14298.952521938831</v>
      </c>
      <c r="CR58" s="65">
        <f>Таблица1[[#This Row],[Т12]]-Таблица1[[#This Row],[Т4]]</f>
        <v>15425.959990357514</v>
      </c>
      <c r="CS58" s="65">
        <f>Таблица1[[#This Row],[Т12]]-Таблица1[[#This Row],[Т3]]</f>
        <v>19147.959990357514</v>
      </c>
      <c r="CT58" s="65">
        <f>Таблица1[[#This Row],[Т12]]-Таблица1[[#This Row],[Т2]]</f>
        <v>20212.129645868205</v>
      </c>
      <c r="CU58" s="65">
        <f>Таблица1[[#This Row],[Т12]]-Таблица1[[#This Row],[Т1]]</f>
        <v>22098.429462234955</v>
      </c>
      <c r="CV58" s="65">
        <f>Таблица1[[#This Row],[Lкан_леб,мм]]+Таблица1[[#This Row],[Lкан_дуг, мм]]+Таблица1[[#This Row],[Lкан_прям, мм]]</f>
        <v>3528386.841860381</v>
      </c>
      <c r="CW58" s="60">
        <f>3511128.4-(Таблица1[[#This Row],[Lкан_леб,мм]]+Таблица1[[#This Row],[∆Lлеб из за стрел]])</f>
        <v>4839.9876018543728</v>
      </c>
    </row>
    <row r="59" spans="1:101" x14ac:dyDescent="0.25">
      <c r="A59">
        <v>58</v>
      </c>
      <c r="B59">
        <v>79.073825503355579</v>
      </c>
      <c r="C59">
        <v>10.936174496644419</v>
      </c>
      <c r="D59">
        <v>692.95669807252887</v>
      </c>
      <c r="E59">
        <v>6420.4950802859294</v>
      </c>
      <c r="F59">
        <v>1410.5898557656301</v>
      </c>
      <c r="G59">
        <v>5657.6203192802786</v>
      </c>
      <c r="H59">
        <v>1410.4562080725289</v>
      </c>
      <c r="I59">
        <v>5098.8156340130336</v>
      </c>
      <c r="J59">
        <v>1321.6794462728965</v>
      </c>
      <c r="K59">
        <v>16807.609103743365</v>
      </c>
      <c r="L59">
        <v>5242.2384421089137</v>
      </c>
      <c r="M59">
        <v>3506336.994314529</v>
      </c>
      <c r="N59">
        <v>0</v>
      </c>
      <c r="O59">
        <v>8</v>
      </c>
      <c r="P59">
        <v>-3322.5</v>
      </c>
      <c r="Q59">
        <v>-2811.96</v>
      </c>
      <c r="R59">
        <v>-3280</v>
      </c>
      <c r="S59">
        <v>-914.66</v>
      </c>
      <c r="T59">
        <v>-7002</v>
      </c>
      <c r="U59">
        <v>520.34</v>
      </c>
      <c r="V59">
        <v>-7002.1</v>
      </c>
      <c r="W59">
        <v>2365</v>
      </c>
      <c r="X59">
        <v>-6252</v>
      </c>
      <c r="Y59">
        <v>3800</v>
      </c>
      <c r="Z59">
        <v>692.95669807252887</v>
      </c>
      <c r="AA59">
        <v>6420.4950802859294</v>
      </c>
      <c r="AB59">
        <v>0</v>
      </c>
      <c r="AC59">
        <v>1064.1696555107644</v>
      </c>
      <c r="AD59">
        <v>1127.0074684186504</v>
      </c>
      <c r="AE59">
        <v>1127.0852605320265</v>
      </c>
      <c r="AF59">
        <v>398.46484930041692</v>
      </c>
      <c r="AG59">
        <v>1525.5112083470558</v>
      </c>
      <c r="AH59">
        <v>1886.2998163666878</v>
      </c>
      <c r="AI59">
        <v>3721.9999999999995</v>
      </c>
      <c r="AJ59">
        <v>1844.6600027105269</v>
      </c>
      <c r="AK59">
        <v>750.10000000000059</v>
      </c>
      <c r="AL59">
        <v>7282.8698329645604</v>
      </c>
      <c r="AM59">
        <v>1321.6794517015921</v>
      </c>
      <c r="AN59">
        <v>-95.021003558665456</v>
      </c>
      <c r="AO59">
        <v>-180</v>
      </c>
      <c r="AP59">
        <v>-90.003106034687008</v>
      </c>
      <c r="AQ59">
        <v>1.2722218725854067E-14</v>
      </c>
      <c r="AR59">
        <v>-31.819308918787808</v>
      </c>
      <c r="AS59">
        <v>89.999999566492619</v>
      </c>
      <c r="AT59">
        <v>-2400.1625746957502</v>
      </c>
      <c r="AU59">
        <v>-3280</v>
      </c>
      <c r="AV59">
        <v>-7719.4999989457119</v>
      </c>
      <c r="AW59">
        <v>-7002.1</v>
      </c>
      <c r="AX59">
        <v>-5873.7037337108859</v>
      </c>
      <c r="AY59">
        <v>1410.456698072529</v>
      </c>
      <c r="AZ59">
        <v>-2730.9252207921031</v>
      </c>
      <c r="BA59">
        <v>-197.16</v>
      </c>
      <c r="BB59">
        <v>520.3011039433311</v>
      </c>
      <c r="BC59">
        <v>3082.5000000000005</v>
      </c>
      <c r="BD59">
        <v>3190.3294455923628</v>
      </c>
      <c r="BE59">
        <v>6420.4950857146287</v>
      </c>
      <c r="BF59">
        <v>-2565.2532760267472</v>
      </c>
      <c r="BG59">
        <v>-7002</v>
      </c>
      <c r="BH59">
        <v>-7719.5999989457123</v>
      </c>
      <c r="BI59">
        <v>-6252</v>
      </c>
      <c r="BJ59">
        <v>314.66043178341522</v>
      </c>
      <c r="BK59">
        <v>1410.456708072529</v>
      </c>
      <c r="BL59">
        <v>-851.86373761518519</v>
      </c>
      <c r="BM59">
        <v>-197.16</v>
      </c>
      <c r="BN59">
        <v>2364.9611039433312</v>
      </c>
      <c r="BO59">
        <v>3082.5000000000005</v>
      </c>
      <c r="BP59">
        <v>7030.165634693567</v>
      </c>
      <c r="BQ59">
        <v>5098.8156340130363</v>
      </c>
      <c r="BR59">
        <v>0</v>
      </c>
      <c r="BS59">
        <v>84.97899644133453</v>
      </c>
      <c r="BT59">
        <v>89.996893965312992</v>
      </c>
      <c r="BU59">
        <v>90.003106034687022</v>
      </c>
      <c r="BV59">
        <v>31.819308918787819</v>
      </c>
      <c r="BW59">
        <v>121.81930848528042</v>
      </c>
      <c r="BX59" s="69">
        <f>Таблица1[[#This Row],[Lкан_леб,мм]]</f>
        <v>3506336.994314529</v>
      </c>
      <c r="BY59" s="65">
        <f>Таблица1[[#This Row],[Т1]]+Таблица1[[#This Row],[Lпрям1, мм]]</f>
        <v>3508223.2941308958</v>
      </c>
      <c r="BZ59" s="65">
        <f>Таблица1[[#This Row],[Т2]]+Таблица1[[#This Row],[Lдуг 2,мм]]</f>
        <v>3509287.4637864064</v>
      </c>
      <c r="CA59" s="65">
        <f>Таблица1[[#This Row],[Т3]]+Таблица1[[#This Row],[Lпрям2, мм]]</f>
        <v>3513009.4637864064</v>
      </c>
      <c r="CB59" s="65">
        <f>Таблица1[[#This Row],[Т4]]+Таблица1[[#This Row],[Lдуг 3,мм]]</f>
        <v>3514136.4712548251</v>
      </c>
      <c r="CC59" s="65">
        <f>Таблица1[[#This Row],[Т5]]+Таблица1[[#This Row],[Lпрям3, мм]]</f>
        <v>3515981.1312575354</v>
      </c>
      <c r="CD59" s="65">
        <f>Таблица1[[#This Row],[Т6]]+Таблица1[[#This Row],[Lдуг 4,мм]]</f>
        <v>3517108.2165180673</v>
      </c>
      <c r="CE59" s="65">
        <f>Таблица1[[#This Row],[Т7]]+Таблица1[[#This Row],[Lпрям4, мм]]</f>
        <v>3517858.3165180674</v>
      </c>
      <c r="CF59" s="72">
        <f>Таблица1[[#This Row],[Т8]]+Таблица1[[#This Row],[Lдуг 5,мм]]</f>
        <v>3518256.7813673676</v>
      </c>
      <c r="CG59" s="65">
        <f>Таблица1[[#This Row],[Т9]]+Таблица1[[#This Row],[Lпрям5, мм]]</f>
        <v>3525539.6512003322</v>
      </c>
      <c r="CH59" s="65">
        <f>Таблица1[[#This Row],[Т10]]+Таблица1[[#This Row],[Lдуг 6,мм]]</f>
        <v>3527065.1624086793</v>
      </c>
      <c r="CI59" s="66">
        <f>Таблица1[[#This Row],[Т11]]+Таблица1[[#This Row],[Lпрям6, мм]]</f>
        <v>3528386.841860381</v>
      </c>
      <c r="CJ59" s="64">
        <f>Таблица1[[#This Row],[Т12]]-Таблица1[[#This Row],[Т12]]</f>
        <v>0</v>
      </c>
      <c r="CK59" s="65">
        <f>Таблица1[[#This Row],[Т12]]-Таблица1[[#This Row],[Т11]]</f>
        <v>1321.679451701697</v>
      </c>
      <c r="CL59" s="65">
        <f>Таблица1[[#This Row],[Т12]]-Таблица1[[#This Row],[Т10]]</f>
        <v>2847.1906600487418</v>
      </c>
      <c r="CM59" s="65">
        <f>Таблица1[[#This Row],[Т12]]-Таблица1[[#This Row],[Т9]]</f>
        <v>10130.060493013356</v>
      </c>
      <c r="CN59" s="65">
        <f>Таблица1[[#This Row],[Т12]]-Таблица1[[#This Row],[Т8]]</f>
        <v>10528.525342313573</v>
      </c>
      <c r="CO59" s="65">
        <f>Таблица1[[#This Row],[Т12]]-Таблица1[[#This Row],[Т7]]</f>
        <v>11278.625342313666</v>
      </c>
      <c r="CP59" s="65">
        <f>Таблица1[[#This Row],[Т12]]-Таблица1[[#This Row],[Т6]]</f>
        <v>12405.710602845531</v>
      </c>
      <c r="CQ59" s="65">
        <f>Таблица1[[#This Row],[Т12]]-Таблица1[[#This Row],[Т5]]</f>
        <v>14250.370605555829</v>
      </c>
      <c r="CR59" s="65">
        <f>Таблица1[[#This Row],[Т12]]-Таблица1[[#This Row],[Т4]]</f>
        <v>15377.378073974513</v>
      </c>
      <c r="CS59" s="65">
        <f>Таблица1[[#This Row],[Т12]]-Таблица1[[#This Row],[Т3]]</f>
        <v>19099.378073974513</v>
      </c>
      <c r="CT59" s="65">
        <f>Таблица1[[#This Row],[Т12]]-Таблица1[[#This Row],[Т2]]</f>
        <v>20163.547729485203</v>
      </c>
      <c r="CU59" s="65">
        <f>Таблица1[[#This Row],[Т12]]-Таблица1[[#This Row],[Т1]]</f>
        <v>22049.847545851953</v>
      </c>
      <c r="CV59" s="65">
        <f>Таблица1[[#This Row],[Lкан_леб,мм]]+Таблица1[[#This Row],[Lкан_дуг, мм]]+Таблица1[[#This Row],[Lкан_прям, мм]]</f>
        <v>3528386.8418603814</v>
      </c>
      <c r="CW59" s="60">
        <f>3511128.4-(Таблица1[[#This Row],[Lкан_леб,мм]]+Таблица1[[#This Row],[∆Lлеб из за стрел]])</f>
        <v>4791.4056854709052</v>
      </c>
    </row>
    <row r="60" spans="1:101" x14ac:dyDescent="0.25">
      <c r="A60">
        <v>59</v>
      </c>
      <c r="B60">
        <v>79.583892617449536</v>
      </c>
      <c r="C60">
        <v>10.426107382550464</v>
      </c>
      <c r="D60">
        <v>627.86448014156417</v>
      </c>
      <c r="E60">
        <v>6432.7604292081696</v>
      </c>
      <c r="F60">
        <v>1345.4976378346655</v>
      </c>
      <c r="G60">
        <v>5669.885668202518</v>
      </c>
      <c r="H60">
        <v>1345.363990141564</v>
      </c>
      <c r="I60">
        <v>5111.0809829356513</v>
      </c>
      <c r="J60">
        <v>1321.6794462725181</v>
      </c>
      <c r="K60">
        <v>16750.023884045782</v>
      </c>
      <c r="L60">
        <v>5251.1190483017926</v>
      </c>
      <c r="M60">
        <v>3506385.6989280335</v>
      </c>
      <c r="N60">
        <v>0</v>
      </c>
      <c r="O60">
        <v>8</v>
      </c>
      <c r="P60">
        <v>-3322.5</v>
      </c>
      <c r="Q60">
        <v>-2811.96</v>
      </c>
      <c r="R60">
        <v>-3280</v>
      </c>
      <c r="S60">
        <v>-914.66</v>
      </c>
      <c r="T60">
        <v>-7002</v>
      </c>
      <c r="U60">
        <v>520.34</v>
      </c>
      <c r="V60">
        <v>-7002.1</v>
      </c>
      <c r="W60">
        <v>2365</v>
      </c>
      <c r="X60">
        <v>-6252</v>
      </c>
      <c r="Y60">
        <v>3800</v>
      </c>
      <c r="Z60">
        <v>627.86448014156417</v>
      </c>
      <c r="AA60">
        <v>6432.7604292081696</v>
      </c>
      <c r="AB60">
        <v>0</v>
      </c>
      <c r="AC60">
        <v>1064.1696555107644</v>
      </c>
      <c r="AD60">
        <v>1127.0074684186504</v>
      </c>
      <c r="AE60">
        <v>1127.0852605320265</v>
      </c>
      <c r="AF60">
        <v>402.90515239685595</v>
      </c>
      <c r="AG60">
        <v>1529.9515114434955</v>
      </c>
      <c r="AH60">
        <v>1886.2998163666878</v>
      </c>
      <c r="AI60">
        <v>3721.9999999999995</v>
      </c>
      <c r="AJ60">
        <v>1844.6600027105269</v>
      </c>
      <c r="AK60">
        <v>750.10000000000059</v>
      </c>
      <c r="AL60">
        <v>7225.2846132673512</v>
      </c>
      <c r="AM60">
        <v>1321.6794517012138</v>
      </c>
      <c r="AN60">
        <v>-95.021003558665456</v>
      </c>
      <c r="AO60">
        <v>-180</v>
      </c>
      <c r="AP60">
        <v>-90.003106034687008</v>
      </c>
      <c r="AQ60">
        <v>1.2722218725854067E-14</v>
      </c>
      <c r="AR60">
        <v>-32.173888190125552</v>
      </c>
      <c r="AS60">
        <v>89.999999566492633</v>
      </c>
      <c r="AT60">
        <v>-2400.1625746957502</v>
      </c>
      <c r="AU60">
        <v>-3280</v>
      </c>
      <c r="AV60">
        <v>-7719.4999989457119</v>
      </c>
      <c r="AW60">
        <v>-7002.1</v>
      </c>
      <c r="AX60">
        <v>-5869.9380094501403</v>
      </c>
      <c r="AY60">
        <v>1345.3644801415642</v>
      </c>
      <c r="AZ60">
        <v>-2730.9252207921031</v>
      </c>
      <c r="BA60">
        <v>-197.16</v>
      </c>
      <c r="BB60">
        <v>520.3011039433311</v>
      </c>
      <c r="BC60">
        <v>3082.5000000000005</v>
      </c>
      <c r="BD60">
        <v>3192.6822204339155</v>
      </c>
      <c r="BE60">
        <v>6432.7604346368689</v>
      </c>
      <c r="BF60">
        <v>-2565.2532760267472</v>
      </c>
      <c r="BG60">
        <v>-7002</v>
      </c>
      <c r="BH60">
        <v>-7719.5999989457123</v>
      </c>
      <c r="BI60">
        <v>-6252</v>
      </c>
      <c r="BJ60">
        <v>245.80248959170504</v>
      </c>
      <c r="BK60">
        <v>1345.3644901415641</v>
      </c>
      <c r="BL60">
        <v>-851.86373761518519</v>
      </c>
      <c r="BM60">
        <v>-197.16</v>
      </c>
      <c r="BN60">
        <v>2364.9611039433312</v>
      </c>
      <c r="BO60">
        <v>3082.5000000000005</v>
      </c>
      <c r="BP60">
        <v>7040.0782087742537</v>
      </c>
      <c r="BQ60">
        <v>5111.0809829356549</v>
      </c>
      <c r="BR60">
        <v>0</v>
      </c>
      <c r="BS60">
        <v>84.97899644133453</v>
      </c>
      <c r="BT60">
        <v>89.996893965312992</v>
      </c>
      <c r="BU60">
        <v>90.003106034687022</v>
      </c>
      <c r="BV60">
        <v>32.173888190125567</v>
      </c>
      <c r="BW60">
        <v>122.17388775661819</v>
      </c>
      <c r="BX60" s="69">
        <f>Таблица1[[#This Row],[Lкан_леб,мм]]</f>
        <v>3506385.6989280335</v>
      </c>
      <c r="BY60" s="65">
        <f>Таблица1[[#This Row],[Т1]]+Таблица1[[#This Row],[Lпрям1, мм]]</f>
        <v>3508271.9987444002</v>
      </c>
      <c r="BZ60" s="65">
        <f>Таблица1[[#This Row],[Т2]]+Таблица1[[#This Row],[Lдуг 2,мм]]</f>
        <v>3509336.1683999109</v>
      </c>
      <c r="CA60" s="65">
        <f>Таблица1[[#This Row],[Т3]]+Таблица1[[#This Row],[Lпрям2, мм]]</f>
        <v>3513058.1683999109</v>
      </c>
      <c r="CB60" s="65">
        <f>Таблица1[[#This Row],[Т4]]+Таблица1[[#This Row],[Lдуг 3,мм]]</f>
        <v>3514185.1758683296</v>
      </c>
      <c r="CC60" s="65">
        <f>Таблица1[[#This Row],[Т5]]+Таблица1[[#This Row],[Lпрям3, мм]]</f>
        <v>3516029.8358710399</v>
      </c>
      <c r="CD60" s="65">
        <f>Таблица1[[#This Row],[Т6]]+Таблица1[[#This Row],[Lдуг 4,мм]]</f>
        <v>3517156.9211315718</v>
      </c>
      <c r="CE60" s="65">
        <f>Таблица1[[#This Row],[Т7]]+Таблица1[[#This Row],[Lпрям4, мм]]</f>
        <v>3517907.0211315718</v>
      </c>
      <c r="CF60" s="72">
        <f>Таблица1[[#This Row],[Т8]]+Таблица1[[#This Row],[Lдуг 5,мм]]</f>
        <v>3518309.9262839686</v>
      </c>
      <c r="CG60" s="65">
        <f>Таблица1[[#This Row],[Т9]]+Таблица1[[#This Row],[Lпрям5, мм]]</f>
        <v>3525535.2108972361</v>
      </c>
      <c r="CH60" s="65">
        <f>Таблица1[[#This Row],[Т10]]+Таблица1[[#This Row],[Lдуг 6,мм]]</f>
        <v>3527065.1624086797</v>
      </c>
      <c r="CI60" s="66">
        <f>Таблица1[[#This Row],[Т11]]+Таблица1[[#This Row],[Lпрям6, мм]]</f>
        <v>3528386.841860381</v>
      </c>
      <c r="CJ60" s="64">
        <f>Таблица1[[#This Row],[Т12]]-Таблица1[[#This Row],[Т12]]</f>
        <v>0</v>
      </c>
      <c r="CK60" s="65">
        <f>Таблица1[[#This Row],[Т12]]-Таблица1[[#This Row],[Т11]]</f>
        <v>1321.6794517012313</v>
      </c>
      <c r="CL60" s="65">
        <f>Таблица1[[#This Row],[Т12]]-Таблица1[[#This Row],[Т10]]</f>
        <v>2851.6309631448239</v>
      </c>
      <c r="CM60" s="65">
        <f>Таблица1[[#This Row],[Т12]]-Таблица1[[#This Row],[Т9]]</f>
        <v>10076.915576412342</v>
      </c>
      <c r="CN60" s="65">
        <f>Таблица1[[#This Row],[Т12]]-Таблица1[[#This Row],[Т8]]</f>
        <v>10479.820728809107</v>
      </c>
      <c r="CO60" s="65">
        <f>Таблица1[[#This Row],[Т12]]-Таблица1[[#This Row],[Т7]]</f>
        <v>11229.9207288092</v>
      </c>
      <c r="CP60" s="65">
        <f>Таблица1[[#This Row],[Т12]]-Таблица1[[#This Row],[Т6]]</f>
        <v>12357.005989341065</v>
      </c>
      <c r="CQ60" s="65">
        <f>Таблица1[[#This Row],[Т12]]-Таблица1[[#This Row],[Т5]]</f>
        <v>14201.665992051363</v>
      </c>
      <c r="CR60" s="65">
        <f>Таблица1[[#This Row],[Т12]]-Таблица1[[#This Row],[Т4]]</f>
        <v>15328.673460470047</v>
      </c>
      <c r="CS60" s="65">
        <f>Таблица1[[#This Row],[Т12]]-Таблица1[[#This Row],[Т3]]</f>
        <v>19050.673460470047</v>
      </c>
      <c r="CT60" s="65">
        <f>Таблица1[[#This Row],[Т12]]-Таблица1[[#This Row],[Т2]]</f>
        <v>20114.843115980737</v>
      </c>
      <c r="CU60" s="65">
        <f>Таблица1[[#This Row],[Т12]]-Таблица1[[#This Row],[Т1]]</f>
        <v>22001.142932347488</v>
      </c>
      <c r="CV60" s="65">
        <f>Таблица1[[#This Row],[Lкан_леб,мм]]+Таблица1[[#This Row],[Lкан_дуг, мм]]+Таблица1[[#This Row],[Lкан_прям, мм]]</f>
        <v>3528386.841860381</v>
      </c>
      <c r="CW60" s="60">
        <f>3511128.4-(Таблица1[[#This Row],[Lкан_леб,мм]]+Таблица1[[#This Row],[∆Lлеб из за стрел]])</f>
        <v>4742.7010719664395</v>
      </c>
    </row>
    <row r="61" spans="1:101" x14ac:dyDescent="0.25">
      <c r="A61">
        <v>60</v>
      </c>
      <c r="B61">
        <v>80.093959731543492</v>
      </c>
      <c r="C61">
        <v>9.9160402684565092</v>
      </c>
      <c r="D61">
        <v>562.66565253931981</v>
      </c>
      <c r="E61">
        <v>6444.4458260199726</v>
      </c>
      <c r="F61">
        <v>1280.2988102324211</v>
      </c>
      <c r="G61">
        <v>5681.571065014321</v>
      </c>
      <c r="H61">
        <v>1280.1651625393197</v>
      </c>
      <c r="I61">
        <v>5122.7663797472378</v>
      </c>
      <c r="J61">
        <v>1321.6794462727348</v>
      </c>
      <c r="K61">
        <v>16692.272785360467</v>
      </c>
      <c r="L61">
        <v>5260.0445826031755</v>
      </c>
      <c r="M61">
        <v>3506434.5244924175</v>
      </c>
      <c r="N61">
        <v>0</v>
      </c>
      <c r="O61">
        <v>8</v>
      </c>
      <c r="P61">
        <v>-3322.5</v>
      </c>
      <c r="Q61">
        <v>-2811.96</v>
      </c>
      <c r="R61">
        <v>-3280</v>
      </c>
      <c r="S61">
        <v>-914.66</v>
      </c>
      <c r="T61">
        <v>-7002</v>
      </c>
      <c r="U61">
        <v>520.34</v>
      </c>
      <c r="V61">
        <v>-7002.1</v>
      </c>
      <c r="W61">
        <v>2365</v>
      </c>
      <c r="X61">
        <v>-6252</v>
      </c>
      <c r="Y61">
        <v>3800</v>
      </c>
      <c r="Z61">
        <v>562.66565253931981</v>
      </c>
      <c r="AA61">
        <v>6444.4458260199726</v>
      </c>
      <c r="AB61">
        <v>0</v>
      </c>
      <c r="AC61">
        <v>1064.1696555107644</v>
      </c>
      <c r="AD61">
        <v>1127.0074684186504</v>
      </c>
      <c r="AE61">
        <v>1127.0852605320265</v>
      </c>
      <c r="AF61">
        <v>407.36791954754744</v>
      </c>
      <c r="AG61">
        <v>1534.4142785941867</v>
      </c>
      <c r="AH61">
        <v>1886.2998163666878</v>
      </c>
      <c r="AI61">
        <v>3721.9999999999995</v>
      </c>
      <c r="AJ61">
        <v>1844.6600027105269</v>
      </c>
      <c r="AK61">
        <v>750.10000000000059</v>
      </c>
      <c r="AL61">
        <v>7167.5335145818181</v>
      </c>
      <c r="AM61">
        <v>1321.6794517014305</v>
      </c>
      <c r="AN61">
        <v>-95.021003558665456</v>
      </c>
      <c r="AO61">
        <v>-180</v>
      </c>
      <c r="AP61">
        <v>-90.003106034687008</v>
      </c>
      <c r="AQ61">
        <v>1.2722218725854067E-14</v>
      </c>
      <c r="AR61">
        <v>-32.530261322786515</v>
      </c>
      <c r="AS61">
        <v>89.999999566492619</v>
      </c>
      <c r="AT61">
        <v>-2400.1625746957502</v>
      </c>
      <c r="AU61">
        <v>-3280</v>
      </c>
      <c r="AV61">
        <v>-7719.4999989457119</v>
      </c>
      <c r="AW61">
        <v>-7002.1</v>
      </c>
      <c r="AX61">
        <v>-5866.1679777294758</v>
      </c>
      <c r="AY61">
        <v>1280.1656525393196</v>
      </c>
      <c r="AZ61">
        <v>-2730.9252207921031</v>
      </c>
      <c r="BA61">
        <v>-197.16</v>
      </c>
      <c r="BB61">
        <v>520.3011039433311</v>
      </c>
      <c r="BC61">
        <v>3082.5000000000005</v>
      </c>
      <c r="BD61">
        <v>3195.0703341787262</v>
      </c>
      <c r="BE61">
        <v>6444.4458314486719</v>
      </c>
      <c r="BF61">
        <v>-2565.2532760267472</v>
      </c>
      <c r="BG61">
        <v>-7002</v>
      </c>
      <c r="BH61">
        <v>-7719.5999989457123</v>
      </c>
      <c r="BI61">
        <v>-6252</v>
      </c>
      <c r="BJ61">
        <v>176.83363026879596</v>
      </c>
      <c r="BK61">
        <v>1280.1656625393198</v>
      </c>
      <c r="BL61">
        <v>-851.86373761518519</v>
      </c>
      <c r="BM61">
        <v>-197.16</v>
      </c>
      <c r="BN61">
        <v>2364.9611039433312</v>
      </c>
      <c r="BO61">
        <v>3082.5000000000005</v>
      </c>
      <c r="BP61">
        <v>7049.375491841246</v>
      </c>
      <c r="BQ61">
        <v>5122.7663797472414</v>
      </c>
      <c r="BR61">
        <v>0</v>
      </c>
      <c r="BS61">
        <v>84.97899644133453</v>
      </c>
      <c r="BT61">
        <v>89.996893965312992</v>
      </c>
      <c r="BU61">
        <v>90.003106034687022</v>
      </c>
      <c r="BV61">
        <v>32.530261322786529</v>
      </c>
      <c r="BW61">
        <v>122.53026088927913</v>
      </c>
      <c r="BX61" s="69">
        <f>Таблица1[[#This Row],[Lкан_леб,мм]]</f>
        <v>3506434.5244924175</v>
      </c>
      <c r="BY61" s="65">
        <f>Таблица1[[#This Row],[Т1]]+Таблица1[[#This Row],[Lпрям1, мм]]</f>
        <v>3508320.8243087842</v>
      </c>
      <c r="BZ61" s="65">
        <f>Таблица1[[#This Row],[Т2]]+Таблица1[[#This Row],[Lдуг 2,мм]]</f>
        <v>3509384.9939642949</v>
      </c>
      <c r="CA61" s="65">
        <f>Таблица1[[#This Row],[Т3]]+Таблица1[[#This Row],[Lпрям2, мм]]</f>
        <v>3513106.9939642949</v>
      </c>
      <c r="CB61" s="65">
        <f>Таблица1[[#This Row],[Т4]]+Таблица1[[#This Row],[Lдуг 3,мм]]</f>
        <v>3514234.0014327136</v>
      </c>
      <c r="CC61" s="65">
        <f>Таблица1[[#This Row],[Т5]]+Таблица1[[#This Row],[Lпрям3, мм]]</f>
        <v>3516078.6614354239</v>
      </c>
      <c r="CD61" s="65">
        <f>Таблица1[[#This Row],[Т6]]+Таблица1[[#This Row],[Lдуг 4,мм]]</f>
        <v>3517205.7466959557</v>
      </c>
      <c r="CE61" s="65">
        <f>Таблица1[[#This Row],[Т7]]+Таблица1[[#This Row],[Lпрям4, мм]]</f>
        <v>3517955.8466959558</v>
      </c>
      <c r="CF61" s="72">
        <f>Таблица1[[#This Row],[Т8]]+Таблица1[[#This Row],[Lдуг 5,мм]]</f>
        <v>3518363.2146155033</v>
      </c>
      <c r="CG61" s="65">
        <f>Таблица1[[#This Row],[Т9]]+Таблица1[[#This Row],[Lпрям5, мм]]</f>
        <v>3525530.7481300849</v>
      </c>
      <c r="CH61" s="65">
        <f>Таблица1[[#This Row],[Т10]]+Таблица1[[#This Row],[Lдуг 6,мм]]</f>
        <v>3527065.1624086793</v>
      </c>
      <c r="CI61" s="66">
        <f>Таблица1[[#This Row],[Т11]]+Таблица1[[#This Row],[Lпрям6, мм]]</f>
        <v>3528386.8418603805</v>
      </c>
      <c r="CJ61" s="64">
        <f>Таблица1[[#This Row],[Т12]]-Таблица1[[#This Row],[Т12]]</f>
        <v>0</v>
      </c>
      <c r="CK61" s="65">
        <f>Таблица1[[#This Row],[Т12]]-Таблица1[[#This Row],[Т11]]</f>
        <v>1321.6794517012313</v>
      </c>
      <c r="CL61" s="65">
        <f>Таблица1[[#This Row],[Т12]]-Таблица1[[#This Row],[Т10]]</f>
        <v>2856.0937302955426</v>
      </c>
      <c r="CM61" s="65">
        <f>Таблица1[[#This Row],[Т12]]-Таблица1[[#This Row],[Т9]]</f>
        <v>10023.627244877163</v>
      </c>
      <c r="CN61" s="65">
        <f>Таблица1[[#This Row],[Т12]]-Таблица1[[#This Row],[Т8]]</f>
        <v>10430.995164424647</v>
      </c>
      <c r="CO61" s="65">
        <f>Таблица1[[#This Row],[Т12]]-Таблица1[[#This Row],[Т7]]</f>
        <v>11181.09516442474</v>
      </c>
      <c r="CP61" s="65">
        <f>Таблица1[[#This Row],[Т12]]-Таблица1[[#This Row],[Т6]]</f>
        <v>12308.180424956605</v>
      </c>
      <c r="CQ61" s="65">
        <f>Таблица1[[#This Row],[Т12]]-Таблица1[[#This Row],[Т5]]</f>
        <v>14152.840427666903</v>
      </c>
      <c r="CR61" s="65">
        <f>Таблица1[[#This Row],[Т12]]-Таблица1[[#This Row],[Т4]]</f>
        <v>15279.847896085586</v>
      </c>
      <c r="CS61" s="65">
        <f>Таблица1[[#This Row],[Т12]]-Таблица1[[#This Row],[Т3]]</f>
        <v>19001.847896085586</v>
      </c>
      <c r="CT61" s="65">
        <f>Таблица1[[#This Row],[Т12]]-Таблица1[[#This Row],[Т2]]</f>
        <v>20066.017551596276</v>
      </c>
      <c r="CU61" s="65">
        <f>Таблица1[[#This Row],[Т12]]-Таблица1[[#This Row],[Т1]]</f>
        <v>21952.317367963027</v>
      </c>
      <c r="CV61" s="65">
        <f>Таблица1[[#This Row],[Lкан_леб,мм]]+Таблица1[[#This Row],[Lкан_дуг, мм]]+Таблица1[[#This Row],[Lкан_прям, мм]]</f>
        <v>3528386.841860381</v>
      </c>
      <c r="CW61" s="60">
        <f>3511128.4-(Таблица1[[#This Row],[Lкан_леб,мм]]+Таблица1[[#This Row],[∆Lлеб из за стрел]])</f>
        <v>4693.8755075824447</v>
      </c>
    </row>
    <row r="62" spans="1:101" x14ac:dyDescent="0.25">
      <c r="A62">
        <v>61</v>
      </c>
      <c r="B62">
        <v>80.604026845637449</v>
      </c>
      <c r="C62">
        <v>9.4059731543625524</v>
      </c>
      <c r="D62">
        <v>497.36538235906698</v>
      </c>
      <c r="E62">
        <v>6455.5503446381936</v>
      </c>
      <c r="F62">
        <v>1214.9985400521682</v>
      </c>
      <c r="G62">
        <v>5692.6755836325437</v>
      </c>
      <c r="H62">
        <v>1214.864892359067</v>
      </c>
      <c r="I62">
        <v>5133.8708983653205</v>
      </c>
      <c r="J62">
        <v>1321.6794462728733</v>
      </c>
      <c r="K62">
        <v>16634.356398127835</v>
      </c>
      <c r="L62">
        <v>5269.0162255769119</v>
      </c>
      <c r="M62">
        <v>3506483.4692366761</v>
      </c>
      <c r="N62">
        <v>0</v>
      </c>
      <c r="O62">
        <v>8</v>
      </c>
      <c r="P62">
        <v>-3322.5</v>
      </c>
      <c r="Q62">
        <v>-2811.96</v>
      </c>
      <c r="R62">
        <v>-3280</v>
      </c>
      <c r="S62">
        <v>-914.66</v>
      </c>
      <c r="T62">
        <v>-7002</v>
      </c>
      <c r="U62">
        <v>520.34</v>
      </c>
      <c r="V62">
        <v>-7002.1</v>
      </c>
      <c r="W62">
        <v>2365</v>
      </c>
      <c r="X62">
        <v>-6252</v>
      </c>
      <c r="Y62">
        <v>3800</v>
      </c>
      <c r="Z62">
        <v>497.36538235906698</v>
      </c>
      <c r="AA62">
        <v>6455.5503446381936</v>
      </c>
      <c r="AB62">
        <v>0</v>
      </c>
      <c r="AC62">
        <v>1064.1696555107644</v>
      </c>
      <c r="AD62">
        <v>1127.0074684186504</v>
      </c>
      <c r="AE62">
        <v>1127.0852605320265</v>
      </c>
      <c r="AF62">
        <v>411.8537410344162</v>
      </c>
      <c r="AG62">
        <v>1538.9001000810554</v>
      </c>
      <c r="AH62">
        <v>1886.2998163666878</v>
      </c>
      <c r="AI62">
        <v>3721.9999999999995</v>
      </c>
      <c r="AJ62">
        <v>1844.6600027105269</v>
      </c>
      <c r="AK62">
        <v>750.10000000000059</v>
      </c>
      <c r="AL62">
        <v>7109.6171273490518</v>
      </c>
      <c r="AM62">
        <v>1321.679451701569</v>
      </c>
      <c r="AN62">
        <v>-95.021003558665456</v>
      </c>
      <c r="AO62">
        <v>-180</v>
      </c>
      <c r="AP62">
        <v>-90.003106034687008</v>
      </c>
      <c r="AQ62">
        <v>1.2722218725854067E-14</v>
      </c>
      <c r="AR62">
        <v>-32.888475453583283</v>
      </c>
      <c r="AS62">
        <v>89.999999566492605</v>
      </c>
      <c r="AT62">
        <v>-2400.1625746957502</v>
      </c>
      <c r="AU62">
        <v>-3280</v>
      </c>
      <c r="AV62">
        <v>-7719.4999989457119</v>
      </c>
      <c r="AW62">
        <v>-7002.1</v>
      </c>
      <c r="AX62">
        <v>-5862.3935130319387</v>
      </c>
      <c r="AY62">
        <v>1214.8653823590671</v>
      </c>
      <c r="AZ62">
        <v>-2730.9252207921031</v>
      </c>
      <c r="BA62">
        <v>-197.16</v>
      </c>
      <c r="BB62">
        <v>520.3011039433311</v>
      </c>
      <c r="BC62">
        <v>3082.5000000000005</v>
      </c>
      <c r="BD62">
        <v>3197.494369061661</v>
      </c>
      <c r="BE62">
        <v>6455.5503500668929</v>
      </c>
      <c r="BF62">
        <v>-2565.2532760267472</v>
      </c>
      <c r="BG62">
        <v>-7002</v>
      </c>
      <c r="BH62">
        <v>-7719.5999989457123</v>
      </c>
      <c r="BI62">
        <v>-6252</v>
      </c>
      <c r="BJ62">
        <v>107.75889539100619</v>
      </c>
      <c r="BK62">
        <v>1214.8653923590671</v>
      </c>
      <c r="BL62">
        <v>-851.86373761518519</v>
      </c>
      <c r="BM62">
        <v>-197.16</v>
      </c>
      <c r="BN62">
        <v>2364.9611039433312</v>
      </c>
      <c r="BO62">
        <v>3082.5000000000005</v>
      </c>
      <c r="BP62">
        <v>7058.0559755765335</v>
      </c>
      <c r="BQ62">
        <v>5133.8708983653241</v>
      </c>
      <c r="BR62">
        <v>0</v>
      </c>
      <c r="BS62">
        <v>84.97899644133453</v>
      </c>
      <c r="BT62">
        <v>89.996893965312992</v>
      </c>
      <c r="BU62">
        <v>90.003106034687022</v>
      </c>
      <c r="BV62">
        <v>32.888475453583297</v>
      </c>
      <c r="BW62">
        <v>122.8884750200759</v>
      </c>
      <c r="BX62" s="69">
        <f>Таблица1[[#This Row],[Lкан_леб,мм]]</f>
        <v>3506483.4692366761</v>
      </c>
      <c r="BY62" s="65">
        <f>Таблица1[[#This Row],[Т1]]+Таблица1[[#This Row],[Lпрям1, мм]]</f>
        <v>3508369.7690530429</v>
      </c>
      <c r="BZ62" s="65">
        <f>Таблица1[[#This Row],[Т2]]+Таблица1[[#This Row],[Lдуг 2,мм]]</f>
        <v>3509433.9387085536</v>
      </c>
      <c r="CA62" s="65">
        <f>Таблица1[[#This Row],[Т3]]+Таблица1[[#This Row],[Lпрям2, мм]]</f>
        <v>3513155.9387085536</v>
      </c>
      <c r="CB62" s="65">
        <f>Таблица1[[#This Row],[Т4]]+Таблица1[[#This Row],[Lдуг 3,мм]]</f>
        <v>3514282.9461769722</v>
      </c>
      <c r="CC62" s="65">
        <f>Таблица1[[#This Row],[Т5]]+Таблица1[[#This Row],[Lпрям3, мм]]</f>
        <v>3516127.6061796825</v>
      </c>
      <c r="CD62" s="65">
        <f>Таблица1[[#This Row],[Т6]]+Таблица1[[#This Row],[Lдуг 4,мм]]</f>
        <v>3517254.6914402144</v>
      </c>
      <c r="CE62" s="65">
        <f>Таблица1[[#This Row],[Т7]]+Таблица1[[#This Row],[Lпрям4, мм]]</f>
        <v>3518004.7914402145</v>
      </c>
      <c r="CF62" s="72">
        <f>Таблица1[[#This Row],[Т8]]+Таблица1[[#This Row],[Lдуг 5,мм]]</f>
        <v>3518416.6451812489</v>
      </c>
      <c r="CG62" s="65">
        <f>Таблица1[[#This Row],[Т9]]+Таблица1[[#This Row],[Lпрям5, мм]]</f>
        <v>3525526.262308598</v>
      </c>
      <c r="CH62" s="65">
        <f>Таблица1[[#This Row],[Т10]]+Таблица1[[#This Row],[Lдуг 6,мм]]</f>
        <v>3527065.1624086793</v>
      </c>
      <c r="CI62" s="66">
        <f>Таблица1[[#This Row],[Т11]]+Таблица1[[#This Row],[Lпрям6, мм]]</f>
        <v>3528386.841860381</v>
      </c>
      <c r="CJ62" s="64">
        <f>Таблица1[[#This Row],[Т12]]-Таблица1[[#This Row],[Т12]]</f>
        <v>0</v>
      </c>
      <c r="CK62" s="65">
        <f>Таблица1[[#This Row],[Т12]]-Таблица1[[#This Row],[Т11]]</f>
        <v>1321.679451701697</v>
      </c>
      <c r="CL62" s="65">
        <f>Таблица1[[#This Row],[Т12]]-Таблица1[[#This Row],[Т10]]</f>
        <v>2860.5795517829247</v>
      </c>
      <c r="CM62" s="65">
        <f>Таблица1[[#This Row],[Т12]]-Таблица1[[#This Row],[Т9]]</f>
        <v>9970.1966791320592</v>
      </c>
      <c r="CN62" s="65">
        <f>Таблица1[[#This Row],[Т12]]-Таблица1[[#This Row],[Т8]]</f>
        <v>10382.050420166459</v>
      </c>
      <c r="CO62" s="65">
        <f>Таблица1[[#This Row],[Т12]]-Таблица1[[#This Row],[Т7]]</f>
        <v>11132.150420166552</v>
      </c>
      <c r="CP62" s="65">
        <f>Таблица1[[#This Row],[Т12]]-Таблица1[[#This Row],[Т6]]</f>
        <v>12259.235680698417</v>
      </c>
      <c r="CQ62" s="65">
        <f>Таблица1[[#This Row],[Т12]]-Таблица1[[#This Row],[Т5]]</f>
        <v>14103.895683408715</v>
      </c>
      <c r="CR62" s="65">
        <f>Таблица1[[#This Row],[Т12]]-Таблица1[[#This Row],[Т4]]</f>
        <v>15230.903151827399</v>
      </c>
      <c r="CS62" s="65">
        <f>Таблица1[[#This Row],[Т12]]-Таблица1[[#This Row],[Т3]]</f>
        <v>18952.903151827399</v>
      </c>
      <c r="CT62" s="65">
        <f>Таблица1[[#This Row],[Т12]]-Таблица1[[#This Row],[Т2]]</f>
        <v>20017.072807338089</v>
      </c>
      <c r="CU62" s="65">
        <f>Таблица1[[#This Row],[Т12]]-Таблица1[[#This Row],[Т1]]</f>
        <v>21903.372623704839</v>
      </c>
      <c r="CV62" s="65">
        <f>Таблица1[[#This Row],[Lкан_леб,мм]]+Таблица1[[#This Row],[Lкан_дуг, мм]]+Таблица1[[#This Row],[Lкан_прям, мм]]</f>
        <v>3528386.841860381</v>
      </c>
      <c r="CW62" s="60">
        <f>3511128.4-(Таблица1[[#This Row],[Lкан_леб,мм]]+Таблица1[[#This Row],[∆Lлеб из за стрел]])</f>
        <v>4644.9307633237913</v>
      </c>
    </row>
    <row r="63" spans="1:101" x14ac:dyDescent="0.25">
      <c r="A63">
        <v>62</v>
      </c>
      <c r="B63">
        <v>81.114093959731406</v>
      </c>
      <c r="C63">
        <v>8.8959060402685974</v>
      </c>
      <c r="D63">
        <v>431.96884473353538</v>
      </c>
      <c r="E63">
        <v>6466.0731050150598</v>
      </c>
      <c r="F63">
        <v>1149.6020024266365</v>
      </c>
      <c r="G63">
        <v>5703.1983440094091</v>
      </c>
      <c r="H63">
        <v>1149.4683547335355</v>
      </c>
      <c r="I63">
        <v>5144.3936587420585</v>
      </c>
      <c r="J63">
        <v>1321.6794462730013</v>
      </c>
      <c r="K63">
        <v>16576.275296259682</v>
      </c>
      <c r="L63">
        <v>5278.0352000214853</v>
      </c>
      <c r="M63">
        <v>3506532.5313641001</v>
      </c>
      <c r="N63">
        <v>0</v>
      </c>
      <c r="O63">
        <v>8</v>
      </c>
      <c r="P63">
        <v>-3322.5</v>
      </c>
      <c r="Q63">
        <v>-2811.96</v>
      </c>
      <c r="R63">
        <v>-3280</v>
      </c>
      <c r="S63">
        <v>-914.66</v>
      </c>
      <c r="T63">
        <v>-7002</v>
      </c>
      <c r="U63">
        <v>520.34</v>
      </c>
      <c r="V63">
        <v>-7002.1</v>
      </c>
      <c r="W63">
        <v>2365</v>
      </c>
      <c r="X63">
        <v>-6252</v>
      </c>
      <c r="Y63">
        <v>3800</v>
      </c>
      <c r="Z63">
        <v>431.96884473353538</v>
      </c>
      <c r="AA63">
        <v>6466.0731050150598</v>
      </c>
      <c r="AB63">
        <v>0</v>
      </c>
      <c r="AC63">
        <v>1064.1696555107644</v>
      </c>
      <c r="AD63">
        <v>1127.0074684186504</v>
      </c>
      <c r="AE63">
        <v>1127.0852605320265</v>
      </c>
      <c r="AF63">
        <v>416.36322825670237</v>
      </c>
      <c r="AG63">
        <v>1543.4095873033418</v>
      </c>
      <c r="AH63">
        <v>1886.2998163666878</v>
      </c>
      <c r="AI63">
        <v>3721.9999999999995</v>
      </c>
      <c r="AJ63">
        <v>1844.6600027105269</v>
      </c>
      <c r="AK63">
        <v>750.10000000000059</v>
      </c>
      <c r="AL63">
        <v>7051.5360254807738</v>
      </c>
      <c r="AM63">
        <v>1321.679451701697</v>
      </c>
      <c r="AN63">
        <v>-95.021003558665456</v>
      </c>
      <c r="AO63">
        <v>-180</v>
      </c>
      <c r="AP63">
        <v>-90.003106034687008</v>
      </c>
      <c r="AQ63">
        <v>1.2722218725854067E-14</v>
      </c>
      <c r="AR63">
        <v>-33.24857940564624</v>
      </c>
      <c r="AS63">
        <v>89.999999566492619</v>
      </c>
      <c r="AT63">
        <v>-2400.1625746957502</v>
      </c>
      <c r="AU63">
        <v>-3280</v>
      </c>
      <c r="AV63">
        <v>-7719.4999989457119</v>
      </c>
      <c r="AW63">
        <v>-7002.1</v>
      </c>
      <c r="AX63">
        <v>-5858.6144852453126</v>
      </c>
      <c r="AY63">
        <v>1149.4688447335352</v>
      </c>
      <c r="AZ63">
        <v>-2730.9252207921031</v>
      </c>
      <c r="BA63">
        <v>-197.16</v>
      </c>
      <c r="BB63">
        <v>520.3011039433311</v>
      </c>
      <c r="BC63">
        <v>3082.5000000000005</v>
      </c>
      <c r="BD63">
        <v>3199.9549293751429</v>
      </c>
      <c r="BE63">
        <v>6466.0731104437582</v>
      </c>
      <c r="BF63">
        <v>-2565.2532760267472</v>
      </c>
      <c r="BG63">
        <v>-7002</v>
      </c>
      <c r="BH63">
        <v>-7719.5999989457123</v>
      </c>
      <c r="BI63">
        <v>-6252</v>
      </c>
      <c r="BJ63">
        <v>38.583329978848113</v>
      </c>
      <c r="BK63">
        <v>1149.4688547335356</v>
      </c>
      <c r="BL63">
        <v>-851.86373761518519</v>
      </c>
      <c r="BM63">
        <v>-197.16</v>
      </c>
      <c r="BN63">
        <v>2364.9611039433312</v>
      </c>
      <c r="BO63">
        <v>3082.5000000000005</v>
      </c>
      <c r="BP63">
        <v>7066.1181756399164</v>
      </c>
      <c r="BQ63">
        <v>5144.3936587420612</v>
      </c>
      <c r="BR63">
        <v>0</v>
      </c>
      <c r="BS63">
        <v>84.97899644133453</v>
      </c>
      <c r="BT63">
        <v>89.996893965312992</v>
      </c>
      <c r="BU63">
        <v>90.003106034687022</v>
      </c>
      <c r="BV63">
        <v>33.248579405646247</v>
      </c>
      <c r="BW63">
        <v>123.24857897213887</v>
      </c>
      <c r="BX63" s="69">
        <f>Таблица1[[#This Row],[Lкан_леб,мм]]</f>
        <v>3506532.5313641001</v>
      </c>
      <c r="BY63" s="65">
        <f>Таблица1[[#This Row],[Т1]]+Таблица1[[#This Row],[Lпрям1, мм]]</f>
        <v>3508418.8311804668</v>
      </c>
      <c r="BZ63" s="65">
        <f>Таблица1[[#This Row],[Т2]]+Таблица1[[#This Row],[Lдуг 2,мм]]</f>
        <v>3509483.0008359775</v>
      </c>
      <c r="CA63" s="65">
        <f>Таблица1[[#This Row],[Т3]]+Таблица1[[#This Row],[Lпрям2, мм]]</f>
        <v>3513205.0008359775</v>
      </c>
      <c r="CB63" s="65">
        <f>Таблица1[[#This Row],[Т4]]+Таблица1[[#This Row],[Lдуг 3,мм]]</f>
        <v>3514332.0083043962</v>
      </c>
      <c r="CC63" s="65">
        <f>Таблица1[[#This Row],[Т5]]+Таблица1[[#This Row],[Lпрям3, мм]]</f>
        <v>3516176.6683071065</v>
      </c>
      <c r="CD63" s="65">
        <f>Таблица1[[#This Row],[Т6]]+Таблица1[[#This Row],[Lдуг 4,мм]]</f>
        <v>3517303.7535676383</v>
      </c>
      <c r="CE63" s="65">
        <f>Таблица1[[#This Row],[Т7]]+Таблица1[[#This Row],[Lпрям4, мм]]</f>
        <v>3518053.8535676384</v>
      </c>
      <c r="CF63" s="72">
        <f>Таблица1[[#This Row],[Т8]]+Таблица1[[#This Row],[Lдуг 5,мм]]</f>
        <v>3518470.2167958952</v>
      </c>
      <c r="CG63" s="65">
        <f>Таблица1[[#This Row],[Т9]]+Таблица1[[#This Row],[Lпрям5, мм]]</f>
        <v>3525521.7528213761</v>
      </c>
      <c r="CH63" s="65">
        <f>Таблица1[[#This Row],[Т10]]+Таблица1[[#This Row],[Lдуг 6,мм]]</f>
        <v>3527065.1624086793</v>
      </c>
      <c r="CI63" s="66">
        <f>Таблица1[[#This Row],[Т11]]+Таблица1[[#This Row],[Lпрям6, мм]]</f>
        <v>3528386.841860381</v>
      </c>
      <c r="CJ63" s="64">
        <f>Таблица1[[#This Row],[Т12]]-Таблица1[[#This Row],[Т12]]</f>
        <v>0</v>
      </c>
      <c r="CK63" s="65">
        <f>Таблица1[[#This Row],[Т12]]-Таблица1[[#This Row],[Т11]]</f>
        <v>1321.679451701697</v>
      </c>
      <c r="CL63" s="65">
        <f>Таблица1[[#This Row],[Т12]]-Таблица1[[#This Row],[Т10]]</f>
        <v>2865.0890390048735</v>
      </c>
      <c r="CM63" s="65">
        <f>Таблица1[[#This Row],[Т12]]-Таблица1[[#This Row],[Т9]]</f>
        <v>9916.6250644857064</v>
      </c>
      <c r="CN63" s="65">
        <f>Таблица1[[#This Row],[Т12]]-Таблица1[[#This Row],[Т8]]</f>
        <v>10332.988292742521</v>
      </c>
      <c r="CO63" s="65">
        <f>Таблица1[[#This Row],[Т12]]-Таблица1[[#This Row],[Т7]]</f>
        <v>11083.088292742614</v>
      </c>
      <c r="CP63" s="65">
        <f>Таблица1[[#This Row],[Т12]]-Таблица1[[#This Row],[Т6]]</f>
        <v>12210.173553274479</v>
      </c>
      <c r="CQ63" s="65">
        <f>Таблица1[[#This Row],[Т12]]-Таблица1[[#This Row],[Т5]]</f>
        <v>14054.833555984776</v>
      </c>
      <c r="CR63" s="65">
        <f>Таблица1[[#This Row],[Т12]]-Таблица1[[#This Row],[Т4]]</f>
        <v>15181.84102440346</v>
      </c>
      <c r="CS63" s="65">
        <f>Таблица1[[#This Row],[Т12]]-Таблица1[[#This Row],[Т3]]</f>
        <v>18903.84102440346</v>
      </c>
      <c r="CT63" s="65">
        <f>Таблица1[[#This Row],[Т12]]-Таблица1[[#This Row],[Т2]]</f>
        <v>19968.01067991415</v>
      </c>
      <c r="CU63" s="65">
        <f>Таблица1[[#This Row],[Т12]]-Таблица1[[#This Row],[Т1]]</f>
        <v>21854.310496280901</v>
      </c>
      <c r="CV63" s="65">
        <f>Таблица1[[#This Row],[Lкан_леб,мм]]+Таблица1[[#This Row],[Lкан_дуг, мм]]+Таблица1[[#This Row],[Lкан_прям, мм]]</f>
        <v>3528386.8418603814</v>
      </c>
      <c r="CW63" s="60">
        <f>3511128.4-(Таблица1[[#This Row],[Lкан_леб,мм]]+Таблица1[[#This Row],[∆Lлеб из за стрел]])</f>
        <v>4595.868635899853</v>
      </c>
    </row>
    <row r="64" spans="1:101" x14ac:dyDescent="0.25">
      <c r="A64">
        <v>63</v>
      </c>
      <c r="B64">
        <v>81.624161073825363</v>
      </c>
      <c r="C64">
        <v>8.3858389261746407</v>
      </c>
      <c r="D64">
        <v>366.48122242477677</v>
      </c>
      <c r="E64">
        <v>6476.0132732078955</v>
      </c>
      <c r="F64">
        <v>1084.114380117878</v>
      </c>
      <c r="G64">
        <v>5713.1385122022439</v>
      </c>
      <c r="H64">
        <v>1083.9807324247768</v>
      </c>
      <c r="I64">
        <v>5154.3338269349024</v>
      </c>
      <c r="J64">
        <v>1321.6794462729933</v>
      </c>
      <c r="K64">
        <v>16518.030036217886</v>
      </c>
      <c r="L64">
        <v>5287.1027728832778</v>
      </c>
      <c r="M64">
        <v>3506581.7090512798</v>
      </c>
      <c r="N64">
        <v>0</v>
      </c>
      <c r="O64">
        <v>8</v>
      </c>
      <c r="P64">
        <v>-3322.5</v>
      </c>
      <c r="Q64">
        <v>-2811.96</v>
      </c>
      <c r="R64">
        <v>-3280</v>
      </c>
      <c r="S64">
        <v>-914.66</v>
      </c>
      <c r="T64">
        <v>-7002</v>
      </c>
      <c r="U64">
        <v>520.34</v>
      </c>
      <c r="V64">
        <v>-7002.1</v>
      </c>
      <c r="W64">
        <v>2365</v>
      </c>
      <c r="X64">
        <v>-6252</v>
      </c>
      <c r="Y64">
        <v>3800</v>
      </c>
      <c r="Z64">
        <v>366.48122242477677</v>
      </c>
      <c r="AA64">
        <v>6476.0132732078955</v>
      </c>
      <c r="AB64">
        <v>0</v>
      </c>
      <c r="AC64">
        <v>1064.1696555107644</v>
      </c>
      <c r="AD64">
        <v>1127.0074684186504</v>
      </c>
      <c r="AE64">
        <v>1127.0852605320265</v>
      </c>
      <c r="AF64">
        <v>420.89701468759853</v>
      </c>
      <c r="AG64">
        <v>1547.9433737342379</v>
      </c>
      <c r="AH64">
        <v>1886.2998163666878</v>
      </c>
      <c r="AI64">
        <v>3721.9999999999995</v>
      </c>
      <c r="AJ64">
        <v>1844.6600027105269</v>
      </c>
      <c r="AK64">
        <v>750.10000000000059</v>
      </c>
      <c r="AL64">
        <v>6993.2907654389855</v>
      </c>
      <c r="AM64">
        <v>1321.679451701689</v>
      </c>
      <c r="AN64">
        <v>-95.021003558665456</v>
      </c>
      <c r="AO64">
        <v>-180</v>
      </c>
      <c r="AP64">
        <v>-90.003106034687008</v>
      </c>
      <c r="AQ64">
        <v>1.2722218725854067E-14</v>
      </c>
      <c r="AR64">
        <v>-33.610623764815621</v>
      </c>
      <c r="AS64">
        <v>89.999999566492633</v>
      </c>
      <c r="AT64">
        <v>-2400.1625746957502</v>
      </c>
      <c r="AU64">
        <v>-3280</v>
      </c>
      <c r="AV64">
        <v>-7719.4999989457119</v>
      </c>
      <c r="AW64">
        <v>-7002.1</v>
      </c>
      <c r="AX64">
        <v>-5854.8307595542883</v>
      </c>
      <c r="AY64">
        <v>1083.9812224247769</v>
      </c>
      <c r="AZ64">
        <v>-2730.9252207921031</v>
      </c>
      <c r="BA64">
        <v>-197.16</v>
      </c>
      <c r="BB64">
        <v>520.3011039433311</v>
      </c>
      <c r="BC64">
        <v>3082.5000000000005</v>
      </c>
      <c r="BD64">
        <v>3202.452642509586</v>
      </c>
      <c r="BE64">
        <v>6476.0132786365948</v>
      </c>
      <c r="BF64">
        <v>-2565.2532760267472</v>
      </c>
      <c r="BG64">
        <v>-7002</v>
      </c>
      <c r="BH64">
        <v>-7719.5999989457123</v>
      </c>
      <c r="BI64">
        <v>-6252</v>
      </c>
      <c r="BJ64">
        <v>-30.688018020934571</v>
      </c>
      <c r="BK64">
        <v>1083.9812324247769</v>
      </c>
      <c r="BL64">
        <v>-851.86373761518519</v>
      </c>
      <c r="BM64">
        <v>-197.16</v>
      </c>
      <c r="BN64">
        <v>2364.9611039433312</v>
      </c>
      <c r="BO64">
        <v>3082.5000000000005</v>
      </c>
      <c r="BP64">
        <v>7073.5606306983091</v>
      </c>
      <c r="BQ64">
        <v>5154.333826934906</v>
      </c>
      <c r="BR64">
        <v>0</v>
      </c>
      <c r="BS64">
        <v>84.97899644133453</v>
      </c>
      <c r="BT64">
        <v>89.996893965312992</v>
      </c>
      <c r="BU64">
        <v>90.003106034687022</v>
      </c>
      <c r="BV64">
        <v>33.610623764815635</v>
      </c>
      <c r="BW64">
        <v>123.61062333130825</v>
      </c>
      <c r="BX64" s="69">
        <f>Таблица1[[#This Row],[Lкан_леб,мм]]</f>
        <v>3506581.7090512798</v>
      </c>
      <c r="BY64" s="65">
        <f>Таблица1[[#This Row],[Т1]]+Таблица1[[#This Row],[Lпрям1, мм]]</f>
        <v>3508468.0088676466</v>
      </c>
      <c r="BZ64" s="65">
        <f>Таблица1[[#This Row],[Т2]]+Таблица1[[#This Row],[Lдуг 2,мм]]</f>
        <v>3509532.1785231573</v>
      </c>
      <c r="CA64" s="65">
        <f>Таблица1[[#This Row],[Т3]]+Таблица1[[#This Row],[Lпрям2, мм]]</f>
        <v>3513254.1785231573</v>
      </c>
      <c r="CB64" s="65">
        <f>Таблица1[[#This Row],[Т4]]+Таблица1[[#This Row],[Lдуг 3,мм]]</f>
        <v>3514381.1859915759</v>
      </c>
      <c r="CC64" s="65">
        <f>Таблица1[[#This Row],[Т5]]+Таблица1[[#This Row],[Lпрям3, мм]]</f>
        <v>3516225.8459942862</v>
      </c>
      <c r="CD64" s="65">
        <f>Таблица1[[#This Row],[Т6]]+Таблица1[[#This Row],[Lдуг 4,мм]]</f>
        <v>3517352.9312548181</v>
      </c>
      <c r="CE64" s="65">
        <f>Таблица1[[#This Row],[Т7]]+Таблица1[[#This Row],[Lпрям4, мм]]</f>
        <v>3518103.0312548182</v>
      </c>
      <c r="CF64" s="72">
        <f>Таблица1[[#This Row],[Т8]]+Таблица1[[#This Row],[Lдуг 5,мм]]</f>
        <v>3518523.928269506</v>
      </c>
      <c r="CG64" s="65">
        <f>Таблица1[[#This Row],[Т9]]+Таблица1[[#This Row],[Lпрям5, мм]]</f>
        <v>3525517.2190349451</v>
      </c>
      <c r="CH64" s="65">
        <f>Таблица1[[#This Row],[Т10]]+Таблица1[[#This Row],[Lдуг 6,мм]]</f>
        <v>3527065.1624086793</v>
      </c>
      <c r="CI64" s="66">
        <f>Таблица1[[#This Row],[Т11]]+Таблица1[[#This Row],[Lпрям6, мм]]</f>
        <v>3528386.841860381</v>
      </c>
      <c r="CJ64" s="64">
        <f>Таблица1[[#This Row],[Т12]]-Таблица1[[#This Row],[Т12]]</f>
        <v>0</v>
      </c>
      <c r="CK64" s="65">
        <f>Таблица1[[#This Row],[Т12]]-Таблица1[[#This Row],[Т11]]</f>
        <v>1321.679451701697</v>
      </c>
      <c r="CL64" s="65">
        <f>Таблица1[[#This Row],[Т12]]-Таблица1[[#This Row],[Т10]]</f>
        <v>2869.6228254358284</v>
      </c>
      <c r="CM64" s="65">
        <f>Таблица1[[#This Row],[Т12]]-Таблица1[[#This Row],[Т9]]</f>
        <v>9862.9135908749886</v>
      </c>
      <c r="CN64" s="65">
        <f>Таблица1[[#This Row],[Т12]]-Таблица1[[#This Row],[Т8]]</f>
        <v>10283.810605562758</v>
      </c>
      <c r="CO64" s="65">
        <f>Таблица1[[#This Row],[Т12]]-Таблица1[[#This Row],[Т7]]</f>
        <v>11033.910605562851</v>
      </c>
      <c r="CP64" s="65">
        <f>Таблица1[[#This Row],[Т12]]-Таблица1[[#This Row],[Т6]]</f>
        <v>12160.995866094716</v>
      </c>
      <c r="CQ64" s="65">
        <f>Таблица1[[#This Row],[Т12]]-Таблица1[[#This Row],[Т5]]</f>
        <v>14005.655868805014</v>
      </c>
      <c r="CR64" s="65">
        <f>Таблица1[[#This Row],[Т12]]-Таблица1[[#This Row],[Т4]]</f>
        <v>15132.663337223697</v>
      </c>
      <c r="CS64" s="65">
        <f>Таблица1[[#This Row],[Т12]]-Таблица1[[#This Row],[Т3]]</f>
        <v>18854.663337223697</v>
      </c>
      <c r="CT64" s="65">
        <f>Таблица1[[#This Row],[Т12]]-Таблица1[[#This Row],[Т2]]</f>
        <v>19918.832992734388</v>
      </c>
      <c r="CU64" s="65">
        <f>Таблица1[[#This Row],[Т12]]-Таблица1[[#This Row],[Т1]]</f>
        <v>21805.132809101138</v>
      </c>
      <c r="CV64" s="65">
        <f>Таблица1[[#This Row],[Lкан_леб,мм]]+Таблица1[[#This Row],[Lкан_дуг, мм]]+Таблица1[[#This Row],[Lкан_прям, мм]]</f>
        <v>3528386.841860381</v>
      </c>
      <c r="CW64" s="60">
        <f>3511128.4-(Таблица1[[#This Row],[Lкан_леб,мм]]+Таблица1[[#This Row],[∆Lлеб из за стрел]])</f>
        <v>4546.6909487200901</v>
      </c>
    </row>
    <row r="65" spans="1:101" x14ac:dyDescent="0.25">
      <c r="A65">
        <v>64</v>
      </c>
      <c r="B65">
        <v>82.134228187919305</v>
      </c>
      <c r="C65">
        <v>7.8757718120806848</v>
      </c>
      <c r="D65">
        <v>300.90770541342448</v>
      </c>
      <c r="E65">
        <v>6485.3700614452346</v>
      </c>
      <c r="F65">
        <v>1018.5408631065258</v>
      </c>
      <c r="G65">
        <v>5722.4953004395829</v>
      </c>
      <c r="H65">
        <v>1018.4072154134245</v>
      </c>
      <c r="I65">
        <v>5163.6906151723897</v>
      </c>
      <c r="J65">
        <v>1321.6794462728449</v>
      </c>
      <c r="K65">
        <v>16459.621156043493</v>
      </c>
      <c r="L65">
        <v>5296.2202572754795</v>
      </c>
      <c r="M65">
        <v>3506631.0004470618</v>
      </c>
      <c r="N65">
        <v>0</v>
      </c>
      <c r="O65">
        <v>8</v>
      </c>
      <c r="P65">
        <v>-3322.5</v>
      </c>
      <c r="Q65">
        <v>-2811.96</v>
      </c>
      <c r="R65">
        <v>-3280</v>
      </c>
      <c r="S65">
        <v>-914.66</v>
      </c>
      <c r="T65">
        <v>-7002</v>
      </c>
      <c r="U65">
        <v>520.34</v>
      </c>
      <c r="V65">
        <v>-7002.1</v>
      </c>
      <c r="W65">
        <v>2365</v>
      </c>
      <c r="X65">
        <v>-6252</v>
      </c>
      <c r="Y65">
        <v>3800</v>
      </c>
      <c r="Z65">
        <v>300.90770541342448</v>
      </c>
      <c r="AA65">
        <v>6485.3700614452346</v>
      </c>
      <c r="AB65">
        <v>0</v>
      </c>
      <c r="AC65">
        <v>1064.1696555107644</v>
      </c>
      <c r="AD65">
        <v>1127.0074684186504</v>
      </c>
      <c r="AE65">
        <v>1127.0852605320265</v>
      </c>
      <c r="AF65">
        <v>425.45575688369973</v>
      </c>
      <c r="AG65">
        <v>1552.502115930339</v>
      </c>
      <c r="AH65">
        <v>1886.2998163666878</v>
      </c>
      <c r="AI65">
        <v>3721.9999999999995</v>
      </c>
      <c r="AJ65">
        <v>1844.6600027105269</v>
      </c>
      <c r="AK65">
        <v>750.10000000000059</v>
      </c>
      <c r="AL65">
        <v>6934.8818852647382</v>
      </c>
      <c r="AM65">
        <v>1321.6794517015405</v>
      </c>
      <c r="AN65">
        <v>-95.021003558665456</v>
      </c>
      <c r="AO65">
        <v>-180</v>
      </c>
      <c r="AP65">
        <v>-90.003106034687008</v>
      </c>
      <c r="AQ65">
        <v>1.2722218725854067E-14</v>
      </c>
      <c r="AR65">
        <v>-33.97466096025088</v>
      </c>
      <c r="AS65">
        <v>89.999999566492633</v>
      </c>
      <c r="AT65">
        <v>-2400.1625746957502</v>
      </c>
      <c r="AU65">
        <v>-3280</v>
      </c>
      <c r="AV65">
        <v>-7719.4999989457119</v>
      </c>
      <c r="AW65">
        <v>-7002.1</v>
      </c>
      <c r="AX65">
        <v>-5851.0421963321396</v>
      </c>
      <c r="AY65">
        <v>1018.4077054134244</v>
      </c>
      <c r="AZ65">
        <v>-2730.9252207921031</v>
      </c>
      <c r="BA65">
        <v>-197.16</v>
      </c>
      <c r="BB65">
        <v>520.3011039433311</v>
      </c>
      <c r="BC65">
        <v>3082.5000000000005</v>
      </c>
      <c r="BD65">
        <v>3204.9881600523859</v>
      </c>
      <c r="BE65">
        <v>6485.3700668739339</v>
      </c>
      <c r="BF65">
        <v>-2565.2532760267472</v>
      </c>
      <c r="BG65">
        <v>-7002</v>
      </c>
      <c r="BH65">
        <v>-7719.5999989457123</v>
      </c>
      <c r="BI65">
        <v>-6252</v>
      </c>
      <c r="BJ65">
        <v>-100.05009825443616</v>
      </c>
      <c r="BK65">
        <v>1018.4077154134245</v>
      </c>
      <c r="BL65">
        <v>-851.86373761518519</v>
      </c>
      <c r="BM65">
        <v>-197.16</v>
      </c>
      <c r="BN65">
        <v>2364.9611039433312</v>
      </c>
      <c r="BO65">
        <v>3082.5000000000005</v>
      </c>
      <c r="BP65">
        <v>7080.3819013928487</v>
      </c>
      <c r="BQ65">
        <v>5163.6906151723924</v>
      </c>
      <c r="BR65">
        <v>0</v>
      </c>
      <c r="BS65">
        <v>84.97899644133453</v>
      </c>
      <c r="BT65">
        <v>89.996893965312992</v>
      </c>
      <c r="BU65">
        <v>90.003106034687022</v>
      </c>
      <c r="BV65">
        <v>33.974660960250887</v>
      </c>
      <c r="BW65">
        <v>123.97466052674352</v>
      </c>
      <c r="BX65" s="69">
        <f>Таблица1[[#This Row],[Lкан_леб,мм]]</f>
        <v>3506631.0004470618</v>
      </c>
      <c r="BY65" s="65">
        <f>Таблица1[[#This Row],[Т1]]+Таблица1[[#This Row],[Lпрям1, мм]]</f>
        <v>3508517.3002634286</v>
      </c>
      <c r="BZ65" s="65">
        <f>Таблица1[[#This Row],[Т2]]+Таблица1[[#This Row],[Lдуг 2,мм]]</f>
        <v>3509581.4699189393</v>
      </c>
      <c r="CA65" s="65">
        <f>Таблица1[[#This Row],[Т3]]+Таблица1[[#This Row],[Lпрям2, мм]]</f>
        <v>3513303.4699189393</v>
      </c>
      <c r="CB65" s="65">
        <f>Таблица1[[#This Row],[Т4]]+Таблица1[[#This Row],[Lдуг 3,мм]]</f>
        <v>3514430.477387358</v>
      </c>
      <c r="CC65" s="65">
        <f>Таблица1[[#This Row],[Т5]]+Таблица1[[#This Row],[Lпрям3, мм]]</f>
        <v>3516275.1373900683</v>
      </c>
      <c r="CD65" s="65">
        <f>Таблица1[[#This Row],[Т6]]+Таблица1[[#This Row],[Lдуг 4,мм]]</f>
        <v>3517402.2226506001</v>
      </c>
      <c r="CE65" s="65">
        <f>Таблица1[[#This Row],[Т7]]+Таблица1[[#This Row],[Lпрям4, мм]]</f>
        <v>3518152.3226506002</v>
      </c>
      <c r="CF65" s="72">
        <f>Таблица1[[#This Row],[Т8]]+Таблица1[[#This Row],[Lдуг 5,мм]]</f>
        <v>3518577.7784074838</v>
      </c>
      <c r="CG65" s="65">
        <f>Таблица1[[#This Row],[Т9]]+Таблица1[[#This Row],[Lпрям5, мм]]</f>
        <v>3525512.6602927484</v>
      </c>
      <c r="CH65" s="65">
        <f>Таблица1[[#This Row],[Т10]]+Таблица1[[#This Row],[Lдуг 6,мм]]</f>
        <v>3527065.1624086788</v>
      </c>
      <c r="CI65" s="66">
        <f>Таблица1[[#This Row],[Т11]]+Таблица1[[#This Row],[Lпрям6, мм]]</f>
        <v>3528386.8418603805</v>
      </c>
      <c r="CJ65" s="64">
        <f>Таблица1[[#This Row],[Т12]]-Таблица1[[#This Row],[Т12]]</f>
        <v>0</v>
      </c>
      <c r="CK65" s="65">
        <f>Таблица1[[#This Row],[Т12]]-Таблица1[[#This Row],[Т11]]</f>
        <v>1321.679451701697</v>
      </c>
      <c r="CL65" s="65">
        <f>Таблица1[[#This Row],[Т12]]-Таблица1[[#This Row],[Т10]]</f>
        <v>2874.1815676321276</v>
      </c>
      <c r="CM65" s="65">
        <f>Таблица1[[#This Row],[Т12]]-Таблица1[[#This Row],[Т9]]</f>
        <v>9809.0634528966621</v>
      </c>
      <c r="CN65" s="65">
        <f>Таблица1[[#This Row],[Т12]]-Таблица1[[#This Row],[Т8]]</f>
        <v>10234.519209780265</v>
      </c>
      <c r="CO65" s="65">
        <f>Таблица1[[#This Row],[Т12]]-Таблица1[[#This Row],[Т7]]</f>
        <v>10984.619209780358</v>
      </c>
      <c r="CP65" s="65">
        <f>Таблица1[[#This Row],[Т12]]-Таблица1[[#This Row],[Т6]]</f>
        <v>12111.704470312223</v>
      </c>
      <c r="CQ65" s="65">
        <f>Таблица1[[#This Row],[Т12]]-Таблица1[[#This Row],[Т5]]</f>
        <v>13956.364473022521</v>
      </c>
      <c r="CR65" s="65">
        <f>Таблица1[[#This Row],[Т12]]-Таблица1[[#This Row],[Т4]]</f>
        <v>15083.371941441204</v>
      </c>
      <c r="CS65" s="65">
        <f>Таблица1[[#This Row],[Т12]]-Таблица1[[#This Row],[Т3]]</f>
        <v>18805.371941441204</v>
      </c>
      <c r="CT65" s="65">
        <f>Таблица1[[#This Row],[Т12]]-Таблица1[[#This Row],[Т2]]</f>
        <v>19869.541596951894</v>
      </c>
      <c r="CU65" s="65">
        <f>Таблица1[[#This Row],[Т12]]-Таблица1[[#This Row],[Т1]]</f>
        <v>21755.841413318645</v>
      </c>
      <c r="CV65" s="65">
        <f>Таблица1[[#This Row],[Lкан_леб,мм]]+Таблица1[[#This Row],[Lкан_дуг, мм]]+Таблица1[[#This Row],[Lкан_прям, мм]]</f>
        <v>3528386.8418603805</v>
      </c>
      <c r="CW65" s="60">
        <f>3511128.4-(Таблица1[[#This Row],[Lкан_леб,мм]]+Таблица1[[#This Row],[∆Lлеб из за стрел]])</f>
        <v>4497.3995529380627</v>
      </c>
    </row>
    <row r="66" spans="1:101" x14ac:dyDescent="0.25">
      <c r="A66">
        <v>65</v>
      </c>
      <c r="B66">
        <v>82.644295302013262</v>
      </c>
      <c r="C66">
        <v>7.3657046979867289</v>
      </c>
      <c r="D66">
        <v>235.25349048738107</v>
      </c>
      <c r="E66">
        <v>6494.1427281892384</v>
      </c>
      <c r="F66">
        <v>952.88664818048244</v>
      </c>
      <c r="G66">
        <v>5731.2679671835886</v>
      </c>
      <c r="H66">
        <v>952.7530004873812</v>
      </c>
      <c r="I66">
        <v>5172.4632819163271</v>
      </c>
      <c r="J66">
        <v>1321.6794462729115</v>
      </c>
      <c r="K66">
        <v>16401.049174331427</v>
      </c>
      <c r="L66">
        <v>5305.3890146095009</v>
      </c>
      <c r="M66">
        <v>3506680.4036714402</v>
      </c>
      <c r="N66">
        <v>0</v>
      </c>
      <c r="O66">
        <v>8</v>
      </c>
      <c r="P66">
        <v>-3322.5</v>
      </c>
      <c r="Q66">
        <v>-2811.96</v>
      </c>
      <c r="R66">
        <v>-3280</v>
      </c>
      <c r="S66">
        <v>-914.66</v>
      </c>
      <c r="T66">
        <v>-7002</v>
      </c>
      <c r="U66">
        <v>520.34</v>
      </c>
      <c r="V66">
        <v>-7002.1</v>
      </c>
      <c r="W66">
        <v>2365</v>
      </c>
      <c r="X66">
        <v>-6252</v>
      </c>
      <c r="Y66">
        <v>3800</v>
      </c>
      <c r="Z66">
        <v>235.25349048738107</v>
      </c>
      <c r="AA66">
        <v>6494.1427281892384</v>
      </c>
      <c r="AB66">
        <v>0</v>
      </c>
      <c r="AC66">
        <v>1064.1696555107644</v>
      </c>
      <c r="AD66">
        <v>1127.0074684186504</v>
      </c>
      <c r="AE66">
        <v>1127.0852605320265</v>
      </c>
      <c r="AF66">
        <v>430.04013555071037</v>
      </c>
      <c r="AG66">
        <v>1557.0864945973494</v>
      </c>
      <c r="AH66">
        <v>1886.2998163666878</v>
      </c>
      <c r="AI66">
        <v>3721.9999999999995</v>
      </c>
      <c r="AJ66">
        <v>1844.6600027105269</v>
      </c>
      <c r="AK66">
        <v>750.10000000000059</v>
      </c>
      <c r="AL66">
        <v>6876.3099035526056</v>
      </c>
      <c r="AM66">
        <v>1321.6794517016071</v>
      </c>
      <c r="AN66">
        <v>-95.021003558665456</v>
      </c>
      <c r="AO66">
        <v>-180</v>
      </c>
      <c r="AP66">
        <v>-90.003106034687008</v>
      </c>
      <c r="AQ66">
        <v>1.2722218725854067E-14</v>
      </c>
      <c r="AR66">
        <v>-34.34074534953244</v>
      </c>
      <c r="AS66">
        <v>89.999999566492619</v>
      </c>
      <c r="AT66">
        <v>-2400.1625746957502</v>
      </c>
      <c r="AU66">
        <v>-3280</v>
      </c>
      <c r="AV66">
        <v>-7719.4999989457119</v>
      </c>
      <c r="AW66">
        <v>-7002.1</v>
      </c>
      <c r="AX66">
        <v>-5847.2486510322133</v>
      </c>
      <c r="AY66">
        <v>952.7534904873811</v>
      </c>
      <c r="AZ66">
        <v>-2730.9252207921031</v>
      </c>
      <c r="BA66">
        <v>-197.16</v>
      </c>
      <c r="BB66">
        <v>520.3011039433311</v>
      </c>
      <c r="BC66">
        <v>3082.5000000000005</v>
      </c>
      <c r="BD66">
        <v>3207.562158949348</v>
      </c>
      <c r="BE66">
        <v>6494.1427336179377</v>
      </c>
      <c r="BF66">
        <v>-2565.2532760267472</v>
      </c>
      <c r="BG66">
        <v>-7002</v>
      </c>
      <c r="BH66">
        <v>-7719.5999989457123</v>
      </c>
      <c r="BI66">
        <v>-6252</v>
      </c>
      <c r="BJ66">
        <v>-169.49785848040494</v>
      </c>
      <c r="BK66">
        <v>952.75350048738119</v>
      </c>
      <c r="BL66">
        <v>-851.86373761518519</v>
      </c>
      <c r="BM66">
        <v>-197.16</v>
      </c>
      <c r="BN66">
        <v>2364.9611039433312</v>
      </c>
      <c r="BO66">
        <v>3082.5000000000005</v>
      </c>
      <c r="BP66">
        <v>7086.5805692398899</v>
      </c>
      <c r="BQ66">
        <v>5172.4632819163307</v>
      </c>
      <c r="BR66">
        <v>0</v>
      </c>
      <c r="BS66">
        <v>84.97899644133453</v>
      </c>
      <c r="BT66">
        <v>89.996893965312992</v>
      </c>
      <c r="BU66">
        <v>90.003106034687022</v>
      </c>
      <c r="BV66">
        <v>34.340745349532455</v>
      </c>
      <c r="BW66">
        <v>124.34074491602506</v>
      </c>
      <c r="BX66" s="69">
        <f>Таблица1[[#This Row],[Lкан_леб,мм]]</f>
        <v>3506680.4036714402</v>
      </c>
      <c r="BY66" s="65">
        <f>Таблица1[[#This Row],[Т1]]+Таблица1[[#This Row],[Lпрям1, мм]]</f>
        <v>3508566.703487807</v>
      </c>
      <c r="BZ66" s="65">
        <f>Таблица1[[#This Row],[Т2]]+Таблица1[[#This Row],[Lдуг 2,мм]]</f>
        <v>3509630.8731433176</v>
      </c>
      <c r="CA66" s="65">
        <f>Таблица1[[#This Row],[Т3]]+Таблица1[[#This Row],[Lпрям2, мм]]</f>
        <v>3513352.8731433176</v>
      </c>
      <c r="CB66" s="65">
        <f>Таблица1[[#This Row],[Т4]]+Таблица1[[#This Row],[Lдуг 3,мм]]</f>
        <v>3514479.8806117363</v>
      </c>
      <c r="CC66" s="65">
        <f>Таблица1[[#This Row],[Т5]]+Таблица1[[#This Row],[Lпрям3, мм]]</f>
        <v>3516324.5406144466</v>
      </c>
      <c r="CD66" s="65">
        <f>Таблица1[[#This Row],[Т6]]+Таблица1[[#This Row],[Lдуг 4,мм]]</f>
        <v>3517451.6258749785</v>
      </c>
      <c r="CE66" s="65">
        <f>Таблица1[[#This Row],[Т7]]+Таблица1[[#This Row],[Lпрям4, мм]]</f>
        <v>3518201.7258749786</v>
      </c>
      <c r="CF66" s="72">
        <f>Таблица1[[#This Row],[Т8]]+Таблица1[[#This Row],[Lдуг 5,мм]]</f>
        <v>3518631.7660105294</v>
      </c>
      <c r="CG66" s="65">
        <f>Таблица1[[#This Row],[Т9]]+Таблица1[[#This Row],[Lпрям5, мм]]</f>
        <v>3525508.0759140821</v>
      </c>
      <c r="CH66" s="65">
        <f>Таблица1[[#This Row],[Т10]]+Таблица1[[#This Row],[Lдуг 6,мм]]</f>
        <v>3527065.1624086793</v>
      </c>
      <c r="CI66" s="66">
        <f>Таблица1[[#This Row],[Т11]]+Таблица1[[#This Row],[Lпрям6, мм]]</f>
        <v>3528386.841860381</v>
      </c>
      <c r="CJ66" s="64">
        <f>Таблица1[[#This Row],[Т12]]-Таблица1[[#This Row],[Т12]]</f>
        <v>0</v>
      </c>
      <c r="CK66" s="65">
        <f>Таблица1[[#This Row],[Т12]]-Таблица1[[#This Row],[Т11]]</f>
        <v>1321.679451701697</v>
      </c>
      <c r="CL66" s="65">
        <f>Таблица1[[#This Row],[Т12]]-Таблица1[[#This Row],[Т10]]</f>
        <v>2878.7659462988377</v>
      </c>
      <c r="CM66" s="65">
        <f>Таблица1[[#This Row],[Т12]]-Таблица1[[#This Row],[Т9]]</f>
        <v>9755.0758498515934</v>
      </c>
      <c r="CN66" s="65">
        <f>Таблица1[[#This Row],[Т12]]-Таблица1[[#This Row],[Т8]]</f>
        <v>10185.115985402372</v>
      </c>
      <c r="CO66" s="65">
        <f>Таблица1[[#This Row],[Т12]]-Таблица1[[#This Row],[Т7]]</f>
        <v>10935.215985402465</v>
      </c>
      <c r="CP66" s="65">
        <f>Таблица1[[#This Row],[Т12]]-Таблица1[[#This Row],[Т6]]</f>
        <v>12062.30124593433</v>
      </c>
      <c r="CQ66" s="65">
        <f>Таблица1[[#This Row],[Т12]]-Таблица1[[#This Row],[Т5]]</f>
        <v>13906.961248644628</v>
      </c>
      <c r="CR66" s="65">
        <f>Таблица1[[#This Row],[Т12]]-Таблица1[[#This Row],[Т4]]</f>
        <v>15033.968717063311</v>
      </c>
      <c r="CS66" s="65">
        <f>Таблица1[[#This Row],[Т12]]-Таблица1[[#This Row],[Т3]]</f>
        <v>18755.968717063311</v>
      </c>
      <c r="CT66" s="65">
        <f>Таблица1[[#This Row],[Т12]]-Таблица1[[#This Row],[Т2]]</f>
        <v>19820.138372574002</v>
      </c>
      <c r="CU66" s="65">
        <f>Таблица1[[#This Row],[Т12]]-Таблица1[[#This Row],[Т1]]</f>
        <v>21706.438188940752</v>
      </c>
      <c r="CV66" s="65">
        <f>Таблица1[[#This Row],[Lкан_леб,мм]]+Таблица1[[#This Row],[Lкан_дуг, мм]]+Таблица1[[#This Row],[Lкан_прям, мм]]</f>
        <v>3528386.8418603814</v>
      </c>
      <c r="CW66" s="60">
        <f>3511128.4-(Таблица1[[#This Row],[Lкан_леб,мм]]+Таблица1[[#This Row],[∆Lлеб из за стрел]])</f>
        <v>4447.9963285597041</v>
      </c>
    </row>
    <row r="67" spans="1:101" x14ac:dyDescent="0.25">
      <c r="A67">
        <v>66</v>
      </c>
      <c r="B67">
        <v>83.154362416107219</v>
      </c>
      <c r="C67">
        <v>6.8556375838927739</v>
      </c>
      <c r="D67">
        <v>169.52378082996489</v>
      </c>
      <c r="E67">
        <v>6502.3305781944737</v>
      </c>
      <c r="F67">
        <v>887.15693852306617</v>
      </c>
      <c r="G67">
        <v>5739.4558171888239</v>
      </c>
      <c r="H67">
        <v>887.02329082996494</v>
      </c>
      <c r="I67">
        <v>5180.6511319219717</v>
      </c>
      <c r="J67">
        <v>1321.679446272502</v>
      </c>
      <c r="K67">
        <v>16342.314589145612</v>
      </c>
      <c r="L67">
        <v>5314.6104568463452</v>
      </c>
      <c r="M67">
        <v>3506729.9168143892</v>
      </c>
      <c r="N67">
        <v>0</v>
      </c>
      <c r="O67">
        <v>8</v>
      </c>
      <c r="P67">
        <v>-3322.5</v>
      </c>
      <c r="Q67">
        <v>-2811.96</v>
      </c>
      <c r="R67">
        <v>-3280</v>
      </c>
      <c r="S67">
        <v>-914.66</v>
      </c>
      <c r="T67">
        <v>-7002</v>
      </c>
      <c r="U67">
        <v>520.34</v>
      </c>
      <c r="V67">
        <v>-7002.1</v>
      </c>
      <c r="W67">
        <v>2365</v>
      </c>
      <c r="X67">
        <v>-6252</v>
      </c>
      <c r="Y67">
        <v>3800</v>
      </c>
      <c r="Z67">
        <v>169.52378082996489</v>
      </c>
      <c r="AA67">
        <v>6502.3305781944737</v>
      </c>
      <c r="AB67">
        <v>0</v>
      </c>
      <c r="AC67">
        <v>1064.1696555107644</v>
      </c>
      <c r="AD67">
        <v>1127.0074684186504</v>
      </c>
      <c r="AE67">
        <v>1127.0852605320265</v>
      </c>
      <c r="AF67">
        <v>434.65085666913234</v>
      </c>
      <c r="AG67">
        <v>1561.6972157157716</v>
      </c>
      <c r="AH67">
        <v>1886.2998163666878</v>
      </c>
      <c r="AI67">
        <v>3721.9999999999995</v>
      </c>
      <c r="AJ67">
        <v>1844.6600027105269</v>
      </c>
      <c r="AK67">
        <v>750.10000000000059</v>
      </c>
      <c r="AL67">
        <v>6817.5753183672005</v>
      </c>
      <c r="AM67">
        <v>1321.6794517011979</v>
      </c>
      <c r="AN67">
        <v>-95.021003558665456</v>
      </c>
      <c r="AO67">
        <v>-180</v>
      </c>
      <c r="AP67">
        <v>-90.003106034687008</v>
      </c>
      <c r="AQ67">
        <v>1.2722218725854067E-14</v>
      </c>
      <c r="AR67">
        <v>-34.708933308553235</v>
      </c>
      <c r="AS67">
        <v>89.999999566492619</v>
      </c>
      <c r="AT67">
        <v>-2400.1625746957502</v>
      </c>
      <c r="AU67">
        <v>-3280</v>
      </c>
      <c r="AV67">
        <v>-7719.4999989457119</v>
      </c>
      <c r="AW67">
        <v>-7002.1</v>
      </c>
      <c r="AX67">
        <v>-5843.4499740796182</v>
      </c>
      <c r="AY67">
        <v>887.02378082996495</v>
      </c>
      <c r="AZ67">
        <v>-2730.9252207921031</v>
      </c>
      <c r="BA67">
        <v>-197.16</v>
      </c>
      <c r="BB67">
        <v>520.3011039433311</v>
      </c>
      <c r="BC67">
        <v>3082.5000000000005</v>
      </c>
      <c r="BD67">
        <v>3210.1753427327276</v>
      </c>
      <c r="BE67">
        <v>6502.330583623173</v>
      </c>
      <c r="BF67">
        <v>-2565.2532760267472</v>
      </c>
      <c r="BG67">
        <v>-7002</v>
      </c>
      <c r="BH67">
        <v>-7719.5999989457123</v>
      </c>
      <c r="BI67">
        <v>-6252</v>
      </c>
      <c r="BJ67">
        <v>-239.02624509041635</v>
      </c>
      <c r="BK67">
        <v>887.02379082996492</v>
      </c>
      <c r="BL67">
        <v>-851.86373761518519</v>
      </c>
      <c r="BM67">
        <v>-197.16</v>
      </c>
      <c r="BN67">
        <v>2364.9611039433312</v>
      </c>
      <c r="BO67">
        <v>3082.5000000000005</v>
      </c>
      <c r="BP67">
        <v>7092.155235461747</v>
      </c>
      <c r="BQ67">
        <v>5180.6511319219753</v>
      </c>
      <c r="BR67">
        <v>0</v>
      </c>
      <c r="BS67">
        <v>84.97899644133453</v>
      </c>
      <c r="BT67">
        <v>89.996893965312992</v>
      </c>
      <c r="BU67">
        <v>90.003106034687022</v>
      </c>
      <c r="BV67">
        <v>34.708933308553242</v>
      </c>
      <c r="BW67">
        <v>124.70893287504586</v>
      </c>
      <c r="BX67" s="69">
        <f>Таблица1[[#This Row],[Lкан_леб,мм]]</f>
        <v>3506729.9168143892</v>
      </c>
      <c r="BY67" s="65">
        <f>Таблица1[[#This Row],[Т1]]+Таблица1[[#This Row],[Lпрям1, мм]]</f>
        <v>3508616.2166307559</v>
      </c>
      <c r="BZ67" s="65">
        <f>Таблица1[[#This Row],[Т2]]+Таблица1[[#This Row],[Lдуг 2,мм]]</f>
        <v>3509680.3862862666</v>
      </c>
      <c r="CA67" s="65">
        <f>Таблица1[[#This Row],[Т3]]+Таблица1[[#This Row],[Lпрям2, мм]]</f>
        <v>3513402.3862862666</v>
      </c>
      <c r="CB67" s="65">
        <f>Таблица1[[#This Row],[Т4]]+Таблица1[[#This Row],[Lдуг 3,мм]]</f>
        <v>3514529.3937546853</v>
      </c>
      <c r="CC67" s="65">
        <f>Таблица1[[#This Row],[Т5]]+Таблица1[[#This Row],[Lпрям3, мм]]</f>
        <v>3516374.0537573956</v>
      </c>
      <c r="CD67" s="65">
        <f>Таблица1[[#This Row],[Т6]]+Таблица1[[#This Row],[Lдуг 4,мм]]</f>
        <v>3517501.1390179275</v>
      </c>
      <c r="CE67" s="65">
        <f>Таблица1[[#This Row],[Т7]]+Таблица1[[#This Row],[Lпрям4, мм]]</f>
        <v>3518251.2390179276</v>
      </c>
      <c r="CF67" s="72">
        <f>Таблица1[[#This Row],[Т8]]+Таблица1[[#This Row],[Lдуг 5,мм]]</f>
        <v>3518685.8898745966</v>
      </c>
      <c r="CG67" s="65">
        <f>Таблица1[[#This Row],[Т9]]+Таблица1[[#This Row],[Lпрям5, мм]]</f>
        <v>3525503.4651929638</v>
      </c>
      <c r="CH67" s="65">
        <f>Таблица1[[#This Row],[Т10]]+Таблица1[[#This Row],[Lдуг 6,мм]]</f>
        <v>3527065.1624086797</v>
      </c>
      <c r="CI67" s="66">
        <f>Таблица1[[#This Row],[Т11]]+Таблица1[[#This Row],[Lпрям6, мм]]</f>
        <v>3528386.841860381</v>
      </c>
      <c r="CJ67" s="64">
        <f>Таблица1[[#This Row],[Т12]]-Таблица1[[#This Row],[Т12]]</f>
        <v>0</v>
      </c>
      <c r="CK67" s="65">
        <f>Таблица1[[#This Row],[Т12]]-Таблица1[[#This Row],[Т11]]</f>
        <v>1321.6794517012313</v>
      </c>
      <c r="CL67" s="65">
        <f>Таблица1[[#This Row],[Т12]]-Таблица1[[#This Row],[Т10]]</f>
        <v>2883.3766674171202</v>
      </c>
      <c r="CM67" s="65">
        <f>Таблица1[[#This Row],[Т12]]-Таблица1[[#This Row],[Т9]]</f>
        <v>9700.9519857843406</v>
      </c>
      <c r="CN67" s="65">
        <f>Таблица1[[#This Row],[Т12]]-Таблица1[[#This Row],[Т8]]</f>
        <v>10135.602842453402</v>
      </c>
      <c r="CO67" s="65">
        <f>Таблица1[[#This Row],[Т12]]-Таблица1[[#This Row],[Т7]]</f>
        <v>10885.702842453495</v>
      </c>
      <c r="CP67" s="65">
        <f>Таблица1[[#This Row],[Т12]]-Таблица1[[#This Row],[Т6]]</f>
        <v>12012.78810298536</v>
      </c>
      <c r="CQ67" s="65">
        <f>Таблица1[[#This Row],[Т12]]-Таблица1[[#This Row],[Т5]]</f>
        <v>13857.448105695657</v>
      </c>
      <c r="CR67" s="65">
        <f>Таблица1[[#This Row],[Т12]]-Таблица1[[#This Row],[Т4]]</f>
        <v>14984.455574114341</v>
      </c>
      <c r="CS67" s="65">
        <f>Таблица1[[#This Row],[Т12]]-Таблица1[[#This Row],[Т3]]</f>
        <v>18706.455574114341</v>
      </c>
      <c r="CT67" s="65">
        <f>Таблица1[[#This Row],[Т12]]-Таблица1[[#This Row],[Т2]]</f>
        <v>19770.625229625031</v>
      </c>
      <c r="CU67" s="65">
        <f>Таблица1[[#This Row],[Т12]]-Таблица1[[#This Row],[Т1]]</f>
        <v>21656.925045991782</v>
      </c>
      <c r="CV67" s="65">
        <f>Таблица1[[#This Row],[Lкан_леб,мм]]+Таблица1[[#This Row],[Lкан_дуг, мм]]+Таблица1[[#This Row],[Lкан_прям, мм]]</f>
        <v>3528386.841860381</v>
      </c>
      <c r="CW67" s="60">
        <f>3511128.4-(Таблица1[[#This Row],[Lкан_леб,мм]]+Таблица1[[#This Row],[∆Lлеб из за стрел]])</f>
        <v>4398.4831856107339</v>
      </c>
    </row>
    <row r="68" spans="1:101" x14ac:dyDescent="0.25">
      <c r="A68">
        <v>67</v>
      </c>
      <c r="B68">
        <v>83.664429530201176</v>
      </c>
      <c r="C68">
        <v>6.345570469798818</v>
      </c>
      <c r="D68">
        <v>103.72378560755169</v>
      </c>
      <c r="E68">
        <v>6509.9329625630062</v>
      </c>
      <c r="F68">
        <v>821.35694330065303</v>
      </c>
      <c r="G68">
        <v>5747.0582015573555</v>
      </c>
      <c r="H68">
        <v>821.22329560755202</v>
      </c>
      <c r="I68">
        <v>5188.2535162904478</v>
      </c>
      <c r="J68">
        <v>1321.6794462725582</v>
      </c>
      <c r="K68">
        <v>16283.417876876192</v>
      </c>
      <c r="L68">
        <v>5323.8860488759356</v>
      </c>
      <c r="M68">
        <v>3506779.5379346288</v>
      </c>
      <c r="N68">
        <v>0</v>
      </c>
      <c r="O68">
        <v>8</v>
      </c>
      <c r="P68">
        <v>-3322.5</v>
      </c>
      <c r="Q68">
        <v>-2811.96</v>
      </c>
      <c r="R68">
        <v>-3280</v>
      </c>
      <c r="S68">
        <v>-914.66</v>
      </c>
      <c r="T68">
        <v>-7002</v>
      </c>
      <c r="U68">
        <v>520.34</v>
      </c>
      <c r="V68">
        <v>-7002.1</v>
      </c>
      <c r="W68">
        <v>2365</v>
      </c>
      <c r="X68">
        <v>-6252</v>
      </c>
      <c r="Y68">
        <v>3800</v>
      </c>
      <c r="Z68">
        <v>103.72378560755169</v>
      </c>
      <c r="AA68">
        <v>6509.9329625630062</v>
      </c>
      <c r="AB68">
        <v>0</v>
      </c>
      <c r="AC68">
        <v>1064.1696555107644</v>
      </c>
      <c r="AD68">
        <v>1127.0074684186504</v>
      </c>
      <c r="AE68">
        <v>1127.0852605320265</v>
      </c>
      <c r="AF68">
        <v>439.28865268392832</v>
      </c>
      <c r="AG68">
        <v>1566.3350117305672</v>
      </c>
      <c r="AH68">
        <v>1886.2998163666878</v>
      </c>
      <c r="AI68">
        <v>3721.9999999999995</v>
      </c>
      <c r="AJ68">
        <v>1844.6600027105269</v>
      </c>
      <c r="AK68">
        <v>750.10000000000059</v>
      </c>
      <c r="AL68">
        <v>6758.6786060977256</v>
      </c>
      <c r="AM68">
        <v>1321.6794517012538</v>
      </c>
      <c r="AN68">
        <v>-95.021003558665456</v>
      </c>
      <c r="AO68">
        <v>-180</v>
      </c>
      <c r="AP68">
        <v>-90.003106034687008</v>
      </c>
      <c r="AQ68">
        <v>1.2722218725854067E-14</v>
      </c>
      <c r="AR68">
        <v>-35.079283326518947</v>
      </c>
      <c r="AS68">
        <v>89.999999566492605</v>
      </c>
      <c r="AT68">
        <v>-2400.1625746957502</v>
      </c>
      <c r="AU68">
        <v>-3280</v>
      </c>
      <c r="AV68">
        <v>-7719.4999989457119</v>
      </c>
      <c r="AW68">
        <v>-7002.1</v>
      </c>
      <c r="AX68">
        <v>-5839.6460107635085</v>
      </c>
      <c r="AY68">
        <v>821.22378560755169</v>
      </c>
      <c r="AZ68">
        <v>-2730.9252207921031</v>
      </c>
      <c r="BA68">
        <v>-197.16</v>
      </c>
      <c r="BB68">
        <v>520.3011039433311</v>
      </c>
      <c r="BC68">
        <v>3082.5000000000005</v>
      </c>
      <c r="BD68">
        <v>3212.8284428203701</v>
      </c>
      <c r="BE68">
        <v>6509.9329679917055</v>
      </c>
      <c r="BF68">
        <v>-2565.2532760267472</v>
      </c>
      <c r="BG68">
        <v>-7002</v>
      </c>
      <c r="BH68">
        <v>-7719.5999989457123</v>
      </c>
      <c r="BI68">
        <v>-6252</v>
      </c>
      <c r="BJ68">
        <v>-308.63020362893963</v>
      </c>
      <c r="BK68">
        <v>821.22379560755201</v>
      </c>
      <c r="BL68">
        <v>-851.86373761518519</v>
      </c>
      <c r="BM68">
        <v>-197.16</v>
      </c>
      <c r="BN68">
        <v>2364.9611039433312</v>
      </c>
      <c r="BO68">
        <v>3082.5000000000005</v>
      </c>
      <c r="BP68">
        <v>7097.1045197426365</v>
      </c>
      <c r="BQ68">
        <v>5188.2535162904514</v>
      </c>
      <c r="BR68">
        <v>0</v>
      </c>
      <c r="BS68">
        <v>84.97899644133453</v>
      </c>
      <c r="BT68">
        <v>89.996893965312992</v>
      </c>
      <c r="BU68">
        <v>90.003106034687022</v>
      </c>
      <c r="BV68">
        <v>35.079283326518954</v>
      </c>
      <c r="BW68">
        <v>125.07928289301155</v>
      </c>
      <c r="BX68" s="69">
        <f>Таблица1[[#This Row],[Lкан_леб,мм]]</f>
        <v>3506779.5379346288</v>
      </c>
      <c r="BY68" s="65">
        <f>Таблица1[[#This Row],[Т1]]+Таблица1[[#This Row],[Lпрям1, мм]]</f>
        <v>3508665.8377509955</v>
      </c>
      <c r="BZ68" s="65">
        <f>Таблица1[[#This Row],[Т2]]+Таблица1[[#This Row],[Lдуг 2,мм]]</f>
        <v>3509730.0074065062</v>
      </c>
      <c r="CA68" s="65">
        <f>Таблица1[[#This Row],[Т3]]+Таблица1[[#This Row],[Lпрям2, мм]]</f>
        <v>3513452.0074065062</v>
      </c>
      <c r="CB68" s="65">
        <f>Таблица1[[#This Row],[Т4]]+Таблица1[[#This Row],[Lдуг 3,мм]]</f>
        <v>3514579.0148749249</v>
      </c>
      <c r="CC68" s="65">
        <f>Таблица1[[#This Row],[Т5]]+Таблица1[[#This Row],[Lпрям3, мм]]</f>
        <v>3516423.6748776352</v>
      </c>
      <c r="CD68" s="65">
        <f>Таблица1[[#This Row],[Т6]]+Таблица1[[#This Row],[Lдуг 4,мм]]</f>
        <v>3517550.7601381671</v>
      </c>
      <c r="CE68" s="65">
        <f>Таблица1[[#This Row],[Т7]]+Таблица1[[#This Row],[Lпрям4, мм]]</f>
        <v>3518300.8601381672</v>
      </c>
      <c r="CF68" s="72">
        <f>Таблица1[[#This Row],[Т8]]+Таблица1[[#This Row],[Lдуг 5,мм]]</f>
        <v>3518740.1487908512</v>
      </c>
      <c r="CG68" s="65">
        <f>Таблица1[[#This Row],[Т9]]+Таблица1[[#This Row],[Lпрям5, мм]]</f>
        <v>3525498.8273969488</v>
      </c>
      <c r="CH68" s="65">
        <f>Таблица1[[#This Row],[Т10]]+Таблица1[[#This Row],[Lдуг 6,мм]]</f>
        <v>3527065.1624086793</v>
      </c>
      <c r="CI68" s="66">
        <f>Таблица1[[#This Row],[Т11]]+Таблица1[[#This Row],[Lпрям6, мм]]</f>
        <v>3528386.8418603805</v>
      </c>
      <c r="CJ68" s="64">
        <f>Таблица1[[#This Row],[Т12]]-Таблица1[[#This Row],[Т12]]</f>
        <v>0</v>
      </c>
      <c r="CK68" s="65">
        <f>Таблица1[[#This Row],[Т12]]-Таблица1[[#This Row],[Т11]]</f>
        <v>1321.6794517012313</v>
      </c>
      <c r="CL68" s="65">
        <f>Таблица1[[#This Row],[Т12]]-Таблица1[[#This Row],[Т10]]</f>
        <v>2888.0144634316675</v>
      </c>
      <c r="CM68" s="65">
        <f>Таблица1[[#This Row],[Т12]]-Таблица1[[#This Row],[Т9]]</f>
        <v>9646.693069529254</v>
      </c>
      <c r="CN68" s="65">
        <f>Таблица1[[#This Row],[Т12]]-Таблица1[[#This Row],[Т8]]</f>
        <v>10085.981722213328</v>
      </c>
      <c r="CO68" s="65">
        <f>Таблица1[[#This Row],[Т12]]-Таблица1[[#This Row],[Т7]]</f>
        <v>10836.081722213421</v>
      </c>
      <c r="CP68" s="65">
        <f>Таблица1[[#This Row],[Т12]]-Таблица1[[#This Row],[Т6]]</f>
        <v>11963.166982745286</v>
      </c>
      <c r="CQ68" s="65">
        <f>Таблица1[[#This Row],[Т12]]-Таблица1[[#This Row],[Т5]]</f>
        <v>13807.826985455584</v>
      </c>
      <c r="CR68" s="65">
        <f>Таблица1[[#This Row],[Т12]]-Таблица1[[#This Row],[Т4]]</f>
        <v>14934.834453874268</v>
      </c>
      <c r="CS68" s="65">
        <f>Таблица1[[#This Row],[Т12]]-Таблица1[[#This Row],[Т3]]</f>
        <v>18656.834453874268</v>
      </c>
      <c r="CT68" s="65">
        <f>Таблица1[[#This Row],[Т12]]-Таблица1[[#This Row],[Т2]]</f>
        <v>19721.004109384958</v>
      </c>
      <c r="CU68" s="65">
        <f>Таблица1[[#This Row],[Т12]]-Таблица1[[#This Row],[Т1]]</f>
        <v>21607.303925751708</v>
      </c>
      <c r="CV68" s="65">
        <f>Таблица1[[#This Row],[Lкан_леб,мм]]+Таблица1[[#This Row],[Lкан_дуг, мм]]+Таблица1[[#This Row],[Lкан_прям, мм]]</f>
        <v>3528386.841860381</v>
      </c>
      <c r="CW68" s="60">
        <f>3511128.4-(Таблица1[[#This Row],[Lкан_леб,мм]]+Таблица1[[#This Row],[∆Lлеб из за стрел]])</f>
        <v>4348.8620653711259</v>
      </c>
    </row>
    <row r="69" spans="1:101" x14ac:dyDescent="0.25">
      <c r="A69">
        <v>68</v>
      </c>
      <c r="B69">
        <v>84.174496644295132</v>
      </c>
      <c r="C69">
        <v>5.8355033557048621</v>
      </c>
      <c r="D69">
        <v>37.858719556741363</v>
      </c>
      <c r="E69">
        <v>6516.9492787958206</v>
      </c>
      <c r="F69">
        <v>755.49187724984267</v>
      </c>
      <c r="G69">
        <v>5754.0745177901699</v>
      </c>
      <c r="H69">
        <v>755.35822955674155</v>
      </c>
      <c r="I69">
        <v>5195.2698325230795</v>
      </c>
      <c r="J69">
        <v>1321.679446272741</v>
      </c>
      <c r="K69">
        <v>16224.359491024956</v>
      </c>
      <c r="L69">
        <v>5333.2173110330295</v>
      </c>
      <c r="M69">
        <v>3506829.2650583228</v>
      </c>
      <c r="N69">
        <v>0</v>
      </c>
      <c r="O69">
        <v>8</v>
      </c>
      <c r="P69">
        <v>-3322.5</v>
      </c>
      <c r="Q69">
        <v>-2811.96</v>
      </c>
      <c r="R69">
        <v>-3280</v>
      </c>
      <c r="S69">
        <v>-914.66</v>
      </c>
      <c r="T69">
        <v>-7002</v>
      </c>
      <c r="U69">
        <v>520.34</v>
      </c>
      <c r="V69">
        <v>-7002.1</v>
      </c>
      <c r="W69">
        <v>2365</v>
      </c>
      <c r="X69">
        <v>-6252</v>
      </c>
      <c r="Y69">
        <v>3800</v>
      </c>
      <c r="Z69">
        <v>37.858719556741363</v>
      </c>
      <c r="AA69">
        <v>6516.9492787958206</v>
      </c>
      <c r="AB69">
        <v>0</v>
      </c>
      <c r="AC69">
        <v>1064.1696555107644</v>
      </c>
      <c r="AD69">
        <v>1127.0074684186504</v>
      </c>
      <c r="AE69">
        <v>1127.0852605320265</v>
      </c>
      <c r="AF69">
        <v>443.95428376247509</v>
      </c>
      <c r="AG69">
        <v>1571.000642809114</v>
      </c>
      <c r="AH69">
        <v>1886.2998163666878</v>
      </c>
      <c r="AI69">
        <v>3721.9999999999995</v>
      </c>
      <c r="AJ69">
        <v>1844.6600027105269</v>
      </c>
      <c r="AK69">
        <v>750.10000000000059</v>
      </c>
      <c r="AL69">
        <v>6699.620220246301</v>
      </c>
      <c r="AM69">
        <v>1321.6794517014366</v>
      </c>
      <c r="AN69">
        <v>-95.021003558665456</v>
      </c>
      <c r="AO69">
        <v>-180</v>
      </c>
      <c r="AP69">
        <v>-90.003106034687008</v>
      </c>
      <c r="AQ69">
        <v>1.2722218725854067E-14</v>
      </c>
      <c r="AR69">
        <v>-35.451856106401593</v>
      </c>
      <c r="AS69">
        <v>89.999999566492619</v>
      </c>
      <c r="AT69">
        <v>-2400.1625746957502</v>
      </c>
      <c r="AU69">
        <v>-3280</v>
      </c>
      <c r="AV69">
        <v>-7719.4999989457119</v>
      </c>
      <c r="AW69">
        <v>-7002.1</v>
      </c>
      <c r="AX69">
        <v>-5835.8366011304761</v>
      </c>
      <c r="AY69">
        <v>755.35871955674133</v>
      </c>
      <c r="AZ69">
        <v>-2730.9252207921031</v>
      </c>
      <c r="BA69">
        <v>-197.16</v>
      </c>
      <c r="BB69">
        <v>520.3011039433311</v>
      </c>
      <c r="BC69">
        <v>3082.5000000000005</v>
      </c>
      <c r="BD69">
        <v>3215.5222198908109</v>
      </c>
      <c r="BE69">
        <v>6516.9492842245199</v>
      </c>
      <c r="BF69">
        <v>-2565.2532760267472</v>
      </c>
      <c r="BG69">
        <v>-7002</v>
      </c>
      <c r="BH69">
        <v>-7719.5999989457123</v>
      </c>
      <c r="BI69">
        <v>-6252</v>
      </c>
      <c r="BJ69">
        <v>-378.30467931278224</v>
      </c>
      <c r="BK69">
        <v>755.35872955674154</v>
      </c>
      <c r="BL69">
        <v>-851.86373761518519</v>
      </c>
      <c r="BM69">
        <v>-197.16</v>
      </c>
      <c r="BN69">
        <v>2364.9611039433312</v>
      </c>
      <c r="BO69">
        <v>3082.5000000000005</v>
      </c>
      <c r="BP69">
        <v>7101.4270589050102</v>
      </c>
      <c r="BQ69">
        <v>5195.2698325230831</v>
      </c>
      <c r="BR69">
        <v>0</v>
      </c>
      <c r="BS69">
        <v>84.97899644133453</v>
      </c>
      <c r="BT69">
        <v>89.996893965312992</v>
      </c>
      <c r="BU69">
        <v>90.003106034687022</v>
      </c>
      <c r="BV69">
        <v>35.451856106401607</v>
      </c>
      <c r="BW69">
        <v>125.45185567289421</v>
      </c>
      <c r="BX69" s="69">
        <f>Таблица1[[#This Row],[Lкан_леб,мм]]</f>
        <v>3506829.2650583228</v>
      </c>
      <c r="BY69" s="65">
        <f>Таблица1[[#This Row],[Т1]]+Таблица1[[#This Row],[Lпрям1, мм]]</f>
        <v>3508715.5648746896</v>
      </c>
      <c r="BZ69" s="65">
        <f>Таблица1[[#This Row],[Т2]]+Таблица1[[#This Row],[Lдуг 2,мм]]</f>
        <v>3509779.7345302003</v>
      </c>
      <c r="CA69" s="65">
        <f>Таблица1[[#This Row],[Т3]]+Таблица1[[#This Row],[Lпрям2, мм]]</f>
        <v>3513501.7345302003</v>
      </c>
      <c r="CB69" s="65">
        <f>Таблица1[[#This Row],[Т4]]+Таблица1[[#This Row],[Lдуг 3,мм]]</f>
        <v>3514628.7419986189</v>
      </c>
      <c r="CC69" s="65">
        <f>Таблица1[[#This Row],[Т5]]+Таблица1[[#This Row],[Lпрям3, мм]]</f>
        <v>3516473.4020013292</v>
      </c>
      <c r="CD69" s="65">
        <f>Таблица1[[#This Row],[Т6]]+Таблица1[[#This Row],[Lдуг 4,мм]]</f>
        <v>3517600.4872618611</v>
      </c>
      <c r="CE69" s="65">
        <f>Таблица1[[#This Row],[Т7]]+Таблица1[[#This Row],[Lпрям4, мм]]</f>
        <v>3518350.5872618612</v>
      </c>
      <c r="CF69" s="72">
        <f>Таблица1[[#This Row],[Т8]]+Таблица1[[#This Row],[Lдуг 5,мм]]</f>
        <v>3518794.5415456234</v>
      </c>
      <c r="CG69" s="65">
        <f>Таблица1[[#This Row],[Т9]]+Таблица1[[#This Row],[Lпрям5, мм]]</f>
        <v>3525494.1617658697</v>
      </c>
      <c r="CH69" s="65">
        <f>Таблица1[[#This Row],[Т10]]+Таблица1[[#This Row],[Lдуг 6,мм]]</f>
        <v>3527065.1624086788</v>
      </c>
      <c r="CI69" s="66">
        <f>Таблица1[[#This Row],[Т11]]+Таблица1[[#This Row],[Lпрям6, мм]]</f>
        <v>3528386.84186038</v>
      </c>
      <c r="CJ69" s="64">
        <f>Таблица1[[#This Row],[Т12]]-Таблица1[[#This Row],[Т12]]</f>
        <v>0</v>
      </c>
      <c r="CK69" s="65">
        <f>Таблица1[[#This Row],[Т12]]-Таблица1[[#This Row],[Т11]]</f>
        <v>1321.6794517012313</v>
      </c>
      <c r="CL69" s="65">
        <f>Таблица1[[#This Row],[Т12]]-Таблица1[[#This Row],[Т10]]</f>
        <v>2892.6800945103168</v>
      </c>
      <c r="CM69" s="65">
        <f>Таблица1[[#This Row],[Т12]]-Таблица1[[#This Row],[Т9]]</f>
        <v>9592.300314756576</v>
      </c>
      <c r="CN69" s="65">
        <f>Таблица1[[#This Row],[Т12]]-Таблица1[[#This Row],[Т8]]</f>
        <v>10036.254598518834</v>
      </c>
      <c r="CO69" s="65">
        <f>Таблица1[[#This Row],[Т12]]-Таблица1[[#This Row],[Т7]]</f>
        <v>10786.354598518927</v>
      </c>
      <c r="CP69" s="65">
        <f>Таблица1[[#This Row],[Т12]]-Таблица1[[#This Row],[Т6]]</f>
        <v>11913.439859050792</v>
      </c>
      <c r="CQ69" s="65">
        <f>Таблица1[[#This Row],[Т12]]-Таблица1[[#This Row],[Т5]]</f>
        <v>13758.099861761089</v>
      </c>
      <c r="CR69" s="65">
        <f>Таблица1[[#This Row],[Т12]]-Таблица1[[#This Row],[Т4]]</f>
        <v>14885.107330179773</v>
      </c>
      <c r="CS69" s="65">
        <f>Таблица1[[#This Row],[Т12]]-Таблица1[[#This Row],[Т3]]</f>
        <v>18607.107330179773</v>
      </c>
      <c r="CT69" s="65">
        <f>Таблица1[[#This Row],[Т12]]-Таблица1[[#This Row],[Т2]]</f>
        <v>19671.276985690463</v>
      </c>
      <c r="CU69" s="65">
        <f>Таблица1[[#This Row],[Т12]]-Таблица1[[#This Row],[Т1]]</f>
        <v>21557.576802057214</v>
      </c>
      <c r="CV69" s="65">
        <f>Таблица1[[#This Row],[Lкан_леб,мм]]+Таблица1[[#This Row],[Lкан_дуг, мм]]+Таблица1[[#This Row],[Lкан_прям, мм]]</f>
        <v>3528386.841860381</v>
      </c>
      <c r="CW69" s="60">
        <f>3511128.4-(Таблица1[[#This Row],[Lкан_леб,мм]]+Таблица1[[#This Row],[∆Lлеб из за стрел]])</f>
        <v>4299.1349416770972</v>
      </c>
    </row>
    <row r="70" spans="1:101" x14ac:dyDescent="0.25">
      <c r="A70">
        <v>69</v>
      </c>
      <c r="B70">
        <v>84.684563758389089</v>
      </c>
      <c r="C70">
        <v>5.3254362416109071</v>
      </c>
      <c r="D70">
        <v>-28.066197428917359</v>
      </c>
      <c r="E70">
        <v>6523.3789708405839</v>
      </c>
      <c r="F70">
        <v>689.56696026418399</v>
      </c>
      <c r="G70">
        <v>5760.5042098349331</v>
      </c>
      <c r="H70">
        <v>689.43331257108275</v>
      </c>
      <c r="I70">
        <v>5201.6995245679918</v>
      </c>
      <c r="J70">
        <v>1321.6794462725918</v>
      </c>
      <c r="K70">
        <v>16165.139860923922</v>
      </c>
      <c r="L70">
        <v>5342.6058217589907</v>
      </c>
      <c r="M70">
        <v>3506879.0961776981</v>
      </c>
      <c r="N70">
        <v>0</v>
      </c>
      <c r="O70">
        <v>8</v>
      </c>
      <c r="P70">
        <v>-3322.5</v>
      </c>
      <c r="Q70">
        <v>-2811.96</v>
      </c>
      <c r="R70">
        <v>-3280</v>
      </c>
      <c r="S70">
        <v>-914.66</v>
      </c>
      <c r="T70">
        <v>-7002</v>
      </c>
      <c r="U70">
        <v>520.34</v>
      </c>
      <c r="V70">
        <v>-7002.1</v>
      </c>
      <c r="W70">
        <v>2365</v>
      </c>
      <c r="X70">
        <v>-6252</v>
      </c>
      <c r="Y70">
        <v>3800</v>
      </c>
      <c r="Z70">
        <v>-28.066197428917359</v>
      </c>
      <c r="AA70">
        <v>6523.3789708405839</v>
      </c>
      <c r="AB70">
        <v>0</v>
      </c>
      <c r="AC70">
        <v>1064.1696555107644</v>
      </c>
      <c r="AD70">
        <v>1127.0074684186504</v>
      </c>
      <c r="AE70">
        <v>1127.0852605320265</v>
      </c>
      <c r="AF70">
        <v>448.6485391254547</v>
      </c>
      <c r="AG70">
        <v>1575.6948981720939</v>
      </c>
      <c r="AH70">
        <v>1886.2998163666878</v>
      </c>
      <c r="AI70">
        <v>3721.9999999999995</v>
      </c>
      <c r="AJ70">
        <v>1844.6600027105269</v>
      </c>
      <c r="AK70">
        <v>750.10000000000059</v>
      </c>
      <c r="AL70">
        <v>6640.4005901454202</v>
      </c>
      <c r="AM70">
        <v>1321.6794517012875</v>
      </c>
      <c r="AN70">
        <v>-95.021003558665456</v>
      </c>
      <c r="AO70">
        <v>-180</v>
      </c>
      <c r="AP70">
        <v>-90.003106034687008</v>
      </c>
      <c r="AQ70">
        <v>1.2722218725854067E-14</v>
      </c>
      <c r="AR70">
        <v>-35.826714671217466</v>
      </c>
      <c r="AS70">
        <v>89.999999566492619</v>
      </c>
      <c r="AT70">
        <v>-2400.1625746957502</v>
      </c>
      <c r="AU70">
        <v>-3280</v>
      </c>
      <c r="AV70">
        <v>-7719.4999989457119</v>
      </c>
      <c r="AW70">
        <v>-7002.1</v>
      </c>
      <c r="AX70">
        <v>-5832.0215798795962</v>
      </c>
      <c r="AY70">
        <v>689.43380257108265</v>
      </c>
      <c r="AZ70">
        <v>-2730.9252207921031</v>
      </c>
      <c r="BA70">
        <v>-197.16</v>
      </c>
      <c r="BB70">
        <v>520.3011039433311</v>
      </c>
      <c r="BC70">
        <v>3082.5000000000005</v>
      </c>
      <c r="BD70">
        <v>3218.2574653395459</v>
      </c>
      <c r="BE70">
        <v>6523.3789762692832</v>
      </c>
      <c r="BF70">
        <v>-2565.2532760267472</v>
      </c>
      <c r="BG70">
        <v>-7002</v>
      </c>
      <c r="BH70">
        <v>-7719.5999989457123</v>
      </c>
      <c r="BI70">
        <v>-6252</v>
      </c>
      <c r="BJ70">
        <v>-448.04461754932117</v>
      </c>
      <c r="BK70">
        <v>689.43381257108274</v>
      </c>
      <c r="BL70">
        <v>-851.86373761518519</v>
      </c>
      <c r="BM70">
        <v>-197.16</v>
      </c>
      <c r="BN70">
        <v>2364.9611039433312</v>
      </c>
      <c r="BO70">
        <v>3082.5000000000005</v>
      </c>
      <c r="BP70">
        <v>7105.121505501038</v>
      </c>
      <c r="BQ70">
        <v>5201.6995245679955</v>
      </c>
      <c r="BR70">
        <v>0</v>
      </c>
      <c r="BS70">
        <v>84.97899644133453</v>
      </c>
      <c r="BT70">
        <v>89.996893965312992</v>
      </c>
      <c r="BU70">
        <v>90.003106034687022</v>
      </c>
      <c r="BV70">
        <v>35.826714671217481</v>
      </c>
      <c r="BW70">
        <v>125.82671423771009</v>
      </c>
      <c r="BX70" s="69">
        <f>Таблица1[[#This Row],[Lкан_леб,мм]]</f>
        <v>3506879.0961776981</v>
      </c>
      <c r="BY70" s="65">
        <f>Таблица1[[#This Row],[Т1]]+Таблица1[[#This Row],[Lпрям1, мм]]</f>
        <v>3508765.3959940649</v>
      </c>
      <c r="BZ70" s="65">
        <f>Таблица1[[#This Row],[Т2]]+Таблица1[[#This Row],[Lдуг 2,мм]]</f>
        <v>3509829.5656495756</v>
      </c>
      <c r="CA70" s="65">
        <f>Таблица1[[#This Row],[Т3]]+Таблица1[[#This Row],[Lпрям2, мм]]</f>
        <v>3513551.5656495756</v>
      </c>
      <c r="CB70" s="65">
        <f>Таблица1[[#This Row],[Т4]]+Таблица1[[#This Row],[Lдуг 3,мм]]</f>
        <v>3514678.5731179942</v>
      </c>
      <c r="CC70" s="65">
        <f>Таблица1[[#This Row],[Т5]]+Таблица1[[#This Row],[Lпрям3, мм]]</f>
        <v>3516523.2331207045</v>
      </c>
      <c r="CD70" s="65">
        <f>Таблица1[[#This Row],[Т6]]+Таблица1[[#This Row],[Lдуг 4,мм]]</f>
        <v>3517650.3183812364</v>
      </c>
      <c r="CE70" s="65">
        <f>Таблица1[[#This Row],[Т7]]+Таблица1[[#This Row],[Lпрям4, мм]]</f>
        <v>3518400.4183812365</v>
      </c>
      <c r="CF70" s="72">
        <f>Таблица1[[#This Row],[Т8]]+Таблица1[[#This Row],[Lдуг 5,мм]]</f>
        <v>3518849.0669203619</v>
      </c>
      <c r="CG70" s="65">
        <f>Таблица1[[#This Row],[Т9]]+Таблица1[[#This Row],[Lпрям5, мм]]</f>
        <v>3525489.4675105074</v>
      </c>
      <c r="CH70" s="65">
        <f>Таблица1[[#This Row],[Т10]]+Таблица1[[#This Row],[Lдуг 6,мм]]</f>
        <v>3527065.1624086797</v>
      </c>
      <c r="CI70" s="66">
        <f>Таблица1[[#This Row],[Т11]]+Таблица1[[#This Row],[Lпрям6, мм]]</f>
        <v>3528386.841860381</v>
      </c>
      <c r="CJ70" s="64">
        <f>Таблица1[[#This Row],[Т12]]-Таблица1[[#This Row],[Т12]]</f>
        <v>0</v>
      </c>
      <c r="CK70" s="65">
        <f>Таблица1[[#This Row],[Т12]]-Таблица1[[#This Row],[Т11]]</f>
        <v>1321.6794517012313</v>
      </c>
      <c r="CL70" s="65">
        <f>Таблица1[[#This Row],[Т12]]-Таблица1[[#This Row],[Т10]]</f>
        <v>2897.374349873513</v>
      </c>
      <c r="CM70" s="65">
        <f>Таблица1[[#This Row],[Т12]]-Таблица1[[#This Row],[Т9]]</f>
        <v>9537.7749400190078</v>
      </c>
      <c r="CN70" s="65">
        <f>Таблица1[[#This Row],[Т12]]-Таблица1[[#This Row],[Т8]]</f>
        <v>9986.4234791444615</v>
      </c>
      <c r="CO70" s="65">
        <f>Таблица1[[#This Row],[Т12]]-Таблица1[[#This Row],[Т7]]</f>
        <v>10736.523479144555</v>
      </c>
      <c r="CP70" s="65">
        <f>Таблица1[[#This Row],[Т12]]-Таблица1[[#This Row],[Т6]]</f>
        <v>11863.60873967642</v>
      </c>
      <c r="CQ70" s="65">
        <f>Таблица1[[#This Row],[Т12]]-Таблица1[[#This Row],[Т5]]</f>
        <v>13708.268742386717</v>
      </c>
      <c r="CR70" s="65">
        <f>Таблица1[[#This Row],[Т12]]-Таблица1[[#This Row],[Т4]]</f>
        <v>14835.276210805401</v>
      </c>
      <c r="CS70" s="65">
        <f>Таблица1[[#This Row],[Т12]]-Таблица1[[#This Row],[Т3]]</f>
        <v>18557.276210805401</v>
      </c>
      <c r="CT70" s="65">
        <f>Таблица1[[#This Row],[Т12]]-Таблица1[[#This Row],[Т2]]</f>
        <v>19621.445866316091</v>
      </c>
      <c r="CU70" s="65">
        <f>Таблица1[[#This Row],[Т12]]-Таблица1[[#This Row],[Т1]]</f>
        <v>21507.745682682842</v>
      </c>
      <c r="CV70" s="65">
        <f>Таблица1[[#This Row],[Lкан_леб,мм]]+Таблица1[[#This Row],[Lкан_дуг, мм]]+Таблица1[[#This Row],[Lкан_прям, мм]]</f>
        <v>3528386.841860381</v>
      </c>
      <c r="CW70" s="60">
        <f>3511128.4-(Таблица1[[#This Row],[Lкан_леб,мм]]+Таблица1[[#This Row],[∆Lлеб из за стрел]])</f>
        <v>4249.3038223017938</v>
      </c>
    </row>
    <row r="71" spans="1:101" x14ac:dyDescent="0.25">
      <c r="A71">
        <v>70</v>
      </c>
      <c r="B71">
        <v>85.194630872483046</v>
      </c>
      <c r="C71">
        <v>4.8153691275169512</v>
      </c>
      <c r="D71">
        <v>-94.045740712609742</v>
      </c>
      <c r="E71">
        <v>6529.2215291357015</v>
      </c>
      <c r="F71">
        <v>623.58741698049153</v>
      </c>
      <c r="G71">
        <v>5766.3467681300508</v>
      </c>
      <c r="H71">
        <v>623.45376928739063</v>
      </c>
      <c r="I71">
        <v>5207.5420828629931</v>
      </c>
      <c r="J71">
        <v>1321.6794462727091</v>
      </c>
      <c r="K71">
        <v>16105.759390378125</v>
      </c>
      <c r="L71">
        <v>5352.0532204194733</v>
      </c>
      <c r="M71">
        <v>3506929.0292495834</v>
      </c>
      <c r="N71">
        <v>0</v>
      </c>
      <c r="O71">
        <v>8</v>
      </c>
      <c r="P71">
        <v>-3322.5</v>
      </c>
      <c r="Q71">
        <v>-2811.96</v>
      </c>
      <c r="R71">
        <v>-3280</v>
      </c>
      <c r="S71">
        <v>-914.66</v>
      </c>
      <c r="T71">
        <v>-7002</v>
      </c>
      <c r="U71">
        <v>520.34</v>
      </c>
      <c r="V71">
        <v>-7002.1</v>
      </c>
      <c r="W71">
        <v>2365</v>
      </c>
      <c r="X71">
        <v>-6252</v>
      </c>
      <c r="Y71">
        <v>3800</v>
      </c>
      <c r="Z71">
        <v>-94.045740712609742</v>
      </c>
      <c r="AA71">
        <v>6529.2215291357015</v>
      </c>
      <c r="AB71">
        <v>0</v>
      </c>
      <c r="AC71">
        <v>1064.1696555107644</v>
      </c>
      <c r="AD71">
        <v>1127.0074684186504</v>
      </c>
      <c r="AE71">
        <v>1127.0852605320265</v>
      </c>
      <c r="AF71">
        <v>453.37223845569673</v>
      </c>
      <c r="AG71">
        <v>1580.4185975023354</v>
      </c>
      <c r="AH71">
        <v>1886.2998163666878</v>
      </c>
      <c r="AI71">
        <v>3721.9999999999995</v>
      </c>
      <c r="AJ71">
        <v>1844.6600027105269</v>
      </c>
      <c r="AK71">
        <v>750.10000000000059</v>
      </c>
      <c r="AL71">
        <v>6581.0201195995087</v>
      </c>
      <c r="AM71">
        <v>1321.6794517014048</v>
      </c>
      <c r="AN71">
        <v>-95.021003558665456</v>
      </c>
      <c r="AO71">
        <v>-180</v>
      </c>
      <c r="AP71">
        <v>-90.003106034687008</v>
      </c>
      <c r="AQ71">
        <v>1.2722218725854067E-14</v>
      </c>
      <c r="AR71">
        <v>-36.203924476529856</v>
      </c>
      <c r="AS71">
        <v>89.999999566492605</v>
      </c>
      <c r="AT71">
        <v>-2400.1625746957502</v>
      </c>
      <c r="AU71">
        <v>-3280</v>
      </c>
      <c r="AV71">
        <v>-7719.4999989457119</v>
      </c>
      <c r="AW71">
        <v>-7002.1</v>
      </c>
      <c r="AX71">
        <v>-5828.2007762597677</v>
      </c>
      <c r="AY71">
        <v>623.4542592873903</v>
      </c>
      <c r="AZ71">
        <v>-2730.9252207921031</v>
      </c>
      <c r="BA71">
        <v>-197.16</v>
      </c>
      <c r="BB71">
        <v>520.3011039433311</v>
      </c>
      <c r="BC71">
        <v>3082.5000000000005</v>
      </c>
      <c r="BD71">
        <v>3221.0350028221246</v>
      </c>
      <c r="BE71">
        <v>6529.2215345644008</v>
      </c>
      <c r="BF71">
        <v>-2565.2532760267472</v>
      </c>
      <c r="BG71">
        <v>-7002</v>
      </c>
      <c r="BH71">
        <v>-7719.5999989457123</v>
      </c>
      <c r="BI71">
        <v>-6252</v>
      </c>
      <c r="BJ71">
        <v>-517.84496445284128</v>
      </c>
      <c r="BK71">
        <v>623.4542692873905</v>
      </c>
      <c r="BL71">
        <v>-851.86373761518519</v>
      </c>
      <c r="BM71">
        <v>-197.16</v>
      </c>
      <c r="BN71">
        <v>2364.9611039433312</v>
      </c>
      <c r="BO71">
        <v>3082.5000000000005</v>
      </c>
      <c r="BP71">
        <v>7108.1865263135769</v>
      </c>
      <c r="BQ71">
        <v>5207.5420828629967</v>
      </c>
      <c r="BR71">
        <v>0</v>
      </c>
      <c r="BS71">
        <v>84.97899644133453</v>
      </c>
      <c r="BT71">
        <v>89.996893965312992</v>
      </c>
      <c r="BU71">
        <v>90.003106034687022</v>
      </c>
      <c r="BV71">
        <v>36.20392447652987</v>
      </c>
      <c r="BW71">
        <v>126.20392404302245</v>
      </c>
      <c r="BX71" s="69">
        <f>Таблица1[[#This Row],[Lкан_леб,мм]]</f>
        <v>3506929.0292495834</v>
      </c>
      <c r="BY71" s="65">
        <f>Таблица1[[#This Row],[Т1]]+Таблица1[[#This Row],[Lпрям1, мм]]</f>
        <v>3508815.3290659501</v>
      </c>
      <c r="BZ71" s="65">
        <f>Таблица1[[#This Row],[Т2]]+Таблица1[[#This Row],[Lдуг 2,мм]]</f>
        <v>3509879.4987214608</v>
      </c>
      <c r="CA71" s="65">
        <f>Таблица1[[#This Row],[Т3]]+Таблица1[[#This Row],[Lпрям2, мм]]</f>
        <v>3513601.4987214608</v>
      </c>
      <c r="CB71" s="65">
        <f>Таблица1[[#This Row],[Т4]]+Таблица1[[#This Row],[Lдуг 3,мм]]</f>
        <v>3514728.5061898795</v>
      </c>
      <c r="CC71" s="65">
        <f>Таблица1[[#This Row],[Т5]]+Таблица1[[#This Row],[Lпрям3, мм]]</f>
        <v>3516573.1661925898</v>
      </c>
      <c r="CD71" s="65">
        <f>Таблица1[[#This Row],[Т6]]+Таблица1[[#This Row],[Lдуг 4,мм]]</f>
        <v>3517700.2514531217</v>
      </c>
      <c r="CE71" s="65">
        <f>Таблица1[[#This Row],[Т7]]+Таблица1[[#This Row],[Lпрям4, мм]]</f>
        <v>3518450.3514531218</v>
      </c>
      <c r="CF71" s="72">
        <f>Таблица1[[#This Row],[Т8]]+Таблица1[[#This Row],[Lдуг 5,мм]]</f>
        <v>3518903.7236915776</v>
      </c>
      <c r="CG71" s="65">
        <f>Таблица1[[#This Row],[Т9]]+Таблица1[[#This Row],[Lпрям5, мм]]</f>
        <v>3525484.7438111771</v>
      </c>
      <c r="CH71" s="65">
        <f>Таблица1[[#This Row],[Т10]]+Таблица1[[#This Row],[Lдуг 6,мм]]</f>
        <v>3527065.1624086793</v>
      </c>
      <c r="CI71" s="66">
        <f>Таблица1[[#This Row],[Т11]]+Таблица1[[#This Row],[Lпрям6, мм]]</f>
        <v>3528386.8418603805</v>
      </c>
      <c r="CJ71" s="64">
        <f>Таблица1[[#This Row],[Т12]]-Таблица1[[#This Row],[Т12]]</f>
        <v>0</v>
      </c>
      <c r="CK71" s="65">
        <f>Таблица1[[#This Row],[Т12]]-Таблица1[[#This Row],[Т11]]</f>
        <v>1321.6794517012313</v>
      </c>
      <c r="CL71" s="65">
        <f>Таблица1[[#This Row],[Т12]]-Таблица1[[#This Row],[Т10]]</f>
        <v>2902.0980492033996</v>
      </c>
      <c r="CM71" s="65">
        <f>Таблица1[[#This Row],[Т12]]-Таблица1[[#This Row],[Т9]]</f>
        <v>9483.1181688029319</v>
      </c>
      <c r="CN71" s="65">
        <f>Таблица1[[#This Row],[Т12]]-Таблица1[[#This Row],[Т8]]</f>
        <v>9936.4904072587378</v>
      </c>
      <c r="CO71" s="65">
        <f>Таблица1[[#This Row],[Т12]]-Таблица1[[#This Row],[Т7]]</f>
        <v>10686.590407258831</v>
      </c>
      <c r="CP71" s="65">
        <f>Таблица1[[#This Row],[Т12]]-Таблица1[[#This Row],[Т6]]</f>
        <v>11813.675667790696</v>
      </c>
      <c r="CQ71" s="65">
        <f>Таблица1[[#This Row],[Т12]]-Таблица1[[#This Row],[Т5]]</f>
        <v>13658.335670500994</v>
      </c>
      <c r="CR71" s="65">
        <f>Таблица1[[#This Row],[Т12]]-Таблица1[[#This Row],[Т4]]</f>
        <v>14785.343138919678</v>
      </c>
      <c r="CS71" s="65">
        <f>Таблица1[[#This Row],[Т12]]-Таблица1[[#This Row],[Т3]]</f>
        <v>18507.343138919678</v>
      </c>
      <c r="CT71" s="65">
        <f>Таблица1[[#This Row],[Т12]]-Таблица1[[#This Row],[Т2]]</f>
        <v>19571.512794430368</v>
      </c>
      <c r="CU71" s="65">
        <f>Таблица1[[#This Row],[Т12]]-Таблица1[[#This Row],[Т1]]</f>
        <v>21457.812610797118</v>
      </c>
      <c r="CV71" s="65">
        <f>Таблица1[[#This Row],[Lкан_леб,мм]]+Таблица1[[#This Row],[Lкан_дуг, мм]]+Таблица1[[#This Row],[Lкан_прям, мм]]</f>
        <v>3528386.841860381</v>
      </c>
      <c r="CW71" s="60">
        <f>3511128.4-(Таблица1[[#This Row],[Lкан_леб,мм]]+Таблица1[[#This Row],[∆Lлеб из за стрел]])</f>
        <v>4199.3707504165359</v>
      </c>
    </row>
    <row r="72" spans="1:101" x14ac:dyDescent="0.25">
      <c r="A72">
        <v>71</v>
      </c>
      <c r="B72">
        <v>85.704697986577003</v>
      </c>
      <c r="C72">
        <v>4.3053020134229953</v>
      </c>
      <c r="D72">
        <v>-160.07468132831471</v>
      </c>
      <c r="E72">
        <v>6534.4764906507053</v>
      </c>
      <c r="F72">
        <v>557.55847636478666</v>
      </c>
      <c r="G72">
        <v>5771.6017296450545</v>
      </c>
      <c r="H72">
        <v>557.42482867168542</v>
      </c>
      <c r="I72">
        <v>5212.7970443777986</v>
      </c>
      <c r="J72">
        <v>1321.6794462729072</v>
      </c>
      <c r="K72">
        <v>16046.218456223978</v>
      </c>
      <c r="L72">
        <v>5361.5612102888626</v>
      </c>
      <c r="M72">
        <v>3506979.0621938682</v>
      </c>
      <c r="N72">
        <v>0</v>
      </c>
      <c r="O72">
        <v>8</v>
      </c>
      <c r="P72">
        <v>-3322.5</v>
      </c>
      <c r="Q72">
        <v>-2811.96</v>
      </c>
      <c r="R72">
        <v>-3280</v>
      </c>
      <c r="S72">
        <v>-914.66</v>
      </c>
      <c r="T72">
        <v>-7002</v>
      </c>
      <c r="U72">
        <v>520.34</v>
      </c>
      <c r="V72">
        <v>-7002.1</v>
      </c>
      <c r="W72">
        <v>2365</v>
      </c>
      <c r="X72">
        <v>-6252</v>
      </c>
      <c r="Y72">
        <v>3800</v>
      </c>
      <c r="Z72">
        <v>-160.07468132831471</v>
      </c>
      <c r="AA72">
        <v>6534.4764906507053</v>
      </c>
      <c r="AB72">
        <v>0</v>
      </c>
      <c r="AC72">
        <v>1064.1696555107644</v>
      </c>
      <c r="AD72">
        <v>1127.0074684186504</v>
      </c>
      <c r="AE72">
        <v>1127.0852605320265</v>
      </c>
      <c r="AF72">
        <v>458.12623339039112</v>
      </c>
      <c r="AG72">
        <v>1585.1725924370303</v>
      </c>
      <c r="AH72">
        <v>1886.2998163666878</v>
      </c>
      <c r="AI72">
        <v>3721.9999999999995</v>
      </c>
      <c r="AJ72">
        <v>1844.6600027105269</v>
      </c>
      <c r="AK72">
        <v>750.10000000000059</v>
      </c>
      <c r="AL72">
        <v>6521.4791854451623</v>
      </c>
      <c r="AM72">
        <v>1321.6794517016028</v>
      </c>
      <c r="AN72">
        <v>-95.021003558665456</v>
      </c>
      <c r="AO72">
        <v>-180</v>
      </c>
      <c r="AP72">
        <v>-90.003106034687008</v>
      </c>
      <c r="AQ72">
        <v>1.2722218725854067E-14</v>
      </c>
      <c r="AR72">
        <v>-36.583553529609382</v>
      </c>
      <c r="AS72">
        <v>89.999999566492619</v>
      </c>
      <c r="AT72">
        <v>-2400.1625746957502</v>
      </c>
      <c r="AU72">
        <v>-3280</v>
      </c>
      <c r="AV72">
        <v>-7719.4999989457119</v>
      </c>
      <c r="AW72">
        <v>-7002.1</v>
      </c>
      <c r="AX72">
        <v>-5824.3740139700913</v>
      </c>
      <c r="AY72">
        <v>557.42531867168532</v>
      </c>
      <c r="AZ72">
        <v>-2730.9252207921031</v>
      </c>
      <c r="BA72">
        <v>-197.16</v>
      </c>
      <c r="BB72">
        <v>520.3011039433311</v>
      </c>
      <c r="BC72">
        <v>3082.5000000000005</v>
      </c>
      <c r="BD72">
        <v>3223.8556898901556</v>
      </c>
      <c r="BE72">
        <v>6534.4764960794046</v>
      </c>
      <c r="BF72">
        <v>-2565.2532760267472</v>
      </c>
      <c r="BG72">
        <v>-7002</v>
      </c>
      <c r="BH72">
        <v>-7719.5999989457123</v>
      </c>
      <c r="BI72">
        <v>-6252</v>
      </c>
      <c r="BJ72">
        <v>-587.70066735822252</v>
      </c>
      <c r="BK72">
        <v>557.42532867168541</v>
      </c>
      <c r="BL72">
        <v>-851.86373761518519</v>
      </c>
      <c r="BM72">
        <v>-197.16</v>
      </c>
      <c r="BN72">
        <v>2364.9611039433312</v>
      </c>
      <c r="BO72">
        <v>3082.5000000000005</v>
      </c>
      <c r="BP72">
        <v>7110.6208007605501</v>
      </c>
      <c r="BQ72">
        <v>5212.7970443778022</v>
      </c>
      <c r="BR72">
        <v>0</v>
      </c>
      <c r="BS72">
        <v>84.97899644133453</v>
      </c>
      <c r="BT72">
        <v>89.996893965312992</v>
      </c>
      <c r="BU72">
        <v>90.003106034687022</v>
      </c>
      <c r="BV72">
        <v>36.583553529609397</v>
      </c>
      <c r="BW72">
        <v>126.58355309610201</v>
      </c>
      <c r="BX72" s="69">
        <f>Таблица1[[#This Row],[Lкан_леб,мм]]</f>
        <v>3506979.0621938682</v>
      </c>
      <c r="BY72" s="65">
        <f>Таблица1[[#This Row],[Т1]]+Таблица1[[#This Row],[Lпрям1, мм]]</f>
        <v>3508865.362010235</v>
      </c>
      <c r="BZ72" s="65">
        <f>Таблица1[[#This Row],[Т2]]+Таблица1[[#This Row],[Lдуг 2,мм]]</f>
        <v>3509929.5316657457</v>
      </c>
      <c r="CA72" s="65">
        <f>Таблица1[[#This Row],[Т3]]+Таблица1[[#This Row],[Lпрям2, мм]]</f>
        <v>3513651.5316657457</v>
      </c>
      <c r="CB72" s="65">
        <f>Таблица1[[#This Row],[Т4]]+Таблица1[[#This Row],[Lдуг 3,мм]]</f>
        <v>3514778.5391341643</v>
      </c>
      <c r="CC72" s="65">
        <f>Таблица1[[#This Row],[Т5]]+Таблица1[[#This Row],[Lпрям3, мм]]</f>
        <v>3516623.1991368746</v>
      </c>
      <c r="CD72" s="65">
        <f>Таблица1[[#This Row],[Т6]]+Таблица1[[#This Row],[Lдуг 4,мм]]</f>
        <v>3517750.2843974065</v>
      </c>
      <c r="CE72" s="65">
        <f>Таблица1[[#This Row],[Т7]]+Таблица1[[#This Row],[Lпрям4, мм]]</f>
        <v>3518500.3843974066</v>
      </c>
      <c r="CF72" s="72">
        <f>Таблица1[[#This Row],[Т8]]+Таблица1[[#This Row],[Lдуг 5,мм]]</f>
        <v>3518958.5106307971</v>
      </c>
      <c r="CG72" s="65">
        <f>Таблица1[[#This Row],[Т9]]+Таблица1[[#This Row],[Lпрям5, мм]]</f>
        <v>3525479.9898162424</v>
      </c>
      <c r="CH72" s="65">
        <f>Таблица1[[#This Row],[Т10]]+Таблица1[[#This Row],[Lдуг 6,мм]]</f>
        <v>3527065.1624086793</v>
      </c>
      <c r="CI72" s="66">
        <f>Таблица1[[#This Row],[Т11]]+Таблица1[[#This Row],[Lпрям6, мм]]</f>
        <v>3528386.841860381</v>
      </c>
      <c r="CJ72" s="64">
        <f>Таблица1[[#This Row],[Т12]]-Таблица1[[#This Row],[Т12]]</f>
        <v>0</v>
      </c>
      <c r="CK72" s="65">
        <f>Таблица1[[#This Row],[Т12]]-Таблица1[[#This Row],[Т11]]</f>
        <v>1321.679451701697</v>
      </c>
      <c r="CL72" s="65">
        <f>Таблица1[[#This Row],[Т12]]-Таблица1[[#This Row],[Т10]]</f>
        <v>2906.8520441385917</v>
      </c>
      <c r="CM72" s="65">
        <f>Таблица1[[#This Row],[Т12]]-Таблица1[[#This Row],[Т9]]</f>
        <v>9428.3312295838259</v>
      </c>
      <c r="CN72" s="65">
        <f>Таблица1[[#This Row],[Т12]]-Таблица1[[#This Row],[Т8]]</f>
        <v>9886.4574629743584</v>
      </c>
      <c r="CO72" s="65">
        <f>Таблица1[[#This Row],[Т12]]-Таблица1[[#This Row],[Т7]]</f>
        <v>10636.557462974451</v>
      </c>
      <c r="CP72" s="65">
        <f>Таблица1[[#This Row],[Т12]]-Таблица1[[#This Row],[Т6]]</f>
        <v>11763.642723506317</v>
      </c>
      <c r="CQ72" s="65">
        <f>Таблица1[[#This Row],[Т12]]-Таблица1[[#This Row],[Т5]]</f>
        <v>13608.302726216614</v>
      </c>
      <c r="CR72" s="65">
        <f>Таблица1[[#This Row],[Т12]]-Таблица1[[#This Row],[Т4]]</f>
        <v>14735.310194635298</v>
      </c>
      <c r="CS72" s="65">
        <f>Таблица1[[#This Row],[Т12]]-Таблица1[[#This Row],[Т3]]</f>
        <v>18457.310194635298</v>
      </c>
      <c r="CT72" s="65">
        <f>Таблица1[[#This Row],[Т12]]-Таблица1[[#This Row],[Т2]]</f>
        <v>19521.479850145988</v>
      </c>
      <c r="CU72" s="65">
        <f>Таблица1[[#This Row],[Т12]]-Таблица1[[#This Row],[Т1]]</f>
        <v>21407.779666512739</v>
      </c>
      <c r="CV72" s="65">
        <f>Таблица1[[#This Row],[Lкан_леб,мм]]+Таблица1[[#This Row],[Lкан_дуг, мм]]+Таблица1[[#This Row],[Lкан_прям, мм]]</f>
        <v>3528386.841860381</v>
      </c>
      <c r="CW72" s="60">
        <f>3511128.4-(Таблица1[[#This Row],[Lкан_леб,мм]]+Таблица1[[#This Row],[∆Lлеб из за стрел]])</f>
        <v>4149.3378061316907</v>
      </c>
    </row>
    <row r="73" spans="1:101" x14ac:dyDescent="0.25">
      <c r="A73">
        <v>72</v>
      </c>
      <c r="B73">
        <v>86.214765100670959</v>
      </c>
      <c r="C73">
        <v>3.795234899329039</v>
      </c>
      <c r="D73">
        <v>-226.14778639520776</v>
      </c>
      <c r="E73">
        <v>6539.1434389229507</v>
      </c>
      <c r="F73">
        <v>491.48537129789355</v>
      </c>
      <c r="G73">
        <v>5776.2686779173</v>
      </c>
      <c r="H73">
        <v>491.35172360479231</v>
      </c>
      <c r="I73">
        <v>5217.4639926502332</v>
      </c>
      <c r="J73">
        <v>1321.6794462727171</v>
      </c>
      <c r="K73">
        <v>15986.517406802828</v>
      </c>
      <c r="L73">
        <v>5371.1315617131313</v>
      </c>
      <c r="M73">
        <v>3507029.192891865</v>
      </c>
      <c r="N73">
        <v>0</v>
      </c>
      <c r="O73">
        <v>8</v>
      </c>
      <c r="P73">
        <v>-3322.5</v>
      </c>
      <c r="Q73">
        <v>-2811.96</v>
      </c>
      <c r="R73">
        <v>-3280</v>
      </c>
      <c r="S73">
        <v>-914.66</v>
      </c>
      <c r="T73">
        <v>-7002</v>
      </c>
      <c r="U73">
        <v>520.34</v>
      </c>
      <c r="V73">
        <v>-7002.1</v>
      </c>
      <c r="W73">
        <v>2365</v>
      </c>
      <c r="X73">
        <v>-6252</v>
      </c>
      <c r="Y73">
        <v>3800</v>
      </c>
      <c r="Z73">
        <v>-226.14778639520776</v>
      </c>
      <c r="AA73">
        <v>6539.1434389229507</v>
      </c>
      <c r="AB73">
        <v>0</v>
      </c>
      <c r="AC73">
        <v>1064.1696555107644</v>
      </c>
      <c r="AD73">
        <v>1127.0074684186504</v>
      </c>
      <c r="AE73">
        <v>1127.0852605320265</v>
      </c>
      <c r="AF73">
        <v>462.91140910252551</v>
      </c>
      <c r="AG73">
        <v>1589.9577681491646</v>
      </c>
      <c r="AH73">
        <v>1886.2998163666878</v>
      </c>
      <c r="AI73">
        <v>3721.9999999999995</v>
      </c>
      <c r="AJ73">
        <v>1844.6600027105269</v>
      </c>
      <c r="AK73">
        <v>750.10000000000059</v>
      </c>
      <c r="AL73">
        <v>6461.7781360242025</v>
      </c>
      <c r="AM73">
        <v>1321.6794517014127</v>
      </c>
      <c r="AN73">
        <v>-95.021003558665456</v>
      </c>
      <c r="AO73">
        <v>-180</v>
      </c>
      <c r="AP73">
        <v>-90.003106034687008</v>
      </c>
      <c r="AQ73">
        <v>1.2722218725854067E-14</v>
      </c>
      <c r="AR73">
        <v>-36.965672515719227</v>
      </c>
      <c r="AS73">
        <v>89.999999566492619</v>
      </c>
      <c r="AT73">
        <v>-2400.1625746957502</v>
      </c>
      <c r="AU73">
        <v>-3280</v>
      </c>
      <c r="AV73">
        <v>-7719.4999989457119</v>
      </c>
      <c r="AW73">
        <v>-7002.1</v>
      </c>
      <c r="AX73">
        <v>-5820.5411110641071</v>
      </c>
      <c r="AY73">
        <v>491.35221360479227</v>
      </c>
      <c r="AZ73">
        <v>-2730.9252207921031</v>
      </c>
      <c r="BA73">
        <v>-197.16</v>
      </c>
      <c r="BB73">
        <v>520.3011039433311</v>
      </c>
      <c r="BC73">
        <v>3082.5000000000005</v>
      </c>
      <c r="BD73">
        <v>3226.7204197268097</v>
      </c>
      <c r="BE73">
        <v>6539.14344435165</v>
      </c>
      <c r="BF73">
        <v>-2565.2532760267472</v>
      </c>
      <c r="BG73">
        <v>-7002</v>
      </c>
      <c r="BH73">
        <v>-7719.5999989457123</v>
      </c>
      <c r="BI73">
        <v>-6252</v>
      </c>
      <c r="BJ73">
        <v>-657.60667533110029</v>
      </c>
      <c r="BK73">
        <v>491.35222360479236</v>
      </c>
      <c r="BL73">
        <v>-851.86373761518519</v>
      </c>
      <c r="BM73">
        <v>-197.16</v>
      </c>
      <c r="BN73">
        <v>2364.9611039433312</v>
      </c>
      <c r="BO73">
        <v>3082.5000000000005</v>
      </c>
      <c r="BP73">
        <v>7112.4230191961415</v>
      </c>
      <c r="BQ73">
        <v>5217.4639926502368</v>
      </c>
      <c r="BR73">
        <v>0</v>
      </c>
      <c r="BS73">
        <v>84.97899644133453</v>
      </c>
      <c r="BT73">
        <v>89.996893965312992</v>
      </c>
      <c r="BU73">
        <v>90.003106034687022</v>
      </c>
      <c r="BV73">
        <v>36.965672515719241</v>
      </c>
      <c r="BW73">
        <v>126.96567208221184</v>
      </c>
      <c r="BX73" s="69">
        <f>Таблица1[[#This Row],[Lкан_леб,мм]]</f>
        <v>3507029.192891865</v>
      </c>
      <c r="BY73" s="65">
        <f>Таблица1[[#This Row],[Т1]]+Таблица1[[#This Row],[Lпрям1, мм]]</f>
        <v>3508915.4927082318</v>
      </c>
      <c r="BZ73" s="65">
        <f>Таблица1[[#This Row],[Т2]]+Таблица1[[#This Row],[Lдуг 2,мм]]</f>
        <v>3509979.6623637425</v>
      </c>
      <c r="CA73" s="65">
        <f>Таблица1[[#This Row],[Т3]]+Таблица1[[#This Row],[Lпрям2, мм]]</f>
        <v>3513701.6623637425</v>
      </c>
      <c r="CB73" s="65">
        <f>Таблица1[[#This Row],[Т4]]+Таблица1[[#This Row],[Lдуг 3,мм]]</f>
        <v>3514828.6698321612</v>
      </c>
      <c r="CC73" s="65">
        <f>Таблица1[[#This Row],[Т5]]+Таблица1[[#This Row],[Lпрям3, мм]]</f>
        <v>3516673.3298348715</v>
      </c>
      <c r="CD73" s="65">
        <f>Таблица1[[#This Row],[Т6]]+Таблица1[[#This Row],[Lдуг 4,мм]]</f>
        <v>3517800.4150954033</v>
      </c>
      <c r="CE73" s="65">
        <f>Таблица1[[#This Row],[Т7]]+Таблица1[[#This Row],[Lпрям4, мм]]</f>
        <v>3518550.5150954034</v>
      </c>
      <c r="CF73" s="72">
        <f>Таблица1[[#This Row],[Т8]]+Таблица1[[#This Row],[Lдуг 5,мм]]</f>
        <v>3519013.4265045058</v>
      </c>
      <c r="CG73" s="65">
        <f>Таблица1[[#This Row],[Т9]]+Таблица1[[#This Row],[Lпрям5, мм]]</f>
        <v>3525475.20464053</v>
      </c>
      <c r="CH73" s="65">
        <f>Таблица1[[#This Row],[Т10]]+Таблица1[[#This Row],[Lдуг 6,мм]]</f>
        <v>3527065.1624086793</v>
      </c>
      <c r="CI73" s="66">
        <f>Таблица1[[#This Row],[Т11]]+Таблица1[[#This Row],[Lпрям6, мм]]</f>
        <v>3528386.8418603805</v>
      </c>
      <c r="CJ73" s="64">
        <f>Таблица1[[#This Row],[Т12]]-Таблица1[[#This Row],[Т12]]</f>
        <v>0</v>
      </c>
      <c r="CK73" s="65">
        <f>Таблица1[[#This Row],[Т12]]-Таблица1[[#This Row],[Т11]]</f>
        <v>1321.6794517012313</v>
      </c>
      <c r="CL73" s="65">
        <f>Таблица1[[#This Row],[Т12]]-Таблица1[[#This Row],[Т10]]</f>
        <v>2911.6372198504396</v>
      </c>
      <c r="CM73" s="65">
        <f>Таблица1[[#This Row],[Т12]]-Таблица1[[#This Row],[Т9]]</f>
        <v>9373.4153558746912</v>
      </c>
      <c r="CN73" s="65">
        <f>Таблица1[[#This Row],[Т12]]-Таблица1[[#This Row],[Т8]]</f>
        <v>9836.3267649770714</v>
      </c>
      <c r="CO73" s="65">
        <f>Таблица1[[#This Row],[Т12]]-Таблица1[[#This Row],[Т7]]</f>
        <v>10586.426764977165</v>
      </c>
      <c r="CP73" s="65">
        <f>Таблица1[[#This Row],[Т12]]-Таблица1[[#This Row],[Т6]]</f>
        <v>11713.51202550903</v>
      </c>
      <c r="CQ73" s="65">
        <f>Таблица1[[#This Row],[Т12]]-Таблица1[[#This Row],[Т5]]</f>
        <v>13558.172028219327</v>
      </c>
      <c r="CR73" s="65">
        <f>Таблица1[[#This Row],[Т12]]-Таблица1[[#This Row],[Т4]]</f>
        <v>14685.179496638011</v>
      </c>
      <c r="CS73" s="65">
        <f>Таблица1[[#This Row],[Т12]]-Таблица1[[#This Row],[Т3]]</f>
        <v>18407.179496638011</v>
      </c>
      <c r="CT73" s="65">
        <f>Таблица1[[#This Row],[Т12]]-Таблица1[[#This Row],[Т2]]</f>
        <v>19471.349152148701</v>
      </c>
      <c r="CU73" s="65">
        <f>Таблица1[[#This Row],[Т12]]-Таблица1[[#This Row],[Т1]]</f>
        <v>21357.648968515452</v>
      </c>
      <c r="CV73" s="65">
        <f>Таблица1[[#This Row],[Lкан_леб,мм]]+Таблица1[[#This Row],[Lкан_дуг, мм]]+Таблица1[[#This Row],[Lкан_прям, мм]]</f>
        <v>3528386.841860381</v>
      </c>
      <c r="CW73" s="60">
        <f>3511128.4-(Таблица1[[#This Row],[Lкан_леб,мм]]+Таблица1[[#This Row],[∆Lлеб из за стрел]])</f>
        <v>4099.2071081348695</v>
      </c>
    </row>
    <row r="74" spans="1:101" x14ac:dyDescent="0.25">
      <c r="A74">
        <v>73</v>
      </c>
      <c r="B74">
        <v>86.724832214764916</v>
      </c>
      <c r="C74">
        <v>3.2851677852350836</v>
      </c>
      <c r="D74">
        <v>-292.25981953237266</v>
      </c>
      <c r="E74">
        <v>6543.2220040906159</v>
      </c>
      <c r="F74">
        <v>425.37333816072862</v>
      </c>
      <c r="G74">
        <v>5780.3472430849642</v>
      </c>
      <c r="H74">
        <v>425.23969046762727</v>
      </c>
      <c r="I74">
        <v>5221.5425578175791</v>
      </c>
      <c r="J74">
        <v>1321.6794462730368</v>
      </c>
      <c r="K74">
        <v>15926.656560342071</v>
      </c>
      <c r="L74">
        <v>5380.7661154638372</v>
      </c>
      <c r="M74">
        <v>3507079.4191845753</v>
      </c>
      <c r="N74">
        <v>0</v>
      </c>
      <c r="O74">
        <v>8</v>
      </c>
      <c r="P74">
        <v>-3322.5</v>
      </c>
      <c r="Q74">
        <v>-2811.96</v>
      </c>
      <c r="R74">
        <v>-3280</v>
      </c>
      <c r="S74">
        <v>-914.66</v>
      </c>
      <c r="T74">
        <v>-7002</v>
      </c>
      <c r="U74">
        <v>520.34</v>
      </c>
      <c r="V74">
        <v>-7002.1</v>
      </c>
      <c r="W74">
        <v>2365</v>
      </c>
      <c r="X74">
        <v>-6252</v>
      </c>
      <c r="Y74">
        <v>3800</v>
      </c>
      <c r="Z74">
        <v>-292.25981953237266</v>
      </c>
      <c r="AA74">
        <v>6543.2220040906159</v>
      </c>
      <c r="AB74">
        <v>0</v>
      </c>
      <c r="AC74">
        <v>1064.1696555107644</v>
      </c>
      <c r="AD74">
        <v>1127.0074684186504</v>
      </c>
      <c r="AE74">
        <v>1127.0852605320265</v>
      </c>
      <c r="AF74">
        <v>467.72868597787834</v>
      </c>
      <c r="AG74">
        <v>1594.7750450245178</v>
      </c>
      <c r="AH74">
        <v>1886.2998163666878</v>
      </c>
      <c r="AI74">
        <v>3721.9999999999995</v>
      </c>
      <c r="AJ74">
        <v>1844.6600027105269</v>
      </c>
      <c r="AK74">
        <v>750.10000000000059</v>
      </c>
      <c r="AL74">
        <v>6401.9172895631218</v>
      </c>
      <c r="AM74">
        <v>1321.6794517017324</v>
      </c>
      <c r="AN74">
        <v>-95.021003558665456</v>
      </c>
      <c r="AO74">
        <v>-180</v>
      </c>
      <c r="AP74">
        <v>-90.003106034687008</v>
      </c>
      <c r="AQ74">
        <v>1.2722218725854067E-14</v>
      </c>
      <c r="AR74">
        <v>-37.350354932030982</v>
      </c>
      <c r="AS74">
        <v>89.999999566492633</v>
      </c>
      <c r="AT74">
        <v>-2400.1625746957502</v>
      </c>
      <c r="AU74">
        <v>-3280</v>
      </c>
      <c r="AV74">
        <v>-7719.4999989457119</v>
      </c>
      <c r="AW74">
        <v>-7002.1</v>
      </c>
      <c r="AX74">
        <v>-5816.7018798588633</v>
      </c>
      <c r="AY74">
        <v>425.24018046762734</v>
      </c>
      <c r="AZ74">
        <v>-2730.9252207921031</v>
      </c>
      <c r="BA74">
        <v>-197.16</v>
      </c>
      <c r="BB74">
        <v>520.3011039433311</v>
      </c>
      <c r="BC74">
        <v>3082.5000000000005</v>
      </c>
      <c r="BD74">
        <v>3229.6301229889564</v>
      </c>
      <c r="BE74">
        <v>6543.2220095193152</v>
      </c>
      <c r="BF74">
        <v>-2565.2532760267472</v>
      </c>
      <c r="BG74">
        <v>-7002</v>
      </c>
      <c r="BH74">
        <v>-7719.5999989457123</v>
      </c>
      <c r="BI74">
        <v>-6252</v>
      </c>
      <c r="BJ74">
        <v>-727.55793967350883</v>
      </c>
      <c r="BK74">
        <v>425.24019046762726</v>
      </c>
      <c r="BL74">
        <v>-851.86373761518519</v>
      </c>
      <c r="BM74">
        <v>-197.16</v>
      </c>
      <c r="BN74">
        <v>2364.9611039433312</v>
      </c>
      <c r="BO74">
        <v>3082.5000000000005</v>
      </c>
      <c r="BP74">
        <v>7113.5918811016591</v>
      </c>
      <c r="BQ74">
        <v>5221.5425578175827</v>
      </c>
      <c r="BR74">
        <v>0</v>
      </c>
      <c r="BS74">
        <v>84.97899644133453</v>
      </c>
      <c r="BT74">
        <v>89.996893965312992</v>
      </c>
      <c r="BU74">
        <v>90.003106034687022</v>
      </c>
      <c r="BV74">
        <v>37.350354932030996</v>
      </c>
      <c r="BW74">
        <v>127.35035449852361</v>
      </c>
      <c r="BX74" s="69">
        <f>Таблица1[[#This Row],[Lкан_леб,мм]]</f>
        <v>3507079.4191845753</v>
      </c>
      <c r="BY74" s="65">
        <f>Таблица1[[#This Row],[Т1]]+Таблица1[[#This Row],[Lпрям1, мм]]</f>
        <v>3508965.7190009421</v>
      </c>
      <c r="BZ74" s="65">
        <f>Таблица1[[#This Row],[Т2]]+Таблица1[[#This Row],[Lдуг 2,мм]]</f>
        <v>3510029.8886564528</v>
      </c>
      <c r="CA74" s="65">
        <f>Таблица1[[#This Row],[Т3]]+Таблица1[[#This Row],[Lпрям2, мм]]</f>
        <v>3513751.8886564528</v>
      </c>
      <c r="CB74" s="65">
        <f>Таблица1[[#This Row],[Т4]]+Таблица1[[#This Row],[Lдуг 3,мм]]</f>
        <v>3514878.8961248714</v>
      </c>
      <c r="CC74" s="65">
        <f>Таблица1[[#This Row],[Т5]]+Таблица1[[#This Row],[Lпрям3, мм]]</f>
        <v>3516723.5561275817</v>
      </c>
      <c r="CD74" s="65">
        <f>Таблица1[[#This Row],[Т6]]+Таблица1[[#This Row],[Lдуг 4,мм]]</f>
        <v>3517850.6413881136</v>
      </c>
      <c r="CE74" s="65">
        <f>Таблица1[[#This Row],[Т7]]+Таблица1[[#This Row],[Lпрям4, мм]]</f>
        <v>3518600.7413881137</v>
      </c>
      <c r="CF74" s="72">
        <f>Таблица1[[#This Row],[Т8]]+Таблица1[[#This Row],[Lдуг 5,мм]]</f>
        <v>3519068.4700740916</v>
      </c>
      <c r="CG74" s="65">
        <f>Таблица1[[#This Row],[Т9]]+Таблица1[[#This Row],[Lпрям5, мм]]</f>
        <v>3525470.3873636546</v>
      </c>
      <c r="CH74" s="65">
        <f>Таблица1[[#This Row],[Т10]]+Таблица1[[#This Row],[Lдуг 6,мм]]</f>
        <v>3527065.1624086793</v>
      </c>
      <c r="CI74" s="66">
        <f>Таблица1[[#This Row],[Т11]]+Таблица1[[#This Row],[Lпрям6, мм]]</f>
        <v>3528386.841860381</v>
      </c>
      <c r="CJ74" s="64">
        <f>Таблица1[[#This Row],[Т12]]-Таблица1[[#This Row],[Т12]]</f>
        <v>0</v>
      </c>
      <c r="CK74" s="65">
        <f>Таблица1[[#This Row],[Т12]]-Таблица1[[#This Row],[Т11]]</f>
        <v>1321.679451701697</v>
      </c>
      <c r="CL74" s="65">
        <f>Таблица1[[#This Row],[Т12]]-Таблица1[[#This Row],[Т10]]</f>
        <v>2916.4544967263937</v>
      </c>
      <c r="CM74" s="65">
        <f>Таблица1[[#This Row],[Т12]]-Таблица1[[#This Row],[Т9]]</f>
        <v>9318.3717862893827</v>
      </c>
      <c r="CN74" s="65">
        <f>Таблица1[[#This Row],[Т12]]-Таблица1[[#This Row],[Т8]]</f>
        <v>9786.1004722672515</v>
      </c>
      <c r="CO74" s="65">
        <f>Таблица1[[#This Row],[Т12]]-Таблица1[[#This Row],[Т7]]</f>
        <v>10536.200472267345</v>
      </c>
      <c r="CP74" s="65">
        <f>Таблица1[[#This Row],[Т12]]-Таблица1[[#This Row],[Т6]]</f>
        <v>11663.28573279921</v>
      </c>
      <c r="CQ74" s="65">
        <f>Таблица1[[#This Row],[Т12]]-Таблица1[[#This Row],[Т5]]</f>
        <v>13507.945735509507</v>
      </c>
      <c r="CR74" s="65">
        <f>Таблица1[[#This Row],[Т12]]-Таблица1[[#This Row],[Т4]]</f>
        <v>14634.953203928191</v>
      </c>
      <c r="CS74" s="65">
        <f>Таблица1[[#This Row],[Т12]]-Таблица1[[#This Row],[Т3]]</f>
        <v>18356.953203928191</v>
      </c>
      <c r="CT74" s="65">
        <f>Таблица1[[#This Row],[Т12]]-Таблица1[[#This Row],[Т2]]</f>
        <v>19421.122859438881</v>
      </c>
      <c r="CU74" s="65">
        <f>Таблица1[[#This Row],[Т12]]-Таблица1[[#This Row],[Т1]]</f>
        <v>21307.422675805632</v>
      </c>
      <c r="CV74" s="65">
        <f>Таблица1[[#This Row],[Lкан_леб,мм]]+Таблица1[[#This Row],[Lкан_дуг, мм]]+Таблица1[[#This Row],[Lкан_прям, мм]]</f>
        <v>3528386.8418603814</v>
      </c>
      <c r="CW74" s="60">
        <f>3511128.4-(Таблица1[[#This Row],[Lкан_леб,мм]]+Таблица1[[#This Row],[∆Lлеб из за стрел]])</f>
        <v>4048.9808154245839</v>
      </c>
    </row>
    <row r="75" spans="1:101" x14ac:dyDescent="0.25">
      <c r="A75">
        <v>74</v>
      </c>
      <c r="B75">
        <v>87.234899328858873</v>
      </c>
      <c r="C75">
        <v>2.7751006711411277</v>
      </c>
      <c r="D75">
        <v>-358.40554127379249</v>
      </c>
      <c r="E75">
        <v>6546.7118629220222</v>
      </c>
      <c r="F75">
        <v>359.22761641930884</v>
      </c>
      <c r="G75">
        <v>5783.8371019163706</v>
      </c>
      <c r="H75">
        <v>359.09396872620772</v>
      </c>
      <c r="I75">
        <v>5225.032416649341</v>
      </c>
      <c r="J75">
        <v>1321.6794462726807</v>
      </c>
      <c r="K75">
        <v>15866.63620323065</v>
      </c>
      <c r="L75">
        <v>5390.4667862969281</v>
      </c>
      <c r="M75">
        <v>3507129.7388708536</v>
      </c>
      <c r="N75">
        <v>0</v>
      </c>
      <c r="O75">
        <v>8</v>
      </c>
      <c r="P75">
        <v>-3322.5</v>
      </c>
      <c r="Q75">
        <v>-2811.96</v>
      </c>
      <c r="R75">
        <v>-3280</v>
      </c>
      <c r="S75">
        <v>-914.66</v>
      </c>
      <c r="T75">
        <v>-7002</v>
      </c>
      <c r="U75">
        <v>520.34</v>
      </c>
      <c r="V75">
        <v>-7002.1</v>
      </c>
      <c r="W75">
        <v>2365</v>
      </c>
      <c r="X75">
        <v>-6252</v>
      </c>
      <c r="Y75">
        <v>3800</v>
      </c>
      <c r="Z75">
        <v>-358.40554127379249</v>
      </c>
      <c r="AA75">
        <v>6546.7118629220222</v>
      </c>
      <c r="AB75">
        <v>0</v>
      </c>
      <c r="AC75">
        <v>1064.1696555107644</v>
      </c>
      <c r="AD75">
        <v>1127.0074684186504</v>
      </c>
      <c r="AE75">
        <v>1127.0852605320265</v>
      </c>
      <c r="AF75">
        <v>472.57902139442376</v>
      </c>
      <c r="AG75">
        <v>1599.6253804410626</v>
      </c>
      <c r="AH75">
        <v>1886.2998163666878</v>
      </c>
      <c r="AI75">
        <v>3721.9999999999995</v>
      </c>
      <c r="AJ75">
        <v>1844.6600027105269</v>
      </c>
      <c r="AK75">
        <v>750.10000000000059</v>
      </c>
      <c r="AL75">
        <v>6341.8969324520576</v>
      </c>
      <c r="AM75">
        <v>1321.6794517013764</v>
      </c>
      <c r="AN75">
        <v>-95.021003558665456</v>
      </c>
      <c r="AO75">
        <v>-180</v>
      </c>
      <c r="AP75">
        <v>-90.003106034687008</v>
      </c>
      <c r="AQ75">
        <v>1.2722218725854067E-14</v>
      </c>
      <c r="AR75">
        <v>-37.737677229718614</v>
      </c>
      <c r="AS75">
        <v>89.999999566492605</v>
      </c>
      <c r="AT75">
        <v>-2400.1625746957502</v>
      </c>
      <c r="AU75">
        <v>-3280</v>
      </c>
      <c r="AV75">
        <v>-7719.4999989457119</v>
      </c>
      <c r="AW75">
        <v>-7002.1</v>
      </c>
      <c r="AX75">
        <v>-5812.8561268498997</v>
      </c>
      <c r="AY75">
        <v>359.09445872620756</v>
      </c>
      <c r="AZ75">
        <v>-2730.9252207921031</v>
      </c>
      <c r="BA75">
        <v>-197.16</v>
      </c>
      <c r="BB75">
        <v>520.3011039433311</v>
      </c>
      <c r="BC75">
        <v>3082.5000000000005</v>
      </c>
      <c r="BD75">
        <v>3232.5857697636334</v>
      </c>
      <c r="BE75">
        <v>6546.7118683507215</v>
      </c>
      <c r="BF75">
        <v>-2565.2532760267472</v>
      </c>
      <c r="BG75">
        <v>-7002</v>
      </c>
      <c r="BH75">
        <v>-7719.5999989457123</v>
      </c>
      <c r="BI75">
        <v>-6252</v>
      </c>
      <c r="BJ75">
        <v>-797.54941442389281</v>
      </c>
      <c r="BK75">
        <v>359.09446872620777</v>
      </c>
      <c r="BL75">
        <v>-851.86373761518519</v>
      </c>
      <c r="BM75">
        <v>-197.16</v>
      </c>
      <c r="BN75">
        <v>2364.9611039433312</v>
      </c>
      <c r="BO75">
        <v>3082.5000000000005</v>
      </c>
      <c r="BP75">
        <v>7114.1260931583884</v>
      </c>
      <c r="BQ75">
        <v>5225.0324166493447</v>
      </c>
      <c r="BR75">
        <v>0</v>
      </c>
      <c r="BS75">
        <v>84.97899644133453</v>
      </c>
      <c r="BT75">
        <v>89.996893965312992</v>
      </c>
      <c r="BU75">
        <v>90.003106034687022</v>
      </c>
      <c r="BV75">
        <v>37.737677229718628</v>
      </c>
      <c r="BW75">
        <v>127.73767679621122</v>
      </c>
      <c r="BX75" s="69">
        <f>Таблица1[[#This Row],[Lкан_леб,мм]]</f>
        <v>3507129.7388708536</v>
      </c>
      <c r="BY75" s="65">
        <f>Таблица1[[#This Row],[Т1]]+Таблица1[[#This Row],[Lпрям1, мм]]</f>
        <v>3509016.0386872203</v>
      </c>
      <c r="BZ75" s="65">
        <f>Таблица1[[#This Row],[Т2]]+Таблица1[[#This Row],[Lдуг 2,мм]]</f>
        <v>3510080.208342731</v>
      </c>
      <c r="CA75" s="65">
        <f>Таблица1[[#This Row],[Т3]]+Таблица1[[#This Row],[Lпрям2, мм]]</f>
        <v>3513802.208342731</v>
      </c>
      <c r="CB75" s="65">
        <f>Таблица1[[#This Row],[Т4]]+Таблица1[[#This Row],[Lдуг 3,мм]]</f>
        <v>3514929.2158111497</v>
      </c>
      <c r="CC75" s="65">
        <f>Таблица1[[#This Row],[Т5]]+Таблица1[[#This Row],[Lпрям3, мм]]</f>
        <v>3516773.87581386</v>
      </c>
      <c r="CD75" s="65">
        <f>Таблица1[[#This Row],[Т6]]+Таблица1[[#This Row],[Lдуг 4,мм]]</f>
        <v>3517900.9610743918</v>
      </c>
      <c r="CE75" s="65">
        <f>Таблица1[[#This Row],[Т7]]+Таблица1[[#This Row],[Lпрям4, мм]]</f>
        <v>3518651.0610743919</v>
      </c>
      <c r="CF75" s="72">
        <f>Таблица1[[#This Row],[Т8]]+Таблица1[[#This Row],[Lдуг 5,мм]]</f>
        <v>3519123.6400957862</v>
      </c>
      <c r="CG75" s="65">
        <f>Таблица1[[#This Row],[Т9]]+Таблица1[[#This Row],[Lпрям5, мм]]</f>
        <v>3525465.5370282382</v>
      </c>
      <c r="CH75" s="65">
        <f>Таблица1[[#This Row],[Т10]]+Таблица1[[#This Row],[Lдуг 6,мм]]</f>
        <v>3527065.1624086793</v>
      </c>
      <c r="CI75" s="66">
        <f>Таблица1[[#This Row],[Т11]]+Таблица1[[#This Row],[Lпрям6, мм]]</f>
        <v>3528386.8418603805</v>
      </c>
      <c r="CJ75" s="64">
        <f>Таблица1[[#This Row],[Т12]]-Таблица1[[#This Row],[Т12]]</f>
        <v>0</v>
      </c>
      <c r="CK75" s="65">
        <f>Таблица1[[#This Row],[Т12]]-Таблица1[[#This Row],[Т11]]</f>
        <v>1321.6794517012313</v>
      </c>
      <c r="CL75" s="65">
        <f>Таблица1[[#This Row],[Т12]]-Таблица1[[#This Row],[Т10]]</f>
        <v>2921.3048321423121</v>
      </c>
      <c r="CM75" s="65">
        <f>Таблица1[[#This Row],[Т12]]-Таблица1[[#This Row],[Т9]]</f>
        <v>9263.2017645942979</v>
      </c>
      <c r="CN75" s="65">
        <f>Таблица1[[#This Row],[Т12]]-Таблица1[[#This Row],[Т8]]</f>
        <v>9735.7807859885506</v>
      </c>
      <c r="CO75" s="65">
        <f>Таблица1[[#This Row],[Т12]]-Таблица1[[#This Row],[Т7]]</f>
        <v>10485.880785988644</v>
      </c>
      <c r="CP75" s="65">
        <f>Таблица1[[#This Row],[Т12]]-Таблица1[[#This Row],[Т6]]</f>
        <v>11612.966046520509</v>
      </c>
      <c r="CQ75" s="65">
        <f>Таблица1[[#This Row],[Т12]]-Таблица1[[#This Row],[Т5]]</f>
        <v>13457.626049230807</v>
      </c>
      <c r="CR75" s="65">
        <f>Таблица1[[#This Row],[Т12]]-Таблица1[[#This Row],[Т4]]</f>
        <v>14584.63351764949</v>
      </c>
      <c r="CS75" s="65">
        <f>Таблица1[[#This Row],[Т12]]-Таблица1[[#This Row],[Т3]]</f>
        <v>18306.63351764949</v>
      </c>
      <c r="CT75" s="65">
        <f>Таблица1[[#This Row],[Т12]]-Таблица1[[#This Row],[Т2]]</f>
        <v>19370.80317316018</v>
      </c>
      <c r="CU75" s="65">
        <f>Таблица1[[#This Row],[Т12]]-Таблица1[[#This Row],[Т1]]</f>
        <v>21257.102989526931</v>
      </c>
      <c r="CV75" s="65">
        <f>Таблица1[[#This Row],[Lкан_леб,мм]]+Таблица1[[#This Row],[Lкан_дуг, мм]]+Таблица1[[#This Row],[Lкан_прям, мм]]</f>
        <v>3528386.8418603814</v>
      </c>
      <c r="CW75" s="60">
        <f>3511128.4-(Таблица1[[#This Row],[Lкан_леб,мм]]+Таблица1[[#This Row],[∆Lлеб из за стрел]])</f>
        <v>3998.6611291463487</v>
      </c>
    </row>
    <row r="76" spans="1:101" x14ac:dyDescent="0.25">
      <c r="A76">
        <v>75</v>
      </c>
      <c r="B76">
        <v>87.74496644295283</v>
      </c>
      <c r="C76">
        <v>2.2650335570471718</v>
      </c>
      <c r="D76">
        <v>-424.57970948358394</v>
      </c>
      <c r="E76">
        <v>6549.6127388412406</v>
      </c>
      <c r="F76">
        <v>293.0534482095174</v>
      </c>
      <c r="G76">
        <v>5786.7379778355898</v>
      </c>
      <c r="H76">
        <v>292.9198005164161</v>
      </c>
      <c r="I76">
        <v>5227.9332925682174</v>
      </c>
      <c r="J76">
        <v>1321.6794462730224</v>
      </c>
      <c r="K76">
        <v>15806.456588194646</v>
      </c>
      <c r="L76">
        <v>5400.2355667312349</v>
      </c>
      <c r="M76">
        <v>3507180.1497054552</v>
      </c>
      <c r="N76">
        <v>0</v>
      </c>
      <c r="O76">
        <v>8</v>
      </c>
      <c r="P76">
        <v>-3322.5</v>
      </c>
      <c r="Q76">
        <v>-2811.96</v>
      </c>
      <c r="R76">
        <v>-3280</v>
      </c>
      <c r="S76">
        <v>-914.66</v>
      </c>
      <c r="T76">
        <v>-7002</v>
      </c>
      <c r="U76">
        <v>520.34</v>
      </c>
      <c r="V76">
        <v>-7002.1</v>
      </c>
      <c r="W76">
        <v>2365</v>
      </c>
      <c r="X76">
        <v>-6252</v>
      </c>
      <c r="Y76">
        <v>3800</v>
      </c>
      <c r="Z76">
        <v>-424.57970948358394</v>
      </c>
      <c r="AA76">
        <v>6549.6127388412406</v>
      </c>
      <c r="AB76">
        <v>0</v>
      </c>
      <c r="AC76">
        <v>1064.1696555107644</v>
      </c>
      <c r="AD76">
        <v>1127.0074684186504</v>
      </c>
      <c r="AE76">
        <v>1127.0852605320265</v>
      </c>
      <c r="AF76">
        <v>477.46341161157682</v>
      </c>
      <c r="AG76">
        <v>1604.5097706582162</v>
      </c>
      <c r="AH76">
        <v>1886.2998163666878</v>
      </c>
      <c r="AI76">
        <v>3721.9999999999995</v>
      </c>
      <c r="AJ76">
        <v>1844.6600027105269</v>
      </c>
      <c r="AK76">
        <v>750.10000000000059</v>
      </c>
      <c r="AL76">
        <v>6281.7173174157124</v>
      </c>
      <c r="AM76">
        <v>1321.6794517017183</v>
      </c>
      <c r="AN76">
        <v>-95.021003558665456</v>
      </c>
      <c r="AO76">
        <v>-180</v>
      </c>
      <c r="AP76">
        <v>-90.003106034687008</v>
      </c>
      <c r="AQ76">
        <v>1.2722218725854067E-14</v>
      </c>
      <c r="AR76">
        <v>-38.127718964823643</v>
      </c>
      <c r="AS76">
        <v>89.999999566492633</v>
      </c>
      <c r="AT76">
        <v>-2400.1625746957502</v>
      </c>
      <c r="AU76">
        <v>-3280</v>
      </c>
      <c r="AV76">
        <v>-7719.4999989457119</v>
      </c>
      <c r="AW76">
        <v>-7002.1</v>
      </c>
      <c r="AX76">
        <v>-5809.003652633377</v>
      </c>
      <c r="AY76">
        <v>292.92029051641612</v>
      </c>
      <c r="AZ76">
        <v>-2730.9252207921031</v>
      </c>
      <c r="BA76">
        <v>-197.16</v>
      </c>
      <c r="BB76">
        <v>520.3011039433311</v>
      </c>
      <c r="BC76">
        <v>3082.5000000000005</v>
      </c>
      <c r="BD76">
        <v>3235.5883716472258</v>
      </c>
      <c r="BE76">
        <v>6549.6127442699399</v>
      </c>
      <c r="BF76">
        <v>-2565.2532760267472</v>
      </c>
      <c r="BG76">
        <v>-7002</v>
      </c>
      <c r="BH76">
        <v>-7719.5999989457123</v>
      </c>
      <c r="BI76">
        <v>-6252</v>
      </c>
      <c r="BJ76">
        <v>-867.57605685020667</v>
      </c>
      <c r="BK76">
        <v>292.92030051641609</v>
      </c>
      <c r="BL76">
        <v>-851.86373761518519</v>
      </c>
      <c r="BM76">
        <v>-197.16</v>
      </c>
      <c r="BN76">
        <v>2364.9611039433312</v>
      </c>
      <c r="BO76">
        <v>3082.5000000000005</v>
      </c>
      <c r="BP76">
        <v>7114.0243671940152</v>
      </c>
      <c r="BQ76">
        <v>5227.9332925682211</v>
      </c>
      <c r="BR76">
        <v>0</v>
      </c>
      <c r="BS76">
        <v>84.97899644133453</v>
      </c>
      <c r="BT76">
        <v>89.996893965312992</v>
      </c>
      <c r="BU76">
        <v>90.003106034687022</v>
      </c>
      <c r="BV76">
        <v>38.127718964823657</v>
      </c>
      <c r="BW76">
        <v>128.1277185313163</v>
      </c>
      <c r="BX76" s="69">
        <f>Таблица1[[#This Row],[Lкан_леб,мм]]</f>
        <v>3507180.1497054552</v>
      </c>
      <c r="BY76" s="65">
        <f>Таблица1[[#This Row],[Т1]]+Таблица1[[#This Row],[Lпрям1, мм]]</f>
        <v>3509066.4495218219</v>
      </c>
      <c r="BZ76" s="65">
        <f>Таблица1[[#This Row],[Т2]]+Таблица1[[#This Row],[Lдуг 2,мм]]</f>
        <v>3510130.6191773326</v>
      </c>
      <c r="CA76" s="65">
        <f>Таблица1[[#This Row],[Т3]]+Таблица1[[#This Row],[Lпрям2, мм]]</f>
        <v>3513852.6191773326</v>
      </c>
      <c r="CB76" s="65">
        <f>Таблица1[[#This Row],[Т4]]+Таблица1[[#This Row],[Lдуг 3,мм]]</f>
        <v>3514979.6266457513</v>
      </c>
      <c r="CC76" s="65">
        <f>Таблица1[[#This Row],[Т5]]+Таблица1[[#This Row],[Lпрям3, мм]]</f>
        <v>3516824.2866484616</v>
      </c>
      <c r="CD76" s="65">
        <f>Таблица1[[#This Row],[Т6]]+Таблица1[[#This Row],[Lдуг 4,мм]]</f>
        <v>3517951.3719089935</v>
      </c>
      <c r="CE76" s="65">
        <f>Таблица1[[#This Row],[Т7]]+Таблица1[[#This Row],[Lпрям4, мм]]</f>
        <v>3518701.4719089936</v>
      </c>
      <c r="CF76" s="72">
        <f>Таблица1[[#This Row],[Т8]]+Таблица1[[#This Row],[Lдуг 5,мм]]</f>
        <v>3519178.9353206051</v>
      </c>
      <c r="CG76" s="65">
        <f>Таблица1[[#This Row],[Т9]]+Таблица1[[#This Row],[Lпрям5, мм]]</f>
        <v>3525460.6526380209</v>
      </c>
      <c r="CH76" s="65">
        <f>Таблица1[[#This Row],[Т10]]+Таблица1[[#This Row],[Lдуг 6,мм]]</f>
        <v>3527065.1624086793</v>
      </c>
      <c r="CI76" s="66">
        <f>Таблица1[[#This Row],[Т11]]+Таблица1[[#This Row],[Lпрям6, мм]]</f>
        <v>3528386.841860381</v>
      </c>
      <c r="CJ76" s="64">
        <f>Таблица1[[#This Row],[Т12]]-Таблица1[[#This Row],[Т12]]</f>
        <v>0</v>
      </c>
      <c r="CK76" s="65">
        <f>Таблица1[[#This Row],[Т12]]-Таблица1[[#This Row],[Т11]]</f>
        <v>1321.679451701697</v>
      </c>
      <c r="CL76" s="65">
        <f>Таблица1[[#This Row],[Т12]]-Таблица1[[#This Row],[Т10]]</f>
        <v>2926.1892223600298</v>
      </c>
      <c r="CM76" s="65">
        <f>Таблица1[[#This Row],[Т12]]-Таблица1[[#This Row],[Т9]]</f>
        <v>9207.9065397758968</v>
      </c>
      <c r="CN76" s="65">
        <f>Таблица1[[#This Row],[Т12]]-Таблица1[[#This Row],[Т8]]</f>
        <v>9685.3699513874017</v>
      </c>
      <c r="CO76" s="65">
        <f>Таблица1[[#This Row],[Т12]]-Таблица1[[#This Row],[Т7]]</f>
        <v>10435.469951387495</v>
      </c>
      <c r="CP76" s="65">
        <f>Таблица1[[#This Row],[Т12]]-Таблица1[[#This Row],[Т6]]</f>
        <v>11562.55521191936</v>
      </c>
      <c r="CQ76" s="65">
        <f>Таблица1[[#This Row],[Т12]]-Таблица1[[#This Row],[Т5]]</f>
        <v>13407.215214629658</v>
      </c>
      <c r="CR76" s="65">
        <f>Таблица1[[#This Row],[Т12]]-Таблица1[[#This Row],[Т4]]</f>
        <v>14534.222683048341</v>
      </c>
      <c r="CS76" s="65">
        <f>Таблица1[[#This Row],[Т12]]-Таблица1[[#This Row],[Т3]]</f>
        <v>18256.222683048341</v>
      </c>
      <c r="CT76" s="65">
        <f>Таблица1[[#This Row],[Т12]]-Таблица1[[#This Row],[Т2]]</f>
        <v>19320.392338559031</v>
      </c>
      <c r="CU76" s="65">
        <f>Таблица1[[#This Row],[Т12]]-Таблица1[[#This Row],[Т1]]</f>
        <v>21206.692154925782</v>
      </c>
      <c r="CV76" s="65">
        <f>Таблица1[[#This Row],[Lкан_леб,мм]]+Таблица1[[#This Row],[Lкан_дуг, мм]]+Таблица1[[#This Row],[Lкан_прям, мм]]</f>
        <v>3528386.841860381</v>
      </c>
      <c r="CW76" s="60">
        <f>3511128.4-(Таблица1[[#This Row],[Lкан_леб,мм]]+Таблица1[[#This Row],[∆Lлеб из за стрел]])</f>
        <v>3948.2502945447341</v>
      </c>
    </row>
    <row r="77" spans="1:101" x14ac:dyDescent="0.25">
      <c r="A77">
        <v>76</v>
      </c>
      <c r="B77">
        <v>88.255033557046787</v>
      </c>
      <c r="C77">
        <v>1.7549664429532157</v>
      </c>
      <c r="D77">
        <v>-490.77707977144343</v>
      </c>
      <c r="E77">
        <v>6551.9244019500229</v>
      </c>
      <c r="F77">
        <v>226.85607792165789</v>
      </c>
      <c r="G77">
        <v>5789.0496409443713</v>
      </c>
      <c r="H77">
        <v>226.72243022855668</v>
      </c>
      <c r="I77">
        <v>5230.2449556770116</v>
      </c>
      <c r="J77">
        <v>1321.6794462730111</v>
      </c>
      <c r="K77">
        <v>15746.117932347019</v>
      </c>
      <c r="L77">
        <v>5410.074531062749</v>
      </c>
      <c r="M77">
        <v>3507230.6493969713</v>
      </c>
      <c r="N77">
        <v>0</v>
      </c>
      <c r="O77">
        <v>8</v>
      </c>
      <c r="P77">
        <v>-3322.5</v>
      </c>
      <c r="Q77">
        <v>-2811.96</v>
      </c>
      <c r="R77">
        <v>-3280</v>
      </c>
      <c r="S77">
        <v>-914.66</v>
      </c>
      <c r="T77">
        <v>-7002</v>
      </c>
      <c r="U77">
        <v>520.34</v>
      </c>
      <c r="V77">
        <v>-7002.1</v>
      </c>
      <c r="W77">
        <v>2365</v>
      </c>
      <c r="X77">
        <v>-6252</v>
      </c>
      <c r="Y77">
        <v>3800</v>
      </c>
      <c r="Z77">
        <v>-490.77707977144343</v>
      </c>
      <c r="AA77">
        <v>6551.9244019500229</v>
      </c>
      <c r="AB77">
        <v>0</v>
      </c>
      <c r="AC77">
        <v>1064.1696555107644</v>
      </c>
      <c r="AD77">
        <v>1127.0074684186504</v>
      </c>
      <c r="AE77">
        <v>1127.0852605320265</v>
      </c>
      <c r="AF77">
        <v>482.38289377733435</v>
      </c>
      <c r="AG77">
        <v>1609.4292528239735</v>
      </c>
      <c r="AH77">
        <v>1886.2998163666878</v>
      </c>
      <c r="AI77">
        <v>3721.9999999999995</v>
      </c>
      <c r="AJ77">
        <v>1844.6600027105269</v>
      </c>
      <c r="AK77">
        <v>750.10000000000059</v>
      </c>
      <c r="AL77">
        <v>6221.3786615680974</v>
      </c>
      <c r="AM77">
        <v>1321.6794517017067</v>
      </c>
      <c r="AN77">
        <v>-95.021003558665456</v>
      </c>
      <c r="AO77">
        <v>-180</v>
      </c>
      <c r="AP77">
        <v>-90.003106034687008</v>
      </c>
      <c r="AQ77">
        <v>1.2722218725854067E-14</v>
      </c>
      <c r="AR77">
        <v>-38.520562958534846</v>
      </c>
      <c r="AS77">
        <v>89.999999566492619</v>
      </c>
      <c r="AT77">
        <v>-2400.1625746957502</v>
      </c>
      <c r="AU77">
        <v>-3280</v>
      </c>
      <c r="AV77">
        <v>-7719.4999989457119</v>
      </c>
      <c r="AW77">
        <v>-7002.1</v>
      </c>
      <c r="AX77">
        <v>-5805.1442518367821</v>
      </c>
      <c r="AY77">
        <v>226.7229202285566</v>
      </c>
      <c r="AZ77">
        <v>-2730.9252207921031</v>
      </c>
      <c r="BA77">
        <v>-197.16</v>
      </c>
      <c r="BB77">
        <v>520.3011039433311</v>
      </c>
      <c r="BC77">
        <v>3082.5000000000005</v>
      </c>
      <c r="BD77">
        <v>3238.6389839564113</v>
      </c>
      <c r="BE77">
        <v>6551.9244073787222</v>
      </c>
      <c r="BF77">
        <v>-2565.2532760267472</v>
      </c>
      <c r="BG77">
        <v>-7002</v>
      </c>
      <c r="BH77">
        <v>-7719.5999989457123</v>
      </c>
      <c r="BI77">
        <v>-6252</v>
      </c>
      <c r="BJ77">
        <v>-937.63282793466135</v>
      </c>
      <c r="BK77">
        <v>226.72293022855666</v>
      </c>
      <c r="BL77">
        <v>-851.86373761518519</v>
      </c>
      <c r="BM77">
        <v>-197.16</v>
      </c>
      <c r="BN77">
        <v>2364.9611039433312</v>
      </c>
      <c r="BO77">
        <v>3082.5000000000005</v>
      </c>
      <c r="BP77">
        <v>7113.2854179936121</v>
      </c>
      <c r="BQ77">
        <v>5230.2449556770152</v>
      </c>
      <c r="BR77">
        <v>0</v>
      </c>
      <c r="BS77">
        <v>84.97899644133453</v>
      </c>
      <c r="BT77">
        <v>89.996893965312992</v>
      </c>
      <c r="BU77">
        <v>90.003106034687022</v>
      </c>
      <c r="BV77">
        <v>38.520562958534853</v>
      </c>
      <c r="BW77">
        <v>128.52056252502746</v>
      </c>
      <c r="BX77" s="69">
        <f>Таблица1[[#This Row],[Lкан_леб,мм]]</f>
        <v>3507230.6493969713</v>
      </c>
      <c r="BY77" s="65">
        <f>Таблица1[[#This Row],[Т1]]+Таблица1[[#This Row],[Lпрям1, мм]]</f>
        <v>3509116.9492133381</v>
      </c>
      <c r="BZ77" s="65">
        <f>Таблица1[[#This Row],[Т2]]+Таблица1[[#This Row],[Lдуг 2,мм]]</f>
        <v>3510181.1188688488</v>
      </c>
      <c r="CA77" s="65">
        <f>Таблица1[[#This Row],[Т3]]+Таблица1[[#This Row],[Lпрям2, мм]]</f>
        <v>3513903.1188688488</v>
      </c>
      <c r="CB77" s="65">
        <f>Таблица1[[#This Row],[Т4]]+Таблица1[[#This Row],[Lдуг 3,мм]]</f>
        <v>3515030.1263372675</v>
      </c>
      <c r="CC77" s="65">
        <f>Таблица1[[#This Row],[Т5]]+Таблица1[[#This Row],[Lпрям3, мм]]</f>
        <v>3516874.7863399778</v>
      </c>
      <c r="CD77" s="65">
        <f>Таблица1[[#This Row],[Т6]]+Таблица1[[#This Row],[Lдуг 4,мм]]</f>
        <v>3518001.8716005096</v>
      </c>
      <c r="CE77" s="65">
        <f>Таблица1[[#This Row],[Т7]]+Таблица1[[#This Row],[Lпрям4, мм]]</f>
        <v>3518751.9716005097</v>
      </c>
      <c r="CF77" s="72">
        <f>Таблица1[[#This Row],[Т8]]+Таблица1[[#This Row],[Lдуг 5,мм]]</f>
        <v>3519234.3544942872</v>
      </c>
      <c r="CG77" s="65">
        <f>Таблица1[[#This Row],[Т9]]+Таблица1[[#This Row],[Lпрям5, мм]]</f>
        <v>3525455.7331558554</v>
      </c>
      <c r="CH77" s="65">
        <f>Таблица1[[#This Row],[Т10]]+Таблица1[[#This Row],[Lдуг 6,мм]]</f>
        <v>3527065.1624086793</v>
      </c>
      <c r="CI77" s="66">
        <f>Таблица1[[#This Row],[Т11]]+Таблица1[[#This Row],[Lпрям6, мм]]</f>
        <v>3528386.841860381</v>
      </c>
      <c r="CJ77" s="64">
        <f>Таблица1[[#This Row],[Т12]]-Таблица1[[#This Row],[Т12]]</f>
        <v>0</v>
      </c>
      <c r="CK77" s="65">
        <f>Таблица1[[#This Row],[Т12]]-Таблица1[[#This Row],[Т11]]</f>
        <v>1321.679451701697</v>
      </c>
      <c r="CL77" s="65">
        <f>Таблица1[[#This Row],[Т12]]-Таблица1[[#This Row],[Т10]]</f>
        <v>2931.1087045255117</v>
      </c>
      <c r="CM77" s="65">
        <f>Таблица1[[#This Row],[Т12]]-Таблица1[[#This Row],[Т9]]</f>
        <v>9152.4873660937883</v>
      </c>
      <c r="CN77" s="65">
        <f>Таблица1[[#This Row],[Т12]]-Таблица1[[#This Row],[Т8]]</f>
        <v>9634.8702598712407</v>
      </c>
      <c r="CO77" s="65">
        <f>Таблица1[[#This Row],[Т12]]-Таблица1[[#This Row],[Т7]]</f>
        <v>10384.970259871334</v>
      </c>
      <c r="CP77" s="65">
        <f>Таблица1[[#This Row],[Т12]]-Таблица1[[#This Row],[Т6]]</f>
        <v>11512.055520403199</v>
      </c>
      <c r="CQ77" s="65">
        <f>Таблица1[[#This Row],[Т12]]-Таблица1[[#This Row],[Т5]]</f>
        <v>13356.715523113497</v>
      </c>
      <c r="CR77" s="65">
        <f>Таблица1[[#This Row],[Т12]]-Таблица1[[#This Row],[Т4]]</f>
        <v>14483.72299153218</v>
      </c>
      <c r="CS77" s="65">
        <f>Таблица1[[#This Row],[Т12]]-Таблица1[[#This Row],[Т3]]</f>
        <v>18205.72299153218</v>
      </c>
      <c r="CT77" s="65">
        <f>Таблица1[[#This Row],[Т12]]-Таблица1[[#This Row],[Т2]]</f>
        <v>19269.892647042871</v>
      </c>
      <c r="CU77" s="65">
        <f>Таблица1[[#This Row],[Т12]]-Таблица1[[#This Row],[Т1]]</f>
        <v>21156.192463409621</v>
      </c>
      <c r="CV77" s="65">
        <f>Таблица1[[#This Row],[Lкан_леб,мм]]+Таблица1[[#This Row],[Lкан_дуг, мм]]+Таблица1[[#This Row],[Lкан_прям, мм]]</f>
        <v>3528386.8418603814</v>
      </c>
      <c r="CW77" s="60">
        <f>3511128.4-(Таблица1[[#This Row],[Lкан_леб,мм]]+Таблица1[[#This Row],[∆Lлеб из за стрел]])</f>
        <v>3897.7506030285731</v>
      </c>
    </row>
    <row r="78" spans="1:101" x14ac:dyDescent="0.25">
      <c r="A78">
        <v>77</v>
      </c>
      <c r="B78">
        <v>88.765100671140743</v>
      </c>
      <c r="C78">
        <v>1.2448993288592598</v>
      </c>
      <c r="D78">
        <v>-556.99240590827185</v>
      </c>
      <c r="E78">
        <v>6553.646669046012</v>
      </c>
      <c r="F78">
        <v>160.64075178482943</v>
      </c>
      <c r="G78">
        <v>5790.7719080403604</v>
      </c>
      <c r="H78">
        <v>160.50710409172834</v>
      </c>
      <c r="I78">
        <v>5231.9672227730989</v>
      </c>
      <c r="J78">
        <v>1321.6794462729133</v>
      </c>
      <c r="K78">
        <v>15685.620415120973</v>
      </c>
      <c r="L78">
        <v>5419.9858396321788</v>
      </c>
      <c r="M78">
        <v>3507281.2356056278</v>
      </c>
      <c r="N78">
        <v>0</v>
      </c>
      <c r="O78">
        <v>8</v>
      </c>
      <c r="P78">
        <v>-3322.5</v>
      </c>
      <c r="Q78">
        <v>-2811.96</v>
      </c>
      <c r="R78">
        <v>-3280</v>
      </c>
      <c r="S78">
        <v>-914.66</v>
      </c>
      <c r="T78">
        <v>-7002</v>
      </c>
      <c r="U78">
        <v>520.34</v>
      </c>
      <c r="V78">
        <v>-7002.1</v>
      </c>
      <c r="W78">
        <v>2365</v>
      </c>
      <c r="X78">
        <v>-6252</v>
      </c>
      <c r="Y78">
        <v>3800</v>
      </c>
      <c r="Z78">
        <v>-556.99240590827185</v>
      </c>
      <c r="AA78">
        <v>6553.646669046012</v>
      </c>
      <c r="AB78">
        <v>0</v>
      </c>
      <c r="AC78">
        <v>1064.1696555107644</v>
      </c>
      <c r="AD78">
        <v>1127.0074684186504</v>
      </c>
      <c r="AE78">
        <v>1127.0852605320265</v>
      </c>
      <c r="AF78">
        <v>487.33854806204886</v>
      </c>
      <c r="AG78">
        <v>1614.3849071086881</v>
      </c>
      <c r="AH78">
        <v>1886.2998163666878</v>
      </c>
      <c r="AI78">
        <v>3721.9999999999995</v>
      </c>
      <c r="AJ78">
        <v>1844.6600027105269</v>
      </c>
      <c r="AK78">
        <v>750.10000000000059</v>
      </c>
      <c r="AL78">
        <v>6160.88114434215</v>
      </c>
      <c r="AM78">
        <v>1321.679451701609</v>
      </c>
      <c r="AN78">
        <v>-95.021003558665456</v>
      </c>
      <c r="AO78">
        <v>-180</v>
      </c>
      <c r="AP78">
        <v>-90.003106034687008</v>
      </c>
      <c r="AQ78">
        <v>1.2722218725854067E-14</v>
      </c>
      <c r="AR78">
        <v>-38.916295467580227</v>
      </c>
      <c r="AS78">
        <v>89.999999566492605</v>
      </c>
      <c r="AT78">
        <v>-2400.1625746957502</v>
      </c>
      <c r="AU78">
        <v>-3280</v>
      </c>
      <c r="AV78">
        <v>-7719.4999989457119</v>
      </c>
      <c r="AW78">
        <v>-7002.1</v>
      </c>
      <c r="AX78">
        <v>-5801.2777130597933</v>
      </c>
      <c r="AY78">
        <v>160.50759409172821</v>
      </c>
      <c r="AZ78">
        <v>-2730.9252207921031</v>
      </c>
      <c r="BA78">
        <v>-197.16</v>
      </c>
      <c r="BB78">
        <v>520.3011039433311</v>
      </c>
      <c r="BC78">
        <v>3082.5000000000005</v>
      </c>
      <c r="BD78">
        <v>3241.7387080807143</v>
      </c>
      <c r="BE78">
        <v>6553.6466744747113</v>
      </c>
      <c r="BF78">
        <v>-2565.2532760267472</v>
      </c>
      <c r="BG78">
        <v>-7002</v>
      </c>
      <c r="BH78">
        <v>-7719.5999989457123</v>
      </c>
      <c r="BI78">
        <v>-6252</v>
      </c>
      <c r="BJ78">
        <v>-1007.7146928484781</v>
      </c>
      <c r="BK78">
        <v>160.50760409172833</v>
      </c>
      <c r="BL78">
        <v>-851.86373761518519</v>
      </c>
      <c r="BM78">
        <v>-197.16</v>
      </c>
      <c r="BN78">
        <v>2364.9611039433312</v>
      </c>
      <c r="BO78">
        <v>3082.5000000000005</v>
      </c>
      <c r="BP78">
        <v>7111.9079609652981</v>
      </c>
      <c r="BQ78">
        <v>5231.9672227731025</v>
      </c>
      <c r="BR78">
        <v>0</v>
      </c>
      <c r="BS78">
        <v>84.97899644133453</v>
      </c>
      <c r="BT78">
        <v>89.996893965312992</v>
      </c>
      <c r="BU78">
        <v>90.003106034687022</v>
      </c>
      <c r="BV78">
        <v>38.916295467580241</v>
      </c>
      <c r="BW78">
        <v>128.91629503407285</v>
      </c>
      <c r="BX78" s="69">
        <f>Таблица1[[#This Row],[Lкан_леб,мм]]</f>
        <v>3507281.2356056278</v>
      </c>
      <c r="BY78" s="65">
        <f>Таблица1[[#This Row],[Т1]]+Таблица1[[#This Row],[Lпрям1, мм]]</f>
        <v>3509167.5354219945</v>
      </c>
      <c r="BZ78" s="65">
        <f>Таблица1[[#This Row],[Т2]]+Таблица1[[#This Row],[Lдуг 2,мм]]</f>
        <v>3510231.7050775052</v>
      </c>
      <c r="CA78" s="65">
        <f>Таблица1[[#This Row],[Т3]]+Таблица1[[#This Row],[Lпрям2, мм]]</f>
        <v>3513953.7050775052</v>
      </c>
      <c r="CB78" s="65">
        <f>Таблица1[[#This Row],[Т4]]+Таблица1[[#This Row],[Lдуг 3,мм]]</f>
        <v>3515080.7125459239</v>
      </c>
      <c r="CC78" s="65">
        <f>Таблица1[[#This Row],[Т5]]+Таблица1[[#This Row],[Lпрям3, мм]]</f>
        <v>3516925.3725486342</v>
      </c>
      <c r="CD78" s="65">
        <f>Таблица1[[#This Row],[Т6]]+Таблица1[[#This Row],[Lдуг 4,мм]]</f>
        <v>3518052.4578091661</v>
      </c>
      <c r="CE78" s="65">
        <f>Таблица1[[#This Row],[Т7]]+Таблица1[[#This Row],[Lпрям4, мм]]</f>
        <v>3518802.5578091661</v>
      </c>
      <c r="CF78" s="72">
        <f>Таблица1[[#This Row],[Т8]]+Таблица1[[#This Row],[Lдуг 5,мм]]</f>
        <v>3519289.896357228</v>
      </c>
      <c r="CG78" s="65">
        <f>Таблица1[[#This Row],[Т9]]+Таблица1[[#This Row],[Lпрям5, мм]]</f>
        <v>3525450.7775015701</v>
      </c>
      <c r="CH78" s="65">
        <f>Таблица1[[#This Row],[Т10]]+Таблица1[[#This Row],[Lдуг 6,мм]]</f>
        <v>3527065.1624086788</v>
      </c>
      <c r="CI78" s="66">
        <f>Таблица1[[#This Row],[Т11]]+Таблица1[[#This Row],[Lпрям6, мм]]</f>
        <v>3528386.8418603805</v>
      </c>
      <c r="CJ78" s="64">
        <f>Таблица1[[#This Row],[Т12]]-Таблица1[[#This Row],[Т12]]</f>
        <v>0</v>
      </c>
      <c r="CK78" s="65">
        <f>Таблица1[[#This Row],[Т12]]-Таблица1[[#This Row],[Т11]]</f>
        <v>1321.679451701697</v>
      </c>
      <c r="CL78" s="65">
        <f>Таблица1[[#This Row],[Т12]]-Таблица1[[#This Row],[Т10]]</f>
        <v>2936.0643588104285</v>
      </c>
      <c r="CM78" s="65">
        <f>Таблица1[[#This Row],[Т12]]-Таблица1[[#This Row],[Т9]]</f>
        <v>9096.9455031524412</v>
      </c>
      <c r="CN78" s="65">
        <f>Таблица1[[#This Row],[Т12]]-Таблица1[[#This Row],[Т8]]</f>
        <v>9584.2840512143448</v>
      </c>
      <c r="CO78" s="65">
        <f>Таблица1[[#This Row],[Т12]]-Таблица1[[#This Row],[Т7]]</f>
        <v>10334.384051214438</v>
      </c>
      <c r="CP78" s="65">
        <f>Таблица1[[#This Row],[Т12]]-Таблица1[[#This Row],[Т6]]</f>
        <v>11461.469311746303</v>
      </c>
      <c r="CQ78" s="65">
        <f>Таблица1[[#This Row],[Т12]]-Таблица1[[#This Row],[Т5]]</f>
        <v>13306.129314456601</v>
      </c>
      <c r="CR78" s="65">
        <f>Таблица1[[#This Row],[Т12]]-Таблица1[[#This Row],[Т4]]</f>
        <v>14433.136782875285</v>
      </c>
      <c r="CS78" s="65">
        <f>Таблица1[[#This Row],[Т12]]-Таблица1[[#This Row],[Т3]]</f>
        <v>18155.136782875285</v>
      </c>
      <c r="CT78" s="65">
        <f>Таблица1[[#This Row],[Т12]]-Таблица1[[#This Row],[Т2]]</f>
        <v>19219.306438385975</v>
      </c>
      <c r="CU78" s="65">
        <f>Таблица1[[#This Row],[Т12]]-Таблица1[[#This Row],[Т1]]</f>
        <v>21105.606254752725</v>
      </c>
      <c r="CV78" s="65">
        <f>Таблица1[[#This Row],[Lкан_леб,мм]]+Таблица1[[#This Row],[Lкан_дуг, мм]]+Таблица1[[#This Row],[Lкан_прям, мм]]</f>
        <v>3528386.841860381</v>
      </c>
      <c r="CW78" s="60">
        <f>3511128.4-(Таблица1[[#This Row],[Lкан_леб,мм]]+Таблица1[[#This Row],[∆Lлеб из за стрел]])</f>
        <v>3847.1643943721429</v>
      </c>
    </row>
    <row r="79" spans="1:101" x14ac:dyDescent="0.25">
      <c r="A79">
        <v>78</v>
      </c>
      <c r="B79">
        <v>89.2751677852347</v>
      </c>
      <c r="C79">
        <v>0.73483221476530403</v>
      </c>
      <c r="D79">
        <v>-623.22044024194554</v>
      </c>
      <c r="E79">
        <v>6554.7794036372625</v>
      </c>
      <c r="F79">
        <v>94.412717451155729</v>
      </c>
      <c r="G79">
        <v>5791.9046426316118</v>
      </c>
      <c r="H79">
        <v>94.279069758054646</v>
      </c>
      <c r="I79">
        <v>5233.0999573645777</v>
      </c>
      <c r="J79">
        <v>1321.6794462726841</v>
      </c>
      <c r="K79">
        <v>15624.964176063164</v>
      </c>
      <c r="L79">
        <v>5429.971743364762</v>
      </c>
      <c r="M79">
        <v>3507331.9059409532</v>
      </c>
      <c r="N79">
        <v>0</v>
      </c>
      <c r="O79">
        <v>8</v>
      </c>
      <c r="P79">
        <v>-3322.5</v>
      </c>
      <c r="Q79">
        <v>-2811.96</v>
      </c>
      <c r="R79">
        <v>-3280</v>
      </c>
      <c r="S79">
        <v>-914.66</v>
      </c>
      <c r="T79">
        <v>-7002</v>
      </c>
      <c r="U79">
        <v>520.34</v>
      </c>
      <c r="V79">
        <v>-7002.1</v>
      </c>
      <c r="W79">
        <v>2365</v>
      </c>
      <c r="X79">
        <v>-6252</v>
      </c>
      <c r="Y79">
        <v>3800</v>
      </c>
      <c r="Z79">
        <v>-623.22044024194554</v>
      </c>
      <c r="AA79">
        <v>6554.7794036372625</v>
      </c>
      <c r="AB79">
        <v>0</v>
      </c>
      <c r="AC79">
        <v>1064.1696555107644</v>
      </c>
      <c r="AD79">
        <v>1127.0074684186504</v>
      </c>
      <c r="AE79">
        <v>1127.0852605320265</v>
      </c>
      <c r="AF79">
        <v>492.33149992834058</v>
      </c>
      <c r="AG79">
        <v>1619.3778589749797</v>
      </c>
      <c r="AH79">
        <v>1886.2998163666878</v>
      </c>
      <c r="AI79">
        <v>3721.9999999999995</v>
      </c>
      <c r="AJ79">
        <v>1844.6600027105269</v>
      </c>
      <c r="AK79">
        <v>750.10000000000059</v>
      </c>
      <c r="AL79">
        <v>6100.22490528457</v>
      </c>
      <c r="AM79">
        <v>1321.6794517013798</v>
      </c>
      <c r="AN79">
        <v>-95.021003558665456</v>
      </c>
      <c r="AO79">
        <v>-180</v>
      </c>
      <c r="AP79">
        <v>-90.003106034687008</v>
      </c>
      <c r="AQ79">
        <v>1.2722218725854067E-14</v>
      </c>
      <c r="AR79">
        <v>-39.315006365490305</v>
      </c>
      <c r="AS79">
        <v>89.999999566492619</v>
      </c>
      <c r="AT79">
        <v>-2400.1625746957502</v>
      </c>
      <c r="AU79">
        <v>-3280</v>
      </c>
      <c r="AV79">
        <v>-7719.4999989457119</v>
      </c>
      <c r="AW79">
        <v>-7002.1</v>
      </c>
      <c r="AX79">
        <v>-5797.4038188271488</v>
      </c>
      <c r="AY79">
        <v>94.279559758054461</v>
      </c>
      <c r="AZ79">
        <v>-2730.9252207921031</v>
      </c>
      <c r="BA79">
        <v>-197.16</v>
      </c>
      <c r="BB79">
        <v>520.3011039433311</v>
      </c>
      <c r="BC79">
        <v>3082.5000000000005</v>
      </c>
      <c r="BD79">
        <v>3244.8886939873582</v>
      </c>
      <c r="BE79">
        <v>6554.7794090659618</v>
      </c>
      <c r="BF79">
        <v>-2565.2532760267472</v>
      </c>
      <c r="BG79">
        <v>-7002</v>
      </c>
      <c r="BH79">
        <v>-7719.5999989457123</v>
      </c>
      <c r="BI79">
        <v>-6252</v>
      </c>
      <c r="BJ79">
        <v>-1077.8166214147957</v>
      </c>
      <c r="BK79">
        <v>94.279569758054649</v>
      </c>
      <c r="BL79">
        <v>-851.86373761518519</v>
      </c>
      <c r="BM79">
        <v>-197.16</v>
      </c>
      <c r="BN79">
        <v>2364.9611039433312</v>
      </c>
      <c r="BO79">
        <v>3082.5000000000005</v>
      </c>
      <c r="BP79">
        <v>7109.8907096499042</v>
      </c>
      <c r="BQ79">
        <v>5233.0999573645813</v>
      </c>
      <c r="BR79">
        <v>0</v>
      </c>
      <c r="BS79">
        <v>84.97899644133453</v>
      </c>
      <c r="BT79">
        <v>89.996893965312992</v>
      </c>
      <c r="BU79">
        <v>90.003106034687022</v>
      </c>
      <c r="BV79">
        <v>39.315006365490319</v>
      </c>
      <c r="BW79">
        <v>129.31500593198294</v>
      </c>
      <c r="BX79" s="69">
        <f>Таблица1[[#This Row],[Lкан_леб,мм]]</f>
        <v>3507331.9059409532</v>
      </c>
      <c r="BY79" s="65">
        <f>Таблица1[[#This Row],[Т1]]+Таблица1[[#This Row],[Lпрям1, мм]]</f>
        <v>3509218.2057573199</v>
      </c>
      <c r="BZ79" s="65">
        <f>Таблица1[[#This Row],[Т2]]+Таблица1[[#This Row],[Lдуг 2,мм]]</f>
        <v>3510282.3754128306</v>
      </c>
      <c r="CA79" s="65">
        <f>Таблица1[[#This Row],[Т3]]+Таблица1[[#This Row],[Lпрям2, мм]]</f>
        <v>3514004.3754128306</v>
      </c>
      <c r="CB79" s="65">
        <f>Таблица1[[#This Row],[Т4]]+Таблица1[[#This Row],[Lдуг 3,мм]]</f>
        <v>3515131.3828812493</v>
      </c>
      <c r="CC79" s="65">
        <f>Таблица1[[#This Row],[Т5]]+Таблица1[[#This Row],[Lпрям3, мм]]</f>
        <v>3516976.0428839596</v>
      </c>
      <c r="CD79" s="65">
        <f>Таблица1[[#This Row],[Т6]]+Таблица1[[#This Row],[Lдуг 4,мм]]</f>
        <v>3518103.1281444915</v>
      </c>
      <c r="CE79" s="65">
        <f>Таблица1[[#This Row],[Т7]]+Таблица1[[#This Row],[Lпрям4, мм]]</f>
        <v>3518853.2281444916</v>
      </c>
      <c r="CF79" s="72">
        <f>Таблица1[[#This Row],[Т8]]+Таблица1[[#This Row],[Lдуг 5,мм]]</f>
        <v>3519345.5596444197</v>
      </c>
      <c r="CG79" s="65">
        <f>Таблица1[[#This Row],[Т9]]+Таблица1[[#This Row],[Lпрям5, мм]]</f>
        <v>3525445.7845497043</v>
      </c>
      <c r="CH79" s="65">
        <f>Таблица1[[#This Row],[Т10]]+Таблица1[[#This Row],[Lдуг 6,мм]]</f>
        <v>3527065.1624086793</v>
      </c>
      <c r="CI79" s="66">
        <f>Таблица1[[#This Row],[Т11]]+Таблица1[[#This Row],[Lпрям6, мм]]</f>
        <v>3528386.8418603805</v>
      </c>
      <c r="CJ79" s="64">
        <f>Таблица1[[#This Row],[Т12]]-Таблица1[[#This Row],[Т12]]</f>
        <v>0</v>
      </c>
      <c r="CK79" s="65">
        <f>Таблица1[[#This Row],[Т12]]-Таблица1[[#This Row],[Т11]]</f>
        <v>1321.6794517012313</v>
      </c>
      <c r="CL79" s="65">
        <f>Таблица1[[#This Row],[Т12]]-Таблица1[[#This Row],[Т10]]</f>
        <v>2941.0573106762022</v>
      </c>
      <c r="CM79" s="65">
        <f>Таблица1[[#This Row],[Т12]]-Таблица1[[#This Row],[Т9]]</f>
        <v>9041.2822159607895</v>
      </c>
      <c r="CN79" s="65">
        <f>Таблица1[[#This Row],[Т12]]-Таблица1[[#This Row],[Т8]]</f>
        <v>9533.6137158889323</v>
      </c>
      <c r="CO79" s="65">
        <f>Таблица1[[#This Row],[Т12]]-Таблица1[[#This Row],[Т7]]</f>
        <v>10283.713715889025</v>
      </c>
      <c r="CP79" s="65">
        <f>Таблица1[[#This Row],[Т12]]-Таблица1[[#This Row],[Т6]]</f>
        <v>11410.798976420891</v>
      </c>
      <c r="CQ79" s="65">
        <f>Таблица1[[#This Row],[Т12]]-Таблица1[[#This Row],[Т5]]</f>
        <v>13255.458979131188</v>
      </c>
      <c r="CR79" s="65">
        <f>Таблица1[[#This Row],[Т12]]-Таблица1[[#This Row],[Т4]]</f>
        <v>14382.466447549872</v>
      </c>
      <c r="CS79" s="65">
        <f>Таблица1[[#This Row],[Т12]]-Таблица1[[#This Row],[Т3]]</f>
        <v>18104.466447549872</v>
      </c>
      <c r="CT79" s="65">
        <f>Таблица1[[#This Row],[Т12]]-Таблица1[[#This Row],[Т2]]</f>
        <v>19168.636103060562</v>
      </c>
      <c r="CU79" s="65">
        <f>Таблица1[[#This Row],[Т12]]-Таблица1[[#This Row],[Т1]]</f>
        <v>21054.935919427313</v>
      </c>
      <c r="CV79" s="65">
        <f>Таблица1[[#This Row],[Lкан_леб,мм]]+Таблица1[[#This Row],[Lкан_дуг, мм]]+Таблица1[[#This Row],[Lкан_прям, мм]]</f>
        <v>3528386.841860381</v>
      </c>
      <c r="CW79" s="60">
        <f>3511128.4-(Таблица1[[#This Row],[Lкан_леб,мм]]+Таблица1[[#This Row],[∆Lлеб из за стрел]])</f>
        <v>3796.4940590467304</v>
      </c>
    </row>
    <row r="80" spans="1:101" x14ac:dyDescent="0.25">
      <c r="A80">
        <v>79</v>
      </c>
      <c r="B80">
        <v>89.785234899328657</v>
      </c>
      <c r="C80">
        <v>0.22476510067134822</v>
      </c>
      <c r="D80">
        <v>-689.45593411319942</v>
      </c>
      <c r="E80">
        <v>6555.3225159530621</v>
      </c>
      <c r="F80">
        <v>28.177223579901863</v>
      </c>
      <c r="G80">
        <v>5792.4477549474104</v>
      </c>
      <c r="H80">
        <v>28.043575886800681</v>
      </c>
      <c r="I80">
        <v>5233.6430696805301</v>
      </c>
      <c r="J80">
        <v>1321.6794462725313</v>
      </c>
      <c r="K80">
        <v>15564.149312483705</v>
      </c>
      <c r="L80">
        <v>5440.0345886030191</v>
      </c>
      <c r="M80">
        <v>3507382.657959294</v>
      </c>
      <c r="N80">
        <v>0</v>
      </c>
      <c r="O80">
        <v>8</v>
      </c>
      <c r="P80">
        <v>-3322.5</v>
      </c>
      <c r="Q80">
        <v>-2811.96</v>
      </c>
      <c r="R80">
        <v>-3280</v>
      </c>
      <c r="S80">
        <v>-914.66</v>
      </c>
      <c r="T80">
        <v>-7002</v>
      </c>
      <c r="U80">
        <v>520.34</v>
      </c>
      <c r="V80">
        <v>-7002.1</v>
      </c>
      <c r="W80">
        <v>2365</v>
      </c>
      <c r="X80">
        <v>-6252</v>
      </c>
      <c r="Y80">
        <v>3800</v>
      </c>
      <c r="Z80">
        <v>-689.45593411319942</v>
      </c>
      <c r="AA80">
        <v>6555.3225159530621</v>
      </c>
      <c r="AB80">
        <v>0</v>
      </c>
      <c r="AC80">
        <v>1064.1696555107644</v>
      </c>
      <c r="AD80">
        <v>1127.0074684186504</v>
      </c>
      <c r="AE80">
        <v>1127.0852605320265</v>
      </c>
      <c r="AF80">
        <v>497.36292254746945</v>
      </c>
      <c r="AG80">
        <v>1624.4092815941087</v>
      </c>
      <c r="AH80">
        <v>1886.2998163666878</v>
      </c>
      <c r="AI80">
        <v>3721.9999999999995</v>
      </c>
      <c r="AJ80">
        <v>1844.6600027105269</v>
      </c>
      <c r="AK80">
        <v>750.10000000000059</v>
      </c>
      <c r="AL80">
        <v>6039.4100417052632</v>
      </c>
      <c r="AM80">
        <v>1321.6794517012272</v>
      </c>
      <c r="AN80">
        <v>-95.021003558665456</v>
      </c>
      <c r="AO80">
        <v>-180</v>
      </c>
      <c r="AP80">
        <v>-90.003106034687008</v>
      </c>
      <c r="AQ80">
        <v>1.2722218725854067E-14</v>
      </c>
      <c r="AR80">
        <v>-39.716789335556847</v>
      </c>
      <c r="AS80">
        <v>89.999999566492633</v>
      </c>
      <c r="AT80">
        <v>-2400.1625746957502</v>
      </c>
      <c r="AU80">
        <v>-3280</v>
      </c>
      <c r="AV80">
        <v>-7719.4999989457119</v>
      </c>
      <c r="AW80">
        <v>-7002.1</v>
      </c>
      <c r="AX80">
        <v>-5793.522345555577</v>
      </c>
      <c r="AY80">
        <v>28.044065886800638</v>
      </c>
      <c r="AZ80">
        <v>-2730.9252207921031</v>
      </c>
      <c r="BA80">
        <v>-197.16</v>
      </c>
      <c r="BB80">
        <v>520.3011039433311</v>
      </c>
      <c r="BC80">
        <v>3082.5000000000005</v>
      </c>
      <c r="BD80">
        <v>3248.0901428900361</v>
      </c>
      <c r="BE80">
        <v>6555.3225213817614</v>
      </c>
      <c r="BF80">
        <v>-2565.2532760267472</v>
      </c>
      <c r="BG80">
        <v>-7002</v>
      </c>
      <c r="BH80">
        <v>-7719.5999989457123</v>
      </c>
      <c r="BI80">
        <v>-6252</v>
      </c>
      <c r="BJ80">
        <v>-1147.9335885576218</v>
      </c>
      <c r="BK80">
        <v>28.044075886800684</v>
      </c>
      <c r="BL80">
        <v>-851.86373761518519</v>
      </c>
      <c r="BM80">
        <v>-197.16</v>
      </c>
      <c r="BN80">
        <v>2364.9611039433312</v>
      </c>
      <c r="BO80">
        <v>3082.5000000000005</v>
      </c>
      <c r="BP80">
        <v>7107.2323730630251</v>
      </c>
      <c r="BQ80">
        <v>5233.6430696805337</v>
      </c>
      <c r="BR80">
        <v>0</v>
      </c>
      <c r="BS80">
        <v>84.97899644133453</v>
      </c>
      <c r="BT80">
        <v>89.996893965312992</v>
      </c>
      <c r="BU80">
        <v>90.003106034687022</v>
      </c>
      <c r="BV80">
        <v>39.716789335556861</v>
      </c>
      <c r="BW80">
        <v>129.71678890204947</v>
      </c>
      <c r="BX80" s="69">
        <f>Таблица1[[#This Row],[Lкан_леб,мм]]</f>
        <v>3507382.657959294</v>
      </c>
      <c r="BY80" s="65">
        <f>Таблица1[[#This Row],[Т1]]+Таблица1[[#This Row],[Lпрям1, мм]]</f>
        <v>3509268.9577756608</v>
      </c>
      <c r="BZ80" s="65">
        <f>Таблица1[[#This Row],[Т2]]+Таблица1[[#This Row],[Lдуг 2,мм]]</f>
        <v>3510333.1274311715</v>
      </c>
      <c r="CA80" s="65">
        <f>Таблица1[[#This Row],[Т3]]+Таблица1[[#This Row],[Lпрям2, мм]]</f>
        <v>3514055.1274311715</v>
      </c>
      <c r="CB80" s="65">
        <f>Таблица1[[#This Row],[Т4]]+Таблица1[[#This Row],[Lдуг 3,мм]]</f>
        <v>3515182.1348995902</v>
      </c>
      <c r="CC80" s="65">
        <f>Таблица1[[#This Row],[Т5]]+Таблица1[[#This Row],[Lпрям3, мм]]</f>
        <v>3517026.7949023005</v>
      </c>
      <c r="CD80" s="65">
        <f>Таблица1[[#This Row],[Т6]]+Таблица1[[#This Row],[Lдуг 4,мм]]</f>
        <v>3518153.8801628323</v>
      </c>
      <c r="CE80" s="65">
        <f>Таблица1[[#This Row],[Т7]]+Таблица1[[#This Row],[Lпрям4, мм]]</f>
        <v>3518903.9801628324</v>
      </c>
      <c r="CF80" s="72">
        <f>Таблица1[[#This Row],[Т8]]+Таблица1[[#This Row],[Lдуг 5,мм]]</f>
        <v>3519401.3430853798</v>
      </c>
      <c r="CG80" s="65">
        <f>Таблица1[[#This Row],[Т9]]+Таблица1[[#This Row],[Lпрям5, мм]]</f>
        <v>3525440.753127085</v>
      </c>
      <c r="CH80" s="65">
        <f>Таблица1[[#This Row],[Т10]]+Таблица1[[#This Row],[Lдуг 6,мм]]</f>
        <v>3527065.1624086793</v>
      </c>
      <c r="CI80" s="66">
        <f>Таблица1[[#This Row],[Т11]]+Таблица1[[#This Row],[Lпрям6, мм]]</f>
        <v>3528386.8418603805</v>
      </c>
      <c r="CJ80" s="64">
        <f>Таблица1[[#This Row],[Т12]]-Таблица1[[#This Row],[Т12]]</f>
        <v>0</v>
      </c>
      <c r="CK80" s="65">
        <f>Таблица1[[#This Row],[Т12]]-Таблица1[[#This Row],[Т11]]</f>
        <v>1321.6794517012313</v>
      </c>
      <c r="CL80" s="65">
        <f>Таблица1[[#This Row],[Т12]]-Таблица1[[#This Row],[Т10]]</f>
        <v>2946.0887332954444</v>
      </c>
      <c r="CM80" s="65">
        <f>Таблица1[[#This Row],[Т12]]-Таблица1[[#This Row],[Т9]]</f>
        <v>8985.498775000684</v>
      </c>
      <c r="CN80" s="65">
        <f>Таблица1[[#This Row],[Т12]]-Таблица1[[#This Row],[Т8]]</f>
        <v>9482.8616975480691</v>
      </c>
      <c r="CO80" s="65">
        <f>Таблица1[[#This Row],[Т12]]-Таблица1[[#This Row],[Т7]]</f>
        <v>10232.961697548162</v>
      </c>
      <c r="CP80" s="65">
        <f>Таблица1[[#This Row],[Т12]]-Таблица1[[#This Row],[Т6]]</f>
        <v>11360.046958080027</v>
      </c>
      <c r="CQ80" s="65">
        <f>Таблица1[[#This Row],[Т12]]-Таблица1[[#This Row],[Т5]]</f>
        <v>13204.706960790325</v>
      </c>
      <c r="CR80" s="65">
        <f>Таблица1[[#This Row],[Т12]]-Таблица1[[#This Row],[Т4]]</f>
        <v>14331.714429209009</v>
      </c>
      <c r="CS80" s="65">
        <f>Таблица1[[#This Row],[Т12]]-Таблица1[[#This Row],[Т3]]</f>
        <v>18053.714429209009</v>
      </c>
      <c r="CT80" s="65">
        <f>Таблица1[[#This Row],[Т12]]-Таблица1[[#This Row],[Т2]]</f>
        <v>19117.884084719699</v>
      </c>
      <c r="CU80" s="65">
        <f>Таблица1[[#This Row],[Т12]]-Таблица1[[#This Row],[Т1]]</f>
        <v>21004.18390108645</v>
      </c>
      <c r="CV80" s="65">
        <f>Таблица1[[#This Row],[Lкан_леб,мм]]+Таблица1[[#This Row],[Lкан_дуг, мм]]+Таблица1[[#This Row],[Lкан_прям, мм]]</f>
        <v>3528386.8418603805</v>
      </c>
      <c r="CW80" s="60">
        <f>3511128.4-(Таблица1[[#This Row],[Lкан_леб,мм]]+Таблица1[[#This Row],[∆Lлеб из за стрел]])</f>
        <v>3745.7420407058671</v>
      </c>
    </row>
    <row r="81" spans="1:101" x14ac:dyDescent="0.25">
      <c r="A81">
        <v>80</v>
      </c>
      <c r="B81">
        <v>90.295302013422599</v>
      </c>
      <c r="C81">
        <v>-0.28530201342260758</v>
      </c>
      <c r="D81">
        <v>-755.69363827159009</v>
      </c>
      <c r="E81">
        <v>6555.2759629510392</v>
      </c>
      <c r="F81">
        <v>-38.060480578488793</v>
      </c>
      <c r="G81">
        <v>5792.4012019453894</v>
      </c>
      <c r="H81">
        <v>-38.194128271590046</v>
      </c>
      <c r="I81">
        <v>5233.5965166780197</v>
      </c>
      <c r="J81">
        <v>1321.6794462730199</v>
      </c>
      <c r="K81">
        <v>15503.175876948806</v>
      </c>
      <c r="L81">
        <v>5450.1768222548981</v>
      </c>
      <c r="M81">
        <v>3507433.4891611775</v>
      </c>
      <c r="N81">
        <v>0</v>
      </c>
      <c r="O81">
        <v>8</v>
      </c>
      <c r="P81">
        <v>-3322.5</v>
      </c>
      <c r="Q81">
        <v>-2811.96</v>
      </c>
      <c r="R81">
        <v>-3280</v>
      </c>
      <c r="S81">
        <v>-914.66</v>
      </c>
      <c r="T81">
        <v>-7002</v>
      </c>
      <c r="U81">
        <v>520.34</v>
      </c>
      <c r="V81">
        <v>-7002.1</v>
      </c>
      <c r="W81">
        <v>2365</v>
      </c>
      <c r="X81">
        <v>-6252</v>
      </c>
      <c r="Y81">
        <v>3800</v>
      </c>
      <c r="Z81">
        <v>-755.69363827159009</v>
      </c>
      <c r="AA81">
        <v>6555.2759629510392</v>
      </c>
      <c r="AB81">
        <v>0</v>
      </c>
      <c r="AC81">
        <v>1064.1696555107644</v>
      </c>
      <c r="AD81">
        <v>1127.0074684186504</v>
      </c>
      <c r="AE81">
        <v>1127.0852605320265</v>
      </c>
      <c r="AF81">
        <v>502.43403937340878</v>
      </c>
      <c r="AG81">
        <v>1629.480398420048</v>
      </c>
      <c r="AH81">
        <v>1886.2998163666878</v>
      </c>
      <c r="AI81">
        <v>3721.9999999999995</v>
      </c>
      <c r="AJ81">
        <v>1844.6600027105269</v>
      </c>
      <c r="AK81">
        <v>750.10000000000059</v>
      </c>
      <c r="AL81">
        <v>5978.4366061698747</v>
      </c>
      <c r="AM81">
        <v>1321.6794517017156</v>
      </c>
      <c r="AN81">
        <v>-95.021003558665456</v>
      </c>
      <c r="AO81">
        <v>-180</v>
      </c>
      <c r="AP81">
        <v>-90.003106034687008</v>
      </c>
      <c r="AQ81">
        <v>1.2722218725854067E-14</v>
      </c>
      <c r="AR81">
        <v>-40.121742076384869</v>
      </c>
      <c r="AS81">
        <v>89.999999566492633</v>
      </c>
      <c r="AT81">
        <v>-2400.1625746957502</v>
      </c>
      <c r="AU81">
        <v>-3280</v>
      </c>
      <c r="AV81">
        <v>-7719.4999989457119</v>
      </c>
      <c r="AW81">
        <v>-7002.1</v>
      </c>
      <c r="AX81">
        <v>-5789.6330635371487</v>
      </c>
      <c r="AY81">
        <v>-38.193638271590061</v>
      </c>
      <c r="AZ81">
        <v>-2730.9252207921031</v>
      </c>
      <c r="BA81">
        <v>-197.16</v>
      </c>
      <c r="BB81">
        <v>520.3011039433311</v>
      </c>
      <c r="BC81">
        <v>3082.5000000000005</v>
      </c>
      <c r="BD81">
        <v>3251.3443100942468</v>
      </c>
      <c r="BE81">
        <v>6555.2759683797385</v>
      </c>
      <c r="BF81">
        <v>-2565.2532760267472</v>
      </c>
      <c r="BG81">
        <v>-7002</v>
      </c>
      <c r="BH81">
        <v>-7719.5999989457123</v>
      </c>
      <c r="BI81">
        <v>-6252</v>
      </c>
      <c r="BJ81">
        <v>-1218.0605747344409</v>
      </c>
      <c r="BK81">
        <v>-38.19362827159005</v>
      </c>
      <c r="BL81">
        <v>-851.86373761518519</v>
      </c>
      <c r="BM81">
        <v>-197.16</v>
      </c>
      <c r="BN81">
        <v>2364.9611039433312</v>
      </c>
      <c r="BO81">
        <v>3082.5000000000005</v>
      </c>
      <c r="BP81">
        <v>7103.9316528567924</v>
      </c>
      <c r="BQ81">
        <v>5233.5965166780234</v>
      </c>
      <c r="BR81">
        <v>0</v>
      </c>
      <c r="BS81">
        <v>84.97899644133453</v>
      </c>
      <c r="BT81">
        <v>89.996893965312992</v>
      </c>
      <c r="BU81">
        <v>90.003106034687022</v>
      </c>
      <c r="BV81">
        <v>40.121742076384884</v>
      </c>
      <c r="BW81">
        <v>130.12174164287751</v>
      </c>
      <c r="BX81" s="69">
        <f>Таблица1[[#This Row],[Lкан_леб,мм]]</f>
        <v>3507433.4891611775</v>
      </c>
      <c r="BY81" s="65">
        <f>Таблица1[[#This Row],[Т1]]+Таблица1[[#This Row],[Lпрям1, мм]]</f>
        <v>3509319.7889775443</v>
      </c>
      <c r="BZ81" s="65">
        <f>Таблица1[[#This Row],[Т2]]+Таблица1[[#This Row],[Lдуг 2,мм]]</f>
        <v>3510383.958633055</v>
      </c>
      <c r="CA81" s="65">
        <f>Таблица1[[#This Row],[Т3]]+Таблица1[[#This Row],[Lпрям2, мм]]</f>
        <v>3514105.958633055</v>
      </c>
      <c r="CB81" s="65">
        <f>Таблица1[[#This Row],[Т4]]+Таблица1[[#This Row],[Lдуг 3,мм]]</f>
        <v>3515232.9661014737</v>
      </c>
      <c r="CC81" s="65">
        <f>Таблица1[[#This Row],[Т5]]+Таблица1[[#This Row],[Lпрям3, мм]]</f>
        <v>3517077.626104184</v>
      </c>
      <c r="CD81" s="65">
        <f>Таблица1[[#This Row],[Т6]]+Таблица1[[#This Row],[Lдуг 4,мм]]</f>
        <v>3518204.7113647158</v>
      </c>
      <c r="CE81" s="65">
        <f>Таблица1[[#This Row],[Т7]]+Таблица1[[#This Row],[Lпрям4, мм]]</f>
        <v>3518954.8113647159</v>
      </c>
      <c r="CF81" s="72">
        <f>Таблица1[[#This Row],[Т8]]+Таблица1[[#This Row],[Lдуг 5,мм]]</f>
        <v>3519457.2454040893</v>
      </c>
      <c r="CG81" s="65">
        <f>Таблица1[[#This Row],[Т9]]+Таблица1[[#This Row],[Lпрям5, мм]]</f>
        <v>3525435.682010259</v>
      </c>
      <c r="CH81" s="65">
        <f>Таблица1[[#This Row],[Т10]]+Таблица1[[#This Row],[Lдуг 6,мм]]</f>
        <v>3527065.1624086793</v>
      </c>
      <c r="CI81" s="66">
        <f>Таблица1[[#This Row],[Т11]]+Таблица1[[#This Row],[Lпрям6, мм]]</f>
        <v>3528386.841860381</v>
      </c>
      <c r="CJ81" s="64">
        <f>Таблица1[[#This Row],[Т12]]-Таблица1[[#This Row],[Т12]]</f>
        <v>0</v>
      </c>
      <c r="CK81" s="65">
        <f>Таблица1[[#This Row],[Т12]]-Таблица1[[#This Row],[Т11]]</f>
        <v>1321.679451701697</v>
      </c>
      <c r="CL81" s="65">
        <f>Таблица1[[#This Row],[Т12]]-Таблица1[[#This Row],[Т10]]</f>
        <v>2951.1598501219414</v>
      </c>
      <c r="CM81" s="65">
        <f>Таблица1[[#This Row],[Т12]]-Таблица1[[#This Row],[Т9]]</f>
        <v>8929.5964562916197</v>
      </c>
      <c r="CN81" s="65">
        <f>Таблица1[[#This Row],[Т12]]-Таблица1[[#This Row],[Т8]]</f>
        <v>9432.0304956650361</v>
      </c>
      <c r="CO81" s="65">
        <f>Таблица1[[#This Row],[Т12]]-Таблица1[[#This Row],[Т7]]</f>
        <v>10182.130495665129</v>
      </c>
      <c r="CP81" s="65">
        <f>Таблица1[[#This Row],[Т12]]-Таблица1[[#This Row],[Т6]]</f>
        <v>11309.215756196994</v>
      </c>
      <c r="CQ81" s="65">
        <f>Таблица1[[#This Row],[Т12]]-Таблица1[[#This Row],[Т5]]</f>
        <v>13153.875758907292</v>
      </c>
      <c r="CR81" s="65">
        <f>Таблица1[[#This Row],[Т12]]-Таблица1[[#This Row],[Т4]]</f>
        <v>14280.883227325976</v>
      </c>
      <c r="CS81" s="65">
        <f>Таблица1[[#This Row],[Т12]]-Таблица1[[#This Row],[Т3]]</f>
        <v>18002.883227325976</v>
      </c>
      <c r="CT81" s="65">
        <f>Таблица1[[#This Row],[Т12]]-Таблица1[[#This Row],[Т2]]</f>
        <v>19067.052882836666</v>
      </c>
      <c r="CU81" s="65">
        <f>Таблица1[[#This Row],[Т12]]-Таблица1[[#This Row],[Т1]]</f>
        <v>20953.352699203417</v>
      </c>
      <c r="CV81" s="65">
        <f>Таблица1[[#This Row],[Lкан_леб,мм]]+Таблица1[[#This Row],[Lкан_дуг, мм]]+Таблица1[[#This Row],[Lкан_прям, мм]]</f>
        <v>3528386.8418603814</v>
      </c>
      <c r="CW81" s="60">
        <f>3511128.4-(Таблица1[[#This Row],[Lкан_леб,мм]]+Таблица1[[#This Row],[∆Lлеб из за стрел]])</f>
        <v>3694.9108388223685</v>
      </c>
    </row>
    <row r="82" spans="1:101" x14ac:dyDescent="0.25">
      <c r="A82">
        <v>81</v>
      </c>
      <c r="B82">
        <v>90.805369127516556</v>
      </c>
      <c r="C82">
        <v>-0.79536912751656352</v>
      </c>
      <c r="D82">
        <v>-821.92830329150604</v>
      </c>
      <c r="E82">
        <v>6554.6397483205837</v>
      </c>
      <c r="F82">
        <v>-104.29514559840473</v>
      </c>
      <c r="G82">
        <v>5791.764987314933</v>
      </c>
      <c r="H82">
        <v>-104.42879329150573</v>
      </c>
      <c r="I82">
        <v>5232.9603020476879</v>
      </c>
      <c r="J82">
        <v>1321.6794462728956</v>
      </c>
      <c r="K82">
        <v>15442.043874601593</v>
      </c>
      <c r="L82">
        <v>5460.4009972818158</v>
      </c>
      <c r="M82">
        <v>3507484.3969884976</v>
      </c>
      <c r="N82">
        <v>0</v>
      </c>
      <c r="O82">
        <v>8</v>
      </c>
      <c r="P82">
        <v>-3322.5</v>
      </c>
      <c r="Q82">
        <v>-2811.96</v>
      </c>
      <c r="R82">
        <v>-3280</v>
      </c>
      <c r="S82">
        <v>-914.66</v>
      </c>
      <c r="T82">
        <v>-7002</v>
      </c>
      <c r="U82">
        <v>520.34</v>
      </c>
      <c r="V82">
        <v>-7002.1</v>
      </c>
      <c r="W82">
        <v>2365</v>
      </c>
      <c r="X82">
        <v>-6252</v>
      </c>
      <c r="Y82">
        <v>3800</v>
      </c>
      <c r="Z82">
        <v>-821.92830329150604</v>
      </c>
      <c r="AA82">
        <v>6554.6397483205837</v>
      </c>
      <c r="AB82">
        <v>0</v>
      </c>
      <c r="AC82">
        <v>1064.1696555107644</v>
      </c>
      <c r="AD82">
        <v>1127.0074684186504</v>
      </c>
      <c r="AE82">
        <v>1127.0852605320265</v>
      </c>
      <c r="AF82">
        <v>507.54612688686785</v>
      </c>
      <c r="AG82">
        <v>1634.5924859335069</v>
      </c>
      <c r="AH82">
        <v>1886.2998163666878</v>
      </c>
      <c r="AI82">
        <v>3721.9999999999995</v>
      </c>
      <c r="AJ82">
        <v>1844.6600027105269</v>
      </c>
      <c r="AK82">
        <v>750.10000000000059</v>
      </c>
      <c r="AL82">
        <v>5917.3046038227867</v>
      </c>
      <c r="AM82">
        <v>1321.6794517015912</v>
      </c>
      <c r="AN82">
        <v>-95.021003558665456</v>
      </c>
      <c r="AO82">
        <v>-180</v>
      </c>
      <c r="AP82">
        <v>-90.003106034687008</v>
      </c>
      <c r="AQ82">
        <v>1.2722218725854067E-14</v>
      </c>
      <c r="AR82">
        <v>-40.529966521015851</v>
      </c>
      <c r="AS82">
        <v>89.999999566492605</v>
      </c>
      <c r="AT82">
        <v>-2400.1625746957502</v>
      </c>
      <c r="AU82">
        <v>-3280</v>
      </c>
      <c r="AV82">
        <v>-7719.4999989457119</v>
      </c>
      <c r="AW82">
        <v>-7002.1</v>
      </c>
      <c r="AX82">
        <v>-5785.735736941735</v>
      </c>
      <c r="AY82">
        <v>-104.42830329150598</v>
      </c>
      <c r="AZ82">
        <v>-2730.9252207921031</v>
      </c>
      <c r="BA82">
        <v>-197.16</v>
      </c>
      <c r="BB82">
        <v>520.3011039433311</v>
      </c>
      <c r="BC82">
        <v>3082.5000000000005</v>
      </c>
      <c r="BD82">
        <v>3254.6525080329675</v>
      </c>
      <c r="BE82">
        <v>6554.639753749283</v>
      </c>
      <c r="BF82">
        <v>-2565.2532760267472</v>
      </c>
      <c r="BG82">
        <v>-7002</v>
      </c>
      <c r="BH82">
        <v>-7719.5999989457123</v>
      </c>
      <c r="BI82">
        <v>-6252</v>
      </c>
      <c r="BJ82">
        <v>-1288.1925663497711</v>
      </c>
      <c r="BK82">
        <v>-104.42829329150572</v>
      </c>
      <c r="BL82">
        <v>-851.86373761518519</v>
      </c>
      <c r="BM82">
        <v>-197.16</v>
      </c>
      <c r="BN82">
        <v>2364.9611039433312</v>
      </c>
      <c r="BO82">
        <v>3082.5000000000005</v>
      </c>
      <c r="BP82">
        <v>7099.9872402876172</v>
      </c>
      <c r="BQ82">
        <v>5232.9603020476916</v>
      </c>
      <c r="BR82">
        <v>0</v>
      </c>
      <c r="BS82">
        <v>84.97899644133453</v>
      </c>
      <c r="BT82">
        <v>89.996893965312992</v>
      </c>
      <c r="BU82">
        <v>90.003106034687022</v>
      </c>
      <c r="BV82">
        <v>40.529966521015865</v>
      </c>
      <c r="BW82">
        <v>130.52996608750846</v>
      </c>
      <c r="BX82" s="69">
        <f>Таблица1[[#This Row],[Lкан_леб,мм]]</f>
        <v>3507484.3969884976</v>
      </c>
      <c r="BY82" s="65">
        <f>Таблица1[[#This Row],[Т1]]+Таблица1[[#This Row],[Lпрям1, мм]]</f>
        <v>3509370.6968048643</v>
      </c>
      <c r="BZ82" s="65">
        <f>Таблица1[[#This Row],[Т2]]+Таблица1[[#This Row],[Lдуг 2,мм]]</f>
        <v>3510434.866460375</v>
      </c>
      <c r="CA82" s="65">
        <f>Таблица1[[#This Row],[Т3]]+Таблица1[[#This Row],[Lпрям2, мм]]</f>
        <v>3514156.866460375</v>
      </c>
      <c r="CB82" s="65">
        <f>Таблица1[[#This Row],[Т4]]+Таблица1[[#This Row],[Lдуг 3,мм]]</f>
        <v>3515283.8739287937</v>
      </c>
      <c r="CC82" s="65">
        <f>Таблица1[[#This Row],[Т5]]+Таблица1[[#This Row],[Lпрям3, мм]]</f>
        <v>3517128.533931504</v>
      </c>
      <c r="CD82" s="65">
        <f>Таблица1[[#This Row],[Т6]]+Таблица1[[#This Row],[Lдуг 4,мм]]</f>
        <v>3518255.6191920359</v>
      </c>
      <c r="CE82" s="65">
        <f>Таблица1[[#This Row],[Т7]]+Таблица1[[#This Row],[Lпрям4, мм]]</f>
        <v>3519005.719192036</v>
      </c>
      <c r="CF82" s="72">
        <f>Таблица1[[#This Row],[Т8]]+Таблица1[[#This Row],[Lдуг 5,мм]]</f>
        <v>3519513.2653189227</v>
      </c>
      <c r="CG82" s="65">
        <f>Таблица1[[#This Row],[Т9]]+Таблица1[[#This Row],[Lпрям5, мм]]</f>
        <v>3525430.5699227457</v>
      </c>
      <c r="CH82" s="65">
        <f>Таблица1[[#This Row],[Т10]]+Таблица1[[#This Row],[Lдуг 6,мм]]</f>
        <v>3527065.1624086793</v>
      </c>
      <c r="CI82" s="66">
        <f>Таблица1[[#This Row],[Т11]]+Таблица1[[#This Row],[Lпрям6, мм]]</f>
        <v>3528386.841860381</v>
      </c>
      <c r="CJ82" s="64">
        <f>Таблица1[[#This Row],[Т12]]-Таблица1[[#This Row],[Т12]]</f>
        <v>0</v>
      </c>
      <c r="CK82" s="65">
        <f>Таблица1[[#This Row],[Т12]]-Таблица1[[#This Row],[Т11]]</f>
        <v>1321.679451701697</v>
      </c>
      <c r="CL82" s="65">
        <f>Таблица1[[#This Row],[Т12]]-Таблица1[[#This Row],[Т10]]</f>
        <v>2956.2719376352616</v>
      </c>
      <c r="CM82" s="65">
        <f>Таблица1[[#This Row],[Т12]]-Таблица1[[#This Row],[Т9]]</f>
        <v>8873.5765414582565</v>
      </c>
      <c r="CN82" s="65">
        <f>Таблица1[[#This Row],[Т12]]-Таблица1[[#This Row],[Т8]]</f>
        <v>9381.1226683449931</v>
      </c>
      <c r="CO82" s="65">
        <f>Таблица1[[#This Row],[Т12]]-Таблица1[[#This Row],[Т7]]</f>
        <v>10131.222668345086</v>
      </c>
      <c r="CP82" s="65">
        <f>Таблица1[[#This Row],[Т12]]-Таблица1[[#This Row],[Т6]]</f>
        <v>11258.307928876951</v>
      </c>
      <c r="CQ82" s="65">
        <f>Таблица1[[#This Row],[Т12]]-Таблица1[[#This Row],[Т5]]</f>
        <v>13102.967931587249</v>
      </c>
      <c r="CR82" s="65">
        <f>Таблица1[[#This Row],[Т12]]-Таблица1[[#This Row],[Т4]]</f>
        <v>14229.975400005933</v>
      </c>
      <c r="CS82" s="65">
        <f>Таблица1[[#This Row],[Т12]]-Таблица1[[#This Row],[Т3]]</f>
        <v>17951.975400005933</v>
      </c>
      <c r="CT82" s="65">
        <f>Таблица1[[#This Row],[Т12]]-Таблица1[[#This Row],[Т2]]</f>
        <v>19016.145055516623</v>
      </c>
      <c r="CU82" s="65">
        <f>Таблица1[[#This Row],[Т12]]-Таблица1[[#This Row],[Т1]]</f>
        <v>20902.444871883374</v>
      </c>
      <c r="CV82" s="65">
        <f>Таблица1[[#This Row],[Lкан_леб,мм]]+Таблица1[[#This Row],[Lкан_дуг, мм]]+Таблица1[[#This Row],[Lкан_прям, мм]]</f>
        <v>3528386.841860381</v>
      </c>
      <c r="CW82" s="60">
        <f>3511128.4-(Таблица1[[#This Row],[Lкан_леб,мм]]+Таблица1[[#This Row],[∆Lлеб из за стрел]])</f>
        <v>3644.0030115023255</v>
      </c>
    </row>
    <row r="83" spans="1:101" x14ac:dyDescent="0.25">
      <c r="A83">
        <v>82</v>
      </c>
      <c r="B83">
        <v>91.315436241610513</v>
      </c>
      <c r="C83">
        <v>-1.3054362416105194</v>
      </c>
      <c r="D83">
        <v>-888.15467998819145</v>
      </c>
      <c r="E83">
        <v>6553.4139224825458</v>
      </c>
      <c r="F83">
        <v>-170.52152229509019</v>
      </c>
      <c r="G83">
        <v>5790.539161476896</v>
      </c>
      <c r="H83">
        <v>-170.65516998819123</v>
      </c>
      <c r="I83">
        <v>5231.7344762098082</v>
      </c>
      <c r="J83">
        <v>1321.6794462727382</v>
      </c>
      <c r="K83">
        <v>15380.753260305426</v>
      </c>
      <c r="L83">
        <v>5470.7097785533124</v>
      </c>
      <c r="M83">
        <v>3507535.3788215225</v>
      </c>
      <c r="N83">
        <v>0</v>
      </c>
      <c r="O83">
        <v>8</v>
      </c>
      <c r="P83">
        <v>-3322.5</v>
      </c>
      <c r="Q83">
        <v>-2811.96</v>
      </c>
      <c r="R83">
        <v>-3280</v>
      </c>
      <c r="S83">
        <v>-914.66</v>
      </c>
      <c r="T83">
        <v>-7002</v>
      </c>
      <c r="U83">
        <v>520.34</v>
      </c>
      <c r="V83">
        <v>-7002.1</v>
      </c>
      <c r="W83">
        <v>2365</v>
      </c>
      <c r="X83">
        <v>-6252</v>
      </c>
      <c r="Y83">
        <v>3800</v>
      </c>
      <c r="Z83">
        <v>-888.15467998819145</v>
      </c>
      <c r="AA83">
        <v>6553.4139224825458</v>
      </c>
      <c r="AB83">
        <v>0</v>
      </c>
      <c r="AC83">
        <v>1064.1696555107644</v>
      </c>
      <c r="AD83">
        <v>1127.0074684186504</v>
      </c>
      <c r="AE83">
        <v>1127.0852605320265</v>
      </c>
      <c r="AF83">
        <v>512.70051752261611</v>
      </c>
      <c r="AG83">
        <v>1639.7468765692554</v>
      </c>
      <c r="AH83">
        <v>1886.2998163666878</v>
      </c>
      <c r="AI83">
        <v>3721.9999999999995</v>
      </c>
      <c r="AJ83">
        <v>1844.6600027105269</v>
      </c>
      <c r="AK83">
        <v>750.10000000000059</v>
      </c>
      <c r="AL83">
        <v>5856.0139895267757</v>
      </c>
      <c r="AM83">
        <v>1321.6794517014341</v>
      </c>
      <c r="AN83">
        <v>-95.021003558665456</v>
      </c>
      <c r="AO83">
        <v>-180</v>
      </c>
      <c r="AP83">
        <v>-90.003106034687008</v>
      </c>
      <c r="AQ83">
        <v>1.2722218725854067E-14</v>
      </c>
      <c r="AR83">
        <v>-40.941569070688509</v>
      </c>
      <c r="AS83">
        <v>89.999999566492605</v>
      </c>
      <c r="AT83">
        <v>-2400.1625746957502</v>
      </c>
      <c r="AU83">
        <v>-3280</v>
      </c>
      <c r="AV83">
        <v>-7719.4999989457119</v>
      </c>
      <c r="AW83">
        <v>-7002.1</v>
      </c>
      <c r="AX83">
        <v>-5781.8301238415934</v>
      </c>
      <c r="AY83">
        <v>-170.65467998819139</v>
      </c>
      <c r="AZ83">
        <v>-2730.9252207921031</v>
      </c>
      <c r="BA83">
        <v>-197.16</v>
      </c>
      <c r="BB83">
        <v>520.3011039433311</v>
      </c>
      <c r="BC83">
        <v>3082.5000000000005</v>
      </c>
      <c r="BD83">
        <v>3258.0161095076828</v>
      </c>
      <c r="BE83">
        <v>6553.4139279112451</v>
      </c>
      <c r="BF83">
        <v>-2565.2532760267472</v>
      </c>
      <c r="BG83">
        <v>-7002</v>
      </c>
      <c r="BH83">
        <v>-7719.5999989457123</v>
      </c>
      <c r="BI83">
        <v>-6252</v>
      </c>
      <c r="BJ83">
        <v>-1358.3245561465981</v>
      </c>
      <c r="BK83">
        <v>-170.65466998819124</v>
      </c>
      <c r="BL83">
        <v>-851.86373761518519</v>
      </c>
      <c r="BM83">
        <v>-197.16</v>
      </c>
      <c r="BN83">
        <v>2364.9611039433312</v>
      </c>
      <c r="BO83">
        <v>3082.5000000000005</v>
      </c>
      <c r="BP83">
        <v>7095.3978129748639</v>
      </c>
      <c r="BQ83">
        <v>5231.734476209811</v>
      </c>
      <c r="BR83">
        <v>0</v>
      </c>
      <c r="BS83">
        <v>84.97899644133453</v>
      </c>
      <c r="BT83">
        <v>89.996893965312992</v>
      </c>
      <c r="BU83">
        <v>90.003106034687022</v>
      </c>
      <c r="BV83">
        <v>40.941569070688523</v>
      </c>
      <c r="BW83">
        <v>130.94156863718112</v>
      </c>
      <c r="BX83" s="69">
        <f>Таблица1[[#This Row],[Lкан_леб,мм]]</f>
        <v>3507535.3788215225</v>
      </c>
      <c r="BY83" s="65">
        <f>Таблица1[[#This Row],[Т1]]+Таблица1[[#This Row],[Lпрям1, мм]]</f>
        <v>3509421.6786378892</v>
      </c>
      <c r="BZ83" s="65">
        <f>Таблица1[[#This Row],[Т2]]+Таблица1[[#This Row],[Lдуг 2,мм]]</f>
        <v>3510485.8482933999</v>
      </c>
      <c r="CA83" s="65">
        <f>Таблица1[[#This Row],[Т3]]+Таблица1[[#This Row],[Lпрям2, мм]]</f>
        <v>3514207.8482933999</v>
      </c>
      <c r="CB83" s="65">
        <f>Таблица1[[#This Row],[Т4]]+Таблица1[[#This Row],[Lдуг 3,мм]]</f>
        <v>3515334.8557618186</v>
      </c>
      <c r="CC83" s="65">
        <f>Таблица1[[#This Row],[Т5]]+Таблица1[[#This Row],[Lпрям3, мм]]</f>
        <v>3517179.5157645289</v>
      </c>
      <c r="CD83" s="65">
        <f>Таблица1[[#This Row],[Т6]]+Таблица1[[#This Row],[Lдуг 4,мм]]</f>
        <v>3518306.6010250608</v>
      </c>
      <c r="CE83" s="65">
        <f>Таблица1[[#This Row],[Т7]]+Таблица1[[#This Row],[Lпрям4, мм]]</f>
        <v>3519056.7010250608</v>
      </c>
      <c r="CF83" s="72">
        <f>Таблица1[[#This Row],[Т8]]+Таблица1[[#This Row],[Lдуг 5,мм]]</f>
        <v>3519569.4015425835</v>
      </c>
      <c r="CG83" s="65">
        <f>Таблица1[[#This Row],[Т9]]+Таблица1[[#This Row],[Lпрям5, мм]]</f>
        <v>3525425.4155321103</v>
      </c>
      <c r="CH83" s="65">
        <f>Таблица1[[#This Row],[Т10]]+Таблица1[[#This Row],[Lдуг 6,мм]]</f>
        <v>3527065.1624086797</v>
      </c>
      <c r="CI83" s="66">
        <f>Таблица1[[#This Row],[Т11]]+Таблица1[[#This Row],[Lпрям6, мм]]</f>
        <v>3528386.841860381</v>
      </c>
      <c r="CJ83" s="64">
        <f>Таблица1[[#This Row],[Т12]]-Таблица1[[#This Row],[Т12]]</f>
        <v>0</v>
      </c>
      <c r="CK83" s="65">
        <f>Таблица1[[#This Row],[Т12]]-Таблица1[[#This Row],[Т11]]</f>
        <v>1321.6794517012313</v>
      </c>
      <c r="CL83" s="65">
        <f>Таблица1[[#This Row],[Т12]]-Таблица1[[#This Row],[Т10]]</f>
        <v>2961.4263282706961</v>
      </c>
      <c r="CM83" s="65">
        <f>Таблица1[[#This Row],[Т12]]-Таблица1[[#This Row],[Т9]]</f>
        <v>8817.4403177974746</v>
      </c>
      <c r="CN83" s="65">
        <f>Таблица1[[#This Row],[Т12]]-Таблица1[[#This Row],[Т8]]</f>
        <v>9330.1408353201114</v>
      </c>
      <c r="CO83" s="65">
        <f>Таблица1[[#This Row],[Т12]]-Таблица1[[#This Row],[Т7]]</f>
        <v>10080.240835320204</v>
      </c>
      <c r="CP83" s="65">
        <f>Таблица1[[#This Row],[Т12]]-Таблица1[[#This Row],[Т6]]</f>
        <v>11207.32609585207</v>
      </c>
      <c r="CQ83" s="65">
        <f>Таблица1[[#This Row],[Т12]]-Таблица1[[#This Row],[Т5]]</f>
        <v>13051.986098562367</v>
      </c>
      <c r="CR83" s="65">
        <f>Таблица1[[#This Row],[Т12]]-Таблица1[[#This Row],[Т4]]</f>
        <v>14178.993566981051</v>
      </c>
      <c r="CS83" s="65">
        <f>Таблица1[[#This Row],[Т12]]-Таблица1[[#This Row],[Т3]]</f>
        <v>17900.993566981051</v>
      </c>
      <c r="CT83" s="65">
        <f>Таблица1[[#This Row],[Т12]]-Таблица1[[#This Row],[Т2]]</f>
        <v>18965.163222491741</v>
      </c>
      <c r="CU83" s="65">
        <f>Таблица1[[#This Row],[Т12]]-Таблица1[[#This Row],[Т1]]</f>
        <v>20851.463038858492</v>
      </c>
      <c r="CV83" s="65">
        <f>Таблица1[[#This Row],[Lкан_леб,мм]]+Таблица1[[#This Row],[Lкан_дуг, мм]]+Таблица1[[#This Row],[Lкан_прям, мм]]</f>
        <v>3528386.8418603814</v>
      </c>
      <c r="CW83" s="60">
        <f>3511128.4-(Таблица1[[#This Row],[Lкан_леб,мм]]+Таблица1[[#This Row],[∆Lлеб из за стрел]])</f>
        <v>3593.0211784774438</v>
      </c>
    </row>
    <row r="84" spans="1:101" x14ac:dyDescent="0.25">
      <c r="A84">
        <v>83</v>
      </c>
      <c r="B84">
        <v>91.82550335570447</v>
      </c>
      <c r="C84">
        <v>-1.8155033557044749</v>
      </c>
      <c r="D84">
        <v>-954.36751983375109</v>
      </c>
      <c r="E84">
        <v>6551.5985825852422</v>
      </c>
      <c r="F84">
        <v>-236.73436214064989</v>
      </c>
      <c r="G84">
        <v>5788.7238215795915</v>
      </c>
      <c r="H84">
        <v>-236.8680098337511</v>
      </c>
      <c r="I84">
        <v>5229.9191363123318</v>
      </c>
      <c r="J84">
        <v>1321.6794462729106</v>
      </c>
      <c r="K84">
        <v>15319.30393558303</v>
      </c>
      <c r="L84">
        <v>5481.1059490974631</v>
      </c>
      <c r="M84">
        <v>3507586.4319757004</v>
      </c>
      <c r="N84">
        <v>0</v>
      </c>
      <c r="O84">
        <v>8</v>
      </c>
      <c r="P84">
        <v>-3322.5</v>
      </c>
      <c r="Q84">
        <v>-2811.96</v>
      </c>
      <c r="R84">
        <v>-3280</v>
      </c>
      <c r="S84">
        <v>-914.66</v>
      </c>
      <c r="T84">
        <v>-7002</v>
      </c>
      <c r="U84">
        <v>520.34</v>
      </c>
      <c r="V84">
        <v>-7002.1</v>
      </c>
      <c r="W84">
        <v>2365</v>
      </c>
      <c r="X84">
        <v>-6252</v>
      </c>
      <c r="Y84">
        <v>3800</v>
      </c>
      <c r="Z84">
        <v>-954.36751983375109</v>
      </c>
      <c r="AA84">
        <v>6551.5985825852422</v>
      </c>
      <c r="AB84">
        <v>0</v>
      </c>
      <c r="AC84">
        <v>1064.1696555107644</v>
      </c>
      <c r="AD84">
        <v>1127.0074684186504</v>
      </c>
      <c r="AE84">
        <v>1127.0852605320265</v>
      </c>
      <c r="AF84">
        <v>517.8986027946911</v>
      </c>
      <c r="AG84">
        <v>1644.9449618413305</v>
      </c>
      <c r="AH84">
        <v>1886.2998163666878</v>
      </c>
      <c r="AI84">
        <v>3721.9999999999995</v>
      </c>
      <c r="AJ84">
        <v>1844.6600027105269</v>
      </c>
      <c r="AK84">
        <v>750.10000000000059</v>
      </c>
      <c r="AL84">
        <v>5794.5646648042084</v>
      </c>
      <c r="AM84">
        <v>1321.6794517016065</v>
      </c>
      <c r="AN84">
        <v>-95.021003558665456</v>
      </c>
      <c r="AO84">
        <v>-180</v>
      </c>
      <c r="AP84">
        <v>-90.003106034687008</v>
      </c>
      <c r="AQ84">
        <v>1.2722218725854067E-14</v>
      </c>
      <c r="AR84">
        <v>-41.356660844401404</v>
      </c>
      <c r="AS84">
        <v>89.999999566492633</v>
      </c>
      <c r="AT84">
        <v>-2400.1625746957502</v>
      </c>
      <c r="AU84">
        <v>-3280</v>
      </c>
      <c r="AV84">
        <v>-7719.4999989457119</v>
      </c>
      <c r="AW84">
        <v>-7002.1</v>
      </c>
      <c r="AX84">
        <v>-5777.9159762615527</v>
      </c>
      <c r="AY84">
        <v>-236.86751983375109</v>
      </c>
      <c r="AZ84">
        <v>-2730.9252207921031</v>
      </c>
      <c r="BA84">
        <v>-197.16</v>
      </c>
      <c r="BB84">
        <v>520.3011039433311</v>
      </c>
      <c r="BC84">
        <v>3082.5000000000005</v>
      </c>
      <c r="BD84">
        <v>3261.4365511511542</v>
      </c>
      <c r="BE84">
        <v>6551.5985880139415</v>
      </c>
      <c r="BF84">
        <v>-2565.2532760267472</v>
      </c>
      <c r="BG84">
        <v>-7002</v>
      </c>
      <c r="BH84">
        <v>-7719.5999989457123</v>
      </c>
      <c r="BI84">
        <v>-6252</v>
      </c>
      <c r="BJ84">
        <v>-1428.4515435721983</v>
      </c>
      <c r="BK84">
        <v>-236.86750983375111</v>
      </c>
      <c r="BL84">
        <v>-851.86373761518519</v>
      </c>
      <c r="BM84">
        <v>-197.16</v>
      </c>
      <c r="BN84">
        <v>2364.9611039433312</v>
      </c>
      <c r="BO84">
        <v>3082.5000000000005</v>
      </c>
      <c r="BP84">
        <v>7090.162031434088</v>
      </c>
      <c r="BQ84">
        <v>5229.9191363123355</v>
      </c>
      <c r="BR84">
        <v>0</v>
      </c>
      <c r="BS84">
        <v>84.97899644133453</v>
      </c>
      <c r="BT84">
        <v>89.996893965312992</v>
      </c>
      <c r="BU84">
        <v>90.003106034687022</v>
      </c>
      <c r="BV84">
        <v>41.356660844401418</v>
      </c>
      <c r="BW84">
        <v>131.35666041089405</v>
      </c>
      <c r="BX84" s="69">
        <f>Таблица1[[#This Row],[Lкан_леб,мм]]</f>
        <v>3507586.4319757004</v>
      </c>
      <c r="BY84" s="65">
        <f>Таблица1[[#This Row],[Т1]]+Таблица1[[#This Row],[Lпрям1, мм]]</f>
        <v>3509472.7317920672</v>
      </c>
      <c r="BZ84" s="65">
        <f>Таблица1[[#This Row],[Т2]]+Таблица1[[#This Row],[Lдуг 2,мм]]</f>
        <v>3510536.9014475779</v>
      </c>
      <c r="CA84" s="65">
        <f>Таблица1[[#This Row],[Т3]]+Таблица1[[#This Row],[Lпрям2, мм]]</f>
        <v>3514258.9014475779</v>
      </c>
      <c r="CB84" s="65">
        <f>Таблица1[[#This Row],[Т4]]+Таблица1[[#This Row],[Lдуг 3,мм]]</f>
        <v>3515385.9089159966</v>
      </c>
      <c r="CC84" s="65">
        <f>Таблица1[[#This Row],[Т5]]+Таблица1[[#This Row],[Lпрям3, мм]]</f>
        <v>3517230.5689187068</v>
      </c>
      <c r="CD84" s="65">
        <f>Таблица1[[#This Row],[Т6]]+Таблица1[[#This Row],[Lдуг 4,мм]]</f>
        <v>3518357.6541792387</v>
      </c>
      <c r="CE84" s="65">
        <f>Таблица1[[#This Row],[Т7]]+Таблица1[[#This Row],[Lпрям4, мм]]</f>
        <v>3519107.7541792388</v>
      </c>
      <c r="CF84" s="72">
        <f>Таблица1[[#This Row],[Т8]]+Таблица1[[#This Row],[Lдуг 5,мм]]</f>
        <v>3519625.6527820337</v>
      </c>
      <c r="CG84" s="65">
        <f>Таблица1[[#This Row],[Т9]]+Таблица1[[#This Row],[Lпрям5, мм]]</f>
        <v>3525420.217446838</v>
      </c>
      <c r="CH84" s="65">
        <f>Таблица1[[#This Row],[Т10]]+Таблица1[[#This Row],[Lдуг 6,мм]]</f>
        <v>3527065.1624086793</v>
      </c>
      <c r="CI84" s="66">
        <f>Таблица1[[#This Row],[Т11]]+Таблица1[[#This Row],[Lпрям6, мм]]</f>
        <v>3528386.841860381</v>
      </c>
      <c r="CJ84" s="64">
        <f>Таблица1[[#This Row],[Т12]]-Таблица1[[#This Row],[Т12]]</f>
        <v>0</v>
      </c>
      <c r="CK84" s="65">
        <f>Таблица1[[#This Row],[Т12]]-Таблица1[[#This Row],[Т11]]</f>
        <v>1321.679451701697</v>
      </c>
      <c r="CL84" s="65">
        <f>Таблица1[[#This Row],[Т12]]-Таблица1[[#This Row],[Т10]]</f>
        <v>2966.6244135429151</v>
      </c>
      <c r="CM84" s="65">
        <f>Таблица1[[#This Row],[Т12]]-Таблица1[[#This Row],[Т9]]</f>
        <v>8761.1890783472918</v>
      </c>
      <c r="CN84" s="65">
        <f>Таблица1[[#This Row],[Т12]]-Таблица1[[#This Row],[Т8]]</f>
        <v>9279.0876811421476</v>
      </c>
      <c r="CO84" s="65">
        <f>Таблица1[[#This Row],[Т12]]-Таблица1[[#This Row],[Т7]]</f>
        <v>10029.187681142241</v>
      </c>
      <c r="CP84" s="65">
        <f>Таблица1[[#This Row],[Т12]]-Таблица1[[#This Row],[Т6]]</f>
        <v>11156.272941674106</v>
      </c>
      <c r="CQ84" s="65">
        <f>Таблица1[[#This Row],[Т12]]-Таблица1[[#This Row],[Т5]]</f>
        <v>13000.932944384404</v>
      </c>
      <c r="CR84" s="65">
        <f>Таблица1[[#This Row],[Т12]]-Таблица1[[#This Row],[Т4]]</f>
        <v>14127.940412803087</v>
      </c>
      <c r="CS84" s="65">
        <f>Таблица1[[#This Row],[Т12]]-Таблица1[[#This Row],[Т3]]</f>
        <v>17849.940412803087</v>
      </c>
      <c r="CT84" s="65">
        <f>Таблица1[[#This Row],[Т12]]-Таблица1[[#This Row],[Т2]]</f>
        <v>18914.110068313777</v>
      </c>
      <c r="CU84" s="65">
        <f>Таблица1[[#This Row],[Т12]]-Таблица1[[#This Row],[Т1]]</f>
        <v>20800.409884680528</v>
      </c>
      <c r="CV84" s="65">
        <f>Таблица1[[#This Row],[Lкан_леб,мм]]+Таблица1[[#This Row],[Lкан_дуг, мм]]+Таблица1[[#This Row],[Lкан_прям, мм]]</f>
        <v>3528386.841860381</v>
      </c>
      <c r="CW84" s="60">
        <f>3511128.4-(Таблица1[[#This Row],[Lкан_леб,мм]]+Таблица1[[#This Row],[∆Lлеб из за стрел]])</f>
        <v>3541.96802429948</v>
      </c>
    </row>
    <row r="85" spans="1:101" x14ac:dyDescent="0.25">
      <c r="A85">
        <v>84</v>
      </c>
      <c r="B85">
        <v>92.335570469798427</v>
      </c>
      <c r="C85">
        <v>-2.3255704697984307</v>
      </c>
      <c r="D85">
        <v>-1020.5615753731032</v>
      </c>
      <c r="E85">
        <v>6549.1938724967613</v>
      </c>
      <c r="F85">
        <v>-302.92841768000198</v>
      </c>
      <c r="G85">
        <v>5786.3191114911106</v>
      </c>
      <c r="H85">
        <v>-303.06206537310317</v>
      </c>
      <c r="I85">
        <v>5227.5144262239937</v>
      </c>
      <c r="J85">
        <v>1321.6794462727676</v>
      </c>
      <c r="K85">
        <v>15257.695745341909</v>
      </c>
      <c r="L85">
        <v>5491.592416778919</v>
      </c>
      <c r="M85">
        <v>3507637.5536982599</v>
      </c>
      <c r="N85">
        <v>0</v>
      </c>
      <c r="O85">
        <v>8</v>
      </c>
      <c r="P85">
        <v>-3322.5</v>
      </c>
      <c r="Q85">
        <v>-2811.96</v>
      </c>
      <c r="R85">
        <v>-3280</v>
      </c>
      <c r="S85">
        <v>-914.66</v>
      </c>
      <c r="T85">
        <v>-7002</v>
      </c>
      <c r="U85">
        <v>520.34</v>
      </c>
      <c r="V85">
        <v>-7002.1</v>
      </c>
      <c r="W85">
        <v>2365</v>
      </c>
      <c r="X85">
        <v>-6252</v>
      </c>
      <c r="Y85">
        <v>3800</v>
      </c>
      <c r="Z85">
        <v>-1020.5615753731032</v>
      </c>
      <c r="AA85">
        <v>6549.1938724967613</v>
      </c>
      <c r="AB85">
        <v>0</v>
      </c>
      <c r="AC85">
        <v>1064.1696555107644</v>
      </c>
      <c r="AD85">
        <v>1127.0074684186504</v>
      </c>
      <c r="AE85">
        <v>1127.0852605320265</v>
      </c>
      <c r="AF85">
        <v>523.14183663541928</v>
      </c>
      <c r="AG85">
        <v>1650.1881956820582</v>
      </c>
      <c r="AH85">
        <v>1886.2998163666878</v>
      </c>
      <c r="AI85">
        <v>3721.9999999999995</v>
      </c>
      <c r="AJ85">
        <v>1844.6600027105269</v>
      </c>
      <c r="AK85">
        <v>750.10000000000059</v>
      </c>
      <c r="AL85">
        <v>5732.9564745632315</v>
      </c>
      <c r="AM85">
        <v>1321.6794517014634</v>
      </c>
      <c r="AN85">
        <v>-95.021003558665456</v>
      </c>
      <c r="AO85">
        <v>-180</v>
      </c>
      <c r="AP85">
        <v>-90.003106034687008</v>
      </c>
      <c r="AQ85">
        <v>1.2722218725854067E-14</v>
      </c>
      <c r="AR85">
        <v>-41.775357945549693</v>
      </c>
      <c r="AS85">
        <v>89.999999566492619</v>
      </c>
      <c r="AT85">
        <v>-2400.1625746957502</v>
      </c>
      <c r="AU85">
        <v>-3280</v>
      </c>
      <c r="AV85">
        <v>-7719.4999989457119</v>
      </c>
      <c r="AW85">
        <v>-7002.1</v>
      </c>
      <c r="AX85">
        <v>-5773.9930402587079</v>
      </c>
      <c r="AY85">
        <v>-303.06157537310315</v>
      </c>
      <c r="AZ85">
        <v>-2730.9252207921031</v>
      </c>
      <c r="BA85">
        <v>-197.16</v>
      </c>
      <c r="BB85">
        <v>520.3011039433311</v>
      </c>
      <c r="BC85">
        <v>3082.5000000000005</v>
      </c>
      <c r="BD85">
        <v>3264.9153371298271</v>
      </c>
      <c r="BE85">
        <v>6549.1938779254606</v>
      </c>
      <c r="BF85">
        <v>-2565.2532760267472</v>
      </c>
      <c r="BG85">
        <v>-7002</v>
      </c>
      <c r="BH85">
        <v>-7719.5999989457123</v>
      </c>
      <c r="BI85">
        <v>-6252</v>
      </c>
      <c r="BJ85">
        <v>-1498.5685351143952</v>
      </c>
      <c r="BK85">
        <v>-303.06156537310312</v>
      </c>
      <c r="BL85">
        <v>-851.86373761518519</v>
      </c>
      <c r="BM85">
        <v>-197.16</v>
      </c>
      <c r="BN85">
        <v>2364.9611039433312</v>
      </c>
      <c r="BO85">
        <v>3082.5000000000005</v>
      </c>
      <c r="BP85">
        <v>7084.2785353669351</v>
      </c>
      <c r="BQ85">
        <v>5227.5144262239974</v>
      </c>
      <c r="BR85">
        <v>0</v>
      </c>
      <c r="BS85">
        <v>84.97899644133453</v>
      </c>
      <c r="BT85">
        <v>89.996893965312992</v>
      </c>
      <c r="BU85">
        <v>90.003106034687022</v>
      </c>
      <c r="BV85">
        <v>41.775357945549707</v>
      </c>
      <c r="BW85">
        <v>131.77535751204232</v>
      </c>
      <c r="BX85" s="69">
        <f>Таблица1[[#This Row],[Lкан_леб,мм]]</f>
        <v>3507637.5536982599</v>
      </c>
      <c r="BY85" s="65">
        <f>Таблица1[[#This Row],[Т1]]+Таблица1[[#This Row],[Lпрям1, мм]]</f>
        <v>3509523.8535146266</v>
      </c>
      <c r="BZ85" s="65">
        <f>Таблица1[[#This Row],[Т2]]+Таблица1[[#This Row],[Lдуг 2,мм]]</f>
        <v>3510588.0231701373</v>
      </c>
      <c r="CA85" s="65">
        <f>Таблица1[[#This Row],[Т3]]+Таблица1[[#This Row],[Lпрям2, мм]]</f>
        <v>3514310.0231701373</v>
      </c>
      <c r="CB85" s="65">
        <f>Таблица1[[#This Row],[Т4]]+Таблица1[[#This Row],[Lдуг 3,мм]]</f>
        <v>3515437.030638556</v>
      </c>
      <c r="CC85" s="65">
        <f>Таблица1[[#This Row],[Т5]]+Таблица1[[#This Row],[Lпрям3, мм]]</f>
        <v>3517281.6906412663</v>
      </c>
      <c r="CD85" s="65">
        <f>Таблица1[[#This Row],[Т6]]+Таблица1[[#This Row],[Lдуг 4,мм]]</f>
        <v>3518408.7759017982</v>
      </c>
      <c r="CE85" s="65">
        <f>Таблица1[[#This Row],[Т7]]+Таблица1[[#This Row],[Lпрям4, мм]]</f>
        <v>3519158.8759017983</v>
      </c>
      <c r="CF85" s="72">
        <f>Таблица1[[#This Row],[Т8]]+Таблица1[[#This Row],[Lдуг 5,мм]]</f>
        <v>3519682.0177384336</v>
      </c>
      <c r="CG85" s="65">
        <f>Таблица1[[#This Row],[Т9]]+Таблица1[[#This Row],[Lпрям5, мм]]</f>
        <v>3525414.9742129967</v>
      </c>
      <c r="CH85" s="65">
        <f>Таблица1[[#This Row],[Т10]]+Таблица1[[#This Row],[Lдуг 6,мм]]</f>
        <v>3527065.1624086788</v>
      </c>
      <c r="CI85" s="66">
        <f>Таблица1[[#This Row],[Т11]]+Таблица1[[#This Row],[Lпрям6, мм]]</f>
        <v>3528386.84186038</v>
      </c>
      <c r="CJ85" s="64">
        <f>Таблица1[[#This Row],[Т12]]-Таблица1[[#This Row],[Т12]]</f>
        <v>0</v>
      </c>
      <c r="CK85" s="65">
        <f>Таблица1[[#This Row],[Т12]]-Таблица1[[#This Row],[Т11]]</f>
        <v>1321.6794517012313</v>
      </c>
      <c r="CL85" s="65">
        <f>Таблица1[[#This Row],[Т12]]-Таблица1[[#This Row],[Т10]]</f>
        <v>2971.8676473833621</v>
      </c>
      <c r="CM85" s="65">
        <f>Таблица1[[#This Row],[Т12]]-Таблица1[[#This Row],[Т9]]</f>
        <v>8704.8241219464689</v>
      </c>
      <c r="CN85" s="65">
        <f>Таблица1[[#This Row],[Т12]]-Таблица1[[#This Row],[Т8]]</f>
        <v>9227.9659585817717</v>
      </c>
      <c r="CO85" s="65">
        <f>Таблица1[[#This Row],[Т12]]-Таблица1[[#This Row],[Т7]]</f>
        <v>9978.0659585818648</v>
      </c>
      <c r="CP85" s="65">
        <f>Таблица1[[#This Row],[Т12]]-Таблица1[[#This Row],[Т6]]</f>
        <v>11105.15121911373</v>
      </c>
      <c r="CQ85" s="65">
        <f>Таблица1[[#This Row],[Т12]]-Таблица1[[#This Row],[Т5]]</f>
        <v>12949.811221824028</v>
      </c>
      <c r="CR85" s="65">
        <f>Таблица1[[#This Row],[Т12]]-Таблица1[[#This Row],[Т4]]</f>
        <v>14076.818690242711</v>
      </c>
      <c r="CS85" s="65">
        <f>Таблица1[[#This Row],[Т12]]-Таблица1[[#This Row],[Т3]]</f>
        <v>17798.818690242711</v>
      </c>
      <c r="CT85" s="65">
        <f>Таблица1[[#This Row],[Т12]]-Таблица1[[#This Row],[Т2]]</f>
        <v>18862.988345753402</v>
      </c>
      <c r="CU85" s="65">
        <f>Таблица1[[#This Row],[Т12]]-Таблица1[[#This Row],[Т1]]</f>
        <v>20749.288162120152</v>
      </c>
      <c r="CV85" s="65">
        <f>Таблица1[[#This Row],[Lкан_леб,мм]]+Таблица1[[#This Row],[Lкан_дуг, мм]]+Таблица1[[#This Row],[Lкан_прям, мм]]</f>
        <v>3528386.841860381</v>
      </c>
      <c r="CW85" s="60">
        <f>3511128.4-(Таблица1[[#This Row],[Lкан_леб,мм]]+Таблица1[[#This Row],[∆Lлеб из за стрел]])</f>
        <v>3490.8463017400354</v>
      </c>
    </row>
    <row r="86" spans="1:101" x14ac:dyDescent="0.25">
      <c r="A86">
        <v>85</v>
      </c>
      <c r="B86">
        <v>92.845637583892383</v>
      </c>
      <c r="C86">
        <v>-2.8356375838923866</v>
      </c>
      <c r="D86">
        <v>-1086.7316006398471</v>
      </c>
      <c r="E86">
        <v>6546.1999827935542</v>
      </c>
      <c r="F86">
        <v>-369.09844294674582</v>
      </c>
      <c r="G86">
        <v>5783.3252217879035</v>
      </c>
      <c r="H86">
        <v>-369.23209063984683</v>
      </c>
      <c r="I86">
        <v>5224.5205365204956</v>
      </c>
      <c r="J86">
        <v>1321.6794462730591</v>
      </c>
      <c r="K86">
        <v>15195.928474369686</v>
      </c>
      <c r="L86">
        <v>5502.1722214394476</v>
      </c>
      <c r="M86">
        <v>3507688.7411645721</v>
      </c>
      <c r="N86">
        <v>0</v>
      </c>
      <c r="O86">
        <v>8</v>
      </c>
      <c r="P86">
        <v>-3322.5</v>
      </c>
      <c r="Q86">
        <v>-2811.96</v>
      </c>
      <c r="R86">
        <v>-3280</v>
      </c>
      <c r="S86">
        <v>-914.66</v>
      </c>
      <c r="T86">
        <v>-7002</v>
      </c>
      <c r="U86">
        <v>520.34</v>
      </c>
      <c r="V86">
        <v>-7002.1</v>
      </c>
      <c r="W86">
        <v>2365</v>
      </c>
      <c r="X86">
        <v>-6252</v>
      </c>
      <c r="Y86">
        <v>3800</v>
      </c>
      <c r="Z86">
        <v>-1086.7316006398471</v>
      </c>
      <c r="AA86">
        <v>6546.1999827935542</v>
      </c>
      <c r="AB86">
        <v>0</v>
      </c>
      <c r="AC86">
        <v>1064.1696555107644</v>
      </c>
      <c r="AD86">
        <v>1127.0074684186504</v>
      </c>
      <c r="AE86">
        <v>1127.0852605320265</v>
      </c>
      <c r="AF86">
        <v>528.43173896568351</v>
      </c>
      <c r="AG86">
        <v>1655.4780980123226</v>
      </c>
      <c r="AH86">
        <v>1886.2998163666878</v>
      </c>
      <c r="AI86">
        <v>3721.9999999999995</v>
      </c>
      <c r="AJ86">
        <v>1844.6600027105269</v>
      </c>
      <c r="AK86">
        <v>750.10000000000059</v>
      </c>
      <c r="AL86">
        <v>5671.1892035907167</v>
      </c>
      <c r="AM86">
        <v>1321.6794517017547</v>
      </c>
      <c r="AN86">
        <v>-95.021003558665456</v>
      </c>
      <c r="AO86">
        <v>-180</v>
      </c>
      <c r="AP86">
        <v>-90.003106034687008</v>
      </c>
      <c r="AQ86">
        <v>1.2722218725854067E-14</v>
      </c>
      <c r="AR86">
        <v>-42.197781747027825</v>
      </c>
      <c r="AS86">
        <v>89.999999566492619</v>
      </c>
      <c r="AT86">
        <v>-2400.1625746957502</v>
      </c>
      <c r="AU86">
        <v>-3280</v>
      </c>
      <c r="AV86">
        <v>-7719.4999989457119</v>
      </c>
      <c r="AW86">
        <v>-7002.1</v>
      </c>
      <c r="AX86">
        <v>-5770.0610560360856</v>
      </c>
      <c r="AY86">
        <v>-369.23160063984704</v>
      </c>
      <c r="AZ86">
        <v>-2730.9252207921031</v>
      </c>
      <c r="BA86">
        <v>-197.16</v>
      </c>
      <c r="BB86">
        <v>520.3011039433311</v>
      </c>
      <c r="BC86">
        <v>3082.5000000000005</v>
      </c>
      <c r="BD86">
        <v>3268.4540431054461</v>
      </c>
      <c r="BE86">
        <v>6546.1999882222535</v>
      </c>
      <c r="BF86">
        <v>-2565.2532760267472</v>
      </c>
      <c r="BG86">
        <v>-7002</v>
      </c>
      <c r="BH86">
        <v>-7719.5999989457123</v>
      </c>
      <c r="BI86">
        <v>-6252</v>
      </c>
      <c r="BJ86">
        <v>-1568.6705446037611</v>
      </c>
      <c r="BK86">
        <v>-369.23159063984684</v>
      </c>
      <c r="BL86">
        <v>-851.86373761518519</v>
      </c>
      <c r="BM86">
        <v>-197.16</v>
      </c>
      <c r="BN86">
        <v>2364.9611039433312</v>
      </c>
      <c r="BO86">
        <v>3082.5000000000005</v>
      </c>
      <c r="BP86">
        <v>7077.7459396881086</v>
      </c>
      <c r="BQ86">
        <v>5224.5205365204993</v>
      </c>
      <c r="BR86">
        <v>0</v>
      </c>
      <c r="BS86">
        <v>84.97899644133453</v>
      </c>
      <c r="BT86">
        <v>89.996893965312992</v>
      </c>
      <c r="BU86">
        <v>90.003106034687022</v>
      </c>
      <c r="BV86">
        <v>42.19778174702784</v>
      </c>
      <c r="BW86">
        <v>132.19778131352047</v>
      </c>
      <c r="BX86" s="69">
        <f>Таблица1[[#This Row],[Lкан_леб,мм]]</f>
        <v>3507688.7411645721</v>
      </c>
      <c r="BY86" s="65">
        <f>Таблица1[[#This Row],[Т1]]+Таблица1[[#This Row],[Lпрям1, мм]]</f>
        <v>3509575.0409809388</v>
      </c>
      <c r="BZ86" s="65">
        <f>Таблица1[[#This Row],[Т2]]+Таблица1[[#This Row],[Lдуг 2,мм]]</f>
        <v>3510639.2106364495</v>
      </c>
      <c r="CA86" s="65">
        <f>Таблица1[[#This Row],[Т3]]+Таблица1[[#This Row],[Lпрям2, мм]]</f>
        <v>3514361.2106364495</v>
      </c>
      <c r="CB86" s="65">
        <f>Таблица1[[#This Row],[Т4]]+Таблица1[[#This Row],[Lдуг 3,мм]]</f>
        <v>3515488.2181048682</v>
      </c>
      <c r="CC86" s="65">
        <f>Таблица1[[#This Row],[Т5]]+Таблица1[[#This Row],[Lпрям3, мм]]</f>
        <v>3517332.8781075785</v>
      </c>
      <c r="CD86" s="65">
        <f>Таблица1[[#This Row],[Т6]]+Таблица1[[#This Row],[Lдуг 4,мм]]</f>
        <v>3518459.9633681104</v>
      </c>
      <c r="CE86" s="65">
        <f>Таблица1[[#This Row],[Т7]]+Таблица1[[#This Row],[Lпрям4, мм]]</f>
        <v>3519210.0633681105</v>
      </c>
      <c r="CF86" s="72">
        <f>Таблица1[[#This Row],[Т8]]+Таблица1[[#This Row],[Lдуг 5,мм]]</f>
        <v>3519738.4951070761</v>
      </c>
      <c r="CG86" s="65">
        <f>Таблица1[[#This Row],[Т9]]+Таблица1[[#This Row],[Lпрям5, мм]]</f>
        <v>3525409.6843106668</v>
      </c>
      <c r="CH86" s="65">
        <f>Таблица1[[#This Row],[Т10]]+Таблица1[[#This Row],[Lдуг 6,мм]]</f>
        <v>3527065.1624086793</v>
      </c>
      <c r="CI86" s="66">
        <f>Таблица1[[#This Row],[Т11]]+Таблица1[[#This Row],[Lпрям6, мм]]</f>
        <v>3528386.841860381</v>
      </c>
      <c r="CJ86" s="64">
        <f>Таблица1[[#This Row],[Т12]]-Таблица1[[#This Row],[Т12]]</f>
        <v>0</v>
      </c>
      <c r="CK86" s="65">
        <f>Таблица1[[#This Row],[Т12]]-Таблица1[[#This Row],[Т11]]</f>
        <v>1321.679451701697</v>
      </c>
      <c r="CL86" s="65">
        <f>Таблица1[[#This Row],[Т12]]-Таблица1[[#This Row],[Т10]]</f>
        <v>2977.1575497142039</v>
      </c>
      <c r="CM86" s="65">
        <f>Таблица1[[#This Row],[Т12]]-Таблица1[[#This Row],[Т9]]</f>
        <v>8648.3467533048242</v>
      </c>
      <c r="CN86" s="65">
        <f>Таблица1[[#This Row],[Т12]]-Таблица1[[#This Row],[Т8]]</f>
        <v>9176.7784922705032</v>
      </c>
      <c r="CO86" s="65">
        <f>Таблица1[[#This Row],[Т12]]-Таблица1[[#This Row],[Т7]]</f>
        <v>9926.8784922705963</v>
      </c>
      <c r="CP86" s="65">
        <f>Таблица1[[#This Row],[Т12]]-Таблица1[[#This Row],[Т6]]</f>
        <v>11053.963752802461</v>
      </c>
      <c r="CQ86" s="65">
        <f>Таблица1[[#This Row],[Т12]]-Таблица1[[#This Row],[Т5]]</f>
        <v>12898.623755512759</v>
      </c>
      <c r="CR86" s="65">
        <f>Таблица1[[#This Row],[Т12]]-Таблица1[[#This Row],[Т4]]</f>
        <v>14025.631223931443</v>
      </c>
      <c r="CS86" s="65">
        <f>Таблица1[[#This Row],[Т12]]-Таблица1[[#This Row],[Т3]]</f>
        <v>17747.631223931443</v>
      </c>
      <c r="CT86" s="65">
        <f>Таблица1[[#This Row],[Т12]]-Таблица1[[#This Row],[Т2]]</f>
        <v>18811.800879442133</v>
      </c>
      <c r="CU86" s="65">
        <f>Таблица1[[#This Row],[Т12]]-Таблица1[[#This Row],[Т1]]</f>
        <v>20698.100695808884</v>
      </c>
      <c r="CV86" s="65">
        <f>Таблица1[[#This Row],[Lкан_леб,мм]]+Таблица1[[#This Row],[Lкан_дуг, мм]]+Таблица1[[#This Row],[Lкан_прям, мм]]</f>
        <v>3528386.841860381</v>
      </c>
      <c r="CW86" s="60">
        <f>3511128.4-(Таблица1[[#This Row],[Lкан_леб,мм]]+Таблица1[[#This Row],[∆Lлеб из за стрел]])</f>
        <v>3439.6588354278356</v>
      </c>
    </row>
    <row r="87" spans="1:101" x14ac:dyDescent="0.25">
      <c r="A87">
        <v>86</v>
      </c>
      <c r="B87">
        <v>93.35570469798634</v>
      </c>
      <c r="C87">
        <v>-3.3457046979863425</v>
      </c>
      <c r="D87">
        <v>-1152.8723515720128</v>
      </c>
      <c r="E87">
        <v>6542.6171507453373</v>
      </c>
      <c r="F87">
        <v>-435.23919387891129</v>
      </c>
      <c r="G87">
        <v>5779.7423897396866</v>
      </c>
      <c r="H87">
        <v>-435.37284157201259</v>
      </c>
      <c r="I87">
        <v>5220.9377044724752</v>
      </c>
      <c r="J87">
        <v>1321.6794462728626</v>
      </c>
      <c r="K87">
        <v>15134.001843570783</v>
      </c>
      <c r="L87">
        <v>5512.8485425391291</v>
      </c>
      <c r="M87">
        <v>3507739.9914742713</v>
      </c>
      <c r="N87">
        <v>0</v>
      </c>
      <c r="O87">
        <v>8</v>
      </c>
      <c r="P87">
        <v>-3322.5</v>
      </c>
      <c r="Q87">
        <v>-2811.96</v>
      </c>
      <c r="R87">
        <v>-3280</v>
      </c>
      <c r="S87">
        <v>-914.66</v>
      </c>
      <c r="T87">
        <v>-7002</v>
      </c>
      <c r="U87">
        <v>520.34</v>
      </c>
      <c r="V87">
        <v>-7002.1</v>
      </c>
      <c r="W87">
        <v>2365</v>
      </c>
      <c r="X87">
        <v>-6252</v>
      </c>
      <c r="Y87">
        <v>3800</v>
      </c>
      <c r="Z87">
        <v>-1152.8723515720128</v>
      </c>
      <c r="AA87">
        <v>6542.6171507453373</v>
      </c>
      <c r="AB87">
        <v>0</v>
      </c>
      <c r="AC87">
        <v>1064.1696555107644</v>
      </c>
      <c r="AD87">
        <v>1127.0074684186504</v>
      </c>
      <c r="AE87">
        <v>1127.0852605320265</v>
      </c>
      <c r="AF87">
        <v>533.76989951552457</v>
      </c>
      <c r="AG87">
        <v>1660.8162585621635</v>
      </c>
      <c r="AH87">
        <v>1886.2998163666878</v>
      </c>
      <c r="AI87">
        <v>3721.9999999999995</v>
      </c>
      <c r="AJ87">
        <v>1844.6600027105269</v>
      </c>
      <c r="AK87">
        <v>750.10000000000059</v>
      </c>
      <c r="AL87">
        <v>5609.2625727920076</v>
      </c>
      <c r="AM87">
        <v>1321.6794517015585</v>
      </c>
      <c r="AN87">
        <v>-95.021003558665456</v>
      </c>
      <c r="AO87">
        <v>-180</v>
      </c>
      <c r="AP87">
        <v>-90.003106034687008</v>
      </c>
      <c r="AQ87">
        <v>1.2722218725854067E-14</v>
      </c>
      <c r="AR87">
        <v>-42.624059196322776</v>
      </c>
      <c r="AS87">
        <v>89.999999566492619</v>
      </c>
      <c r="AT87">
        <v>-2400.1625746957502</v>
      </c>
      <c r="AU87">
        <v>-3280</v>
      </c>
      <c r="AV87">
        <v>-7719.4999989457119</v>
      </c>
      <c r="AW87">
        <v>-7002.1</v>
      </c>
      <c r="AX87">
        <v>-5766.1197580953549</v>
      </c>
      <c r="AY87">
        <v>-435.37235157201269</v>
      </c>
      <c r="AZ87">
        <v>-2730.9252207921031</v>
      </c>
      <c r="BA87">
        <v>-197.16</v>
      </c>
      <c r="BB87">
        <v>520.3011039433311</v>
      </c>
      <c r="BC87">
        <v>3082.5000000000005</v>
      </c>
      <c r="BD87">
        <v>3272.0543204773016</v>
      </c>
      <c r="BE87">
        <v>6542.6171561740366</v>
      </c>
      <c r="BF87">
        <v>-2565.2532760267472</v>
      </c>
      <c r="BG87">
        <v>-7002</v>
      </c>
      <c r="BH87">
        <v>-7719.5999989457123</v>
      </c>
      <c r="BI87">
        <v>-6252</v>
      </c>
      <c r="BJ87">
        <v>-1638.7525934766577</v>
      </c>
      <c r="BK87">
        <v>-435.3723415720126</v>
      </c>
      <c r="BL87">
        <v>-851.86373761518519</v>
      </c>
      <c r="BM87">
        <v>-197.16</v>
      </c>
      <c r="BN87">
        <v>2364.9611039433312</v>
      </c>
      <c r="BO87">
        <v>3082.5000000000005</v>
      </c>
      <c r="BP87">
        <v>7070.5628302680361</v>
      </c>
      <c r="BQ87">
        <v>5220.9377044724788</v>
      </c>
      <c r="BR87">
        <v>0</v>
      </c>
      <c r="BS87">
        <v>84.97899644133453</v>
      </c>
      <c r="BT87">
        <v>89.996893965312992</v>
      </c>
      <c r="BU87">
        <v>90.003106034687022</v>
      </c>
      <c r="BV87">
        <v>42.624059196322783</v>
      </c>
      <c r="BW87">
        <v>132.62405876281539</v>
      </c>
      <c r="BX87" s="69">
        <f>Таблица1[[#This Row],[Lкан_леб,мм]]</f>
        <v>3507739.9914742713</v>
      </c>
      <c r="BY87" s="65">
        <f>Таблица1[[#This Row],[Т1]]+Таблица1[[#This Row],[Lпрям1, мм]]</f>
        <v>3509626.291290638</v>
      </c>
      <c r="BZ87" s="65">
        <f>Таблица1[[#This Row],[Т2]]+Таблица1[[#This Row],[Lдуг 2,мм]]</f>
        <v>3510690.4609461487</v>
      </c>
      <c r="CA87" s="65">
        <f>Таблица1[[#This Row],[Т3]]+Таблица1[[#This Row],[Lпрям2, мм]]</f>
        <v>3514412.4609461487</v>
      </c>
      <c r="CB87" s="65">
        <f>Таблица1[[#This Row],[Т4]]+Таблица1[[#This Row],[Lдуг 3,мм]]</f>
        <v>3515539.4684145674</v>
      </c>
      <c r="CC87" s="65">
        <f>Таблица1[[#This Row],[Т5]]+Таблица1[[#This Row],[Lпрям3, мм]]</f>
        <v>3517384.1284172777</v>
      </c>
      <c r="CD87" s="65">
        <f>Таблица1[[#This Row],[Т6]]+Таблица1[[#This Row],[Lдуг 4,мм]]</f>
        <v>3518511.2136778096</v>
      </c>
      <c r="CE87" s="65">
        <f>Таблица1[[#This Row],[Т7]]+Таблица1[[#This Row],[Lпрям4, мм]]</f>
        <v>3519261.3136778097</v>
      </c>
      <c r="CF87" s="72">
        <f>Таблица1[[#This Row],[Т8]]+Таблица1[[#This Row],[Lдуг 5,мм]]</f>
        <v>3519795.0835773251</v>
      </c>
      <c r="CG87" s="65">
        <f>Таблица1[[#This Row],[Т9]]+Таблица1[[#This Row],[Lпрям5, мм]]</f>
        <v>3525404.346150117</v>
      </c>
      <c r="CH87" s="65">
        <f>Таблица1[[#This Row],[Т10]]+Таблица1[[#This Row],[Lдуг 6,мм]]</f>
        <v>3527065.1624086793</v>
      </c>
      <c r="CI87" s="66">
        <f>Таблица1[[#This Row],[Т11]]+Таблица1[[#This Row],[Lпрям6, мм]]</f>
        <v>3528386.841860381</v>
      </c>
      <c r="CJ87" s="64">
        <f>Таблица1[[#This Row],[Т12]]-Таблица1[[#This Row],[Т12]]</f>
        <v>0</v>
      </c>
      <c r="CK87" s="65">
        <f>Таблица1[[#This Row],[Т12]]-Таблица1[[#This Row],[Т11]]</f>
        <v>1321.679451701697</v>
      </c>
      <c r="CL87" s="65">
        <f>Таблица1[[#This Row],[Т12]]-Таблица1[[#This Row],[Т10]]</f>
        <v>2982.4957102639601</v>
      </c>
      <c r="CM87" s="65">
        <f>Таблица1[[#This Row],[Т12]]-Таблица1[[#This Row],[Т9]]</f>
        <v>8591.7582830558531</v>
      </c>
      <c r="CN87" s="65">
        <f>Таблица1[[#This Row],[Т12]]-Таблица1[[#This Row],[Т8]]</f>
        <v>9125.5281825712882</v>
      </c>
      <c r="CO87" s="65">
        <f>Таблица1[[#This Row],[Т12]]-Таблица1[[#This Row],[Т7]]</f>
        <v>9875.6281825713813</v>
      </c>
      <c r="CP87" s="65">
        <f>Таблица1[[#This Row],[Т12]]-Таблица1[[#This Row],[Т6]]</f>
        <v>11002.713443103246</v>
      </c>
      <c r="CQ87" s="65">
        <f>Таблица1[[#This Row],[Т12]]-Таблица1[[#This Row],[Т5]]</f>
        <v>12847.373445813544</v>
      </c>
      <c r="CR87" s="65">
        <f>Таблица1[[#This Row],[Т12]]-Таблица1[[#This Row],[Т4]]</f>
        <v>13974.380914232228</v>
      </c>
      <c r="CS87" s="65">
        <f>Таблица1[[#This Row],[Т12]]-Таблица1[[#This Row],[Т3]]</f>
        <v>17696.380914232228</v>
      </c>
      <c r="CT87" s="65">
        <f>Таблица1[[#This Row],[Т12]]-Таблица1[[#This Row],[Т2]]</f>
        <v>18760.550569742918</v>
      </c>
      <c r="CU87" s="65">
        <f>Таблица1[[#This Row],[Т12]]-Таблица1[[#This Row],[Т1]]</f>
        <v>20646.850386109669</v>
      </c>
      <c r="CV87" s="65">
        <f>Таблица1[[#This Row],[Lкан_леб,мм]]+Таблица1[[#This Row],[Lкан_дуг, мм]]+Таблица1[[#This Row],[Lкан_прям, мм]]</f>
        <v>3528386.841860381</v>
      </c>
      <c r="CW87" s="60">
        <f>3511128.4-(Таблица1[[#This Row],[Lкан_леб,мм]]+Таблица1[[#This Row],[∆Lлеб из за стрел]])</f>
        <v>3388.4085257286206</v>
      </c>
    </row>
    <row r="88" spans="1:101" x14ac:dyDescent="0.25">
      <c r="A88">
        <v>87</v>
      </c>
      <c r="B88">
        <v>93.865771812080297</v>
      </c>
      <c r="C88">
        <v>-3.8557718120802984</v>
      </c>
      <c r="D88">
        <v>-1218.9785864276596</v>
      </c>
      <c r="E88">
        <v>6538.4456602962882</v>
      </c>
      <c r="F88">
        <v>-501.34542873455842</v>
      </c>
      <c r="G88">
        <v>5775.5708992906375</v>
      </c>
      <c r="H88">
        <v>-501.47907642765955</v>
      </c>
      <c r="I88">
        <v>5216.7662140239117</v>
      </c>
      <c r="J88">
        <v>1321.679446272376</v>
      </c>
      <c r="K88">
        <v>15071.915505933726</v>
      </c>
      <c r="L88">
        <v>5523.6247073400955</v>
      </c>
      <c r="M88">
        <v>3507791.3016471071</v>
      </c>
      <c r="N88">
        <v>0</v>
      </c>
      <c r="O88">
        <v>8</v>
      </c>
      <c r="P88">
        <v>-3322.5</v>
      </c>
      <c r="Q88">
        <v>-2811.96</v>
      </c>
      <c r="R88">
        <v>-3280</v>
      </c>
      <c r="S88">
        <v>-914.66</v>
      </c>
      <c r="T88">
        <v>-7002</v>
      </c>
      <c r="U88">
        <v>520.34</v>
      </c>
      <c r="V88">
        <v>-7002.1</v>
      </c>
      <c r="W88">
        <v>2365</v>
      </c>
      <c r="X88">
        <v>-6252</v>
      </c>
      <c r="Y88">
        <v>3800</v>
      </c>
      <c r="Z88">
        <v>-1218.9785864276596</v>
      </c>
      <c r="AA88">
        <v>6538.4456602962882</v>
      </c>
      <c r="AB88">
        <v>0</v>
      </c>
      <c r="AC88">
        <v>1064.1696555107644</v>
      </c>
      <c r="AD88">
        <v>1127.0074684186504</v>
      </c>
      <c r="AE88">
        <v>1127.0852605320265</v>
      </c>
      <c r="AF88">
        <v>539.15798191600754</v>
      </c>
      <c r="AG88">
        <v>1666.2043409626465</v>
      </c>
      <c r="AH88">
        <v>1886.2998163666878</v>
      </c>
      <c r="AI88">
        <v>3721.9999999999995</v>
      </c>
      <c r="AJ88">
        <v>1844.6600027105269</v>
      </c>
      <c r="AK88">
        <v>750.10000000000059</v>
      </c>
      <c r="AL88">
        <v>5547.1762351554398</v>
      </c>
      <c r="AM88">
        <v>1321.6794517010717</v>
      </c>
      <c r="AN88">
        <v>-95.021003558665456</v>
      </c>
      <c r="AO88">
        <v>-180</v>
      </c>
      <c r="AP88">
        <v>-90.003106034687008</v>
      </c>
      <c r="AQ88">
        <v>1.2722218725854067E-14</v>
      </c>
      <c r="AR88">
        <v>-43.054323142268956</v>
      </c>
      <c r="AS88">
        <v>89.999999566492605</v>
      </c>
      <c r="AT88">
        <v>-2400.1625746957502</v>
      </c>
      <c r="AU88">
        <v>-3280</v>
      </c>
      <c r="AV88">
        <v>-7719.4999989457119</v>
      </c>
      <c r="AW88">
        <v>-7002.1</v>
      </c>
      <c r="AX88">
        <v>-5762.1688754343404</v>
      </c>
      <c r="AY88">
        <v>-501.47858642765965</v>
      </c>
      <c r="AZ88">
        <v>-2730.9252207921031</v>
      </c>
      <c r="BA88">
        <v>-197.16</v>
      </c>
      <c r="BB88">
        <v>520.3011039433311</v>
      </c>
      <c r="BC88">
        <v>3082.5000000000005</v>
      </c>
      <c r="BD88">
        <v>3275.7179009285724</v>
      </c>
      <c r="BE88">
        <v>6538.4456657249875</v>
      </c>
      <c r="BF88">
        <v>-2565.2532760267472</v>
      </c>
      <c r="BG88">
        <v>-7002</v>
      </c>
      <c r="BH88">
        <v>-7719.5999989457123</v>
      </c>
      <c r="BI88">
        <v>-6252</v>
      </c>
      <c r="BJ88">
        <v>-1708.809710993318</v>
      </c>
      <c r="BK88">
        <v>-501.47857642765956</v>
      </c>
      <c r="BL88">
        <v>-851.86373761518519</v>
      </c>
      <c r="BM88">
        <v>-197.16</v>
      </c>
      <c r="BN88">
        <v>2364.9611039433312</v>
      </c>
      <c r="BO88">
        <v>3082.5000000000005</v>
      </c>
      <c r="BP88">
        <v>7062.7277593677163</v>
      </c>
      <c r="BQ88">
        <v>5216.7662140239154</v>
      </c>
      <c r="BR88">
        <v>0</v>
      </c>
      <c r="BS88">
        <v>84.97899644133453</v>
      </c>
      <c r="BT88">
        <v>89.996893965312992</v>
      </c>
      <c r="BU88">
        <v>90.003106034687022</v>
      </c>
      <c r="BV88">
        <v>43.05432314226897</v>
      </c>
      <c r="BW88">
        <v>133.05432270876159</v>
      </c>
      <c r="BX88" s="69">
        <f>Таблица1[[#This Row],[Lкан_леб,мм]]</f>
        <v>3507791.3016471071</v>
      </c>
      <c r="BY88" s="65">
        <f>Таблица1[[#This Row],[Т1]]+Таблица1[[#This Row],[Lпрям1, мм]]</f>
        <v>3509677.6014634739</v>
      </c>
      <c r="BZ88" s="65">
        <f>Таблица1[[#This Row],[Т2]]+Таблица1[[#This Row],[Lдуг 2,мм]]</f>
        <v>3510741.7711189846</v>
      </c>
      <c r="CA88" s="65">
        <f>Таблица1[[#This Row],[Т3]]+Таблица1[[#This Row],[Lпрям2, мм]]</f>
        <v>3514463.7711189846</v>
      </c>
      <c r="CB88" s="65">
        <f>Таблица1[[#This Row],[Т4]]+Таблица1[[#This Row],[Lдуг 3,мм]]</f>
        <v>3515590.7785874032</v>
      </c>
      <c r="CC88" s="65">
        <f>Таблица1[[#This Row],[Т5]]+Таблица1[[#This Row],[Lпрям3, мм]]</f>
        <v>3517435.4385901135</v>
      </c>
      <c r="CD88" s="65">
        <f>Таблица1[[#This Row],[Т6]]+Таблица1[[#This Row],[Lдуг 4,мм]]</f>
        <v>3518562.5238506454</v>
      </c>
      <c r="CE88" s="65">
        <f>Таблица1[[#This Row],[Т7]]+Таблица1[[#This Row],[Lпрям4, мм]]</f>
        <v>3519312.6238506455</v>
      </c>
      <c r="CF88" s="72">
        <f>Таблица1[[#This Row],[Т8]]+Таблица1[[#This Row],[Lдуг 5,мм]]</f>
        <v>3519851.7818325614</v>
      </c>
      <c r="CG88" s="65">
        <f>Таблица1[[#This Row],[Т9]]+Таблица1[[#This Row],[Lпрям5, мм]]</f>
        <v>3525398.958067717</v>
      </c>
      <c r="CH88" s="65">
        <f>Таблица1[[#This Row],[Т10]]+Таблица1[[#This Row],[Lдуг 6,мм]]</f>
        <v>3527065.1624086797</v>
      </c>
      <c r="CI88" s="66">
        <f>Таблица1[[#This Row],[Т11]]+Таблица1[[#This Row],[Lпрям6, мм]]</f>
        <v>3528386.841860381</v>
      </c>
      <c r="CJ88" s="64">
        <f>Таблица1[[#This Row],[Т12]]-Таблица1[[#This Row],[Т12]]</f>
        <v>0</v>
      </c>
      <c r="CK88" s="65">
        <f>Таблица1[[#This Row],[Т12]]-Таблица1[[#This Row],[Т11]]</f>
        <v>1321.6794517012313</v>
      </c>
      <c r="CL88" s="65">
        <f>Таблица1[[#This Row],[Т12]]-Таблица1[[#This Row],[Т10]]</f>
        <v>2987.8837926639244</v>
      </c>
      <c r="CM88" s="65">
        <f>Таблица1[[#This Row],[Т12]]-Таблица1[[#This Row],[Т9]]</f>
        <v>8535.0600278195925</v>
      </c>
      <c r="CN88" s="65">
        <f>Таблица1[[#This Row],[Т12]]-Таблица1[[#This Row],[Т8]]</f>
        <v>9074.2180097354576</v>
      </c>
      <c r="CO88" s="65">
        <f>Таблица1[[#This Row],[Т12]]-Таблица1[[#This Row],[Т7]]</f>
        <v>9824.3180097355507</v>
      </c>
      <c r="CP88" s="65">
        <f>Таблица1[[#This Row],[Т12]]-Таблица1[[#This Row],[Т6]]</f>
        <v>10951.403270267416</v>
      </c>
      <c r="CQ88" s="65">
        <f>Таблица1[[#This Row],[Т12]]-Таблица1[[#This Row],[Т5]]</f>
        <v>12796.063272977713</v>
      </c>
      <c r="CR88" s="65">
        <f>Таблица1[[#This Row],[Т12]]-Таблица1[[#This Row],[Т4]]</f>
        <v>13923.070741396397</v>
      </c>
      <c r="CS88" s="65">
        <f>Таблица1[[#This Row],[Т12]]-Таблица1[[#This Row],[Т3]]</f>
        <v>17645.070741396397</v>
      </c>
      <c r="CT88" s="65">
        <f>Таблица1[[#This Row],[Т12]]-Таблица1[[#This Row],[Т2]]</f>
        <v>18709.240396907087</v>
      </c>
      <c r="CU88" s="65">
        <f>Таблица1[[#This Row],[Т12]]-Таблица1[[#This Row],[Т1]]</f>
        <v>20595.540213273838</v>
      </c>
      <c r="CV88" s="65">
        <f>Таблица1[[#This Row],[Lкан_леб,мм]]+Таблица1[[#This Row],[Lкан_дуг, мм]]+Таблица1[[#This Row],[Lкан_прям, мм]]</f>
        <v>3528386.841860381</v>
      </c>
      <c r="CW88" s="60">
        <f>3511128.4-(Таблица1[[#This Row],[Lкан_леб,мм]]+Таблица1[[#This Row],[∆Lлеб из за стрел]])</f>
        <v>3337.09835289279</v>
      </c>
    </row>
    <row r="89" spans="1:101" x14ac:dyDescent="0.25">
      <c r="A89">
        <v>88</v>
      </c>
      <c r="B89">
        <v>94.375838926174254</v>
      </c>
      <c r="C89">
        <v>-4.3658389261742538</v>
      </c>
      <c r="D89">
        <v>-1285.0450662002929</v>
      </c>
      <c r="E89">
        <v>6533.6858420425388</v>
      </c>
      <c r="F89">
        <v>-567.41190850719158</v>
      </c>
      <c r="G89">
        <v>5770.8110810368871</v>
      </c>
      <c r="H89">
        <v>-567.54555620029294</v>
      </c>
      <c r="I89">
        <v>5212.0063957696557</v>
      </c>
      <c r="J89">
        <v>1321.6794462728831</v>
      </c>
      <c r="K89">
        <v>15009.669042196207</v>
      </c>
      <c r="L89">
        <v>5534.504199678744</v>
      </c>
      <c r="M89">
        <v>3507842.6686185063</v>
      </c>
      <c r="N89">
        <v>0</v>
      </c>
      <c r="O89">
        <v>8</v>
      </c>
      <c r="P89">
        <v>-3322.5</v>
      </c>
      <c r="Q89">
        <v>-2811.96</v>
      </c>
      <c r="R89">
        <v>-3280</v>
      </c>
      <c r="S89">
        <v>-914.66</v>
      </c>
      <c r="T89">
        <v>-7002</v>
      </c>
      <c r="U89">
        <v>520.34</v>
      </c>
      <c r="V89">
        <v>-7002.1</v>
      </c>
      <c r="W89">
        <v>2365</v>
      </c>
      <c r="X89">
        <v>-6252</v>
      </c>
      <c r="Y89">
        <v>3800</v>
      </c>
      <c r="Z89">
        <v>-1285.0450662002929</v>
      </c>
      <c r="AA89">
        <v>6533.6858420425388</v>
      </c>
      <c r="AB89">
        <v>0</v>
      </c>
      <c r="AC89">
        <v>1064.1696555107644</v>
      </c>
      <c r="AD89">
        <v>1127.0074684186504</v>
      </c>
      <c r="AE89">
        <v>1127.0852605320265</v>
      </c>
      <c r="AF89">
        <v>544.59772808533216</v>
      </c>
      <c r="AG89">
        <v>1671.6440871319708</v>
      </c>
      <c r="AH89">
        <v>1886.2998163666878</v>
      </c>
      <c r="AI89">
        <v>3721.9999999999995</v>
      </c>
      <c r="AJ89">
        <v>1844.6600027105269</v>
      </c>
      <c r="AK89">
        <v>750.10000000000059</v>
      </c>
      <c r="AL89">
        <v>5484.9297714174127</v>
      </c>
      <c r="AM89">
        <v>1321.6794517015787</v>
      </c>
      <c r="AN89">
        <v>-95.021003558665456</v>
      </c>
      <c r="AO89">
        <v>-180</v>
      </c>
      <c r="AP89">
        <v>-90.003106034687008</v>
      </c>
      <c r="AQ89">
        <v>1.2722218725854067E-14</v>
      </c>
      <c r="AR89">
        <v>-43.48871268529998</v>
      </c>
      <c r="AS89">
        <v>89.999999566492619</v>
      </c>
      <c r="AT89">
        <v>-2400.1625746957502</v>
      </c>
      <c r="AU89">
        <v>-3280</v>
      </c>
      <c r="AV89">
        <v>-7719.4999989457119</v>
      </c>
      <c r="AW89">
        <v>-7002.1</v>
      </c>
      <c r="AX89">
        <v>-5758.208131795911</v>
      </c>
      <c r="AY89">
        <v>-567.54506620029304</v>
      </c>
      <c r="AZ89">
        <v>-2730.9252207921031</v>
      </c>
      <c r="BA89">
        <v>-197.16</v>
      </c>
      <c r="BB89">
        <v>520.3011039433311</v>
      </c>
      <c r="BC89">
        <v>3082.5000000000005</v>
      </c>
      <c r="BD89">
        <v>3279.446601302503</v>
      </c>
      <c r="BE89">
        <v>6533.685847471238</v>
      </c>
      <c r="BF89">
        <v>-2565.2532760267472</v>
      </c>
      <c r="BG89">
        <v>-7002</v>
      </c>
      <c r="BH89">
        <v>-7719.5999989457123</v>
      </c>
      <c r="BI89">
        <v>-6252</v>
      </c>
      <c r="BJ89">
        <v>-1778.836934404382</v>
      </c>
      <c r="BK89">
        <v>-567.54505620029295</v>
      </c>
      <c r="BL89">
        <v>-851.86373761518519</v>
      </c>
      <c r="BM89">
        <v>-197.16</v>
      </c>
      <c r="BN89">
        <v>2364.9611039433312</v>
      </c>
      <c r="BO89">
        <v>3082.5000000000005</v>
      </c>
      <c r="BP89">
        <v>7054.2392407400366</v>
      </c>
      <c r="BQ89">
        <v>5212.0063957696593</v>
      </c>
      <c r="BR89">
        <v>0</v>
      </c>
      <c r="BS89">
        <v>84.97899644133453</v>
      </c>
      <c r="BT89">
        <v>89.996893965312992</v>
      </c>
      <c r="BU89">
        <v>90.003106034687022</v>
      </c>
      <c r="BV89">
        <v>43.488712685299994</v>
      </c>
      <c r="BW89">
        <v>133.48871225179258</v>
      </c>
      <c r="BX89" s="69">
        <f>Таблица1[[#This Row],[Lкан_леб,мм]]</f>
        <v>3507842.6686185063</v>
      </c>
      <c r="BY89" s="65">
        <f>Таблица1[[#This Row],[Т1]]+Таблица1[[#This Row],[Lпрям1, мм]]</f>
        <v>3509728.968434873</v>
      </c>
      <c r="BZ89" s="65">
        <f>Таблица1[[#This Row],[Т2]]+Таблица1[[#This Row],[Lдуг 2,мм]]</f>
        <v>3510793.1380903837</v>
      </c>
      <c r="CA89" s="65">
        <f>Таблица1[[#This Row],[Т3]]+Таблица1[[#This Row],[Lпрям2, мм]]</f>
        <v>3514515.1380903837</v>
      </c>
      <c r="CB89" s="65">
        <f>Таблица1[[#This Row],[Т4]]+Таблица1[[#This Row],[Lдуг 3,мм]]</f>
        <v>3515642.1455588024</v>
      </c>
      <c r="CC89" s="65">
        <f>Таблица1[[#This Row],[Т5]]+Таблица1[[#This Row],[Lпрям3, мм]]</f>
        <v>3517486.8055615127</v>
      </c>
      <c r="CD89" s="65">
        <f>Таблица1[[#This Row],[Т6]]+Таблица1[[#This Row],[Lдуг 4,мм]]</f>
        <v>3518613.8908220446</v>
      </c>
      <c r="CE89" s="65">
        <f>Таблица1[[#This Row],[Т7]]+Таблица1[[#This Row],[Lпрям4, мм]]</f>
        <v>3519363.9908220447</v>
      </c>
      <c r="CF89" s="72">
        <f>Таблица1[[#This Row],[Т8]]+Таблица1[[#This Row],[Lдуг 5,мм]]</f>
        <v>3519908.5885501299</v>
      </c>
      <c r="CG89" s="65">
        <f>Таблица1[[#This Row],[Т9]]+Таблица1[[#This Row],[Lпрям5, мм]]</f>
        <v>3525393.5183215472</v>
      </c>
      <c r="CH89" s="65">
        <f>Таблица1[[#This Row],[Т10]]+Таблица1[[#This Row],[Lдуг 6,мм]]</f>
        <v>3527065.1624086793</v>
      </c>
      <c r="CI89" s="66">
        <f>Таблица1[[#This Row],[Т11]]+Таблица1[[#This Row],[Lпрям6, мм]]</f>
        <v>3528386.841860381</v>
      </c>
      <c r="CJ89" s="64">
        <f>Таблица1[[#This Row],[Т12]]-Таблица1[[#This Row],[Т12]]</f>
        <v>0</v>
      </c>
      <c r="CK89" s="65">
        <f>Таблица1[[#This Row],[Т12]]-Таблица1[[#This Row],[Т11]]</f>
        <v>1321.679451701697</v>
      </c>
      <c r="CL89" s="65">
        <f>Таблица1[[#This Row],[Т12]]-Таблица1[[#This Row],[Т10]]</f>
        <v>2993.3235388337635</v>
      </c>
      <c r="CM89" s="65">
        <f>Таблица1[[#This Row],[Т12]]-Таблица1[[#This Row],[Т9]]</f>
        <v>8478.2533102510497</v>
      </c>
      <c r="CN89" s="65">
        <f>Таблица1[[#This Row],[Т12]]-Таблица1[[#This Row],[Т8]]</f>
        <v>9022.8510383362882</v>
      </c>
      <c r="CO89" s="65">
        <f>Таблица1[[#This Row],[Т12]]-Таблица1[[#This Row],[Т7]]</f>
        <v>9772.9510383363813</v>
      </c>
      <c r="CP89" s="65">
        <f>Таблица1[[#This Row],[Т12]]-Таблица1[[#This Row],[Т6]]</f>
        <v>10900.036298868246</v>
      </c>
      <c r="CQ89" s="65">
        <f>Таблица1[[#This Row],[Т12]]-Таблица1[[#This Row],[Т5]]</f>
        <v>12744.696301578544</v>
      </c>
      <c r="CR89" s="65">
        <f>Таблица1[[#This Row],[Т12]]-Таблица1[[#This Row],[Т4]]</f>
        <v>13871.703769997228</v>
      </c>
      <c r="CS89" s="65">
        <f>Таблица1[[#This Row],[Т12]]-Таблица1[[#This Row],[Т3]]</f>
        <v>17593.703769997228</v>
      </c>
      <c r="CT89" s="65">
        <f>Таблица1[[#This Row],[Т12]]-Таблица1[[#This Row],[Т2]]</f>
        <v>18657.873425507918</v>
      </c>
      <c r="CU89" s="65">
        <f>Таблица1[[#This Row],[Т12]]-Таблица1[[#This Row],[Т1]]</f>
        <v>20544.173241874669</v>
      </c>
      <c r="CV89" s="65">
        <f>Таблица1[[#This Row],[Lкан_леб,мм]]+Таблица1[[#This Row],[Lкан_дуг, мм]]+Таблица1[[#This Row],[Lкан_прям, мм]]</f>
        <v>3528386.841860381</v>
      </c>
      <c r="CW89" s="60">
        <f>3511128.4-(Таблица1[[#This Row],[Lкан_леб,мм]]+Таблица1[[#This Row],[∆Lлеб из за стрел]])</f>
        <v>3285.7313814936206</v>
      </c>
    </row>
    <row r="90" spans="1:101" x14ac:dyDescent="0.25">
      <c r="A90">
        <v>89</v>
      </c>
      <c r="B90">
        <v>94.88590604026821</v>
      </c>
      <c r="C90">
        <v>-4.8759060402682097</v>
      </c>
      <c r="D90">
        <v>-1351.0665550340595</v>
      </c>
      <c r="E90">
        <v>6528.3380732059759</v>
      </c>
      <c r="F90">
        <v>-633.43339734095809</v>
      </c>
      <c r="G90">
        <v>5765.4633122003243</v>
      </c>
      <c r="H90">
        <v>-633.56704503405922</v>
      </c>
      <c r="I90">
        <v>5206.6586269332183</v>
      </c>
      <c r="J90">
        <v>1321.6794462727578</v>
      </c>
      <c r="K90">
        <v>14947.2619561799</v>
      </c>
      <c r="L90">
        <v>5545.4906693769508</v>
      </c>
      <c r="M90">
        <v>3507894.0892348243</v>
      </c>
      <c r="N90">
        <v>0</v>
      </c>
      <c r="O90">
        <v>8</v>
      </c>
      <c r="P90">
        <v>-3322.5</v>
      </c>
      <c r="Q90">
        <v>-2811.96</v>
      </c>
      <c r="R90">
        <v>-3280</v>
      </c>
      <c r="S90">
        <v>-914.66</v>
      </c>
      <c r="T90">
        <v>-7002</v>
      </c>
      <c r="U90">
        <v>520.34</v>
      </c>
      <c r="V90">
        <v>-7002.1</v>
      </c>
      <c r="W90">
        <v>2365</v>
      </c>
      <c r="X90">
        <v>-6252</v>
      </c>
      <c r="Y90">
        <v>3800</v>
      </c>
      <c r="Z90">
        <v>-1351.0665550340595</v>
      </c>
      <c r="AA90">
        <v>6528.3380732059759</v>
      </c>
      <c r="AB90">
        <v>0</v>
      </c>
      <c r="AC90">
        <v>1064.1696555107644</v>
      </c>
      <c r="AD90">
        <v>1127.0074684186504</v>
      </c>
      <c r="AE90">
        <v>1127.0852605320265</v>
      </c>
      <c r="AF90">
        <v>550.09096293443542</v>
      </c>
      <c r="AG90">
        <v>1677.1373219810744</v>
      </c>
      <c r="AH90">
        <v>1886.2998163666878</v>
      </c>
      <c r="AI90">
        <v>3721.9999999999995</v>
      </c>
      <c r="AJ90">
        <v>1844.6600027105269</v>
      </c>
      <c r="AK90">
        <v>750.10000000000059</v>
      </c>
      <c r="AL90">
        <v>5422.5226854012344</v>
      </c>
      <c r="AM90">
        <v>1321.6794517014537</v>
      </c>
      <c r="AN90">
        <v>-95.021003558665456</v>
      </c>
      <c r="AO90">
        <v>-180</v>
      </c>
      <c r="AP90">
        <v>-90.003106034687008</v>
      </c>
      <c r="AQ90">
        <v>1.2722218725854067E-14</v>
      </c>
      <c r="AR90">
        <v>-43.927373553213307</v>
      </c>
      <c r="AS90">
        <v>89.999999566492605</v>
      </c>
      <c r="AT90">
        <v>-2400.1625746957502</v>
      </c>
      <c r="AU90">
        <v>-3280</v>
      </c>
      <c r="AV90">
        <v>-7719.4999989457119</v>
      </c>
      <c r="AW90">
        <v>-7002.1</v>
      </c>
      <c r="AX90">
        <v>-5754.2372459756853</v>
      </c>
      <c r="AY90">
        <v>-633.56655503405943</v>
      </c>
      <c r="AZ90">
        <v>-2730.9252207921031</v>
      </c>
      <c r="BA90">
        <v>-197.16</v>
      </c>
      <c r="BB90">
        <v>520.3011039433311</v>
      </c>
      <c r="BC90">
        <v>3082.5000000000005</v>
      </c>
      <c r="BD90">
        <v>3283.2423288366881</v>
      </c>
      <c r="BE90">
        <v>6528.3380786346752</v>
      </c>
      <c r="BF90">
        <v>-2565.2532760267472</v>
      </c>
      <c r="BG90">
        <v>-7002</v>
      </c>
      <c r="BH90">
        <v>-7719.5999989457123</v>
      </c>
      <c r="BI90">
        <v>-6252</v>
      </c>
      <c r="BJ90">
        <v>-1848.8293090583741</v>
      </c>
      <c r="BK90">
        <v>-633.56654503405923</v>
      </c>
      <c r="BL90">
        <v>-851.86373761518519</v>
      </c>
      <c r="BM90">
        <v>-197.16</v>
      </c>
      <c r="BN90">
        <v>2364.9611039433312</v>
      </c>
      <c r="BO90">
        <v>3082.5000000000005</v>
      </c>
      <c r="BP90">
        <v>7045.0957443692878</v>
      </c>
      <c r="BQ90">
        <v>5206.658626933222</v>
      </c>
      <c r="BR90">
        <v>0</v>
      </c>
      <c r="BS90">
        <v>84.97899644133453</v>
      </c>
      <c r="BT90">
        <v>89.996893965312992</v>
      </c>
      <c r="BU90">
        <v>90.003106034687022</v>
      </c>
      <c r="BV90">
        <v>43.927373553213314</v>
      </c>
      <c r="BW90">
        <v>133.92737311970592</v>
      </c>
      <c r="BX90" s="69">
        <f>Таблица1[[#This Row],[Lкан_леб,мм]]</f>
        <v>3507894.0892348243</v>
      </c>
      <c r="BY90" s="65">
        <f>Таблица1[[#This Row],[Т1]]+Таблица1[[#This Row],[Lпрям1, мм]]</f>
        <v>3509780.389051191</v>
      </c>
      <c r="BZ90" s="65">
        <f>Таблица1[[#This Row],[Т2]]+Таблица1[[#This Row],[Lдуг 2,мм]]</f>
        <v>3510844.5587067017</v>
      </c>
      <c r="CA90" s="65">
        <f>Таблица1[[#This Row],[Т3]]+Таблица1[[#This Row],[Lпрям2, мм]]</f>
        <v>3514566.5587067017</v>
      </c>
      <c r="CB90" s="65">
        <f>Таблица1[[#This Row],[Т4]]+Таблица1[[#This Row],[Lдуг 3,мм]]</f>
        <v>3515693.5661751204</v>
      </c>
      <c r="CC90" s="65">
        <f>Таблица1[[#This Row],[Т5]]+Таблица1[[#This Row],[Lпрям3, мм]]</f>
        <v>3517538.2261778307</v>
      </c>
      <c r="CD90" s="65">
        <f>Таблица1[[#This Row],[Т6]]+Таблица1[[#This Row],[Lдуг 4,мм]]</f>
        <v>3518665.3114383626</v>
      </c>
      <c r="CE90" s="65">
        <f>Таблица1[[#This Row],[Т7]]+Таблица1[[#This Row],[Lпрям4, мм]]</f>
        <v>3519415.4114383627</v>
      </c>
      <c r="CF90" s="72">
        <f>Таблица1[[#This Row],[Т8]]+Таблица1[[#This Row],[Lдуг 5,мм]]</f>
        <v>3519965.502401297</v>
      </c>
      <c r="CG90" s="65">
        <f>Таблица1[[#This Row],[Т9]]+Таблица1[[#This Row],[Lпрям5, мм]]</f>
        <v>3525388.0250866981</v>
      </c>
      <c r="CH90" s="65">
        <f>Таблица1[[#This Row],[Т10]]+Таблица1[[#This Row],[Lдуг 6,мм]]</f>
        <v>3527065.1624086793</v>
      </c>
      <c r="CI90" s="66">
        <f>Таблица1[[#This Row],[Т11]]+Таблица1[[#This Row],[Lпрям6, мм]]</f>
        <v>3528386.8418603805</v>
      </c>
      <c r="CJ90" s="64">
        <f>Таблица1[[#This Row],[Т12]]-Таблица1[[#This Row],[Т12]]</f>
        <v>0</v>
      </c>
      <c r="CK90" s="65">
        <f>Таблица1[[#This Row],[Т12]]-Таблица1[[#This Row],[Т11]]</f>
        <v>1321.6794517012313</v>
      </c>
      <c r="CL90" s="65">
        <f>Таблица1[[#This Row],[Т12]]-Таблица1[[#This Row],[Т10]]</f>
        <v>2998.8167736823671</v>
      </c>
      <c r="CM90" s="65">
        <f>Таблица1[[#This Row],[Т12]]-Таблица1[[#This Row],[Т9]]</f>
        <v>8421.3394590835087</v>
      </c>
      <c r="CN90" s="65">
        <f>Таблица1[[#This Row],[Т12]]-Таблица1[[#This Row],[Т8]]</f>
        <v>8971.4304220178165</v>
      </c>
      <c r="CO90" s="65">
        <f>Таблица1[[#This Row],[Т12]]-Таблица1[[#This Row],[Т7]]</f>
        <v>9721.5304220179096</v>
      </c>
      <c r="CP90" s="65">
        <f>Таблица1[[#This Row],[Т12]]-Таблица1[[#This Row],[Т6]]</f>
        <v>10848.615682549775</v>
      </c>
      <c r="CQ90" s="65">
        <f>Таблица1[[#This Row],[Т12]]-Таблица1[[#This Row],[Т5]]</f>
        <v>12693.275685260072</v>
      </c>
      <c r="CR90" s="65">
        <f>Таблица1[[#This Row],[Т12]]-Таблица1[[#This Row],[Т4]]</f>
        <v>13820.283153678756</v>
      </c>
      <c r="CS90" s="65">
        <f>Таблица1[[#This Row],[Т12]]-Таблица1[[#This Row],[Т3]]</f>
        <v>17542.283153678756</v>
      </c>
      <c r="CT90" s="65">
        <f>Таблица1[[#This Row],[Т12]]-Таблица1[[#This Row],[Т2]]</f>
        <v>18606.452809189446</v>
      </c>
      <c r="CU90" s="65">
        <f>Таблица1[[#This Row],[Т12]]-Таблица1[[#This Row],[Т1]]</f>
        <v>20492.752625556197</v>
      </c>
      <c r="CV90" s="65">
        <f>Таблица1[[#This Row],[Lкан_леб,мм]]+Таблица1[[#This Row],[Lкан_дуг, мм]]+Таблица1[[#This Row],[Lкан_прям, мм]]</f>
        <v>3528386.8418603814</v>
      </c>
      <c r="CW90" s="60">
        <f>3511128.4-(Таблица1[[#This Row],[Lкан_леб,мм]]+Таблица1[[#This Row],[∆Lлеб из за стрел]])</f>
        <v>3234.3107651756145</v>
      </c>
    </row>
    <row r="91" spans="1:101" x14ac:dyDescent="0.25">
      <c r="A91">
        <v>90</v>
      </c>
      <c r="B91">
        <v>95.395973154362167</v>
      </c>
      <c r="C91">
        <v>-5.3859731543621656</v>
      </c>
      <c r="D91">
        <v>-1417.0378206386983</v>
      </c>
      <c r="E91">
        <v>6522.4027776043504</v>
      </c>
      <c r="F91">
        <v>-699.40466294559712</v>
      </c>
      <c r="G91">
        <v>5759.5280165986997</v>
      </c>
      <c r="H91">
        <v>-699.53831063869825</v>
      </c>
      <c r="I91">
        <v>5200.7233313315737</v>
      </c>
      <c r="J91">
        <v>1321.6794462727764</v>
      </c>
      <c r="K91">
        <v>14884.693669778932</v>
      </c>
      <c r="L91">
        <v>5556.5879423478409</v>
      </c>
      <c r="M91">
        <v>3507945.5602482543</v>
      </c>
      <c r="N91">
        <v>0</v>
      </c>
      <c r="O91">
        <v>8</v>
      </c>
      <c r="P91">
        <v>-3322.5</v>
      </c>
      <c r="Q91">
        <v>-2811.96</v>
      </c>
      <c r="R91">
        <v>-3280</v>
      </c>
      <c r="S91">
        <v>-914.66</v>
      </c>
      <c r="T91">
        <v>-7002</v>
      </c>
      <c r="U91">
        <v>520.34</v>
      </c>
      <c r="V91">
        <v>-7002.1</v>
      </c>
      <c r="W91">
        <v>2365</v>
      </c>
      <c r="X91">
        <v>-6252</v>
      </c>
      <c r="Y91">
        <v>3800</v>
      </c>
      <c r="Z91">
        <v>-1417.0378206386983</v>
      </c>
      <c r="AA91">
        <v>6522.4027776043504</v>
      </c>
      <c r="AB91">
        <v>0</v>
      </c>
      <c r="AC91">
        <v>1064.1696555107644</v>
      </c>
      <c r="AD91">
        <v>1127.0074684186504</v>
      </c>
      <c r="AE91">
        <v>1127.0852605320265</v>
      </c>
      <c r="AF91">
        <v>555.63959941988048</v>
      </c>
      <c r="AG91">
        <v>1682.6859584665194</v>
      </c>
      <c r="AH91">
        <v>1886.2998163666878</v>
      </c>
      <c r="AI91">
        <v>3721.9999999999995</v>
      </c>
      <c r="AJ91">
        <v>1844.6600027105269</v>
      </c>
      <c r="AK91">
        <v>750.10000000000059</v>
      </c>
      <c r="AL91">
        <v>5359.9543990002448</v>
      </c>
      <c r="AM91">
        <v>1321.6794517014723</v>
      </c>
      <c r="AN91">
        <v>-95.021003558665456</v>
      </c>
      <c r="AO91">
        <v>-180</v>
      </c>
      <c r="AP91">
        <v>-90.003106034687008</v>
      </c>
      <c r="AQ91">
        <v>1.2722218725854067E-14</v>
      </c>
      <c r="AR91">
        <v>-44.370458504667376</v>
      </c>
      <c r="AS91">
        <v>89.999999566492619</v>
      </c>
      <c r="AT91">
        <v>-2400.1625746957502</v>
      </c>
      <c r="AU91">
        <v>-3280</v>
      </c>
      <c r="AV91">
        <v>-7719.4999989457119</v>
      </c>
      <c r="AW91">
        <v>-7002.1</v>
      </c>
      <c r="AX91">
        <v>-5750.2559321970975</v>
      </c>
      <c r="AY91">
        <v>-699.53782063869835</v>
      </c>
      <c r="AZ91">
        <v>-2730.9252207921031</v>
      </c>
      <c r="BA91">
        <v>-197.16</v>
      </c>
      <c r="BB91">
        <v>520.3011039433311</v>
      </c>
      <c r="BC91">
        <v>3082.5000000000005</v>
      </c>
      <c r="BD91">
        <v>3287.1070867865342</v>
      </c>
      <c r="BE91">
        <v>6522.4027830330497</v>
      </c>
      <c r="BF91">
        <v>-2565.2532760267472</v>
      </c>
      <c r="BG91">
        <v>-7002</v>
      </c>
      <c r="BH91">
        <v>-7719.5999989457123</v>
      </c>
      <c r="BI91">
        <v>-6252</v>
      </c>
      <c r="BJ91">
        <v>-1918.7818884416013</v>
      </c>
      <c r="BK91">
        <v>-699.53781063869837</v>
      </c>
      <c r="BL91">
        <v>-851.86373761518519</v>
      </c>
      <c r="BM91">
        <v>-197.16</v>
      </c>
      <c r="BN91">
        <v>2364.9611039433312</v>
      </c>
      <c r="BO91">
        <v>3082.5000000000005</v>
      </c>
      <c r="BP91">
        <v>7035.2956908178166</v>
      </c>
      <c r="BQ91">
        <v>5200.7233313315774</v>
      </c>
      <c r="BR91">
        <v>0</v>
      </c>
      <c r="BS91">
        <v>84.97899644133453</v>
      </c>
      <c r="BT91">
        <v>89.996893965312992</v>
      </c>
      <c r="BU91">
        <v>90.003106034687022</v>
      </c>
      <c r="BV91">
        <v>44.37045850466739</v>
      </c>
      <c r="BW91">
        <v>134.37045807115999</v>
      </c>
      <c r="BX91" s="69">
        <f>Таблица1[[#This Row],[Lкан_леб,мм]]</f>
        <v>3507945.5602482543</v>
      </c>
      <c r="BY91" s="65">
        <f>Таблица1[[#This Row],[Т1]]+Таблица1[[#This Row],[Lпрям1, мм]]</f>
        <v>3509831.8600646211</v>
      </c>
      <c r="BZ91" s="65">
        <f>Таблица1[[#This Row],[Т2]]+Таблица1[[#This Row],[Lдуг 2,мм]]</f>
        <v>3510896.0297201318</v>
      </c>
      <c r="CA91" s="65">
        <f>Таблица1[[#This Row],[Т3]]+Таблица1[[#This Row],[Lпрям2, мм]]</f>
        <v>3514618.0297201318</v>
      </c>
      <c r="CB91" s="65">
        <f>Таблица1[[#This Row],[Т4]]+Таблица1[[#This Row],[Lдуг 3,мм]]</f>
        <v>3515745.0371885505</v>
      </c>
      <c r="CC91" s="65">
        <f>Таблица1[[#This Row],[Т5]]+Таблица1[[#This Row],[Lпрям3, мм]]</f>
        <v>3517589.6971912608</v>
      </c>
      <c r="CD91" s="65">
        <f>Таблица1[[#This Row],[Т6]]+Таблица1[[#This Row],[Lдуг 4,мм]]</f>
        <v>3518716.7824517926</v>
      </c>
      <c r="CE91" s="65">
        <f>Таблица1[[#This Row],[Т7]]+Таблица1[[#This Row],[Lпрям4, мм]]</f>
        <v>3519466.8824517927</v>
      </c>
      <c r="CF91" s="72">
        <f>Таблица1[[#This Row],[Т8]]+Таблица1[[#This Row],[Lдуг 5,мм]]</f>
        <v>3520022.5220512124</v>
      </c>
      <c r="CG91" s="65">
        <f>Таблица1[[#This Row],[Т9]]+Таблица1[[#This Row],[Lпрям5, мм]]</f>
        <v>3525382.4764502128</v>
      </c>
      <c r="CH91" s="65">
        <f>Таблица1[[#This Row],[Т10]]+Таблица1[[#This Row],[Lдуг 6,мм]]</f>
        <v>3527065.1624086793</v>
      </c>
      <c r="CI91" s="66">
        <f>Таблица1[[#This Row],[Т11]]+Таблица1[[#This Row],[Lпрям6, мм]]</f>
        <v>3528386.841860381</v>
      </c>
      <c r="CJ91" s="64">
        <f>Таблица1[[#This Row],[Т12]]-Таблица1[[#This Row],[Т12]]</f>
        <v>0</v>
      </c>
      <c r="CK91" s="65">
        <f>Таблица1[[#This Row],[Т12]]-Таблица1[[#This Row],[Т11]]</f>
        <v>1321.679451701697</v>
      </c>
      <c r="CL91" s="65">
        <f>Таблица1[[#This Row],[Т12]]-Таблица1[[#This Row],[Т10]]</f>
        <v>3004.3654101681896</v>
      </c>
      <c r="CM91" s="65">
        <f>Таблица1[[#This Row],[Т12]]-Таблица1[[#This Row],[Т9]]</f>
        <v>8364.3198091685772</v>
      </c>
      <c r="CN91" s="65">
        <f>Таблица1[[#This Row],[Т12]]-Таблица1[[#This Row],[Т8]]</f>
        <v>8919.9594085882418</v>
      </c>
      <c r="CO91" s="65">
        <f>Таблица1[[#This Row],[Т12]]-Таблица1[[#This Row],[Т7]]</f>
        <v>9670.0594085883349</v>
      </c>
      <c r="CP91" s="65">
        <f>Таблица1[[#This Row],[Т12]]-Таблица1[[#This Row],[Т6]]</f>
        <v>10797.1446691202</v>
      </c>
      <c r="CQ91" s="65">
        <f>Таблица1[[#This Row],[Т12]]-Таблица1[[#This Row],[Т5]]</f>
        <v>12641.804671830498</v>
      </c>
      <c r="CR91" s="65">
        <f>Таблица1[[#This Row],[Т12]]-Таблица1[[#This Row],[Т4]]</f>
        <v>13768.812140249182</v>
      </c>
      <c r="CS91" s="65">
        <f>Таблица1[[#This Row],[Т12]]-Таблица1[[#This Row],[Т3]]</f>
        <v>17490.812140249182</v>
      </c>
      <c r="CT91" s="65">
        <f>Таблица1[[#This Row],[Т12]]-Таблица1[[#This Row],[Т2]]</f>
        <v>18554.981795759872</v>
      </c>
      <c r="CU91" s="65">
        <f>Таблица1[[#This Row],[Т12]]-Таблица1[[#This Row],[Т1]]</f>
        <v>20441.281612126622</v>
      </c>
      <c r="CV91" s="65">
        <f>Таблица1[[#This Row],[Lкан_леб,мм]]+Таблица1[[#This Row],[Lкан_дуг, мм]]+Таблица1[[#This Row],[Lкан_прям, мм]]</f>
        <v>3528386.841860381</v>
      </c>
      <c r="CW91" s="60">
        <f>3511128.4-(Таблица1[[#This Row],[Lкан_леб,мм]]+Таблица1[[#This Row],[∆Lлеб из за стрел]])</f>
        <v>3182.8397517455742</v>
      </c>
    </row>
    <row r="92" spans="1:101" x14ac:dyDescent="0.25">
      <c r="A92">
        <v>91</v>
      </c>
      <c r="B92">
        <v>95.906040268456124</v>
      </c>
      <c r="C92">
        <v>-5.8960402684561215</v>
      </c>
      <c r="D92">
        <v>-1482.9536347042053</v>
      </c>
      <c r="E92">
        <v>6515.8804256176845</v>
      </c>
      <c r="F92">
        <v>-765.32047701110412</v>
      </c>
      <c r="G92">
        <v>5753.0056646120329</v>
      </c>
      <c r="H92">
        <v>-765.45412470420513</v>
      </c>
      <c r="I92">
        <v>5194.2009793449242</v>
      </c>
      <c r="J92">
        <v>1321.6794462727596</v>
      </c>
      <c r="K92">
        <v>14821.963517551154</v>
      </c>
      <c r="L92">
        <v>5567.8000314573619</v>
      </c>
      <c r="M92">
        <v>3507997.0783113725</v>
      </c>
      <c r="N92">
        <v>0</v>
      </c>
      <c r="O92">
        <v>8</v>
      </c>
      <c r="P92">
        <v>-3322.5</v>
      </c>
      <c r="Q92">
        <v>-2811.96</v>
      </c>
      <c r="R92">
        <v>-3280</v>
      </c>
      <c r="S92">
        <v>-914.66</v>
      </c>
      <c r="T92">
        <v>-7002</v>
      </c>
      <c r="U92">
        <v>520.34</v>
      </c>
      <c r="V92">
        <v>-7002.1</v>
      </c>
      <c r="W92">
        <v>2365</v>
      </c>
      <c r="X92">
        <v>-6252</v>
      </c>
      <c r="Y92">
        <v>3800</v>
      </c>
      <c r="Z92">
        <v>-1482.9536347042053</v>
      </c>
      <c r="AA92">
        <v>6515.8804256176845</v>
      </c>
      <c r="AB92">
        <v>0</v>
      </c>
      <c r="AC92">
        <v>1064.1696555107644</v>
      </c>
      <c r="AD92">
        <v>1127.0074684186504</v>
      </c>
      <c r="AE92">
        <v>1127.0852605320265</v>
      </c>
      <c r="AF92">
        <v>561.24564397464098</v>
      </c>
      <c r="AG92">
        <v>1688.2920030212799</v>
      </c>
      <c r="AH92">
        <v>1886.2998163666878</v>
      </c>
      <c r="AI92">
        <v>3721.9999999999995</v>
      </c>
      <c r="AJ92">
        <v>1844.6600027105269</v>
      </c>
      <c r="AK92">
        <v>750.10000000000059</v>
      </c>
      <c r="AL92">
        <v>5297.2242467724845</v>
      </c>
      <c r="AM92">
        <v>1321.6794517014553</v>
      </c>
      <c r="AN92">
        <v>-95.021003558665456</v>
      </c>
      <c r="AO92">
        <v>-180</v>
      </c>
      <c r="AP92">
        <v>-90.003106034687008</v>
      </c>
      <c r="AQ92">
        <v>1.2722218725854067E-14</v>
      </c>
      <c r="AR92">
        <v>-44.818127762855639</v>
      </c>
      <c r="AS92">
        <v>89.999999566492605</v>
      </c>
      <c r="AT92">
        <v>-2400.1625746957502</v>
      </c>
      <c r="AU92">
        <v>-3280</v>
      </c>
      <c r="AV92">
        <v>-7719.4999989457119</v>
      </c>
      <c r="AW92">
        <v>-7002.1</v>
      </c>
      <c r="AX92">
        <v>-5746.2639005634846</v>
      </c>
      <c r="AY92">
        <v>-765.45363470420534</v>
      </c>
      <c r="AZ92">
        <v>-2730.9252207921031</v>
      </c>
      <c r="BA92">
        <v>-197.16</v>
      </c>
      <c r="BB92">
        <v>520.3011039433311</v>
      </c>
      <c r="BC92">
        <v>3082.5000000000005</v>
      </c>
      <c r="BD92">
        <v>3291.0429804720843</v>
      </c>
      <c r="BE92">
        <v>6515.8804310463838</v>
      </c>
      <c r="BF92">
        <v>-2565.2532760267472</v>
      </c>
      <c r="BG92">
        <v>-7002</v>
      </c>
      <c r="BH92">
        <v>-7719.5999989457123</v>
      </c>
      <c r="BI92">
        <v>-6252</v>
      </c>
      <c r="BJ92">
        <v>-1988.6897341407202</v>
      </c>
      <c r="BK92">
        <v>-765.45362470420514</v>
      </c>
      <c r="BL92">
        <v>-851.86373761518519</v>
      </c>
      <c r="BM92">
        <v>-197.16</v>
      </c>
      <c r="BN92">
        <v>2364.9611039433312</v>
      </c>
      <c r="BO92">
        <v>3082.5000000000005</v>
      </c>
      <c r="BP92">
        <v>7024.8374451456002</v>
      </c>
      <c r="BQ92">
        <v>5194.2009793449279</v>
      </c>
      <c r="BR92">
        <v>0</v>
      </c>
      <c r="BS92">
        <v>84.97899644133453</v>
      </c>
      <c r="BT92">
        <v>89.996893965312992</v>
      </c>
      <c r="BU92">
        <v>90.003106034687022</v>
      </c>
      <c r="BV92">
        <v>44.818127762855653</v>
      </c>
      <c r="BW92">
        <v>134.81812732934824</v>
      </c>
      <c r="BX92" s="69">
        <f>Таблица1[[#This Row],[Lкан_леб,мм]]</f>
        <v>3507997.0783113725</v>
      </c>
      <c r="BY92" s="65">
        <f>Таблица1[[#This Row],[Т1]]+Таблица1[[#This Row],[Lпрям1, мм]]</f>
        <v>3509883.3781277393</v>
      </c>
      <c r="BZ92" s="65">
        <f>Таблица1[[#This Row],[Т2]]+Таблица1[[#This Row],[Lдуг 2,мм]]</f>
        <v>3510947.54778325</v>
      </c>
      <c r="CA92" s="65">
        <f>Таблица1[[#This Row],[Т3]]+Таблица1[[#This Row],[Lпрям2, мм]]</f>
        <v>3514669.54778325</v>
      </c>
      <c r="CB92" s="65">
        <f>Таблица1[[#This Row],[Т4]]+Таблица1[[#This Row],[Lдуг 3,мм]]</f>
        <v>3515796.5552516687</v>
      </c>
      <c r="CC92" s="65">
        <f>Таблица1[[#This Row],[Т5]]+Таблица1[[#This Row],[Lпрям3, мм]]</f>
        <v>3517641.215254379</v>
      </c>
      <c r="CD92" s="65">
        <f>Таблица1[[#This Row],[Т6]]+Таблица1[[#This Row],[Lдуг 4,мм]]</f>
        <v>3518768.3005149108</v>
      </c>
      <c r="CE92" s="65">
        <f>Таблица1[[#This Row],[Т7]]+Таблица1[[#This Row],[Lпрям4, мм]]</f>
        <v>3519518.4005149109</v>
      </c>
      <c r="CF92" s="72">
        <f>Таблица1[[#This Row],[Т8]]+Таблица1[[#This Row],[Lдуг 5,мм]]</f>
        <v>3520079.6461588857</v>
      </c>
      <c r="CG92" s="65">
        <f>Таблица1[[#This Row],[Т9]]+Таблица1[[#This Row],[Lпрям5, мм]]</f>
        <v>3525376.8704056581</v>
      </c>
      <c r="CH92" s="65">
        <f>Таблица1[[#This Row],[Т10]]+Таблица1[[#This Row],[Lдуг 6,мм]]</f>
        <v>3527065.1624086793</v>
      </c>
      <c r="CI92" s="66">
        <f>Таблица1[[#This Row],[Т11]]+Таблица1[[#This Row],[Lпрям6, мм]]</f>
        <v>3528386.8418603805</v>
      </c>
      <c r="CJ92" s="64">
        <f>Таблица1[[#This Row],[Т12]]-Таблица1[[#This Row],[Т12]]</f>
        <v>0</v>
      </c>
      <c r="CK92" s="65">
        <f>Таблица1[[#This Row],[Т12]]-Таблица1[[#This Row],[Т11]]</f>
        <v>1321.6794517012313</v>
      </c>
      <c r="CL92" s="65">
        <f>Таблица1[[#This Row],[Т12]]-Таблица1[[#This Row],[Т10]]</f>
        <v>3009.9714547223412</v>
      </c>
      <c r="CM92" s="65">
        <f>Таблица1[[#This Row],[Т12]]-Таблица1[[#This Row],[Т9]]</f>
        <v>8307.195701494813</v>
      </c>
      <c r="CN92" s="65">
        <f>Таблица1[[#This Row],[Т12]]-Таблица1[[#This Row],[Т8]]</f>
        <v>8868.4413454695605</v>
      </c>
      <c r="CO92" s="65">
        <f>Таблица1[[#This Row],[Т12]]-Таблица1[[#This Row],[Т7]]</f>
        <v>9618.5413454696536</v>
      </c>
      <c r="CP92" s="65">
        <f>Таблица1[[#This Row],[Т12]]-Таблица1[[#This Row],[Т6]]</f>
        <v>10745.626606001519</v>
      </c>
      <c r="CQ92" s="65">
        <f>Таблица1[[#This Row],[Т12]]-Таблица1[[#This Row],[Т5]]</f>
        <v>12590.286608711816</v>
      </c>
      <c r="CR92" s="65">
        <f>Таблица1[[#This Row],[Т12]]-Таблица1[[#This Row],[Т4]]</f>
        <v>13717.2940771305</v>
      </c>
      <c r="CS92" s="65">
        <f>Таблица1[[#This Row],[Т12]]-Таблица1[[#This Row],[Т3]]</f>
        <v>17439.2940771305</v>
      </c>
      <c r="CT92" s="65">
        <f>Таблица1[[#This Row],[Т12]]-Таблица1[[#This Row],[Т2]]</f>
        <v>18503.46373264119</v>
      </c>
      <c r="CU92" s="65">
        <f>Таблица1[[#This Row],[Т12]]-Таблица1[[#This Row],[Т1]]</f>
        <v>20389.763549007941</v>
      </c>
      <c r="CV92" s="65">
        <f>Таблица1[[#This Row],[Lкан_леб,мм]]+Таблица1[[#This Row],[Lкан_дуг, мм]]+Таблица1[[#This Row],[Lкан_прям, мм]]</f>
        <v>3528386.8418603814</v>
      </c>
      <c r="CW92" s="60">
        <f>3511128.4-(Таблица1[[#This Row],[Lкан_леб,мм]]+Таблица1[[#This Row],[∆Lлеб из за стрел]])</f>
        <v>3131.3216886273585</v>
      </c>
    </row>
    <row r="93" spans="1:101" x14ac:dyDescent="0.25">
      <c r="A93">
        <v>92</v>
      </c>
      <c r="B93">
        <v>96.416107382550081</v>
      </c>
      <c r="C93">
        <v>-6.4061073825500774</v>
      </c>
      <c r="D93">
        <v>-1548.8087733151847</v>
      </c>
      <c r="E93">
        <v>6508.7715341509929</v>
      </c>
      <c r="F93">
        <v>-831.17561562208346</v>
      </c>
      <c r="G93">
        <v>5745.8967731453413</v>
      </c>
      <c r="H93">
        <v>-831.30926331518469</v>
      </c>
      <c r="I93">
        <v>5187.0920878778743</v>
      </c>
      <c r="J93">
        <v>1321.6794462731184</v>
      </c>
      <c r="K93">
        <v>14759.070740889776</v>
      </c>
      <c r="L93">
        <v>5579.1311482092115</v>
      </c>
      <c r="M93">
        <v>3508048.6399712823</v>
      </c>
      <c r="N93">
        <v>0</v>
      </c>
      <c r="O93">
        <v>8</v>
      </c>
      <c r="P93">
        <v>-3322.5</v>
      </c>
      <c r="Q93">
        <v>-2811.96</v>
      </c>
      <c r="R93">
        <v>-3280</v>
      </c>
      <c r="S93">
        <v>-914.66</v>
      </c>
      <c r="T93">
        <v>-7002</v>
      </c>
      <c r="U93">
        <v>520.34</v>
      </c>
      <c r="V93">
        <v>-7002.1</v>
      </c>
      <c r="W93">
        <v>2365</v>
      </c>
      <c r="X93">
        <v>-6252</v>
      </c>
      <c r="Y93">
        <v>3800</v>
      </c>
      <c r="Z93">
        <v>-1548.8087733151847</v>
      </c>
      <c r="AA93">
        <v>6508.7715341509929</v>
      </c>
      <c r="AB93">
        <v>0</v>
      </c>
      <c r="AC93">
        <v>1064.1696555107644</v>
      </c>
      <c r="AD93">
        <v>1127.0074684186504</v>
      </c>
      <c r="AE93">
        <v>1127.0852605320265</v>
      </c>
      <c r="AF93">
        <v>566.91120235056542</v>
      </c>
      <c r="AG93">
        <v>1693.9575613972047</v>
      </c>
      <c r="AH93">
        <v>1886.2998163666878</v>
      </c>
      <c r="AI93">
        <v>3721.9999999999995</v>
      </c>
      <c r="AJ93">
        <v>1844.6600027105269</v>
      </c>
      <c r="AK93">
        <v>750.10000000000059</v>
      </c>
      <c r="AL93">
        <v>5234.3314701107474</v>
      </c>
      <c r="AM93">
        <v>1321.6794517018143</v>
      </c>
      <c r="AN93">
        <v>-95.021003558665456</v>
      </c>
      <c r="AO93">
        <v>-180</v>
      </c>
      <c r="AP93">
        <v>-90.003106034687008</v>
      </c>
      <c r="AQ93">
        <v>1.2722218725854067E-14</v>
      </c>
      <c r="AR93">
        <v>-45.270549482054889</v>
      </c>
      <c r="AS93">
        <v>89.999999566492619</v>
      </c>
      <c r="AT93">
        <v>-2400.1625746957502</v>
      </c>
      <c r="AU93">
        <v>-3280</v>
      </c>
      <c r="AV93">
        <v>-7719.4999989457119</v>
      </c>
      <c r="AW93">
        <v>-7002.1</v>
      </c>
      <c r="AX93">
        <v>-5742.260857598284</v>
      </c>
      <c r="AY93">
        <v>-831.30877331518468</v>
      </c>
      <c r="AZ93">
        <v>-2730.9252207921031</v>
      </c>
      <c r="BA93">
        <v>-197.16</v>
      </c>
      <c r="BB93">
        <v>520.3011039433311</v>
      </c>
      <c r="BC93">
        <v>3082.5000000000005</v>
      </c>
      <c r="BD93">
        <v>3295.0522237859022</v>
      </c>
      <c r="BE93">
        <v>6508.7715395796922</v>
      </c>
      <c r="BF93">
        <v>-2565.2532760267472</v>
      </c>
      <c r="BG93">
        <v>-7002</v>
      </c>
      <c r="BH93">
        <v>-7719.5999989457123</v>
      </c>
      <c r="BI93">
        <v>-6252</v>
      </c>
      <c r="BJ93">
        <v>-2058.5479157169011</v>
      </c>
      <c r="BK93">
        <v>-831.30876331518471</v>
      </c>
      <c r="BL93">
        <v>-851.86373761518519</v>
      </c>
      <c r="BM93">
        <v>-197.16</v>
      </c>
      <c r="BN93">
        <v>2364.9611039433312</v>
      </c>
      <c r="BO93">
        <v>3082.5000000000005</v>
      </c>
      <c r="BP93">
        <v>7013.7193103650907</v>
      </c>
      <c r="BQ93">
        <v>5187.0920878778779</v>
      </c>
      <c r="BR93">
        <v>0</v>
      </c>
      <c r="BS93">
        <v>84.97899644133453</v>
      </c>
      <c r="BT93">
        <v>89.996893965312992</v>
      </c>
      <c r="BU93">
        <v>90.003106034687022</v>
      </c>
      <c r="BV93">
        <v>45.270549482054903</v>
      </c>
      <c r="BW93">
        <v>135.27054904854751</v>
      </c>
      <c r="BX93" s="69">
        <f>Таблица1[[#This Row],[Lкан_леб,мм]]</f>
        <v>3508048.6399712823</v>
      </c>
      <c r="BY93" s="65">
        <f>Таблица1[[#This Row],[Т1]]+Таблица1[[#This Row],[Lпрям1, мм]]</f>
        <v>3509934.9397876491</v>
      </c>
      <c r="BZ93" s="65">
        <f>Таблица1[[#This Row],[Т2]]+Таблица1[[#This Row],[Lдуг 2,мм]]</f>
        <v>3510999.1094431598</v>
      </c>
      <c r="CA93" s="65">
        <f>Таблица1[[#This Row],[Т3]]+Таблица1[[#This Row],[Lпрям2, мм]]</f>
        <v>3514721.1094431598</v>
      </c>
      <c r="CB93" s="65">
        <f>Таблица1[[#This Row],[Т4]]+Таблица1[[#This Row],[Lдуг 3,мм]]</f>
        <v>3515848.1169115785</v>
      </c>
      <c r="CC93" s="65">
        <f>Таблица1[[#This Row],[Т5]]+Таблица1[[#This Row],[Lпрям3, мм]]</f>
        <v>3517692.7769142888</v>
      </c>
      <c r="CD93" s="65">
        <f>Таблица1[[#This Row],[Т6]]+Таблица1[[#This Row],[Lдуг 4,мм]]</f>
        <v>3518819.8621748206</v>
      </c>
      <c r="CE93" s="65">
        <f>Таблица1[[#This Row],[Т7]]+Таблица1[[#This Row],[Lпрям4, мм]]</f>
        <v>3519569.9621748207</v>
      </c>
      <c r="CF93" s="72">
        <f>Таблица1[[#This Row],[Т8]]+Таблица1[[#This Row],[Lдуг 5,мм]]</f>
        <v>3520136.8733771713</v>
      </c>
      <c r="CG93" s="65">
        <f>Таблица1[[#This Row],[Т9]]+Таблица1[[#This Row],[Lпрям5, мм]]</f>
        <v>3525371.2048472823</v>
      </c>
      <c r="CH93" s="65">
        <f>Таблица1[[#This Row],[Т10]]+Таблица1[[#This Row],[Lдуг 6,мм]]</f>
        <v>3527065.1624086793</v>
      </c>
      <c r="CI93" s="66">
        <f>Таблица1[[#This Row],[Т11]]+Таблица1[[#This Row],[Lпрям6, мм]]</f>
        <v>3528386.841860381</v>
      </c>
      <c r="CJ93" s="64">
        <f>Таблица1[[#This Row],[Т12]]-Таблица1[[#This Row],[Т12]]</f>
        <v>0</v>
      </c>
      <c r="CK93" s="65">
        <f>Таблица1[[#This Row],[Т12]]-Таблица1[[#This Row],[Т11]]</f>
        <v>1321.679451701697</v>
      </c>
      <c r="CL93" s="65">
        <f>Таблица1[[#This Row],[Т12]]-Таблица1[[#This Row],[Т10]]</f>
        <v>3015.6370130986907</v>
      </c>
      <c r="CM93" s="65">
        <f>Таблица1[[#This Row],[Т12]]-Таблица1[[#This Row],[Т9]]</f>
        <v>8249.96848320961</v>
      </c>
      <c r="CN93" s="65">
        <f>Таблица1[[#This Row],[Т12]]-Таблица1[[#This Row],[Т8]]</f>
        <v>8816.8796855602413</v>
      </c>
      <c r="CO93" s="65">
        <f>Таблица1[[#This Row],[Т12]]-Таблица1[[#This Row],[Т7]]</f>
        <v>9566.9796855603345</v>
      </c>
      <c r="CP93" s="65">
        <f>Таблица1[[#This Row],[Т12]]-Таблица1[[#This Row],[Т6]]</f>
        <v>10694.0649460922</v>
      </c>
      <c r="CQ93" s="65">
        <f>Таблица1[[#This Row],[Т12]]-Таблица1[[#This Row],[Т5]]</f>
        <v>12538.724948802497</v>
      </c>
      <c r="CR93" s="65">
        <f>Таблица1[[#This Row],[Т12]]-Таблица1[[#This Row],[Т4]]</f>
        <v>13665.732417221181</v>
      </c>
      <c r="CS93" s="65">
        <f>Таблица1[[#This Row],[Т12]]-Таблица1[[#This Row],[Т3]]</f>
        <v>17387.732417221181</v>
      </c>
      <c r="CT93" s="65">
        <f>Таблица1[[#This Row],[Т12]]-Таблица1[[#This Row],[Т2]]</f>
        <v>18451.902072731871</v>
      </c>
      <c r="CU93" s="65">
        <f>Таблица1[[#This Row],[Т12]]-Таблица1[[#This Row],[Т1]]</f>
        <v>20338.201889098622</v>
      </c>
      <c r="CV93" s="65">
        <f>Таблица1[[#This Row],[Lкан_леб,мм]]+Таблица1[[#This Row],[Lкан_дуг, мм]]+Таблица1[[#This Row],[Lкан_прям, мм]]</f>
        <v>3528386.8418603814</v>
      </c>
      <c r="CW93" s="60">
        <f>3511128.4-(Таблица1[[#This Row],[Lкан_леб,мм]]+Таблица1[[#This Row],[∆Lлеб из за стрел]])</f>
        <v>3079.7600287175737</v>
      </c>
    </row>
    <row r="94" spans="1:101" x14ac:dyDescent="0.25">
      <c r="A94">
        <v>93</v>
      </c>
      <c r="B94">
        <v>96.926174496644038</v>
      </c>
      <c r="C94">
        <v>-6.9161744966440333</v>
      </c>
      <c r="D94">
        <v>-1614.59801736485</v>
      </c>
      <c r="E94">
        <v>6501.0766665933224</v>
      </c>
      <c r="F94">
        <v>-896.96485967174851</v>
      </c>
      <c r="G94">
        <v>5738.2019055876708</v>
      </c>
      <c r="H94">
        <v>-897.09850736484998</v>
      </c>
      <c r="I94">
        <v>5179.397220320524</v>
      </c>
      <c r="J94">
        <v>1321.6794462727978</v>
      </c>
      <c r="K94">
        <v>14696.014481726515</v>
      </c>
      <c r="L94">
        <v>5590.5857153277429</v>
      </c>
      <c r="M94">
        <v>3508100.241663327</v>
      </c>
      <c r="N94">
        <v>0</v>
      </c>
      <c r="O94">
        <v>8</v>
      </c>
      <c r="P94">
        <v>-3322.5</v>
      </c>
      <c r="Q94">
        <v>-2811.96</v>
      </c>
      <c r="R94">
        <v>-3280</v>
      </c>
      <c r="S94">
        <v>-914.66</v>
      </c>
      <c r="T94">
        <v>-7002</v>
      </c>
      <c r="U94">
        <v>520.34</v>
      </c>
      <c r="V94">
        <v>-7002.1</v>
      </c>
      <c r="W94">
        <v>2365</v>
      </c>
      <c r="X94">
        <v>-6252</v>
      </c>
      <c r="Y94">
        <v>3800</v>
      </c>
      <c r="Z94">
        <v>-1614.59801736485</v>
      </c>
      <c r="AA94">
        <v>6501.0766665933224</v>
      </c>
      <c r="AB94">
        <v>0</v>
      </c>
      <c r="AC94">
        <v>1064.1696555107644</v>
      </c>
      <c r="AD94">
        <v>1127.0074684186504</v>
      </c>
      <c r="AE94">
        <v>1127.0852605320265</v>
      </c>
      <c r="AF94">
        <v>572.63848590983105</v>
      </c>
      <c r="AG94">
        <v>1699.6848449564702</v>
      </c>
      <c r="AH94">
        <v>1886.2998163666878</v>
      </c>
      <c r="AI94">
        <v>3721.9999999999995</v>
      </c>
      <c r="AJ94">
        <v>1844.6600027105269</v>
      </c>
      <c r="AK94">
        <v>750.10000000000059</v>
      </c>
      <c r="AL94">
        <v>5171.2752109478088</v>
      </c>
      <c r="AM94">
        <v>1321.6794517014935</v>
      </c>
      <c r="AN94">
        <v>-95.021003558665456</v>
      </c>
      <c r="AO94">
        <v>-180</v>
      </c>
      <c r="AP94">
        <v>-90.003106034687008</v>
      </c>
      <c r="AQ94">
        <v>1.2722218725854067E-14</v>
      </c>
      <c r="AR94">
        <v>-45.72790025002783</v>
      </c>
      <c r="AS94">
        <v>89.999999566492633</v>
      </c>
      <c r="AT94">
        <v>-2400.1625746957502</v>
      </c>
      <c r="AU94">
        <v>-3280</v>
      </c>
      <c r="AV94">
        <v>-7719.4999989457119</v>
      </c>
      <c r="AW94">
        <v>-7002.1</v>
      </c>
      <c r="AX94">
        <v>-5738.2465068859392</v>
      </c>
      <c r="AY94">
        <v>-897.09801736484997</v>
      </c>
      <c r="AZ94">
        <v>-2730.9252207921031</v>
      </c>
      <c r="BA94">
        <v>-197.16</v>
      </c>
      <c r="BB94">
        <v>520.3011039433311</v>
      </c>
      <c r="BC94">
        <v>3082.5000000000005</v>
      </c>
      <c r="BD94">
        <v>3299.1371462035722</v>
      </c>
      <c r="BE94">
        <v>6501.0766720220217</v>
      </c>
      <c r="BF94">
        <v>-2565.2532760267472</v>
      </c>
      <c r="BG94">
        <v>-7002</v>
      </c>
      <c r="BH94">
        <v>-7719.5999989457123</v>
      </c>
      <c r="BI94">
        <v>-6252</v>
      </c>
      <c r="BJ94">
        <v>-2128.3515104789099</v>
      </c>
      <c r="BK94">
        <v>-897.09800736484999</v>
      </c>
      <c r="BL94">
        <v>-851.86373761518519</v>
      </c>
      <c r="BM94">
        <v>-197.16</v>
      </c>
      <c r="BN94">
        <v>2364.9611039433312</v>
      </c>
      <c r="BO94">
        <v>3082.5000000000005</v>
      </c>
      <c r="BP94">
        <v>7001.9395203897502</v>
      </c>
      <c r="BQ94">
        <v>5179.3972203205276</v>
      </c>
      <c r="BR94">
        <v>0</v>
      </c>
      <c r="BS94">
        <v>84.97899644133453</v>
      </c>
      <c r="BT94">
        <v>89.996893965312992</v>
      </c>
      <c r="BU94">
        <v>90.003106034687022</v>
      </c>
      <c r="BV94">
        <v>45.727900250027837</v>
      </c>
      <c r="BW94">
        <v>135.72789981652045</v>
      </c>
      <c r="BX94" s="69">
        <f>Таблица1[[#This Row],[Lкан_леб,мм]]</f>
        <v>3508100.241663327</v>
      </c>
      <c r="BY94" s="65">
        <f>Таблица1[[#This Row],[Т1]]+Таблица1[[#This Row],[Lпрям1, мм]]</f>
        <v>3509986.5414796937</v>
      </c>
      <c r="BZ94" s="65">
        <f>Таблица1[[#This Row],[Т2]]+Таблица1[[#This Row],[Lдуг 2,мм]]</f>
        <v>3511050.7111352044</v>
      </c>
      <c r="CA94" s="65">
        <f>Таблица1[[#This Row],[Т3]]+Таблица1[[#This Row],[Lпрям2, мм]]</f>
        <v>3514772.7111352044</v>
      </c>
      <c r="CB94" s="65">
        <f>Таблица1[[#This Row],[Т4]]+Таблица1[[#This Row],[Lдуг 3,мм]]</f>
        <v>3515899.7186036231</v>
      </c>
      <c r="CC94" s="65">
        <f>Таблица1[[#This Row],[Т5]]+Таблица1[[#This Row],[Lпрям3, мм]]</f>
        <v>3517744.3786063334</v>
      </c>
      <c r="CD94" s="65">
        <f>Таблица1[[#This Row],[Т6]]+Таблица1[[#This Row],[Lдуг 4,мм]]</f>
        <v>3518871.4638668653</v>
      </c>
      <c r="CE94" s="65">
        <f>Таблица1[[#This Row],[Т7]]+Таблица1[[#This Row],[Lпрям4, мм]]</f>
        <v>3519621.5638668654</v>
      </c>
      <c r="CF94" s="72">
        <f>Таблица1[[#This Row],[Т8]]+Таблица1[[#This Row],[Lдуг 5,мм]]</f>
        <v>3520194.2023527753</v>
      </c>
      <c r="CG94" s="65">
        <f>Таблица1[[#This Row],[Т9]]+Таблица1[[#This Row],[Lпрям5, мм]]</f>
        <v>3525365.477563723</v>
      </c>
      <c r="CH94" s="65">
        <f>Таблица1[[#This Row],[Т10]]+Таблица1[[#This Row],[Lдуг 6,мм]]</f>
        <v>3527065.1624086793</v>
      </c>
      <c r="CI94" s="66">
        <f>Таблица1[[#This Row],[Т11]]+Таблица1[[#This Row],[Lпрям6, мм]]</f>
        <v>3528386.841860381</v>
      </c>
      <c r="CJ94" s="64">
        <f>Таблица1[[#This Row],[Т12]]-Таблица1[[#This Row],[Т12]]</f>
        <v>0</v>
      </c>
      <c r="CK94" s="65">
        <f>Таблица1[[#This Row],[Т12]]-Таблица1[[#This Row],[Т11]]</f>
        <v>1321.679451701697</v>
      </c>
      <c r="CL94" s="65">
        <f>Таблица1[[#This Row],[Т12]]-Таблица1[[#This Row],[Т10]]</f>
        <v>3021.3642966579646</v>
      </c>
      <c r="CM94" s="65">
        <f>Таблица1[[#This Row],[Т12]]-Таблица1[[#This Row],[Т9]]</f>
        <v>8192.6395076056942</v>
      </c>
      <c r="CN94" s="65">
        <f>Таблица1[[#This Row],[Т12]]-Таблица1[[#This Row],[Т8]]</f>
        <v>8765.2779935155995</v>
      </c>
      <c r="CO94" s="65">
        <f>Таблица1[[#This Row],[Т12]]-Таблица1[[#This Row],[Т7]]</f>
        <v>9515.3779935156927</v>
      </c>
      <c r="CP94" s="65">
        <f>Таблица1[[#This Row],[Т12]]-Таблица1[[#This Row],[Т6]]</f>
        <v>10642.463254047558</v>
      </c>
      <c r="CQ94" s="65">
        <f>Таблица1[[#This Row],[Т12]]-Таблица1[[#This Row],[Т5]]</f>
        <v>12487.123256757855</v>
      </c>
      <c r="CR94" s="65">
        <f>Таблица1[[#This Row],[Т12]]-Таблица1[[#This Row],[Т4]]</f>
        <v>13614.130725176539</v>
      </c>
      <c r="CS94" s="65">
        <f>Таблица1[[#This Row],[Т12]]-Таблица1[[#This Row],[Т3]]</f>
        <v>17336.130725176539</v>
      </c>
      <c r="CT94" s="65">
        <f>Таблица1[[#This Row],[Т12]]-Таблица1[[#This Row],[Т2]]</f>
        <v>18400.300380687229</v>
      </c>
      <c r="CU94" s="65">
        <f>Таблица1[[#This Row],[Т12]]-Таблица1[[#This Row],[Т1]]</f>
        <v>20286.60019705398</v>
      </c>
      <c r="CV94" s="65">
        <f>Таблица1[[#This Row],[Lкан_леб,мм]]+Таблица1[[#This Row],[Lкан_дуг, мм]]+Таблица1[[#This Row],[Lкан_прям, мм]]</f>
        <v>3528386.8418603814</v>
      </c>
      <c r="CW94" s="60">
        <f>3511128.4-(Таблица1[[#This Row],[Lкан_леб,мм]]+Таблица1[[#This Row],[∆Lлеб из за стрел]])</f>
        <v>3028.1583366729319</v>
      </c>
    </row>
    <row r="95" spans="1:101" x14ac:dyDescent="0.25">
      <c r="A95">
        <v>94</v>
      </c>
      <c r="B95">
        <v>97.436241610737994</v>
      </c>
      <c r="C95">
        <v>-7.4262416107379901</v>
      </c>
      <c r="D95">
        <v>-1680.3161529686458</v>
      </c>
      <c r="E95">
        <v>6492.7964327730979</v>
      </c>
      <c r="F95">
        <v>-962.6829952755445</v>
      </c>
      <c r="G95">
        <v>5729.9216717674472</v>
      </c>
      <c r="H95">
        <v>-962.81664296864551</v>
      </c>
      <c r="I95">
        <v>5171.1169865002166</v>
      </c>
      <c r="J95">
        <v>1321.6794462728803</v>
      </c>
      <c r="K95">
        <v>14632.793775731034</v>
      </c>
      <c r="L95">
        <v>5602.16838032142</v>
      </c>
      <c r="M95">
        <v>3508151.8797043287</v>
      </c>
      <c r="N95">
        <v>0</v>
      </c>
      <c r="O95">
        <v>8</v>
      </c>
      <c r="P95">
        <v>-3322.5</v>
      </c>
      <c r="Q95">
        <v>-2811.96</v>
      </c>
      <c r="R95">
        <v>-3280</v>
      </c>
      <c r="S95">
        <v>-914.66</v>
      </c>
      <c r="T95">
        <v>-7002</v>
      </c>
      <c r="U95">
        <v>520.34</v>
      </c>
      <c r="V95">
        <v>-7002.1</v>
      </c>
      <c r="W95">
        <v>2365</v>
      </c>
      <c r="X95">
        <v>-6252</v>
      </c>
      <c r="Y95">
        <v>3800</v>
      </c>
      <c r="Z95">
        <v>-1680.3161529686458</v>
      </c>
      <c r="AA95">
        <v>6492.7964327730979</v>
      </c>
      <c r="AB95">
        <v>0</v>
      </c>
      <c r="AC95">
        <v>1064.1696555107644</v>
      </c>
      <c r="AD95">
        <v>1127.0074684186504</v>
      </c>
      <c r="AE95">
        <v>1127.0852605320265</v>
      </c>
      <c r="AF95">
        <v>578.42981840667005</v>
      </c>
      <c r="AG95">
        <v>1705.4761774533092</v>
      </c>
      <c r="AH95">
        <v>1886.2998163666878</v>
      </c>
      <c r="AI95">
        <v>3721.9999999999995</v>
      </c>
      <c r="AJ95">
        <v>1844.6600027105269</v>
      </c>
      <c r="AK95">
        <v>750.10000000000059</v>
      </c>
      <c r="AL95">
        <v>5108.0545049522443</v>
      </c>
      <c r="AM95">
        <v>1321.6794517015762</v>
      </c>
      <c r="AN95">
        <v>-95.021003558665456</v>
      </c>
      <c r="AO95">
        <v>-180</v>
      </c>
      <c r="AP95">
        <v>-90.003106034687008</v>
      </c>
      <c r="AQ95">
        <v>1.2722218725854067E-14</v>
      </c>
      <c r="AR95">
        <v>-46.190365629576036</v>
      </c>
      <c r="AS95">
        <v>89.999999566492605</v>
      </c>
      <c r="AT95">
        <v>-2400.1625746957502</v>
      </c>
      <c r="AU95">
        <v>-3280</v>
      </c>
      <c r="AV95">
        <v>-7719.4999989457119</v>
      </c>
      <c r="AW95">
        <v>-7002.1</v>
      </c>
      <c r="AX95">
        <v>-5734.2205498279827</v>
      </c>
      <c r="AY95">
        <v>-962.81615296864584</v>
      </c>
      <c r="AZ95">
        <v>-2730.9252207921031</v>
      </c>
      <c r="BA95">
        <v>-197.16</v>
      </c>
      <c r="BB95">
        <v>520.3011039433311</v>
      </c>
      <c r="BC95">
        <v>3082.5000000000005</v>
      </c>
      <c r="BD95">
        <v>3303.3002003427387</v>
      </c>
      <c r="BE95">
        <v>6492.7964382017972</v>
      </c>
      <c r="BF95">
        <v>-2565.2532760267472</v>
      </c>
      <c r="BG95">
        <v>-7002</v>
      </c>
      <c r="BH95">
        <v>-7719.5999989457123</v>
      </c>
      <c r="BI95">
        <v>-6252</v>
      </c>
      <c r="BJ95">
        <v>-2198.0956031406631</v>
      </c>
      <c r="BK95">
        <v>-962.81614296864552</v>
      </c>
      <c r="BL95">
        <v>-851.86373761518519</v>
      </c>
      <c r="BM95">
        <v>-197.16</v>
      </c>
      <c r="BN95">
        <v>2364.9611039433312</v>
      </c>
      <c r="BO95">
        <v>3082.5000000000005</v>
      </c>
      <c r="BP95">
        <v>6989.4962324303588</v>
      </c>
      <c r="BQ95">
        <v>5171.1169865002203</v>
      </c>
      <c r="BR95">
        <v>0</v>
      </c>
      <c r="BS95">
        <v>84.97899644133453</v>
      </c>
      <c r="BT95">
        <v>89.996893965312992</v>
      </c>
      <c r="BU95">
        <v>90.003106034687022</v>
      </c>
      <c r="BV95">
        <v>46.19036562957605</v>
      </c>
      <c r="BW95">
        <v>136.19036519606865</v>
      </c>
      <c r="BX95" s="69">
        <f>Таблица1[[#This Row],[Lкан_леб,мм]]</f>
        <v>3508151.8797043287</v>
      </c>
      <c r="BY95" s="65">
        <f>Таблица1[[#This Row],[Т1]]+Таблица1[[#This Row],[Lпрям1, мм]]</f>
        <v>3510038.1795206955</v>
      </c>
      <c r="BZ95" s="65">
        <f>Таблица1[[#This Row],[Т2]]+Таблица1[[#This Row],[Lдуг 2,мм]]</f>
        <v>3511102.3491762062</v>
      </c>
      <c r="CA95" s="65">
        <f>Таблица1[[#This Row],[Т3]]+Таблица1[[#This Row],[Lпрям2, мм]]</f>
        <v>3514824.3491762062</v>
      </c>
      <c r="CB95" s="65">
        <f>Таблица1[[#This Row],[Т4]]+Таблица1[[#This Row],[Lдуг 3,мм]]</f>
        <v>3515951.3566446248</v>
      </c>
      <c r="CC95" s="65">
        <f>Таблица1[[#This Row],[Т5]]+Таблица1[[#This Row],[Lпрям3, мм]]</f>
        <v>3517796.0166473351</v>
      </c>
      <c r="CD95" s="65">
        <f>Таблица1[[#This Row],[Т6]]+Таблица1[[#This Row],[Lдуг 4,мм]]</f>
        <v>3518923.101907867</v>
      </c>
      <c r="CE95" s="65">
        <f>Таблица1[[#This Row],[Т7]]+Таблица1[[#This Row],[Lпрям4, мм]]</f>
        <v>3519673.2019078671</v>
      </c>
      <c r="CF95" s="72">
        <f>Таблица1[[#This Row],[Т8]]+Таблица1[[#This Row],[Lдуг 5,мм]]</f>
        <v>3520251.6317262738</v>
      </c>
      <c r="CG95" s="65">
        <f>Таблица1[[#This Row],[Т9]]+Таблица1[[#This Row],[Lпрям5, мм]]</f>
        <v>3525359.6862312262</v>
      </c>
      <c r="CH95" s="65">
        <f>Таблица1[[#This Row],[Т10]]+Таблица1[[#This Row],[Lдуг 6,мм]]</f>
        <v>3527065.1624086797</v>
      </c>
      <c r="CI95" s="66">
        <f>Таблица1[[#This Row],[Т11]]+Таблица1[[#This Row],[Lпрям6, мм]]</f>
        <v>3528386.8418603814</v>
      </c>
      <c r="CJ95" s="64">
        <f>Таблица1[[#This Row],[Т12]]-Таблица1[[#This Row],[Т12]]</f>
        <v>0</v>
      </c>
      <c r="CK95" s="65">
        <f>Таблица1[[#This Row],[Т12]]-Таблица1[[#This Row],[Т11]]</f>
        <v>1321.679451701697</v>
      </c>
      <c r="CL95" s="65">
        <f>Таблица1[[#This Row],[Т12]]-Таблица1[[#This Row],[Т10]]</f>
        <v>3027.1556291552261</v>
      </c>
      <c r="CM95" s="65">
        <f>Таблица1[[#This Row],[Т12]]-Таблица1[[#This Row],[Т9]]</f>
        <v>8135.2101341076195</v>
      </c>
      <c r="CN95" s="65">
        <f>Таблица1[[#This Row],[Т12]]-Таблица1[[#This Row],[Т8]]</f>
        <v>8713.6399525143206</v>
      </c>
      <c r="CO95" s="65">
        <f>Таблица1[[#This Row],[Т12]]-Таблица1[[#This Row],[Т7]]</f>
        <v>9463.7399525144137</v>
      </c>
      <c r="CP95" s="65">
        <f>Таблица1[[#This Row],[Т12]]-Таблица1[[#This Row],[Т6]]</f>
        <v>10590.825213046279</v>
      </c>
      <c r="CQ95" s="65">
        <f>Таблица1[[#This Row],[Т12]]-Таблица1[[#This Row],[Т5]]</f>
        <v>12435.485215756577</v>
      </c>
      <c r="CR95" s="65">
        <f>Таблица1[[#This Row],[Т12]]-Таблица1[[#This Row],[Т4]]</f>
        <v>13562.49268417526</v>
      </c>
      <c r="CS95" s="65">
        <f>Таблица1[[#This Row],[Т12]]-Таблица1[[#This Row],[Т3]]</f>
        <v>17284.49268417526</v>
      </c>
      <c r="CT95" s="65">
        <f>Таблица1[[#This Row],[Т12]]-Таблица1[[#This Row],[Т2]]</f>
        <v>18348.66233968595</v>
      </c>
      <c r="CU95" s="65">
        <f>Таблица1[[#This Row],[Т12]]-Таблица1[[#This Row],[Т1]]</f>
        <v>20234.962156052701</v>
      </c>
      <c r="CV95" s="65">
        <f>Таблица1[[#This Row],[Lкан_леб,мм]]+Таблица1[[#This Row],[Lкан_дуг, мм]]+Таблица1[[#This Row],[Lкан_прям, мм]]</f>
        <v>3528386.8418603814</v>
      </c>
      <c r="CW95" s="60">
        <f>3511128.4-(Таблица1[[#This Row],[Lкан_леб,мм]]+Таблица1[[#This Row],[∆Lлеб из за стрел]])</f>
        <v>2976.5202956711873</v>
      </c>
    </row>
    <row r="96" spans="1:101" x14ac:dyDescent="0.25">
      <c r="A96">
        <v>95</v>
      </c>
      <c r="B96">
        <v>97.946308724831937</v>
      </c>
      <c r="C96">
        <v>-7.9363087248319459</v>
      </c>
      <c r="D96">
        <v>-1745.9579718774555</v>
      </c>
      <c r="E96">
        <v>6483.9314889097977</v>
      </c>
      <c r="F96">
        <v>-1028.3248141843544</v>
      </c>
      <c r="G96">
        <v>5721.0567279041461</v>
      </c>
      <c r="H96">
        <v>-1028.4584618774554</v>
      </c>
      <c r="I96">
        <v>5162.2520426370183</v>
      </c>
      <c r="J96">
        <v>1321.6794462727792</v>
      </c>
      <c r="K96">
        <v>14569.407544943828</v>
      </c>
      <c r="L96">
        <v>5613.8840301182754</v>
      </c>
      <c r="M96">
        <v>3508203.5502853189</v>
      </c>
      <c r="N96">
        <v>0</v>
      </c>
      <c r="O96">
        <v>8</v>
      </c>
      <c r="P96">
        <v>-3322.5</v>
      </c>
      <c r="Q96">
        <v>-2811.96</v>
      </c>
      <c r="R96">
        <v>-3280</v>
      </c>
      <c r="S96">
        <v>-914.66</v>
      </c>
      <c r="T96">
        <v>-7002</v>
      </c>
      <c r="U96">
        <v>520.34</v>
      </c>
      <c r="V96">
        <v>-7002.1</v>
      </c>
      <c r="W96">
        <v>2365</v>
      </c>
      <c r="X96">
        <v>-6252</v>
      </c>
      <c r="Y96">
        <v>3800</v>
      </c>
      <c r="Z96">
        <v>-1745.9579718774555</v>
      </c>
      <c r="AA96">
        <v>6483.9314889097977</v>
      </c>
      <c r="AB96">
        <v>0</v>
      </c>
      <c r="AC96">
        <v>1064.1696555107644</v>
      </c>
      <c r="AD96">
        <v>1127.0074684186504</v>
      </c>
      <c r="AE96">
        <v>1127.0852605320265</v>
      </c>
      <c r="AF96">
        <v>584.2876433050975</v>
      </c>
      <c r="AG96">
        <v>1711.3340023517369</v>
      </c>
      <c r="AH96">
        <v>1886.2998163666878</v>
      </c>
      <c r="AI96">
        <v>3721.9999999999995</v>
      </c>
      <c r="AJ96">
        <v>1844.6600027105269</v>
      </c>
      <c r="AK96">
        <v>750.10000000000059</v>
      </c>
      <c r="AL96">
        <v>5044.6682741651402</v>
      </c>
      <c r="AM96">
        <v>1321.6794517014748</v>
      </c>
      <c r="AN96">
        <v>-95.021003558665456</v>
      </c>
      <c r="AO96">
        <v>-180</v>
      </c>
      <c r="AP96">
        <v>-90.003106034687008</v>
      </c>
      <c r="AQ96">
        <v>1.2722218725854067E-14</v>
      </c>
      <c r="AR96">
        <v>-46.658140742895256</v>
      </c>
      <c r="AS96">
        <v>89.999999566492619</v>
      </c>
      <c r="AT96">
        <v>-2400.1625746957502</v>
      </c>
      <c r="AU96">
        <v>-3280</v>
      </c>
      <c r="AV96">
        <v>-7719.4999989457119</v>
      </c>
      <c r="AW96">
        <v>-7002.1</v>
      </c>
      <c r="AX96">
        <v>-5730.1826865307385</v>
      </c>
      <c r="AY96">
        <v>-1028.4579718774555</v>
      </c>
      <c r="AZ96">
        <v>-2730.9252207921031</v>
      </c>
      <c r="BA96">
        <v>-197.16</v>
      </c>
      <c r="BB96">
        <v>520.3011039433311</v>
      </c>
      <c r="BC96">
        <v>3082.5000000000005</v>
      </c>
      <c r="BD96">
        <v>3307.5439701214714</v>
      </c>
      <c r="BE96">
        <v>6483.931494338497</v>
      </c>
      <c r="BF96">
        <v>-2565.2532760267472</v>
      </c>
      <c r="BG96">
        <v>-7002</v>
      </c>
      <c r="BH96">
        <v>-7719.5999989457123</v>
      </c>
      <c r="BI96">
        <v>-6252</v>
      </c>
      <c r="BJ96">
        <v>-2267.7752853467173</v>
      </c>
      <c r="BK96">
        <v>-1028.4579618774553</v>
      </c>
      <c r="BL96">
        <v>-851.86373761518519</v>
      </c>
      <c r="BM96">
        <v>-197.16</v>
      </c>
      <c r="BN96">
        <v>2364.9611039433312</v>
      </c>
      <c r="BO96">
        <v>3082.5000000000005</v>
      </c>
      <c r="BP96">
        <v>6976.3875187883268</v>
      </c>
      <c r="BQ96">
        <v>5162.252042637022</v>
      </c>
      <c r="BR96">
        <v>0</v>
      </c>
      <c r="BS96">
        <v>84.97899644133453</v>
      </c>
      <c r="BT96">
        <v>89.996893965312992</v>
      </c>
      <c r="BU96">
        <v>90.003106034687022</v>
      </c>
      <c r="BV96">
        <v>46.65814074289527</v>
      </c>
      <c r="BW96">
        <v>136.6581403093879</v>
      </c>
      <c r="BX96" s="69">
        <f>Таблица1[[#This Row],[Lкан_леб,мм]]</f>
        <v>3508203.5502853189</v>
      </c>
      <c r="BY96" s="65">
        <f>Таблица1[[#This Row],[Т1]]+Таблица1[[#This Row],[Lпрям1, мм]]</f>
        <v>3510089.8501016856</v>
      </c>
      <c r="BZ96" s="65">
        <f>Таблица1[[#This Row],[Т2]]+Таблица1[[#This Row],[Lдуг 2,мм]]</f>
        <v>3511154.0197571963</v>
      </c>
      <c r="CA96" s="65">
        <f>Таблица1[[#This Row],[Т3]]+Таблица1[[#This Row],[Lпрям2, мм]]</f>
        <v>3514876.0197571963</v>
      </c>
      <c r="CB96" s="65">
        <f>Таблица1[[#This Row],[Т4]]+Таблица1[[#This Row],[Lдуг 3,мм]]</f>
        <v>3516003.027225615</v>
      </c>
      <c r="CC96" s="65">
        <f>Таблица1[[#This Row],[Т5]]+Таблица1[[#This Row],[Lпрям3, мм]]</f>
        <v>3517847.6872283253</v>
      </c>
      <c r="CD96" s="65">
        <f>Таблица1[[#This Row],[Т6]]+Таблица1[[#This Row],[Lдуг 4,мм]]</f>
        <v>3518974.7724888572</v>
      </c>
      <c r="CE96" s="65">
        <f>Таблица1[[#This Row],[Т7]]+Таблица1[[#This Row],[Lпрям4, мм]]</f>
        <v>3519724.8724888572</v>
      </c>
      <c r="CF96" s="72">
        <f>Таблица1[[#This Row],[Т8]]+Таблица1[[#This Row],[Lдуг 5,мм]]</f>
        <v>3520309.1601321623</v>
      </c>
      <c r="CG96" s="65">
        <f>Таблица1[[#This Row],[Т9]]+Таблица1[[#This Row],[Lпрям5, мм]]</f>
        <v>3525353.8284063274</v>
      </c>
      <c r="CH96" s="65">
        <f>Таблица1[[#This Row],[Т10]]+Таблица1[[#This Row],[Lдуг 6,мм]]</f>
        <v>3527065.1624086793</v>
      </c>
      <c r="CI96" s="66">
        <f>Таблица1[[#This Row],[Т11]]+Таблица1[[#This Row],[Lпрям6, мм]]</f>
        <v>3528386.841860381</v>
      </c>
      <c r="CJ96" s="64">
        <f>Таблица1[[#This Row],[Т12]]-Таблица1[[#This Row],[Т12]]</f>
        <v>0</v>
      </c>
      <c r="CK96" s="65">
        <f>Таблица1[[#This Row],[Т12]]-Таблица1[[#This Row],[Т11]]</f>
        <v>1321.679451701697</v>
      </c>
      <c r="CL96" s="65">
        <f>Таблица1[[#This Row],[Т12]]-Таблица1[[#This Row],[Т10]]</f>
        <v>3033.013454053551</v>
      </c>
      <c r="CM96" s="65">
        <f>Таблица1[[#This Row],[Т12]]-Таблица1[[#This Row],[Т9]]</f>
        <v>8077.6817282186821</v>
      </c>
      <c r="CN96" s="65">
        <f>Таблица1[[#This Row],[Т12]]-Таблица1[[#This Row],[Т8]]</f>
        <v>8661.9693715237081</v>
      </c>
      <c r="CO96" s="65">
        <f>Таблица1[[#This Row],[Т12]]-Таблица1[[#This Row],[Т7]]</f>
        <v>9412.0693715238012</v>
      </c>
      <c r="CP96" s="65">
        <f>Таблица1[[#This Row],[Т12]]-Таблица1[[#This Row],[Т6]]</f>
        <v>10539.154632055666</v>
      </c>
      <c r="CQ96" s="65">
        <f>Таблица1[[#This Row],[Т12]]-Таблица1[[#This Row],[Т5]]</f>
        <v>12383.814634765964</v>
      </c>
      <c r="CR96" s="65">
        <f>Таблица1[[#This Row],[Т12]]-Таблица1[[#This Row],[Т4]]</f>
        <v>13510.822103184648</v>
      </c>
      <c r="CS96" s="65">
        <f>Таблица1[[#This Row],[Т12]]-Таблица1[[#This Row],[Т3]]</f>
        <v>17232.822103184648</v>
      </c>
      <c r="CT96" s="65">
        <f>Таблица1[[#This Row],[Т12]]-Таблица1[[#This Row],[Т2]]</f>
        <v>18296.991758695338</v>
      </c>
      <c r="CU96" s="65">
        <f>Таблица1[[#This Row],[Т12]]-Таблица1[[#This Row],[Т1]]</f>
        <v>20183.291575062089</v>
      </c>
      <c r="CV96" s="65">
        <f>Таблица1[[#This Row],[Lкан_леб,мм]]+Таблица1[[#This Row],[Lкан_дуг, мм]]+Таблица1[[#This Row],[Lкан_прям, мм]]</f>
        <v>3528386.841860381</v>
      </c>
      <c r="CW96" s="60">
        <f>3511128.4-(Таблица1[[#This Row],[Lкан_леб,мм]]+Таблица1[[#This Row],[∆Lлеб из за стрел]])</f>
        <v>2924.8497146810405</v>
      </c>
    </row>
    <row r="97" spans="1:101" x14ac:dyDescent="0.25">
      <c r="A97">
        <v>96</v>
      </c>
      <c r="B97">
        <v>98.456375838925894</v>
      </c>
      <c r="C97">
        <v>-8.4463758389259009</v>
      </c>
      <c r="D97">
        <v>-1811.5182718903618</v>
      </c>
      <c r="E97">
        <v>6474.4825375619384</v>
      </c>
      <c r="F97">
        <v>-1093.8851141972605</v>
      </c>
      <c r="G97">
        <v>5711.6077765562868</v>
      </c>
      <c r="H97">
        <v>-1094.0187618903622</v>
      </c>
      <c r="I97">
        <v>5152.8030912890781</v>
      </c>
      <c r="J97">
        <v>1321.6794462728601</v>
      </c>
      <c r="K97">
        <v>14505.854589801138</v>
      </c>
      <c r="L97">
        <v>5625.7378068748276</v>
      </c>
      <c r="M97">
        <v>3508255.2494637053</v>
      </c>
      <c r="N97">
        <v>0</v>
      </c>
      <c r="O97">
        <v>8</v>
      </c>
      <c r="P97">
        <v>-3322.5</v>
      </c>
      <c r="Q97">
        <v>-2811.96</v>
      </c>
      <c r="R97">
        <v>-3280</v>
      </c>
      <c r="S97">
        <v>-914.66</v>
      </c>
      <c r="T97">
        <v>-7002</v>
      </c>
      <c r="U97">
        <v>520.34</v>
      </c>
      <c r="V97">
        <v>-7002.1</v>
      </c>
      <c r="W97">
        <v>2365</v>
      </c>
      <c r="X97">
        <v>-6252</v>
      </c>
      <c r="Y97">
        <v>3800</v>
      </c>
      <c r="Z97">
        <v>-1811.5182718903618</v>
      </c>
      <c r="AA97">
        <v>6474.4825375619384</v>
      </c>
      <c r="AB97">
        <v>0</v>
      </c>
      <c r="AC97">
        <v>1064.1696555107644</v>
      </c>
      <c r="AD97">
        <v>1127.0074684186504</v>
      </c>
      <c r="AE97">
        <v>1127.0852605320265</v>
      </c>
      <c r="AF97">
        <v>590.21453168337325</v>
      </c>
      <c r="AG97">
        <v>1717.2608907300128</v>
      </c>
      <c r="AH97">
        <v>1886.2998163666878</v>
      </c>
      <c r="AI97">
        <v>3721.9999999999995</v>
      </c>
      <c r="AJ97">
        <v>1844.6600027105269</v>
      </c>
      <c r="AK97">
        <v>750.10000000000059</v>
      </c>
      <c r="AL97">
        <v>4981.1153190223677</v>
      </c>
      <c r="AM97">
        <v>1321.6794517015558</v>
      </c>
      <c r="AN97">
        <v>-95.021003558665456</v>
      </c>
      <c r="AO97">
        <v>-180</v>
      </c>
      <c r="AP97">
        <v>-90.003106034687008</v>
      </c>
      <c r="AQ97">
        <v>1.2722218725854067E-14</v>
      </c>
      <c r="AR97">
        <v>-47.131430902784224</v>
      </c>
      <c r="AS97">
        <v>89.999999566492633</v>
      </c>
      <c r="AT97">
        <v>-2400.1625746957502</v>
      </c>
      <c r="AU97">
        <v>-3280</v>
      </c>
      <c r="AV97">
        <v>-7719.4999989457119</v>
      </c>
      <c r="AW97">
        <v>-7002.1</v>
      </c>
      <c r="AX97">
        <v>-5726.1326168435935</v>
      </c>
      <c r="AY97">
        <v>-1094.0182718903618</v>
      </c>
      <c r="AZ97">
        <v>-2730.9252207921031</v>
      </c>
      <c r="BA97">
        <v>-197.16</v>
      </c>
      <c r="BB97">
        <v>520.3011039433311</v>
      </c>
      <c r="BC97">
        <v>3082.5000000000005</v>
      </c>
      <c r="BD97">
        <v>3311.8711795722024</v>
      </c>
      <c r="BE97">
        <v>6474.4825429906368</v>
      </c>
      <c r="BF97">
        <v>-2565.2532760267472</v>
      </c>
      <c r="BG97">
        <v>-7002</v>
      </c>
      <c r="BH97">
        <v>-7719.5999989457123</v>
      </c>
      <c r="BI97">
        <v>-6252</v>
      </c>
      <c r="BJ97">
        <v>-2337.3856550467681</v>
      </c>
      <c r="BK97">
        <v>-1094.0182618903621</v>
      </c>
      <c r="BL97">
        <v>-851.86373761518519</v>
      </c>
      <c r="BM97">
        <v>-197.16</v>
      </c>
      <c r="BN97">
        <v>2364.9611039433312</v>
      </c>
      <c r="BO97">
        <v>3082.5000000000005</v>
      </c>
      <c r="BP97">
        <v>6962.6113579897365</v>
      </c>
      <c r="BQ97">
        <v>5152.8030912890817</v>
      </c>
      <c r="BR97">
        <v>0</v>
      </c>
      <c r="BS97">
        <v>84.97899644133453</v>
      </c>
      <c r="BT97">
        <v>89.996893965312992</v>
      </c>
      <c r="BU97">
        <v>90.003106034687022</v>
      </c>
      <c r="BV97">
        <v>47.131430902784238</v>
      </c>
      <c r="BW97">
        <v>137.13143046927686</v>
      </c>
      <c r="BX97" s="69">
        <f>Таблица1[[#This Row],[Lкан_леб,мм]]</f>
        <v>3508255.2494637053</v>
      </c>
      <c r="BY97" s="65">
        <f>Таблица1[[#This Row],[Т1]]+Таблица1[[#This Row],[Lпрям1, мм]]</f>
        <v>3510141.5492800721</v>
      </c>
      <c r="BZ97" s="65">
        <f>Таблица1[[#This Row],[Т2]]+Таблица1[[#This Row],[Lдуг 2,мм]]</f>
        <v>3511205.7189355828</v>
      </c>
      <c r="CA97" s="65">
        <f>Таблица1[[#This Row],[Т3]]+Таблица1[[#This Row],[Lпрям2, мм]]</f>
        <v>3514927.7189355828</v>
      </c>
      <c r="CB97" s="65">
        <f>Таблица1[[#This Row],[Т4]]+Таблица1[[#This Row],[Lдуг 3,мм]]</f>
        <v>3516054.7264040015</v>
      </c>
      <c r="CC97" s="65">
        <f>Таблица1[[#This Row],[Т5]]+Таблица1[[#This Row],[Lпрям3, мм]]</f>
        <v>3517899.3864067118</v>
      </c>
      <c r="CD97" s="65">
        <f>Таблица1[[#This Row],[Т6]]+Таблица1[[#This Row],[Lдуг 4,мм]]</f>
        <v>3519026.4716672436</v>
      </c>
      <c r="CE97" s="65">
        <f>Таблица1[[#This Row],[Т7]]+Таблица1[[#This Row],[Lпрям4, мм]]</f>
        <v>3519776.5716672437</v>
      </c>
      <c r="CF97" s="72">
        <f>Таблица1[[#This Row],[Т8]]+Таблица1[[#This Row],[Lдуг 5,мм]]</f>
        <v>3520366.7861989271</v>
      </c>
      <c r="CG97" s="65">
        <f>Таблица1[[#This Row],[Т9]]+Таблица1[[#This Row],[Lпрям5, мм]]</f>
        <v>3525347.9015179495</v>
      </c>
      <c r="CH97" s="65">
        <f>Таблица1[[#This Row],[Т10]]+Таблица1[[#This Row],[Lдуг 6,мм]]</f>
        <v>3527065.1624086797</v>
      </c>
      <c r="CI97" s="66">
        <f>Таблица1[[#This Row],[Т11]]+Таблица1[[#This Row],[Lпрям6, мм]]</f>
        <v>3528386.8418603814</v>
      </c>
      <c r="CJ97" s="64">
        <f>Таблица1[[#This Row],[Т12]]-Таблица1[[#This Row],[Т12]]</f>
        <v>0</v>
      </c>
      <c r="CK97" s="65">
        <f>Таблица1[[#This Row],[Т12]]-Таблица1[[#This Row],[Т11]]</f>
        <v>1321.679451701697</v>
      </c>
      <c r="CL97" s="65">
        <f>Таблица1[[#This Row],[Т12]]-Таблица1[[#This Row],[Т10]]</f>
        <v>3038.940342431888</v>
      </c>
      <c r="CM97" s="65">
        <f>Таблица1[[#This Row],[Т12]]-Таблица1[[#This Row],[Т9]]</f>
        <v>8020.0556614543311</v>
      </c>
      <c r="CN97" s="65">
        <f>Таблица1[[#This Row],[Т12]]-Таблица1[[#This Row],[Т8]]</f>
        <v>8610.2701931376942</v>
      </c>
      <c r="CO97" s="65">
        <f>Таблица1[[#This Row],[Т12]]-Таблица1[[#This Row],[Т7]]</f>
        <v>9360.3701931377873</v>
      </c>
      <c r="CP97" s="65">
        <f>Таблица1[[#This Row],[Т12]]-Таблица1[[#This Row],[Т6]]</f>
        <v>10487.455453669652</v>
      </c>
      <c r="CQ97" s="65">
        <f>Таблица1[[#This Row],[Т12]]-Таблица1[[#This Row],[Т5]]</f>
        <v>12332.11545637995</v>
      </c>
      <c r="CR97" s="65">
        <f>Таблица1[[#This Row],[Т12]]-Таблица1[[#This Row],[Т4]]</f>
        <v>13459.122924798634</v>
      </c>
      <c r="CS97" s="65">
        <f>Таблица1[[#This Row],[Т12]]-Таблица1[[#This Row],[Т3]]</f>
        <v>17181.122924798634</v>
      </c>
      <c r="CT97" s="65">
        <f>Таблица1[[#This Row],[Т12]]-Таблица1[[#This Row],[Т2]]</f>
        <v>18245.292580309324</v>
      </c>
      <c r="CU97" s="65">
        <f>Таблица1[[#This Row],[Т12]]-Таблица1[[#This Row],[Т1]]</f>
        <v>20131.592396676075</v>
      </c>
      <c r="CV97" s="65">
        <f>Таблица1[[#This Row],[Lкан_леб,мм]]+Таблица1[[#This Row],[Lкан_дуг, мм]]+Таблица1[[#This Row],[Lкан_прям, мм]]</f>
        <v>3528386.8418603814</v>
      </c>
      <c r="CW97" s="60">
        <f>3511128.4-(Таблица1[[#This Row],[Lкан_леб,мм]]+Таблица1[[#This Row],[∆Lлеб из за стрел]])</f>
        <v>2873.1505362945609</v>
      </c>
    </row>
    <row r="98" spans="1:101" x14ac:dyDescent="0.25">
      <c r="A98">
        <v>97</v>
      </c>
      <c r="B98">
        <v>98.96644295301985</v>
      </c>
      <c r="C98">
        <v>-8.9564429530198577</v>
      </c>
      <c r="D98">
        <v>-1876.9918572669267</v>
      </c>
      <c r="E98">
        <v>6464.4503275714042</v>
      </c>
      <c r="F98">
        <v>-1159.3586995738253</v>
      </c>
      <c r="G98">
        <v>5701.5755665657525</v>
      </c>
      <c r="H98">
        <v>-1159.4923472669266</v>
      </c>
      <c r="I98">
        <v>5142.7708812983446</v>
      </c>
      <c r="J98">
        <v>1321.6794462730591</v>
      </c>
      <c r="K98">
        <v>14442.133580479591</v>
      </c>
      <c r="L98">
        <v>5637.7351250712418</v>
      </c>
      <c r="M98">
        <v>3508306.9731548303</v>
      </c>
      <c r="N98">
        <v>0</v>
      </c>
      <c r="O98">
        <v>8</v>
      </c>
      <c r="P98">
        <v>-3322.5</v>
      </c>
      <c r="Q98">
        <v>-2811.96</v>
      </c>
      <c r="R98">
        <v>-3280</v>
      </c>
      <c r="S98">
        <v>-914.66</v>
      </c>
      <c r="T98">
        <v>-7002</v>
      </c>
      <c r="U98">
        <v>520.34</v>
      </c>
      <c r="V98">
        <v>-7002.1</v>
      </c>
      <c r="W98">
        <v>2365</v>
      </c>
      <c r="X98">
        <v>-6252</v>
      </c>
      <c r="Y98">
        <v>3800</v>
      </c>
      <c r="Z98">
        <v>-1876.9918572669267</v>
      </c>
      <c r="AA98">
        <v>6464.4503275714042</v>
      </c>
      <c r="AB98">
        <v>0</v>
      </c>
      <c r="AC98">
        <v>1064.1696555107644</v>
      </c>
      <c r="AD98">
        <v>1127.0074684186504</v>
      </c>
      <c r="AE98">
        <v>1127.0852605320265</v>
      </c>
      <c r="AF98">
        <v>596.21319078158035</v>
      </c>
      <c r="AG98">
        <v>1723.2595498282196</v>
      </c>
      <c r="AH98">
        <v>1886.2998163666878</v>
      </c>
      <c r="AI98">
        <v>3721.9999999999995</v>
      </c>
      <c r="AJ98">
        <v>1844.6600027105269</v>
      </c>
      <c r="AK98">
        <v>750.10000000000059</v>
      </c>
      <c r="AL98">
        <v>4917.3943097006213</v>
      </c>
      <c r="AM98">
        <v>1321.6794517017547</v>
      </c>
      <c r="AN98">
        <v>-95.021003558665456</v>
      </c>
      <c r="AO98">
        <v>-180</v>
      </c>
      <c r="AP98">
        <v>-90.003106034687008</v>
      </c>
      <c r="AQ98">
        <v>1.2722218725854067E-14</v>
      </c>
      <c r="AR98">
        <v>-47.610452295209349</v>
      </c>
      <c r="AS98">
        <v>89.999999566492619</v>
      </c>
      <c r="AT98">
        <v>-2400.1625746957502</v>
      </c>
      <c r="AU98">
        <v>-3280</v>
      </c>
      <c r="AV98">
        <v>-7719.4999989457119</v>
      </c>
      <c r="AW98">
        <v>-7002.1</v>
      </c>
      <c r="AX98">
        <v>-5722.0700415694355</v>
      </c>
      <c r="AY98">
        <v>-1159.4918572669267</v>
      </c>
      <c r="AZ98">
        <v>-2730.9252207921031</v>
      </c>
      <c r="BA98">
        <v>-197.16</v>
      </c>
      <c r="BB98">
        <v>520.3011039433311</v>
      </c>
      <c r="BC98">
        <v>3082.5000000000005</v>
      </c>
      <c r="BD98">
        <v>3316.2847023736167</v>
      </c>
      <c r="BE98">
        <v>6464.4503330001035</v>
      </c>
      <c r="BF98">
        <v>-2565.2532760267472</v>
      </c>
      <c r="BG98">
        <v>-7002</v>
      </c>
      <c r="BH98">
        <v>-7719.5999989457123</v>
      </c>
      <c r="BI98">
        <v>-6252</v>
      </c>
      <c r="BJ98">
        <v>-2406.9218156974903</v>
      </c>
      <c r="BK98">
        <v>-1159.4918472669265</v>
      </c>
      <c r="BL98">
        <v>-851.86373761518519</v>
      </c>
      <c r="BM98">
        <v>-197.16</v>
      </c>
      <c r="BN98">
        <v>2364.9611039433312</v>
      </c>
      <c r="BO98">
        <v>3082.5000000000005</v>
      </c>
      <c r="BP98">
        <v>6948.1656251977874</v>
      </c>
      <c r="BQ98">
        <v>5142.7708812983483</v>
      </c>
      <c r="BR98">
        <v>0</v>
      </c>
      <c r="BS98">
        <v>84.97899644133453</v>
      </c>
      <c r="BT98">
        <v>89.996893965312992</v>
      </c>
      <c r="BU98">
        <v>90.003106034687022</v>
      </c>
      <c r="BV98">
        <v>47.610452295209363</v>
      </c>
      <c r="BW98">
        <v>137.61045186170196</v>
      </c>
      <c r="BX98" s="69">
        <f>Таблица1[[#This Row],[Lкан_леб,мм]]</f>
        <v>3508306.9731548303</v>
      </c>
      <c r="BY98" s="65">
        <f>Таблица1[[#This Row],[Т1]]+Таблица1[[#This Row],[Lпрям1, мм]]</f>
        <v>3510193.272971197</v>
      </c>
      <c r="BZ98" s="65">
        <f>Таблица1[[#This Row],[Т2]]+Таблица1[[#This Row],[Lдуг 2,мм]]</f>
        <v>3511257.4426267077</v>
      </c>
      <c r="CA98" s="65">
        <f>Таблица1[[#This Row],[Т3]]+Таблица1[[#This Row],[Lпрям2, мм]]</f>
        <v>3514979.4426267077</v>
      </c>
      <c r="CB98" s="65">
        <f>Таблица1[[#This Row],[Т4]]+Таблица1[[#This Row],[Lдуг 3,мм]]</f>
        <v>3516106.4500951264</v>
      </c>
      <c r="CC98" s="65">
        <f>Таблица1[[#This Row],[Т5]]+Таблица1[[#This Row],[Lпрям3, мм]]</f>
        <v>3517951.1100978367</v>
      </c>
      <c r="CD98" s="65">
        <f>Таблица1[[#This Row],[Т6]]+Таблица1[[#This Row],[Lдуг 4,мм]]</f>
        <v>3519078.1953583686</v>
      </c>
      <c r="CE98" s="65">
        <f>Таблица1[[#This Row],[Т7]]+Таблица1[[#This Row],[Lпрям4, мм]]</f>
        <v>3519828.2953583687</v>
      </c>
      <c r="CF98" s="72">
        <f>Таблица1[[#This Row],[Т8]]+Таблица1[[#This Row],[Lдуг 5,мм]]</f>
        <v>3520424.5085491501</v>
      </c>
      <c r="CG98" s="65">
        <f>Таблица1[[#This Row],[Т9]]+Таблица1[[#This Row],[Lпрям5, мм]]</f>
        <v>3525341.9028588505</v>
      </c>
      <c r="CH98" s="65">
        <f>Таблица1[[#This Row],[Т10]]+Таблица1[[#This Row],[Lдуг 6,мм]]</f>
        <v>3527065.1624086788</v>
      </c>
      <c r="CI98" s="66">
        <f>Таблица1[[#This Row],[Т11]]+Таблица1[[#This Row],[Lпрям6, мм]]</f>
        <v>3528386.8418603805</v>
      </c>
      <c r="CJ98" s="64">
        <f>Таблица1[[#This Row],[Т12]]-Таблица1[[#This Row],[Т12]]</f>
        <v>0</v>
      </c>
      <c r="CK98" s="65">
        <f>Таблица1[[#This Row],[Т12]]-Таблица1[[#This Row],[Т11]]</f>
        <v>1321.679451701697</v>
      </c>
      <c r="CL98" s="65">
        <f>Таблица1[[#This Row],[Т12]]-Таблица1[[#This Row],[Т10]]</f>
        <v>3044.9390015299432</v>
      </c>
      <c r="CM98" s="65">
        <f>Таблица1[[#This Row],[Т12]]-Таблица1[[#This Row],[Т9]]</f>
        <v>7962.3333112304099</v>
      </c>
      <c r="CN98" s="65">
        <f>Таблица1[[#This Row],[Т12]]-Таблица1[[#This Row],[Т8]]</f>
        <v>8558.5465020118281</v>
      </c>
      <c r="CO98" s="65">
        <f>Таблица1[[#This Row],[Т12]]-Таблица1[[#This Row],[Т7]]</f>
        <v>9308.6465020119213</v>
      </c>
      <c r="CP98" s="65">
        <f>Таблица1[[#This Row],[Т12]]-Таблица1[[#This Row],[Т6]]</f>
        <v>10435.731762543786</v>
      </c>
      <c r="CQ98" s="65">
        <f>Таблица1[[#This Row],[Т12]]-Таблица1[[#This Row],[Т5]]</f>
        <v>12280.391765254084</v>
      </c>
      <c r="CR98" s="65">
        <f>Таблица1[[#This Row],[Т12]]-Таблица1[[#This Row],[Т4]]</f>
        <v>13407.399233672768</v>
      </c>
      <c r="CS98" s="65">
        <f>Таблица1[[#This Row],[Т12]]-Таблица1[[#This Row],[Т3]]</f>
        <v>17129.399233672768</v>
      </c>
      <c r="CT98" s="65">
        <f>Таблица1[[#This Row],[Т12]]-Таблица1[[#This Row],[Т2]]</f>
        <v>18193.568889183458</v>
      </c>
      <c r="CU98" s="65">
        <f>Таблица1[[#This Row],[Т12]]-Таблица1[[#This Row],[Т1]]</f>
        <v>20079.868705550209</v>
      </c>
      <c r="CV98" s="65">
        <f>Таблица1[[#This Row],[Lкан_леб,мм]]+Таблица1[[#This Row],[Lкан_дуг, мм]]+Таблица1[[#This Row],[Lкан_прям, мм]]</f>
        <v>3528386.8418603814</v>
      </c>
      <c r="CW98" s="60">
        <f>3511128.4-(Таблица1[[#This Row],[Lкан_леб,мм]]+Таблица1[[#This Row],[∆Lлеб из за стрел]])</f>
        <v>2821.4268451696262</v>
      </c>
    </row>
    <row r="99" spans="1:101" x14ac:dyDescent="0.25">
      <c r="A99">
        <v>98</v>
      </c>
      <c r="B99">
        <v>99.476510067113807</v>
      </c>
      <c r="C99">
        <v>-9.4665100671138127</v>
      </c>
      <c r="D99">
        <v>-1942.3735391389619</v>
      </c>
      <c r="E99">
        <v>6453.8356540041004</v>
      </c>
      <c r="F99">
        <v>-1224.7403814458605</v>
      </c>
      <c r="G99">
        <v>5690.9608929984488</v>
      </c>
      <c r="H99">
        <v>-1224.8740291389618</v>
      </c>
      <c r="I99">
        <v>5132.1562077310718</v>
      </c>
      <c r="J99">
        <v>1321.6794462730288</v>
      </c>
      <c r="K99">
        <v>14378.243047497055</v>
      </c>
      <c r="L99">
        <v>5649.881690018181</v>
      </c>
      <c r="M99">
        <v>3508358.7171228658</v>
      </c>
      <c r="N99">
        <v>0</v>
      </c>
      <c r="O99">
        <v>8</v>
      </c>
      <c r="P99">
        <v>-3322.5</v>
      </c>
      <c r="Q99">
        <v>-2811.96</v>
      </c>
      <c r="R99">
        <v>-3280</v>
      </c>
      <c r="S99">
        <v>-914.66</v>
      </c>
      <c r="T99">
        <v>-7002</v>
      </c>
      <c r="U99">
        <v>520.34</v>
      </c>
      <c r="V99">
        <v>-7002.1</v>
      </c>
      <c r="W99">
        <v>2365</v>
      </c>
      <c r="X99">
        <v>-6252</v>
      </c>
      <c r="Y99">
        <v>3800</v>
      </c>
      <c r="Z99">
        <v>-1942.3735391389619</v>
      </c>
      <c r="AA99">
        <v>6453.8356540041004</v>
      </c>
      <c r="AB99">
        <v>0</v>
      </c>
      <c r="AC99">
        <v>1064.1696555107644</v>
      </c>
      <c r="AD99">
        <v>1127.0074684186504</v>
      </c>
      <c r="AE99">
        <v>1127.0852605320265</v>
      </c>
      <c r="AF99">
        <v>602.28647325505028</v>
      </c>
      <c r="AG99">
        <v>1729.3328323016895</v>
      </c>
      <c r="AH99">
        <v>1886.2998163666878</v>
      </c>
      <c r="AI99">
        <v>3721.9999999999995</v>
      </c>
      <c r="AJ99">
        <v>1844.6600027105269</v>
      </c>
      <c r="AK99">
        <v>750.10000000000059</v>
      </c>
      <c r="AL99">
        <v>4853.5037767181157</v>
      </c>
      <c r="AM99">
        <v>1321.6794517017245</v>
      </c>
      <c r="AN99">
        <v>-95.021003558665456</v>
      </c>
      <c r="AO99">
        <v>-180</v>
      </c>
      <c r="AP99">
        <v>-90.003106034687008</v>
      </c>
      <c r="AQ99">
        <v>1.2722218725854067E-14</v>
      </c>
      <c r="AR99">
        <v>-48.095432718234569</v>
      </c>
      <c r="AS99">
        <v>89.999999566492605</v>
      </c>
      <c r="AT99">
        <v>-2400.1625746957502</v>
      </c>
      <c r="AU99">
        <v>-3280</v>
      </c>
      <c r="AV99">
        <v>-7719.4999989457119</v>
      </c>
      <c r="AW99">
        <v>-7002.1</v>
      </c>
      <c r="AX99">
        <v>-5717.994663872114</v>
      </c>
      <c r="AY99">
        <v>-1224.8735391389619</v>
      </c>
      <c r="AZ99">
        <v>-2730.9252207921031</v>
      </c>
      <c r="BA99">
        <v>-197.16</v>
      </c>
      <c r="BB99">
        <v>520.3011039433311</v>
      </c>
      <c r="BC99">
        <v>3082.5000000000005</v>
      </c>
      <c r="BD99">
        <v>3320.7875721697701</v>
      </c>
      <c r="BE99">
        <v>6453.8356594327997</v>
      </c>
      <c r="BF99">
        <v>-2565.2532760267472</v>
      </c>
      <c r="BG99">
        <v>-7002</v>
      </c>
      <c r="BH99">
        <v>-7719.5999989457123</v>
      </c>
      <c r="BI99">
        <v>-6252</v>
      </c>
      <c r="BJ99">
        <v>-2476.3788752668479</v>
      </c>
      <c r="BK99">
        <v>-1224.8735291389617</v>
      </c>
      <c r="BL99">
        <v>-851.86373761518519</v>
      </c>
      <c r="BM99">
        <v>-197.16</v>
      </c>
      <c r="BN99">
        <v>2364.9611039433312</v>
      </c>
      <c r="BO99">
        <v>3082.5000000000005</v>
      </c>
      <c r="BP99">
        <v>6933.0480818343303</v>
      </c>
      <c r="BQ99">
        <v>5132.1562077310755</v>
      </c>
      <c r="BR99">
        <v>0</v>
      </c>
      <c r="BS99">
        <v>84.97899644133453</v>
      </c>
      <c r="BT99">
        <v>89.996893965312992</v>
      </c>
      <c r="BU99">
        <v>90.003106034687022</v>
      </c>
      <c r="BV99">
        <v>48.095432718234584</v>
      </c>
      <c r="BW99">
        <v>138.0954322847272</v>
      </c>
      <c r="BX99" s="69">
        <f>Таблица1[[#This Row],[Lкан_леб,мм]]</f>
        <v>3508358.7171228658</v>
      </c>
      <c r="BY99" s="65">
        <f>Таблица1[[#This Row],[Т1]]+Таблица1[[#This Row],[Lпрям1, мм]]</f>
        <v>3510245.0169392326</v>
      </c>
      <c r="BZ99" s="65">
        <f>Таблица1[[#This Row],[Т2]]+Таблица1[[#This Row],[Lдуг 2,мм]]</f>
        <v>3511309.1865947433</v>
      </c>
      <c r="CA99" s="65">
        <f>Таблица1[[#This Row],[Т3]]+Таблица1[[#This Row],[Lпрям2, мм]]</f>
        <v>3515031.1865947433</v>
      </c>
      <c r="CB99" s="65">
        <f>Таблица1[[#This Row],[Т4]]+Таблица1[[#This Row],[Lдуг 3,мм]]</f>
        <v>3516158.194063162</v>
      </c>
      <c r="CC99" s="65">
        <f>Таблица1[[#This Row],[Т5]]+Таблица1[[#This Row],[Lпрям3, мм]]</f>
        <v>3518002.8540658723</v>
      </c>
      <c r="CD99" s="65">
        <f>Таблица1[[#This Row],[Т6]]+Таблица1[[#This Row],[Lдуг 4,мм]]</f>
        <v>3519129.9393264041</v>
      </c>
      <c r="CE99" s="65">
        <f>Таблица1[[#This Row],[Т7]]+Таблица1[[#This Row],[Lпрям4, мм]]</f>
        <v>3519880.0393264042</v>
      </c>
      <c r="CF99" s="72">
        <f>Таблица1[[#This Row],[Т8]]+Таблица1[[#This Row],[Lдуг 5,мм]]</f>
        <v>3520482.3257996594</v>
      </c>
      <c r="CG99" s="65">
        <f>Таблица1[[#This Row],[Т9]]+Таблица1[[#This Row],[Lпрям5, мм]]</f>
        <v>3525335.8295763773</v>
      </c>
      <c r="CH99" s="65">
        <f>Таблица1[[#This Row],[Т10]]+Таблица1[[#This Row],[Lдуг 6,мм]]</f>
        <v>3527065.1624086788</v>
      </c>
      <c r="CI99" s="66">
        <f>Таблица1[[#This Row],[Т11]]+Таблица1[[#This Row],[Lпрям6, мм]]</f>
        <v>3528386.8418603805</v>
      </c>
      <c r="CJ99" s="64">
        <f>Таблица1[[#This Row],[Т12]]-Таблица1[[#This Row],[Т12]]</f>
        <v>0</v>
      </c>
      <c r="CK99" s="65">
        <f>Таблица1[[#This Row],[Т12]]-Таблица1[[#This Row],[Т11]]</f>
        <v>1321.679451701697</v>
      </c>
      <c r="CL99" s="65">
        <f>Таблица1[[#This Row],[Т12]]-Таблица1[[#This Row],[Т10]]</f>
        <v>3051.0122840031981</v>
      </c>
      <c r="CM99" s="65">
        <f>Таблица1[[#This Row],[Т12]]-Таблица1[[#This Row],[Т9]]</f>
        <v>7904.5160607211292</v>
      </c>
      <c r="CN99" s="65">
        <f>Таблица1[[#This Row],[Т12]]-Таблица1[[#This Row],[Т8]]</f>
        <v>8506.802533976268</v>
      </c>
      <c r="CO99" s="65">
        <f>Таблица1[[#This Row],[Т12]]-Таблица1[[#This Row],[Т7]]</f>
        <v>9256.9025339763612</v>
      </c>
      <c r="CP99" s="65">
        <f>Таблица1[[#This Row],[Т12]]-Таблица1[[#This Row],[Т6]]</f>
        <v>10383.987794508226</v>
      </c>
      <c r="CQ99" s="65">
        <f>Таблица1[[#This Row],[Т12]]-Таблица1[[#This Row],[Т5]]</f>
        <v>12228.647797218524</v>
      </c>
      <c r="CR99" s="65">
        <f>Таблица1[[#This Row],[Т12]]-Таблица1[[#This Row],[Т4]]</f>
        <v>13355.655265637208</v>
      </c>
      <c r="CS99" s="65">
        <f>Таблица1[[#This Row],[Т12]]-Таблица1[[#This Row],[Т3]]</f>
        <v>17077.655265637208</v>
      </c>
      <c r="CT99" s="65">
        <f>Таблица1[[#This Row],[Т12]]-Таблица1[[#This Row],[Т2]]</f>
        <v>18141.824921147898</v>
      </c>
      <c r="CU99" s="65">
        <f>Таблица1[[#This Row],[Т12]]-Таблица1[[#This Row],[Т1]]</f>
        <v>20028.124737514649</v>
      </c>
      <c r="CV99" s="65">
        <f>Таблица1[[#This Row],[Lкан_леб,мм]]+Таблица1[[#This Row],[Lкан_дуг, мм]]+Таблица1[[#This Row],[Lкан_прям, мм]]</f>
        <v>3528386.8418603814</v>
      </c>
      <c r="CW99" s="60">
        <f>3511128.4-(Таблица1[[#This Row],[Lкан_леб,мм]]+Таблица1[[#This Row],[∆Lлеб из за стрел]])</f>
        <v>2769.6828771340661</v>
      </c>
    </row>
    <row r="100" spans="1:101" x14ac:dyDescent="0.25">
      <c r="A100">
        <v>99</v>
      </c>
      <c r="B100">
        <v>99.986577181207764</v>
      </c>
      <c r="C100">
        <v>-9.9765771812077695</v>
      </c>
      <c r="D100">
        <v>-2007.6581359217544</v>
      </c>
      <c r="E100">
        <v>6442.6393580869353</v>
      </c>
      <c r="F100">
        <v>-1290.024978228653</v>
      </c>
      <c r="G100">
        <v>5679.7645970812846</v>
      </c>
      <c r="H100">
        <v>-1290.1586259217543</v>
      </c>
      <c r="I100">
        <v>5120.9599118139995</v>
      </c>
      <c r="J100">
        <v>1321.6794462729365</v>
      </c>
      <c r="K100">
        <v>14314.181371491342</v>
      </c>
      <c r="L100">
        <v>5662.1835179152231</v>
      </c>
      <c r="M100">
        <v>3508410.4769709748</v>
      </c>
      <c r="N100">
        <v>0</v>
      </c>
      <c r="O100">
        <v>8</v>
      </c>
      <c r="P100">
        <v>-3322.5</v>
      </c>
      <c r="Q100">
        <v>-2811.96</v>
      </c>
      <c r="R100">
        <v>-3280</v>
      </c>
      <c r="S100">
        <v>-914.66</v>
      </c>
      <c r="T100">
        <v>-7002</v>
      </c>
      <c r="U100">
        <v>520.34</v>
      </c>
      <c r="V100">
        <v>-7002.1</v>
      </c>
      <c r="W100">
        <v>2365</v>
      </c>
      <c r="X100">
        <v>-6252</v>
      </c>
      <c r="Y100">
        <v>3800</v>
      </c>
      <c r="Z100">
        <v>-2007.6581359217544</v>
      </c>
      <c r="AA100">
        <v>6442.6393580869353</v>
      </c>
      <c r="AB100">
        <v>0</v>
      </c>
      <c r="AC100">
        <v>1064.1696555107644</v>
      </c>
      <c r="AD100">
        <v>1127.0074684186504</v>
      </c>
      <c r="AE100">
        <v>1127.0852605320265</v>
      </c>
      <c r="AF100">
        <v>608.43738720357203</v>
      </c>
      <c r="AG100">
        <v>1735.4837462502105</v>
      </c>
      <c r="AH100">
        <v>1886.2998163666878</v>
      </c>
      <c r="AI100">
        <v>3721.9999999999995</v>
      </c>
      <c r="AJ100">
        <v>1844.6600027105269</v>
      </c>
      <c r="AK100">
        <v>750.10000000000059</v>
      </c>
      <c r="AL100">
        <v>4789.4421007124956</v>
      </c>
      <c r="AM100">
        <v>1321.6794517016322</v>
      </c>
      <c r="AN100">
        <v>-95.021003558665456</v>
      </c>
      <c r="AO100">
        <v>-180</v>
      </c>
      <c r="AP100">
        <v>-90.003106034687008</v>
      </c>
      <c r="AQ100">
        <v>1.2722218725854067E-14</v>
      </c>
      <c r="AR100">
        <v>-48.586612382901386</v>
      </c>
      <c r="AS100">
        <v>89.999999566492605</v>
      </c>
      <c r="AT100">
        <v>-2400.1625746957502</v>
      </c>
      <c r="AU100">
        <v>-3280</v>
      </c>
      <c r="AV100">
        <v>-7719.4999989457119</v>
      </c>
      <c r="AW100">
        <v>-7002.1</v>
      </c>
      <c r="AX100">
        <v>-5713.9061909094307</v>
      </c>
      <c r="AY100">
        <v>-1290.1581359217544</v>
      </c>
      <c r="AZ100">
        <v>-2730.9252207921031</v>
      </c>
      <c r="BA100">
        <v>-197.16</v>
      </c>
      <c r="BB100">
        <v>520.3011039433311</v>
      </c>
      <c r="BC100">
        <v>3082.5000000000005</v>
      </c>
      <c r="BD100">
        <v>3325.3829937534874</v>
      </c>
      <c r="BE100">
        <v>6442.6393635156346</v>
      </c>
      <c r="BF100">
        <v>-2565.2532760267472</v>
      </c>
      <c r="BG100">
        <v>-7002</v>
      </c>
      <c r="BH100">
        <v>-7719.5999989457123</v>
      </c>
      <c r="BI100">
        <v>-6252</v>
      </c>
      <c r="BJ100">
        <v>-2545.7519450123232</v>
      </c>
      <c r="BK100">
        <v>-1290.1581259217542</v>
      </c>
      <c r="BL100">
        <v>-851.86373761518519</v>
      </c>
      <c r="BM100">
        <v>-197.16</v>
      </c>
      <c r="BN100">
        <v>2364.9611039433312</v>
      </c>
      <c r="BO100">
        <v>3082.5000000000005</v>
      </c>
      <c r="BP100">
        <v>6917.2563643334488</v>
      </c>
      <c r="BQ100">
        <v>5120.9599118140031</v>
      </c>
      <c r="BR100">
        <v>0</v>
      </c>
      <c r="BS100">
        <v>84.97899644133453</v>
      </c>
      <c r="BT100">
        <v>89.996893965312992</v>
      </c>
      <c r="BU100">
        <v>90.003106034687022</v>
      </c>
      <c r="BV100">
        <v>48.5866123829014</v>
      </c>
      <c r="BW100">
        <v>138.58661194939398</v>
      </c>
      <c r="BX100" s="69">
        <f>Таблица1[[#This Row],[Lкан_леб,мм]]</f>
        <v>3508410.4769709748</v>
      </c>
      <c r="BY100" s="65">
        <f>Таблица1[[#This Row],[Т1]]+Таблица1[[#This Row],[Lпрям1, мм]]</f>
        <v>3510296.7767873416</v>
      </c>
      <c r="BZ100" s="65">
        <f>Таблица1[[#This Row],[Т2]]+Таблица1[[#This Row],[Lдуг 2,мм]]</f>
        <v>3511360.9464428523</v>
      </c>
      <c r="CA100" s="65">
        <f>Таблица1[[#This Row],[Т3]]+Таблица1[[#This Row],[Lпрям2, мм]]</f>
        <v>3515082.9464428523</v>
      </c>
      <c r="CB100" s="65">
        <f>Таблица1[[#This Row],[Т4]]+Таблица1[[#This Row],[Lдуг 3,мм]]</f>
        <v>3516209.9539112709</v>
      </c>
      <c r="CC100" s="65">
        <f>Таблица1[[#This Row],[Т5]]+Таблица1[[#This Row],[Lпрям3, мм]]</f>
        <v>3518054.6139139812</v>
      </c>
      <c r="CD100" s="65">
        <f>Таблица1[[#This Row],[Т6]]+Таблица1[[#This Row],[Lдуг 4,мм]]</f>
        <v>3519181.6991745131</v>
      </c>
      <c r="CE100" s="65">
        <f>Таблица1[[#This Row],[Т7]]+Таблица1[[#This Row],[Lпрям4, мм]]</f>
        <v>3519931.7991745132</v>
      </c>
      <c r="CF100" s="72">
        <f>Таблица1[[#This Row],[Т8]]+Таблица1[[#This Row],[Lдуг 5,мм]]</f>
        <v>3520540.236561717</v>
      </c>
      <c r="CG100" s="65">
        <f>Таблица1[[#This Row],[Т9]]+Таблица1[[#This Row],[Lпрям5, мм]]</f>
        <v>3525329.6786624296</v>
      </c>
      <c r="CH100" s="65">
        <f>Таблица1[[#This Row],[Т10]]+Таблица1[[#This Row],[Lдуг 6,мм]]</f>
        <v>3527065.1624086797</v>
      </c>
      <c r="CI100" s="66">
        <f>Таблица1[[#This Row],[Т11]]+Таблица1[[#This Row],[Lпрям6, мм]]</f>
        <v>3528386.8418603814</v>
      </c>
      <c r="CJ100" s="64">
        <f>Таблица1[[#This Row],[Т12]]-Таблица1[[#This Row],[Т12]]</f>
        <v>0</v>
      </c>
      <c r="CK100" s="65">
        <f>Таблица1[[#This Row],[Т12]]-Таблица1[[#This Row],[Т11]]</f>
        <v>1321.679451701697</v>
      </c>
      <c r="CL100" s="65">
        <f>Таблица1[[#This Row],[Т12]]-Таблица1[[#This Row],[Т10]]</f>
        <v>3057.163197951857</v>
      </c>
      <c r="CM100" s="65">
        <f>Таблица1[[#This Row],[Т12]]-Таблица1[[#This Row],[Т9]]</f>
        <v>7846.6052986644208</v>
      </c>
      <c r="CN100" s="65">
        <f>Таблица1[[#This Row],[Т12]]-Таблица1[[#This Row],[Т8]]</f>
        <v>8455.0426858682185</v>
      </c>
      <c r="CO100" s="65">
        <f>Таблица1[[#This Row],[Т12]]-Таблица1[[#This Row],[Т7]]</f>
        <v>9205.1426858683117</v>
      </c>
      <c r="CP100" s="65">
        <f>Таблица1[[#This Row],[Т12]]-Таблица1[[#This Row],[Т6]]</f>
        <v>10332.227946400177</v>
      </c>
      <c r="CQ100" s="65">
        <f>Таблица1[[#This Row],[Т12]]-Таблица1[[#This Row],[Т5]]</f>
        <v>12176.887949110474</v>
      </c>
      <c r="CR100" s="65">
        <f>Таблица1[[#This Row],[Т12]]-Таблица1[[#This Row],[Т4]]</f>
        <v>13303.895417529158</v>
      </c>
      <c r="CS100" s="65">
        <f>Таблица1[[#This Row],[Т12]]-Таблица1[[#This Row],[Т3]]</f>
        <v>17025.895417529158</v>
      </c>
      <c r="CT100" s="65">
        <f>Таблица1[[#This Row],[Т12]]-Таблица1[[#This Row],[Т2]]</f>
        <v>18090.065073039848</v>
      </c>
      <c r="CU100" s="65">
        <f>Таблица1[[#This Row],[Т12]]-Таблица1[[#This Row],[Т1]]</f>
        <v>19976.364889406599</v>
      </c>
      <c r="CV100" s="65">
        <f>Таблица1[[#This Row],[Lкан_леб,мм]]+Таблица1[[#This Row],[Lкан_дуг, мм]]+Таблица1[[#This Row],[Lкан_прям, мм]]</f>
        <v>3528386.8418603814</v>
      </c>
      <c r="CW100" s="60">
        <f>3511128.4-(Таблица1[[#This Row],[Lкан_леб,мм]]+Таблица1[[#This Row],[∆Lлеб из за стрел]])</f>
        <v>2717.9230290250853</v>
      </c>
    </row>
    <row r="101" spans="1:101" x14ac:dyDescent="0.25">
      <c r="A101">
        <v>100</v>
      </c>
      <c r="B101">
        <v>100.49664429530172</v>
      </c>
      <c r="C101">
        <v>-10.486644295301724</v>
      </c>
      <c r="D101">
        <v>-2072.840473724711</v>
      </c>
      <c r="E101">
        <v>6430.8623271411634</v>
      </c>
      <c r="F101">
        <v>-1355.2073160316099</v>
      </c>
      <c r="G101">
        <v>5667.9875661355127</v>
      </c>
      <c r="H101">
        <v>-1355.3409637247112</v>
      </c>
      <c r="I101">
        <v>5109.1828808680966</v>
      </c>
      <c r="J101">
        <v>1321.679446273067</v>
      </c>
      <c r="K101">
        <v>14249.946772088111</v>
      </c>
      <c r="L101">
        <v>5674.6469576170211</v>
      </c>
      <c r="M101">
        <v>3508462.2481306759</v>
      </c>
      <c r="N101">
        <v>0</v>
      </c>
      <c r="O101">
        <v>8</v>
      </c>
      <c r="P101">
        <v>-3322.5</v>
      </c>
      <c r="Q101">
        <v>-2811.96</v>
      </c>
      <c r="R101">
        <v>-3280</v>
      </c>
      <c r="S101">
        <v>-914.66</v>
      </c>
      <c r="T101">
        <v>-7002</v>
      </c>
      <c r="U101">
        <v>520.34</v>
      </c>
      <c r="V101">
        <v>-7002.1</v>
      </c>
      <c r="W101">
        <v>2365</v>
      </c>
      <c r="X101">
        <v>-6252</v>
      </c>
      <c r="Y101">
        <v>3800</v>
      </c>
      <c r="Z101">
        <v>-2072.840473724711</v>
      </c>
      <c r="AA101">
        <v>6430.8623271411634</v>
      </c>
      <c r="AB101">
        <v>0</v>
      </c>
      <c r="AC101">
        <v>1064.1696555107644</v>
      </c>
      <c r="AD101">
        <v>1127.0074684186504</v>
      </c>
      <c r="AE101">
        <v>1127.0852605320265</v>
      </c>
      <c r="AF101">
        <v>614.66910705447003</v>
      </c>
      <c r="AG101">
        <v>1741.7154661011093</v>
      </c>
      <c r="AH101">
        <v>1886.2998163666878</v>
      </c>
      <c r="AI101">
        <v>3721.9999999999995</v>
      </c>
      <c r="AJ101">
        <v>1844.6600027105269</v>
      </c>
      <c r="AK101">
        <v>750.10000000000059</v>
      </c>
      <c r="AL101">
        <v>4725.2075013091335</v>
      </c>
      <c r="AM101">
        <v>1321.6794517017627</v>
      </c>
      <c r="AN101">
        <v>-95.021003558665456</v>
      </c>
      <c r="AO101">
        <v>-180</v>
      </c>
      <c r="AP101">
        <v>-90.003106034687008</v>
      </c>
      <c r="AQ101">
        <v>1.2722218725854067E-14</v>
      </c>
      <c r="AR101">
        <v>-49.084244782294213</v>
      </c>
      <c r="AS101">
        <v>89.999999566492619</v>
      </c>
      <c r="AT101">
        <v>-2400.1625746957502</v>
      </c>
      <c r="AU101">
        <v>-3280</v>
      </c>
      <c r="AV101">
        <v>-7719.4999989457119</v>
      </c>
      <c r="AW101">
        <v>-7002.1</v>
      </c>
      <c r="AX101">
        <v>-5709.8043357244787</v>
      </c>
      <c r="AY101">
        <v>-1355.3404737247113</v>
      </c>
      <c r="AZ101">
        <v>-2730.9252207921031</v>
      </c>
      <c r="BA101">
        <v>-197.16</v>
      </c>
      <c r="BB101">
        <v>520.3011039433311</v>
      </c>
      <c r="BC101">
        <v>3082.5000000000005</v>
      </c>
      <c r="BD101">
        <v>3330.0743551998617</v>
      </c>
      <c r="BE101">
        <v>6430.8623325698627</v>
      </c>
      <c r="BF101">
        <v>-2565.2532760267472</v>
      </c>
      <c r="BG101">
        <v>-7002</v>
      </c>
      <c r="BH101">
        <v>-7719.5999989457123</v>
      </c>
      <c r="BI101">
        <v>-6252</v>
      </c>
      <c r="BJ101">
        <v>-2615.0361380002328</v>
      </c>
      <c r="BK101">
        <v>-1355.3404637247111</v>
      </c>
      <c r="BL101">
        <v>-851.86373761518519</v>
      </c>
      <c r="BM101">
        <v>-197.16</v>
      </c>
      <c r="BN101">
        <v>2364.9611039433312</v>
      </c>
      <c r="BO101">
        <v>3082.5000000000005</v>
      </c>
      <c r="BP101">
        <v>6900.7879719413013</v>
      </c>
      <c r="BQ101">
        <v>5109.1828808681003</v>
      </c>
      <c r="BR101">
        <v>0</v>
      </c>
      <c r="BS101">
        <v>84.97899644133453</v>
      </c>
      <c r="BT101">
        <v>89.996893965312992</v>
      </c>
      <c r="BU101">
        <v>90.003106034687022</v>
      </c>
      <c r="BV101">
        <v>49.084244782294228</v>
      </c>
      <c r="BW101">
        <v>139.08424434878683</v>
      </c>
      <c r="BX101" s="69">
        <f>Таблица1[[#This Row],[Lкан_леб,мм]]</f>
        <v>3508462.2481306759</v>
      </c>
      <c r="BY101" s="65">
        <f>Таблица1[[#This Row],[Т1]]+Таблица1[[#This Row],[Lпрям1, мм]]</f>
        <v>3510348.5479470426</v>
      </c>
      <c r="BZ101" s="65">
        <f>Таблица1[[#This Row],[Т2]]+Таблица1[[#This Row],[Lдуг 2,мм]]</f>
        <v>3511412.7176025533</v>
      </c>
      <c r="CA101" s="65">
        <f>Таблица1[[#This Row],[Т3]]+Таблица1[[#This Row],[Lпрям2, мм]]</f>
        <v>3515134.7176025533</v>
      </c>
      <c r="CB101" s="65">
        <f>Таблица1[[#This Row],[Т4]]+Таблица1[[#This Row],[Lдуг 3,мм]]</f>
        <v>3516261.725070972</v>
      </c>
      <c r="CC101" s="65">
        <f>Таблица1[[#This Row],[Т5]]+Таблица1[[#This Row],[Lпрям3, мм]]</f>
        <v>3518106.3850736823</v>
      </c>
      <c r="CD101" s="65">
        <f>Таблица1[[#This Row],[Т6]]+Таблица1[[#This Row],[Lдуг 4,мм]]</f>
        <v>3519233.4703342142</v>
      </c>
      <c r="CE101" s="65">
        <f>Таблица1[[#This Row],[Т7]]+Таблица1[[#This Row],[Lпрям4, мм]]</f>
        <v>3519983.5703342143</v>
      </c>
      <c r="CF101" s="72">
        <f>Таблица1[[#This Row],[Т8]]+Таблица1[[#This Row],[Lдуг 5,мм]]</f>
        <v>3520598.2394412686</v>
      </c>
      <c r="CG101" s="65">
        <f>Таблица1[[#This Row],[Т9]]+Таблица1[[#This Row],[Lпрям5, мм]]</f>
        <v>3525323.4469425776</v>
      </c>
      <c r="CH101" s="65">
        <f>Таблица1[[#This Row],[Т10]]+Таблица1[[#This Row],[Lдуг 6,мм]]</f>
        <v>3527065.1624086788</v>
      </c>
      <c r="CI101" s="66">
        <f>Таблица1[[#This Row],[Т11]]+Таблица1[[#This Row],[Lпрям6, мм]]</f>
        <v>3528386.8418603805</v>
      </c>
      <c r="CJ101" s="64">
        <f>Таблица1[[#This Row],[Т12]]-Таблица1[[#This Row],[Т12]]</f>
        <v>0</v>
      </c>
      <c r="CK101" s="65">
        <f>Таблица1[[#This Row],[Т12]]-Таблица1[[#This Row],[Т11]]</f>
        <v>1321.679451701697</v>
      </c>
      <c r="CL101" s="65">
        <f>Таблица1[[#This Row],[Т12]]-Таблица1[[#This Row],[Т10]]</f>
        <v>3063.3949178028852</v>
      </c>
      <c r="CM101" s="65">
        <f>Таблица1[[#This Row],[Т12]]-Таблица1[[#This Row],[Т9]]</f>
        <v>7788.6024191118777</v>
      </c>
      <c r="CN101" s="65">
        <f>Таблица1[[#This Row],[Т12]]-Таблица1[[#This Row],[Т8]]</f>
        <v>8403.2715261662379</v>
      </c>
      <c r="CO101" s="65">
        <f>Таблица1[[#This Row],[Т12]]-Таблица1[[#This Row],[Т7]]</f>
        <v>9153.371526166331</v>
      </c>
      <c r="CP101" s="65">
        <f>Таблица1[[#This Row],[Т12]]-Таблица1[[#This Row],[Т6]]</f>
        <v>10280.456786698196</v>
      </c>
      <c r="CQ101" s="65">
        <f>Таблица1[[#This Row],[Т12]]-Таблица1[[#This Row],[Т5]]</f>
        <v>12125.116789408494</v>
      </c>
      <c r="CR101" s="65">
        <f>Таблица1[[#This Row],[Т12]]-Таблица1[[#This Row],[Т4]]</f>
        <v>13252.124257827178</v>
      </c>
      <c r="CS101" s="65">
        <f>Таблица1[[#This Row],[Т12]]-Таблица1[[#This Row],[Т3]]</f>
        <v>16974.124257827178</v>
      </c>
      <c r="CT101" s="65">
        <f>Таблица1[[#This Row],[Т12]]-Таблица1[[#This Row],[Т2]]</f>
        <v>18038.293913337868</v>
      </c>
      <c r="CU101" s="65">
        <f>Таблица1[[#This Row],[Т12]]-Таблица1[[#This Row],[Т1]]</f>
        <v>19924.593729704618</v>
      </c>
      <c r="CV101" s="65">
        <f>Таблица1[[#This Row],[Lкан_леб,мм]]+Таблица1[[#This Row],[Lкан_дуг, мм]]+Таблица1[[#This Row],[Lкан_прям, мм]]</f>
        <v>3528386.8418603814</v>
      </c>
      <c r="CW101" s="60">
        <f>3511128.4-(Таблица1[[#This Row],[Lкан_леб,мм]]+Таблица1[[#This Row],[∆Lлеб из за стрел]])</f>
        <v>2666.1518693240359</v>
      </c>
    </row>
    <row r="102" spans="1:101" x14ac:dyDescent="0.25">
      <c r="A102">
        <v>101</v>
      </c>
      <c r="B102">
        <v>101.00671140939568</v>
      </c>
      <c r="C102">
        <v>-10.996711409395681</v>
      </c>
      <c r="D102">
        <v>-2137.9153867614</v>
      </c>
      <c r="E102">
        <v>6418.5054945120519</v>
      </c>
      <c r="F102">
        <v>-1420.2822290682991</v>
      </c>
      <c r="G102">
        <v>5655.6307335064021</v>
      </c>
      <c r="H102">
        <v>-1420.4158767614003</v>
      </c>
      <c r="I102">
        <v>5096.8260482390233</v>
      </c>
      <c r="J102">
        <v>1321.6794462730288</v>
      </c>
      <c r="K102">
        <v>14185.537295760969</v>
      </c>
      <c r="L102">
        <v>5687.2787142818452</v>
      </c>
      <c r="M102">
        <v>3508514.0258503384</v>
      </c>
      <c r="N102">
        <v>0</v>
      </c>
      <c r="O102">
        <v>8</v>
      </c>
      <c r="P102">
        <v>-3322.5</v>
      </c>
      <c r="Q102">
        <v>-2811.96</v>
      </c>
      <c r="R102">
        <v>-3280</v>
      </c>
      <c r="S102">
        <v>-914.66</v>
      </c>
      <c r="T102">
        <v>-7002</v>
      </c>
      <c r="U102">
        <v>520.34</v>
      </c>
      <c r="V102">
        <v>-7002.1</v>
      </c>
      <c r="W102">
        <v>2365</v>
      </c>
      <c r="X102">
        <v>-6252</v>
      </c>
      <c r="Y102">
        <v>3800</v>
      </c>
      <c r="Z102">
        <v>-2137.9153867614</v>
      </c>
      <c r="AA102">
        <v>6418.5054945120519</v>
      </c>
      <c r="AB102">
        <v>0</v>
      </c>
      <c r="AC102">
        <v>1064.1696555107644</v>
      </c>
      <c r="AD102">
        <v>1127.0074684186504</v>
      </c>
      <c r="AE102">
        <v>1127.0852605320265</v>
      </c>
      <c r="AF102">
        <v>620.98498538688204</v>
      </c>
      <c r="AG102">
        <v>1748.0313444335213</v>
      </c>
      <c r="AH102">
        <v>1886.2998163666878</v>
      </c>
      <c r="AI102">
        <v>3721.9999999999995</v>
      </c>
      <c r="AJ102">
        <v>1844.6600027105269</v>
      </c>
      <c r="AK102">
        <v>750.10000000000059</v>
      </c>
      <c r="AL102">
        <v>4660.7980249820303</v>
      </c>
      <c r="AM102">
        <v>1321.6794517017245</v>
      </c>
      <c r="AN102">
        <v>-95.021003558665456</v>
      </c>
      <c r="AO102">
        <v>-180</v>
      </c>
      <c r="AP102">
        <v>-90.003106034687008</v>
      </c>
      <c r="AQ102">
        <v>1.2722218725854067E-14</v>
      </c>
      <c r="AR102">
        <v>-49.588597635765062</v>
      </c>
      <c r="AS102">
        <v>89.999999566492633</v>
      </c>
      <c r="AT102">
        <v>-2400.1625746957502</v>
      </c>
      <c r="AU102">
        <v>-3280</v>
      </c>
      <c r="AV102">
        <v>-7719.4999989457119</v>
      </c>
      <c r="AW102">
        <v>-7002.1</v>
      </c>
      <c r="AX102">
        <v>-5705.6888194330677</v>
      </c>
      <c r="AY102">
        <v>-1420.4153867614002</v>
      </c>
      <c r="AZ102">
        <v>-2730.9252207921031</v>
      </c>
      <c r="BA102">
        <v>-197.16</v>
      </c>
      <c r="BB102">
        <v>520.3011039433311</v>
      </c>
      <c r="BC102">
        <v>3082.5000000000005</v>
      </c>
      <c r="BD102">
        <v>3334.8652410456025</v>
      </c>
      <c r="BE102">
        <v>6418.5054999407512</v>
      </c>
      <c r="BF102">
        <v>-2565.2532760267472</v>
      </c>
      <c r="BG102">
        <v>-7002</v>
      </c>
      <c r="BH102">
        <v>-7719.5999989457123</v>
      </c>
      <c r="BI102">
        <v>-6252</v>
      </c>
      <c r="BJ102">
        <v>-2684.2265673283318</v>
      </c>
      <c r="BK102">
        <v>-1420.4153767614002</v>
      </c>
      <c r="BL102">
        <v>-851.86373761518519</v>
      </c>
      <c r="BM102">
        <v>-197.16</v>
      </c>
      <c r="BN102">
        <v>2364.9611039433312</v>
      </c>
      <c r="BO102">
        <v>3082.5000000000005</v>
      </c>
      <c r="BP102">
        <v>6883.6402534664494</v>
      </c>
      <c r="BQ102">
        <v>5096.8260482390269</v>
      </c>
      <c r="BR102">
        <v>0</v>
      </c>
      <c r="BS102">
        <v>84.97899644133453</v>
      </c>
      <c r="BT102">
        <v>89.996893965312992</v>
      </c>
      <c r="BU102">
        <v>90.003106034687022</v>
      </c>
      <c r="BV102">
        <v>49.588597635765076</v>
      </c>
      <c r="BW102">
        <v>139.58859720225769</v>
      </c>
      <c r="BX102" s="69">
        <f>Таблица1[[#This Row],[Lкан_леб,мм]]</f>
        <v>3508514.0258503384</v>
      </c>
      <c r="BY102" s="65">
        <f>Таблица1[[#This Row],[Т1]]+Таблица1[[#This Row],[Lпрям1, мм]]</f>
        <v>3510400.3256667051</v>
      </c>
      <c r="BZ102" s="65">
        <f>Таблица1[[#This Row],[Т2]]+Таблица1[[#This Row],[Lдуг 2,мм]]</f>
        <v>3511464.4953222158</v>
      </c>
      <c r="CA102" s="65">
        <f>Таблица1[[#This Row],[Т3]]+Таблица1[[#This Row],[Lпрям2, мм]]</f>
        <v>3515186.4953222158</v>
      </c>
      <c r="CB102" s="65">
        <f>Таблица1[[#This Row],[Т4]]+Таблица1[[#This Row],[Lдуг 3,мм]]</f>
        <v>3516313.5027906345</v>
      </c>
      <c r="CC102" s="65">
        <f>Таблица1[[#This Row],[Т5]]+Таблица1[[#This Row],[Lпрям3, мм]]</f>
        <v>3518158.1627933448</v>
      </c>
      <c r="CD102" s="65">
        <f>Таблица1[[#This Row],[Т6]]+Таблица1[[#This Row],[Lдуг 4,мм]]</f>
        <v>3519285.2480538767</v>
      </c>
      <c r="CE102" s="65">
        <f>Таблица1[[#This Row],[Т7]]+Таблица1[[#This Row],[Lпрям4, мм]]</f>
        <v>3520035.3480538768</v>
      </c>
      <c r="CF102" s="72">
        <f>Таблица1[[#This Row],[Т8]]+Таблица1[[#This Row],[Lдуг 5,мм]]</f>
        <v>3520656.3330392637</v>
      </c>
      <c r="CG102" s="65">
        <f>Таблица1[[#This Row],[Т9]]+Таблица1[[#This Row],[Lпрям5, мм]]</f>
        <v>3525317.1310642459</v>
      </c>
      <c r="CH102" s="65">
        <f>Таблица1[[#This Row],[Т10]]+Таблица1[[#This Row],[Lдуг 6,мм]]</f>
        <v>3527065.1624086793</v>
      </c>
      <c r="CI102" s="66">
        <f>Таблица1[[#This Row],[Т11]]+Таблица1[[#This Row],[Lпрям6, мм]]</f>
        <v>3528386.841860381</v>
      </c>
      <c r="CJ102" s="64">
        <f>Таблица1[[#This Row],[Т12]]-Таблица1[[#This Row],[Т12]]</f>
        <v>0</v>
      </c>
      <c r="CK102" s="65">
        <f>Таблица1[[#This Row],[Т12]]-Таблица1[[#This Row],[Т11]]</f>
        <v>1321.679451701697</v>
      </c>
      <c r="CL102" s="65">
        <f>Таблица1[[#This Row],[Т12]]-Таблица1[[#This Row],[Т10]]</f>
        <v>3069.7107961350121</v>
      </c>
      <c r="CM102" s="65">
        <f>Таблица1[[#This Row],[Т12]]-Таблица1[[#This Row],[Т9]]</f>
        <v>7730.508821117226</v>
      </c>
      <c r="CN102" s="65">
        <f>Таблица1[[#This Row],[Т12]]-Таблица1[[#This Row],[Т8]]</f>
        <v>8351.4938065041788</v>
      </c>
      <c r="CO102" s="65">
        <f>Таблица1[[#This Row],[Т12]]-Таблица1[[#This Row],[Т7]]</f>
        <v>9101.5938065042719</v>
      </c>
      <c r="CP102" s="65">
        <f>Таблица1[[#This Row],[Т12]]-Таблица1[[#This Row],[Т6]]</f>
        <v>10228.679067036137</v>
      </c>
      <c r="CQ102" s="65">
        <f>Таблица1[[#This Row],[Т12]]-Таблица1[[#This Row],[Т5]]</f>
        <v>12073.339069746435</v>
      </c>
      <c r="CR102" s="65">
        <f>Таблица1[[#This Row],[Т12]]-Таблица1[[#This Row],[Т4]]</f>
        <v>13200.346538165119</v>
      </c>
      <c r="CS102" s="65">
        <f>Таблица1[[#This Row],[Т12]]-Таблица1[[#This Row],[Т3]]</f>
        <v>16922.346538165119</v>
      </c>
      <c r="CT102" s="65">
        <f>Таблица1[[#This Row],[Т12]]-Таблица1[[#This Row],[Т2]]</f>
        <v>17986.516193675809</v>
      </c>
      <c r="CU102" s="65">
        <f>Таблица1[[#This Row],[Т12]]-Таблица1[[#This Row],[Т1]]</f>
        <v>19872.816010042559</v>
      </c>
      <c r="CV102" s="65">
        <f>Таблица1[[#This Row],[Lкан_леб,мм]]+Таблица1[[#This Row],[Lкан_дуг, мм]]+Таблица1[[#This Row],[Lкан_прям, мм]]</f>
        <v>3528386.8418603814</v>
      </c>
      <c r="CW102" s="60">
        <f>3511128.4-(Таблица1[[#This Row],[Lкан_леб,мм]]+Таблица1[[#This Row],[∆Lлеб из за стрел]])</f>
        <v>2614.3741496615112</v>
      </c>
    </row>
    <row r="103" spans="1:101" x14ac:dyDescent="0.25">
      <c r="A103">
        <v>102</v>
      </c>
      <c r="B103">
        <v>101.51677852348963</v>
      </c>
      <c r="C103">
        <v>-11.506778523489636</v>
      </c>
      <c r="D103">
        <v>-2202.8777177589432</v>
      </c>
      <c r="E103">
        <v>6405.569839494925</v>
      </c>
      <c r="F103">
        <v>-1485.2445600658418</v>
      </c>
      <c r="G103">
        <v>5642.6950784892733</v>
      </c>
      <c r="H103">
        <v>-1485.3782077589435</v>
      </c>
      <c r="I103">
        <v>5083.8903932220965</v>
      </c>
      <c r="J103">
        <v>1321.679446272828</v>
      </c>
      <c r="K103">
        <v>14120.950802576053</v>
      </c>
      <c r="L103">
        <v>5700.0858750982779</v>
      </c>
      <c r="M103">
        <v>3508565.8051827066</v>
      </c>
      <c r="N103">
        <v>0</v>
      </c>
      <c r="O103">
        <v>8</v>
      </c>
      <c r="P103">
        <v>-3322.5</v>
      </c>
      <c r="Q103">
        <v>-2811.96</v>
      </c>
      <c r="R103">
        <v>-3280</v>
      </c>
      <c r="S103">
        <v>-914.66</v>
      </c>
      <c r="T103">
        <v>-7002</v>
      </c>
      <c r="U103">
        <v>520.34</v>
      </c>
      <c r="V103">
        <v>-7002.1</v>
      </c>
      <c r="W103">
        <v>2365</v>
      </c>
      <c r="X103">
        <v>-6252</v>
      </c>
      <c r="Y103">
        <v>3800</v>
      </c>
      <c r="Z103">
        <v>-2202.8777177589432</v>
      </c>
      <c r="AA103">
        <v>6405.569839494925</v>
      </c>
      <c r="AB103">
        <v>0</v>
      </c>
      <c r="AC103">
        <v>1064.1696555107644</v>
      </c>
      <c r="AD103">
        <v>1127.0074684186504</v>
      </c>
      <c r="AE103">
        <v>1127.0852605320265</v>
      </c>
      <c r="AF103">
        <v>627.38856579509877</v>
      </c>
      <c r="AG103">
        <v>1754.4349248417384</v>
      </c>
      <c r="AH103">
        <v>1886.2998163666878</v>
      </c>
      <c r="AI103">
        <v>3721.9999999999995</v>
      </c>
      <c r="AJ103">
        <v>1844.6600027105269</v>
      </c>
      <c r="AK103">
        <v>750.10000000000059</v>
      </c>
      <c r="AL103">
        <v>4596.2115317973148</v>
      </c>
      <c r="AM103">
        <v>1321.6794517015237</v>
      </c>
      <c r="AN103">
        <v>-95.021003558665456</v>
      </c>
      <c r="AO103">
        <v>-180</v>
      </c>
      <c r="AP103">
        <v>-90.003106034687008</v>
      </c>
      <c r="AQ103">
        <v>1.2722218725854067E-14</v>
      </c>
      <c r="AR103">
        <v>-50.099953916132279</v>
      </c>
      <c r="AS103">
        <v>89.999999566492633</v>
      </c>
      <c r="AT103">
        <v>-2400.1625746957502</v>
      </c>
      <c r="AU103">
        <v>-3280</v>
      </c>
      <c r="AV103">
        <v>-7719.4999989457119</v>
      </c>
      <c r="AW103">
        <v>-7002.1</v>
      </c>
      <c r="AX103">
        <v>-5701.5593737508279</v>
      </c>
      <c r="AY103">
        <v>-1485.3777177589434</v>
      </c>
      <c r="AZ103">
        <v>-2730.9252207921031</v>
      </c>
      <c r="BA103">
        <v>-197.16</v>
      </c>
      <c r="BB103">
        <v>520.3011039433311</v>
      </c>
      <c r="BC103">
        <v>3082.5000000000005</v>
      </c>
      <c r="BD103">
        <v>3339.7594466212054</v>
      </c>
      <c r="BE103">
        <v>6405.5698449236243</v>
      </c>
      <c r="BF103">
        <v>-2565.2532760267472</v>
      </c>
      <c r="BG103">
        <v>-7002</v>
      </c>
      <c r="BH103">
        <v>-7719.5999989457123</v>
      </c>
      <c r="BI103">
        <v>-6252</v>
      </c>
      <c r="BJ103">
        <v>-2753.3183440081152</v>
      </c>
      <c r="BK103">
        <v>-1485.3777077589434</v>
      </c>
      <c r="BL103">
        <v>-851.86373761518519</v>
      </c>
      <c r="BM103">
        <v>-197.16</v>
      </c>
      <c r="BN103">
        <v>2364.9611039433312</v>
      </c>
      <c r="BO103">
        <v>3082.5000000000005</v>
      </c>
      <c r="BP103">
        <v>6865.81039287372</v>
      </c>
      <c r="BQ103">
        <v>5083.8903932221001</v>
      </c>
      <c r="BR103">
        <v>0</v>
      </c>
      <c r="BS103">
        <v>84.97899644133453</v>
      </c>
      <c r="BT103">
        <v>89.996893965312992</v>
      </c>
      <c r="BU103">
        <v>90.003106034687022</v>
      </c>
      <c r="BV103">
        <v>50.099953916132293</v>
      </c>
      <c r="BW103">
        <v>140.09995348262493</v>
      </c>
      <c r="BX103" s="69">
        <f>Таблица1[[#This Row],[Lкан_леб,мм]]</f>
        <v>3508565.8051827066</v>
      </c>
      <c r="BY103" s="65">
        <f>Таблица1[[#This Row],[Т1]]+Таблица1[[#This Row],[Lпрям1, мм]]</f>
        <v>3510452.1049990733</v>
      </c>
      <c r="BZ103" s="65">
        <f>Таблица1[[#This Row],[Т2]]+Таблица1[[#This Row],[Lдуг 2,мм]]</f>
        <v>3511516.274654584</v>
      </c>
      <c r="CA103" s="65">
        <f>Таблица1[[#This Row],[Т3]]+Таблица1[[#This Row],[Lпрям2, мм]]</f>
        <v>3515238.274654584</v>
      </c>
      <c r="CB103" s="65">
        <f>Таблица1[[#This Row],[Т4]]+Таблица1[[#This Row],[Lдуг 3,мм]]</f>
        <v>3516365.2821230027</v>
      </c>
      <c r="CC103" s="65">
        <f>Таблица1[[#This Row],[Т5]]+Таблица1[[#This Row],[Lпрям3, мм]]</f>
        <v>3518209.942125713</v>
      </c>
      <c r="CD103" s="65">
        <f>Таблица1[[#This Row],[Т6]]+Таблица1[[#This Row],[Lдуг 4,мм]]</f>
        <v>3519337.0273862449</v>
      </c>
      <c r="CE103" s="65">
        <f>Таблица1[[#This Row],[Т7]]+Таблица1[[#This Row],[Lпрям4, мм]]</f>
        <v>3520087.1273862449</v>
      </c>
      <c r="CF103" s="72">
        <f>Таблица1[[#This Row],[Т8]]+Таблица1[[#This Row],[Lдуг 5,мм]]</f>
        <v>3520714.51595204</v>
      </c>
      <c r="CG103" s="65">
        <f>Таблица1[[#This Row],[Т9]]+Таблица1[[#This Row],[Lпрям5, мм]]</f>
        <v>3525310.7274838374</v>
      </c>
      <c r="CH103" s="65">
        <f>Таблица1[[#This Row],[Т10]]+Таблица1[[#This Row],[Lдуг 6,мм]]</f>
        <v>3527065.1624086793</v>
      </c>
      <c r="CI103" s="66">
        <f>Таблица1[[#This Row],[Т11]]+Таблица1[[#This Row],[Lпрям6, мм]]</f>
        <v>3528386.841860381</v>
      </c>
      <c r="CJ103" s="64">
        <f>Таблица1[[#This Row],[Т12]]-Таблица1[[#This Row],[Т12]]</f>
        <v>0</v>
      </c>
      <c r="CK103" s="65">
        <f>Таблица1[[#This Row],[Т12]]-Таблица1[[#This Row],[Т11]]</f>
        <v>1321.679451701697</v>
      </c>
      <c r="CL103" s="65">
        <f>Таблица1[[#This Row],[Т12]]-Таблица1[[#This Row],[Т10]]</f>
        <v>3076.1143765435554</v>
      </c>
      <c r="CM103" s="65">
        <f>Таблица1[[#This Row],[Т12]]-Таблица1[[#This Row],[Т9]]</f>
        <v>7672.3259083409794</v>
      </c>
      <c r="CN103" s="65">
        <f>Таблица1[[#This Row],[Т12]]-Таблица1[[#This Row],[Т8]]</f>
        <v>8299.7144741360098</v>
      </c>
      <c r="CO103" s="65">
        <f>Таблица1[[#This Row],[Т12]]-Таблица1[[#This Row],[Т7]]</f>
        <v>9049.8144741361029</v>
      </c>
      <c r="CP103" s="65">
        <f>Таблица1[[#This Row],[Т12]]-Таблица1[[#This Row],[Т6]]</f>
        <v>10176.899734667968</v>
      </c>
      <c r="CQ103" s="65">
        <f>Таблица1[[#This Row],[Т12]]-Таблица1[[#This Row],[Т5]]</f>
        <v>12021.559737378266</v>
      </c>
      <c r="CR103" s="65">
        <f>Таблица1[[#This Row],[Т12]]-Таблица1[[#This Row],[Т4]]</f>
        <v>13148.56720579695</v>
      </c>
      <c r="CS103" s="65">
        <f>Таблица1[[#This Row],[Т12]]-Таблица1[[#This Row],[Т3]]</f>
        <v>16870.56720579695</v>
      </c>
      <c r="CT103" s="65">
        <f>Таблица1[[#This Row],[Т12]]-Таблица1[[#This Row],[Т2]]</f>
        <v>17934.73686130764</v>
      </c>
      <c r="CU103" s="65">
        <f>Таблица1[[#This Row],[Т12]]-Таблица1[[#This Row],[Т1]]</f>
        <v>19821.03667767439</v>
      </c>
      <c r="CV103" s="65">
        <f>Таблица1[[#This Row],[Lкан_леб,мм]]+Таблица1[[#This Row],[Lкан_дуг, мм]]+Таблица1[[#This Row],[Lкан_прям, мм]]</f>
        <v>3528386.841860381</v>
      </c>
      <c r="CW103" s="60">
        <f>3511128.4-(Таблица1[[#This Row],[Lкан_леб,мм]]+Таблица1[[#This Row],[∆Lлеб из за стрел]])</f>
        <v>2562.5948172933422</v>
      </c>
    </row>
    <row r="104" spans="1:101" x14ac:dyDescent="0.25">
      <c r="A104">
        <v>103</v>
      </c>
      <c r="B104">
        <v>102.02684563758359</v>
      </c>
      <c r="C104">
        <v>-12.016845637583593</v>
      </c>
      <c r="D104">
        <v>-2267.722318366737</v>
      </c>
      <c r="E104">
        <v>6392.0563872575367</v>
      </c>
      <c r="F104">
        <v>-1550.0891606736357</v>
      </c>
      <c r="G104">
        <v>5629.1816262518851</v>
      </c>
      <c r="H104">
        <v>-1550.2228083667369</v>
      </c>
      <c r="I104">
        <v>5070.3769409846209</v>
      </c>
      <c r="J104">
        <v>1321.6794462729151</v>
      </c>
      <c r="K104">
        <v>14056.18495169386</v>
      </c>
      <c r="L104">
        <v>5713.0759373097035</v>
      </c>
      <c r="M104">
        <v>3508617.5809713774</v>
      </c>
      <c r="N104">
        <v>0</v>
      </c>
      <c r="O104">
        <v>8</v>
      </c>
      <c r="P104">
        <v>-3322.5</v>
      </c>
      <c r="Q104">
        <v>-2811.96</v>
      </c>
      <c r="R104">
        <v>-3280</v>
      </c>
      <c r="S104">
        <v>-914.66</v>
      </c>
      <c r="T104">
        <v>-7002</v>
      </c>
      <c r="U104">
        <v>520.34</v>
      </c>
      <c r="V104">
        <v>-7002.1</v>
      </c>
      <c r="W104">
        <v>2365</v>
      </c>
      <c r="X104">
        <v>-6252</v>
      </c>
      <c r="Y104">
        <v>3800</v>
      </c>
      <c r="Z104">
        <v>-2267.722318366737</v>
      </c>
      <c r="AA104">
        <v>6392.0563872575367</v>
      </c>
      <c r="AB104">
        <v>0</v>
      </c>
      <c r="AC104">
        <v>1064.1696555107644</v>
      </c>
      <c r="AD104">
        <v>1127.0074684186504</v>
      </c>
      <c r="AE104">
        <v>1127.0852605320265</v>
      </c>
      <c r="AF104">
        <v>633.88359690081131</v>
      </c>
      <c r="AG104">
        <v>1760.9299559474505</v>
      </c>
      <c r="AH104">
        <v>1886.2998163666878</v>
      </c>
      <c r="AI104">
        <v>3721.9999999999995</v>
      </c>
      <c r="AJ104">
        <v>1844.6600027105269</v>
      </c>
      <c r="AK104">
        <v>750.10000000000059</v>
      </c>
      <c r="AL104">
        <v>4531.4456809150342</v>
      </c>
      <c r="AM104">
        <v>1321.6794517016108</v>
      </c>
      <c r="AN104">
        <v>-95.021003558665456</v>
      </c>
      <c r="AO104">
        <v>-180</v>
      </c>
      <c r="AP104">
        <v>-90.003106034687008</v>
      </c>
      <c r="AQ104">
        <v>1.2722218725854067E-14</v>
      </c>
      <c r="AR104">
        <v>-50.618612968624987</v>
      </c>
      <c r="AS104">
        <v>89.999999566492619</v>
      </c>
      <c r="AT104">
        <v>-2400.1625746957502</v>
      </c>
      <c r="AU104">
        <v>-3280</v>
      </c>
      <c r="AV104">
        <v>-7719.4999989457119</v>
      </c>
      <c r="AW104">
        <v>-7002.1</v>
      </c>
      <c r="AX104">
        <v>-5697.4157439102446</v>
      </c>
      <c r="AY104">
        <v>-1550.222318366737</v>
      </c>
      <c r="AZ104">
        <v>-2730.9252207921031</v>
      </c>
      <c r="BA104">
        <v>-197.16</v>
      </c>
      <c r="BB104">
        <v>520.3011039433311</v>
      </c>
      <c r="BC104">
        <v>3082.5000000000005</v>
      </c>
      <c r="BD104">
        <v>3344.7609936556696</v>
      </c>
      <c r="BE104">
        <v>6392.056392686236</v>
      </c>
      <c r="BF104">
        <v>-2565.2532760267472</v>
      </c>
      <c r="BG104">
        <v>-7002</v>
      </c>
      <c r="BH104">
        <v>-7719.5999989457123</v>
      </c>
      <c r="BI104">
        <v>-6252</v>
      </c>
      <c r="BJ104">
        <v>-2822.3065744564919</v>
      </c>
      <c r="BK104">
        <v>-1550.2223083667368</v>
      </c>
      <c r="BL104">
        <v>-851.86373761518519</v>
      </c>
      <c r="BM104">
        <v>-197.16</v>
      </c>
      <c r="BN104">
        <v>2364.9611039433312</v>
      </c>
      <c r="BO104">
        <v>3082.5000000000005</v>
      </c>
      <c r="BP104">
        <v>6847.2953936018666</v>
      </c>
      <c r="BQ104">
        <v>5070.3769409846245</v>
      </c>
      <c r="BR104">
        <v>0</v>
      </c>
      <c r="BS104">
        <v>84.97899644133453</v>
      </c>
      <c r="BT104">
        <v>89.996893965312992</v>
      </c>
      <c r="BU104">
        <v>90.003106034687022</v>
      </c>
      <c r="BV104">
        <v>50.618612968624994</v>
      </c>
      <c r="BW104">
        <v>140.61861253511759</v>
      </c>
      <c r="BX104" s="69">
        <f>Таблица1[[#This Row],[Lкан_леб,мм]]</f>
        <v>3508617.5809713774</v>
      </c>
      <c r="BY104" s="65">
        <f>Таблица1[[#This Row],[Т1]]+Таблица1[[#This Row],[Lпрям1, мм]]</f>
        <v>3510503.8807877442</v>
      </c>
      <c r="BZ104" s="65">
        <f>Таблица1[[#This Row],[Т2]]+Таблица1[[#This Row],[Lдуг 2,мм]]</f>
        <v>3511568.0504432549</v>
      </c>
      <c r="CA104" s="65">
        <f>Таблица1[[#This Row],[Т3]]+Таблица1[[#This Row],[Lпрям2, мм]]</f>
        <v>3515290.0504432549</v>
      </c>
      <c r="CB104" s="65">
        <f>Таблица1[[#This Row],[Т4]]+Таблица1[[#This Row],[Lдуг 3,мм]]</f>
        <v>3516417.0579116736</v>
      </c>
      <c r="CC104" s="65">
        <f>Таблица1[[#This Row],[Т5]]+Таблица1[[#This Row],[Lпрям3, мм]]</f>
        <v>3518261.7179143839</v>
      </c>
      <c r="CD104" s="65">
        <f>Таблица1[[#This Row],[Т6]]+Таблица1[[#This Row],[Lдуг 4,мм]]</f>
        <v>3519388.8031749157</v>
      </c>
      <c r="CE104" s="65">
        <f>Таблица1[[#This Row],[Т7]]+Таблица1[[#This Row],[Lпрям4, мм]]</f>
        <v>3520138.9031749158</v>
      </c>
      <c r="CF104" s="72">
        <f>Таблица1[[#This Row],[Т8]]+Таблица1[[#This Row],[Lдуг 5,мм]]</f>
        <v>3520772.7867718167</v>
      </c>
      <c r="CG104" s="65">
        <f>Таблица1[[#This Row],[Т9]]+Таблица1[[#This Row],[Lпрям5, мм]]</f>
        <v>3525304.2324527316</v>
      </c>
      <c r="CH104" s="65">
        <f>Таблица1[[#This Row],[Т10]]+Таблица1[[#This Row],[Lдуг 6,мм]]</f>
        <v>3527065.1624086793</v>
      </c>
      <c r="CI104" s="66">
        <f>Таблица1[[#This Row],[Т11]]+Таблица1[[#This Row],[Lпрям6, мм]]</f>
        <v>3528386.841860381</v>
      </c>
      <c r="CJ104" s="64">
        <f>Таблица1[[#This Row],[Т12]]-Таблица1[[#This Row],[Т12]]</f>
        <v>0</v>
      </c>
      <c r="CK104" s="65">
        <f>Таблица1[[#This Row],[Т12]]-Таблица1[[#This Row],[Т11]]</f>
        <v>1321.679451701697</v>
      </c>
      <c r="CL104" s="65">
        <f>Таблица1[[#This Row],[Т12]]-Таблица1[[#This Row],[Т10]]</f>
        <v>3082.6094076493755</v>
      </c>
      <c r="CM104" s="65">
        <f>Таблица1[[#This Row],[Т12]]-Таблица1[[#This Row],[Т9]]</f>
        <v>7614.0550885642879</v>
      </c>
      <c r="CN104" s="65">
        <f>Таблица1[[#This Row],[Т12]]-Таблица1[[#This Row],[Т8]]</f>
        <v>8247.9386854651384</v>
      </c>
      <c r="CO104" s="65">
        <f>Таблица1[[#This Row],[Т12]]-Таблица1[[#This Row],[Т7]]</f>
        <v>8998.0386854652315</v>
      </c>
      <c r="CP104" s="65">
        <f>Таблица1[[#This Row],[Т12]]-Таблица1[[#This Row],[Т6]]</f>
        <v>10125.123945997097</v>
      </c>
      <c r="CQ104" s="65">
        <f>Таблица1[[#This Row],[Т12]]-Таблица1[[#This Row],[Т5]]</f>
        <v>11969.783948707394</v>
      </c>
      <c r="CR104" s="65">
        <f>Таблица1[[#This Row],[Т12]]-Таблица1[[#This Row],[Т4]]</f>
        <v>13096.791417126078</v>
      </c>
      <c r="CS104" s="65">
        <f>Таблица1[[#This Row],[Т12]]-Таблица1[[#This Row],[Т3]]</f>
        <v>16818.791417126078</v>
      </c>
      <c r="CT104" s="65">
        <f>Таблица1[[#This Row],[Т12]]-Таблица1[[#This Row],[Т2]]</f>
        <v>17882.961072636768</v>
      </c>
      <c r="CU104" s="65">
        <f>Таблица1[[#This Row],[Т12]]-Таблица1[[#This Row],[Т1]]</f>
        <v>19769.260889003519</v>
      </c>
      <c r="CV104" s="65">
        <f>Таблица1[[#This Row],[Lкан_леб,мм]]+Таблица1[[#This Row],[Lкан_дуг, мм]]+Таблица1[[#This Row],[Lкан_прям, мм]]</f>
        <v>3528386.841860381</v>
      </c>
      <c r="CW104" s="60">
        <f>3511128.4-(Таблица1[[#This Row],[Lкан_леб,мм]]+Таблица1[[#This Row],[∆Lлеб из за стрел]])</f>
        <v>2510.8190286224708</v>
      </c>
    </row>
    <row r="105" spans="1:101" x14ac:dyDescent="0.25">
      <c r="A105">
        <v>104</v>
      </c>
      <c r="B105">
        <v>102.53691275167755</v>
      </c>
      <c r="C105">
        <v>-12.526912751677548</v>
      </c>
      <c r="D105">
        <v>-2332.4440495644685</v>
      </c>
      <c r="E105">
        <v>6377.9662087588422</v>
      </c>
      <c r="F105">
        <v>-1614.8108918713672</v>
      </c>
      <c r="G105">
        <v>5615.0914477531906</v>
      </c>
      <c r="H105">
        <v>-1614.9445395644689</v>
      </c>
      <c r="I105">
        <v>5056.2867624859937</v>
      </c>
      <c r="J105">
        <v>1321.6794462728485</v>
      </c>
      <c r="K105">
        <v>13991.237185487442</v>
      </c>
      <c r="L105">
        <v>5726.2568387837282</v>
      </c>
      <c r="M105">
        <v>3508669.3478361098</v>
      </c>
      <c r="N105">
        <v>0</v>
      </c>
      <c r="O105">
        <v>8</v>
      </c>
      <c r="P105">
        <v>-3322.5</v>
      </c>
      <c r="Q105">
        <v>-2811.96</v>
      </c>
      <c r="R105">
        <v>-3280</v>
      </c>
      <c r="S105">
        <v>-914.66</v>
      </c>
      <c r="T105">
        <v>-7002</v>
      </c>
      <c r="U105">
        <v>520.34</v>
      </c>
      <c r="V105">
        <v>-7002.1</v>
      </c>
      <c r="W105">
        <v>2365</v>
      </c>
      <c r="X105">
        <v>-6252</v>
      </c>
      <c r="Y105">
        <v>3800</v>
      </c>
      <c r="Z105">
        <v>-2332.4440495644685</v>
      </c>
      <c r="AA105">
        <v>6377.9662087588422</v>
      </c>
      <c r="AB105">
        <v>0</v>
      </c>
      <c r="AC105">
        <v>1064.1696555107644</v>
      </c>
      <c r="AD105">
        <v>1127.0074684186504</v>
      </c>
      <c r="AE105">
        <v>1127.0852605320265</v>
      </c>
      <c r="AF105">
        <v>640.47404763782401</v>
      </c>
      <c r="AG105">
        <v>1767.5204066844628</v>
      </c>
      <c r="AH105">
        <v>1886.2998163666878</v>
      </c>
      <c r="AI105">
        <v>3721.9999999999995</v>
      </c>
      <c r="AJ105">
        <v>1844.6600027105269</v>
      </c>
      <c r="AK105">
        <v>750.10000000000059</v>
      </c>
      <c r="AL105">
        <v>4466.4979147086833</v>
      </c>
      <c r="AM105">
        <v>1321.6794517015442</v>
      </c>
      <c r="AN105">
        <v>-95.021003558665456</v>
      </c>
      <c r="AO105">
        <v>-180</v>
      </c>
      <c r="AP105">
        <v>-90.003106034687008</v>
      </c>
      <c r="AQ105">
        <v>1.2722218725854067E-14</v>
      </c>
      <c r="AR105">
        <v>-51.144891731439905</v>
      </c>
      <c r="AS105">
        <v>89.999999566492633</v>
      </c>
      <c r="AT105">
        <v>-2400.1625746957502</v>
      </c>
      <c r="AU105">
        <v>-3280</v>
      </c>
      <c r="AV105">
        <v>-7719.4999989457119</v>
      </c>
      <c r="AW105">
        <v>-7002.1</v>
      </c>
      <c r="AX105">
        <v>-5693.2576920258252</v>
      </c>
      <c r="AY105">
        <v>-1614.9440495644687</v>
      </c>
      <c r="AZ105">
        <v>-2730.9252207921031</v>
      </c>
      <c r="BA105">
        <v>-197.16</v>
      </c>
      <c r="BB105">
        <v>520.3011039433311</v>
      </c>
      <c r="BC105">
        <v>3082.5000000000005</v>
      </c>
      <c r="BD105">
        <v>3349.8741472880142</v>
      </c>
      <c r="BE105">
        <v>6377.9662141875415</v>
      </c>
      <c r="BF105">
        <v>-2565.2532760267472</v>
      </c>
      <c r="BG105">
        <v>-7002</v>
      </c>
      <c r="BH105">
        <v>-7719.5999989457123</v>
      </c>
      <c r="BI105">
        <v>-6252</v>
      </c>
      <c r="BJ105">
        <v>-2891.1863575386433</v>
      </c>
      <c r="BK105">
        <v>-1614.9440395644688</v>
      </c>
      <c r="BL105">
        <v>-851.86373761518519</v>
      </c>
      <c r="BM105">
        <v>-197.16</v>
      </c>
      <c r="BN105">
        <v>2364.9611039433312</v>
      </c>
      <c r="BO105">
        <v>3082.5000000000005</v>
      </c>
      <c r="BP105">
        <v>6828.0920614708284</v>
      </c>
      <c r="BQ105">
        <v>5056.2867624859973</v>
      </c>
      <c r="BR105">
        <v>0</v>
      </c>
      <c r="BS105">
        <v>84.97899644133453</v>
      </c>
      <c r="BT105">
        <v>89.996893965312992</v>
      </c>
      <c r="BU105">
        <v>90.003106034687022</v>
      </c>
      <c r="BV105">
        <v>51.14489173143992</v>
      </c>
      <c r="BW105">
        <v>141.14489129793253</v>
      </c>
      <c r="BX105" s="69">
        <f>Таблица1[[#This Row],[Lкан_леб,мм]]</f>
        <v>3508669.3478361098</v>
      </c>
      <c r="BY105" s="65">
        <f>Таблица1[[#This Row],[Т1]]+Таблица1[[#This Row],[Lпрям1, мм]]</f>
        <v>3510555.6476524766</v>
      </c>
      <c r="BZ105" s="65">
        <f>Таблица1[[#This Row],[Т2]]+Таблица1[[#This Row],[Lдуг 2,мм]]</f>
        <v>3511619.8173079873</v>
      </c>
      <c r="CA105" s="65">
        <f>Таблица1[[#This Row],[Т3]]+Таблица1[[#This Row],[Lпрям2, мм]]</f>
        <v>3515341.8173079873</v>
      </c>
      <c r="CB105" s="65">
        <f>Таблица1[[#This Row],[Т4]]+Таблица1[[#This Row],[Lдуг 3,мм]]</f>
        <v>3516468.8247764059</v>
      </c>
      <c r="CC105" s="65">
        <f>Таблица1[[#This Row],[Т5]]+Таблица1[[#This Row],[Lпрям3, мм]]</f>
        <v>3518313.4847791162</v>
      </c>
      <c r="CD105" s="65">
        <f>Таблица1[[#This Row],[Т6]]+Таблица1[[#This Row],[Lдуг 4,мм]]</f>
        <v>3519440.5700396481</v>
      </c>
      <c r="CE105" s="65">
        <f>Таблица1[[#This Row],[Т7]]+Таблица1[[#This Row],[Lпрям4, мм]]</f>
        <v>3520190.6700396482</v>
      </c>
      <c r="CF105" s="72">
        <f>Таблица1[[#This Row],[Т8]]+Таблица1[[#This Row],[Lдуг 5,мм]]</f>
        <v>3520831.1440872862</v>
      </c>
      <c r="CG105" s="65">
        <f>Таблица1[[#This Row],[Т9]]+Таблица1[[#This Row],[Lпрям5, мм]]</f>
        <v>3525297.6420019949</v>
      </c>
      <c r="CH105" s="65">
        <f>Таблица1[[#This Row],[Т10]]+Таблица1[[#This Row],[Lдуг 6,мм]]</f>
        <v>3527065.1624086793</v>
      </c>
      <c r="CI105" s="66">
        <f>Таблица1[[#This Row],[Т11]]+Таблица1[[#This Row],[Lпрям6, мм]]</f>
        <v>3528386.841860381</v>
      </c>
      <c r="CJ105" s="64">
        <f>Таблица1[[#This Row],[Т12]]-Таблица1[[#This Row],[Т12]]</f>
        <v>0</v>
      </c>
      <c r="CK105" s="65">
        <f>Таблица1[[#This Row],[Т12]]-Таблица1[[#This Row],[Т11]]</f>
        <v>1321.679451701697</v>
      </c>
      <c r="CL105" s="65">
        <f>Таблица1[[#This Row],[Т12]]-Таблица1[[#This Row],[Т10]]</f>
        <v>3089.1998583860695</v>
      </c>
      <c r="CM105" s="65">
        <f>Таблица1[[#This Row],[Т12]]-Таблица1[[#This Row],[Т9]]</f>
        <v>7555.6977730947547</v>
      </c>
      <c r="CN105" s="65">
        <f>Таблица1[[#This Row],[Т12]]-Таблица1[[#This Row],[Т8]]</f>
        <v>8196.1718207327649</v>
      </c>
      <c r="CO105" s="65">
        <f>Таблица1[[#This Row],[Т12]]-Таблица1[[#This Row],[Т7]]</f>
        <v>8946.271820732858</v>
      </c>
      <c r="CP105" s="65">
        <f>Таблица1[[#This Row],[Т12]]-Таблица1[[#This Row],[Т6]]</f>
        <v>10073.357081264723</v>
      </c>
      <c r="CQ105" s="65">
        <f>Таблица1[[#This Row],[Т12]]-Таблица1[[#This Row],[Т5]]</f>
        <v>11918.017083975021</v>
      </c>
      <c r="CR105" s="65">
        <f>Таблица1[[#This Row],[Т12]]-Таблица1[[#This Row],[Т4]]</f>
        <v>13045.024552393705</v>
      </c>
      <c r="CS105" s="65">
        <f>Таблица1[[#This Row],[Т12]]-Таблица1[[#This Row],[Т3]]</f>
        <v>16767.024552393705</v>
      </c>
      <c r="CT105" s="65">
        <f>Таблица1[[#This Row],[Т12]]-Таблица1[[#This Row],[Т2]]</f>
        <v>17831.194207904395</v>
      </c>
      <c r="CU105" s="65">
        <f>Таблица1[[#This Row],[Т12]]-Таблица1[[#This Row],[Т1]]</f>
        <v>19717.494024271145</v>
      </c>
      <c r="CV105" s="65">
        <f>Таблица1[[#This Row],[Lкан_леб,мм]]+Таблица1[[#This Row],[Lкан_дуг, мм]]+Таблица1[[#This Row],[Lкан_прям, мм]]</f>
        <v>3528386.841860381</v>
      </c>
      <c r="CW105" s="60">
        <f>3511128.4-(Таблица1[[#This Row],[Lкан_леб,мм]]+Таблица1[[#This Row],[∆Lлеб из за стрел]])</f>
        <v>2459.0521638900973</v>
      </c>
    </row>
    <row r="106" spans="1:101" x14ac:dyDescent="0.25">
      <c r="A106">
        <v>105</v>
      </c>
      <c r="B106">
        <v>103.0469798657715</v>
      </c>
      <c r="C106">
        <v>-13.036979865771505</v>
      </c>
      <c r="D106">
        <v>-2397.037782069387</v>
      </c>
      <c r="E106">
        <v>6363.3004206641099</v>
      </c>
      <c r="F106">
        <v>-1679.4046243762857</v>
      </c>
      <c r="G106">
        <v>5600.4256596584601</v>
      </c>
      <c r="H106">
        <v>-1679.5382720693869</v>
      </c>
      <c r="I106">
        <v>5041.6209743916233</v>
      </c>
      <c r="J106">
        <v>1321.679446272487</v>
      </c>
      <c r="K106">
        <v>13926.104712121492</v>
      </c>
      <c r="L106">
        <v>5739.6369914050028</v>
      </c>
      <c r="M106">
        <v>3508721.1001568544</v>
      </c>
      <c r="N106">
        <v>0</v>
      </c>
      <c r="O106">
        <v>8</v>
      </c>
      <c r="P106">
        <v>-3322.5</v>
      </c>
      <c r="Q106">
        <v>-2811.96</v>
      </c>
      <c r="R106">
        <v>-3280</v>
      </c>
      <c r="S106">
        <v>-914.66</v>
      </c>
      <c r="T106">
        <v>-7002</v>
      </c>
      <c r="U106">
        <v>520.34</v>
      </c>
      <c r="V106">
        <v>-7002.1</v>
      </c>
      <c r="W106">
        <v>2365</v>
      </c>
      <c r="X106">
        <v>-6252</v>
      </c>
      <c r="Y106">
        <v>3800</v>
      </c>
      <c r="Z106">
        <v>-2397.037782069387</v>
      </c>
      <c r="AA106">
        <v>6363.3004206641099</v>
      </c>
      <c r="AB106">
        <v>0</v>
      </c>
      <c r="AC106">
        <v>1064.1696555107644</v>
      </c>
      <c r="AD106">
        <v>1127.0074684186504</v>
      </c>
      <c r="AE106">
        <v>1127.0852605320265</v>
      </c>
      <c r="AF106">
        <v>647.16412394846111</v>
      </c>
      <c r="AG106">
        <v>1774.2104829951004</v>
      </c>
      <c r="AH106">
        <v>1886.2998163666878</v>
      </c>
      <c r="AI106">
        <v>3721.9999999999995</v>
      </c>
      <c r="AJ106">
        <v>1844.6600027105269</v>
      </c>
      <c r="AK106">
        <v>750.10000000000059</v>
      </c>
      <c r="AL106">
        <v>4401.3654413430968</v>
      </c>
      <c r="AM106">
        <v>1321.6794517011826</v>
      </c>
      <c r="AN106">
        <v>-95.021003558665456</v>
      </c>
      <c r="AO106">
        <v>-180</v>
      </c>
      <c r="AP106">
        <v>-90.003106034687008</v>
      </c>
      <c r="AQ106">
        <v>1.2722218725854067E-14</v>
      </c>
      <c r="AR106">
        <v>-51.679126069028705</v>
      </c>
      <c r="AS106">
        <v>89.999999566492619</v>
      </c>
      <c r="AT106">
        <v>-2400.1625746957502</v>
      </c>
      <c r="AU106">
        <v>-3280</v>
      </c>
      <c r="AV106">
        <v>-7719.4999989457119</v>
      </c>
      <c r="AW106">
        <v>-7002.1</v>
      </c>
      <c r="AX106">
        <v>-5689.0850009747546</v>
      </c>
      <c r="AY106">
        <v>-1679.537782069387</v>
      </c>
      <c r="AZ106">
        <v>-2730.9252207921031</v>
      </c>
      <c r="BA106">
        <v>-197.16</v>
      </c>
      <c r="BB106">
        <v>520.3011039433311</v>
      </c>
      <c r="BC106">
        <v>3082.5000000000005</v>
      </c>
      <c r="BD106">
        <v>3355.1034346363099</v>
      </c>
      <c r="BE106">
        <v>6363.3004260928092</v>
      </c>
      <c r="BF106">
        <v>-2565.2532760267472</v>
      </c>
      <c r="BG106">
        <v>-7002</v>
      </c>
      <c r="BH106">
        <v>-7719.5999989457123</v>
      </c>
      <c r="BI106">
        <v>-6252</v>
      </c>
      <c r="BJ106">
        <v>-2959.952781094632</v>
      </c>
      <c r="BK106">
        <v>-1679.5377720693868</v>
      </c>
      <c r="BL106">
        <v>-851.86373761518519</v>
      </c>
      <c r="BM106">
        <v>-197.16</v>
      </c>
      <c r="BN106">
        <v>2364.9611039433312</v>
      </c>
      <c r="BO106">
        <v>3082.5000000000005</v>
      </c>
      <c r="BP106">
        <v>6808.1969860278014</v>
      </c>
      <c r="BQ106">
        <v>5041.620974391627</v>
      </c>
      <c r="BR106">
        <v>0</v>
      </c>
      <c r="BS106">
        <v>84.97899644133453</v>
      </c>
      <c r="BT106">
        <v>89.996893965312992</v>
      </c>
      <c r="BU106">
        <v>90.003106034687022</v>
      </c>
      <c r="BV106">
        <v>51.679126069028719</v>
      </c>
      <c r="BW106">
        <v>141.67912563552133</v>
      </c>
      <c r="BX106" s="69">
        <f>Таблица1[[#This Row],[Lкан_леб,мм]]</f>
        <v>3508721.1001568544</v>
      </c>
      <c r="BY106" s="65">
        <f>Таблица1[[#This Row],[Т1]]+Таблица1[[#This Row],[Lпрям1, мм]]</f>
        <v>3510607.3999732211</v>
      </c>
      <c r="BZ106" s="65">
        <f>Таблица1[[#This Row],[Т2]]+Таблица1[[#This Row],[Lдуг 2,мм]]</f>
        <v>3511671.5696287318</v>
      </c>
      <c r="CA106" s="65">
        <f>Таблица1[[#This Row],[Т3]]+Таблица1[[#This Row],[Lпрям2, мм]]</f>
        <v>3515393.5696287318</v>
      </c>
      <c r="CB106" s="65">
        <f>Таблица1[[#This Row],[Т4]]+Таблица1[[#This Row],[Lдуг 3,мм]]</f>
        <v>3516520.5770971505</v>
      </c>
      <c r="CC106" s="65">
        <f>Таблица1[[#This Row],[Т5]]+Таблица1[[#This Row],[Lпрям3, мм]]</f>
        <v>3518365.2370998608</v>
      </c>
      <c r="CD106" s="65">
        <f>Таблица1[[#This Row],[Т6]]+Таблица1[[#This Row],[Lдуг 4,мм]]</f>
        <v>3519492.3223603927</v>
      </c>
      <c r="CE106" s="65">
        <f>Таблица1[[#This Row],[Т7]]+Таблица1[[#This Row],[Lпрям4, мм]]</f>
        <v>3520242.4223603928</v>
      </c>
      <c r="CF106" s="72">
        <f>Таблица1[[#This Row],[Т8]]+Таблица1[[#This Row],[Lдуг 5,мм]]</f>
        <v>3520889.5864843414</v>
      </c>
      <c r="CG106" s="65">
        <f>Таблица1[[#This Row],[Т9]]+Таблица1[[#This Row],[Lпрям5, мм]]</f>
        <v>3525290.9519256847</v>
      </c>
      <c r="CH106" s="65">
        <f>Таблица1[[#This Row],[Т10]]+Таблица1[[#This Row],[Lдуг 6,мм]]</f>
        <v>3527065.1624086797</v>
      </c>
      <c r="CI106" s="66">
        <f>Таблица1[[#This Row],[Т11]]+Таблица1[[#This Row],[Lпрям6, мм]]</f>
        <v>3528386.841860381</v>
      </c>
      <c r="CJ106" s="64">
        <f>Таблица1[[#This Row],[Т12]]-Таблица1[[#This Row],[Т12]]</f>
        <v>0</v>
      </c>
      <c r="CK106" s="65">
        <f>Таблица1[[#This Row],[Т12]]-Таблица1[[#This Row],[Т11]]</f>
        <v>1321.6794517012313</v>
      </c>
      <c r="CL106" s="65">
        <f>Таблица1[[#This Row],[Т12]]-Таблица1[[#This Row],[Т10]]</f>
        <v>3095.8899346962571</v>
      </c>
      <c r="CM106" s="65">
        <f>Таблица1[[#This Row],[Т12]]-Таблица1[[#This Row],[Т9]]</f>
        <v>7497.2553760395385</v>
      </c>
      <c r="CN106" s="65">
        <f>Таблица1[[#This Row],[Т12]]-Таблица1[[#This Row],[Т8]]</f>
        <v>8144.419499988202</v>
      </c>
      <c r="CO106" s="65">
        <f>Таблица1[[#This Row],[Т12]]-Таблица1[[#This Row],[Т7]]</f>
        <v>8894.5194999882951</v>
      </c>
      <c r="CP106" s="65">
        <f>Таблица1[[#This Row],[Т12]]-Таблица1[[#This Row],[Т6]]</f>
        <v>10021.60476052016</v>
      </c>
      <c r="CQ106" s="65">
        <f>Таблица1[[#This Row],[Т12]]-Таблица1[[#This Row],[Т5]]</f>
        <v>11866.264763230458</v>
      </c>
      <c r="CR106" s="65">
        <f>Таблица1[[#This Row],[Т12]]-Таблица1[[#This Row],[Т4]]</f>
        <v>12993.272231649142</v>
      </c>
      <c r="CS106" s="65">
        <f>Таблица1[[#This Row],[Т12]]-Таблица1[[#This Row],[Т3]]</f>
        <v>16715.272231649142</v>
      </c>
      <c r="CT106" s="65">
        <f>Таблица1[[#This Row],[Т12]]-Таблица1[[#This Row],[Т2]]</f>
        <v>17779.441887159832</v>
      </c>
      <c r="CU106" s="65">
        <f>Таблица1[[#This Row],[Т12]]-Таблица1[[#This Row],[Т1]]</f>
        <v>19665.741703526583</v>
      </c>
      <c r="CV106" s="65">
        <f>Таблица1[[#This Row],[Lкан_леб,мм]]+Таблица1[[#This Row],[Lкан_дуг, мм]]+Таблица1[[#This Row],[Lкан_прям, мм]]</f>
        <v>3528386.841860381</v>
      </c>
      <c r="CW106" s="60">
        <f>3511128.4-(Таблица1[[#This Row],[Lкан_леб,мм]]+Таблица1[[#This Row],[∆Lлеб из за стрел]])</f>
        <v>2407.2998431455344</v>
      </c>
    </row>
    <row r="107" spans="1:101" x14ac:dyDescent="0.25">
      <c r="A107">
        <v>106</v>
      </c>
      <c r="B107">
        <v>103.55704697986546</v>
      </c>
      <c r="C107">
        <v>-13.54704697986546</v>
      </c>
      <c r="D107">
        <v>-2461.4983967428079</v>
      </c>
      <c r="E107">
        <v>6348.0601852564378</v>
      </c>
      <c r="F107">
        <v>-1743.8652390497066</v>
      </c>
      <c r="G107">
        <v>5585.185424250787</v>
      </c>
      <c r="H107">
        <v>-1743.9988867428083</v>
      </c>
      <c r="I107">
        <v>5026.3807389836156</v>
      </c>
      <c r="J107">
        <v>1321.6794462728219</v>
      </c>
      <c r="K107">
        <v>13860.784486408338</v>
      </c>
      <c r="L107">
        <v>5753.2253176059148</v>
      </c>
      <c r="M107">
        <v>3508772.8320563668</v>
      </c>
      <c r="N107">
        <v>0</v>
      </c>
      <c r="O107">
        <v>8</v>
      </c>
      <c r="P107">
        <v>-3322.5</v>
      </c>
      <c r="Q107">
        <v>-2811.96</v>
      </c>
      <c r="R107">
        <v>-3280</v>
      </c>
      <c r="S107">
        <v>-914.66</v>
      </c>
      <c r="T107">
        <v>-7002</v>
      </c>
      <c r="U107">
        <v>520.34</v>
      </c>
      <c r="V107">
        <v>-7002.1</v>
      </c>
      <c r="W107">
        <v>2365</v>
      </c>
      <c r="X107">
        <v>-6252</v>
      </c>
      <c r="Y107">
        <v>3800</v>
      </c>
      <c r="Z107">
        <v>-2461.4983967428079</v>
      </c>
      <c r="AA107">
        <v>6348.0601852564378</v>
      </c>
      <c r="AB107">
        <v>0</v>
      </c>
      <c r="AC107">
        <v>1064.1696555107644</v>
      </c>
      <c r="AD107">
        <v>1127.0074684186504</v>
      </c>
      <c r="AE107">
        <v>1127.0852605320265</v>
      </c>
      <c r="AF107">
        <v>653.95828704891687</v>
      </c>
      <c r="AG107">
        <v>1781.0046460955564</v>
      </c>
      <c r="AH107">
        <v>1886.2998163666878</v>
      </c>
      <c r="AI107">
        <v>3721.9999999999995</v>
      </c>
      <c r="AJ107">
        <v>1844.6600027105269</v>
      </c>
      <c r="AK107">
        <v>750.10000000000059</v>
      </c>
      <c r="AL107">
        <v>4336.0452156296078</v>
      </c>
      <c r="AM107">
        <v>1321.6794517015176</v>
      </c>
      <c r="AN107">
        <v>-95.021003558665456</v>
      </c>
      <c r="AO107">
        <v>-180</v>
      </c>
      <c r="AP107">
        <v>-90.003106034687008</v>
      </c>
      <c r="AQ107">
        <v>1.2722218725854067E-14</v>
      </c>
      <c r="AR107">
        <v>-52.221672230672795</v>
      </c>
      <c r="AS107">
        <v>89.999999566492633</v>
      </c>
      <c r="AT107">
        <v>-2400.1625746957502</v>
      </c>
      <c r="AU107">
        <v>-3280</v>
      </c>
      <c r="AV107">
        <v>-7719.4999989457119</v>
      </c>
      <c r="AW107">
        <v>-7002.1</v>
      </c>
      <c r="AX107">
        <v>-5684.8974788712512</v>
      </c>
      <c r="AY107">
        <v>-1743.9983967428082</v>
      </c>
      <c r="AZ107">
        <v>-2730.9252207921031</v>
      </c>
      <c r="BA107">
        <v>-197.16</v>
      </c>
      <c r="BB107">
        <v>520.3011039433311</v>
      </c>
      <c r="BC107">
        <v>3082.5000000000005</v>
      </c>
      <c r="BD107">
        <v>3360.4536650938639</v>
      </c>
      <c r="BE107">
        <v>6348.0601906851371</v>
      </c>
      <c r="BF107">
        <v>-2565.2532760267472</v>
      </c>
      <c r="BG107">
        <v>-7002</v>
      </c>
      <c r="BH107">
        <v>-7719.5999989457123</v>
      </c>
      <c r="BI107">
        <v>-6252</v>
      </c>
      <c r="BJ107">
        <v>-3028.6009178715567</v>
      </c>
      <c r="BK107">
        <v>-1743.9983867428082</v>
      </c>
      <c r="BL107">
        <v>-851.86373761518519</v>
      </c>
      <c r="BM107">
        <v>-197.16</v>
      </c>
      <c r="BN107">
        <v>2364.9611039433312</v>
      </c>
      <c r="BO107">
        <v>3082.5000000000005</v>
      </c>
      <c r="BP107">
        <v>6787.6065201625734</v>
      </c>
      <c r="BQ107">
        <v>5026.3807389836193</v>
      </c>
      <c r="BR107">
        <v>0</v>
      </c>
      <c r="BS107">
        <v>84.97899644133453</v>
      </c>
      <c r="BT107">
        <v>89.996893965312992</v>
      </c>
      <c r="BU107">
        <v>90.003106034687022</v>
      </c>
      <c r="BV107">
        <v>52.221672230672809</v>
      </c>
      <c r="BW107">
        <v>142.22167179716544</v>
      </c>
      <c r="BX107" s="69">
        <f>Таблица1[[#This Row],[Lкан_леб,мм]]</f>
        <v>3508772.8320563668</v>
      </c>
      <c r="BY107" s="65">
        <f>Таблица1[[#This Row],[Т1]]+Таблица1[[#This Row],[Lпрям1, мм]]</f>
        <v>3510659.1318727336</v>
      </c>
      <c r="BZ107" s="65">
        <f>Таблица1[[#This Row],[Т2]]+Таблица1[[#This Row],[Lдуг 2,мм]]</f>
        <v>3511723.3015282443</v>
      </c>
      <c r="CA107" s="65">
        <f>Таблица1[[#This Row],[Т3]]+Таблица1[[#This Row],[Lпрям2, мм]]</f>
        <v>3515445.3015282443</v>
      </c>
      <c r="CB107" s="65">
        <f>Таблица1[[#This Row],[Т4]]+Таблица1[[#This Row],[Lдуг 3,мм]]</f>
        <v>3516572.308996663</v>
      </c>
      <c r="CC107" s="65">
        <f>Таблица1[[#This Row],[Т5]]+Таблица1[[#This Row],[Lпрям3, мм]]</f>
        <v>3518416.9689993733</v>
      </c>
      <c r="CD107" s="65">
        <f>Таблица1[[#This Row],[Т6]]+Таблица1[[#This Row],[Lдуг 4,мм]]</f>
        <v>3519544.0542599051</v>
      </c>
      <c r="CE107" s="65">
        <f>Таблица1[[#This Row],[Т7]]+Таблица1[[#This Row],[Lпрям4, мм]]</f>
        <v>3520294.1542599052</v>
      </c>
      <c r="CF107" s="72">
        <f>Таблица1[[#This Row],[Т8]]+Таблица1[[#This Row],[Lдуг 5,мм]]</f>
        <v>3520948.1125469543</v>
      </c>
      <c r="CG107" s="65">
        <f>Таблица1[[#This Row],[Т9]]+Таблица1[[#This Row],[Lпрям5, мм]]</f>
        <v>3525284.1577625838</v>
      </c>
      <c r="CH107" s="65">
        <f>Таблица1[[#This Row],[Т10]]+Таблица1[[#This Row],[Lдуг 6,мм]]</f>
        <v>3527065.1624086793</v>
      </c>
      <c r="CI107" s="66">
        <f>Таблица1[[#This Row],[Т11]]+Таблица1[[#This Row],[Lпрям6, мм]]</f>
        <v>3528386.841860381</v>
      </c>
      <c r="CJ107" s="64">
        <f>Таблица1[[#This Row],[Т12]]-Таблица1[[#This Row],[Т12]]</f>
        <v>0</v>
      </c>
      <c r="CK107" s="65">
        <f>Таблица1[[#This Row],[Т12]]-Таблица1[[#This Row],[Т11]]</f>
        <v>1321.679451701697</v>
      </c>
      <c r="CL107" s="65">
        <f>Таблица1[[#This Row],[Т12]]-Таблица1[[#This Row],[Т10]]</f>
        <v>3102.6840977971442</v>
      </c>
      <c r="CM107" s="65">
        <f>Таблица1[[#This Row],[Т12]]-Таблица1[[#This Row],[Т9]]</f>
        <v>7438.7293134266511</v>
      </c>
      <c r="CN107" s="65">
        <f>Таблица1[[#This Row],[Т12]]-Таблица1[[#This Row],[Т8]]</f>
        <v>8092.687600475736</v>
      </c>
      <c r="CO107" s="65">
        <f>Таблица1[[#This Row],[Т12]]-Таблица1[[#This Row],[Т7]]</f>
        <v>8842.7876004758291</v>
      </c>
      <c r="CP107" s="65">
        <f>Таблица1[[#This Row],[Т12]]-Таблица1[[#This Row],[Т6]]</f>
        <v>9969.8728610076942</v>
      </c>
      <c r="CQ107" s="65">
        <f>Таблица1[[#This Row],[Т12]]-Таблица1[[#This Row],[Т5]]</f>
        <v>11814.532863717992</v>
      </c>
      <c r="CR107" s="65">
        <f>Таблица1[[#This Row],[Т12]]-Таблица1[[#This Row],[Т4]]</f>
        <v>12941.540332136676</v>
      </c>
      <c r="CS107" s="65">
        <f>Таблица1[[#This Row],[Т12]]-Таблица1[[#This Row],[Т3]]</f>
        <v>16663.540332136676</v>
      </c>
      <c r="CT107" s="65">
        <f>Таблица1[[#This Row],[Т12]]-Таблица1[[#This Row],[Т2]]</f>
        <v>17727.709987647366</v>
      </c>
      <c r="CU107" s="65">
        <f>Таблица1[[#This Row],[Т12]]-Таблица1[[#This Row],[Т1]]</f>
        <v>19614.009804014117</v>
      </c>
      <c r="CV107" s="65">
        <f>Таблица1[[#This Row],[Lкан_леб,мм]]+Таблица1[[#This Row],[Lкан_дуг, мм]]+Таблица1[[#This Row],[Lкан_прям, мм]]</f>
        <v>3528386.841860381</v>
      </c>
      <c r="CW107" s="60">
        <f>3511128.4-(Таблица1[[#This Row],[Lкан_леб,мм]]+Таблица1[[#This Row],[∆Lлеб из за стрел]])</f>
        <v>2355.5679436330684</v>
      </c>
    </row>
    <row r="108" spans="1:101" x14ac:dyDescent="0.25">
      <c r="A108">
        <v>107</v>
      </c>
      <c r="B108">
        <v>104.06711409395942</v>
      </c>
      <c r="C108">
        <v>-14.057114093959415</v>
      </c>
      <c r="D108">
        <v>-2525.8207849958094</v>
      </c>
      <c r="E108">
        <v>6332.2467103446252</v>
      </c>
      <c r="F108">
        <v>-1808.1876273027085</v>
      </c>
      <c r="G108">
        <v>5569.3719493389735</v>
      </c>
      <c r="H108">
        <v>-1808.3212749958095</v>
      </c>
      <c r="I108">
        <v>5010.5672640719213</v>
      </c>
      <c r="J108">
        <v>1321.6794462727037</v>
      </c>
      <c r="K108">
        <v>13795.273188730842</v>
      </c>
      <c r="L108">
        <v>5767.0312903910635</v>
      </c>
      <c r="M108">
        <v>3508824.5373812593</v>
      </c>
      <c r="N108">
        <v>0</v>
      </c>
      <c r="O108">
        <v>8</v>
      </c>
      <c r="P108">
        <v>-3322.5</v>
      </c>
      <c r="Q108">
        <v>-2811.96</v>
      </c>
      <c r="R108">
        <v>-3280</v>
      </c>
      <c r="S108">
        <v>-914.66</v>
      </c>
      <c r="T108">
        <v>-7002</v>
      </c>
      <c r="U108">
        <v>520.34</v>
      </c>
      <c r="V108">
        <v>-7002.1</v>
      </c>
      <c r="W108">
        <v>2365</v>
      </c>
      <c r="X108">
        <v>-6252</v>
      </c>
      <c r="Y108">
        <v>3800</v>
      </c>
      <c r="Z108">
        <v>-2525.8207849958094</v>
      </c>
      <c r="AA108">
        <v>6332.2467103446252</v>
      </c>
      <c r="AB108">
        <v>0</v>
      </c>
      <c r="AC108">
        <v>1064.1696555107644</v>
      </c>
      <c r="AD108">
        <v>1127.0074684186504</v>
      </c>
      <c r="AE108">
        <v>1127.0852605320265</v>
      </c>
      <c r="AF108">
        <v>660.86127344149179</v>
      </c>
      <c r="AG108">
        <v>1787.907632488131</v>
      </c>
      <c r="AH108">
        <v>1886.2998163666878</v>
      </c>
      <c r="AI108">
        <v>3721.9999999999995</v>
      </c>
      <c r="AJ108">
        <v>1844.6600027105269</v>
      </c>
      <c r="AK108">
        <v>750.10000000000059</v>
      </c>
      <c r="AL108">
        <v>4270.5339179522289</v>
      </c>
      <c r="AM108">
        <v>1321.6794517013993</v>
      </c>
      <c r="AN108">
        <v>-95.021003558665456</v>
      </c>
      <c r="AO108">
        <v>-180</v>
      </c>
      <c r="AP108">
        <v>-90.003106034687008</v>
      </c>
      <c r="AQ108">
        <v>1.2722218725854067E-14</v>
      </c>
      <c r="AR108">
        <v>-52.77290844855542</v>
      </c>
      <c r="AS108">
        <v>89.999999566492619</v>
      </c>
      <c r="AT108">
        <v>-2400.1625746957502</v>
      </c>
      <c r="AU108">
        <v>-3280</v>
      </c>
      <c r="AV108">
        <v>-7719.4999989457119</v>
      </c>
      <c r="AW108">
        <v>-7002.1</v>
      </c>
      <c r="AX108">
        <v>-5680.6949642254804</v>
      </c>
      <c r="AY108">
        <v>-1808.3207849958096</v>
      </c>
      <c r="AZ108">
        <v>-2730.9252207921031</v>
      </c>
      <c r="BA108">
        <v>-197.16</v>
      </c>
      <c r="BB108">
        <v>520.3011039433311</v>
      </c>
      <c r="BC108">
        <v>3082.5000000000005</v>
      </c>
      <c r="BD108">
        <v>3365.929952543745</v>
      </c>
      <c r="BE108">
        <v>6332.2467157733245</v>
      </c>
      <c r="BF108">
        <v>-2565.2532760267472</v>
      </c>
      <c r="BG108">
        <v>-7002</v>
      </c>
      <c r="BH108">
        <v>-7719.5999989457123</v>
      </c>
      <c r="BI108">
        <v>-6252</v>
      </c>
      <c r="BJ108">
        <v>-3097.1258207703286</v>
      </c>
      <c r="BK108">
        <v>-1808.3207749958094</v>
      </c>
      <c r="BL108">
        <v>-851.86373761518519</v>
      </c>
      <c r="BM108">
        <v>-197.16</v>
      </c>
      <c r="BN108">
        <v>2364.9611039433312</v>
      </c>
      <c r="BO108">
        <v>3082.5000000000005</v>
      </c>
      <c r="BP108">
        <v>6766.3167578008806</v>
      </c>
      <c r="BQ108">
        <v>5010.5672640719249</v>
      </c>
      <c r="BR108">
        <v>0</v>
      </c>
      <c r="BS108">
        <v>84.97899644133453</v>
      </c>
      <c r="BT108">
        <v>89.996893965312992</v>
      </c>
      <c r="BU108">
        <v>90.003106034687022</v>
      </c>
      <c r="BV108">
        <v>52.772908448555427</v>
      </c>
      <c r="BW108">
        <v>142.77290801504805</v>
      </c>
      <c r="BX108" s="69">
        <f>Таблица1[[#This Row],[Lкан_леб,мм]]</f>
        <v>3508824.5373812593</v>
      </c>
      <c r="BY108" s="65">
        <f>Таблица1[[#This Row],[Т1]]+Таблица1[[#This Row],[Lпрям1, мм]]</f>
        <v>3510710.837197626</v>
      </c>
      <c r="BZ108" s="65">
        <f>Таблица1[[#This Row],[Т2]]+Таблица1[[#This Row],[Lдуг 2,мм]]</f>
        <v>3511775.0068531367</v>
      </c>
      <c r="CA108" s="65">
        <f>Таблица1[[#This Row],[Т3]]+Таблица1[[#This Row],[Lпрям2, мм]]</f>
        <v>3515497.0068531367</v>
      </c>
      <c r="CB108" s="65">
        <f>Таблица1[[#This Row],[Т4]]+Таблица1[[#This Row],[Lдуг 3,мм]]</f>
        <v>3516624.0143215554</v>
      </c>
      <c r="CC108" s="65">
        <f>Таблица1[[#This Row],[Т5]]+Таблица1[[#This Row],[Lпрям3, мм]]</f>
        <v>3518468.6743242657</v>
      </c>
      <c r="CD108" s="65">
        <f>Таблица1[[#This Row],[Т6]]+Таблица1[[#This Row],[Lдуг 4,мм]]</f>
        <v>3519595.7595847975</v>
      </c>
      <c r="CE108" s="65">
        <f>Таблица1[[#This Row],[Т7]]+Таблица1[[#This Row],[Lпрям4, мм]]</f>
        <v>3520345.8595847976</v>
      </c>
      <c r="CF108" s="72">
        <f>Таблица1[[#This Row],[Т8]]+Таблица1[[#This Row],[Lдуг 5,мм]]</f>
        <v>3521006.7208582391</v>
      </c>
      <c r="CG108" s="65">
        <f>Таблица1[[#This Row],[Т9]]+Таблица1[[#This Row],[Lпрям5, мм]]</f>
        <v>3525277.2547761914</v>
      </c>
      <c r="CH108" s="65">
        <f>Таблица1[[#This Row],[Т10]]+Таблица1[[#This Row],[Lдуг 6,мм]]</f>
        <v>3527065.1624086797</v>
      </c>
      <c r="CI108" s="66">
        <f>Таблица1[[#This Row],[Т11]]+Таблица1[[#This Row],[Lпрям6, мм]]</f>
        <v>3528386.841860381</v>
      </c>
      <c r="CJ108" s="64">
        <f>Таблица1[[#This Row],[Т12]]-Таблица1[[#This Row],[Т12]]</f>
        <v>0</v>
      </c>
      <c r="CK108" s="65">
        <f>Таблица1[[#This Row],[Т12]]-Таблица1[[#This Row],[Т11]]</f>
        <v>1321.6794517012313</v>
      </c>
      <c r="CL108" s="65">
        <f>Таблица1[[#This Row],[Т12]]-Таблица1[[#This Row],[Т10]]</f>
        <v>3109.587084189523</v>
      </c>
      <c r="CM108" s="65">
        <f>Таблица1[[#This Row],[Т12]]-Таблица1[[#This Row],[Т9]]</f>
        <v>7380.1210021418519</v>
      </c>
      <c r="CN108" s="65">
        <f>Таблица1[[#This Row],[Т12]]-Таблица1[[#This Row],[Т8]]</f>
        <v>8040.9822755833156</v>
      </c>
      <c r="CO108" s="65">
        <f>Таблица1[[#This Row],[Т12]]-Таблица1[[#This Row],[Т7]]</f>
        <v>8791.0822755834088</v>
      </c>
      <c r="CP108" s="65">
        <f>Таблица1[[#This Row],[Т12]]-Таблица1[[#This Row],[Т6]]</f>
        <v>9918.1675361152738</v>
      </c>
      <c r="CQ108" s="65">
        <f>Таблица1[[#This Row],[Т12]]-Таблица1[[#This Row],[Т5]]</f>
        <v>11762.827538825572</v>
      </c>
      <c r="CR108" s="65">
        <f>Таблица1[[#This Row],[Т12]]-Таблица1[[#This Row],[Т4]]</f>
        <v>12889.835007244255</v>
      </c>
      <c r="CS108" s="65">
        <f>Таблица1[[#This Row],[Т12]]-Таблица1[[#This Row],[Т3]]</f>
        <v>16611.835007244255</v>
      </c>
      <c r="CT108" s="65">
        <f>Таблица1[[#This Row],[Т12]]-Таблица1[[#This Row],[Т2]]</f>
        <v>17676.004662754945</v>
      </c>
      <c r="CU108" s="65">
        <f>Таблица1[[#This Row],[Т12]]-Таблица1[[#This Row],[Т1]]</f>
        <v>19562.304479121696</v>
      </c>
      <c r="CV108" s="65">
        <f>Таблица1[[#This Row],[Lкан_леб,мм]]+Таблица1[[#This Row],[Lкан_дуг, мм]]+Таблица1[[#This Row],[Lкан_прям, мм]]</f>
        <v>3528386.841860381</v>
      </c>
      <c r="CW108" s="60">
        <f>3511128.4-(Таблица1[[#This Row],[Lкан_леб,мм]]+Таблица1[[#This Row],[∆Lлеб из за стрел]])</f>
        <v>2303.862618740648</v>
      </c>
    </row>
    <row r="109" spans="1:101" x14ac:dyDescent="0.25">
      <c r="A109">
        <v>108</v>
      </c>
      <c r="B109">
        <v>104.57718120805337</v>
      </c>
      <c r="C109">
        <v>-14.567181208053372</v>
      </c>
      <c r="D109">
        <v>-2589.9998491940992</v>
      </c>
      <c r="E109">
        <v>6315.8612491674612</v>
      </c>
      <c r="F109">
        <v>-1872.3666915009978</v>
      </c>
      <c r="G109">
        <v>5552.9864881618105</v>
      </c>
      <c r="H109">
        <v>-1872.5003391940993</v>
      </c>
      <c r="I109">
        <v>4994.1818028949165</v>
      </c>
      <c r="J109">
        <v>1321.6794462725447</v>
      </c>
      <c r="K109">
        <v>13729.567201807842</v>
      </c>
      <c r="L109">
        <v>5781.064977259206</v>
      </c>
      <c r="M109">
        <v>3508876.209681314</v>
      </c>
      <c r="N109">
        <v>0</v>
      </c>
      <c r="O109">
        <v>8</v>
      </c>
      <c r="P109">
        <v>-3322.5</v>
      </c>
      <c r="Q109">
        <v>-2811.96</v>
      </c>
      <c r="R109">
        <v>-3280</v>
      </c>
      <c r="S109">
        <v>-914.66</v>
      </c>
      <c r="T109">
        <v>-7002</v>
      </c>
      <c r="U109">
        <v>520.34</v>
      </c>
      <c r="V109">
        <v>-7002.1</v>
      </c>
      <c r="W109">
        <v>2365</v>
      </c>
      <c r="X109">
        <v>-6252</v>
      </c>
      <c r="Y109">
        <v>3800</v>
      </c>
      <c r="Z109">
        <v>-2589.9998491940992</v>
      </c>
      <c r="AA109">
        <v>6315.8612491674612</v>
      </c>
      <c r="AB109">
        <v>0</v>
      </c>
      <c r="AC109">
        <v>1064.1696555107644</v>
      </c>
      <c r="AD109">
        <v>1127.0074684186504</v>
      </c>
      <c r="AE109">
        <v>1127.0852605320265</v>
      </c>
      <c r="AF109">
        <v>667.87811687556257</v>
      </c>
      <c r="AG109">
        <v>1794.9244759222015</v>
      </c>
      <c r="AH109">
        <v>1886.2998163666878</v>
      </c>
      <c r="AI109">
        <v>3721.9999999999995</v>
      </c>
      <c r="AJ109">
        <v>1844.6600027105269</v>
      </c>
      <c r="AK109">
        <v>750.10000000000059</v>
      </c>
      <c r="AL109">
        <v>4204.8279310293892</v>
      </c>
      <c r="AM109">
        <v>1321.6794517012404</v>
      </c>
      <c r="AN109">
        <v>-95.021003558665456</v>
      </c>
      <c r="AO109">
        <v>-180</v>
      </c>
      <c r="AP109">
        <v>-90.003106034687008</v>
      </c>
      <c r="AQ109">
        <v>1.2722218725854067E-14</v>
      </c>
      <c r="AR109">
        <v>-53.333236691449251</v>
      </c>
      <c r="AS109">
        <v>89.999999566492633</v>
      </c>
      <c r="AT109">
        <v>-2400.1625746957502</v>
      </c>
      <c r="AU109">
        <v>-3280</v>
      </c>
      <c r="AV109">
        <v>-7719.4999989457119</v>
      </c>
      <c r="AW109">
        <v>-7002.1</v>
      </c>
      <c r="AX109">
        <v>-5676.4773318929037</v>
      </c>
      <c r="AY109">
        <v>-1872.4998491940992</v>
      </c>
      <c r="AZ109">
        <v>-2730.9252207921031</v>
      </c>
      <c r="BA109">
        <v>-197.16</v>
      </c>
      <c r="BB109">
        <v>520.3011039433311</v>
      </c>
      <c r="BC109">
        <v>3082.5000000000005</v>
      </c>
      <c r="BD109">
        <v>3371.5377397075804</v>
      </c>
      <c r="BE109">
        <v>6315.8612545961605</v>
      </c>
      <c r="BF109">
        <v>-2565.2532760267472</v>
      </c>
      <c r="BG109">
        <v>-7002</v>
      </c>
      <c r="BH109">
        <v>-7719.5999989457123</v>
      </c>
      <c r="BI109">
        <v>-6252</v>
      </c>
      <c r="BJ109">
        <v>-3165.5225173011954</v>
      </c>
      <c r="BK109">
        <v>-1872.4998391940992</v>
      </c>
      <c r="BL109">
        <v>-851.86373761518519</v>
      </c>
      <c r="BM109">
        <v>-197.16</v>
      </c>
      <c r="BN109">
        <v>2364.9611039433312</v>
      </c>
      <c r="BO109">
        <v>3082.5000000000005</v>
      </c>
      <c r="BP109">
        <v>6744.3235094598813</v>
      </c>
      <c r="BQ109">
        <v>4994.1818028949201</v>
      </c>
      <c r="BR109">
        <v>0</v>
      </c>
      <c r="BS109">
        <v>84.97899644133453</v>
      </c>
      <c r="BT109">
        <v>89.996893965312992</v>
      </c>
      <c r="BU109">
        <v>90.003106034687022</v>
      </c>
      <c r="BV109">
        <v>53.333236691449265</v>
      </c>
      <c r="BW109">
        <v>143.33323625794188</v>
      </c>
      <c r="BX109" s="69">
        <f>Таблица1[[#This Row],[Lкан_леб,мм]]</f>
        <v>3508876.209681314</v>
      </c>
      <c r="BY109" s="65">
        <f>Таблица1[[#This Row],[Т1]]+Таблица1[[#This Row],[Lпрям1, мм]]</f>
        <v>3510762.5094976807</v>
      </c>
      <c r="BZ109" s="65">
        <f>Таблица1[[#This Row],[Т2]]+Таблица1[[#This Row],[Lдуг 2,мм]]</f>
        <v>3511826.6791531914</v>
      </c>
      <c r="CA109" s="65">
        <f>Таблица1[[#This Row],[Т3]]+Таблица1[[#This Row],[Lпрям2, мм]]</f>
        <v>3515548.6791531914</v>
      </c>
      <c r="CB109" s="65">
        <f>Таблица1[[#This Row],[Т4]]+Таблица1[[#This Row],[Lдуг 3,мм]]</f>
        <v>3516675.6866216101</v>
      </c>
      <c r="CC109" s="65">
        <f>Таблица1[[#This Row],[Т5]]+Таблица1[[#This Row],[Lпрям3, мм]]</f>
        <v>3518520.3466243204</v>
      </c>
      <c r="CD109" s="65">
        <f>Таблица1[[#This Row],[Т6]]+Таблица1[[#This Row],[Lдуг 4,мм]]</f>
        <v>3519647.4318848522</v>
      </c>
      <c r="CE109" s="65">
        <f>Таблица1[[#This Row],[Т7]]+Таблица1[[#This Row],[Lпрям4, мм]]</f>
        <v>3520397.5318848523</v>
      </c>
      <c r="CF109" s="72">
        <f>Таблица1[[#This Row],[Т8]]+Таблица1[[#This Row],[Lдуг 5,мм]]</f>
        <v>3521065.4100017278</v>
      </c>
      <c r="CG109" s="65">
        <f>Таблица1[[#This Row],[Т9]]+Таблица1[[#This Row],[Lпрям5, мм]]</f>
        <v>3525270.237932757</v>
      </c>
      <c r="CH109" s="65">
        <f>Таблица1[[#This Row],[Т10]]+Таблица1[[#This Row],[Lдуг 6,мм]]</f>
        <v>3527065.1624086793</v>
      </c>
      <c r="CI109" s="66">
        <f>Таблица1[[#This Row],[Т11]]+Таблица1[[#This Row],[Lпрям6, мм]]</f>
        <v>3528386.8418603805</v>
      </c>
      <c r="CJ109" s="64">
        <f>Таблица1[[#This Row],[Т12]]-Таблица1[[#This Row],[Т12]]</f>
        <v>0</v>
      </c>
      <c r="CK109" s="65">
        <f>Таблица1[[#This Row],[Т12]]-Таблица1[[#This Row],[Т11]]</f>
        <v>1321.6794517012313</v>
      </c>
      <c r="CL109" s="65">
        <f>Таблица1[[#This Row],[Т12]]-Таблица1[[#This Row],[Т10]]</f>
        <v>3116.6039276234806</v>
      </c>
      <c r="CM109" s="65">
        <f>Таблица1[[#This Row],[Т12]]-Таблица1[[#This Row],[Т9]]</f>
        <v>7321.431858652737</v>
      </c>
      <c r="CN109" s="65">
        <f>Таблица1[[#This Row],[Т12]]-Таблица1[[#This Row],[Т8]]</f>
        <v>7989.3099755281582</v>
      </c>
      <c r="CO109" s="65">
        <f>Таблица1[[#This Row],[Т12]]-Таблица1[[#This Row],[Т7]]</f>
        <v>8739.4099755282514</v>
      </c>
      <c r="CP109" s="65">
        <f>Таблица1[[#This Row],[Т12]]-Таблица1[[#This Row],[Т6]]</f>
        <v>9866.4952360601164</v>
      </c>
      <c r="CQ109" s="65">
        <f>Таблица1[[#This Row],[Т12]]-Таблица1[[#This Row],[Т5]]</f>
        <v>11711.155238770414</v>
      </c>
      <c r="CR109" s="65">
        <f>Таблица1[[#This Row],[Т12]]-Таблица1[[#This Row],[Т4]]</f>
        <v>12838.162707189098</v>
      </c>
      <c r="CS109" s="65">
        <f>Таблица1[[#This Row],[Т12]]-Таблица1[[#This Row],[Т3]]</f>
        <v>16560.162707189098</v>
      </c>
      <c r="CT109" s="65">
        <f>Таблица1[[#This Row],[Т12]]-Таблица1[[#This Row],[Т2]]</f>
        <v>17624.332362699788</v>
      </c>
      <c r="CU109" s="65">
        <f>Таблица1[[#This Row],[Т12]]-Таблица1[[#This Row],[Т1]]</f>
        <v>19510.632179066539</v>
      </c>
      <c r="CV109" s="65">
        <f>Таблица1[[#This Row],[Lкан_леб,мм]]+Таблица1[[#This Row],[Lкан_дуг, мм]]+Таблица1[[#This Row],[Lкан_прям, мм]]</f>
        <v>3528386.841860381</v>
      </c>
      <c r="CW109" s="60">
        <f>3511128.4-(Таблица1[[#This Row],[Lкан_леб,мм]]+Таблица1[[#This Row],[∆Lлеб из за стрел]])</f>
        <v>2252.1903186859563</v>
      </c>
    </row>
    <row r="110" spans="1:101" x14ac:dyDescent="0.25">
      <c r="A110">
        <v>109</v>
      </c>
      <c r="B110">
        <v>105.08724832214733</v>
      </c>
      <c r="C110">
        <v>-15.077248322147327</v>
      </c>
      <c r="D110">
        <v>-2654.0305030620016</v>
      </c>
      <c r="E110">
        <v>6298.9051002944034</v>
      </c>
      <c r="F110">
        <v>-1936.3973453689002</v>
      </c>
      <c r="G110">
        <v>5536.0303392887517</v>
      </c>
      <c r="H110">
        <v>-1936.5309930620012</v>
      </c>
      <c r="I110">
        <v>4977.2256540215858</v>
      </c>
      <c r="J110">
        <v>1321.6794462728174</v>
      </c>
      <c r="K110">
        <v>13663.662585020447</v>
      </c>
      <c r="L110">
        <v>5795.3370884815868</v>
      </c>
      <c r="M110">
        <v>3508927.8421868789</v>
      </c>
      <c r="N110">
        <v>0</v>
      </c>
      <c r="O110">
        <v>8</v>
      </c>
      <c r="P110">
        <v>-3322.5</v>
      </c>
      <c r="Q110">
        <v>-2811.96</v>
      </c>
      <c r="R110">
        <v>-3280</v>
      </c>
      <c r="S110">
        <v>-914.66</v>
      </c>
      <c r="T110">
        <v>-7002</v>
      </c>
      <c r="U110">
        <v>520.34</v>
      </c>
      <c r="V110">
        <v>-7002.1</v>
      </c>
      <c r="W110">
        <v>2365</v>
      </c>
      <c r="X110">
        <v>-6252</v>
      </c>
      <c r="Y110">
        <v>3800</v>
      </c>
      <c r="Z110">
        <v>-2654.0305030620016</v>
      </c>
      <c r="AA110">
        <v>6298.9051002944034</v>
      </c>
      <c r="AB110">
        <v>0</v>
      </c>
      <c r="AC110">
        <v>1064.1696555107644</v>
      </c>
      <c r="AD110">
        <v>1127.0074684186504</v>
      </c>
      <c r="AE110">
        <v>1127.0852605320265</v>
      </c>
      <c r="AF110">
        <v>675.01417248675295</v>
      </c>
      <c r="AG110">
        <v>1802.0605315333921</v>
      </c>
      <c r="AH110">
        <v>1886.2998163666878</v>
      </c>
      <c r="AI110">
        <v>3721.9999999999995</v>
      </c>
      <c r="AJ110">
        <v>1844.6600027105269</v>
      </c>
      <c r="AK110">
        <v>750.10000000000059</v>
      </c>
      <c r="AL110">
        <v>4138.9233142417188</v>
      </c>
      <c r="AM110">
        <v>1321.679451701513</v>
      </c>
      <c r="AN110">
        <v>-95.021003558665456</v>
      </c>
      <c r="AO110">
        <v>-180</v>
      </c>
      <c r="AP110">
        <v>-90.003106034687008</v>
      </c>
      <c r="AQ110">
        <v>1.2722218725854067E-14</v>
      </c>
      <c r="AR110">
        <v>-53.903084592343845</v>
      </c>
      <c r="AS110">
        <v>89.999999566492619</v>
      </c>
      <c r="AT110">
        <v>-2400.1625746957502</v>
      </c>
      <c r="AU110">
        <v>-3280</v>
      </c>
      <c r="AV110">
        <v>-7719.4999989457119</v>
      </c>
      <c r="AW110">
        <v>-7002.1</v>
      </c>
      <c r="AX110">
        <v>-5672.2444999375302</v>
      </c>
      <c r="AY110">
        <v>-1936.5305030620013</v>
      </c>
      <c r="AZ110">
        <v>-2730.9252207921031</v>
      </c>
      <c r="BA110">
        <v>-197.16</v>
      </c>
      <c r="BB110">
        <v>520.3011039433311</v>
      </c>
      <c r="BC110">
        <v>3082.5000000000005</v>
      </c>
      <c r="BD110">
        <v>3377.2828248730411</v>
      </c>
      <c r="BE110">
        <v>6298.9051057231027</v>
      </c>
      <c r="BF110">
        <v>-2565.2532760267472</v>
      </c>
      <c r="BG110">
        <v>-7002</v>
      </c>
      <c r="BH110">
        <v>-7719.5999989457123</v>
      </c>
      <c r="BI110">
        <v>-6252</v>
      </c>
      <c r="BJ110">
        <v>-3233.7860031244709</v>
      </c>
      <c r="BK110">
        <v>-1936.5304930620014</v>
      </c>
      <c r="BL110">
        <v>-851.86373761518519</v>
      </c>
      <c r="BM110">
        <v>-197.16</v>
      </c>
      <c r="BN110">
        <v>2364.9611039433312</v>
      </c>
      <c r="BO110">
        <v>3082.5000000000005</v>
      </c>
      <c r="BP110">
        <v>6721.6222754213622</v>
      </c>
      <c r="BQ110">
        <v>4977.2256540215894</v>
      </c>
      <c r="BR110">
        <v>0</v>
      </c>
      <c r="BS110">
        <v>84.97899644133453</v>
      </c>
      <c r="BT110">
        <v>89.996893965312992</v>
      </c>
      <c r="BU110">
        <v>90.003106034687022</v>
      </c>
      <c r="BV110">
        <v>53.903084592343859</v>
      </c>
      <c r="BW110">
        <v>143.90308415883646</v>
      </c>
      <c r="BX110" s="69">
        <f>Таблица1[[#This Row],[Lкан_леб,мм]]</f>
        <v>3508927.8421868789</v>
      </c>
      <c r="BY110" s="65">
        <f>Таблица1[[#This Row],[Т1]]+Таблица1[[#This Row],[Lпрям1, мм]]</f>
        <v>3510814.1420032457</v>
      </c>
      <c r="BZ110" s="65">
        <f>Таблица1[[#This Row],[Т2]]+Таблица1[[#This Row],[Lдуг 2,мм]]</f>
        <v>3511878.3116587563</v>
      </c>
      <c r="CA110" s="65">
        <f>Таблица1[[#This Row],[Т3]]+Таблица1[[#This Row],[Lпрям2, мм]]</f>
        <v>3515600.3116587563</v>
      </c>
      <c r="CB110" s="65">
        <f>Таблица1[[#This Row],[Т4]]+Таблица1[[#This Row],[Lдуг 3,мм]]</f>
        <v>3516727.319127175</v>
      </c>
      <c r="CC110" s="65">
        <f>Таблица1[[#This Row],[Т5]]+Таблица1[[#This Row],[Lпрям3, мм]]</f>
        <v>3518571.9791298853</v>
      </c>
      <c r="CD110" s="65">
        <f>Таблица1[[#This Row],[Т6]]+Таблица1[[#This Row],[Lдуг 4,мм]]</f>
        <v>3519699.0643904172</v>
      </c>
      <c r="CE110" s="65">
        <f>Таблица1[[#This Row],[Т7]]+Таблица1[[#This Row],[Lпрям4, мм]]</f>
        <v>3520449.1643904173</v>
      </c>
      <c r="CF110" s="72">
        <f>Таблица1[[#This Row],[Т8]]+Таблица1[[#This Row],[Lдуг 5,мм]]</f>
        <v>3521124.1785629042</v>
      </c>
      <c r="CG110" s="65">
        <f>Таблица1[[#This Row],[Т9]]+Таблица1[[#This Row],[Lпрям5, мм]]</f>
        <v>3525263.1018771459</v>
      </c>
      <c r="CH110" s="65">
        <f>Таблица1[[#This Row],[Т10]]+Таблица1[[#This Row],[Lдуг 6,мм]]</f>
        <v>3527065.1624086793</v>
      </c>
      <c r="CI110" s="66">
        <f>Таблица1[[#This Row],[Т11]]+Таблица1[[#This Row],[Lпрям6, мм]]</f>
        <v>3528386.841860381</v>
      </c>
      <c r="CJ110" s="64">
        <f>Таблица1[[#This Row],[Т12]]-Таблица1[[#This Row],[Т12]]</f>
        <v>0</v>
      </c>
      <c r="CK110" s="65">
        <f>Таблица1[[#This Row],[Т12]]-Таблица1[[#This Row],[Т11]]</f>
        <v>1321.679451701697</v>
      </c>
      <c r="CL110" s="65">
        <f>Таблица1[[#This Row],[Т12]]-Таблица1[[#This Row],[Т10]]</f>
        <v>3123.7399832350202</v>
      </c>
      <c r="CM110" s="65">
        <f>Таблица1[[#This Row],[Т12]]-Таблица1[[#This Row],[Т9]]</f>
        <v>7262.6632974767126</v>
      </c>
      <c r="CN110" s="65">
        <f>Таблица1[[#This Row],[Т12]]-Таблица1[[#This Row],[Т8]]</f>
        <v>7937.6774699636735</v>
      </c>
      <c r="CO110" s="65">
        <f>Таблица1[[#This Row],[Т12]]-Таблица1[[#This Row],[Т7]]</f>
        <v>8687.7774699637666</v>
      </c>
      <c r="CP110" s="65">
        <f>Таблица1[[#This Row],[Т12]]-Таблица1[[#This Row],[Т6]]</f>
        <v>9814.8627304956317</v>
      </c>
      <c r="CQ110" s="65">
        <f>Таблица1[[#This Row],[Т12]]-Таблица1[[#This Row],[Т5]]</f>
        <v>11659.522733205929</v>
      </c>
      <c r="CR110" s="65">
        <f>Таблица1[[#This Row],[Т12]]-Таблица1[[#This Row],[Т4]]</f>
        <v>12786.530201624613</v>
      </c>
      <c r="CS110" s="65">
        <f>Таблица1[[#This Row],[Т12]]-Таблица1[[#This Row],[Т3]]</f>
        <v>16508.530201624613</v>
      </c>
      <c r="CT110" s="65">
        <f>Таблица1[[#This Row],[Т12]]-Таблица1[[#This Row],[Т2]]</f>
        <v>17572.699857135303</v>
      </c>
      <c r="CU110" s="65">
        <f>Таблица1[[#This Row],[Т12]]-Таблица1[[#This Row],[Т1]]</f>
        <v>19458.999673502054</v>
      </c>
      <c r="CV110" s="65">
        <f>Таблица1[[#This Row],[Lкан_леб,мм]]+Таблица1[[#This Row],[Lкан_дуг, мм]]+Таблица1[[#This Row],[Lкан_прям, мм]]</f>
        <v>3528386.841860381</v>
      </c>
      <c r="CW110" s="60">
        <f>3511128.4-(Таблица1[[#This Row],[Lкан_леб,мм]]+Таблица1[[#This Row],[∆Lлеб из за стрел]])</f>
        <v>2200.5578131210059</v>
      </c>
    </row>
    <row r="111" spans="1:101" x14ac:dyDescent="0.25">
      <c r="A111">
        <v>110</v>
      </c>
      <c r="B111">
        <v>105.59731543624127</v>
      </c>
      <c r="C111">
        <v>-15.587315436241283</v>
      </c>
      <c r="D111">
        <v>-2717.9076720855601</v>
      </c>
      <c r="E111">
        <v>6281.3796075226646</v>
      </c>
      <c r="F111">
        <v>-2000.2745143924585</v>
      </c>
      <c r="G111">
        <v>5518.504846517013</v>
      </c>
      <c r="H111">
        <v>-2000.4081620855598</v>
      </c>
      <c r="I111">
        <v>4959.7001612498489</v>
      </c>
      <c r="J111">
        <v>1321.6794462728155</v>
      </c>
      <c r="K111">
        <v>13597.555045995307</v>
      </c>
      <c r="L111">
        <v>5809.8590302597422</v>
      </c>
      <c r="M111">
        <v>3508979.4277841258</v>
      </c>
      <c r="N111">
        <v>0</v>
      </c>
      <c r="O111">
        <v>8</v>
      </c>
      <c r="P111">
        <v>-3322.5</v>
      </c>
      <c r="Q111">
        <v>-2811.96</v>
      </c>
      <c r="R111">
        <v>-3280</v>
      </c>
      <c r="S111">
        <v>-914.66</v>
      </c>
      <c r="T111">
        <v>-7002</v>
      </c>
      <c r="U111">
        <v>520.34</v>
      </c>
      <c r="V111">
        <v>-7002.1</v>
      </c>
      <c r="W111">
        <v>2365</v>
      </c>
      <c r="X111">
        <v>-6252</v>
      </c>
      <c r="Y111">
        <v>3800</v>
      </c>
      <c r="Z111">
        <v>-2717.9076720855601</v>
      </c>
      <c r="AA111">
        <v>6281.3796075226646</v>
      </c>
      <c r="AB111">
        <v>0</v>
      </c>
      <c r="AC111">
        <v>1064.1696555107644</v>
      </c>
      <c r="AD111">
        <v>1127.0074684186504</v>
      </c>
      <c r="AE111">
        <v>1127.0852605320265</v>
      </c>
      <c r="AF111">
        <v>682.27514337583125</v>
      </c>
      <c r="AG111">
        <v>1809.3215024224708</v>
      </c>
      <c r="AH111">
        <v>1886.2998163666878</v>
      </c>
      <c r="AI111">
        <v>3721.9999999999995</v>
      </c>
      <c r="AJ111">
        <v>1844.6600027105269</v>
      </c>
      <c r="AK111">
        <v>750.10000000000059</v>
      </c>
      <c r="AL111">
        <v>4072.8157752165807</v>
      </c>
      <c r="AM111">
        <v>1321.6794517015114</v>
      </c>
      <c r="AN111">
        <v>-95.021003558665456</v>
      </c>
      <c r="AO111">
        <v>-180</v>
      </c>
      <c r="AP111">
        <v>-90.003106034687008</v>
      </c>
      <c r="AQ111">
        <v>1.2722218725854067E-14</v>
      </c>
      <c r="AR111">
        <v>-54.482907570896515</v>
      </c>
      <c r="AS111">
        <v>89.999999566492619</v>
      </c>
      <c r="AT111">
        <v>-2400.1625746957502</v>
      </c>
      <c r="AU111">
        <v>-3280</v>
      </c>
      <c r="AV111">
        <v>-7719.4999989457119</v>
      </c>
      <c r="AW111">
        <v>-7002.1</v>
      </c>
      <c r="AX111">
        <v>-5667.9964375535055</v>
      </c>
      <c r="AY111">
        <v>-2000.4076720855596</v>
      </c>
      <c r="AZ111">
        <v>-2730.9252207921031</v>
      </c>
      <c r="BA111">
        <v>-197.16</v>
      </c>
      <c r="BB111">
        <v>520.3011039433311</v>
      </c>
      <c r="BC111">
        <v>3082.5000000000005</v>
      </c>
      <c r="BD111">
        <v>3383.1713912771775</v>
      </c>
      <c r="BE111">
        <v>6281.3796129513639</v>
      </c>
      <c r="BF111">
        <v>-2565.2532760267472</v>
      </c>
      <c r="BG111">
        <v>-7002</v>
      </c>
      <c r="BH111">
        <v>-7719.5999989457123</v>
      </c>
      <c r="BI111">
        <v>-6252</v>
      </c>
      <c r="BJ111">
        <v>-3301.9112345320536</v>
      </c>
      <c r="BK111">
        <v>-2000.4076620855597</v>
      </c>
      <c r="BL111">
        <v>-851.86373761518519</v>
      </c>
      <c r="BM111">
        <v>-197.16</v>
      </c>
      <c r="BN111">
        <v>2364.9611039433312</v>
      </c>
      <c r="BO111">
        <v>3082.5000000000005</v>
      </c>
      <c r="BP111">
        <v>6698.2082162454872</v>
      </c>
      <c r="BQ111">
        <v>4959.7001612498525</v>
      </c>
      <c r="BR111">
        <v>0</v>
      </c>
      <c r="BS111">
        <v>84.97899644133453</v>
      </c>
      <c r="BT111">
        <v>89.996893965312992</v>
      </c>
      <c r="BU111">
        <v>90.003106034687022</v>
      </c>
      <c r="BV111">
        <v>54.482907570896522</v>
      </c>
      <c r="BW111">
        <v>144.48290713738913</v>
      </c>
      <c r="BX111" s="69">
        <f>Таблица1[[#This Row],[Lкан_леб,мм]]</f>
        <v>3508979.4277841258</v>
      </c>
      <c r="BY111" s="65">
        <f>Таблица1[[#This Row],[Т1]]+Таблица1[[#This Row],[Lпрям1, мм]]</f>
        <v>3510865.7276004925</v>
      </c>
      <c r="BZ111" s="65">
        <f>Таблица1[[#This Row],[Т2]]+Таблица1[[#This Row],[Lдуг 2,мм]]</f>
        <v>3511929.8972560032</v>
      </c>
      <c r="CA111" s="65">
        <f>Таблица1[[#This Row],[Т3]]+Таблица1[[#This Row],[Lпрям2, мм]]</f>
        <v>3515651.8972560032</v>
      </c>
      <c r="CB111" s="65">
        <f>Таблица1[[#This Row],[Т4]]+Таблица1[[#This Row],[Lдуг 3,мм]]</f>
        <v>3516778.9047244219</v>
      </c>
      <c r="CC111" s="65">
        <f>Таблица1[[#This Row],[Т5]]+Таблица1[[#This Row],[Lпрям3, мм]]</f>
        <v>3518623.5647271322</v>
      </c>
      <c r="CD111" s="65">
        <f>Таблица1[[#This Row],[Т6]]+Таблица1[[#This Row],[Lдуг 4,мм]]</f>
        <v>3519750.6499876641</v>
      </c>
      <c r="CE111" s="65">
        <f>Таблица1[[#This Row],[Т7]]+Таблица1[[#This Row],[Lпрям4, мм]]</f>
        <v>3520500.7499876642</v>
      </c>
      <c r="CF111" s="72">
        <f>Таблица1[[#This Row],[Т8]]+Таблица1[[#This Row],[Lдуг 5,мм]]</f>
        <v>3521183.0251310398</v>
      </c>
      <c r="CG111" s="65">
        <f>Таблица1[[#This Row],[Т9]]+Таблица1[[#This Row],[Lпрям5, мм]]</f>
        <v>3525255.8409062563</v>
      </c>
      <c r="CH111" s="65">
        <f>Таблица1[[#This Row],[Т10]]+Таблица1[[#This Row],[Lдуг 6,мм]]</f>
        <v>3527065.1624086788</v>
      </c>
      <c r="CI111" s="66">
        <f>Таблица1[[#This Row],[Т11]]+Таблица1[[#This Row],[Lпрям6, мм]]</f>
        <v>3528386.8418603805</v>
      </c>
      <c r="CJ111" s="64">
        <f>Таблица1[[#This Row],[Т12]]-Таблица1[[#This Row],[Т12]]</f>
        <v>0</v>
      </c>
      <c r="CK111" s="65">
        <f>Таблица1[[#This Row],[Т12]]-Таблица1[[#This Row],[Т11]]</f>
        <v>1321.679451701697</v>
      </c>
      <c r="CL111" s="65">
        <f>Таблица1[[#This Row],[Т12]]-Таблица1[[#This Row],[Т10]]</f>
        <v>3131.0009541241452</v>
      </c>
      <c r="CM111" s="65">
        <f>Таблица1[[#This Row],[Т12]]-Таблица1[[#This Row],[Т9]]</f>
        <v>7203.8167293407023</v>
      </c>
      <c r="CN111" s="65">
        <f>Таблица1[[#This Row],[Т12]]-Таблица1[[#This Row],[Т8]]</f>
        <v>7886.0918727163225</v>
      </c>
      <c r="CO111" s="65">
        <f>Таблица1[[#This Row],[Т12]]-Таблица1[[#This Row],[Т7]]</f>
        <v>8636.1918727164157</v>
      </c>
      <c r="CP111" s="65">
        <f>Таблица1[[#This Row],[Т12]]-Таблица1[[#This Row],[Т6]]</f>
        <v>9763.2771332482807</v>
      </c>
      <c r="CQ111" s="65">
        <f>Таблица1[[#This Row],[Т12]]-Таблица1[[#This Row],[Т5]]</f>
        <v>11607.937135958578</v>
      </c>
      <c r="CR111" s="65">
        <f>Таблица1[[#This Row],[Т12]]-Таблица1[[#This Row],[Т4]]</f>
        <v>12734.944604377262</v>
      </c>
      <c r="CS111" s="65">
        <f>Таблица1[[#This Row],[Т12]]-Таблица1[[#This Row],[Т3]]</f>
        <v>16456.944604377262</v>
      </c>
      <c r="CT111" s="65">
        <f>Таблица1[[#This Row],[Т12]]-Таблица1[[#This Row],[Т2]]</f>
        <v>17521.114259887952</v>
      </c>
      <c r="CU111" s="65">
        <f>Таблица1[[#This Row],[Т12]]-Таблица1[[#This Row],[Т1]]</f>
        <v>19407.414076254703</v>
      </c>
      <c r="CV111" s="65">
        <f>Таблица1[[#This Row],[Lкан_леб,мм]]+Таблица1[[#This Row],[Lкан_дуг, мм]]+Таблица1[[#This Row],[Lкан_прям, мм]]</f>
        <v>3528386.841860381</v>
      </c>
      <c r="CW111" s="60">
        <f>3511128.4-(Таблица1[[#This Row],[Lкан_леб,мм]]+Таблица1[[#This Row],[∆Lлеб из за стрел]])</f>
        <v>2148.9722158741206</v>
      </c>
    </row>
    <row r="112" spans="1:101" x14ac:dyDescent="0.25">
      <c r="A112">
        <v>111</v>
      </c>
      <c r="B112">
        <v>106.10738255033523</v>
      </c>
      <c r="C112">
        <v>-16.09738255033524</v>
      </c>
      <c r="D112">
        <v>-2781.6262939146909</v>
      </c>
      <c r="E112">
        <v>6263.2861597707115</v>
      </c>
      <c r="F112">
        <v>-2063.9931362215893</v>
      </c>
      <c r="G112">
        <v>5500.4113987650599</v>
      </c>
      <c r="H112">
        <v>-2064.1267839146908</v>
      </c>
      <c r="I112">
        <v>4941.6067134976129</v>
      </c>
      <c r="J112">
        <v>1321.6794462730982</v>
      </c>
      <c r="K112">
        <v>13531.239909092476</v>
      </c>
      <c r="L112">
        <v>5824.6429633602975</v>
      </c>
      <c r="M112">
        <v>3509030.9589879285</v>
      </c>
      <c r="N112">
        <v>0</v>
      </c>
      <c r="O112">
        <v>8</v>
      </c>
      <c r="P112">
        <v>-3322.5</v>
      </c>
      <c r="Q112">
        <v>-2811.96</v>
      </c>
      <c r="R112">
        <v>-3280</v>
      </c>
      <c r="S112">
        <v>-914.66</v>
      </c>
      <c r="T112">
        <v>-7002</v>
      </c>
      <c r="U112">
        <v>520.34</v>
      </c>
      <c r="V112">
        <v>-7002.1</v>
      </c>
      <c r="W112">
        <v>2365</v>
      </c>
      <c r="X112">
        <v>-6252</v>
      </c>
      <c r="Y112">
        <v>3800</v>
      </c>
      <c r="Z112">
        <v>-2781.6262939146909</v>
      </c>
      <c r="AA112">
        <v>6263.2861597707115</v>
      </c>
      <c r="AB112">
        <v>0</v>
      </c>
      <c r="AC112">
        <v>1064.1696555107644</v>
      </c>
      <c r="AD112">
        <v>1127.0074684186504</v>
      </c>
      <c r="AE112">
        <v>1127.0852605320265</v>
      </c>
      <c r="AF112">
        <v>689.66710992610831</v>
      </c>
      <c r="AG112">
        <v>1816.7134689727475</v>
      </c>
      <c r="AH112">
        <v>1886.2998163666878</v>
      </c>
      <c r="AI112">
        <v>3721.9999999999995</v>
      </c>
      <c r="AJ112">
        <v>1844.6600027105269</v>
      </c>
      <c r="AK112">
        <v>750.10000000000059</v>
      </c>
      <c r="AL112">
        <v>4006.5006383134669</v>
      </c>
      <c r="AM112">
        <v>1321.6794517017938</v>
      </c>
      <c r="AN112">
        <v>-95.021003558665456</v>
      </c>
      <c r="AO112">
        <v>-180</v>
      </c>
      <c r="AP112">
        <v>-90.003106034687008</v>
      </c>
      <c r="AQ112">
        <v>1.2722218725854067E-14</v>
      </c>
      <c r="AR112">
        <v>-55.073191174565864</v>
      </c>
      <c r="AS112">
        <v>89.999999566492605</v>
      </c>
      <c r="AT112">
        <v>-2400.1625746957502</v>
      </c>
      <c r="AU112">
        <v>-3280</v>
      </c>
      <c r="AV112">
        <v>-7719.4999989457119</v>
      </c>
      <c r="AW112">
        <v>-7002.1</v>
      </c>
      <c r="AX112">
        <v>-5663.7331742142042</v>
      </c>
      <c r="AY112">
        <v>-2064.1262939146905</v>
      </c>
      <c r="AZ112">
        <v>-2730.9252207921031</v>
      </c>
      <c r="BA112">
        <v>-197.16</v>
      </c>
      <c r="BB112">
        <v>520.3011039433311</v>
      </c>
      <c r="BC112">
        <v>3082.5000000000005</v>
      </c>
      <c r="BD112">
        <v>3389.2100394606691</v>
      </c>
      <c r="BE112">
        <v>6263.2861651994108</v>
      </c>
      <c r="BF112">
        <v>-2565.2532760267472</v>
      </c>
      <c r="BG112">
        <v>-7002</v>
      </c>
      <c r="BH112">
        <v>-7719.5999989457123</v>
      </c>
      <c r="BI112">
        <v>-6252</v>
      </c>
      <c r="BJ112">
        <v>-3369.8931197004863</v>
      </c>
      <c r="BK112">
        <v>-2064.1262839146907</v>
      </c>
      <c r="BL112">
        <v>-851.86373761518519</v>
      </c>
      <c r="BM112">
        <v>-197.16</v>
      </c>
      <c r="BN112">
        <v>2364.9611039433312</v>
      </c>
      <c r="BO112">
        <v>3082.5000000000005</v>
      </c>
      <c r="BP112">
        <v>6674.0761203100419</v>
      </c>
      <c r="BQ112">
        <v>4941.6067134976165</v>
      </c>
      <c r="BR112">
        <v>0</v>
      </c>
      <c r="BS112">
        <v>84.97899644133453</v>
      </c>
      <c r="BT112">
        <v>89.996893965312992</v>
      </c>
      <c r="BU112">
        <v>90.003106034687022</v>
      </c>
      <c r="BV112">
        <v>55.073191174565878</v>
      </c>
      <c r="BW112">
        <v>145.07319074105848</v>
      </c>
      <c r="BX112" s="69">
        <f>Таблица1[[#This Row],[Lкан_леб,мм]]</f>
        <v>3509030.9589879285</v>
      </c>
      <c r="BY112" s="65">
        <f>Таблица1[[#This Row],[Т1]]+Таблица1[[#This Row],[Lпрям1, мм]]</f>
        <v>3510917.2588042952</v>
      </c>
      <c r="BZ112" s="65">
        <f>Таблица1[[#This Row],[Т2]]+Таблица1[[#This Row],[Lдуг 2,мм]]</f>
        <v>3511981.4284598059</v>
      </c>
      <c r="CA112" s="65">
        <f>Таблица1[[#This Row],[Т3]]+Таблица1[[#This Row],[Lпрям2, мм]]</f>
        <v>3515703.4284598059</v>
      </c>
      <c r="CB112" s="65">
        <f>Таблица1[[#This Row],[Т4]]+Таблица1[[#This Row],[Lдуг 3,мм]]</f>
        <v>3516830.4359282246</v>
      </c>
      <c r="CC112" s="65">
        <f>Таблица1[[#This Row],[Т5]]+Таблица1[[#This Row],[Lпрям3, мм]]</f>
        <v>3518675.0959309349</v>
      </c>
      <c r="CD112" s="65">
        <f>Таблица1[[#This Row],[Т6]]+Таблица1[[#This Row],[Lдуг 4,мм]]</f>
        <v>3519802.1811914667</v>
      </c>
      <c r="CE112" s="65">
        <f>Таблица1[[#This Row],[Т7]]+Таблица1[[#This Row],[Lпрям4, мм]]</f>
        <v>3520552.2811914668</v>
      </c>
      <c r="CF112" s="72">
        <f>Таблица1[[#This Row],[Т8]]+Таблица1[[#This Row],[Lдуг 5,мм]]</f>
        <v>3521241.9483013931</v>
      </c>
      <c r="CG112" s="65">
        <f>Таблица1[[#This Row],[Т9]]+Таблица1[[#This Row],[Lпрям5, мм]]</f>
        <v>3525248.4489397067</v>
      </c>
      <c r="CH112" s="65">
        <f>Таблица1[[#This Row],[Т10]]+Таблица1[[#This Row],[Lдуг 6,мм]]</f>
        <v>3527065.1624086793</v>
      </c>
      <c r="CI112" s="66">
        <f>Таблица1[[#This Row],[Т11]]+Таблица1[[#This Row],[Lпрям6, мм]]</f>
        <v>3528386.841860381</v>
      </c>
      <c r="CJ112" s="64">
        <f>Таблица1[[#This Row],[Т12]]-Таблица1[[#This Row],[Т12]]</f>
        <v>0</v>
      </c>
      <c r="CK112" s="65">
        <f>Таблица1[[#This Row],[Т12]]-Таблица1[[#This Row],[Т11]]</f>
        <v>1321.679451701697</v>
      </c>
      <c r="CL112" s="65">
        <f>Таблица1[[#This Row],[Т12]]-Таблица1[[#This Row],[Т10]]</f>
        <v>3138.3929206742905</v>
      </c>
      <c r="CM112" s="65">
        <f>Таблица1[[#This Row],[Т12]]-Таблица1[[#This Row],[Т9]]</f>
        <v>7144.893558987882</v>
      </c>
      <c r="CN112" s="65">
        <f>Таблица1[[#This Row],[Т12]]-Таблица1[[#This Row],[Т8]]</f>
        <v>7834.5606689141132</v>
      </c>
      <c r="CO112" s="65">
        <f>Таблица1[[#This Row],[Т12]]-Таблица1[[#This Row],[Т7]]</f>
        <v>8584.6606689142063</v>
      </c>
      <c r="CP112" s="65">
        <f>Таблица1[[#This Row],[Т12]]-Таблица1[[#This Row],[Т6]]</f>
        <v>9711.7459294460714</v>
      </c>
      <c r="CQ112" s="65">
        <f>Таблица1[[#This Row],[Т12]]-Таблица1[[#This Row],[Т5]]</f>
        <v>11556.405932156369</v>
      </c>
      <c r="CR112" s="65">
        <f>Таблица1[[#This Row],[Т12]]-Таблица1[[#This Row],[Т4]]</f>
        <v>12683.413400575053</v>
      </c>
      <c r="CS112" s="65">
        <f>Таблица1[[#This Row],[Т12]]-Таблица1[[#This Row],[Т3]]</f>
        <v>16405.413400575053</v>
      </c>
      <c r="CT112" s="65">
        <f>Таблица1[[#This Row],[Т12]]-Таблица1[[#This Row],[Т2]]</f>
        <v>17469.583056085743</v>
      </c>
      <c r="CU112" s="65">
        <f>Таблица1[[#This Row],[Т12]]-Таблица1[[#This Row],[Т1]]</f>
        <v>19355.882872452494</v>
      </c>
      <c r="CV112" s="65">
        <f>Таблица1[[#This Row],[Lкан_леб,мм]]+Таблица1[[#This Row],[Lкан_дуг, мм]]+Таблица1[[#This Row],[Lкан_прям, мм]]</f>
        <v>3528386.8418603814</v>
      </c>
      <c r="CW112" s="60">
        <f>3511128.4-(Таблица1[[#This Row],[Lкан_леб,мм]]+Таблица1[[#This Row],[∆Lлеб из за стрел]])</f>
        <v>2097.4410120714456</v>
      </c>
    </row>
    <row r="113" spans="1:101" x14ac:dyDescent="0.25">
      <c r="A113">
        <v>112</v>
      </c>
      <c r="B113">
        <v>106.61744966442919</v>
      </c>
      <c r="C113">
        <v>-16.607449664429193</v>
      </c>
      <c r="D113">
        <v>-2845.1813187643884</v>
      </c>
      <c r="E113">
        <v>6244.6261909681962</v>
      </c>
      <c r="F113">
        <v>-2127.5481610712868</v>
      </c>
      <c r="G113">
        <v>5481.7514299625454</v>
      </c>
      <c r="H113">
        <v>-2127.6818087643883</v>
      </c>
      <c r="I113">
        <v>4922.946744695626</v>
      </c>
      <c r="J113">
        <v>1321.6794462725704</v>
      </c>
      <c r="K113">
        <v>13464.712080378013</v>
      </c>
      <c r="L113">
        <v>5839.7018679113362</v>
      </c>
      <c r="M113">
        <v>3509082.4279120914</v>
      </c>
      <c r="N113">
        <v>0</v>
      </c>
      <c r="O113">
        <v>8</v>
      </c>
      <c r="P113">
        <v>-3322.5</v>
      </c>
      <c r="Q113">
        <v>-2811.96</v>
      </c>
      <c r="R113">
        <v>-3280</v>
      </c>
      <c r="S113">
        <v>-914.66</v>
      </c>
      <c r="T113">
        <v>-7002</v>
      </c>
      <c r="U113">
        <v>520.34</v>
      </c>
      <c r="V113">
        <v>-7002.1</v>
      </c>
      <c r="W113">
        <v>2365</v>
      </c>
      <c r="X113">
        <v>-6252</v>
      </c>
      <c r="Y113">
        <v>3800</v>
      </c>
      <c r="Z113">
        <v>-2845.1813187643884</v>
      </c>
      <c r="AA113">
        <v>6244.6261909681962</v>
      </c>
      <c r="AB113">
        <v>0</v>
      </c>
      <c r="AC113">
        <v>1064.1696555107644</v>
      </c>
      <c r="AD113">
        <v>1127.0074684186504</v>
      </c>
      <c r="AE113">
        <v>1127.0852605320265</v>
      </c>
      <c r="AF113">
        <v>697.19656220162824</v>
      </c>
      <c r="AG113">
        <v>1824.2429212482671</v>
      </c>
      <c r="AH113">
        <v>1886.2998163666878</v>
      </c>
      <c r="AI113">
        <v>3721.9999999999995</v>
      </c>
      <c r="AJ113">
        <v>1844.6600027105269</v>
      </c>
      <c r="AK113">
        <v>750.10000000000059</v>
      </c>
      <c r="AL113">
        <v>3939.9728095995315</v>
      </c>
      <c r="AM113">
        <v>1321.6794517012661</v>
      </c>
      <c r="AN113">
        <v>-95.021003558665456</v>
      </c>
      <c r="AO113">
        <v>-180</v>
      </c>
      <c r="AP113">
        <v>-90.003106034687008</v>
      </c>
      <c r="AQ113">
        <v>1.2722218725854067E-14</v>
      </c>
      <c r="AR113">
        <v>-55.674453665760929</v>
      </c>
      <c r="AS113">
        <v>89.999999566492605</v>
      </c>
      <c r="AT113">
        <v>-2400.1625746957502</v>
      </c>
      <c r="AU113">
        <v>-3280</v>
      </c>
      <c r="AV113">
        <v>-7719.4999989457119</v>
      </c>
      <c r="AW113">
        <v>-7002.1</v>
      </c>
      <c r="AX113">
        <v>-5659.4548102475392</v>
      </c>
      <c r="AY113">
        <v>-2127.6813187643879</v>
      </c>
      <c r="AZ113">
        <v>-2730.9252207921031</v>
      </c>
      <c r="BA113">
        <v>-197.16</v>
      </c>
      <c r="BB113">
        <v>520.3011039433311</v>
      </c>
      <c r="BC113">
        <v>3082.5000000000005</v>
      </c>
      <c r="BD113">
        <v>3395.405822951911</v>
      </c>
      <c r="BE113">
        <v>6244.6261963968955</v>
      </c>
      <c r="BF113">
        <v>-2565.2532760267472</v>
      </c>
      <c r="BG113">
        <v>-7002</v>
      </c>
      <c r="BH113">
        <v>-7719.5999989457123</v>
      </c>
      <c r="BI113">
        <v>-6252</v>
      </c>
      <c r="BJ113">
        <v>-3437.7265085168488</v>
      </c>
      <c r="BK113">
        <v>-2127.6813087643882</v>
      </c>
      <c r="BL113">
        <v>-851.86373761518519</v>
      </c>
      <c r="BM113">
        <v>-197.16</v>
      </c>
      <c r="BN113">
        <v>2364.9611039433312</v>
      </c>
      <c r="BO113">
        <v>3082.5000000000005</v>
      </c>
      <c r="BP113">
        <v>6649.2203680162856</v>
      </c>
      <c r="BQ113">
        <v>4922.9467446956287</v>
      </c>
      <c r="BR113">
        <v>0</v>
      </c>
      <c r="BS113">
        <v>84.97899644133453</v>
      </c>
      <c r="BT113">
        <v>89.996893965312992</v>
      </c>
      <c r="BU113">
        <v>90.003106034687022</v>
      </c>
      <c r="BV113">
        <v>55.674453665760943</v>
      </c>
      <c r="BW113">
        <v>145.67445323225354</v>
      </c>
      <c r="BX113" s="69">
        <f>Таблица1[[#This Row],[Lкан_леб,мм]]</f>
        <v>3509082.4279120914</v>
      </c>
      <c r="BY113" s="65">
        <f>Таблица1[[#This Row],[Т1]]+Таблица1[[#This Row],[Lпрям1, мм]]</f>
        <v>3510968.7277284581</v>
      </c>
      <c r="BZ113" s="65">
        <f>Таблица1[[#This Row],[Т2]]+Таблица1[[#This Row],[Lдуг 2,мм]]</f>
        <v>3512032.8973839688</v>
      </c>
      <c r="CA113" s="65">
        <f>Таблица1[[#This Row],[Т3]]+Таблица1[[#This Row],[Lпрям2, мм]]</f>
        <v>3515754.8973839688</v>
      </c>
      <c r="CB113" s="65">
        <f>Таблица1[[#This Row],[Т4]]+Таблица1[[#This Row],[Lдуг 3,мм]]</f>
        <v>3516881.9048523875</v>
      </c>
      <c r="CC113" s="65">
        <f>Таблица1[[#This Row],[Т5]]+Таблица1[[#This Row],[Lпрям3, мм]]</f>
        <v>3518726.5648550978</v>
      </c>
      <c r="CD113" s="65">
        <f>Таблица1[[#This Row],[Т6]]+Таблица1[[#This Row],[Lдуг 4,мм]]</f>
        <v>3519853.6501156297</v>
      </c>
      <c r="CE113" s="65">
        <f>Таблица1[[#This Row],[Т7]]+Таблица1[[#This Row],[Lпрям4, мм]]</f>
        <v>3520603.7501156298</v>
      </c>
      <c r="CF113" s="72">
        <f>Таблица1[[#This Row],[Т8]]+Таблица1[[#This Row],[Lдуг 5,мм]]</f>
        <v>3521300.9466778315</v>
      </c>
      <c r="CG113" s="65">
        <f>Таблица1[[#This Row],[Т9]]+Таблица1[[#This Row],[Lпрям5, мм]]</f>
        <v>3525240.9194874312</v>
      </c>
      <c r="CH113" s="65">
        <f>Таблица1[[#This Row],[Т10]]+Таблица1[[#This Row],[Lдуг 6,мм]]</f>
        <v>3527065.1624086793</v>
      </c>
      <c r="CI113" s="66">
        <f>Таблица1[[#This Row],[Т11]]+Таблица1[[#This Row],[Lпрям6, мм]]</f>
        <v>3528386.8418603805</v>
      </c>
      <c r="CJ113" s="64">
        <f>Таблица1[[#This Row],[Т12]]-Таблица1[[#This Row],[Т12]]</f>
        <v>0</v>
      </c>
      <c r="CK113" s="65">
        <f>Таблица1[[#This Row],[Т12]]-Таблица1[[#This Row],[Т11]]</f>
        <v>1321.6794517012313</v>
      </c>
      <c r="CL113" s="65">
        <f>Таблица1[[#This Row],[Т12]]-Таблица1[[#This Row],[Т10]]</f>
        <v>3145.9223729493096</v>
      </c>
      <c r="CM113" s="65">
        <f>Таблица1[[#This Row],[Т12]]-Таблица1[[#This Row],[Т9]]</f>
        <v>7085.8951825490221</v>
      </c>
      <c r="CN113" s="65">
        <f>Таблица1[[#This Row],[Т12]]-Таблица1[[#This Row],[Т8]]</f>
        <v>7783.0917447507381</v>
      </c>
      <c r="CO113" s="65">
        <f>Таблица1[[#This Row],[Т12]]-Таблица1[[#This Row],[Т7]]</f>
        <v>8533.1917447508313</v>
      </c>
      <c r="CP113" s="65">
        <f>Таблица1[[#This Row],[Т12]]-Таблица1[[#This Row],[Т6]]</f>
        <v>9660.2770052826963</v>
      </c>
      <c r="CQ113" s="65">
        <f>Таблица1[[#This Row],[Т12]]-Таблица1[[#This Row],[Т5]]</f>
        <v>11504.937007992994</v>
      </c>
      <c r="CR113" s="65">
        <f>Таблица1[[#This Row],[Т12]]-Таблица1[[#This Row],[Т4]]</f>
        <v>12631.944476411678</v>
      </c>
      <c r="CS113" s="65">
        <f>Таблица1[[#This Row],[Т12]]-Таблица1[[#This Row],[Т3]]</f>
        <v>16353.944476411678</v>
      </c>
      <c r="CT113" s="65">
        <f>Таблица1[[#This Row],[Т12]]-Таблица1[[#This Row],[Т2]]</f>
        <v>17418.114131922368</v>
      </c>
      <c r="CU113" s="65">
        <f>Таблица1[[#This Row],[Т12]]-Таблица1[[#This Row],[Т1]]</f>
        <v>19304.413948289119</v>
      </c>
      <c r="CV113" s="65">
        <f>Таблица1[[#This Row],[Lкан_леб,мм]]+Таблица1[[#This Row],[Lкан_дуг, мм]]+Таблица1[[#This Row],[Lкан_прям, мм]]</f>
        <v>3528386.841860381</v>
      </c>
      <c r="CW113" s="60">
        <f>3511128.4-(Таблица1[[#This Row],[Lкан_леб,мм]]+Таблица1[[#This Row],[∆Lлеб из за стрел]])</f>
        <v>2045.9720879085362</v>
      </c>
    </row>
    <row r="114" spans="1:101" x14ac:dyDescent="0.25">
      <c r="A114">
        <v>113</v>
      </c>
      <c r="B114">
        <v>107.12751677852314</v>
      </c>
      <c r="C114">
        <v>-17.11751677852315</v>
      </c>
      <c r="D114">
        <v>-2908.5677098149222</v>
      </c>
      <c r="E114">
        <v>6225.4011799423151</v>
      </c>
      <c r="F114">
        <v>-2190.9345521218206</v>
      </c>
      <c r="G114">
        <v>5462.5264189366635</v>
      </c>
      <c r="H114">
        <v>-2191.0681998149221</v>
      </c>
      <c r="I114">
        <v>4903.7217336694202</v>
      </c>
      <c r="J114">
        <v>1321.6794462728947</v>
      </c>
      <c r="K114">
        <v>13397.966008618692</v>
      </c>
      <c r="L114">
        <v>5855.0496151466987</v>
      </c>
      <c r="M114">
        <v>3509133.8262366159</v>
      </c>
      <c r="N114">
        <v>0</v>
      </c>
      <c r="O114">
        <v>8</v>
      </c>
      <c r="P114">
        <v>-3322.5</v>
      </c>
      <c r="Q114">
        <v>-2811.96</v>
      </c>
      <c r="R114">
        <v>-3280</v>
      </c>
      <c r="S114">
        <v>-914.66</v>
      </c>
      <c r="T114">
        <v>-7002</v>
      </c>
      <c r="U114">
        <v>520.34</v>
      </c>
      <c r="V114">
        <v>-7002.1</v>
      </c>
      <c r="W114">
        <v>2365</v>
      </c>
      <c r="X114">
        <v>-6252</v>
      </c>
      <c r="Y114">
        <v>3800</v>
      </c>
      <c r="Z114">
        <v>-2908.5677098149222</v>
      </c>
      <c r="AA114">
        <v>6225.4011799423151</v>
      </c>
      <c r="AB114">
        <v>0</v>
      </c>
      <c r="AC114">
        <v>1064.1696555107644</v>
      </c>
      <c r="AD114">
        <v>1127.0074684186504</v>
      </c>
      <c r="AE114">
        <v>1127.0852605320265</v>
      </c>
      <c r="AF114">
        <v>704.87043581930959</v>
      </c>
      <c r="AG114">
        <v>1831.9167948659488</v>
      </c>
      <c r="AH114">
        <v>1886.2998163666878</v>
      </c>
      <c r="AI114">
        <v>3721.9999999999995</v>
      </c>
      <c r="AJ114">
        <v>1844.6600027105269</v>
      </c>
      <c r="AK114">
        <v>750.10000000000059</v>
      </c>
      <c r="AL114">
        <v>3873.226737839886</v>
      </c>
      <c r="AM114">
        <v>1321.6794517015903</v>
      </c>
      <c r="AN114">
        <v>-95.021003558665456</v>
      </c>
      <c r="AO114">
        <v>-180</v>
      </c>
      <c r="AP114">
        <v>-90.003106034687008</v>
      </c>
      <c r="AQ114">
        <v>1.2722218725854067E-14</v>
      </c>
      <c r="AR114">
        <v>-56.287248886401947</v>
      </c>
      <c r="AS114">
        <v>89.999999566492619</v>
      </c>
      <c r="AT114">
        <v>-2400.1625746957502</v>
      </c>
      <c r="AU114">
        <v>-3280</v>
      </c>
      <c r="AV114">
        <v>-7719.4999989457119</v>
      </c>
      <c r="AW114">
        <v>-7002.1</v>
      </c>
      <c r="AX114">
        <v>-5655.1615290713553</v>
      </c>
      <c r="AY114">
        <v>-2191.0677098149217</v>
      </c>
      <c r="AZ114">
        <v>-2730.9252207921031</v>
      </c>
      <c r="BA114">
        <v>-197.16</v>
      </c>
      <c r="BB114">
        <v>520.3011039433311</v>
      </c>
      <c r="BC114">
        <v>3082.5000000000005</v>
      </c>
      <c r="BD114">
        <v>3401.7662876908112</v>
      </c>
      <c r="BE114">
        <v>6225.4011853710144</v>
      </c>
      <c r="BF114">
        <v>-2565.2532760267472</v>
      </c>
      <c r="BG114">
        <v>-7002</v>
      </c>
      <c r="BH114">
        <v>-7719.5999989457123</v>
      </c>
      <c r="BI114">
        <v>-6252</v>
      </c>
      <c r="BJ114">
        <v>-3505.406180743566</v>
      </c>
      <c r="BK114">
        <v>-2191.067699814922</v>
      </c>
      <c r="BL114">
        <v>-851.86373761518519</v>
      </c>
      <c r="BM114">
        <v>-197.16</v>
      </c>
      <c r="BN114">
        <v>2364.9611039433312</v>
      </c>
      <c r="BO114">
        <v>3082.5000000000005</v>
      </c>
      <c r="BP114">
        <v>6623.6348922515044</v>
      </c>
      <c r="BQ114">
        <v>4903.7217336694239</v>
      </c>
      <c r="BR114">
        <v>0</v>
      </c>
      <c r="BS114">
        <v>84.97899644133453</v>
      </c>
      <c r="BT114">
        <v>89.996893965312992</v>
      </c>
      <c r="BU114">
        <v>90.003106034687022</v>
      </c>
      <c r="BV114">
        <v>56.287248886401962</v>
      </c>
      <c r="BW114">
        <v>146.28724845289457</v>
      </c>
      <c r="BX114" s="69">
        <f>Таблица1[[#This Row],[Lкан_леб,мм]]</f>
        <v>3509133.8262366159</v>
      </c>
      <c r="BY114" s="65">
        <f>Таблица1[[#This Row],[Т1]]+Таблица1[[#This Row],[Lпрям1, мм]]</f>
        <v>3511020.1260529826</v>
      </c>
      <c r="BZ114" s="65">
        <f>Таблица1[[#This Row],[Т2]]+Таблица1[[#This Row],[Lдуг 2,мм]]</f>
        <v>3512084.2957084933</v>
      </c>
      <c r="CA114" s="65">
        <f>Таблица1[[#This Row],[Т3]]+Таблица1[[#This Row],[Lпрям2, мм]]</f>
        <v>3515806.2957084933</v>
      </c>
      <c r="CB114" s="65">
        <f>Таблица1[[#This Row],[Т4]]+Таблица1[[#This Row],[Lдуг 3,мм]]</f>
        <v>3516933.303176912</v>
      </c>
      <c r="CC114" s="65">
        <f>Таблица1[[#This Row],[Т5]]+Таблица1[[#This Row],[Lпрям3, мм]]</f>
        <v>3518777.9631796223</v>
      </c>
      <c r="CD114" s="65">
        <f>Таблица1[[#This Row],[Т6]]+Таблица1[[#This Row],[Lдуг 4,мм]]</f>
        <v>3519905.0484401542</v>
      </c>
      <c r="CE114" s="65">
        <f>Таблица1[[#This Row],[Т7]]+Таблица1[[#This Row],[Lпрям4, мм]]</f>
        <v>3520655.1484401543</v>
      </c>
      <c r="CF114" s="72">
        <f>Таблица1[[#This Row],[Т8]]+Таблица1[[#This Row],[Lдуг 5,мм]]</f>
        <v>3521360.0188759738</v>
      </c>
      <c r="CG114" s="65">
        <f>Таблица1[[#This Row],[Т9]]+Таблица1[[#This Row],[Lпрям5, мм]]</f>
        <v>3525233.2456138139</v>
      </c>
      <c r="CH114" s="65">
        <f>Таблица1[[#This Row],[Т10]]+Таблица1[[#This Row],[Lдуг 6,мм]]</f>
        <v>3527065.1624086797</v>
      </c>
      <c r="CI114" s="66">
        <f>Таблица1[[#This Row],[Т11]]+Таблица1[[#This Row],[Lпрям6, мм]]</f>
        <v>3528386.8418603814</v>
      </c>
      <c r="CJ114" s="64">
        <f>Таблица1[[#This Row],[Т12]]-Таблица1[[#This Row],[Т12]]</f>
        <v>0</v>
      </c>
      <c r="CK114" s="65">
        <f>Таблица1[[#This Row],[Т12]]-Таблица1[[#This Row],[Т11]]</f>
        <v>1321.679451701697</v>
      </c>
      <c r="CL114" s="65">
        <f>Таблица1[[#This Row],[Т12]]-Таблица1[[#This Row],[Т10]]</f>
        <v>3153.5962465675548</v>
      </c>
      <c r="CM114" s="65">
        <f>Таблица1[[#This Row],[Т12]]-Таблица1[[#This Row],[Т9]]</f>
        <v>7026.8229844076559</v>
      </c>
      <c r="CN114" s="65">
        <f>Таблица1[[#This Row],[Т12]]-Таблица1[[#This Row],[Т8]]</f>
        <v>7731.6934202271514</v>
      </c>
      <c r="CO114" s="65">
        <f>Таблица1[[#This Row],[Т12]]-Таблица1[[#This Row],[Т7]]</f>
        <v>8481.7934202272445</v>
      </c>
      <c r="CP114" s="65">
        <f>Таблица1[[#This Row],[Т12]]-Таблица1[[#This Row],[Т6]]</f>
        <v>9608.8786807591096</v>
      </c>
      <c r="CQ114" s="65">
        <f>Таблица1[[#This Row],[Т12]]-Таблица1[[#This Row],[Т5]]</f>
        <v>11453.538683469407</v>
      </c>
      <c r="CR114" s="65">
        <f>Таблица1[[#This Row],[Т12]]-Таблица1[[#This Row],[Т4]]</f>
        <v>12580.546151888091</v>
      </c>
      <c r="CS114" s="65">
        <f>Таблица1[[#This Row],[Т12]]-Таблица1[[#This Row],[Т3]]</f>
        <v>16302.546151888091</v>
      </c>
      <c r="CT114" s="65">
        <f>Таблица1[[#This Row],[Т12]]-Таблица1[[#This Row],[Т2]]</f>
        <v>17366.715807398781</v>
      </c>
      <c r="CU114" s="65">
        <f>Таблица1[[#This Row],[Т12]]-Таблица1[[#This Row],[Т1]]</f>
        <v>19253.015623765532</v>
      </c>
      <c r="CV114" s="65">
        <f>Таблица1[[#This Row],[Lкан_леб,мм]]+Таблица1[[#This Row],[Lкан_дуг, мм]]+Таблица1[[#This Row],[Lкан_прям, мм]]</f>
        <v>3528386.841860381</v>
      </c>
      <c r="CW114" s="60">
        <f>3511128.4-(Таблица1[[#This Row],[Lкан_леб,мм]]+Таблица1[[#This Row],[∆Lлеб из за стрел]])</f>
        <v>1994.5737633840181</v>
      </c>
    </row>
    <row r="115" spans="1:101" x14ac:dyDescent="0.25">
      <c r="A115">
        <v>114</v>
      </c>
      <c r="B115">
        <v>107.6375838926171</v>
      </c>
      <c r="C115">
        <v>-17.627583892617107</v>
      </c>
      <c r="D115">
        <v>-2971.7804436110127</v>
      </c>
      <c r="E115">
        <v>6205.6126503005989</v>
      </c>
      <c r="F115">
        <v>-2254.1472859179112</v>
      </c>
      <c r="G115">
        <v>5442.7378892949482</v>
      </c>
      <c r="H115">
        <v>-2254.2809336110126</v>
      </c>
      <c r="I115">
        <v>4883.9332040276095</v>
      </c>
      <c r="J115">
        <v>1321.6794462729897</v>
      </c>
      <c r="K115">
        <v>13330.995641729633</v>
      </c>
      <c r="L115">
        <v>5870.7010470040295</v>
      </c>
      <c r="M115">
        <v>3509185.1451716474</v>
      </c>
      <c r="N115">
        <v>0</v>
      </c>
      <c r="O115">
        <v>8</v>
      </c>
      <c r="P115">
        <v>-3322.5</v>
      </c>
      <c r="Q115">
        <v>-2811.96</v>
      </c>
      <c r="R115">
        <v>-3280</v>
      </c>
      <c r="S115">
        <v>-914.66</v>
      </c>
      <c r="T115">
        <v>-7002</v>
      </c>
      <c r="U115">
        <v>520.34</v>
      </c>
      <c r="V115">
        <v>-7002.1</v>
      </c>
      <c r="W115">
        <v>2365</v>
      </c>
      <c r="X115">
        <v>-6252</v>
      </c>
      <c r="Y115">
        <v>3800</v>
      </c>
      <c r="Z115">
        <v>-2971.7804436110127</v>
      </c>
      <c r="AA115">
        <v>6205.6126503005989</v>
      </c>
      <c r="AB115">
        <v>0</v>
      </c>
      <c r="AC115">
        <v>1064.1696555107644</v>
      </c>
      <c r="AD115">
        <v>1127.0074684186504</v>
      </c>
      <c r="AE115">
        <v>1127.0852605320265</v>
      </c>
      <c r="AF115">
        <v>712.69615174797445</v>
      </c>
      <c r="AG115">
        <v>1839.7425107946137</v>
      </c>
      <c r="AH115">
        <v>1886.2998163666878</v>
      </c>
      <c r="AI115">
        <v>3721.9999999999995</v>
      </c>
      <c r="AJ115">
        <v>1844.6600027105269</v>
      </c>
      <c r="AK115">
        <v>750.10000000000059</v>
      </c>
      <c r="AL115">
        <v>3806.2563709507322</v>
      </c>
      <c r="AM115">
        <v>1321.6794517016854</v>
      </c>
      <c r="AN115">
        <v>-95.021003558665456</v>
      </c>
      <c r="AO115">
        <v>-180</v>
      </c>
      <c r="AP115">
        <v>-90.003106034687008</v>
      </c>
      <c r="AQ115">
        <v>1.2722218725854067E-14</v>
      </c>
      <c r="AR115">
        <v>-56.912169436061596</v>
      </c>
      <c r="AS115">
        <v>89.999999566492619</v>
      </c>
      <c r="AT115">
        <v>-2400.1625746957502</v>
      </c>
      <c r="AU115">
        <v>-3280</v>
      </c>
      <c r="AV115">
        <v>-7719.4999989457119</v>
      </c>
      <c r="AW115">
        <v>-7002.1</v>
      </c>
      <c r="AX115">
        <v>-5650.8536113649025</v>
      </c>
      <c r="AY115">
        <v>-2254.2804436110123</v>
      </c>
      <c r="AZ115">
        <v>-2730.9252207921031</v>
      </c>
      <c r="BA115">
        <v>-197.16</v>
      </c>
      <c r="BB115">
        <v>520.3011039433311</v>
      </c>
      <c r="BC115">
        <v>3082.5000000000005</v>
      </c>
      <c r="BD115">
        <v>3408.2995156615443</v>
      </c>
      <c r="BE115">
        <v>6205.6126557292982</v>
      </c>
      <c r="BF115">
        <v>-2565.2532760267472</v>
      </c>
      <c r="BG115">
        <v>-7002</v>
      </c>
      <c r="BH115">
        <v>-7719.5999989457123</v>
      </c>
      <c r="BI115">
        <v>-6252</v>
      </c>
      <c r="BJ115">
        <v>-3572.9268322461098</v>
      </c>
      <c r="BK115">
        <v>-2254.2804336110125</v>
      </c>
      <c r="BL115">
        <v>-851.86373761518519</v>
      </c>
      <c r="BM115">
        <v>-197.16</v>
      </c>
      <c r="BN115">
        <v>2364.9611039433312</v>
      </c>
      <c r="BO115">
        <v>3082.5000000000005</v>
      </c>
      <c r="BP115">
        <v>6597.3131346390555</v>
      </c>
      <c r="BQ115">
        <v>4883.9332040276131</v>
      </c>
      <c r="BR115">
        <v>0</v>
      </c>
      <c r="BS115">
        <v>84.97899644133453</v>
      </c>
      <c r="BT115">
        <v>89.996893965312992</v>
      </c>
      <c r="BU115">
        <v>90.003106034687022</v>
      </c>
      <c r="BV115">
        <v>56.91216943606161</v>
      </c>
      <c r="BW115">
        <v>146.91216900255421</v>
      </c>
      <c r="BX115" s="69">
        <f>Таблица1[[#This Row],[Lкан_леб,мм]]</f>
        <v>3509185.1451716474</v>
      </c>
      <c r="BY115" s="65">
        <f>Таблица1[[#This Row],[Т1]]+Таблица1[[#This Row],[Lпрям1, мм]]</f>
        <v>3511071.4449880142</v>
      </c>
      <c r="BZ115" s="65">
        <f>Таблица1[[#This Row],[Т2]]+Таблица1[[#This Row],[Lдуг 2,мм]]</f>
        <v>3512135.6146435249</v>
      </c>
      <c r="CA115" s="65">
        <f>Таблица1[[#This Row],[Т3]]+Таблица1[[#This Row],[Lпрям2, мм]]</f>
        <v>3515857.6146435249</v>
      </c>
      <c r="CB115" s="65">
        <f>Таблица1[[#This Row],[Т4]]+Таблица1[[#This Row],[Lдуг 3,мм]]</f>
        <v>3516984.6221119436</v>
      </c>
      <c r="CC115" s="65">
        <f>Таблица1[[#This Row],[Т5]]+Таблица1[[#This Row],[Lпрям3, мм]]</f>
        <v>3518829.2821146538</v>
      </c>
      <c r="CD115" s="65">
        <f>Таблица1[[#This Row],[Т6]]+Таблица1[[#This Row],[Lдуг 4,мм]]</f>
        <v>3519956.3673751857</v>
      </c>
      <c r="CE115" s="65">
        <f>Таблица1[[#This Row],[Т7]]+Таблица1[[#This Row],[Lпрям4, мм]]</f>
        <v>3520706.4673751858</v>
      </c>
      <c r="CF115" s="72">
        <f>Таблица1[[#This Row],[Т8]]+Таблица1[[#This Row],[Lдуг 5,мм]]</f>
        <v>3521419.1635269336</v>
      </c>
      <c r="CG115" s="65">
        <f>Таблица1[[#This Row],[Т9]]+Таблица1[[#This Row],[Lпрям5, мм]]</f>
        <v>3525225.4198978846</v>
      </c>
      <c r="CH115" s="65">
        <f>Таблица1[[#This Row],[Т10]]+Таблица1[[#This Row],[Lдуг 6,мм]]</f>
        <v>3527065.1624086793</v>
      </c>
      <c r="CI115" s="66">
        <f>Таблица1[[#This Row],[Т11]]+Таблица1[[#This Row],[Lпрям6, мм]]</f>
        <v>3528386.841860381</v>
      </c>
      <c r="CJ115" s="64">
        <f>Таблица1[[#This Row],[Т12]]-Таблица1[[#This Row],[Т12]]</f>
        <v>0</v>
      </c>
      <c r="CK115" s="65">
        <f>Таблица1[[#This Row],[Т12]]-Таблица1[[#This Row],[Т11]]</f>
        <v>1321.679451701697</v>
      </c>
      <c r="CL115" s="65">
        <f>Таблица1[[#This Row],[Т12]]-Таблица1[[#This Row],[Т10]]</f>
        <v>3161.4219624963589</v>
      </c>
      <c r="CM115" s="65">
        <f>Таблица1[[#This Row],[Т12]]-Таблица1[[#This Row],[Т9]]</f>
        <v>6967.6783334473148</v>
      </c>
      <c r="CN115" s="65">
        <f>Таблица1[[#This Row],[Т12]]-Таблица1[[#This Row],[Т8]]</f>
        <v>7680.3744851951487</v>
      </c>
      <c r="CO115" s="65">
        <f>Таблица1[[#This Row],[Т12]]-Таблица1[[#This Row],[Т7]]</f>
        <v>8430.4744851952419</v>
      </c>
      <c r="CP115" s="65">
        <f>Таблица1[[#This Row],[Т12]]-Таблица1[[#This Row],[Т6]]</f>
        <v>9557.5597457271069</v>
      </c>
      <c r="CQ115" s="65">
        <f>Таблица1[[#This Row],[Т12]]-Таблица1[[#This Row],[Т5]]</f>
        <v>11402.219748437405</v>
      </c>
      <c r="CR115" s="65">
        <f>Таблица1[[#This Row],[Т12]]-Таблица1[[#This Row],[Т4]]</f>
        <v>12529.227216856088</v>
      </c>
      <c r="CS115" s="65">
        <f>Таблица1[[#This Row],[Т12]]-Таблица1[[#This Row],[Т3]]</f>
        <v>16251.227216856088</v>
      </c>
      <c r="CT115" s="65">
        <f>Таблица1[[#This Row],[Т12]]-Таблица1[[#This Row],[Т2]]</f>
        <v>17315.396872366779</v>
      </c>
      <c r="CU115" s="65">
        <f>Таблица1[[#This Row],[Т12]]-Таблица1[[#This Row],[Т1]]</f>
        <v>19201.696688733529</v>
      </c>
      <c r="CV115" s="65">
        <f>Таблица1[[#This Row],[Lкан_леб,мм]]+Таблица1[[#This Row],[Lкан_дуг, мм]]+Таблица1[[#This Row],[Lкан_прям, мм]]</f>
        <v>3528386.8418603814</v>
      </c>
      <c r="CW115" s="60">
        <f>3511128.4-(Таблица1[[#This Row],[Lкан_леб,мм]]+Таблица1[[#This Row],[∆Lлеб из за стрел]])</f>
        <v>1943.2548283524811</v>
      </c>
    </row>
    <row r="116" spans="1:101" x14ac:dyDescent="0.25">
      <c r="A116">
        <v>115</v>
      </c>
      <c r="B116">
        <v>108.14765100671106</v>
      </c>
      <c r="C116">
        <v>-18.137651006711064</v>
      </c>
      <c r="D116">
        <v>-3034.8145104599498</v>
      </c>
      <c r="E116">
        <v>6185.2621703101831</v>
      </c>
      <c r="F116">
        <v>-2317.1813527668482</v>
      </c>
      <c r="G116">
        <v>5422.3874093045333</v>
      </c>
      <c r="H116">
        <v>-2317.3150004599497</v>
      </c>
      <c r="I116">
        <v>4863.5827240376584</v>
      </c>
      <c r="J116">
        <v>1321.6794462725252</v>
      </c>
      <c r="K116">
        <v>13263.794378050847</v>
      </c>
      <c r="L116">
        <v>5886.6720646233316</v>
      </c>
      <c r="M116">
        <v>3509236.3754177066</v>
      </c>
      <c r="N116">
        <v>0</v>
      </c>
      <c r="O116">
        <v>8</v>
      </c>
      <c r="P116">
        <v>-3322.5</v>
      </c>
      <c r="Q116">
        <v>-2811.96</v>
      </c>
      <c r="R116">
        <v>-3280</v>
      </c>
      <c r="S116">
        <v>-914.66</v>
      </c>
      <c r="T116">
        <v>-7002</v>
      </c>
      <c r="U116">
        <v>520.34</v>
      </c>
      <c r="V116">
        <v>-7002.1</v>
      </c>
      <c r="W116">
        <v>2365</v>
      </c>
      <c r="X116">
        <v>-6252</v>
      </c>
      <c r="Y116">
        <v>3800</v>
      </c>
      <c r="Z116">
        <v>-3034.8145104599498</v>
      </c>
      <c r="AA116">
        <v>6185.2621703101831</v>
      </c>
      <c r="AB116">
        <v>0</v>
      </c>
      <c r="AC116">
        <v>1064.1696555107644</v>
      </c>
      <c r="AD116">
        <v>1127.0074684186504</v>
      </c>
      <c r="AE116">
        <v>1127.0852605320265</v>
      </c>
      <c r="AF116">
        <v>720.68166055762561</v>
      </c>
      <c r="AG116">
        <v>1847.7280196042645</v>
      </c>
      <c r="AH116">
        <v>1886.2998163666878</v>
      </c>
      <c r="AI116">
        <v>3721.9999999999995</v>
      </c>
      <c r="AJ116">
        <v>1844.6600027105269</v>
      </c>
      <c r="AK116">
        <v>750.10000000000059</v>
      </c>
      <c r="AL116">
        <v>3739.0551072724106</v>
      </c>
      <c r="AM116">
        <v>1321.6794517012208</v>
      </c>
      <c r="AN116">
        <v>-95.021003558665456</v>
      </c>
      <c r="AO116">
        <v>-180</v>
      </c>
      <c r="AP116">
        <v>-90.003106034687008</v>
      </c>
      <c r="AQ116">
        <v>1.2722218725854067E-14</v>
      </c>
      <c r="AR116">
        <v>-57.549850205479785</v>
      </c>
      <c r="AS116">
        <v>89.999999566492619</v>
      </c>
      <c r="AT116">
        <v>-2400.1625746957502</v>
      </c>
      <c r="AU116">
        <v>-3280</v>
      </c>
      <c r="AV116">
        <v>-7719.4999989457119</v>
      </c>
      <c r="AW116">
        <v>-7002.1</v>
      </c>
      <c r="AX116">
        <v>-5646.5314515028713</v>
      </c>
      <c r="AY116">
        <v>-2317.3145104599494</v>
      </c>
      <c r="AZ116">
        <v>-2730.9252207921031</v>
      </c>
      <c r="BA116">
        <v>-197.16</v>
      </c>
      <c r="BB116">
        <v>520.3011039433311</v>
      </c>
      <c r="BC116">
        <v>3082.5000000000005</v>
      </c>
      <c r="BD116">
        <v>3415.0141732728598</v>
      </c>
      <c r="BE116">
        <v>6185.2621757388824</v>
      </c>
      <c r="BF116">
        <v>-2565.2532760267472</v>
      </c>
      <c r="BG116">
        <v>-7002</v>
      </c>
      <c r="BH116">
        <v>-7719.5999989457123</v>
      </c>
      <c r="BI116">
        <v>-6252</v>
      </c>
      <c r="BJ116">
        <v>-3640.283058957079</v>
      </c>
      <c r="BK116">
        <v>-2317.3145004599496</v>
      </c>
      <c r="BL116">
        <v>-851.86373761518519</v>
      </c>
      <c r="BM116">
        <v>-197.16</v>
      </c>
      <c r="BN116">
        <v>2364.9611039433312</v>
      </c>
      <c r="BO116">
        <v>3082.5000000000005</v>
      </c>
      <c r="BP116">
        <v>6570.2479970373242</v>
      </c>
      <c r="BQ116">
        <v>4863.582724037662</v>
      </c>
      <c r="BR116">
        <v>0</v>
      </c>
      <c r="BS116">
        <v>84.97899644133453</v>
      </c>
      <c r="BT116">
        <v>89.996893965312992</v>
      </c>
      <c r="BU116">
        <v>90.003106034687022</v>
      </c>
      <c r="BV116">
        <v>57.5498502054798</v>
      </c>
      <c r="BW116">
        <v>147.54984977197239</v>
      </c>
      <c r="BX116" s="69">
        <f>Таблица1[[#This Row],[Lкан_леб,мм]]</f>
        <v>3509236.3754177066</v>
      </c>
      <c r="BY116" s="65">
        <f>Таблица1[[#This Row],[Т1]]+Таблица1[[#This Row],[Lпрям1, мм]]</f>
        <v>3511122.6752340733</v>
      </c>
      <c r="BZ116" s="65">
        <f>Таблица1[[#This Row],[Т2]]+Таблица1[[#This Row],[Lдуг 2,мм]]</f>
        <v>3512186.844889584</v>
      </c>
      <c r="CA116" s="65">
        <f>Таблица1[[#This Row],[Т3]]+Таблица1[[#This Row],[Lпрям2, мм]]</f>
        <v>3515908.844889584</v>
      </c>
      <c r="CB116" s="65">
        <f>Таблица1[[#This Row],[Т4]]+Таблица1[[#This Row],[Lдуг 3,мм]]</f>
        <v>3517035.8523580027</v>
      </c>
      <c r="CC116" s="65">
        <f>Таблица1[[#This Row],[Т5]]+Таблица1[[#This Row],[Lпрям3, мм]]</f>
        <v>3518880.512360713</v>
      </c>
      <c r="CD116" s="65">
        <f>Таблица1[[#This Row],[Т6]]+Таблица1[[#This Row],[Lдуг 4,мм]]</f>
        <v>3520007.5976212448</v>
      </c>
      <c r="CE116" s="65">
        <f>Таблица1[[#This Row],[Т7]]+Таблица1[[#This Row],[Lпрям4, мм]]</f>
        <v>3520757.6976212449</v>
      </c>
      <c r="CF116" s="72">
        <f>Таблица1[[#This Row],[Т8]]+Таблица1[[#This Row],[Lдуг 5,мм]]</f>
        <v>3521478.3792818026</v>
      </c>
      <c r="CG116" s="65">
        <f>Таблица1[[#This Row],[Т9]]+Таблица1[[#This Row],[Lпрям5, мм]]</f>
        <v>3525217.4343890748</v>
      </c>
      <c r="CH116" s="65">
        <f>Таблица1[[#This Row],[Т10]]+Таблица1[[#This Row],[Lдуг 6,мм]]</f>
        <v>3527065.1624086793</v>
      </c>
      <c r="CI116" s="66">
        <f>Таблица1[[#This Row],[Т11]]+Таблица1[[#This Row],[Lпрям6, мм]]</f>
        <v>3528386.8418603805</v>
      </c>
      <c r="CJ116" s="64">
        <f>Таблица1[[#This Row],[Т12]]-Таблица1[[#This Row],[Т12]]</f>
        <v>0</v>
      </c>
      <c r="CK116" s="65">
        <f>Таблица1[[#This Row],[Т12]]-Таблица1[[#This Row],[Т11]]</f>
        <v>1321.6794517012313</v>
      </c>
      <c r="CL116" s="65">
        <f>Таблица1[[#This Row],[Т12]]-Таблица1[[#This Row],[Т10]]</f>
        <v>3169.4074713056907</v>
      </c>
      <c r="CM116" s="65">
        <f>Таблица1[[#This Row],[Т12]]-Таблица1[[#This Row],[Т9]]</f>
        <v>6908.4625785779208</v>
      </c>
      <c r="CN116" s="65">
        <f>Таблица1[[#This Row],[Т12]]-Таблица1[[#This Row],[Т8]]</f>
        <v>7629.1442391355522</v>
      </c>
      <c r="CO116" s="65">
        <f>Таблица1[[#This Row],[Т12]]-Таблица1[[#This Row],[Т7]]</f>
        <v>8379.2442391356453</v>
      </c>
      <c r="CP116" s="65">
        <f>Таблица1[[#This Row],[Т12]]-Таблица1[[#This Row],[Т6]]</f>
        <v>9506.3294996675104</v>
      </c>
      <c r="CQ116" s="65">
        <f>Таблица1[[#This Row],[Т12]]-Таблица1[[#This Row],[Т5]]</f>
        <v>11350.989502377808</v>
      </c>
      <c r="CR116" s="65">
        <f>Таблица1[[#This Row],[Т12]]-Таблица1[[#This Row],[Т4]]</f>
        <v>12477.996970796492</v>
      </c>
      <c r="CS116" s="65">
        <f>Таблица1[[#This Row],[Т12]]-Таблица1[[#This Row],[Т3]]</f>
        <v>16199.996970796492</v>
      </c>
      <c r="CT116" s="65">
        <f>Таблица1[[#This Row],[Т12]]-Таблица1[[#This Row],[Т2]]</f>
        <v>17264.166626307182</v>
      </c>
      <c r="CU116" s="65">
        <f>Таблица1[[#This Row],[Т12]]-Таблица1[[#This Row],[Т1]]</f>
        <v>19150.466442673933</v>
      </c>
      <c r="CV116" s="65">
        <f>Таблица1[[#This Row],[Lкан_леб,мм]]+Таблица1[[#This Row],[Lкан_дуг, мм]]+Таблица1[[#This Row],[Lкан_прям, мм]]</f>
        <v>3528386.841860381</v>
      </c>
      <c r="CW116" s="60">
        <f>3511128.4-(Таблица1[[#This Row],[Lкан_леб,мм]]+Таблица1[[#This Row],[∆Lлеб из за стрел]])</f>
        <v>1892.0245822933502</v>
      </c>
    </row>
    <row r="117" spans="1:101" x14ac:dyDescent="0.25">
      <c r="A117">
        <v>116</v>
      </c>
      <c r="B117">
        <v>108.65771812080501</v>
      </c>
      <c r="C117">
        <v>-18.647718120805017</v>
      </c>
      <c r="D117">
        <v>-3097.6649148286115</v>
      </c>
      <c r="E117">
        <v>6164.3513527735076</v>
      </c>
      <c r="F117">
        <v>-2380.0317571355099</v>
      </c>
      <c r="G117">
        <v>5401.4765917678578</v>
      </c>
      <c r="H117">
        <v>-2380.1654048286114</v>
      </c>
      <c r="I117">
        <v>4842.6719065008192</v>
      </c>
      <c r="J117">
        <v>1321.6794462726887</v>
      </c>
      <c r="K117">
        <v>13196.355011689555</v>
      </c>
      <c r="L117">
        <v>5902.9797269592927</v>
      </c>
      <c r="M117">
        <v>3509287.507121732</v>
      </c>
      <c r="N117">
        <v>0</v>
      </c>
      <c r="O117">
        <v>8</v>
      </c>
      <c r="P117">
        <v>-3322.5</v>
      </c>
      <c r="Q117">
        <v>-2811.96</v>
      </c>
      <c r="R117">
        <v>-3280</v>
      </c>
      <c r="S117">
        <v>-914.66</v>
      </c>
      <c r="T117">
        <v>-7002</v>
      </c>
      <c r="U117">
        <v>520.34</v>
      </c>
      <c r="V117">
        <v>-7002.1</v>
      </c>
      <c r="W117">
        <v>2365</v>
      </c>
      <c r="X117">
        <v>-6252</v>
      </c>
      <c r="Y117">
        <v>3800</v>
      </c>
      <c r="Z117">
        <v>-3097.6649148286115</v>
      </c>
      <c r="AA117">
        <v>6164.3513527735076</v>
      </c>
      <c r="AB117">
        <v>0</v>
      </c>
      <c r="AC117">
        <v>1064.1696555107644</v>
      </c>
      <c r="AD117">
        <v>1127.0074684186504</v>
      </c>
      <c r="AE117">
        <v>1127.0852605320265</v>
      </c>
      <c r="AF117">
        <v>728.83549172560652</v>
      </c>
      <c r="AG117">
        <v>1855.8818507722456</v>
      </c>
      <c r="AH117">
        <v>1886.2998163666878</v>
      </c>
      <c r="AI117">
        <v>3721.9999999999995</v>
      </c>
      <c r="AJ117">
        <v>1844.6600027105269</v>
      </c>
      <c r="AK117">
        <v>750.10000000000059</v>
      </c>
      <c r="AL117">
        <v>3671.6157409109555</v>
      </c>
      <c r="AM117">
        <v>1321.6794517013843</v>
      </c>
      <c r="AN117">
        <v>-95.021003558665456</v>
      </c>
      <c r="AO117">
        <v>-180</v>
      </c>
      <c r="AP117">
        <v>-90.003106034687008</v>
      </c>
      <c r="AQ117">
        <v>1.2722218725854067E-14</v>
      </c>
      <c r="AR117">
        <v>-58.200972313894468</v>
      </c>
      <c r="AS117">
        <v>89.999999566492619</v>
      </c>
      <c r="AT117">
        <v>-2400.1625746957502</v>
      </c>
      <c r="AU117">
        <v>-3280</v>
      </c>
      <c r="AV117">
        <v>-7719.4999989457119</v>
      </c>
      <c r="AW117">
        <v>-7002.1</v>
      </c>
      <c r="AX117">
        <v>-5642.1955766393376</v>
      </c>
      <c r="AY117">
        <v>-2380.1649148286115</v>
      </c>
      <c r="AZ117">
        <v>-2730.9252207921031</v>
      </c>
      <c r="BA117">
        <v>-197.16</v>
      </c>
      <c r="BB117">
        <v>520.3011039433311</v>
      </c>
      <c r="BC117">
        <v>3082.5000000000005</v>
      </c>
      <c r="BD117">
        <v>3421.9195651058235</v>
      </c>
      <c r="BE117">
        <v>6164.3513582022069</v>
      </c>
      <c r="BF117">
        <v>-2565.2532760267472</v>
      </c>
      <c r="BG117">
        <v>-7002</v>
      </c>
      <c r="BH117">
        <v>-7719.5999989457123</v>
      </c>
      <c r="BI117">
        <v>-6252</v>
      </c>
      <c r="BJ117">
        <v>-3707.4693381892735</v>
      </c>
      <c r="BK117">
        <v>-2380.1649048286113</v>
      </c>
      <c r="BL117">
        <v>-851.86373761518519</v>
      </c>
      <c r="BM117">
        <v>-197.16</v>
      </c>
      <c r="BN117">
        <v>2364.9611039433312</v>
      </c>
      <c r="BO117">
        <v>3082.5000000000005</v>
      </c>
      <c r="BP117">
        <v>6542.4317876676851</v>
      </c>
      <c r="BQ117">
        <v>4842.6719065008228</v>
      </c>
      <c r="BR117">
        <v>0</v>
      </c>
      <c r="BS117">
        <v>84.97899644133453</v>
      </c>
      <c r="BT117">
        <v>89.996893965312992</v>
      </c>
      <c r="BU117">
        <v>90.003106034687022</v>
      </c>
      <c r="BV117">
        <v>58.200972313894482</v>
      </c>
      <c r="BW117">
        <v>148.2009718803871</v>
      </c>
      <c r="BX117" s="69">
        <f>Таблица1[[#This Row],[Lкан_леб,мм]]</f>
        <v>3509287.507121732</v>
      </c>
      <c r="BY117" s="65">
        <f>Таблица1[[#This Row],[Т1]]+Таблица1[[#This Row],[Lпрям1, мм]]</f>
        <v>3511173.8069380987</v>
      </c>
      <c r="BZ117" s="65">
        <f>Таблица1[[#This Row],[Т2]]+Таблица1[[#This Row],[Lдуг 2,мм]]</f>
        <v>3512237.9765936094</v>
      </c>
      <c r="CA117" s="65">
        <f>Таблица1[[#This Row],[Т3]]+Таблица1[[#This Row],[Lпрям2, мм]]</f>
        <v>3515959.9765936094</v>
      </c>
      <c r="CB117" s="65">
        <f>Таблица1[[#This Row],[Т4]]+Таблица1[[#This Row],[Lдуг 3,мм]]</f>
        <v>3517086.9840620281</v>
      </c>
      <c r="CC117" s="65">
        <f>Таблица1[[#This Row],[Т5]]+Таблица1[[#This Row],[Lпрям3, мм]]</f>
        <v>3518931.6440647384</v>
      </c>
      <c r="CD117" s="65">
        <f>Таблица1[[#This Row],[Т6]]+Таблица1[[#This Row],[Lдуг 4,мм]]</f>
        <v>3520058.7293252703</v>
      </c>
      <c r="CE117" s="65">
        <f>Таблица1[[#This Row],[Т7]]+Таблица1[[#This Row],[Lпрям4, мм]]</f>
        <v>3520808.8293252704</v>
      </c>
      <c r="CF117" s="72">
        <f>Таблица1[[#This Row],[Т8]]+Таблица1[[#This Row],[Lдуг 5,мм]]</f>
        <v>3521537.6648169961</v>
      </c>
      <c r="CG117" s="65">
        <f>Таблица1[[#This Row],[Т9]]+Таблица1[[#This Row],[Lпрям5, мм]]</f>
        <v>3525209.2805579072</v>
      </c>
      <c r="CH117" s="65">
        <f>Таблица1[[#This Row],[Т10]]+Таблица1[[#This Row],[Lдуг 6,мм]]</f>
        <v>3527065.1624086793</v>
      </c>
      <c r="CI117" s="66">
        <f>Таблица1[[#This Row],[Т11]]+Таблица1[[#This Row],[Lпрям6, мм]]</f>
        <v>3528386.8418603805</v>
      </c>
      <c r="CJ117" s="64">
        <f>Таблица1[[#This Row],[Т12]]-Таблица1[[#This Row],[Т12]]</f>
        <v>0</v>
      </c>
      <c r="CK117" s="65">
        <f>Таблица1[[#This Row],[Т12]]-Таблица1[[#This Row],[Т11]]</f>
        <v>1321.6794517012313</v>
      </c>
      <c r="CL117" s="65">
        <f>Таблица1[[#This Row],[Т12]]-Таблица1[[#This Row],[Т10]]</f>
        <v>3177.5613024733029</v>
      </c>
      <c r="CM117" s="65">
        <f>Таблица1[[#This Row],[Т12]]-Таблица1[[#This Row],[Т9]]</f>
        <v>6849.1770433844067</v>
      </c>
      <c r="CN117" s="65">
        <f>Таблица1[[#This Row],[Т12]]-Таблица1[[#This Row],[Т8]]</f>
        <v>7578.012535110116</v>
      </c>
      <c r="CO117" s="65">
        <f>Таблица1[[#This Row],[Т12]]-Таблица1[[#This Row],[Т7]]</f>
        <v>8328.1125351102091</v>
      </c>
      <c r="CP117" s="65">
        <f>Таблица1[[#This Row],[Т12]]-Таблица1[[#This Row],[Т6]]</f>
        <v>9455.1977956420742</v>
      </c>
      <c r="CQ117" s="65">
        <f>Таблица1[[#This Row],[Т12]]-Таблица1[[#This Row],[Т5]]</f>
        <v>11299.857798352372</v>
      </c>
      <c r="CR117" s="65">
        <f>Таблица1[[#This Row],[Т12]]-Таблица1[[#This Row],[Т4]]</f>
        <v>12426.865266771056</v>
      </c>
      <c r="CS117" s="65">
        <f>Таблица1[[#This Row],[Т12]]-Таблица1[[#This Row],[Т3]]</f>
        <v>16148.865266771056</v>
      </c>
      <c r="CT117" s="65">
        <f>Таблица1[[#This Row],[Т12]]-Таблица1[[#This Row],[Т2]]</f>
        <v>17213.034922281746</v>
      </c>
      <c r="CU117" s="65">
        <f>Таблица1[[#This Row],[Т12]]-Таблица1[[#This Row],[Т1]]</f>
        <v>19099.334738648497</v>
      </c>
      <c r="CV117" s="65">
        <f>Таблица1[[#This Row],[Lкан_леб,мм]]+Таблица1[[#This Row],[Lкан_дуг, мм]]+Таблица1[[#This Row],[Lкан_прям, мм]]</f>
        <v>3528386.841860381</v>
      </c>
      <c r="CW117" s="60">
        <f>3511128.4-(Таблица1[[#This Row],[Lкан_леб,мм]]+Таблица1[[#This Row],[∆Lлеб из за стрел]])</f>
        <v>1840.8928782679141</v>
      </c>
    </row>
    <row r="118" spans="1:101" x14ac:dyDescent="0.25">
      <c r="A118">
        <v>117</v>
      </c>
      <c r="B118">
        <v>109.16778523489897</v>
      </c>
      <c r="C118">
        <v>-19.157785234898974</v>
      </c>
      <c r="D118">
        <v>-3160.3266757393735</v>
      </c>
      <c r="E118">
        <v>6142.8818549005036</v>
      </c>
      <c r="F118">
        <v>-2442.6935180462724</v>
      </c>
      <c r="G118">
        <v>5380.0070938948529</v>
      </c>
      <c r="H118">
        <v>-2442.8271657393734</v>
      </c>
      <c r="I118">
        <v>4821.2024086278698</v>
      </c>
      <c r="J118">
        <v>1321.6794462726336</v>
      </c>
      <c r="K118">
        <v>13128.66967104528</v>
      </c>
      <c r="L118">
        <v>5919.6423609184185</v>
      </c>
      <c r="M118">
        <v>3509338.5298284176</v>
      </c>
      <c r="N118">
        <v>0</v>
      </c>
      <c r="O118">
        <v>8</v>
      </c>
      <c r="P118">
        <v>-3322.5</v>
      </c>
      <c r="Q118">
        <v>-2811.96</v>
      </c>
      <c r="R118">
        <v>-3280</v>
      </c>
      <c r="S118">
        <v>-914.66</v>
      </c>
      <c r="T118">
        <v>-7002</v>
      </c>
      <c r="U118">
        <v>520.34</v>
      </c>
      <c r="V118">
        <v>-7002.1</v>
      </c>
      <c r="W118">
        <v>2365</v>
      </c>
      <c r="X118">
        <v>-6252</v>
      </c>
      <c r="Y118">
        <v>3800</v>
      </c>
      <c r="Z118">
        <v>-3160.3266757393735</v>
      </c>
      <c r="AA118">
        <v>6142.8818549005036</v>
      </c>
      <c r="AB118">
        <v>0</v>
      </c>
      <c r="AC118">
        <v>1064.1696555107644</v>
      </c>
      <c r="AD118">
        <v>1127.0074684186504</v>
      </c>
      <c r="AE118">
        <v>1127.0852605320265</v>
      </c>
      <c r="AF118">
        <v>737.16680870516871</v>
      </c>
      <c r="AG118">
        <v>1864.2131677518078</v>
      </c>
      <c r="AH118">
        <v>1886.2998163666878</v>
      </c>
      <c r="AI118">
        <v>3721.9999999999995</v>
      </c>
      <c r="AJ118">
        <v>1844.6600027105269</v>
      </c>
      <c r="AK118">
        <v>750.10000000000059</v>
      </c>
      <c r="AL118">
        <v>3603.9304002667382</v>
      </c>
      <c r="AM118">
        <v>1321.6794517013293</v>
      </c>
      <c r="AN118">
        <v>-95.021003558665456</v>
      </c>
      <c r="AO118">
        <v>-180</v>
      </c>
      <c r="AP118">
        <v>-90.003106034687008</v>
      </c>
      <c r="AQ118">
        <v>1.2722218725854067E-14</v>
      </c>
      <c r="AR118">
        <v>-58.86626750652804</v>
      </c>
      <c r="AS118">
        <v>89.999999566492605</v>
      </c>
      <c r="AT118">
        <v>-2400.1625746957502</v>
      </c>
      <c r="AU118">
        <v>-3280</v>
      </c>
      <c r="AV118">
        <v>-7719.4999989457119</v>
      </c>
      <c r="AW118">
        <v>-7002.1</v>
      </c>
      <c r="AX118">
        <v>-5637.8466689024035</v>
      </c>
      <c r="AY118">
        <v>-2442.826675739374</v>
      </c>
      <c r="AZ118">
        <v>-2730.9252207921031</v>
      </c>
      <c r="BA118">
        <v>-197.16</v>
      </c>
      <c r="BB118">
        <v>520.3011039433311</v>
      </c>
      <c r="BC118">
        <v>3082.5000000000005</v>
      </c>
      <c r="BD118">
        <v>3429.0256937445311</v>
      </c>
      <c r="BE118">
        <v>6142.881860329202</v>
      </c>
      <c r="BF118">
        <v>-2565.2532760267472</v>
      </c>
      <c r="BG118">
        <v>-7002</v>
      </c>
      <c r="BH118">
        <v>-7719.5999989457123</v>
      </c>
      <c r="BI118">
        <v>-6252</v>
      </c>
      <c r="BJ118">
        <v>-3774.4800068369696</v>
      </c>
      <c r="BK118">
        <v>-2442.8266657393733</v>
      </c>
      <c r="BL118">
        <v>-851.86373761518519</v>
      </c>
      <c r="BM118">
        <v>-197.16</v>
      </c>
      <c r="BN118">
        <v>2364.9611039433312</v>
      </c>
      <c r="BO118">
        <v>3082.5000000000005</v>
      </c>
      <c r="BP118">
        <v>6513.8561611559726</v>
      </c>
      <c r="BQ118">
        <v>4821.2024086278734</v>
      </c>
      <c r="BR118">
        <v>0</v>
      </c>
      <c r="BS118">
        <v>84.97899644133453</v>
      </c>
      <c r="BT118">
        <v>89.996893965312992</v>
      </c>
      <c r="BU118">
        <v>90.003106034687022</v>
      </c>
      <c r="BV118">
        <v>58.866267506528054</v>
      </c>
      <c r="BW118">
        <v>148.86626707302065</v>
      </c>
      <c r="BX118" s="69">
        <f>Таблица1[[#This Row],[Lкан_леб,мм]]</f>
        <v>3509338.5298284176</v>
      </c>
      <c r="BY118" s="65">
        <f>Таблица1[[#This Row],[Т1]]+Таблица1[[#This Row],[Lпрям1, мм]]</f>
        <v>3511224.8296447843</v>
      </c>
      <c r="BZ118" s="65">
        <f>Таблица1[[#This Row],[Т2]]+Таблица1[[#This Row],[Lдуг 2,мм]]</f>
        <v>3512288.999300295</v>
      </c>
      <c r="CA118" s="65">
        <f>Таблица1[[#This Row],[Т3]]+Таблица1[[#This Row],[Lпрям2, мм]]</f>
        <v>3516010.999300295</v>
      </c>
      <c r="CB118" s="65">
        <f>Таблица1[[#This Row],[Т4]]+Таблица1[[#This Row],[Lдуг 3,мм]]</f>
        <v>3517138.0067687137</v>
      </c>
      <c r="CC118" s="65">
        <f>Таблица1[[#This Row],[Т5]]+Таблица1[[#This Row],[Lпрям3, мм]]</f>
        <v>3518982.666771424</v>
      </c>
      <c r="CD118" s="65">
        <f>Таблица1[[#This Row],[Т6]]+Таблица1[[#This Row],[Lдуг 4,мм]]</f>
        <v>3520109.7520319559</v>
      </c>
      <c r="CE118" s="65">
        <f>Таблица1[[#This Row],[Т7]]+Таблица1[[#This Row],[Lпрям4, мм]]</f>
        <v>3520859.852031956</v>
      </c>
      <c r="CF118" s="72">
        <f>Таблица1[[#This Row],[Т8]]+Таблица1[[#This Row],[Lдуг 5,мм]]</f>
        <v>3521597.0188406613</v>
      </c>
      <c r="CG118" s="65">
        <f>Таблица1[[#This Row],[Т9]]+Таблица1[[#This Row],[Lпрям5, мм]]</f>
        <v>3525200.9492409281</v>
      </c>
      <c r="CH118" s="65">
        <f>Таблица1[[#This Row],[Т10]]+Таблица1[[#This Row],[Lдуг 6,мм]]</f>
        <v>3527065.1624086797</v>
      </c>
      <c r="CI118" s="66">
        <f>Таблица1[[#This Row],[Т11]]+Таблица1[[#This Row],[Lпрям6, мм]]</f>
        <v>3528386.841860381</v>
      </c>
      <c r="CJ118" s="64">
        <f>Таблица1[[#This Row],[Т12]]-Таблица1[[#This Row],[Т12]]</f>
        <v>0</v>
      </c>
      <c r="CK118" s="65">
        <f>Таблица1[[#This Row],[Т12]]-Таблица1[[#This Row],[Т11]]</f>
        <v>1321.6794517012313</v>
      </c>
      <c r="CL118" s="65">
        <f>Таблица1[[#This Row],[Т12]]-Таблица1[[#This Row],[Т10]]</f>
        <v>3185.8926194529049</v>
      </c>
      <c r="CM118" s="65">
        <f>Таблица1[[#This Row],[Т12]]-Таблица1[[#This Row],[Т9]]</f>
        <v>6789.8230197196826</v>
      </c>
      <c r="CN118" s="65">
        <f>Таблица1[[#This Row],[Т12]]-Таблица1[[#This Row],[Т8]]</f>
        <v>7526.9898284249939</v>
      </c>
      <c r="CO118" s="65">
        <f>Таблица1[[#This Row],[Т12]]-Таблица1[[#This Row],[Т7]]</f>
        <v>8277.089828425087</v>
      </c>
      <c r="CP118" s="65">
        <f>Таблица1[[#This Row],[Т12]]-Таблица1[[#This Row],[Т6]]</f>
        <v>9404.1750889569521</v>
      </c>
      <c r="CQ118" s="65">
        <f>Таблица1[[#This Row],[Т12]]-Таблица1[[#This Row],[Т5]]</f>
        <v>11248.83509166725</v>
      </c>
      <c r="CR118" s="65">
        <f>Таблица1[[#This Row],[Т12]]-Таблица1[[#This Row],[Т4]]</f>
        <v>12375.842560085934</v>
      </c>
      <c r="CS118" s="65">
        <f>Таблица1[[#This Row],[Т12]]-Таблица1[[#This Row],[Т3]]</f>
        <v>16097.842560085934</v>
      </c>
      <c r="CT118" s="65">
        <f>Таблица1[[#This Row],[Т12]]-Таблица1[[#This Row],[Т2]]</f>
        <v>17162.012215596624</v>
      </c>
      <c r="CU118" s="65">
        <f>Таблица1[[#This Row],[Т12]]-Таблица1[[#This Row],[Т1]]</f>
        <v>19048.312031963374</v>
      </c>
      <c r="CV118" s="65">
        <f>Таблица1[[#This Row],[Lкан_леб,мм]]+Таблица1[[#This Row],[Lкан_дуг, мм]]+Таблица1[[#This Row],[Lкан_прям, мм]]</f>
        <v>3528386.841860381</v>
      </c>
      <c r="CW118" s="60">
        <f>3511128.4-(Таблица1[[#This Row],[Lкан_леб,мм]]+Таблица1[[#This Row],[∆Lлеб из за стрел]])</f>
        <v>1789.8701715823263</v>
      </c>
    </row>
    <row r="119" spans="1:101" x14ac:dyDescent="0.25">
      <c r="A119">
        <v>118</v>
      </c>
      <c r="B119">
        <v>109.67785234899293</v>
      </c>
      <c r="C119">
        <v>-19.66785234899293</v>
      </c>
      <c r="D119">
        <v>-3222.7948271648538</v>
      </c>
      <c r="E119">
        <v>6120.8553781772553</v>
      </c>
      <c r="F119">
        <v>-2505.1616694717522</v>
      </c>
      <c r="G119">
        <v>5357.9806171716036</v>
      </c>
      <c r="H119">
        <v>-2505.2953171648537</v>
      </c>
      <c r="I119">
        <v>4799.1759319045295</v>
      </c>
      <c r="J119">
        <v>1321.679446272726</v>
      </c>
      <c r="K119">
        <v>13060.729749491142</v>
      </c>
      <c r="L119">
        <v>5936.6796846677025</v>
      </c>
      <c r="M119">
        <v>3509389.4324262221</v>
      </c>
      <c r="N119">
        <v>0</v>
      </c>
      <c r="O119">
        <v>8</v>
      </c>
      <c r="P119">
        <v>-3322.5</v>
      </c>
      <c r="Q119">
        <v>-2811.96</v>
      </c>
      <c r="R119">
        <v>-3280</v>
      </c>
      <c r="S119">
        <v>-914.66</v>
      </c>
      <c r="T119">
        <v>-7002</v>
      </c>
      <c r="U119">
        <v>520.34</v>
      </c>
      <c r="V119">
        <v>-7002.1</v>
      </c>
      <c r="W119">
        <v>2365</v>
      </c>
      <c r="X119">
        <v>-6252</v>
      </c>
      <c r="Y119">
        <v>3800</v>
      </c>
      <c r="Z119">
        <v>-3222.7948271648538</v>
      </c>
      <c r="AA119">
        <v>6120.8553781772553</v>
      </c>
      <c r="AB119">
        <v>0</v>
      </c>
      <c r="AC119">
        <v>1064.1696555107644</v>
      </c>
      <c r="AD119">
        <v>1127.0074684186504</v>
      </c>
      <c r="AE119">
        <v>1127.0852605320265</v>
      </c>
      <c r="AF119">
        <v>745.68547057981164</v>
      </c>
      <c r="AG119">
        <v>1872.7318296264502</v>
      </c>
      <c r="AH119">
        <v>1886.2998163666878</v>
      </c>
      <c r="AI119">
        <v>3721.9999999999995</v>
      </c>
      <c r="AJ119">
        <v>1844.6600027105269</v>
      </c>
      <c r="AK119">
        <v>750.10000000000059</v>
      </c>
      <c r="AL119">
        <v>3535.9904787125051</v>
      </c>
      <c r="AM119">
        <v>1321.6794517014216</v>
      </c>
      <c r="AN119">
        <v>-95.021003558665456</v>
      </c>
      <c r="AO119">
        <v>-180</v>
      </c>
      <c r="AP119">
        <v>-90.003106034687008</v>
      </c>
      <c r="AQ119">
        <v>1.2722218725854067E-14</v>
      </c>
      <c r="AR119">
        <v>-59.546523077978968</v>
      </c>
      <c r="AS119">
        <v>89.999999566492605</v>
      </c>
      <c r="AT119">
        <v>-2400.1625746957502</v>
      </c>
      <c r="AU119">
        <v>-3280</v>
      </c>
      <c r="AV119">
        <v>-7719.4999989457119</v>
      </c>
      <c r="AW119">
        <v>-7002.1</v>
      </c>
      <c r="AX119">
        <v>-5633.4855912493931</v>
      </c>
      <c r="AY119">
        <v>-2505.2948271648538</v>
      </c>
      <c r="AZ119">
        <v>-2730.9252207921031</v>
      </c>
      <c r="BA119">
        <v>-197.16</v>
      </c>
      <c r="BB119">
        <v>520.3011039433311</v>
      </c>
      <c r="BC119">
        <v>3082.5000000000005</v>
      </c>
      <c r="BD119">
        <v>3436.3433265181466</v>
      </c>
      <c r="BE119">
        <v>6120.8553836059546</v>
      </c>
      <c r="BF119">
        <v>-2565.2532760267472</v>
      </c>
      <c r="BG119">
        <v>-7002</v>
      </c>
      <c r="BH119">
        <v>-7719.5999989457123</v>
      </c>
      <c r="BI119">
        <v>-6252</v>
      </c>
      <c r="BJ119">
        <v>-3841.3092359154607</v>
      </c>
      <c r="BK119">
        <v>-2505.2948171648536</v>
      </c>
      <c r="BL119">
        <v>-851.86373761518519</v>
      </c>
      <c r="BM119">
        <v>-197.16</v>
      </c>
      <c r="BN119">
        <v>2364.9611039433312</v>
      </c>
      <c r="BO119">
        <v>3082.5000000000005</v>
      </c>
      <c r="BP119">
        <v>6484.5120516591087</v>
      </c>
      <c r="BQ119">
        <v>4799.1759319045332</v>
      </c>
      <c r="BR119">
        <v>0</v>
      </c>
      <c r="BS119">
        <v>84.97899644133453</v>
      </c>
      <c r="BT119">
        <v>89.996893965312992</v>
      </c>
      <c r="BU119">
        <v>90.003106034687022</v>
      </c>
      <c r="BV119">
        <v>59.546523077978982</v>
      </c>
      <c r="BW119">
        <v>149.54652264447157</v>
      </c>
      <c r="BX119" s="69">
        <f>Таблица1[[#This Row],[Lкан_леб,мм]]</f>
        <v>3509389.4324262221</v>
      </c>
      <c r="BY119" s="65">
        <f>Таблица1[[#This Row],[Т1]]+Таблица1[[#This Row],[Lпрям1, мм]]</f>
        <v>3511275.7322425889</v>
      </c>
      <c r="BZ119" s="65">
        <f>Таблица1[[#This Row],[Т2]]+Таблица1[[#This Row],[Lдуг 2,мм]]</f>
        <v>3512339.9018980996</v>
      </c>
      <c r="CA119" s="65">
        <f>Таблица1[[#This Row],[Т3]]+Таблица1[[#This Row],[Lпрям2, мм]]</f>
        <v>3516061.9018980996</v>
      </c>
      <c r="CB119" s="65">
        <f>Таблица1[[#This Row],[Т4]]+Таблица1[[#This Row],[Lдуг 3,мм]]</f>
        <v>3517188.9093665183</v>
      </c>
      <c r="CC119" s="65">
        <f>Таблица1[[#This Row],[Т5]]+Таблица1[[#This Row],[Lпрям3, мм]]</f>
        <v>3519033.5693692286</v>
      </c>
      <c r="CD119" s="65">
        <f>Таблица1[[#This Row],[Т6]]+Таблица1[[#This Row],[Lдуг 4,мм]]</f>
        <v>3520160.6546297604</v>
      </c>
      <c r="CE119" s="65">
        <f>Таблица1[[#This Row],[Т7]]+Таблица1[[#This Row],[Lпрям4, мм]]</f>
        <v>3520910.7546297605</v>
      </c>
      <c r="CF119" s="72">
        <f>Таблица1[[#This Row],[Т8]]+Таблица1[[#This Row],[Lдуг 5,мм]]</f>
        <v>3521656.4401003402</v>
      </c>
      <c r="CG119" s="65">
        <f>Таблица1[[#This Row],[Т9]]+Таблица1[[#This Row],[Lпрям5, мм]]</f>
        <v>3525192.4305790528</v>
      </c>
      <c r="CH119" s="65">
        <f>Таблица1[[#This Row],[Т10]]+Таблица1[[#This Row],[Lдуг 6,мм]]</f>
        <v>3527065.1624086793</v>
      </c>
      <c r="CI119" s="66">
        <f>Таблица1[[#This Row],[Т11]]+Таблица1[[#This Row],[Lпрям6, мм]]</f>
        <v>3528386.8418603805</v>
      </c>
      <c r="CJ119" s="64">
        <f>Таблица1[[#This Row],[Т12]]-Таблица1[[#This Row],[Т12]]</f>
        <v>0</v>
      </c>
      <c r="CK119" s="65">
        <f>Таблица1[[#This Row],[Т12]]-Таблица1[[#This Row],[Т11]]</f>
        <v>1321.6794517012313</v>
      </c>
      <c r="CL119" s="65">
        <f>Таблица1[[#This Row],[Т12]]-Таблица1[[#This Row],[Т10]]</f>
        <v>3194.411281327717</v>
      </c>
      <c r="CM119" s="65">
        <f>Таблица1[[#This Row],[Т12]]-Таблица1[[#This Row],[Т9]]</f>
        <v>6730.4017600403167</v>
      </c>
      <c r="CN119" s="65">
        <f>Таблица1[[#This Row],[Т12]]-Таблица1[[#This Row],[Т8]]</f>
        <v>7476.0872306199744</v>
      </c>
      <c r="CO119" s="65">
        <f>Таблица1[[#This Row],[Т12]]-Таблица1[[#This Row],[Т7]]</f>
        <v>8226.1872306200676</v>
      </c>
      <c r="CP119" s="65">
        <f>Таблица1[[#This Row],[Т12]]-Таблица1[[#This Row],[Т6]]</f>
        <v>9353.2724911519326</v>
      </c>
      <c r="CQ119" s="65">
        <f>Таблица1[[#This Row],[Т12]]-Таблица1[[#This Row],[Т5]]</f>
        <v>11197.93249386223</v>
      </c>
      <c r="CR119" s="65">
        <f>Таблица1[[#This Row],[Т12]]-Таблица1[[#This Row],[Т4]]</f>
        <v>12324.939962280914</v>
      </c>
      <c r="CS119" s="65">
        <f>Таблица1[[#This Row],[Т12]]-Таблица1[[#This Row],[Т3]]</f>
        <v>16046.939962280914</v>
      </c>
      <c r="CT119" s="65">
        <f>Таблица1[[#This Row],[Т12]]-Таблица1[[#This Row],[Т2]]</f>
        <v>17111.109617791604</v>
      </c>
      <c r="CU119" s="65">
        <f>Таблица1[[#This Row],[Т12]]-Таблица1[[#This Row],[Т1]]</f>
        <v>18997.409434158355</v>
      </c>
      <c r="CV119" s="65">
        <f>Таблица1[[#This Row],[Lкан_леб,мм]]+Таблица1[[#This Row],[Lкан_дуг, мм]]+Таблица1[[#This Row],[Lкан_прям, мм]]</f>
        <v>3528386.841860381</v>
      </c>
      <c r="CW119" s="60">
        <f>3511128.4-(Таблица1[[#This Row],[Lкан_леб,мм]]+Таблица1[[#This Row],[∆Lлеб из за стрел]])</f>
        <v>1738.9675737777725</v>
      </c>
    </row>
    <row r="120" spans="1:101" x14ac:dyDescent="0.25">
      <c r="A120">
        <v>119</v>
      </c>
      <c r="B120">
        <v>110.18791946308689</v>
      </c>
      <c r="C120">
        <v>-20.177919463086887</v>
      </c>
      <c r="D120">
        <v>-3285.0644184214771</v>
      </c>
      <c r="E120">
        <v>6098.2736682311597</v>
      </c>
      <c r="F120">
        <v>-2567.4312607283759</v>
      </c>
      <c r="G120">
        <v>5335.398907225509</v>
      </c>
      <c r="H120">
        <v>-2567.564908421477</v>
      </c>
      <c r="I120">
        <v>4776.5942219584558</v>
      </c>
      <c r="J120">
        <v>1321.6794462727037</v>
      </c>
      <c r="K120">
        <v>12992.525826972837</v>
      </c>
      <c r="L120">
        <v>5954.1129460437587</v>
      </c>
      <c r="M120">
        <v>3509440.2030873643</v>
      </c>
      <c r="N120">
        <v>0</v>
      </c>
      <c r="O120">
        <v>8</v>
      </c>
      <c r="P120">
        <v>-3322.5</v>
      </c>
      <c r="Q120">
        <v>-2811.96</v>
      </c>
      <c r="R120">
        <v>-3280</v>
      </c>
      <c r="S120">
        <v>-914.66</v>
      </c>
      <c r="T120">
        <v>-7002</v>
      </c>
      <c r="U120">
        <v>520.34</v>
      </c>
      <c r="V120">
        <v>-7002.1</v>
      </c>
      <c r="W120">
        <v>2365</v>
      </c>
      <c r="X120">
        <v>-6252</v>
      </c>
      <c r="Y120">
        <v>3800</v>
      </c>
      <c r="Z120">
        <v>-3285.0644184214771</v>
      </c>
      <c r="AA120">
        <v>6098.2736682311597</v>
      </c>
      <c r="AB120">
        <v>0</v>
      </c>
      <c r="AC120">
        <v>1064.1696555107644</v>
      </c>
      <c r="AD120">
        <v>1127.0074684186504</v>
      </c>
      <c r="AE120">
        <v>1127.0852605320265</v>
      </c>
      <c r="AF120">
        <v>754.40210126783927</v>
      </c>
      <c r="AG120">
        <v>1881.4484603144783</v>
      </c>
      <c r="AH120">
        <v>1886.2998163666878</v>
      </c>
      <c r="AI120">
        <v>3721.9999999999995</v>
      </c>
      <c r="AJ120">
        <v>1844.6600027105269</v>
      </c>
      <c r="AK120">
        <v>750.10000000000059</v>
      </c>
      <c r="AL120">
        <v>3467.786556194224</v>
      </c>
      <c r="AM120">
        <v>1321.6794517013993</v>
      </c>
      <c r="AN120">
        <v>-95.021003558665456</v>
      </c>
      <c r="AO120">
        <v>-180</v>
      </c>
      <c r="AP120">
        <v>-90.003106034687008</v>
      </c>
      <c r="AQ120">
        <v>1.2722218725854067E-14</v>
      </c>
      <c r="AR120">
        <v>-60.242587398533949</v>
      </c>
      <c r="AS120">
        <v>89.999999566492619</v>
      </c>
      <c r="AT120">
        <v>-2400.1625746957502</v>
      </c>
      <c r="AU120">
        <v>-3280</v>
      </c>
      <c r="AV120">
        <v>-7719.4999989457119</v>
      </c>
      <c r="AW120">
        <v>-7002.1</v>
      </c>
      <c r="AX120">
        <v>-5629.1134176408241</v>
      </c>
      <c r="AY120">
        <v>-2567.5644184214771</v>
      </c>
      <c r="AZ120">
        <v>-2730.9252207921031</v>
      </c>
      <c r="BA120">
        <v>-197.16</v>
      </c>
      <c r="BB120">
        <v>520.3011039433311</v>
      </c>
      <c r="BC120">
        <v>3082.5000000000005</v>
      </c>
      <c r="BD120">
        <v>3443.8840701163363</v>
      </c>
      <c r="BE120">
        <v>6098.273673659859</v>
      </c>
      <c r="BF120">
        <v>-2565.2532760267472</v>
      </c>
      <c r="BG120">
        <v>-7002</v>
      </c>
      <c r="BH120">
        <v>-7719.5999989457123</v>
      </c>
      <c r="BI120">
        <v>-6252</v>
      </c>
      <c r="BJ120">
        <v>-3907.9510007806525</v>
      </c>
      <c r="BK120">
        <v>-2567.5644084214769</v>
      </c>
      <c r="BL120">
        <v>-851.86373761518519</v>
      </c>
      <c r="BM120">
        <v>-197.16</v>
      </c>
      <c r="BN120">
        <v>2364.9611039433312</v>
      </c>
      <c r="BO120">
        <v>3082.5000000000005</v>
      </c>
      <c r="BP120">
        <v>6454.3895981148235</v>
      </c>
      <c r="BQ120">
        <v>4776.5942219584595</v>
      </c>
      <c r="BR120">
        <v>0</v>
      </c>
      <c r="BS120">
        <v>84.97899644133453</v>
      </c>
      <c r="BT120">
        <v>89.996893965312992</v>
      </c>
      <c r="BU120">
        <v>90.003106034687022</v>
      </c>
      <c r="BV120">
        <v>60.242587398533963</v>
      </c>
      <c r="BW120">
        <v>150.24258696502656</v>
      </c>
      <c r="BX120" s="69">
        <f>Таблица1[[#This Row],[Lкан_леб,мм]]</f>
        <v>3509440.2030873643</v>
      </c>
      <c r="BY120" s="65">
        <f>Таблица1[[#This Row],[Т1]]+Таблица1[[#This Row],[Lпрям1, мм]]</f>
        <v>3511326.5029037311</v>
      </c>
      <c r="BZ120" s="65">
        <f>Таблица1[[#This Row],[Т2]]+Таблица1[[#This Row],[Lдуг 2,мм]]</f>
        <v>3512390.6725592418</v>
      </c>
      <c r="CA120" s="65">
        <f>Таблица1[[#This Row],[Т3]]+Таблица1[[#This Row],[Lпрям2, мм]]</f>
        <v>3516112.6725592418</v>
      </c>
      <c r="CB120" s="65">
        <f>Таблица1[[#This Row],[Т4]]+Таблица1[[#This Row],[Lдуг 3,мм]]</f>
        <v>3517239.6800276604</v>
      </c>
      <c r="CC120" s="65">
        <f>Таблица1[[#This Row],[Т5]]+Таблица1[[#This Row],[Lпрям3, мм]]</f>
        <v>3519084.3400303707</v>
      </c>
      <c r="CD120" s="65">
        <f>Таблица1[[#This Row],[Т6]]+Таблица1[[#This Row],[Lдуг 4,мм]]</f>
        <v>3520211.4252909026</v>
      </c>
      <c r="CE120" s="65">
        <f>Таблица1[[#This Row],[Т7]]+Таблица1[[#This Row],[Lпрям4, мм]]</f>
        <v>3520961.5252909027</v>
      </c>
      <c r="CF120" s="72">
        <f>Таблица1[[#This Row],[Т8]]+Таблица1[[#This Row],[Lдуг 5,мм]]</f>
        <v>3521715.9273921708</v>
      </c>
      <c r="CG120" s="65">
        <f>Таблица1[[#This Row],[Т9]]+Таблица1[[#This Row],[Lпрям5, мм]]</f>
        <v>3525183.7139483648</v>
      </c>
      <c r="CH120" s="65">
        <f>Таблица1[[#This Row],[Т10]]+Таблица1[[#This Row],[Lдуг 6,мм]]</f>
        <v>3527065.1624086793</v>
      </c>
      <c r="CI120" s="66">
        <f>Таблица1[[#This Row],[Т11]]+Таблица1[[#This Row],[Lпрям6, мм]]</f>
        <v>3528386.8418603805</v>
      </c>
      <c r="CJ120" s="64">
        <f>Таблица1[[#This Row],[Т12]]-Таблица1[[#This Row],[Т12]]</f>
        <v>0</v>
      </c>
      <c r="CK120" s="65">
        <f>Таблица1[[#This Row],[Т12]]-Таблица1[[#This Row],[Т11]]</f>
        <v>1321.6794517012313</v>
      </c>
      <c r="CL120" s="65">
        <f>Таблица1[[#This Row],[Т12]]-Таблица1[[#This Row],[Т10]]</f>
        <v>3203.1279120156541</v>
      </c>
      <c r="CM120" s="65">
        <f>Таблица1[[#This Row],[Т12]]-Таблица1[[#This Row],[Т9]]</f>
        <v>6670.9144682097249</v>
      </c>
      <c r="CN120" s="65">
        <f>Таблица1[[#This Row],[Т12]]-Таблица1[[#This Row],[Т8]]</f>
        <v>7425.3165694777854</v>
      </c>
      <c r="CO120" s="65">
        <f>Таблица1[[#This Row],[Т12]]-Таблица1[[#This Row],[Т7]]</f>
        <v>8175.4165694778785</v>
      </c>
      <c r="CP120" s="65">
        <f>Таблица1[[#This Row],[Т12]]-Таблица1[[#This Row],[Т6]]</f>
        <v>9302.5018300097436</v>
      </c>
      <c r="CQ120" s="65">
        <f>Таблица1[[#This Row],[Т12]]-Таблица1[[#This Row],[Т5]]</f>
        <v>11147.161832720041</v>
      </c>
      <c r="CR120" s="65">
        <f>Таблица1[[#This Row],[Т12]]-Таблица1[[#This Row],[Т4]]</f>
        <v>12274.169301138725</v>
      </c>
      <c r="CS120" s="65">
        <f>Таблица1[[#This Row],[Т12]]-Таблица1[[#This Row],[Т3]]</f>
        <v>15996.169301138725</v>
      </c>
      <c r="CT120" s="65">
        <f>Таблица1[[#This Row],[Т12]]-Таблица1[[#This Row],[Т2]]</f>
        <v>17060.338956649415</v>
      </c>
      <c r="CU120" s="65">
        <f>Таблица1[[#This Row],[Т12]]-Таблица1[[#This Row],[Т1]]</f>
        <v>18946.638773016166</v>
      </c>
      <c r="CV120" s="65">
        <f>Таблица1[[#This Row],[Lкан_леб,мм]]+Таблица1[[#This Row],[Lкан_дуг, мм]]+Таблица1[[#This Row],[Lкан_прям, мм]]</f>
        <v>3528386.841860381</v>
      </c>
      <c r="CW120" s="60">
        <f>3511128.4-(Таблица1[[#This Row],[Lкан_леб,мм]]+Таблица1[[#This Row],[∆Lлеб из за стрел]])</f>
        <v>1688.1969126355834</v>
      </c>
    </row>
    <row r="121" spans="1:101" x14ac:dyDescent="0.25">
      <c r="A121">
        <v>120</v>
      </c>
      <c r="B121">
        <v>110.69798657718084</v>
      </c>
      <c r="C121">
        <v>-20.68798657718084</v>
      </c>
      <c r="D121">
        <v>-3347.1305145618244</v>
      </c>
      <c r="E121">
        <v>6075.1385146925804</v>
      </c>
      <c r="F121">
        <v>-2629.4973568687233</v>
      </c>
      <c r="G121">
        <v>5312.2637536869306</v>
      </c>
      <c r="H121">
        <v>-2629.6310045618243</v>
      </c>
      <c r="I121">
        <v>4753.4590684201912</v>
      </c>
      <c r="J121">
        <v>1321.6794462723892</v>
      </c>
      <c r="K121">
        <v>12924.047581077235</v>
      </c>
      <c r="L121">
        <v>5971.9650783304533</v>
      </c>
      <c r="M121">
        <v>3509490.8292009733</v>
      </c>
      <c r="N121">
        <v>0</v>
      </c>
      <c r="O121">
        <v>8</v>
      </c>
      <c r="P121">
        <v>-3322.5</v>
      </c>
      <c r="Q121">
        <v>-2811.96</v>
      </c>
      <c r="R121">
        <v>-3280</v>
      </c>
      <c r="S121">
        <v>-914.66</v>
      </c>
      <c r="T121">
        <v>-7002</v>
      </c>
      <c r="U121">
        <v>520.34</v>
      </c>
      <c r="V121">
        <v>-7002.1</v>
      </c>
      <c r="W121">
        <v>2365</v>
      </c>
      <c r="X121">
        <v>-6252</v>
      </c>
      <c r="Y121">
        <v>3800</v>
      </c>
      <c r="Z121">
        <v>-3347.1305145618244</v>
      </c>
      <c r="AA121">
        <v>6075.1385146925804</v>
      </c>
      <c r="AB121">
        <v>0</v>
      </c>
      <c r="AC121">
        <v>1064.1696555107644</v>
      </c>
      <c r="AD121">
        <v>1127.0074684186504</v>
      </c>
      <c r="AE121">
        <v>1127.0852605320265</v>
      </c>
      <c r="AF121">
        <v>763.3281674111862</v>
      </c>
      <c r="AG121">
        <v>1890.3745264578251</v>
      </c>
      <c r="AH121">
        <v>1886.2998163666878</v>
      </c>
      <c r="AI121">
        <v>3721.9999999999995</v>
      </c>
      <c r="AJ121">
        <v>1844.6600027105269</v>
      </c>
      <c r="AK121">
        <v>750.10000000000059</v>
      </c>
      <c r="AL121">
        <v>3399.3083102989367</v>
      </c>
      <c r="AM121">
        <v>1321.6794517010851</v>
      </c>
      <c r="AN121">
        <v>-95.021003558665456</v>
      </c>
      <c r="AO121">
        <v>-180</v>
      </c>
      <c r="AP121">
        <v>-90.003106034687008</v>
      </c>
      <c r="AQ121">
        <v>1.2722218725854067E-14</v>
      </c>
      <c r="AR121">
        <v>-60.955376133960293</v>
      </c>
      <c r="AS121">
        <v>89.999999566492605</v>
      </c>
      <c r="AT121">
        <v>-2400.1625746957502</v>
      </c>
      <c r="AU121">
        <v>-3280</v>
      </c>
      <c r="AV121">
        <v>-7719.4999989457119</v>
      </c>
      <c r="AW121">
        <v>-7002.1</v>
      </c>
      <c r="AX121">
        <v>-5624.7314683237473</v>
      </c>
      <c r="AY121">
        <v>-2629.6305145618248</v>
      </c>
      <c r="AZ121">
        <v>-2730.9252207921031</v>
      </c>
      <c r="BA121">
        <v>-197.16</v>
      </c>
      <c r="BB121">
        <v>520.3011039433311</v>
      </c>
      <c r="BC121">
        <v>3082.5000000000005</v>
      </c>
      <c r="BD121">
        <v>3451.6604541991846</v>
      </c>
      <c r="BE121">
        <v>6075.1385201212797</v>
      </c>
      <c r="BF121">
        <v>-2565.2532760267472</v>
      </c>
      <c r="BG121">
        <v>-7002</v>
      </c>
      <c r="BH121">
        <v>-7719.5999989457123</v>
      </c>
      <c r="BI121">
        <v>-6252</v>
      </c>
      <c r="BJ121">
        <v>-3974.3990462380771</v>
      </c>
      <c r="BK121">
        <v>-2629.6305045618242</v>
      </c>
      <c r="BL121">
        <v>-851.86373761518519</v>
      </c>
      <c r="BM121">
        <v>-197.16</v>
      </c>
      <c r="BN121">
        <v>2364.9611039433312</v>
      </c>
      <c r="BO121">
        <v>3082.5000000000005</v>
      </c>
      <c r="BP121">
        <v>6423.4780604933958</v>
      </c>
      <c r="BQ121">
        <v>4753.4590684201949</v>
      </c>
      <c r="BR121">
        <v>0</v>
      </c>
      <c r="BS121">
        <v>84.97899644133453</v>
      </c>
      <c r="BT121">
        <v>89.996893965312992</v>
      </c>
      <c r="BU121">
        <v>90.003106034687022</v>
      </c>
      <c r="BV121">
        <v>60.955376133960307</v>
      </c>
      <c r="BW121">
        <v>150.95537570045289</v>
      </c>
      <c r="BX121" s="69">
        <f>Таблица1[[#This Row],[Lкан_леб,мм]]</f>
        <v>3509490.8292009733</v>
      </c>
      <c r="BY121" s="65">
        <f>Таблица1[[#This Row],[Т1]]+Таблица1[[#This Row],[Lпрям1, мм]]</f>
        <v>3511377.12901734</v>
      </c>
      <c r="BZ121" s="65">
        <f>Таблица1[[#This Row],[Т2]]+Таблица1[[#This Row],[Lдуг 2,мм]]</f>
        <v>3512441.2986728507</v>
      </c>
      <c r="CA121" s="65">
        <f>Таблица1[[#This Row],[Т3]]+Таблица1[[#This Row],[Lпрям2, мм]]</f>
        <v>3516163.2986728507</v>
      </c>
      <c r="CB121" s="65">
        <f>Таблица1[[#This Row],[Т4]]+Таблица1[[#This Row],[Lдуг 3,мм]]</f>
        <v>3517290.3061412694</v>
      </c>
      <c r="CC121" s="65">
        <f>Таблица1[[#This Row],[Т5]]+Таблица1[[#This Row],[Lпрям3, мм]]</f>
        <v>3519134.9661439797</v>
      </c>
      <c r="CD121" s="65">
        <f>Таблица1[[#This Row],[Т6]]+Таблица1[[#This Row],[Lдуг 4,мм]]</f>
        <v>3520262.0514045116</v>
      </c>
      <c r="CE121" s="65">
        <f>Таблица1[[#This Row],[Т7]]+Таблица1[[#This Row],[Lпрям4, мм]]</f>
        <v>3521012.1514045116</v>
      </c>
      <c r="CF121" s="72">
        <f>Таблица1[[#This Row],[Т8]]+Таблица1[[#This Row],[Lдуг 5,мм]]</f>
        <v>3521775.4795719227</v>
      </c>
      <c r="CG121" s="65">
        <f>Таблица1[[#This Row],[Т9]]+Таблица1[[#This Row],[Lпрям5, мм]]</f>
        <v>3525174.7878822214</v>
      </c>
      <c r="CH121" s="65">
        <f>Таблица1[[#This Row],[Т10]]+Таблица1[[#This Row],[Lдуг 6,мм]]</f>
        <v>3527065.1624086793</v>
      </c>
      <c r="CI121" s="66">
        <f>Таблица1[[#This Row],[Т11]]+Таблица1[[#This Row],[Lпрям6, мм]]</f>
        <v>3528386.8418603805</v>
      </c>
      <c r="CJ121" s="64">
        <f>Таблица1[[#This Row],[Т12]]-Таблица1[[#This Row],[Т12]]</f>
        <v>0</v>
      </c>
      <c r="CK121" s="65">
        <f>Таблица1[[#This Row],[Т12]]-Таблица1[[#This Row],[Т11]]</f>
        <v>1321.6794517012313</v>
      </c>
      <c r="CL121" s="65">
        <f>Таблица1[[#This Row],[Т12]]-Таблица1[[#This Row],[Т10]]</f>
        <v>3212.0539781590924</v>
      </c>
      <c r="CM121" s="65">
        <f>Таблица1[[#This Row],[Т12]]-Таблица1[[#This Row],[Т9]]</f>
        <v>6611.3622884578072</v>
      </c>
      <c r="CN121" s="65">
        <f>Таблица1[[#This Row],[Т12]]-Таблица1[[#This Row],[Т8]]</f>
        <v>7374.6904558688402</v>
      </c>
      <c r="CO121" s="65">
        <f>Таблица1[[#This Row],[Т12]]-Таблица1[[#This Row],[Т7]]</f>
        <v>8124.7904558689333</v>
      </c>
      <c r="CP121" s="65">
        <f>Таблица1[[#This Row],[Т12]]-Таблица1[[#This Row],[Т6]]</f>
        <v>9251.8757164007984</v>
      </c>
      <c r="CQ121" s="65">
        <f>Таблица1[[#This Row],[Т12]]-Таблица1[[#This Row],[Т5]]</f>
        <v>11096.535719111096</v>
      </c>
      <c r="CR121" s="65">
        <f>Таблица1[[#This Row],[Т12]]-Таблица1[[#This Row],[Т4]]</f>
        <v>12223.54318752978</v>
      </c>
      <c r="CS121" s="65">
        <f>Таблица1[[#This Row],[Т12]]-Таблица1[[#This Row],[Т3]]</f>
        <v>15945.54318752978</v>
      </c>
      <c r="CT121" s="65">
        <f>Таблица1[[#This Row],[Т12]]-Таблица1[[#This Row],[Т2]]</f>
        <v>17009.71284304047</v>
      </c>
      <c r="CU121" s="65">
        <f>Таблица1[[#This Row],[Т12]]-Таблица1[[#This Row],[Т1]]</f>
        <v>18896.012659407221</v>
      </c>
      <c r="CV121" s="65">
        <f>Таблица1[[#This Row],[Lкан_леб,мм]]+Таблица1[[#This Row],[Lкан_дуг, мм]]+Таблица1[[#This Row],[Lкан_прям, мм]]</f>
        <v>3528386.841860381</v>
      </c>
      <c r="CW121" s="60">
        <f>3511128.4-(Таблица1[[#This Row],[Lкан_леб,мм]]+Таблица1[[#This Row],[∆Lлеб из за стрел]])</f>
        <v>1637.5707990266383</v>
      </c>
    </row>
    <row r="122" spans="1:101" x14ac:dyDescent="0.25">
      <c r="A122">
        <v>121</v>
      </c>
      <c r="B122">
        <v>111.2080536912748</v>
      </c>
      <c r="C122">
        <v>-21.198053691274797</v>
      </c>
      <c r="D122">
        <v>-3408.9881967657343</v>
      </c>
      <c r="E122">
        <v>6051.4517510530186</v>
      </c>
      <c r="F122">
        <v>-2691.3550390726327</v>
      </c>
      <c r="G122">
        <v>5288.5769900473679</v>
      </c>
      <c r="H122">
        <v>-2691.4886867657342</v>
      </c>
      <c r="I122">
        <v>4729.7723047803156</v>
      </c>
      <c r="J122">
        <v>1321.6794462727037</v>
      </c>
      <c r="K122">
        <v>12855.283685832863</v>
      </c>
      <c r="L122">
        <v>5990.2608760830008</v>
      </c>
      <c r="M122">
        <v>3509541.2972984649</v>
      </c>
      <c r="N122">
        <v>0</v>
      </c>
      <c r="O122">
        <v>8</v>
      </c>
      <c r="P122">
        <v>-3322.5</v>
      </c>
      <c r="Q122">
        <v>-2811.96</v>
      </c>
      <c r="R122">
        <v>-3280</v>
      </c>
      <c r="S122">
        <v>-914.66</v>
      </c>
      <c r="T122">
        <v>-7002</v>
      </c>
      <c r="U122">
        <v>520.34</v>
      </c>
      <c r="V122">
        <v>-7002.1</v>
      </c>
      <c r="W122">
        <v>2365</v>
      </c>
      <c r="X122">
        <v>-6252</v>
      </c>
      <c r="Y122">
        <v>3800</v>
      </c>
      <c r="Z122">
        <v>-3408.9881967657343</v>
      </c>
      <c r="AA122">
        <v>6051.4517510530186</v>
      </c>
      <c r="AB122">
        <v>0</v>
      </c>
      <c r="AC122">
        <v>1064.1696555107644</v>
      </c>
      <c r="AD122">
        <v>1127.0074684186504</v>
      </c>
      <c r="AE122">
        <v>1127.0852605320265</v>
      </c>
      <c r="AF122">
        <v>772.4760662874603</v>
      </c>
      <c r="AG122">
        <v>1899.5224253340994</v>
      </c>
      <c r="AH122">
        <v>1886.2998163666878</v>
      </c>
      <c r="AI122">
        <v>3721.9999999999995</v>
      </c>
      <c r="AJ122">
        <v>1844.6600027105269</v>
      </c>
      <c r="AK122">
        <v>750.10000000000059</v>
      </c>
      <c r="AL122">
        <v>3330.5444150542494</v>
      </c>
      <c r="AM122">
        <v>1321.6794517013993</v>
      </c>
      <c r="AN122">
        <v>-95.021003558665456</v>
      </c>
      <c r="AO122">
        <v>-180</v>
      </c>
      <c r="AP122">
        <v>-90.003106034687008</v>
      </c>
      <c r="AQ122">
        <v>1.2722218725854067E-14</v>
      </c>
      <c r="AR122">
        <v>-61.685879265699626</v>
      </c>
      <c r="AS122">
        <v>89.999999566492619</v>
      </c>
      <c r="AT122">
        <v>-2400.1625746957502</v>
      </c>
      <c r="AU122">
        <v>-3280</v>
      </c>
      <c r="AV122">
        <v>-7719.4999989457119</v>
      </c>
      <c r="AW122">
        <v>-7002.1</v>
      </c>
      <c r="AX122">
        <v>-5620.3413511773515</v>
      </c>
      <c r="AY122">
        <v>-2691.4881967657338</v>
      </c>
      <c r="AZ122">
        <v>-2730.9252207921031</v>
      </c>
      <c r="BA122">
        <v>-197.16</v>
      </c>
      <c r="BB122">
        <v>520.3011039433311</v>
      </c>
      <c r="BC122">
        <v>3082.5000000000005</v>
      </c>
      <c r="BD122">
        <v>3459.6860253125847</v>
      </c>
      <c r="BE122">
        <v>6051.4517564817179</v>
      </c>
      <c r="BF122">
        <v>-2565.2532760267472</v>
      </c>
      <c r="BG122">
        <v>-7002</v>
      </c>
      <c r="BH122">
        <v>-7719.5999989457123</v>
      </c>
      <c r="BI122">
        <v>-6252</v>
      </c>
      <c r="BJ122">
        <v>-4040.6468455883819</v>
      </c>
      <c r="BK122">
        <v>-2691.4881867657341</v>
      </c>
      <c r="BL122">
        <v>-851.86373761518519</v>
      </c>
      <c r="BM122">
        <v>-197.16</v>
      </c>
      <c r="BN122">
        <v>2364.9611039433312</v>
      </c>
      <c r="BO122">
        <v>3082.5000000000005</v>
      </c>
      <c r="BP122">
        <v>6391.7657257404353</v>
      </c>
      <c r="BQ122">
        <v>4729.7723047803183</v>
      </c>
      <c r="BR122">
        <v>0</v>
      </c>
      <c r="BS122">
        <v>84.97899644133453</v>
      </c>
      <c r="BT122">
        <v>89.996893965312992</v>
      </c>
      <c r="BU122">
        <v>90.003106034687022</v>
      </c>
      <c r="BV122">
        <v>61.68587926569964</v>
      </c>
      <c r="BW122">
        <v>151.68587883219226</v>
      </c>
      <c r="BX122" s="69">
        <f>Таблица1[[#This Row],[Lкан_леб,мм]]</f>
        <v>3509541.2972984649</v>
      </c>
      <c r="BY122" s="65">
        <f>Таблица1[[#This Row],[Т1]]+Таблица1[[#This Row],[Lпрям1, мм]]</f>
        <v>3511427.5971148317</v>
      </c>
      <c r="BZ122" s="65">
        <f>Таблица1[[#This Row],[Т2]]+Таблица1[[#This Row],[Lдуг 2,мм]]</f>
        <v>3512491.7667703424</v>
      </c>
      <c r="CA122" s="65">
        <f>Таблица1[[#This Row],[Т3]]+Таблица1[[#This Row],[Lпрям2, мм]]</f>
        <v>3516213.7667703424</v>
      </c>
      <c r="CB122" s="65">
        <f>Таблица1[[#This Row],[Т4]]+Таблица1[[#This Row],[Lдуг 3,мм]]</f>
        <v>3517340.774238761</v>
      </c>
      <c r="CC122" s="65">
        <f>Таблица1[[#This Row],[Т5]]+Таблица1[[#This Row],[Lпрям3, мм]]</f>
        <v>3519185.4342414713</v>
      </c>
      <c r="CD122" s="65">
        <f>Таблица1[[#This Row],[Т6]]+Таблица1[[#This Row],[Lдуг 4,мм]]</f>
        <v>3520312.5195020032</v>
      </c>
      <c r="CE122" s="65">
        <f>Таблица1[[#This Row],[Т7]]+Таблица1[[#This Row],[Lпрям4, мм]]</f>
        <v>3521062.6195020033</v>
      </c>
      <c r="CF122" s="72">
        <f>Таблица1[[#This Row],[Т8]]+Таблица1[[#This Row],[Lдуг 5,мм]]</f>
        <v>3521835.0955682909</v>
      </c>
      <c r="CG122" s="65">
        <f>Таблица1[[#This Row],[Т9]]+Таблица1[[#This Row],[Lпрям5, мм]]</f>
        <v>3525165.6399833453</v>
      </c>
      <c r="CH122" s="65">
        <f>Таблица1[[#This Row],[Т10]]+Таблица1[[#This Row],[Lдуг 6,мм]]</f>
        <v>3527065.1624086793</v>
      </c>
      <c r="CI122" s="66">
        <f>Таблица1[[#This Row],[Т11]]+Таблица1[[#This Row],[Lпрям6, мм]]</f>
        <v>3528386.8418603805</v>
      </c>
      <c r="CJ122" s="64">
        <f>Таблица1[[#This Row],[Т12]]-Таблица1[[#This Row],[Т12]]</f>
        <v>0</v>
      </c>
      <c r="CK122" s="65">
        <f>Таблица1[[#This Row],[Т12]]-Таблица1[[#This Row],[Т11]]</f>
        <v>1321.6794517012313</v>
      </c>
      <c r="CL122" s="65">
        <f>Таблица1[[#This Row],[Т12]]-Таблица1[[#This Row],[Т10]]</f>
        <v>3221.2018770352006</v>
      </c>
      <c r="CM122" s="65">
        <f>Таблица1[[#This Row],[Т12]]-Таблица1[[#This Row],[Т9]]</f>
        <v>6551.7462920895778</v>
      </c>
      <c r="CN122" s="65">
        <f>Таблица1[[#This Row],[Т12]]-Таблица1[[#This Row],[Т8]]</f>
        <v>7324.2223583771847</v>
      </c>
      <c r="CO122" s="65">
        <f>Таблица1[[#This Row],[Т12]]-Таблица1[[#This Row],[Т7]]</f>
        <v>8074.3223583772779</v>
      </c>
      <c r="CP122" s="65">
        <f>Таблица1[[#This Row],[Т12]]-Таблица1[[#This Row],[Т6]]</f>
        <v>9201.4076189091429</v>
      </c>
      <c r="CQ122" s="65">
        <f>Таблица1[[#This Row],[Т12]]-Таблица1[[#This Row],[Т5]]</f>
        <v>11046.067621619441</v>
      </c>
      <c r="CR122" s="65">
        <f>Таблица1[[#This Row],[Т12]]-Таблица1[[#This Row],[Т4]]</f>
        <v>12173.075090038124</v>
      </c>
      <c r="CS122" s="65">
        <f>Таблица1[[#This Row],[Т12]]-Таблица1[[#This Row],[Т3]]</f>
        <v>15895.075090038124</v>
      </c>
      <c r="CT122" s="65">
        <f>Таблица1[[#This Row],[Т12]]-Таблица1[[#This Row],[Т2]]</f>
        <v>16959.244745548815</v>
      </c>
      <c r="CU122" s="65">
        <f>Таблица1[[#This Row],[Т12]]-Таблица1[[#This Row],[Т1]]</f>
        <v>18845.544561915565</v>
      </c>
      <c r="CV122" s="65">
        <f>Таблица1[[#This Row],[Lкан_леб,мм]]+Таблица1[[#This Row],[Lкан_дуг, мм]]+Таблица1[[#This Row],[Lкан_прям, мм]]</f>
        <v>3528386.8418603805</v>
      </c>
      <c r="CW122" s="60">
        <f>3511128.4-(Таблица1[[#This Row],[Lкан_леб,мм]]+Таблица1[[#This Row],[∆Lлеб из за стрел]])</f>
        <v>1587.1027015349828</v>
      </c>
    </row>
    <row r="123" spans="1:101" x14ac:dyDescent="0.25">
      <c r="A123">
        <v>122</v>
      </c>
      <c r="B123">
        <v>111.71812080536876</v>
      </c>
      <c r="C123">
        <v>-21.708120805368754</v>
      </c>
      <c r="D123">
        <v>-3470.6325627301253</v>
      </c>
      <c r="E123">
        <v>6027.2152545197987</v>
      </c>
      <c r="F123">
        <v>-2752.9994050370237</v>
      </c>
      <c r="G123">
        <v>5264.3404935141471</v>
      </c>
      <c r="H123">
        <v>-2753.1330527301252</v>
      </c>
      <c r="I123">
        <v>4705.5358082469629</v>
      </c>
      <c r="J123">
        <v>1321.679446272836</v>
      </c>
      <c r="K123">
        <v>12786.221696160012</v>
      </c>
      <c r="L123">
        <v>6009.0271941738602</v>
      </c>
      <c r="M123">
        <v>3509591.5929700471</v>
      </c>
      <c r="N123">
        <v>0</v>
      </c>
      <c r="O123">
        <v>8</v>
      </c>
      <c r="P123">
        <v>-3322.5</v>
      </c>
      <c r="Q123">
        <v>-2811.96</v>
      </c>
      <c r="R123">
        <v>-3280</v>
      </c>
      <c r="S123">
        <v>-914.66</v>
      </c>
      <c r="T123">
        <v>-7002</v>
      </c>
      <c r="U123">
        <v>520.34</v>
      </c>
      <c r="V123">
        <v>-7002.1</v>
      </c>
      <c r="W123">
        <v>2365</v>
      </c>
      <c r="X123">
        <v>-6252</v>
      </c>
      <c r="Y123">
        <v>3800</v>
      </c>
      <c r="Z123">
        <v>-3470.6325627301253</v>
      </c>
      <c r="AA123">
        <v>6027.2152545197987</v>
      </c>
      <c r="AB123">
        <v>0</v>
      </c>
      <c r="AC123">
        <v>1064.1696555107644</v>
      </c>
      <c r="AD123">
        <v>1127.0074684186504</v>
      </c>
      <c r="AE123">
        <v>1127.0852605320265</v>
      </c>
      <c r="AF123">
        <v>781.85922533289011</v>
      </c>
      <c r="AG123">
        <v>1908.905584379529</v>
      </c>
      <c r="AH123">
        <v>1886.2998163666878</v>
      </c>
      <c r="AI123">
        <v>3721.9999999999995</v>
      </c>
      <c r="AJ123">
        <v>1844.6600027105269</v>
      </c>
      <c r="AK123">
        <v>750.10000000000059</v>
      </c>
      <c r="AL123">
        <v>3261.4824253812681</v>
      </c>
      <c r="AM123">
        <v>1321.6794517015317</v>
      </c>
      <c r="AN123">
        <v>-95.021003558665456</v>
      </c>
      <c r="AO123">
        <v>-180</v>
      </c>
      <c r="AP123">
        <v>-90.003106034687008</v>
      </c>
      <c r="AQ123">
        <v>1.2722218725854067E-14</v>
      </c>
      <c r="AR123">
        <v>-62.435169038247537</v>
      </c>
      <c r="AS123">
        <v>89.999999566492619</v>
      </c>
      <c r="AT123">
        <v>-2400.1625746957502</v>
      </c>
      <c r="AU123">
        <v>-3280</v>
      </c>
      <c r="AV123">
        <v>-7719.4999989457119</v>
      </c>
      <c r="AW123">
        <v>-7002.1</v>
      </c>
      <c r="AX123">
        <v>-5615.9450102737601</v>
      </c>
      <c r="AY123">
        <v>-2753.1325627301253</v>
      </c>
      <c r="AZ123">
        <v>-2730.9252207921031</v>
      </c>
      <c r="BA123">
        <v>-197.16</v>
      </c>
      <c r="BB123">
        <v>520.3011039433311</v>
      </c>
      <c r="BC123">
        <v>3082.5000000000005</v>
      </c>
      <c r="BD123">
        <v>3467.9754526479196</v>
      </c>
      <c r="BE123">
        <v>6027.215259948498</v>
      </c>
      <c r="BF123">
        <v>-2565.2532760267472</v>
      </c>
      <c r="BG123">
        <v>-7002</v>
      </c>
      <c r="BH123">
        <v>-7719.5999989457123</v>
      </c>
      <c r="BI123">
        <v>-6252</v>
      </c>
      <c r="BJ123">
        <v>-4106.6875524563638</v>
      </c>
      <c r="BK123">
        <v>-2753.1325527301251</v>
      </c>
      <c r="BL123">
        <v>-851.86373761518519</v>
      </c>
      <c r="BM123">
        <v>-197.16</v>
      </c>
      <c r="BN123">
        <v>2364.9611039433312</v>
      </c>
      <c r="BO123">
        <v>3082.5000000000005</v>
      </c>
      <c r="BP123">
        <v>6359.2398018718795</v>
      </c>
      <c r="BQ123">
        <v>4705.5358082469666</v>
      </c>
      <c r="BR123">
        <v>0</v>
      </c>
      <c r="BS123">
        <v>84.97899644133453</v>
      </c>
      <c r="BT123">
        <v>89.996893965312992</v>
      </c>
      <c r="BU123">
        <v>90.003106034687022</v>
      </c>
      <c r="BV123">
        <v>62.435169038247544</v>
      </c>
      <c r="BW123">
        <v>152.43516860474014</v>
      </c>
      <c r="BX123" s="69">
        <f>Таблица1[[#This Row],[Lкан_леб,мм]]</f>
        <v>3509591.5929700471</v>
      </c>
      <c r="BY123" s="65">
        <f>Таблица1[[#This Row],[Т1]]+Таблица1[[#This Row],[Lпрям1, мм]]</f>
        <v>3511477.8927864139</v>
      </c>
      <c r="BZ123" s="65">
        <f>Таблица1[[#This Row],[Т2]]+Таблица1[[#This Row],[Lдуг 2,мм]]</f>
        <v>3512542.0624419246</v>
      </c>
      <c r="CA123" s="65">
        <f>Таблица1[[#This Row],[Т3]]+Таблица1[[#This Row],[Lпрям2, мм]]</f>
        <v>3516264.0624419246</v>
      </c>
      <c r="CB123" s="65">
        <f>Таблица1[[#This Row],[Т4]]+Таблица1[[#This Row],[Lдуг 3,мм]]</f>
        <v>3517391.0699103433</v>
      </c>
      <c r="CC123" s="65">
        <f>Таблица1[[#This Row],[Т5]]+Таблица1[[#This Row],[Lпрям3, мм]]</f>
        <v>3519235.7299130536</v>
      </c>
      <c r="CD123" s="65">
        <f>Таблица1[[#This Row],[Т6]]+Таблица1[[#This Row],[Lдуг 4,мм]]</f>
        <v>3520362.8151735854</v>
      </c>
      <c r="CE123" s="65">
        <f>Таблица1[[#This Row],[Т7]]+Таблица1[[#This Row],[Lпрям4, мм]]</f>
        <v>3521112.9151735855</v>
      </c>
      <c r="CF123" s="72">
        <f>Таблица1[[#This Row],[Т8]]+Таблица1[[#This Row],[Lдуг 5,мм]]</f>
        <v>3521894.7743989183</v>
      </c>
      <c r="CG123" s="65">
        <f>Таблица1[[#This Row],[Т9]]+Таблица1[[#This Row],[Lпрям5, мм]]</f>
        <v>3525156.2568242997</v>
      </c>
      <c r="CH123" s="65">
        <f>Таблица1[[#This Row],[Т10]]+Таблица1[[#This Row],[Lдуг 6,мм]]</f>
        <v>3527065.1624086793</v>
      </c>
      <c r="CI123" s="66">
        <f>Таблица1[[#This Row],[Т11]]+Таблица1[[#This Row],[Lпрям6, мм]]</f>
        <v>3528386.841860381</v>
      </c>
      <c r="CJ123" s="64">
        <f>Таблица1[[#This Row],[Т12]]-Таблица1[[#This Row],[Т12]]</f>
        <v>0</v>
      </c>
      <c r="CK123" s="65">
        <f>Таблица1[[#This Row],[Т12]]-Таблица1[[#This Row],[Т11]]</f>
        <v>1321.679451701697</v>
      </c>
      <c r="CL123" s="65">
        <f>Таблица1[[#This Row],[Т12]]-Таблица1[[#This Row],[Т10]]</f>
        <v>3230.5850360812619</v>
      </c>
      <c r="CM123" s="65">
        <f>Таблица1[[#This Row],[Т12]]-Таблица1[[#This Row],[Т9]]</f>
        <v>6492.0674614626914</v>
      </c>
      <c r="CN123" s="65">
        <f>Таблица1[[#This Row],[Т12]]-Таблица1[[#This Row],[Т8]]</f>
        <v>7273.9266867954284</v>
      </c>
      <c r="CO123" s="65">
        <f>Таблица1[[#This Row],[Т12]]-Таблица1[[#This Row],[Т7]]</f>
        <v>8024.0266867955215</v>
      </c>
      <c r="CP123" s="65">
        <f>Таблица1[[#This Row],[Т12]]-Таблица1[[#This Row],[Т6]]</f>
        <v>9151.1119473273866</v>
      </c>
      <c r="CQ123" s="65">
        <f>Таблица1[[#This Row],[Т12]]-Таблица1[[#This Row],[Т5]]</f>
        <v>10995.771950037684</v>
      </c>
      <c r="CR123" s="65">
        <f>Таблица1[[#This Row],[Т12]]-Таблица1[[#This Row],[Т4]]</f>
        <v>12122.779418456368</v>
      </c>
      <c r="CS123" s="65">
        <f>Таблица1[[#This Row],[Т12]]-Таблица1[[#This Row],[Т3]]</f>
        <v>15844.779418456368</v>
      </c>
      <c r="CT123" s="65">
        <f>Таблица1[[#This Row],[Т12]]-Таблица1[[#This Row],[Т2]]</f>
        <v>16908.949073967058</v>
      </c>
      <c r="CU123" s="65">
        <f>Таблица1[[#This Row],[Т12]]-Таблица1[[#This Row],[Т1]]</f>
        <v>18795.248890333809</v>
      </c>
      <c r="CV123" s="65">
        <f>Таблица1[[#This Row],[Lкан_леб,мм]]+Таблица1[[#This Row],[Lкан_дуг, мм]]+Таблица1[[#This Row],[Lкан_прям, мм]]</f>
        <v>3528386.841860381</v>
      </c>
      <c r="CW123" s="60">
        <f>3511128.4-(Таблица1[[#This Row],[Lкан_леб,мм]]+Таблица1[[#This Row],[∆Lлеб из за стрел]])</f>
        <v>1536.8070299527608</v>
      </c>
    </row>
    <row r="124" spans="1:101" x14ac:dyDescent="0.25">
      <c r="A124">
        <v>123</v>
      </c>
      <c r="B124">
        <v>112.22818791946271</v>
      </c>
      <c r="C124">
        <v>-22.218187919462707</v>
      </c>
      <c r="D124">
        <v>-3532.0587270575083</v>
      </c>
      <c r="E124">
        <v>6002.4309458673115</v>
      </c>
      <c r="F124">
        <v>-2814.4255693644072</v>
      </c>
      <c r="G124">
        <v>5239.5561848616608</v>
      </c>
      <c r="H124">
        <v>-2814.5592170575082</v>
      </c>
      <c r="I124">
        <v>4680.7514995945367</v>
      </c>
      <c r="J124">
        <v>1321.6794462727748</v>
      </c>
      <c r="K124">
        <v>12716.847915478926</v>
      </c>
      <c r="L124">
        <v>6028.2931738429406</v>
      </c>
      <c r="M124">
        <v>3509641.7007710594</v>
      </c>
      <c r="N124">
        <v>0</v>
      </c>
      <c r="O124">
        <v>8</v>
      </c>
      <c r="P124">
        <v>-3322.5</v>
      </c>
      <c r="Q124">
        <v>-2811.96</v>
      </c>
      <c r="R124">
        <v>-3280</v>
      </c>
      <c r="S124">
        <v>-914.66</v>
      </c>
      <c r="T124">
        <v>-7002</v>
      </c>
      <c r="U124">
        <v>520.34</v>
      </c>
      <c r="V124">
        <v>-7002.1</v>
      </c>
      <c r="W124">
        <v>2365</v>
      </c>
      <c r="X124">
        <v>-6252</v>
      </c>
      <c r="Y124">
        <v>3800</v>
      </c>
      <c r="Z124">
        <v>-3532.0587270575083</v>
      </c>
      <c r="AA124">
        <v>6002.4309458673115</v>
      </c>
      <c r="AB124">
        <v>0</v>
      </c>
      <c r="AC124">
        <v>1064.1696555107644</v>
      </c>
      <c r="AD124">
        <v>1127.0074684186504</v>
      </c>
      <c r="AE124">
        <v>1127.0852605320265</v>
      </c>
      <c r="AF124">
        <v>791.49221516743</v>
      </c>
      <c r="AG124">
        <v>1918.5385742140691</v>
      </c>
      <c r="AH124">
        <v>1886.2998163666878</v>
      </c>
      <c r="AI124">
        <v>3721.9999999999995</v>
      </c>
      <c r="AJ124">
        <v>1844.6600027105269</v>
      </c>
      <c r="AK124">
        <v>750.10000000000059</v>
      </c>
      <c r="AL124">
        <v>3192.1086447002399</v>
      </c>
      <c r="AM124">
        <v>1321.6794517014705</v>
      </c>
      <c r="AN124">
        <v>-95.021003558665456</v>
      </c>
      <c r="AO124">
        <v>-180</v>
      </c>
      <c r="AP124">
        <v>-90.003106034687008</v>
      </c>
      <c r="AQ124">
        <v>1.2722218725854067E-14</v>
      </c>
      <c r="AR124">
        <v>-63.204408984744497</v>
      </c>
      <c r="AS124">
        <v>89.999999566492619</v>
      </c>
      <c r="AT124">
        <v>-2400.1625746957502</v>
      </c>
      <c r="AU124">
        <v>-3280</v>
      </c>
      <c r="AV124">
        <v>-7719.4999989457119</v>
      </c>
      <c r="AW124">
        <v>-7002.1</v>
      </c>
      <c r="AX124">
        <v>-5611.5447830543762</v>
      </c>
      <c r="AY124">
        <v>-2814.5587270575083</v>
      </c>
      <c r="AZ124">
        <v>-2730.9252207921031</v>
      </c>
      <c r="BA124">
        <v>-197.16</v>
      </c>
      <c r="BB124">
        <v>520.3011039433311</v>
      </c>
      <c r="BC124">
        <v>3082.5000000000005</v>
      </c>
      <c r="BD124">
        <v>3476.5446474594455</v>
      </c>
      <c r="BE124">
        <v>6002.4309512960108</v>
      </c>
      <c r="BF124">
        <v>-2565.2532760267472</v>
      </c>
      <c r="BG124">
        <v>-7002</v>
      </c>
      <c r="BH124">
        <v>-7719.5999989457123</v>
      </c>
      <c r="BI124">
        <v>-6252</v>
      </c>
      <c r="BJ124">
        <v>-4172.5139440031317</v>
      </c>
      <c r="BK124">
        <v>-2814.5587170575081</v>
      </c>
      <c r="BL124">
        <v>-851.86373761518519</v>
      </c>
      <c r="BM124">
        <v>-197.16</v>
      </c>
      <c r="BN124">
        <v>2364.9611039433312</v>
      </c>
      <c r="BO124">
        <v>3082.5000000000005</v>
      </c>
      <c r="BP124">
        <v>6325.8862984078669</v>
      </c>
      <c r="BQ124">
        <v>4680.7514995945403</v>
      </c>
      <c r="BR124">
        <v>0</v>
      </c>
      <c r="BS124">
        <v>84.97899644133453</v>
      </c>
      <c r="BT124">
        <v>89.996893965312992</v>
      </c>
      <c r="BU124">
        <v>90.003106034687022</v>
      </c>
      <c r="BV124">
        <v>63.204408984744511</v>
      </c>
      <c r="BW124">
        <v>153.20440855123709</v>
      </c>
      <c r="BX124" s="69">
        <f>Таблица1[[#This Row],[Lкан_леб,мм]]</f>
        <v>3509641.7007710594</v>
      </c>
      <c r="BY124" s="65">
        <f>Таблица1[[#This Row],[Т1]]+Таблица1[[#This Row],[Lпрям1, мм]]</f>
        <v>3511528.0005874261</v>
      </c>
      <c r="BZ124" s="65">
        <f>Таблица1[[#This Row],[Т2]]+Таблица1[[#This Row],[Lдуг 2,мм]]</f>
        <v>3512592.1702429368</v>
      </c>
      <c r="CA124" s="65">
        <f>Таблица1[[#This Row],[Т3]]+Таблица1[[#This Row],[Lпрям2, мм]]</f>
        <v>3516314.1702429368</v>
      </c>
      <c r="CB124" s="65">
        <f>Таблица1[[#This Row],[Т4]]+Таблица1[[#This Row],[Lдуг 3,мм]]</f>
        <v>3517441.1777113555</v>
      </c>
      <c r="CC124" s="65">
        <f>Таблица1[[#This Row],[Т5]]+Таблица1[[#This Row],[Lпрям3, мм]]</f>
        <v>3519285.8377140658</v>
      </c>
      <c r="CD124" s="65">
        <f>Таблица1[[#This Row],[Т6]]+Таблица1[[#This Row],[Lдуг 4,мм]]</f>
        <v>3520412.9229745977</v>
      </c>
      <c r="CE124" s="65">
        <f>Таблица1[[#This Row],[Т7]]+Таблица1[[#This Row],[Lпрям4, мм]]</f>
        <v>3521163.0229745978</v>
      </c>
      <c r="CF124" s="72">
        <f>Таблица1[[#This Row],[Т8]]+Таблица1[[#This Row],[Lдуг 5,мм]]</f>
        <v>3521954.515189765</v>
      </c>
      <c r="CG124" s="65">
        <f>Таблица1[[#This Row],[Т9]]+Таблица1[[#This Row],[Lпрям5, мм]]</f>
        <v>3525146.6238344652</v>
      </c>
      <c r="CH124" s="65">
        <f>Таблица1[[#This Row],[Т10]]+Таблица1[[#This Row],[Lдуг 6,мм]]</f>
        <v>3527065.1624086793</v>
      </c>
      <c r="CI124" s="66">
        <f>Таблица1[[#This Row],[Т11]]+Таблица1[[#This Row],[Lпрям6, мм]]</f>
        <v>3528386.841860381</v>
      </c>
      <c r="CJ124" s="64">
        <f>Таблица1[[#This Row],[Т12]]-Таблица1[[#This Row],[Т12]]</f>
        <v>0</v>
      </c>
      <c r="CK124" s="65">
        <f>Таблица1[[#This Row],[Т12]]-Таблица1[[#This Row],[Т11]]</f>
        <v>1321.679451701697</v>
      </c>
      <c r="CL124" s="65">
        <f>Таблица1[[#This Row],[Т12]]-Таблица1[[#This Row],[Т10]]</f>
        <v>3240.2180259157903</v>
      </c>
      <c r="CM124" s="65">
        <f>Таблица1[[#This Row],[Т12]]-Таблица1[[#This Row],[Т9]]</f>
        <v>6432.3266706159338</v>
      </c>
      <c r="CN124" s="65">
        <f>Таблица1[[#This Row],[Т12]]-Таблица1[[#This Row],[Т8]]</f>
        <v>7223.8188857831992</v>
      </c>
      <c r="CO124" s="65">
        <f>Таблица1[[#This Row],[Т12]]-Таблица1[[#This Row],[Т7]]</f>
        <v>7973.9188857832924</v>
      </c>
      <c r="CP124" s="65">
        <f>Таблица1[[#This Row],[Т12]]-Таблица1[[#This Row],[Т6]]</f>
        <v>9101.0041463151574</v>
      </c>
      <c r="CQ124" s="65">
        <f>Таблица1[[#This Row],[Т12]]-Таблица1[[#This Row],[Т5]]</f>
        <v>10945.664149025455</v>
      </c>
      <c r="CR124" s="65">
        <f>Таблица1[[#This Row],[Т12]]-Таблица1[[#This Row],[Т4]]</f>
        <v>12072.671617444139</v>
      </c>
      <c r="CS124" s="65">
        <f>Таблица1[[#This Row],[Т12]]-Таблица1[[#This Row],[Т3]]</f>
        <v>15794.671617444139</v>
      </c>
      <c r="CT124" s="65">
        <f>Таблица1[[#This Row],[Т12]]-Таблица1[[#This Row],[Т2]]</f>
        <v>16858.841272954829</v>
      </c>
      <c r="CU124" s="65">
        <f>Таблица1[[#This Row],[Т12]]-Таблица1[[#This Row],[Т1]]</f>
        <v>18745.14108932158</v>
      </c>
      <c r="CV124" s="65">
        <f>Таблица1[[#This Row],[Lкан_леб,мм]]+Таблица1[[#This Row],[Lкан_дуг, мм]]+Таблица1[[#This Row],[Lкан_прям, мм]]</f>
        <v>3528386.8418603814</v>
      </c>
      <c r="CW124" s="60">
        <f>3511128.4-(Таблица1[[#This Row],[Lкан_леб,мм]]+Таблица1[[#This Row],[∆Lлеб из за стрел]])</f>
        <v>1486.6992289405316</v>
      </c>
    </row>
    <row r="125" spans="1:101" x14ac:dyDescent="0.25">
      <c r="A125">
        <v>124</v>
      </c>
      <c r="B125">
        <v>112.73825503355667</v>
      </c>
      <c r="C125">
        <v>-22.728255033556664</v>
      </c>
      <c r="D125">
        <v>-3593.2618216431656</v>
      </c>
      <c r="E125">
        <v>5977.1007892847783</v>
      </c>
      <c r="F125">
        <v>-2875.628663950064</v>
      </c>
      <c r="G125">
        <v>5214.2260282791267</v>
      </c>
      <c r="H125">
        <v>-2875.7623116431655</v>
      </c>
      <c r="I125">
        <v>4655.4213430119744</v>
      </c>
      <c r="J125">
        <v>1321.6794462728033</v>
      </c>
      <c r="K125">
        <v>12647.14724344286</v>
      </c>
      <c r="L125">
        <v>6048.0905002797053</v>
      </c>
      <c r="M125">
        <v>3509691.6041166587</v>
      </c>
      <c r="N125">
        <v>0</v>
      </c>
      <c r="O125">
        <v>8</v>
      </c>
      <c r="P125">
        <v>-3322.5</v>
      </c>
      <c r="Q125">
        <v>-2811.96</v>
      </c>
      <c r="R125">
        <v>-3280</v>
      </c>
      <c r="S125">
        <v>-914.66</v>
      </c>
      <c r="T125">
        <v>-7002</v>
      </c>
      <c r="U125">
        <v>520.34</v>
      </c>
      <c r="V125">
        <v>-7002.1</v>
      </c>
      <c r="W125">
        <v>2365</v>
      </c>
      <c r="X125">
        <v>-6252</v>
      </c>
      <c r="Y125">
        <v>3800</v>
      </c>
      <c r="Z125">
        <v>-3593.2618216431656</v>
      </c>
      <c r="AA125">
        <v>5977.1007892847783</v>
      </c>
      <c r="AB125">
        <v>0</v>
      </c>
      <c r="AC125">
        <v>1064.1696555107644</v>
      </c>
      <c r="AD125">
        <v>1127.0074684186504</v>
      </c>
      <c r="AE125">
        <v>1127.0852605320265</v>
      </c>
      <c r="AF125">
        <v>801.39087838581236</v>
      </c>
      <c r="AG125">
        <v>1928.4372374324516</v>
      </c>
      <c r="AH125">
        <v>1886.2998163666878</v>
      </c>
      <c r="AI125">
        <v>3721.9999999999995</v>
      </c>
      <c r="AJ125">
        <v>1844.6600027105269</v>
      </c>
      <c r="AK125">
        <v>750.10000000000059</v>
      </c>
      <c r="AL125">
        <v>3122.4079726641457</v>
      </c>
      <c r="AM125">
        <v>1321.6794517014989</v>
      </c>
      <c r="AN125">
        <v>-95.021003558665456</v>
      </c>
      <c r="AO125">
        <v>-180</v>
      </c>
      <c r="AP125">
        <v>-90.003106034687008</v>
      </c>
      <c r="AQ125">
        <v>1.2722218725854067E-14</v>
      </c>
      <c r="AR125">
        <v>-63.994864211552418</v>
      </c>
      <c r="AS125">
        <v>89.999999566492619</v>
      </c>
      <c r="AT125">
        <v>-2400.1625746957502</v>
      </c>
      <c r="AU125">
        <v>-3280</v>
      </c>
      <c r="AV125">
        <v>-7719.4999989457119</v>
      </c>
      <c r="AW125">
        <v>-7002.1</v>
      </c>
      <c r="AX125">
        <v>-5607.1434678299493</v>
      </c>
      <c r="AY125">
        <v>-2875.7618216431656</v>
      </c>
      <c r="AZ125">
        <v>-2730.9252207921031</v>
      </c>
      <c r="BA125">
        <v>-197.16</v>
      </c>
      <c r="BB125">
        <v>520.3011039433311</v>
      </c>
      <c r="BC125">
        <v>3082.5000000000005</v>
      </c>
      <c r="BD125">
        <v>3485.4108982853722</v>
      </c>
      <c r="BE125">
        <v>5977.1007947134776</v>
      </c>
      <c r="BF125">
        <v>-2565.2532760267472</v>
      </c>
      <c r="BG125">
        <v>-7002</v>
      </c>
      <c r="BH125">
        <v>-7719.5999989457123</v>
      </c>
      <c r="BI125">
        <v>-6252</v>
      </c>
      <c r="BJ125">
        <v>-4238.1183538132163</v>
      </c>
      <c r="BK125">
        <v>-2875.7618116431654</v>
      </c>
      <c r="BL125">
        <v>-851.86373761518519</v>
      </c>
      <c r="BM125">
        <v>-197.16</v>
      </c>
      <c r="BN125">
        <v>2364.9611039433312</v>
      </c>
      <c r="BO125">
        <v>3082.5000000000005</v>
      </c>
      <c r="BP125">
        <v>6291.6898909994052</v>
      </c>
      <c r="BQ125">
        <v>4655.421343011978</v>
      </c>
      <c r="BR125">
        <v>0</v>
      </c>
      <c r="BS125">
        <v>84.97899644133453</v>
      </c>
      <c r="BT125">
        <v>89.996893965312992</v>
      </c>
      <c r="BU125">
        <v>90.003106034687022</v>
      </c>
      <c r="BV125">
        <v>63.994864211552432</v>
      </c>
      <c r="BW125">
        <v>153.99486377804504</v>
      </c>
      <c r="BX125" s="69">
        <f>Таблица1[[#This Row],[Lкан_леб,мм]]</f>
        <v>3509691.6041166587</v>
      </c>
      <c r="BY125" s="65">
        <f>Таблица1[[#This Row],[Т1]]+Таблица1[[#This Row],[Lпрям1, мм]]</f>
        <v>3511577.9039330254</v>
      </c>
      <c r="BZ125" s="65">
        <f>Таблица1[[#This Row],[Т2]]+Таблица1[[#This Row],[Lдуг 2,мм]]</f>
        <v>3512642.0735885361</v>
      </c>
      <c r="CA125" s="65">
        <f>Таблица1[[#This Row],[Т3]]+Таблица1[[#This Row],[Lпрям2, мм]]</f>
        <v>3516364.0735885361</v>
      </c>
      <c r="CB125" s="65">
        <f>Таблица1[[#This Row],[Т4]]+Таблица1[[#This Row],[Lдуг 3,мм]]</f>
        <v>3517491.0810569548</v>
      </c>
      <c r="CC125" s="65">
        <f>Таблица1[[#This Row],[Т5]]+Таблица1[[#This Row],[Lпрям3, мм]]</f>
        <v>3519335.7410596651</v>
      </c>
      <c r="CD125" s="65">
        <f>Таблица1[[#This Row],[Т6]]+Таблица1[[#This Row],[Lдуг 4,мм]]</f>
        <v>3520462.826320197</v>
      </c>
      <c r="CE125" s="65">
        <f>Таблица1[[#This Row],[Т7]]+Таблица1[[#This Row],[Lпрям4, мм]]</f>
        <v>3521212.9263201971</v>
      </c>
      <c r="CF125" s="72">
        <f>Таблица1[[#This Row],[Т8]]+Таблица1[[#This Row],[Lдуг 5,мм]]</f>
        <v>3522014.3171985829</v>
      </c>
      <c r="CG125" s="65">
        <f>Таблица1[[#This Row],[Т9]]+Таблица1[[#This Row],[Lпрям5, мм]]</f>
        <v>3525136.725171247</v>
      </c>
      <c r="CH125" s="65">
        <f>Таблица1[[#This Row],[Т10]]+Таблица1[[#This Row],[Lдуг 6,мм]]</f>
        <v>3527065.1624086793</v>
      </c>
      <c r="CI125" s="66">
        <f>Таблица1[[#This Row],[Т11]]+Таблица1[[#This Row],[Lпрям6, мм]]</f>
        <v>3528386.841860381</v>
      </c>
      <c r="CJ125" s="64">
        <f>Таблица1[[#This Row],[Т12]]-Таблица1[[#This Row],[Т12]]</f>
        <v>0</v>
      </c>
      <c r="CK125" s="65">
        <f>Таблица1[[#This Row],[Т12]]-Таблица1[[#This Row],[Т11]]</f>
        <v>1321.679451701697</v>
      </c>
      <c r="CL125" s="65">
        <f>Таблица1[[#This Row],[Т12]]-Таблица1[[#This Row],[Т10]]</f>
        <v>3250.1166891339235</v>
      </c>
      <c r="CM125" s="65">
        <f>Таблица1[[#This Row],[Т12]]-Таблица1[[#This Row],[Т9]]</f>
        <v>6372.5246617980301</v>
      </c>
      <c r="CN125" s="65">
        <f>Таблица1[[#This Row],[Т12]]-Таблица1[[#This Row],[Т8]]</f>
        <v>7173.9155401838943</v>
      </c>
      <c r="CO125" s="65">
        <f>Таблица1[[#This Row],[Т12]]-Таблица1[[#This Row],[Т7]]</f>
        <v>7924.0155401839875</v>
      </c>
      <c r="CP125" s="65">
        <f>Таблица1[[#This Row],[Т12]]-Таблица1[[#This Row],[Т6]]</f>
        <v>9051.1008007158525</v>
      </c>
      <c r="CQ125" s="65">
        <f>Таблица1[[#This Row],[Т12]]-Таблица1[[#This Row],[Т5]]</f>
        <v>10895.76080342615</v>
      </c>
      <c r="CR125" s="65">
        <f>Таблица1[[#This Row],[Т12]]-Таблица1[[#This Row],[Т4]]</f>
        <v>12022.768271844834</v>
      </c>
      <c r="CS125" s="65">
        <f>Таблица1[[#This Row],[Т12]]-Таблица1[[#This Row],[Т3]]</f>
        <v>15744.768271844834</v>
      </c>
      <c r="CT125" s="65">
        <f>Таблица1[[#This Row],[Т12]]-Таблица1[[#This Row],[Т2]]</f>
        <v>16808.937927355524</v>
      </c>
      <c r="CU125" s="65">
        <f>Таблица1[[#This Row],[Т12]]-Таблица1[[#This Row],[Т1]]</f>
        <v>18695.237743722275</v>
      </c>
      <c r="CV125" s="65">
        <f>Таблица1[[#This Row],[Lкан_леб,мм]]+Таблица1[[#This Row],[Lкан_дуг, мм]]+Таблица1[[#This Row],[Lкан_прям, мм]]</f>
        <v>3528386.8418603814</v>
      </c>
      <c r="CW125" s="60">
        <f>3511128.4-(Таблица1[[#This Row],[Lкан_леб,мм]]+Таблица1[[#This Row],[∆Lлеб из за стрел]])</f>
        <v>1436.7958833412267</v>
      </c>
    </row>
    <row r="126" spans="1:101" x14ac:dyDescent="0.25">
      <c r="A126">
        <v>125</v>
      </c>
      <c r="B126">
        <v>113.24832214765061</v>
      </c>
      <c r="C126">
        <v>-23.238322147650621</v>
      </c>
      <c r="D126">
        <v>-3654.2369960609476</v>
      </c>
      <c r="E126">
        <v>5951.2267922205911</v>
      </c>
      <c r="F126">
        <v>-2936.603838367846</v>
      </c>
      <c r="G126">
        <v>5188.3520312149403</v>
      </c>
      <c r="H126">
        <v>-2936.7374860609475</v>
      </c>
      <c r="I126">
        <v>4629.5473459480054</v>
      </c>
      <c r="J126">
        <v>1321.6794462725857</v>
      </c>
      <c r="K126">
        <v>12577.10300012042</v>
      </c>
      <c r="L126">
        <v>6068.4536971845346</v>
      </c>
      <c r="M126">
        <v>3509741.2851630761</v>
      </c>
      <c r="N126">
        <v>0</v>
      </c>
      <c r="O126">
        <v>8</v>
      </c>
      <c r="P126">
        <v>-3322.5</v>
      </c>
      <c r="Q126">
        <v>-2811.96</v>
      </c>
      <c r="R126">
        <v>-3280</v>
      </c>
      <c r="S126">
        <v>-914.66</v>
      </c>
      <c r="T126">
        <v>-7002</v>
      </c>
      <c r="U126">
        <v>520.34</v>
      </c>
      <c r="V126">
        <v>-7002.1</v>
      </c>
      <c r="W126">
        <v>2365</v>
      </c>
      <c r="X126">
        <v>-6252</v>
      </c>
      <c r="Y126">
        <v>3800</v>
      </c>
      <c r="Z126">
        <v>-3654.2369960609476</v>
      </c>
      <c r="AA126">
        <v>5951.2267922205911</v>
      </c>
      <c r="AB126">
        <v>0</v>
      </c>
      <c r="AC126">
        <v>1064.1696555107644</v>
      </c>
      <c r="AD126">
        <v>1127.0074684186504</v>
      </c>
      <c r="AE126">
        <v>1127.0852605320265</v>
      </c>
      <c r="AF126">
        <v>811.57247683822732</v>
      </c>
      <c r="AG126">
        <v>1938.6188358848663</v>
      </c>
      <c r="AH126">
        <v>1886.2998163666878</v>
      </c>
      <c r="AI126">
        <v>3721.9999999999995</v>
      </c>
      <c r="AJ126">
        <v>1844.6600027105269</v>
      </c>
      <c r="AK126">
        <v>750.10000000000059</v>
      </c>
      <c r="AL126">
        <v>3052.3637293419256</v>
      </c>
      <c r="AM126">
        <v>1321.6794517012813</v>
      </c>
      <c r="AN126">
        <v>-95.021003558665456</v>
      </c>
      <c r="AO126">
        <v>-180</v>
      </c>
      <c r="AP126">
        <v>-90.003106034687008</v>
      </c>
      <c r="AQ126">
        <v>1.2722218725854067E-14</v>
      </c>
      <c r="AR126">
        <v>-64.807913159315916</v>
      </c>
      <c r="AS126">
        <v>89.999999566492619</v>
      </c>
      <c r="AT126">
        <v>-2400.1625746957502</v>
      </c>
      <c r="AU126">
        <v>-3280</v>
      </c>
      <c r="AV126">
        <v>-7719.4999989457119</v>
      </c>
      <c r="AW126">
        <v>-7002.1</v>
      </c>
      <c r="AX126">
        <v>-5602.7444036972602</v>
      </c>
      <c r="AY126">
        <v>-2936.7369960609471</v>
      </c>
      <c r="AZ126">
        <v>-2730.9252207921031</v>
      </c>
      <c r="BA126">
        <v>-197.16</v>
      </c>
      <c r="BB126">
        <v>520.3011039433311</v>
      </c>
      <c r="BC126">
        <v>3082.5000000000005</v>
      </c>
      <c r="BD126">
        <v>3494.5930245237128</v>
      </c>
      <c r="BE126">
        <v>5951.2267976492903</v>
      </c>
      <c r="BF126">
        <v>-2565.2532760267472</v>
      </c>
      <c r="BG126">
        <v>-7002</v>
      </c>
      <c r="BH126">
        <v>-7719.5999989457123</v>
      </c>
      <c r="BI126">
        <v>-6252</v>
      </c>
      <c r="BJ126">
        <v>-4303.4925923636874</v>
      </c>
      <c r="BK126">
        <v>-2936.7369860609474</v>
      </c>
      <c r="BL126">
        <v>-851.86373761518519</v>
      </c>
      <c r="BM126">
        <v>-197.16</v>
      </c>
      <c r="BN126">
        <v>2364.9611039433312</v>
      </c>
      <c r="BO126">
        <v>3082.5000000000005</v>
      </c>
      <c r="BP126">
        <v>6256.6337676968787</v>
      </c>
      <c r="BQ126">
        <v>4629.547345948009</v>
      </c>
      <c r="BR126">
        <v>0</v>
      </c>
      <c r="BS126">
        <v>84.97899644133453</v>
      </c>
      <c r="BT126">
        <v>89.996893965312992</v>
      </c>
      <c r="BU126">
        <v>90.003106034687022</v>
      </c>
      <c r="BV126">
        <v>64.807913159315916</v>
      </c>
      <c r="BW126">
        <v>154.80791272580854</v>
      </c>
      <c r="BX126" s="69">
        <f>Таблица1[[#This Row],[Lкан_леб,мм]]</f>
        <v>3509741.2851630761</v>
      </c>
      <c r="BY126" s="65">
        <f>Таблица1[[#This Row],[Т1]]+Таблица1[[#This Row],[Lпрям1, мм]]</f>
        <v>3511627.5849794429</v>
      </c>
      <c r="BZ126" s="65">
        <f>Таблица1[[#This Row],[Т2]]+Таблица1[[#This Row],[Lдуг 2,мм]]</f>
        <v>3512691.7546349536</v>
      </c>
      <c r="CA126" s="65">
        <f>Таблица1[[#This Row],[Т3]]+Таблица1[[#This Row],[Lпрям2, мм]]</f>
        <v>3516413.7546349536</v>
      </c>
      <c r="CB126" s="65">
        <f>Таблица1[[#This Row],[Т4]]+Таблица1[[#This Row],[Lдуг 3,мм]]</f>
        <v>3517540.7621033723</v>
      </c>
      <c r="CC126" s="65">
        <f>Таблица1[[#This Row],[Т5]]+Таблица1[[#This Row],[Lпрям3, мм]]</f>
        <v>3519385.4221060826</v>
      </c>
      <c r="CD126" s="65">
        <f>Таблица1[[#This Row],[Т6]]+Таблица1[[#This Row],[Lдуг 4,мм]]</f>
        <v>3520512.5073666144</v>
      </c>
      <c r="CE126" s="65">
        <f>Таблица1[[#This Row],[Т7]]+Таблица1[[#This Row],[Lпрям4, мм]]</f>
        <v>3521262.6073666145</v>
      </c>
      <c r="CF126" s="72">
        <f>Таблица1[[#This Row],[Т8]]+Таблица1[[#This Row],[Lдуг 5,мм]]</f>
        <v>3522074.1798434528</v>
      </c>
      <c r="CG126" s="65">
        <f>Таблица1[[#This Row],[Т9]]+Таблица1[[#This Row],[Lпрям5, мм]]</f>
        <v>3525126.5435727946</v>
      </c>
      <c r="CH126" s="65">
        <f>Таблица1[[#This Row],[Т10]]+Таблица1[[#This Row],[Lдуг 6,мм]]</f>
        <v>3527065.1624086797</v>
      </c>
      <c r="CI126" s="66">
        <f>Таблица1[[#This Row],[Т11]]+Таблица1[[#This Row],[Lпрям6, мм]]</f>
        <v>3528386.841860381</v>
      </c>
      <c r="CJ126" s="64">
        <f>Таблица1[[#This Row],[Т12]]-Таблица1[[#This Row],[Т12]]</f>
        <v>0</v>
      </c>
      <c r="CK126" s="65">
        <f>Таблица1[[#This Row],[Т12]]-Таблица1[[#This Row],[Т11]]</f>
        <v>1321.6794517012313</v>
      </c>
      <c r="CL126" s="65">
        <f>Таблица1[[#This Row],[Т12]]-Таблица1[[#This Row],[Т10]]</f>
        <v>3260.298287586309</v>
      </c>
      <c r="CM126" s="65">
        <f>Таблица1[[#This Row],[Т12]]-Таблица1[[#This Row],[Т9]]</f>
        <v>6312.662016928196</v>
      </c>
      <c r="CN126" s="65">
        <f>Таблица1[[#This Row],[Т12]]-Таблица1[[#This Row],[Т8]]</f>
        <v>7124.2344937664457</v>
      </c>
      <c r="CO126" s="65">
        <f>Таблица1[[#This Row],[Т12]]-Таблица1[[#This Row],[Т7]]</f>
        <v>7874.3344937665388</v>
      </c>
      <c r="CP126" s="65">
        <f>Таблица1[[#This Row],[Т12]]-Таблица1[[#This Row],[Т6]]</f>
        <v>9001.4197542984039</v>
      </c>
      <c r="CQ126" s="65">
        <f>Таблица1[[#This Row],[Т12]]-Таблица1[[#This Row],[Т5]]</f>
        <v>10846.079757008702</v>
      </c>
      <c r="CR126" s="65">
        <f>Таблица1[[#This Row],[Т12]]-Таблица1[[#This Row],[Т4]]</f>
        <v>11973.087225427385</v>
      </c>
      <c r="CS126" s="65">
        <f>Таблица1[[#This Row],[Т12]]-Таблица1[[#This Row],[Т3]]</f>
        <v>15695.087225427385</v>
      </c>
      <c r="CT126" s="65">
        <f>Таблица1[[#This Row],[Т12]]-Таблица1[[#This Row],[Т2]]</f>
        <v>16759.256880938075</v>
      </c>
      <c r="CU126" s="65">
        <f>Таблица1[[#This Row],[Т12]]-Таблица1[[#This Row],[Т1]]</f>
        <v>18645.556697304826</v>
      </c>
      <c r="CV126" s="65">
        <f>Таблица1[[#This Row],[Lкан_леб,мм]]+Таблица1[[#This Row],[Lкан_дуг, мм]]+Таблица1[[#This Row],[Lкан_прям, мм]]</f>
        <v>3528386.841860381</v>
      </c>
      <c r="CW126" s="60">
        <f>3511128.4-(Таблица1[[#This Row],[Lкан_леб,мм]]+Таблица1[[#This Row],[∆Lлеб из за стрел]])</f>
        <v>1387.1148369237781</v>
      </c>
    </row>
    <row r="127" spans="1:101" x14ac:dyDescent="0.25">
      <c r="A127">
        <v>126</v>
      </c>
      <c r="B127">
        <v>113.75838926174457</v>
      </c>
      <c r="C127">
        <v>-23.748389261744578</v>
      </c>
      <c r="D127">
        <v>-3714.9794179476808</v>
      </c>
      <c r="E127">
        <v>5924.8110052232187</v>
      </c>
      <c r="F127">
        <v>-2997.3462602545796</v>
      </c>
      <c r="G127">
        <v>5161.9362442175689</v>
      </c>
      <c r="H127">
        <v>-2997.4799079476807</v>
      </c>
      <c r="I127">
        <v>4603.1315589503638</v>
      </c>
      <c r="J127">
        <v>1321.6794462728556</v>
      </c>
      <c r="K127">
        <v>12506.696722130946</v>
      </c>
      <c r="L127">
        <v>6089.4204648993673</v>
      </c>
      <c r="M127">
        <v>3509790.7246733508</v>
      </c>
      <c r="N127">
        <v>0</v>
      </c>
      <c r="O127">
        <v>8</v>
      </c>
      <c r="P127">
        <v>-3322.5</v>
      </c>
      <c r="Q127">
        <v>-2811.96</v>
      </c>
      <c r="R127">
        <v>-3280</v>
      </c>
      <c r="S127">
        <v>-914.66</v>
      </c>
      <c r="T127">
        <v>-7002</v>
      </c>
      <c r="U127">
        <v>520.34</v>
      </c>
      <c r="V127">
        <v>-7002.1</v>
      </c>
      <c r="W127">
        <v>2365</v>
      </c>
      <c r="X127">
        <v>-6252</v>
      </c>
      <c r="Y127">
        <v>3800</v>
      </c>
      <c r="Z127">
        <v>-3714.9794179476808</v>
      </c>
      <c r="AA127">
        <v>5924.8110052232187</v>
      </c>
      <c r="AB127">
        <v>0</v>
      </c>
      <c r="AC127">
        <v>1064.1696555107644</v>
      </c>
      <c r="AD127">
        <v>1127.0074684186504</v>
      </c>
      <c r="AE127">
        <v>1127.0852605320265</v>
      </c>
      <c r="AF127">
        <v>822.05586069564379</v>
      </c>
      <c r="AG127">
        <v>1949.1022197422831</v>
      </c>
      <c r="AH127">
        <v>1886.2998163666878</v>
      </c>
      <c r="AI127">
        <v>3721.9999999999995</v>
      </c>
      <c r="AJ127">
        <v>1844.6600027105269</v>
      </c>
      <c r="AK127">
        <v>750.10000000000059</v>
      </c>
      <c r="AL127">
        <v>2981.9574513521802</v>
      </c>
      <c r="AM127">
        <v>1321.6794517015512</v>
      </c>
      <c r="AN127">
        <v>-95.021003558665456</v>
      </c>
      <c r="AO127">
        <v>-180</v>
      </c>
      <c r="AP127">
        <v>-90.003106034687008</v>
      </c>
      <c r="AQ127">
        <v>1.2722218725854067E-14</v>
      </c>
      <c r="AR127">
        <v>-65.645061103630269</v>
      </c>
      <c r="AS127">
        <v>89.999999566492619</v>
      </c>
      <c r="AT127">
        <v>-2400.1625746957502</v>
      </c>
      <c r="AU127">
        <v>-3280</v>
      </c>
      <c r="AV127">
        <v>-7719.4999989457119</v>
      </c>
      <c r="AW127">
        <v>-7002.1</v>
      </c>
      <c r="AX127">
        <v>-5598.3515654489447</v>
      </c>
      <c r="AY127">
        <v>-2997.4794179476812</v>
      </c>
      <c r="AZ127">
        <v>-2730.9252207921031</v>
      </c>
      <c r="BA127">
        <v>-197.16</v>
      </c>
      <c r="BB127">
        <v>520.3011039433311</v>
      </c>
      <c r="BC127">
        <v>3082.5000000000005</v>
      </c>
      <c r="BD127">
        <v>3504.1115514100716</v>
      </c>
      <c r="BE127">
        <v>5924.811010651918</v>
      </c>
      <c r="BF127">
        <v>-2565.2532760267472</v>
      </c>
      <c r="BG127">
        <v>-7002</v>
      </c>
      <c r="BH127">
        <v>-7719.5999989457123</v>
      </c>
      <c r="BI127">
        <v>-6252</v>
      </c>
      <c r="BJ127">
        <v>-4368.6278524987365</v>
      </c>
      <c r="BK127">
        <v>-2997.4794079476806</v>
      </c>
      <c r="BL127">
        <v>-851.86373761518519</v>
      </c>
      <c r="BM127">
        <v>-197.16</v>
      </c>
      <c r="BN127">
        <v>2364.9611039433312</v>
      </c>
      <c r="BO127">
        <v>3082.5000000000005</v>
      </c>
      <c r="BP127">
        <v>6220.6994538131476</v>
      </c>
      <c r="BQ127">
        <v>4603.1315589503674</v>
      </c>
      <c r="BR127">
        <v>0</v>
      </c>
      <c r="BS127">
        <v>84.97899644133453</v>
      </c>
      <c r="BT127">
        <v>89.996893965312992</v>
      </c>
      <c r="BU127">
        <v>90.003106034687022</v>
      </c>
      <c r="BV127">
        <v>65.645061103630283</v>
      </c>
      <c r="BW127">
        <v>155.64506067012289</v>
      </c>
      <c r="BX127" s="69">
        <f>Таблица1[[#This Row],[Lкан_леб,мм]]</f>
        <v>3509790.7246733508</v>
      </c>
      <c r="BY127" s="65">
        <f>Таблица1[[#This Row],[Т1]]+Таблица1[[#This Row],[Lпрям1, мм]]</f>
        <v>3511677.0244897176</v>
      </c>
      <c r="BZ127" s="65">
        <f>Таблица1[[#This Row],[Т2]]+Таблица1[[#This Row],[Lдуг 2,мм]]</f>
        <v>3512741.1941452282</v>
      </c>
      <c r="CA127" s="65">
        <f>Таблица1[[#This Row],[Т3]]+Таблица1[[#This Row],[Lпрям2, мм]]</f>
        <v>3516463.1941452282</v>
      </c>
      <c r="CB127" s="65">
        <f>Таблица1[[#This Row],[Т4]]+Таблица1[[#This Row],[Lдуг 3,мм]]</f>
        <v>3517590.2016136469</v>
      </c>
      <c r="CC127" s="65">
        <f>Таблица1[[#This Row],[Т5]]+Таблица1[[#This Row],[Lпрям3, мм]]</f>
        <v>3519434.8616163572</v>
      </c>
      <c r="CD127" s="65">
        <f>Таблица1[[#This Row],[Т6]]+Таблица1[[#This Row],[Lдуг 4,мм]]</f>
        <v>3520561.9468768891</v>
      </c>
      <c r="CE127" s="65">
        <f>Таблица1[[#This Row],[Т7]]+Таблица1[[#This Row],[Lпрям4, мм]]</f>
        <v>3521312.0468768892</v>
      </c>
      <c r="CF127" s="72">
        <f>Таблица1[[#This Row],[Т8]]+Таблица1[[#This Row],[Lдуг 5,мм]]</f>
        <v>3522134.1027375846</v>
      </c>
      <c r="CG127" s="65">
        <f>Таблица1[[#This Row],[Т9]]+Таблица1[[#This Row],[Lпрям5, мм]]</f>
        <v>3525116.060188937</v>
      </c>
      <c r="CH127" s="65">
        <f>Таблица1[[#This Row],[Т10]]+Таблица1[[#This Row],[Lдуг 6,мм]]</f>
        <v>3527065.1624086793</v>
      </c>
      <c r="CI127" s="66">
        <f>Таблица1[[#This Row],[Т11]]+Таблица1[[#This Row],[Lпрям6, мм]]</f>
        <v>3528386.841860381</v>
      </c>
      <c r="CJ127" s="64">
        <f>Таблица1[[#This Row],[Т12]]-Таблица1[[#This Row],[Т12]]</f>
        <v>0</v>
      </c>
      <c r="CK127" s="65">
        <f>Таблица1[[#This Row],[Т12]]-Таблица1[[#This Row],[Т11]]</f>
        <v>1321.679451701697</v>
      </c>
      <c r="CL127" s="65">
        <f>Таблица1[[#This Row],[Т12]]-Таблица1[[#This Row],[Т10]]</f>
        <v>3270.7816714439541</v>
      </c>
      <c r="CM127" s="65">
        <f>Таблица1[[#This Row],[Т12]]-Таблица1[[#This Row],[Т9]]</f>
        <v>6252.7391227963381</v>
      </c>
      <c r="CN127" s="65">
        <f>Таблица1[[#This Row],[Т12]]-Таблица1[[#This Row],[Т8]]</f>
        <v>7074.7949834917672</v>
      </c>
      <c r="CO127" s="65">
        <f>Таблица1[[#This Row],[Т12]]-Таблица1[[#This Row],[Т7]]</f>
        <v>7824.8949834918603</v>
      </c>
      <c r="CP127" s="65">
        <f>Таблица1[[#This Row],[Т12]]-Таблица1[[#This Row],[Т6]]</f>
        <v>8951.9802440237254</v>
      </c>
      <c r="CQ127" s="65">
        <f>Таблица1[[#This Row],[Т12]]-Таблица1[[#This Row],[Т5]]</f>
        <v>10796.640246734023</v>
      </c>
      <c r="CR127" s="65">
        <f>Таблица1[[#This Row],[Т12]]-Таблица1[[#This Row],[Т4]]</f>
        <v>11923.647715152707</v>
      </c>
      <c r="CS127" s="65">
        <f>Таблица1[[#This Row],[Т12]]-Таблица1[[#This Row],[Т3]]</f>
        <v>15645.647715152707</v>
      </c>
      <c r="CT127" s="65">
        <f>Таблица1[[#This Row],[Т12]]-Таблица1[[#This Row],[Т2]]</f>
        <v>16709.817370663397</v>
      </c>
      <c r="CU127" s="65">
        <f>Таблица1[[#This Row],[Т12]]-Таблица1[[#This Row],[Т1]]</f>
        <v>18596.117187030148</v>
      </c>
      <c r="CV127" s="65">
        <f>Таблица1[[#This Row],[Lкан_леб,мм]]+Таблица1[[#This Row],[Lкан_дуг, мм]]+Таблица1[[#This Row],[Lкан_прям, мм]]</f>
        <v>3528386.841860381</v>
      </c>
      <c r="CW127" s="60">
        <f>3511128.4-(Таблица1[[#This Row],[Lкан_леб,мм]]+Таблица1[[#This Row],[∆Lлеб из за стрел]])</f>
        <v>1337.6753266490996</v>
      </c>
    </row>
    <row r="128" spans="1:101" x14ac:dyDescent="0.25">
      <c r="A128">
        <v>127</v>
      </c>
      <c r="B128">
        <v>114.26845637583853</v>
      </c>
      <c r="C128">
        <v>-24.258456375838531</v>
      </c>
      <c r="D128">
        <v>-3775.4842733861396</v>
      </c>
      <c r="E128">
        <v>5897.8555217786998</v>
      </c>
      <c r="F128">
        <v>-3057.8511156930381</v>
      </c>
      <c r="G128">
        <v>5134.980760773049</v>
      </c>
      <c r="H128">
        <v>-3057.98476338614</v>
      </c>
      <c r="I128">
        <v>4576.1760755060959</v>
      </c>
      <c r="J128">
        <v>1321.6794462726043</v>
      </c>
      <c r="K128">
        <v>12435.907925189171</v>
      </c>
      <c r="L128">
        <v>6111.0320701266437</v>
      </c>
      <c r="M128">
        <v>3509839.9018650651</v>
      </c>
      <c r="N128">
        <v>0</v>
      </c>
      <c r="O128">
        <v>8</v>
      </c>
      <c r="P128">
        <v>-3322.5</v>
      </c>
      <c r="Q128">
        <v>-2811.96</v>
      </c>
      <c r="R128">
        <v>-3280</v>
      </c>
      <c r="S128">
        <v>-914.66</v>
      </c>
      <c r="T128">
        <v>-7002</v>
      </c>
      <c r="U128">
        <v>520.34</v>
      </c>
      <c r="V128">
        <v>-7002.1</v>
      </c>
      <c r="W128">
        <v>2365</v>
      </c>
      <c r="X128">
        <v>-6252</v>
      </c>
      <c r="Y128">
        <v>3800</v>
      </c>
      <c r="Z128">
        <v>-3775.4842733861396</v>
      </c>
      <c r="AA128">
        <v>5897.8555217786998</v>
      </c>
      <c r="AB128">
        <v>0</v>
      </c>
      <c r="AC128">
        <v>1064.1696555107644</v>
      </c>
      <c r="AD128">
        <v>1127.0074684186504</v>
      </c>
      <c r="AE128">
        <v>1127.0852605320265</v>
      </c>
      <c r="AF128">
        <v>832.8616633092812</v>
      </c>
      <c r="AG128">
        <v>1959.9080223559206</v>
      </c>
      <c r="AH128">
        <v>1886.2998163666878</v>
      </c>
      <c r="AI128">
        <v>3721.9999999999995</v>
      </c>
      <c r="AJ128">
        <v>1844.6600027105269</v>
      </c>
      <c r="AK128">
        <v>750.10000000000059</v>
      </c>
      <c r="AL128">
        <v>2911.1686544106565</v>
      </c>
      <c r="AM128">
        <v>1321.6794517013</v>
      </c>
      <c r="AN128">
        <v>-95.021003558665456</v>
      </c>
      <c r="AO128">
        <v>-180</v>
      </c>
      <c r="AP128">
        <v>-90.003106034687008</v>
      </c>
      <c r="AQ128">
        <v>1.2722218725854067E-14</v>
      </c>
      <c r="AR128">
        <v>-66.507955715494873</v>
      </c>
      <c r="AS128">
        <v>89.999999566492633</v>
      </c>
      <c r="AT128">
        <v>-2400.1625746957502</v>
      </c>
      <c r="AU128">
        <v>-3280</v>
      </c>
      <c r="AV128">
        <v>-7719.4999989457119</v>
      </c>
      <c r="AW128">
        <v>-7002.1</v>
      </c>
      <c r="AX128">
        <v>-5593.9696766645156</v>
      </c>
      <c r="AY128">
        <v>-3057.9842733861396</v>
      </c>
      <c r="AZ128">
        <v>-2730.9252207921031</v>
      </c>
      <c r="BA128">
        <v>-197.16</v>
      </c>
      <c r="BB128">
        <v>520.3011039433311</v>
      </c>
      <c r="BC128">
        <v>3082.5000000000005</v>
      </c>
      <c r="BD128">
        <v>3513.9889100559226</v>
      </c>
      <c r="BE128">
        <v>5897.8555272073991</v>
      </c>
      <c r="BF128">
        <v>-2565.2532760267472</v>
      </c>
      <c r="BG128">
        <v>-7002</v>
      </c>
      <c r="BH128">
        <v>-7719.5999989457123</v>
      </c>
      <c r="BI128">
        <v>-6252</v>
      </c>
      <c r="BJ128">
        <v>-4433.5145967216231</v>
      </c>
      <c r="BK128">
        <v>-3057.9842633861399</v>
      </c>
      <c r="BL128">
        <v>-851.86373761518519</v>
      </c>
      <c r="BM128">
        <v>-197.16</v>
      </c>
      <c r="BN128">
        <v>2364.9611039433312</v>
      </c>
      <c r="BO128">
        <v>3082.5000000000005</v>
      </c>
      <c r="BP128">
        <v>6183.8666117227776</v>
      </c>
      <c r="BQ128">
        <v>4576.1760755060996</v>
      </c>
      <c r="BR128">
        <v>0</v>
      </c>
      <c r="BS128">
        <v>84.97899644133453</v>
      </c>
      <c r="BT128">
        <v>89.996893965312992</v>
      </c>
      <c r="BU128">
        <v>90.003106034687022</v>
      </c>
      <c r="BV128">
        <v>66.507955715494887</v>
      </c>
      <c r="BW128">
        <v>156.50795528198751</v>
      </c>
      <c r="BX128" s="69">
        <f>Таблица1[[#This Row],[Lкан_леб,мм]]</f>
        <v>3509839.9018650651</v>
      </c>
      <c r="BY128" s="65">
        <f>Таблица1[[#This Row],[Т1]]+Таблица1[[#This Row],[Lпрям1, мм]]</f>
        <v>3511726.2016814318</v>
      </c>
      <c r="BZ128" s="65">
        <f>Таблица1[[#This Row],[Т2]]+Таблица1[[#This Row],[Lдуг 2,мм]]</f>
        <v>3512790.3713369425</v>
      </c>
      <c r="CA128" s="65">
        <f>Таблица1[[#This Row],[Т3]]+Таблица1[[#This Row],[Lпрям2, мм]]</f>
        <v>3516512.3713369425</v>
      </c>
      <c r="CB128" s="65">
        <f>Таблица1[[#This Row],[Т4]]+Таблица1[[#This Row],[Lдуг 3,мм]]</f>
        <v>3517639.3788053612</v>
      </c>
      <c r="CC128" s="65">
        <f>Таблица1[[#This Row],[Т5]]+Таблица1[[#This Row],[Lпрям3, мм]]</f>
        <v>3519484.0388080715</v>
      </c>
      <c r="CD128" s="65">
        <f>Таблица1[[#This Row],[Т6]]+Таблица1[[#This Row],[Lдуг 4,мм]]</f>
        <v>3520611.1240686034</v>
      </c>
      <c r="CE128" s="65">
        <f>Таблица1[[#This Row],[Т7]]+Таблица1[[#This Row],[Lпрям4, мм]]</f>
        <v>3521361.2240686035</v>
      </c>
      <c r="CF128" s="72">
        <f>Таблица1[[#This Row],[Т8]]+Таблица1[[#This Row],[Lдуг 5,мм]]</f>
        <v>3522194.0857319129</v>
      </c>
      <c r="CG128" s="65">
        <f>Таблица1[[#This Row],[Т9]]+Таблица1[[#This Row],[Lпрям5, мм]]</f>
        <v>3525105.2543863235</v>
      </c>
      <c r="CH128" s="65">
        <f>Таблица1[[#This Row],[Т10]]+Таблица1[[#This Row],[Lдуг 6,мм]]</f>
        <v>3527065.1624086793</v>
      </c>
      <c r="CI128" s="66">
        <f>Таблица1[[#This Row],[Т11]]+Таблица1[[#This Row],[Lпрям6, мм]]</f>
        <v>3528386.8418603805</v>
      </c>
      <c r="CJ128" s="64">
        <f>Таблица1[[#This Row],[Т12]]-Таблица1[[#This Row],[Т12]]</f>
        <v>0</v>
      </c>
      <c r="CK128" s="65">
        <f>Таблица1[[#This Row],[Т12]]-Таблица1[[#This Row],[Т11]]</f>
        <v>1321.6794517012313</v>
      </c>
      <c r="CL128" s="65">
        <f>Таблица1[[#This Row],[Т12]]-Таблица1[[#This Row],[Т10]]</f>
        <v>3281.5874740569852</v>
      </c>
      <c r="CM128" s="65">
        <f>Таблица1[[#This Row],[Т12]]-Таблица1[[#This Row],[Т9]]</f>
        <v>6192.7561284676194</v>
      </c>
      <c r="CN128" s="65">
        <f>Таблица1[[#This Row],[Т12]]-Таблица1[[#This Row],[Т8]]</f>
        <v>7025.617791777011</v>
      </c>
      <c r="CO128" s="65">
        <f>Таблица1[[#This Row],[Т12]]-Таблица1[[#This Row],[Т7]]</f>
        <v>7775.7177917771041</v>
      </c>
      <c r="CP128" s="65">
        <f>Таблица1[[#This Row],[Т12]]-Таблица1[[#This Row],[Т6]]</f>
        <v>8902.8030523089692</v>
      </c>
      <c r="CQ128" s="65">
        <f>Таблица1[[#This Row],[Т12]]-Таблица1[[#This Row],[Т5]]</f>
        <v>10747.463055019267</v>
      </c>
      <c r="CR128" s="65">
        <f>Таблица1[[#This Row],[Т12]]-Таблица1[[#This Row],[Т4]]</f>
        <v>11874.470523437951</v>
      </c>
      <c r="CS128" s="65">
        <f>Таблица1[[#This Row],[Т12]]-Таблица1[[#This Row],[Т3]]</f>
        <v>15596.470523437951</v>
      </c>
      <c r="CT128" s="65">
        <f>Таблица1[[#This Row],[Т12]]-Таблица1[[#This Row],[Т2]]</f>
        <v>16660.640178948641</v>
      </c>
      <c r="CU128" s="65">
        <f>Таблица1[[#This Row],[Т12]]-Таблица1[[#This Row],[Т1]]</f>
        <v>18546.939995315392</v>
      </c>
      <c r="CV128" s="65">
        <f>Таблица1[[#This Row],[Lкан_леб,мм]]+Таблица1[[#This Row],[Lкан_дуг, мм]]+Таблица1[[#This Row],[Lкан_прям, мм]]</f>
        <v>3528386.841860381</v>
      </c>
      <c r="CW128" s="60">
        <f>3511128.4-(Таблица1[[#This Row],[Lкан_леб,мм]]+Таблица1[[#This Row],[∆Lлеб из за стрел]])</f>
        <v>1288.4981349348091</v>
      </c>
    </row>
    <row r="129" spans="1:101" x14ac:dyDescent="0.25">
      <c r="A129">
        <v>128</v>
      </c>
      <c r="B129">
        <v>114.77852348993248</v>
      </c>
      <c r="C129">
        <v>-24.768523489932488</v>
      </c>
      <c r="D129">
        <v>-3835.7467672865496</v>
      </c>
      <c r="E129">
        <v>5870.362478144727</v>
      </c>
      <c r="F129">
        <v>-3118.113609593448</v>
      </c>
      <c r="G129">
        <v>5107.4877171390772</v>
      </c>
      <c r="H129">
        <v>-3118.2472572865499</v>
      </c>
      <c r="I129">
        <v>4548.6830318715211</v>
      </c>
      <c r="J129">
        <v>1321.6794462732064</v>
      </c>
      <c r="K129">
        <v>12364.713826212275</v>
      </c>
      <c r="L129">
        <v>6133.3337970556076</v>
      </c>
      <c r="M129">
        <v>3509888.7942371136</v>
      </c>
      <c r="N129">
        <v>0</v>
      </c>
      <c r="O129">
        <v>8</v>
      </c>
      <c r="P129">
        <v>-3322.5</v>
      </c>
      <c r="Q129">
        <v>-2811.96</v>
      </c>
      <c r="R129">
        <v>-3280</v>
      </c>
      <c r="S129">
        <v>-914.66</v>
      </c>
      <c r="T129">
        <v>-7002</v>
      </c>
      <c r="U129">
        <v>520.34</v>
      </c>
      <c r="V129">
        <v>-7002.1</v>
      </c>
      <c r="W129">
        <v>2365</v>
      </c>
      <c r="X129">
        <v>-6252</v>
      </c>
      <c r="Y129">
        <v>3800</v>
      </c>
      <c r="Z129">
        <v>-3835.7467672865496</v>
      </c>
      <c r="AA129">
        <v>5870.362478144727</v>
      </c>
      <c r="AB129">
        <v>0</v>
      </c>
      <c r="AC129">
        <v>1064.1696555107644</v>
      </c>
      <c r="AD129">
        <v>1127.0074684186504</v>
      </c>
      <c r="AE129">
        <v>1127.0852605320265</v>
      </c>
      <c r="AF129">
        <v>844.0125267737634</v>
      </c>
      <c r="AG129">
        <v>1971.0588858204028</v>
      </c>
      <c r="AH129">
        <v>1886.2998163666878</v>
      </c>
      <c r="AI129">
        <v>3721.9999999999995</v>
      </c>
      <c r="AJ129">
        <v>1844.6600027105269</v>
      </c>
      <c r="AK129">
        <v>750.10000000000059</v>
      </c>
      <c r="AL129">
        <v>2839.9745554331598</v>
      </c>
      <c r="AM129">
        <v>1321.6794517019021</v>
      </c>
      <c r="AN129">
        <v>-95.021003558665456</v>
      </c>
      <c r="AO129">
        <v>-180</v>
      </c>
      <c r="AP129">
        <v>-90.003106034687008</v>
      </c>
      <c r="AQ129">
        <v>1.2722218725854067E-14</v>
      </c>
      <c r="AR129">
        <v>-67.398405073601424</v>
      </c>
      <c r="AS129">
        <v>89.999999566492633</v>
      </c>
      <c r="AT129">
        <v>-2400.1625746957502</v>
      </c>
      <c r="AU129">
        <v>-3280</v>
      </c>
      <c r="AV129">
        <v>-7719.4999989457119</v>
      </c>
      <c r="AW129">
        <v>-7002.1</v>
      </c>
      <c r="AX129">
        <v>-5589.6043449487743</v>
      </c>
      <c r="AY129">
        <v>-3118.24676728655</v>
      </c>
      <c r="AZ129">
        <v>-2730.9252207921031</v>
      </c>
      <c r="BA129">
        <v>-197.16</v>
      </c>
      <c r="BB129">
        <v>520.3011039433311</v>
      </c>
      <c r="BC129">
        <v>3082.5000000000005</v>
      </c>
      <c r="BD129">
        <v>3524.2496669643765</v>
      </c>
      <c r="BE129">
        <v>5870.3624835734263</v>
      </c>
      <c r="BF129">
        <v>-2565.2532760267472</v>
      </c>
      <c r="BG129">
        <v>-7002</v>
      </c>
      <c r="BH129">
        <v>-7719.5999989457123</v>
      </c>
      <c r="BI129">
        <v>-6252</v>
      </c>
      <c r="BJ129">
        <v>-4498.1424223377762</v>
      </c>
      <c r="BK129">
        <v>-3118.2467572865498</v>
      </c>
      <c r="BL129">
        <v>-851.86373761518519</v>
      </c>
      <c r="BM129">
        <v>-197.16</v>
      </c>
      <c r="BN129">
        <v>2364.9611039433312</v>
      </c>
      <c r="BO129">
        <v>3082.5000000000005</v>
      </c>
      <c r="BP129">
        <v>6146.1128111803509</v>
      </c>
      <c r="BQ129">
        <v>4548.6830318715247</v>
      </c>
      <c r="BR129">
        <v>0</v>
      </c>
      <c r="BS129">
        <v>84.97899644133453</v>
      </c>
      <c r="BT129">
        <v>89.996893965312992</v>
      </c>
      <c r="BU129">
        <v>90.003106034687022</v>
      </c>
      <c r="BV129">
        <v>67.398405073601438</v>
      </c>
      <c r="BW129">
        <v>157.39840464009407</v>
      </c>
      <c r="BX129" s="69">
        <f>Таблица1[[#This Row],[Lкан_леб,мм]]</f>
        <v>3509888.7942371136</v>
      </c>
      <c r="BY129" s="65">
        <f>Таблица1[[#This Row],[Т1]]+Таблица1[[#This Row],[Lпрям1, мм]]</f>
        <v>3511775.0940534803</v>
      </c>
      <c r="BZ129" s="65">
        <f>Таблица1[[#This Row],[Т2]]+Таблица1[[#This Row],[Lдуг 2,мм]]</f>
        <v>3512839.263708991</v>
      </c>
      <c r="CA129" s="65">
        <f>Таблица1[[#This Row],[Т3]]+Таблица1[[#This Row],[Lпрям2, мм]]</f>
        <v>3516561.263708991</v>
      </c>
      <c r="CB129" s="65">
        <f>Таблица1[[#This Row],[Т4]]+Таблица1[[#This Row],[Lдуг 3,мм]]</f>
        <v>3517688.2711774097</v>
      </c>
      <c r="CC129" s="65">
        <f>Таблица1[[#This Row],[Т5]]+Таблица1[[#This Row],[Lпрям3, мм]]</f>
        <v>3519532.93118012</v>
      </c>
      <c r="CD129" s="65">
        <f>Таблица1[[#This Row],[Т6]]+Таблица1[[#This Row],[Lдуг 4,мм]]</f>
        <v>3520660.0164406518</v>
      </c>
      <c r="CE129" s="65">
        <f>Таблица1[[#This Row],[Т7]]+Таблица1[[#This Row],[Lпрям4, мм]]</f>
        <v>3521410.1164406519</v>
      </c>
      <c r="CF129" s="72">
        <f>Таблица1[[#This Row],[Т8]]+Таблица1[[#This Row],[Lдуг 5,мм]]</f>
        <v>3522254.1289674258</v>
      </c>
      <c r="CG129" s="65">
        <f>Таблица1[[#This Row],[Т9]]+Таблица1[[#This Row],[Lпрям5, мм]]</f>
        <v>3525094.103522859</v>
      </c>
      <c r="CH129" s="65">
        <f>Таблица1[[#This Row],[Т10]]+Таблица1[[#This Row],[Lдуг 6,мм]]</f>
        <v>3527065.1624086793</v>
      </c>
      <c r="CI129" s="66">
        <f>Таблица1[[#This Row],[Т11]]+Таблица1[[#This Row],[Lпрям6, мм]]</f>
        <v>3528386.841860381</v>
      </c>
      <c r="CJ129" s="64">
        <f>Таблица1[[#This Row],[Т12]]-Таблица1[[#This Row],[Т12]]</f>
        <v>0</v>
      </c>
      <c r="CK129" s="65">
        <f>Таблица1[[#This Row],[Т12]]-Таблица1[[#This Row],[Т11]]</f>
        <v>1321.679451701697</v>
      </c>
      <c r="CL129" s="65">
        <f>Таблица1[[#This Row],[Т12]]-Таблица1[[#This Row],[Т10]]</f>
        <v>3292.7383375219069</v>
      </c>
      <c r="CM129" s="65">
        <f>Таблица1[[#This Row],[Т12]]-Таблица1[[#This Row],[Т9]]</f>
        <v>6132.7128929551691</v>
      </c>
      <c r="CN129" s="65">
        <f>Таблица1[[#This Row],[Т12]]-Таблица1[[#This Row],[Т8]]</f>
        <v>6976.7254197290167</v>
      </c>
      <c r="CO129" s="65">
        <f>Таблица1[[#This Row],[Т12]]-Таблица1[[#This Row],[Т7]]</f>
        <v>7726.8254197291099</v>
      </c>
      <c r="CP129" s="65">
        <f>Таблица1[[#This Row],[Т12]]-Таблица1[[#This Row],[Т6]]</f>
        <v>8853.9106802609749</v>
      </c>
      <c r="CQ129" s="65">
        <f>Таблица1[[#This Row],[Т12]]-Таблица1[[#This Row],[Т5]]</f>
        <v>10698.570682971273</v>
      </c>
      <c r="CR129" s="65">
        <f>Таблица1[[#This Row],[Т12]]-Таблица1[[#This Row],[Т4]]</f>
        <v>11825.578151389956</v>
      </c>
      <c r="CS129" s="65">
        <f>Таблица1[[#This Row],[Т12]]-Таблица1[[#This Row],[Т3]]</f>
        <v>15547.578151389956</v>
      </c>
      <c r="CT129" s="65">
        <f>Таблица1[[#This Row],[Т12]]-Таблица1[[#This Row],[Т2]]</f>
        <v>16611.747806900647</v>
      </c>
      <c r="CU129" s="65">
        <f>Таблица1[[#This Row],[Т12]]-Таблица1[[#This Row],[Т1]]</f>
        <v>18498.047623267397</v>
      </c>
      <c r="CV129" s="65">
        <f>Таблица1[[#This Row],[Lкан_леб,мм]]+Таблица1[[#This Row],[Lкан_дуг, мм]]+Таблица1[[#This Row],[Lкан_прям, мм]]</f>
        <v>3528386.8418603814</v>
      </c>
      <c r="CW129" s="60">
        <f>3511128.4-(Таблица1[[#This Row],[Lкан_леб,мм]]+Таблица1[[#This Row],[∆Lлеб из за стрел]])</f>
        <v>1239.6057628863491</v>
      </c>
    </row>
    <row r="130" spans="1:101" x14ac:dyDescent="0.25">
      <c r="A130">
        <v>129</v>
      </c>
      <c r="B130">
        <v>115.28859060402644</v>
      </c>
      <c r="C130">
        <v>-25.278590604026444</v>
      </c>
      <c r="D130">
        <v>-3895.7621237666121</v>
      </c>
      <c r="E130">
        <v>5842.3340531813537</v>
      </c>
      <c r="F130">
        <v>-3178.1289660735106</v>
      </c>
      <c r="G130">
        <v>5079.4592921757021</v>
      </c>
      <c r="H130">
        <v>-3178.262613766612</v>
      </c>
      <c r="I130">
        <v>4520.6546069083006</v>
      </c>
      <c r="J130">
        <v>1321.6794462730527</v>
      </c>
      <c r="K130">
        <v>12293.089016418233</v>
      </c>
      <c r="L130">
        <v>6156.3754719998424</v>
      </c>
      <c r="M130">
        <v>3509937.3773719631</v>
      </c>
      <c r="N130">
        <v>0</v>
      </c>
      <c r="O130">
        <v>8</v>
      </c>
      <c r="P130">
        <v>-3322.5</v>
      </c>
      <c r="Q130">
        <v>-2811.96</v>
      </c>
      <c r="R130">
        <v>-3280</v>
      </c>
      <c r="S130">
        <v>-914.66</v>
      </c>
      <c r="T130">
        <v>-7002</v>
      </c>
      <c r="U130">
        <v>520.34</v>
      </c>
      <c r="V130">
        <v>-7002.1</v>
      </c>
      <c r="W130">
        <v>2365</v>
      </c>
      <c r="X130">
        <v>-6252</v>
      </c>
      <c r="Y130">
        <v>3800</v>
      </c>
      <c r="Z130">
        <v>-3895.7621237666121</v>
      </c>
      <c r="AA130">
        <v>5842.3340531813537</v>
      </c>
      <c r="AB130">
        <v>0</v>
      </c>
      <c r="AC130">
        <v>1064.1696555107644</v>
      </c>
      <c r="AD130">
        <v>1127.0074684186504</v>
      </c>
      <c r="AE130">
        <v>1127.0852605320265</v>
      </c>
      <c r="AF130">
        <v>855.53336424588099</v>
      </c>
      <c r="AG130">
        <v>1982.5797232925202</v>
      </c>
      <c r="AH130">
        <v>1886.2998163666878</v>
      </c>
      <c r="AI130">
        <v>3721.9999999999995</v>
      </c>
      <c r="AJ130">
        <v>1844.6600027105269</v>
      </c>
      <c r="AK130">
        <v>750.10000000000059</v>
      </c>
      <c r="AL130">
        <v>2768.3497456392688</v>
      </c>
      <c r="AM130">
        <v>1321.6794517017486</v>
      </c>
      <c r="AN130">
        <v>-95.021003558665456</v>
      </c>
      <c r="AO130">
        <v>-180</v>
      </c>
      <c r="AP130">
        <v>-90.003106034687008</v>
      </c>
      <c r="AQ130">
        <v>1.2722218725854067E-14</v>
      </c>
      <c r="AR130">
        <v>-68.318398611731752</v>
      </c>
      <c r="AS130">
        <v>89.999999566492605</v>
      </c>
      <c r="AT130">
        <v>-2400.1625746957502</v>
      </c>
      <c r="AU130">
        <v>-3280</v>
      </c>
      <c r="AV130">
        <v>-7719.4999989457119</v>
      </c>
      <c r="AW130">
        <v>-7002.1</v>
      </c>
      <c r="AX130">
        <v>-5585.2622242806474</v>
      </c>
      <c r="AY130">
        <v>-3178.2621237666121</v>
      </c>
      <c r="AZ130">
        <v>-2730.9252207921031</v>
      </c>
      <c r="BA130">
        <v>-197.16</v>
      </c>
      <c r="BB130">
        <v>520.3011039433311</v>
      </c>
      <c r="BC130">
        <v>3082.5000000000005</v>
      </c>
      <c r="BD130">
        <v>3534.9207883880558</v>
      </c>
      <c r="BE130">
        <v>5842.334058610053</v>
      </c>
      <c r="BF130">
        <v>-2565.2532760267472</v>
      </c>
      <c r="BG130">
        <v>-7002</v>
      </c>
      <c r="BH130">
        <v>-7719.5999989457123</v>
      </c>
      <c r="BI130">
        <v>-6252</v>
      </c>
      <c r="BJ130">
        <v>-4562.4998994859643</v>
      </c>
      <c r="BK130">
        <v>-3178.2621137666119</v>
      </c>
      <c r="BL130">
        <v>-851.86373761518519</v>
      </c>
      <c r="BM130">
        <v>-197.16</v>
      </c>
      <c r="BN130">
        <v>2364.9611039433312</v>
      </c>
      <c r="BO130">
        <v>3082.5000000000005</v>
      </c>
      <c r="BP130">
        <v>6107.4132647932984</v>
      </c>
      <c r="BQ130">
        <v>4520.6546069083042</v>
      </c>
      <c r="BR130">
        <v>0</v>
      </c>
      <c r="BS130">
        <v>84.97899644133453</v>
      </c>
      <c r="BT130">
        <v>89.996893965312992</v>
      </c>
      <c r="BU130">
        <v>90.003106034687022</v>
      </c>
      <c r="BV130">
        <v>68.318398611731766</v>
      </c>
      <c r="BW130">
        <v>158.31839817822436</v>
      </c>
      <c r="BX130" s="69">
        <f>Таблица1[[#This Row],[Lкан_леб,мм]]</f>
        <v>3509937.3773719631</v>
      </c>
      <c r="BY130" s="65">
        <f>Таблица1[[#This Row],[Т1]]+Таблица1[[#This Row],[Lпрям1, мм]]</f>
        <v>3511823.6771883299</v>
      </c>
      <c r="BZ130" s="65">
        <f>Таблица1[[#This Row],[Т2]]+Таблица1[[#This Row],[Lдуг 2,мм]]</f>
        <v>3512887.8468438406</v>
      </c>
      <c r="CA130" s="65">
        <f>Таблица1[[#This Row],[Т3]]+Таблица1[[#This Row],[Lпрям2, мм]]</f>
        <v>3516609.8468438406</v>
      </c>
      <c r="CB130" s="65">
        <f>Таблица1[[#This Row],[Т4]]+Таблица1[[#This Row],[Lдуг 3,мм]]</f>
        <v>3517736.8543122592</v>
      </c>
      <c r="CC130" s="65">
        <f>Таблица1[[#This Row],[Т5]]+Таблица1[[#This Row],[Lпрям3, мм]]</f>
        <v>3519581.5143149695</v>
      </c>
      <c r="CD130" s="65">
        <f>Таблица1[[#This Row],[Т6]]+Таблица1[[#This Row],[Lдуг 4,мм]]</f>
        <v>3520708.5995755014</v>
      </c>
      <c r="CE130" s="65">
        <f>Таблица1[[#This Row],[Т7]]+Таблица1[[#This Row],[Lпрям4, мм]]</f>
        <v>3521458.6995755015</v>
      </c>
      <c r="CF130" s="72">
        <f>Таблица1[[#This Row],[Т8]]+Таблица1[[#This Row],[Lдуг 5,мм]]</f>
        <v>3522314.2329397472</v>
      </c>
      <c r="CG130" s="65">
        <f>Таблица1[[#This Row],[Т9]]+Таблица1[[#This Row],[Lпрям5, мм]]</f>
        <v>3525082.5826853863</v>
      </c>
      <c r="CH130" s="65">
        <f>Таблица1[[#This Row],[Т10]]+Таблица1[[#This Row],[Lдуг 6,мм]]</f>
        <v>3527065.1624086788</v>
      </c>
      <c r="CI130" s="66">
        <f>Таблица1[[#This Row],[Т11]]+Таблица1[[#This Row],[Lпрям6, мм]]</f>
        <v>3528386.8418603805</v>
      </c>
      <c r="CJ130" s="64">
        <f>Таблица1[[#This Row],[Т12]]-Таблица1[[#This Row],[Т12]]</f>
        <v>0</v>
      </c>
      <c r="CK130" s="65">
        <f>Таблица1[[#This Row],[Т12]]-Таблица1[[#This Row],[Т11]]</f>
        <v>1321.679451701697</v>
      </c>
      <c r="CL130" s="65">
        <f>Таблица1[[#This Row],[Т12]]-Таблица1[[#This Row],[Т10]]</f>
        <v>3304.259174994193</v>
      </c>
      <c r="CM130" s="65">
        <f>Таблица1[[#This Row],[Т12]]-Таблица1[[#This Row],[Т9]]</f>
        <v>6072.6089206333272</v>
      </c>
      <c r="CN130" s="65">
        <f>Таблица1[[#This Row],[Т12]]-Таблица1[[#This Row],[Т8]]</f>
        <v>6928.1422848789953</v>
      </c>
      <c r="CO130" s="65">
        <f>Таблица1[[#This Row],[Т12]]-Таблица1[[#This Row],[Т7]]</f>
        <v>7678.2422848790884</v>
      </c>
      <c r="CP130" s="65">
        <f>Таблица1[[#This Row],[Т12]]-Таблица1[[#This Row],[Т6]]</f>
        <v>8805.3275454109535</v>
      </c>
      <c r="CQ130" s="65">
        <f>Таблица1[[#This Row],[Т12]]-Таблица1[[#This Row],[Т5]]</f>
        <v>10649.987548121251</v>
      </c>
      <c r="CR130" s="65">
        <f>Таблица1[[#This Row],[Т12]]-Таблица1[[#This Row],[Т4]]</f>
        <v>11776.995016539935</v>
      </c>
      <c r="CS130" s="65">
        <f>Таблица1[[#This Row],[Т12]]-Таблица1[[#This Row],[Т3]]</f>
        <v>15498.995016539935</v>
      </c>
      <c r="CT130" s="65">
        <f>Таблица1[[#This Row],[Т12]]-Таблица1[[#This Row],[Т2]]</f>
        <v>16563.164672050625</v>
      </c>
      <c r="CU130" s="65">
        <f>Таблица1[[#This Row],[Т12]]-Таблица1[[#This Row],[Т1]]</f>
        <v>18449.464488417376</v>
      </c>
      <c r="CV130" s="65">
        <f>Таблица1[[#This Row],[Lкан_леб,мм]]+Таблица1[[#This Row],[Lкан_дуг, мм]]+Таблица1[[#This Row],[Lкан_прям, мм]]</f>
        <v>3528386.8418603814</v>
      </c>
      <c r="CW130" s="60">
        <f>3511128.4-(Таблица1[[#This Row],[Lкан_леб,мм]]+Таблица1[[#This Row],[∆Lлеб из за стрел]])</f>
        <v>1191.0226280367933</v>
      </c>
    </row>
    <row r="131" spans="1:101" x14ac:dyDescent="0.25">
      <c r="A131">
        <v>130</v>
      </c>
      <c r="B131">
        <v>115.7986577181204</v>
      </c>
      <c r="C131">
        <v>-25.788657718120401</v>
      </c>
      <c r="D131">
        <v>-3955.5255865299932</v>
      </c>
      <c r="E131">
        <v>5813.7724681783029</v>
      </c>
      <c r="F131">
        <v>-3237.8924288368917</v>
      </c>
      <c r="G131">
        <v>5050.8977071726522</v>
      </c>
      <c r="H131">
        <v>-3238.0260765299931</v>
      </c>
      <c r="I131">
        <v>4492.0930219053143</v>
      </c>
      <c r="J131">
        <v>1321.6794462729888</v>
      </c>
      <c r="K131">
        <v>12221.005074685358</v>
      </c>
      <c r="L131">
        <v>6180.2120765738073</v>
      </c>
      <c r="M131">
        <v>3509985.6247091219</v>
      </c>
      <c r="N131">
        <v>0</v>
      </c>
      <c r="O131">
        <v>8</v>
      </c>
      <c r="P131">
        <v>-3322.5</v>
      </c>
      <c r="Q131">
        <v>-2811.96</v>
      </c>
      <c r="R131">
        <v>-3280</v>
      </c>
      <c r="S131">
        <v>-914.66</v>
      </c>
      <c r="T131">
        <v>-7002</v>
      </c>
      <c r="U131">
        <v>520.34</v>
      </c>
      <c r="V131">
        <v>-7002.1</v>
      </c>
      <c r="W131">
        <v>2365</v>
      </c>
      <c r="X131">
        <v>-6252</v>
      </c>
      <c r="Y131">
        <v>3800</v>
      </c>
      <c r="Z131">
        <v>-3955.5255865299932</v>
      </c>
      <c r="AA131">
        <v>5813.7724681783029</v>
      </c>
      <c r="AB131">
        <v>0</v>
      </c>
      <c r="AC131">
        <v>1064.1696555107644</v>
      </c>
      <c r="AD131">
        <v>1127.0074684186504</v>
      </c>
      <c r="AE131">
        <v>1127.0852605320265</v>
      </c>
      <c r="AF131">
        <v>867.45166653286378</v>
      </c>
      <c r="AG131">
        <v>1994.4980255795028</v>
      </c>
      <c r="AH131">
        <v>1886.2998163666878</v>
      </c>
      <c r="AI131">
        <v>3721.9999999999995</v>
      </c>
      <c r="AJ131">
        <v>1844.6600027105269</v>
      </c>
      <c r="AK131">
        <v>750.10000000000059</v>
      </c>
      <c r="AL131">
        <v>2696.2658039064586</v>
      </c>
      <c r="AM131">
        <v>1321.6794517016845</v>
      </c>
      <c r="AN131">
        <v>-95.021003558665456</v>
      </c>
      <c r="AO131">
        <v>-180</v>
      </c>
      <c r="AP131">
        <v>-90.003106034687008</v>
      </c>
      <c r="AQ131">
        <v>1.2722218725854067E-14</v>
      </c>
      <c r="AR131">
        <v>-69.270131601286081</v>
      </c>
      <c r="AS131">
        <v>89.999999566492619</v>
      </c>
      <c r="AT131">
        <v>-2400.1625746957502</v>
      </c>
      <c r="AU131">
        <v>-3280</v>
      </c>
      <c r="AV131">
        <v>-7719.4999989457119</v>
      </c>
      <c r="AW131">
        <v>-7002.1</v>
      </c>
      <c r="AX131">
        <v>-5580.9512107219261</v>
      </c>
      <c r="AY131">
        <v>-3238.0255865299928</v>
      </c>
      <c r="AZ131">
        <v>-2730.9252207921031</v>
      </c>
      <c r="BA131">
        <v>-197.16</v>
      </c>
      <c r="BB131">
        <v>520.3011039433311</v>
      </c>
      <c r="BC131">
        <v>3082.5000000000005</v>
      </c>
      <c r="BD131">
        <v>3546.0319460868518</v>
      </c>
      <c r="BE131">
        <v>5813.7724736070022</v>
      </c>
      <c r="BF131">
        <v>-2565.2532760267472</v>
      </c>
      <c r="BG131">
        <v>-7002</v>
      </c>
      <c r="BH131">
        <v>-7719.5999989457123</v>
      </c>
      <c r="BI131">
        <v>-6252</v>
      </c>
      <c r="BJ131">
        <v>-4626.5743758080671</v>
      </c>
      <c r="BK131">
        <v>-3238.025576529993</v>
      </c>
      <c r="BL131">
        <v>-851.86373761518519</v>
      </c>
      <c r="BM131">
        <v>-197.16</v>
      </c>
      <c r="BN131">
        <v>2364.9611039433312</v>
      </c>
      <c r="BO131">
        <v>3082.5000000000005</v>
      </c>
      <c r="BP131">
        <v>6067.7405220914516</v>
      </c>
      <c r="BQ131">
        <v>4492.093021905318</v>
      </c>
      <c r="BR131">
        <v>0</v>
      </c>
      <c r="BS131">
        <v>84.97899644133453</v>
      </c>
      <c r="BT131">
        <v>89.996893965312992</v>
      </c>
      <c r="BU131">
        <v>90.003106034687022</v>
      </c>
      <c r="BV131">
        <v>69.270131601286081</v>
      </c>
      <c r="BW131">
        <v>159.27013116777869</v>
      </c>
      <c r="BX131" s="69">
        <f>Таблица1[[#This Row],[Lкан_леб,мм]]</f>
        <v>3509985.6247091219</v>
      </c>
      <c r="BY131" s="65">
        <f>Таблица1[[#This Row],[Т1]]+Таблица1[[#This Row],[Lпрям1, мм]]</f>
        <v>3511871.9245254886</v>
      </c>
      <c r="BZ131" s="65">
        <f>Таблица1[[#This Row],[Т2]]+Таблица1[[#This Row],[Lдуг 2,мм]]</f>
        <v>3512936.0941809993</v>
      </c>
      <c r="CA131" s="65">
        <f>Таблица1[[#This Row],[Т3]]+Таблица1[[#This Row],[Lпрям2, мм]]</f>
        <v>3516658.0941809993</v>
      </c>
      <c r="CB131" s="65">
        <f>Таблица1[[#This Row],[Т4]]+Таблица1[[#This Row],[Lдуг 3,мм]]</f>
        <v>3517785.101649418</v>
      </c>
      <c r="CC131" s="65">
        <f>Таблица1[[#This Row],[Т5]]+Таблица1[[#This Row],[Lпрям3, мм]]</f>
        <v>3519629.7616521283</v>
      </c>
      <c r="CD131" s="65">
        <f>Таблица1[[#This Row],[Т6]]+Таблица1[[#This Row],[Lдуг 4,мм]]</f>
        <v>3520756.8469126602</v>
      </c>
      <c r="CE131" s="65">
        <f>Таблица1[[#This Row],[Т7]]+Таблица1[[#This Row],[Lпрям4, мм]]</f>
        <v>3521506.9469126603</v>
      </c>
      <c r="CF131" s="72">
        <f>Таблица1[[#This Row],[Т8]]+Таблица1[[#This Row],[Lдуг 5,мм]]</f>
        <v>3522374.3985791933</v>
      </c>
      <c r="CG131" s="65">
        <f>Таблица1[[#This Row],[Т9]]+Таблица1[[#This Row],[Lпрям5, мм]]</f>
        <v>3525070.6643830999</v>
      </c>
      <c r="CH131" s="65">
        <f>Таблица1[[#This Row],[Т10]]+Таблица1[[#This Row],[Lдуг 6,мм]]</f>
        <v>3527065.1624086793</v>
      </c>
      <c r="CI131" s="66">
        <f>Таблица1[[#This Row],[Т11]]+Таблица1[[#This Row],[Lпрям6, мм]]</f>
        <v>3528386.841860381</v>
      </c>
      <c r="CJ131" s="64">
        <f>Таблица1[[#This Row],[Т12]]-Таблица1[[#This Row],[Т12]]</f>
        <v>0</v>
      </c>
      <c r="CK131" s="65">
        <f>Таблица1[[#This Row],[Т12]]-Таблица1[[#This Row],[Т11]]</f>
        <v>1321.679451701697</v>
      </c>
      <c r="CL131" s="65">
        <f>Таблица1[[#This Row],[Т12]]-Таблица1[[#This Row],[Т10]]</f>
        <v>3316.177477281075</v>
      </c>
      <c r="CM131" s="65">
        <f>Таблица1[[#This Row],[Т12]]-Таблица1[[#This Row],[Т9]]</f>
        <v>6012.4432811876759</v>
      </c>
      <c r="CN131" s="65">
        <f>Таблица1[[#This Row],[Т12]]-Таблица1[[#This Row],[Т8]]</f>
        <v>6879.8949477206916</v>
      </c>
      <c r="CO131" s="65">
        <f>Таблица1[[#This Row],[Т12]]-Таблица1[[#This Row],[Т7]]</f>
        <v>7629.9949477207847</v>
      </c>
      <c r="CP131" s="65">
        <f>Таблица1[[#This Row],[Т12]]-Таблица1[[#This Row],[Т6]]</f>
        <v>8757.0802082526498</v>
      </c>
      <c r="CQ131" s="65">
        <f>Таблица1[[#This Row],[Т12]]-Таблица1[[#This Row],[Т5]]</f>
        <v>10601.740210962947</v>
      </c>
      <c r="CR131" s="65">
        <f>Таблица1[[#This Row],[Т12]]-Таблица1[[#This Row],[Т4]]</f>
        <v>11728.747679381631</v>
      </c>
      <c r="CS131" s="65">
        <f>Таблица1[[#This Row],[Т12]]-Таблица1[[#This Row],[Т3]]</f>
        <v>15450.747679381631</v>
      </c>
      <c r="CT131" s="65">
        <f>Таблица1[[#This Row],[Т12]]-Таблица1[[#This Row],[Т2]]</f>
        <v>16514.917334892321</v>
      </c>
      <c r="CU131" s="65">
        <f>Таблица1[[#This Row],[Т12]]-Таблица1[[#This Row],[Т1]]</f>
        <v>18401.217151259072</v>
      </c>
      <c r="CV131" s="65">
        <f>Таблица1[[#This Row],[Lкан_леб,мм]]+Таблица1[[#This Row],[Lкан_дуг, мм]]+Таблица1[[#This Row],[Lкан_прям, мм]]</f>
        <v>3528386.841860381</v>
      </c>
      <c r="CW131" s="60">
        <f>3511128.4-(Таблица1[[#This Row],[Lкан_леб,мм]]+Таблица1[[#This Row],[∆Lлеб из за стрел]])</f>
        <v>1142.775290878024</v>
      </c>
    </row>
    <row r="132" spans="1:101" x14ac:dyDescent="0.25">
      <c r="A132">
        <v>131</v>
      </c>
      <c r="B132">
        <v>116.30872483221435</v>
      </c>
      <c r="C132">
        <v>-26.318724832214354</v>
      </c>
      <c r="D132">
        <v>-4015.3413425193048</v>
      </c>
      <c r="E132">
        <v>5784.9304414253347</v>
      </c>
      <c r="F132">
        <v>-3297.9745220687055</v>
      </c>
      <c r="G132">
        <v>5021.8052256732935</v>
      </c>
      <c r="H132">
        <v>-3297.8418325193047</v>
      </c>
      <c r="I132">
        <v>4463.2509951527372</v>
      </c>
      <c r="J132">
        <v>1321.679446272597</v>
      </c>
      <c r="K132">
        <v>12148.356203064986</v>
      </c>
      <c r="L132">
        <v>6205.109770725192</v>
      </c>
      <c r="M132">
        <v>3510033.3758865907</v>
      </c>
      <c r="N132">
        <v>0</v>
      </c>
      <c r="O132">
        <v>8</v>
      </c>
      <c r="P132">
        <v>-3322.5</v>
      </c>
      <c r="Q132">
        <v>-2811.96</v>
      </c>
      <c r="R132">
        <v>-3280</v>
      </c>
      <c r="S132">
        <v>-914.66</v>
      </c>
      <c r="T132">
        <v>-7002</v>
      </c>
      <c r="U132">
        <v>520.34</v>
      </c>
      <c r="V132">
        <v>-7002.1</v>
      </c>
      <c r="W132">
        <v>2365</v>
      </c>
      <c r="X132">
        <v>-6252</v>
      </c>
      <c r="Y132">
        <v>3800</v>
      </c>
      <c r="Z132">
        <v>-4015.3413425193048</v>
      </c>
      <c r="AA132">
        <v>5784.9304414253347</v>
      </c>
      <c r="AB132">
        <v>0</v>
      </c>
      <c r="AC132">
        <v>1064.1696555107644</v>
      </c>
      <c r="AD132">
        <v>1127.0074684186504</v>
      </c>
      <c r="AE132">
        <v>1127.0852605320265</v>
      </c>
      <c r="AF132">
        <v>879.90051360855603</v>
      </c>
      <c r="AG132">
        <v>2006.9468726551947</v>
      </c>
      <c r="AH132">
        <v>1886.2998163666878</v>
      </c>
      <c r="AI132">
        <v>3721.9999999999995</v>
      </c>
      <c r="AJ132">
        <v>1844.6600027105269</v>
      </c>
      <c r="AK132">
        <v>750.10000000000059</v>
      </c>
      <c r="AL132">
        <v>2623.6169322864798</v>
      </c>
      <c r="AM132">
        <v>1321.6794517012929</v>
      </c>
      <c r="AN132">
        <v>-95.021003558665456</v>
      </c>
      <c r="AO132">
        <v>-180</v>
      </c>
      <c r="AP132">
        <v>-90.003106034687008</v>
      </c>
      <c r="AQ132">
        <v>1.2722218725854067E-14</v>
      </c>
      <c r="AR132">
        <v>-70.26423110963583</v>
      </c>
      <c r="AS132">
        <v>89.999999566492605</v>
      </c>
      <c r="AT132">
        <v>-2400.1625746957502</v>
      </c>
      <c r="AU132">
        <v>-3280</v>
      </c>
      <c r="AV132">
        <v>-7719.4999989457119</v>
      </c>
      <c r="AW132">
        <v>-7002.1</v>
      </c>
      <c r="AX132">
        <v>-5576.6460089186967</v>
      </c>
      <c r="AY132">
        <v>-3297.8413425193044</v>
      </c>
      <c r="AZ132">
        <v>-2730.9252207921031</v>
      </c>
      <c r="BA132">
        <v>-197.16</v>
      </c>
      <c r="BB132">
        <v>520.3011039433311</v>
      </c>
      <c r="BC132">
        <v>3082.5000000000005</v>
      </c>
      <c r="BD132">
        <v>3557.7124915920008</v>
      </c>
      <c r="BE132">
        <v>5784.930446854034</v>
      </c>
      <c r="BF132">
        <v>-2565.2532760267472</v>
      </c>
      <c r="BG132">
        <v>-7002</v>
      </c>
      <c r="BH132">
        <v>-7719.5999989457123</v>
      </c>
      <c r="BI132">
        <v>-6252</v>
      </c>
      <c r="BJ132">
        <v>-4690.6953336006063</v>
      </c>
      <c r="BK132">
        <v>-3297.8413325193046</v>
      </c>
      <c r="BL132">
        <v>-851.86373761518519</v>
      </c>
      <c r="BM132">
        <v>-197.16</v>
      </c>
      <c r="BN132">
        <v>2364.9611039433312</v>
      </c>
      <c r="BO132">
        <v>3082.5000000000005</v>
      </c>
      <c r="BP132">
        <v>6027.2179498333335</v>
      </c>
      <c r="BQ132">
        <v>4463.2509951527409</v>
      </c>
      <c r="BR132">
        <v>0</v>
      </c>
      <c r="BS132">
        <v>84.97899644133453</v>
      </c>
      <c r="BT132">
        <v>89.996893965312992</v>
      </c>
      <c r="BU132">
        <v>90.003106034687022</v>
      </c>
      <c r="BV132">
        <v>70.26423110963583</v>
      </c>
      <c r="BW132">
        <v>160.26423067612842</v>
      </c>
      <c r="BX132" s="69">
        <f>Таблица1[[#This Row],[Lкан_леб,мм]]</f>
        <v>3510033.3758865907</v>
      </c>
      <c r="BY132" s="65">
        <f>Таблица1[[#This Row],[Т1]]+Таблица1[[#This Row],[Lпрям1, мм]]</f>
        <v>3511919.6757029574</v>
      </c>
      <c r="BZ132" s="65">
        <f>Таблица1[[#This Row],[Т2]]+Таблица1[[#This Row],[Lдуг 2,мм]]</f>
        <v>3512983.8453584681</v>
      </c>
      <c r="CA132" s="65">
        <f>Таблица1[[#This Row],[Т3]]+Таблица1[[#This Row],[Lпрям2, мм]]</f>
        <v>3516705.8453584681</v>
      </c>
      <c r="CB132" s="65">
        <f>Таблица1[[#This Row],[Т4]]+Таблица1[[#This Row],[Lдуг 3,мм]]</f>
        <v>3517832.8528268868</v>
      </c>
      <c r="CC132" s="65">
        <f>Таблица1[[#This Row],[Т5]]+Таблица1[[#This Row],[Lпрям3, мм]]</f>
        <v>3519677.5128295971</v>
      </c>
      <c r="CD132" s="65">
        <f>Таблица1[[#This Row],[Т6]]+Таблица1[[#This Row],[Lдуг 4,мм]]</f>
        <v>3520804.598090129</v>
      </c>
      <c r="CE132" s="65">
        <f>Таблица1[[#This Row],[Т7]]+Таблица1[[#This Row],[Lпрям4, мм]]</f>
        <v>3521554.6980901291</v>
      </c>
      <c r="CF132" s="72">
        <f>Таблица1[[#This Row],[Т8]]+Таблица1[[#This Row],[Lдуг 5,мм]]</f>
        <v>3522434.5986037375</v>
      </c>
      <c r="CG132" s="65">
        <f>Таблица1[[#This Row],[Т9]]+Таблица1[[#This Row],[Lпрям5, мм]]</f>
        <v>3525058.215536024</v>
      </c>
      <c r="CH132" s="65">
        <f>Таблица1[[#This Row],[Т10]]+Таблица1[[#This Row],[Lдуг 6,мм]]</f>
        <v>3527065.1624086793</v>
      </c>
      <c r="CI132" s="66">
        <f>Таблица1[[#This Row],[Т11]]+Таблица1[[#This Row],[Lпрям6, мм]]</f>
        <v>3528386.8418603805</v>
      </c>
      <c r="CJ132" s="64">
        <f>Таблица1[[#This Row],[Т12]]-Таблица1[[#This Row],[Т12]]</f>
        <v>0</v>
      </c>
      <c r="CK132" s="65">
        <f>Таблица1[[#This Row],[Т12]]-Таблица1[[#This Row],[Т11]]</f>
        <v>1321.6794517012313</v>
      </c>
      <c r="CL132" s="65">
        <f>Таблица1[[#This Row],[Т12]]-Таблица1[[#This Row],[Т10]]</f>
        <v>3328.6263243565336</v>
      </c>
      <c r="CM132" s="65">
        <f>Таблица1[[#This Row],[Т12]]-Таблица1[[#This Row],[Т9]]</f>
        <v>5952.2432566429488</v>
      </c>
      <c r="CN132" s="65">
        <f>Таблица1[[#This Row],[Т12]]-Таблица1[[#This Row],[Т8]]</f>
        <v>6832.1437702514231</v>
      </c>
      <c r="CO132" s="65">
        <f>Таблица1[[#This Row],[Т12]]-Таблица1[[#This Row],[Т7]]</f>
        <v>7582.2437702515163</v>
      </c>
      <c r="CP132" s="65">
        <f>Таблица1[[#This Row],[Т12]]-Таблица1[[#This Row],[Т6]]</f>
        <v>8709.3290307833813</v>
      </c>
      <c r="CQ132" s="65">
        <f>Таблица1[[#This Row],[Т12]]-Таблица1[[#This Row],[Т5]]</f>
        <v>10553.989033493679</v>
      </c>
      <c r="CR132" s="65">
        <f>Таблица1[[#This Row],[Т12]]-Таблица1[[#This Row],[Т4]]</f>
        <v>11680.996501912363</v>
      </c>
      <c r="CS132" s="65">
        <f>Таблица1[[#This Row],[Т12]]-Таблица1[[#This Row],[Т3]]</f>
        <v>15402.996501912363</v>
      </c>
      <c r="CT132" s="65">
        <f>Таблица1[[#This Row],[Т12]]-Таблица1[[#This Row],[Т2]]</f>
        <v>16467.166157423053</v>
      </c>
      <c r="CU132" s="65">
        <f>Таблица1[[#This Row],[Т12]]-Таблица1[[#This Row],[Т1]]</f>
        <v>18353.465973789804</v>
      </c>
      <c r="CV132" s="65">
        <f>Таблица1[[#This Row],[Lкан_леб,мм]]+Таблица1[[#This Row],[Lкан_дуг, мм]]+Таблица1[[#This Row],[Lкан_прям, мм]]</f>
        <v>3528386.8418603805</v>
      </c>
      <c r="CW132" s="60">
        <f>3511128.4-(Таблица1[[#This Row],[Lкан_леб,мм]]+Таблица1[[#This Row],[∆Lлеб из за стрел]])</f>
        <v>1095.0241134092212</v>
      </c>
    </row>
    <row r="133" spans="1:101" x14ac:dyDescent="0.25">
      <c r="A133">
        <v>132</v>
      </c>
      <c r="B133">
        <v>116.81879194630831</v>
      </c>
      <c r="C133">
        <v>-26.828791946308311</v>
      </c>
      <c r="D133">
        <v>-4074.5868291873248</v>
      </c>
      <c r="E133">
        <v>5755.3093690472815</v>
      </c>
      <c r="F133">
        <v>-3357.2200087367264</v>
      </c>
      <c r="G133">
        <v>4992.1841532952403</v>
      </c>
      <c r="H133">
        <v>-3357.0873191873247</v>
      </c>
      <c r="I133">
        <v>4433.6299227749014</v>
      </c>
      <c r="J133">
        <v>1321.6794462723794</v>
      </c>
      <c r="K133">
        <v>12075.256442865666</v>
      </c>
      <c r="L133">
        <v>6230.7300650358302</v>
      </c>
      <c r="M133">
        <v>3510080.8553524795</v>
      </c>
      <c r="N133">
        <v>0</v>
      </c>
      <c r="O133">
        <v>8</v>
      </c>
      <c r="P133">
        <v>-3322.5</v>
      </c>
      <c r="Q133">
        <v>-2811.96</v>
      </c>
      <c r="R133">
        <v>-3280</v>
      </c>
      <c r="S133">
        <v>-914.66</v>
      </c>
      <c r="T133">
        <v>-7002</v>
      </c>
      <c r="U133">
        <v>520.34</v>
      </c>
      <c r="V133">
        <v>-7002.1</v>
      </c>
      <c r="W133">
        <v>2365</v>
      </c>
      <c r="X133">
        <v>-6252</v>
      </c>
      <c r="Y133">
        <v>3800</v>
      </c>
      <c r="Z133">
        <v>-4074.5868291873248</v>
      </c>
      <c r="AA133">
        <v>5755.3093690472815</v>
      </c>
      <c r="AB133">
        <v>0</v>
      </c>
      <c r="AC133">
        <v>1064.1696555107644</v>
      </c>
      <c r="AD133">
        <v>1127.0074684186504</v>
      </c>
      <c r="AE133">
        <v>1127.0852605320265</v>
      </c>
      <c r="AF133">
        <v>892.71066076387501</v>
      </c>
      <c r="AG133">
        <v>2019.7570198105143</v>
      </c>
      <c r="AH133">
        <v>1886.2998163666878</v>
      </c>
      <c r="AI133">
        <v>3721.9999999999995</v>
      </c>
      <c r="AJ133">
        <v>1844.6600027105269</v>
      </c>
      <c r="AK133">
        <v>750.10000000000059</v>
      </c>
      <c r="AL133">
        <v>2550.5171720873759</v>
      </c>
      <c r="AM133">
        <v>1321.6794517010753</v>
      </c>
      <c r="AN133">
        <v>-95.021003558665456</v>
      </c>
      <c r="AO133">
        <v>-180</v>
      </c>
      <c r="AP133">
        <v>-90.003106034687008</v>
      </c>
      <c r="AQ133">
        <v>1.2722218725854067E-14</v>
      </c>
      <c r="AR133">
        <v>-71.287182143700349</v>
      </c>
      <c r="AS133">
        <v>89.999999566492619</v>
      </c>
      <c r="AT133">
        <v>-2400.1625746957502</v>
      </c>
      <c r="AU133">
        <v>-3280</v>
      </c>
      <c r="AV133">
        <v>-7719.4999989457119</v>
      </c>
      <c r="AW133">
        <v>-7002.1</v>
      </c>
      <c r="AX133">
        <v>-5572.4281058050528</v>
      </c>
      <c r="AY133">
        <v>-3357.0868291873248</v>
      </c>
      <c r="AZ133">
        <v>-2730.9252207921031</v>
      </c>
      <c r="BA133">
        <v>-197.16</v>
      </c>
      <c r="BB133">
        <v>520.3011039433311</v>
      </c>
      <c r="BC133">
        <v>3082.5000000000005</v>
      </c>
      <c r="BD133">
        <v>3569.8081438879908</v>
      </c>
      <c r="BE133">
        <v>5755.3093744759799</v>
      </c>
      <c r="BF133">
        <v>-2565.2532760267472</v>
      </c>
      <c r="BG133">
        <v>-7002</v>
      </c>
      <c r="BH133">
        <v>-7719.5999989457123</v>
      </c>
      <c r="BI133">
        <v>-6252</v>
      </c>
      <c r="BJ133">
        <v>-4754.158723382272</v>
      </c>
      <c r="BK133">
        <v>-3357.0868191873246</v>
      </c>
      <c r="BL133">
        <v>-851.86373761518519</v>
      </c>
      <c r="BM133">
        <v>-197.16</v>
      </c>
      <c r="BN133">
        <v>2364.9611039433312</v>
      </c>
      <c r="BO133">
        <v>3082.5000000000005</v>
      </c>
      <c r="BP133">
        <v>5985.5012251592907</v>
      </c>
      <c r="BQ133">
        <v>4433.629922774905</v>
      </c>
      <c r="BR133">
        <v>0</v>
      </c>
      <c r="BS133">
        <v>84.97899644133453</v>
      </c>
      <c r="BT133">
        <v>89.996893965312992</v>
      </c>
      <c r="BU133">
        <v>90.003106034687022</v>
      </c>
      <c r="BV133">
        <v>71.287182143700363</v>
      </c>
      <c r="BW133">
        <v>161.28718171019298</v>
      </c>
      <c r="BX133" s="69">
        <f>Таблица1[[#This Row],[Lкан_леб,мм]]</f>
        <v>3510080.8553524795</v>
      </c>
      <c r="BY133" s="65">
        <f>Таблица1[[#This Row],[Т1]]+Таблица1[[#This Row],[Lпрям1, мм]]</f>
        <v>3511967.1551688462</v>
      </c>
      <c r="BZ133" s="65">
        <f>Таблица1[[#This Row],[Т2]]+Таблица1[[#This Row],[Lдуг 2,мм]]</f>
        <v>3513031.3248243569</v>
      </c>
      <c r="CA133" s="65">
        <f>Таблица1[[#This Row],[Т3]]+Таблица1[[#This Row],[Lпрям2, мм]]</f>
        <v>3516753.3248243569</v>
      </c>
      <c r="CB133" s="65">
        <f>Таблица1[[#This Row],[Т4]]+Таблица1[[#This Row],[Lдуг 3,мм]]</f>
        <v>3517880.3322927756</v>
      </c>
      <c r="CC133" s="65">
        <f>Таблица1[[#This Row],[Т5]]+Таблица1[[#This Row],[Lпрям3, мм]]</f>
        <v>3519724.9922954859</v>
      </c>
      <c r="CD133" s="65">
        <f>Таблица1[[#This Row],[Т6]]+Таблица1[[#This Row],[Lдуг 4,мм]]</f>
        <v>3520852.0775560178</v>
      </c>
      <c r="CE133" s="65">
        <f>Таблица1[[#This Row],[Т7]]+Таблица1[[#This Row],[Lпрям4, мм]]</f>
        <v>3521602.1775560179</v>
      </c>
      <c r="CF133" s="72">
        <f>Таблица1[[#This Row],[Т8]]+Таблица1[[#This Row],[Lдуг 5,мм]]</f>
        <v>3522494.8882167819</v>
      </c>
      <c r="CG133" s="65">
        <f>Таблица1[[#This Row],[Т9]]+Таблица1[[#This Row],[Lпрям5, мм]]</f>
        <v>3525045.4053888693</v>
      </c>
      <c r="CH133" s="65">
        <f>Таблица1[[#This Row],[Т10]]+Таблица1[[#This Row],[Lдуг 6,мм]]</f>
        <v>3527065.1624086797</v>
      </c>
      <c r="CI133" s="66">
        <f>Таблица1[[#This Row],[Т11]]+Таблица1[[#This Row],[Lпрям6, мм]]</f>
        <v>3528386.841860381</v>
      </c>
      <c r="CJ133" s="64">
        <f>Таблица1[[#This Row],[Т12]]-Таблица1[[#This Row],[Т12]]</f>
        <v>0</v>
      </c>
      <c r="CK133" s="65">
        <f>Таблица1[[#This Row],[Т12]]-Таблица1[[#This Row],[Т11]]</f>
        <v>1321.6794517012313</v>
      </c>
      <c r="CL133" s="65">
        <f>Таблица1[[#This Row],[Т12]]-Таблица1[[#This Row],[Т10]]</f>
        <v>3341.4364715116099</v>
      </c>
      <c r="CM133" s="65">
        <f>Таблица1[[#This Row],[Т12]]-Таблица1[[#This Row],[Т9]]</f>
        <v>5891.9536435990594</v>
      </c>
      <c r="CN133" s="65">
        <f>Таблица1[[#This Row],[Т12]]-Таблица1[[#This Row],[Т8]]</f>
        <v>6784.6643043630756</v>
      </c>
      <c r="CO133" s="65">
        <f>Таблица1[[#This Row],[Т12]]-Таблица1[[#This Row],[Т7]]</f>
        <v>7534.7643043631688</v>
      </c>
      <c r="CP133" s="65">
        <f>Таблица1[[#This Row],[Т12]]-Таблица1[[#This Row],[Т6]]</f>
        <v>8661.8495648950338</v>
      </c>
      <c r="CQ133" s="65">
        <f>Таблица1[[#This Row],[Т12]]-Таблица1[[#This Row],[Т5]]</f>
        <v>10506.509567605332</v>
      </c>
      <c r="CR133" s="65">
        <f>Таблица1[[#This Row],[Т12]]-Таблица1[[#This Row],[Т4]]</f>
        <v>11633.517036024015</v>
      </c>
      <c r="CS133" s="65">
        <f>Таблица1[[#This Row],[Т12]]-Таблица1[[#This Row],[Т3]]</f>
        <v>15355.517036024015</v>
      </c>
      <c r="CT133" s="65">
        <f>Таблица1[[#This Row],[Т12]]-Таблица1[[#This Row],[Т2]]</f>
        <v>16419.686691534705</v>
      </c>
      <c r="CU133" s="65">
        <f>Таблица1[[#This Row],[Т12]]-Таблица1[[#This Row],[Т1]]</f>
        <v>18305.986507901456</v>
      </c>
      <c r="CV133" s="65">
        <f>Таблица1[[#This Row],[Lкан_леб,мм]]+Таблица1[[#This Row],[Lкан_дуг, мм]]+Таблица1[[#This Row],[Lкан_прям, мм]]</f>
        <v>3528386.841860381</v>
      </c>
      <c r="CW133" s="60">
        <f>3511128.4-(Таблица1[[#This Row],[Lкан_леб,мм]]+Таблица1[[#This Row],[∆Lлеб из за стрел]])</f>
        <v>1047.544647520408</v>
      </c>
    </row>
    <row r="134" spans="1:101" x14ac:dyDescent="0.25">
      <c r="A134">
        <v>133</v>
      </c>
      <c r="B134">
        <v>117.32885906040227</v>
      </c>
      <c r="C134">
        <v>-27.338859060402267</v>
      </c>
      <c r="D134">
        <v>-4133.5662745269574</v>
      </c>
      <c r="E134">
        <v>5725.1620532996749</v>
      </c>
      <c r="F134">
        <v>-3416.1994540763585</v>
      </c>
      <c r="G134">
        <v>4962.0368375476337</v>
      </c>
      <c r="H134">
        <v>-3416.0667645269573</v>
      </c>
      <c r="I134">
        <v>4403.4826070268427</v>
      </c>
      <c r="J134">
        <v>1321.6794462728326</v>
      </c>
      <c r="K134">
        <v>12001.589161403244</v>
      </c>
      <c r="L134">
        <v>6257.3492456273416</v>
      </c>
      <c r="M134">
        <v>3510127.9034533505</v>
      </c>
      <c r="N134">
        <v>0</v>
      </c>
      <c r="O134">
        <v>8</v>
      </c>
      <c r="P134">
        <v>-3322.5</v>
      </c>
      <c r="Q134">
        <v>-2811.96</v>
      </c>
      <c r="R134">
        <v>-3280</v>
      </c>
      <c r="S134">
        <v>-914.66</v>
      </c>
      <c r="T134">
        <v>-7002</v>
      </c>
      <c r="U134">
        <v>520.34</v>
      </c>
      <c r="V134">
        <v>-7002.1</v>
      </c>
      <c r="W134">
        <v>2365</v>
      </c>
      <c r="X134">
        <v>-6252</v>
      </c>
      <c r="Y134">
        <v>3800</v>
      </c>
      <c r="Z134">
        <v>-4133.5662745269574</v>
      </c>
      <c r="AA134">
        <v>5725.1620532996749</v>
      </c>
      <c r="AB134">
        <v>0</v>
      </c>
      <c r="AC134">
        <v>1064.1696555107644</v>
      </c>
      <c r="AD134">
        <v>1127.0074684186504</v>
      </c>
      <c r="AE134">
        <v>1127.0852605320265</v>
      </c>
      <c r="AF134">
        <v>906.02025105963037</v>
      </c>
      <c r="AG134">
        <v>2033.0666101062698</v>
      </c>
      <c r="AH134">
        <v>1886.2998163666878</v>
      </c>
      <c r="AI134">
        <v>3721.9999999999995</v>
      </c>
      <c r="AJ134">
        <v>1844.6600027105269</v>
      </c>
      <c r="AK134">
        <v>750.10000000000059</v>
      </c>
      <c r="AL134">
        <v>2476.8498906245027</v>
      </c>
      <c r="AM134">
        <v>1321.6794517015283</v>
      </c>
      <c r="AN134">
        <v>-95.021003558665456</v>
      </c>
      <c r="AO134">
        <v>-180</v>
      </c>
      <c r="AP134">
        <v>-90.003106034687008</v>
      </c>
      <c r="AQ134">
        <v>1.2722218725854067E-14</v>
      </c>
      <c r="AR134">
        <v>-72.350016082369422</v>
      </c>
      <c r="AS134">
        <v>89.999999566492619</v>
      </c>
      <c r="AT134">
        <v>-2400.1625746957502</v>
      </c>
      <c r="AU134">
        <v>-3280</v>
      </c>
      <c r="AV134">
        <v>-7719.4999989457119</v>
      </c>
      <c r="AW134">
        <v>-7002.1</v>
      </c>
      <c r="AX134">
        <v>-5568.2752201231524</v>
      </c>
      <c r="AY134">
        <v>-3416.0662745269574</v>
      </c>
      <c r="AZ134">
        <v>-2730.9252207921031</v>
      </c>
      <c r="BA134">
        <v>-197.16</v>
      </c>
      <c r="BB134">
        <v>520.3011039433311</v>
      </c>
      <c r="BC134">
        <v>3082.5000000000005</v>
      </c>
      <c r="BD134">
        <v>3582.4530501653562</v>
      </c>
      <c r="BE134">
        <v>5725.1620587283742</v>
      </c>
      <c r="BF134">
        <v>-2565.2532760267472</v>
      </c>
      <c r="BG134">
        <v>-7002</v>
      </c>
      <c r="BH134">
        <v>-7719.5999989457123</v>
      </c>
      <c r="BI134">
        <v>-6252</v>
      </c>
      <c r="BJ134">
        <v>-4817.291054403805</v>
      </c>
      <c r="BK134">
        <v>-3416.0662645269576</v>
      </c>
      <c r="BL134">
        <v>-851.86373761518519</v>
      </c>
      <c r="BM134">
        <v>-197.16</v>
      </c>
      <c r="BN134">
        <v>2364.9611039433312</v>
      </c>
      <c r="BO134">
        <v>3082.5000000000005</v>
      </c>
      <c r="BP134">
        <v>5942.7090031343196</v>
      </c>
      <c r="BQ134">
        <v>4403.4826070268464</v>
      </c>
      <c r="BR134">
        <v>0</v>
      </c>
      <c r="BS134">
        <v>84.97899644133453</v>
      </c>
      <c r="BT134">
        <v>89.996893965312992</v>
      </c>
      <c r="BU134">
        <v>90.003106034687022</v>
      </c>
      <c r="BV134">
        <v>72.350016082369436</v>
      </c>
      <c r="BW134">
        <v>162.35001564886204</v>
      </c>
      <c r="BX134" s="69">
        <f>Таблица1[[#This Row],[Lкан_леб,мм]]</f>
        <v>3510127.9034533505</v>
      </c>
      <c r="BY134" s="65">
        <f>Таблица1[[#This Row],[Т1]]+Таблица1[[#This Row],[Lпрям1, мм]]</f>
        <v>3512014.2032697173</v>
      </c>
      <c r="BZ134" s="65">
        <f>Таблица1[[#This Row],[Т2]]+Таблица1[[#This Row],[Lдуг 2,мм]]</f>
        <v>3513078.372925228</v>
      </c>
      <c r="CA134" s="65">
        <f>Таблица1[[#This Row],[Т3]]+Таблица1[[#This Row],[Lпрям2, мм]]</f>
        <v>3516800.372925228</v>
      </c>
      <c r="CB134" s="65">
        <f>Таблица1[[#This Row],[Т4]]+Таблица1[[#This Row],[Lдуг 3,мм]]</f>
        <v>3517927.3803936467</v>
      </c>
      <c r="CC134" s="65">
        <f>Таблица1[[#This Row],[Т5]]+Таблица1[[#This Row],[Lпрям3, мм]]</f>
        <v>3519772.040396357</v>
      </c>
      <c r="CD134" s="65">
        <f>Таблица1[[#This Row],[Т6]]+Таблица1[[#This Row],[Lдуг 4,мм]]</f>
        <v>3520899.1256568888</v>
      </c>
      <c r="CE134" s="65">
        <f>Таблица1[[#This Row],[Т7]]+Таблица1[[#This Row],[Lпрям4, мм]]</f>
        <v>3521649.2256568889</v>
      </c>
      <c r="CF134" s="72">
        <f>Таблица1[[#This Row],[Т8]]+Таблица1[[#This Row],[Lдуг 5,мм]]</f>
        <v>3522555.2459079484</v>
      </c>
      <c r="CG134" s="65">
        <f>Таблица1[[#This Row],[Т9]]+Таблица1[[#This Row],[Lпрям5, мм]]</f>
        <v>3525032.095798573</v>
      </c>
      <c r="CH134" s="65">
        <f>Таблица1[[#This Row],[Т10]]+Таблица1[[#This Row],[Lдуг 6,мм]]</f>
        <v>3527065.1624086793</v>
      </c>
      <c r="CI134" s="66">
        <f>Таблица1[[#This Row],[Т11]]+Таблица1[[#This Row],[Lпрям6, мм]]</f>
        <v>3528386.841860381</v>
      </c>
      <c r="CJ134" s="64">
        <f>Таблица1[[#This Row],[Т12]]-Таблица1[[#This Row],[Т12]]</f>
        <v>0</v>
      </c>
      <c r="CK134" s="65">
        <f>Таблица1[[#This Row],[Т12]]-Таблица1[[#This Row],[Т11]]</f>
        <v>1321.679451701697</v>
      </c>
      <c r="CL134" s="65">
        <f>Таблица1[[#This Row],[Т12]]-Таблица1[[#This Row],[Т10]]</f>
        <v>3354.746061807964</v>
      </c>
      <c r="CM134" s="65">
        <f>Таблица1[[#This Row],[Т12]]-Таблица1[[#This Row],[Т9]]</f>
        <v>5831.5959524326026</v>
      </c>
      <c r="CN134" s="65">
        <f>Таблица1[[#This Row],[Т12]]-Таблица1[[#This Row],[Т8]]</f>
        <v>6737.6162034920417</v>
      </c>
      <c r="CO134" s="65">
        <f>Таблица1[[#This Row],[Т12]]-Таблица1[[#This Row],[Т7]]</f>
        <v>7487.7162034921348</v>
      </c>
      <c r="CP134" s="65">
        <f>Таблица1[[#This Row],[Т12]]-Таблица1[[#This Row],[Т6]]</f>
        <v>8614.8014640239999</v>
      </c>
      <c r="CQ134" s="65">
        <f>Таблица1[[#This Row],[Т12]]-Таблица1[[#This Row],[Т5]]</f>
        <v>10459.461466734298</v>
      </c>
      <c r="CR134" s="65">
        <f>Таблица1[[#This Row],[Т12]]-Таблица1[[#This Row],[Т4]]</f>
        <v>11586.468935152981</v>
      </c>
      <c r="CS134" s="65">
        <f>Таблица1[[#This Row],[Т12]]-Таблица1[[#This Row],[Т3]]</f>
        <v>15308.468935152981</v>
      </c>
      <c r="CT134" s="65">
        <f>Таблица1[[#This Row],[Т12]]-Таблица1[[#This Row],[Т2]]</f>
        <v>16372.638590663671</v>
      </c>
      <c r="CU134" s="65">
        <f>Таблица1[[#This Row],[Т12]]-Таблица1[[#This Row],[Т1]]</f>
        <v>18258.938407030422</v>
      </c>
      <c r="CV134" s="65">
        <f>Таблица1[[#This Row],[Lкан_леб,мм]]+Таблица1[[#This Row],[Lкан_дуг, мм]]+Таблица1[[#This Row],[Lкан_прям, мм]]</f>
        <v>3528386.841860381</v>
      </c>
      <c r="CW134" s="60">
        <f>3511128.4-(Таблица1[[#This Row],[Lкан_леб,мм]]+Таблица1[[#This Row],[∆Lлеб из за стрел]])</f>
        <v>1000.4965466493741</v>
      </c>
    </row>
    <row r="135" spans="1:101" x14ac:dyDescent="0.25">
      <c r="A135">
        <v>134</v>
      </c>
      <c r="B135">
        <v>117.83892617449622</v>
      </c>
      <c r="C135">
        <v>-27.848926174496221</v>
      </c>
      <c r="D135">
        <v>-4192.2750043391943</v>
      </c>
      <c r="E135">
        <v>5694.4908833971385</v>
      </c>
      <c r="F135">
        <v>-3474.9081838885954</v>
      </c>
      <c r="G135">
        <v>4931.3656676450973</v>
      </c>
      <c r="H135">
        <v>-3474.7754943391947</v>
      </c>
      <c r="I135">
        <v>4372.811437124441</v>
      </c>
      <c r="J135">
        <v>1321.6794462726975</v>
      </c>
      <c r="K135">
        <v>11927.30826354963</v>
      </c>
      <c r="L135">
        <v>6285.0516023856853</v>
      </c>
      <c r="M135">
        <v>3510174.4819944454</v>
      </c>
      <c r="N135">
        <v>0</v>
      </c>
      <c r="O135">
        <v>8</v>
      </c>
      <c r="P135">
        <v>-3322.5</v>
      </c>
      <c r="Q135">
        <v>-2811.96</v>
      </c>
      <c r="R135">
        <v>-3280</v>
      </c>
      <c r="S135">
        <v>-914.66</v>
      </c>
      <c r="T135">
        <v>-7002</v>
      </c>
      <c r="U135">
        <v>520.34</v>
      </c>
      <c r="V135">
        <v>-7002.1</v>
      </c>
      <c r="W135">
        <v>2365</v>
      </c>
      <c r="X135">
        <v>-6252</v>
      </c>
      <c r="Y135">
        <v>3800</v>
      </c>
      <c r="Z135">
        <v>-4192.2750043391943</v>
      </c>
      <c r="AA135">
        <v>5694.4908833971385</v>
      </c>
      <c r="AB135">
        <v>0</v>
      </c>
      <c r="AC135">
        <v>1064.1696555107644</v>
      </c>
      <c r="AD135">
        <v>1127.0074684186504</v>
      </c>
      <c r="AE135">
        <v>1127.0852605320265</v>
      </c>
      <c r="AF135">
        <v>919.87142943880258</v>
      </c>
      <c r="AG135">
        <v>2046.9177884854419</v>
      </c>
      <c r="AH135">
        <v>1886.2998163666878</v>
      </c>
      <c r="AI135">
        <v>3721.9999999999995</v>
      </c>
      <c r="AJ135">
        <v>1844.6600027105269</v>
      </c>
      <c r="AK135">
        <v>750.10000000000059</v>
      </c>
      <c r="AL135">
        <v>2402.5689927710241</v>
      </c>
      <c r="AM135">
        <v>1321.6794517013932</v>
      </c>
      <c r="AN135">
        <v>-95.021003558665456</v>
      </c>
      <c r="AO135">
        <v>-180</v>
      </c>
      <c r="AP135">
        <v>-90.003106034687008</v>
      </c>
      <c r="AQ135">
        <v>1.2722218725854067E-14</v>
      </c>
      <c r="AR135">
        <v>-73.45609839931636</v>
      </c>
      <c r="AS135">
        <v>89.999999566492633</v>
      </c>
      <c r="AT135">
        <v>-2400.1625746957502</v>
      </c>
      <c r="AU135">
        <v>-3280</v>
      </c>
      <c r="AV135">
        <v>-7719.4999989457119</v>
      </c>
      <c r="AW135">
        <v>-7002.1</v>
      </c>
      <c r="AX135">
        <v>-5564.2031847763883</v>
      </c>
      <c r="AY135">
        <v>-3474.7750043391939</v>
      </c>
      <c r="AZ135">
        <v>-2730.9252207921031</v>
      </c>
      <c r="BA135">
        <v>-197.16</v>
      </c>
      <c r="BB135">
        <v>520.3011039433311</v>
      </c>
      <c r="BC135">
        <v>3082.5000000000005</v>
      </c>
      <c r="BD135">
        <v>3595.6919214317331</v>
      </c>
      <c r="BE135">
        <v>5694.4908888258378</v>
      </c>
      <c r="BF135">
        <v>-2565.2532760267472</v>
      </c>
      <c r="BG135">
        <v>-7002</v>
      </c>
      <c r="BH135">
        <v>-7719.5999989457123</v>
      </c>
      <c r="BI135">
        <v>-6252</v>
      </c>
      <c r="BJ135">
        <v>-4880.071819562806</v>
      </c>
      <c r="BK135">
        <v>-3474.7749943391946</v>
      </c>
      <c r="BL135">
        <v>-851.86373761518519</v>
      </c>
      <c r="BM135">
        <v>-197.16</v>
      </c>
      <c r="BN135">
        <v>2364.9611039433312</v>
      </c>
      <c r="BO135">
        <v>3082.5000000000005</v>
      </c>
      <c r="BP135">
        <v>5898.7989619654063</v>
      </c>
      <c r="BQ135">
        <v>4372.8114371244446</v>
      </c>
      <c r="BR135">
        <v>0</v>
      </c>
      <c r="BS135">
        <v>84.97899644133453</v>
      </c>
      <c r="BT135">
        <v>89.996893965312992</v>
      </c>
      <c r="BU135">
        <v>90.003106034687022</v>
      </c>
      <c r="BV135">
        <v>73.456098399316375</v>
      </c>
      <c r="BW135">
        <v>163.45609796580899</v>
      </c>
      <c r="BX135" s="69">
        <f>Таблица1[[#This Row],[Lкан_леб,мм]]</f>
        <v>3510174.4819944454</v>
      </c>
      <c r="BY135" s="65">
        <f>Таблица1[[#This Row],[Т1]]+Таблица1[[#This Row],[Lпрям1, мм]]</f>
        <v>3512060.7818108122</v>
      </c>
      <c r="BZ135" s="65">
        <f>Таблица1[[#This Row],[Т2]]+Таблица1[[#This Row],[Lдуг 2,мм]]</f>
        <v>3513124.9514663229</v>
      </c>
      <c r="CA135" s="65">
        <f>Таблица1[[#This Row],[Т3]]+Таблица1[[#This Row],[Lпрям2, мм]]</f>
        <v>3516846.9514663229</v>
      </c>
      <c r="CB135" s="65">
        <f>Таблица1[[#This Row],[Т4]]+Таблица1[[#This Row],[Lдуг 3,мм]]</f>
        <v>3517973.9589347416</v>
      </c>
      <c r="CC135" s="65">
        <f>Таблица1[[#This Row],[Т5]]+Таблица1[[#This Row],[Lпрям3, мм]]</f>
        <v>3519818.6189374519</v>
      </c>
      <c r="CD135" s="65">
        <f>Таблица1[[#This Row],[Т6]]+Таблица1[[#This Row],[Lдуг 4,мм]]</f>
        <v>3520945.7041979837</v>
      </c>
      <c r="CE135" s="65">
        <f>Таблица1[[#This Row],[Т7]]+Таблица1[[#This Row],[Lпрям4, мм]]</f>
        <v>3521695.8041979838</v>
      </c>
      <c r="CF135" s="72">
        <f>Таблица1[[#This Row],[Т8]]+Таблица1[[#This Row],[Lдуг 5,мм]]</f>
        <v>3522615.6756274225</v>
      </c>
      <c r="CG135" s="65">
        <f>Таблица1[[#This Row],[Т9]]+Таблица1[[#This Row],[Lпрям5, мм]]</f>
        <v>3525018.2446201937</v>
      </c>
      <c r="CH135" s="65">
        <f>Таблица1[[#This Row],[Т10]]+Таблица1[[#This Row],[Lдуг 6,мм]]</f>
        <v>3527065.1624086793</v>
      </c>
      <c r="CI135" s="66">
        <f>Таблица1[[#This Row],[Т11]]+Таблица1[[#This Row],[Lпрям6, мм]]</f>
        <v>3528386.8418603805</v>
      </c>
      <c r="CJ135" s="64">
        <f>Таблица1[[#This Row],[Т12]]-Таблица1[[#This Row],[Т12]]</f>
        <v>0</v>
      </c>
      <c r="CK135" s="65">
        <f>Таблица1[[#This Row],[Т12]]-Таблица1[[#This Row],[Т11]]</f>
        <v>1321.6794517012313</v>
      </c>
      <c r="CL135" s="65">
        <f>Таблица1[[#This Row],[Т12]]-Таблица1[[#This Row],[Т10]]</f>
        <v>3368.5972401867621</v>
      </c>
      <c r="CM135" s="65">
        <f>Таблица1[[#This Row],[Т12]]-Таблица1[[#This Row],[Т9]]</f>
        <v>5771.1662329579704</v>
      </c>
      <c r="CN135" s="65">
        <f>Таблица1[[#This Row],[Т12]]-Таблица1[[#This Row],[Т8]]</f>
        <v>6691.0376623966731</v>
      </c>
      <c r="CO135" s="65">
        <f>Таблица1[[#This Row],[Т12]]-Таблица1[[#This Row],[Т7]]</f>
        <v>7441.1376623967662</v>
      </c>
      <c r="CP135" s="65">
        <f>Таблица1[[#This Row],[Т12]]-Таблица1[[#This Row],[Т6]]</f>
        <v>8568.2229229286313</v>
      </c>
      <c r="CQ135" s="65">
        <f>Таблица1[[#This Row],[Т12]]-Таблица1[[#This Row],[Т5]]</f>
        <v>10412.882925638929</v>
      </c>
      <c r="CR135" s="65">
        <f>Таблица1[[#This Row],[Т12]]-Таблица1[[#This Row],[Т4]]</f>
        <v>11539.890394057613</v>
      </c>
      <c r="CS135" s="65">
        <f>Таблица1[[#This Row],[Т12]]-Таблица1[[#This Row],[Т3]]</f>
        <v>15261.890394057613</v>
      </c>
      <c r="CT135" s="65">
        <f>Таблица1[[#This Row],[Т12]]-Таблица1[[#This Row],[Т2]]</f>
        <v>16326.060049568303</v>
      </c>
      <c r="CU135" s="65">
        <f>Таблица1[[#This Row],[Т12]]-Таблица1[[#This Row],[Т1]]</f>
        <v>18212.359865935054</v>
      </c>
      <c r="CV135" s="65">
        <f>Таблица1[[#This Row],[Lкан_леб,мм]]+Таблица1[[#This Row],[Lкан_дуг, мм]]+Таблица1[[#This Row],[Lкан_прям, мм]]</f>
        <v>3528386.8418603805</v>
      </c>
      <c r="CW135" s="60">
        <f>3511128.4-(Таблица1[[#This Row],[Lкан_леб,мм]]+Таблица1[[#This Row],[∆Lлеб из за стрел]])</f>
        <v>953.91800555447116</v>
      </c>
    </row>
    <row r="136" spans="1:101" x14ac:dyDescent="0.25">
      <c r="A136">
        <v>135</v>
      </c>
      <c r="B136">
        <v>118.34899328859018</v>
      </c>
      <c r="C136">
        <v>-28.358993288590177</v>
      </c>
      <c r="D136">
        <v>-4250.7083658795946</v>
      </c>
      <c r="E136">
        <v>5663.2982900704319</v>
      </c>
      <c r="F136">
        <v>-3533.3415454289957</v>
      </c>
      <c r="G136">
        <v>4900.1730743183907</v>
      </c>
      <c r="H136">
        <v>-3533.2088558795945</v>
      </c>
      <c r="I136">
        <v>4341.6188437974943</v>
      </c>
      <c r="J136">
        <v>1321.6794462729372</v>
      </c>
      <c r="K136">
        <v>11852.361173618678</v>
      </c>
      <c r="L136">
        <v>6313.9318427866747</v>
      </c>
      <c r="M136">
        <v>3510220.5488439756</v>
      </c>
      <c r="N136">
        <v>0</v>
      </c>
      <c r="O136">
        <v>8</v>
      </c>
      <c r="P136">
        <v>-3322.5</v>
      </c>
      <c r="Q136">
        <v>-2811.96</v>
      </c>
      <c r="R136">
        <v>-3280</v>
      </c>
      <c r="S136">
        <v>-914.66</v>
      </c>
      <c r="T136">
        <v>-7002</v>
      </c>
      <c r="U136">
        <v>520.34</v>
      </c>
      <c r="V136">
        <v>-7002.1</v>
      </c>
      <c r="W136">
        <v>2365</v>
      </c>
      <c r="X136">
        <v>-6252</v>
      </c>
      <c r="Y136">
        <v>3800</v>
      </c>
      <c r="Z136">
        <v>-4250.7083658795946</v>
      </c>
      <c r="AA136">
        <v>5663.2982900704319</v>
      </c>
      <c r="AB136">
        <v>0</v>
      </c>
      <c r="AC136">
        <v>1064.1696555107644</v>
      </c>
      <c r="AD136">
        <v>1127.0074684186504</v>
      </c>
      <c r="AE136">
        <v>1127.0852605320265</v>
      </c>
      <c r="AF136">
        <v>934.31154963929725</v>
      </c>
      <c r="AG136">
        <v>2061.3579086859363</v>
      </c>
      <c r="AH136">
        <v>1886.2998163666878</v>
      </c>
      <c r="AI136">
        <v>3721.9999999999995</v>
      </c>
      <c r="AJ136">
        <v>1844.6600027105269</v>
      </c>
      <c r="AK136">
        <v>750.10000000000059</v>
      </c>
      <c r="AL136">
        <v>2327.6219028398314</v>
      </c>
      <c r="AM136">
        <v>1321.6794517016331</v>
      </c>
      <c r="AN136">
        <v>-95.021003558665456</v>
      </c>
      <c r="AO136">
        <v>-180</v>
      </c>
      <c r="AP136">
        <v>-90.003106034687008</v>
      </c>
      <c r="AQ136">
        <v>1.2722218725854067E-14</v>
      </c>
      <c r="AR136">
        <v>-74.609210515204794</v>
      </c>
      <c r="AS136">
        <v>89.999999566492605</v>
      </c>
      <c r="AT136">
        <v>-2400.1625746957502</v>
      </c>
      <c r="AU136">
        <v>-3280</v>
      </c>
      <c r="AV136">
        <v>-7719.4999989457119</v>
      </c>
      <c r="AW136">
        <v>-7002.1</v>
      </c>
      <c r="AX136">
        <v>-5560.2309269282523</v>
      </c>
      <c r="AY136">
        <v>-3533.2083658795941</v>
      </c>
      <c r="AZ136">
        <v>-2730.9252207921031</v>
      </c>
      <c r="BA136">
        <v>-197.16</v>
      </c>
      <c r="BB136">
        <v>520.3011039433311</v>
      </c>
      <c r="BC136">
        <v>3082.5000000000005</v>
      </c>
      <c r="BD136">
        <v>3609.5746877606466</v>
      </c>
      <c r="BE136">
        <v>5663.2982954991312</v>
      </c>
      <c r="BF136">
        <v>-2565.2532760267472</v>
      </c>
      <c r="BG136">
        <v>-7002</v>
      </c>
      <c r="BH136">
        <v>-7719.5999989457123</v>
      </c>
      <c r="BI136">
        <v>-6252</v>
      </c>
      <c r="BJ136">
        <v>-4942.4774389513423</v>
      </c>
      <c r="BK136">
        <v>-3533.2083558795944</v>
      </c>
      <c r="BL136">
        <v>-851.86373761518519</v>
      </c>
      <c r="BM136">
        <v>-197.16</v>
      </c>
      <c r="BN136">
        <v>2364.9611039433312</v>
      </c>
      <c r="BO136">
        <v>3082.5000000000005</v>
      </c>
      <c r="BP136">
        <v>5853.7236023097857</v>
      </c>
      <c r="BQ136">
        <v>4341.6188437974979</v>
      </c>
      <c r="BR136">
        <v>0</v>
      </c>
      <c r="BS136">
        <v>84.97899644133453</v>
      </c>
      <c r="BT136">
        <v>89.996893965312992</v>
      </c>
      <c r="BU136">
        <v>90.003106034687022</v>
      </c>
      <c r="BV136">
        <v>74.609210515204808</v>
      </c>
      <c r="BW136">
        <v>164.6092100816974</v>
      </c>
      <c r="BX136" s="69">
        <f>Таблица1[[#This Row],[Lкан_леб,мм]]</f>
        <v>3510220.5488439756</v>
      </c>
      <c r="BY136" s="65">
        <f>Таблица1[[#This Row],[Т1]]+Таблица1[[#This Row],[Lпрям1, мм]]</f>
        <v>3512106.8486603424</v>
      </c>
      <c r="BZ136" s="65">
        <f>Таблица1[[#This Row],[Т2]]+Таблица1[[#This Row],[Lдуг 2,мм]]</f>
        <v>3513171.0183158531</v>
      </c>
      <c r="CA136" s="65">
        <f>Таблица1[[#This Row],[Т3]]+Таблица1[[#This Row],[Lпрям2, мм]]</f>
        <v>3516893.0183158531</v>
      </c>
      <c r="CB136" s="65">
        <f>Таблица1[[#This Row],[Т4]]+Таблица1[[#This Row],[Lдуг 3,мм]]</f>
        <v>3518020.0257842718</v>
      </c>
      <c r="CC136" s="65">
        <f>Таблица1[[#This Row],[Т5]]+Таблица1[[#This Row],[Lпрям3, мм]]</f>
        <v>3519864.6857869821</v>
      </c>
      <c r="CD136" s="65">
        <f>Таблица1[[#This Row],[Т6]]+Таблица1[[#This Row],[Lдуг 4,мм]]</f>
        <v>3520991.7710475139</v>
      </c>
      <c r="CE136" s="65">
        <f>Таблица1[[#This Row],[Т7]]+Таблица1[[#This Row],[Lпрям4, мм]]</f>
        <v>3521741.871047514</v>
      </c>
      <c r="CF136" s="72">
        <f>Таблица1[[#This Row],[Т8]]+Таблица1[[#This Row],[Lдуг 5,мм]]</f>
        <v>3522676.1825971534</v>
      </c>
      <c r="CG136" s="65">
        <f>Таблица1[[#This Row],[Т9]]+Таблица1[[#This Row],[Lпрям5, мм]]</f>
        <v>3525003.8044999931</v>
      </c>
      <c r="CH136" s="65">
        <f>Таблица1[[#This Row],[Т10]]+Таблица1[[#This Row],[Lдуг 6,мм]]</f>
        <v>3527065.1624086793</v>
      </c>
      <c r="CI136" s="66">
        <f>Таблица1[[#This Row],[Т11]]+Таблица1[[#This Row],[Lпрям6, мм]]</f>
        <v>3528386.841860381</v>
      </c>
      <c r="CJ136" s="64">
        <f>Таблица1[[#This Row],[Т12]]-Таблица1[[#This Row],[Т12]]</f>
        <v>0</v>
      </c>
      <c r="CK136" s="65">
        <f>Таблица1[[#This Row],[Т12]]-Таблица1[[#This Row],[Т11]]</f>
        <v>1321.679451701697</v>
      </c>
      <c r="CL136" s="65">
        <f>Таблица1[[#This Row],[Т12]]-Таблица1[[#This Row],[Т10]]</f>
        <v>3383.0373603878543</v>
      </c>
      <c r="CM136" s="65">
        <f>Таблица1[[#This Row],[Т12]]-Таблица1[[#This Row],[Т9]]</f>
        <v>5710.6592632276006</v>
      </c>
      <c r="CN136" s="65">
        <f>Таблица1[[#This Row],[Т12]]-Таблица1[[#This Row],[Т8]]</f>
        <v>6644.9708128669299</v>
      </c>
      <c r="CO136" s="65">
        <f>Таблица1[[#This Row],[Т12]]-Таблица1[[#This Row],[Т7]]</f>
        <v>7395.0708128670231</v>
      </c>
      <c r="CP136" s="65">
        <f>Таблица1[[#This Row],[Т12]]-Таблица1[[#This Row],[Т6]]</f>
        <v>8522.1560733988881</v>
      </c>
      <c r="CQ136" s="65">
        <f>Таблица1[[#This Row],[Т12]]-Таблица1[[#This Row],[Т5]]</f>
        <v>10366.816076109186</v>
      </c>
      <c r="CR136" s="65">
        <f>Таблица1[[#This Row],[Т12]]-Таблица1[[#This Row],[Т4]]</f>
        <v>11493.82354452787</v>
      </c>
      <c r="CS136" s="65">
        <f>Таблица1[[#This Row],[Т12]]-Таблица1[[#This Row],[Т3]]</f>
        <v>15215.82354452787</v>
      </c>
      <c r="CT136" s="65">
        <f>Таблица1[[#This Row],[Т12]]-Таблица1[[#This Row],[Т2]]</f>
        <v>16279.99320003856</v>
      </c>
      <c r="CU136" s="65">
        <f>Таблица1[[#This Row],[Т12]]-Таблица1[[#This Row],[Т1]]</f>
        <v>18166.29301640531</v>
      </c>
      <c r="CV136" s="65">
        <f>Таблица1[[#This Row],[Lкан_леб,мм]]+Таблица1[[#This Row],[Lкан_дуг, мм]]+Таблица1[[#This Row],[Lкан_прям, мм]]</f>
        <v>3528386.841860381</v>
      </c>
      <c r="CW136" s="60">
        <f>3511128.4-(Таблица1[[#This Row],[Lкан_леб,мм]]+Таблица1[[#This Row],[∆Lлеб из за стрел]])</f>
        <v>907.85115602426231</v>
      </c>
    </row>
    <row r="137" spans="1:101" x14ac:dyDescent="0.25">
      <c r="A137">
        <v>136</v>
      </c>
      <c r="B137">
        <v>118.85906040268414</v>
      </c>
      <c r="C137">
        <v>-28.869060402684134</v>
      </c>
      <c r="D137">
        <v>-4308.8617282270152</v>
      </c>
      <c r="E137">
        <v>5631.5867453738056</v>
      </c>
      <c r="F137">
        <v>-3591.4949077764163</v>
      </c>
      <c r="G137">
        <v>4868.4615296217653</v>
      </c>
      <c r="H137">
        <v>-3591.3622182270146</v>
      </c>
      <c r="I137">
        <v>4309.9072991012772</v>
      </c>
      <c r="J137">
        <v>1321.6794462725288</v>
      </c>
      <c r="K137">
        <v>11776.687615891604</v>
      </c>
      <c r="L137">
        <v>6344.0968723865171</v>
      </c>
      <c r="M137">
        <v>3510266.0573721025</v>
      </c>
      <c r="N137">
        <v>0</v>
      </c>
      <c r="O137">
        <v>8</v>
      </c>
      <c r="P137">
        <v>-3322.5</v>
      </c>
      <c r="Q137">
        <v>-2811.96</v>
      </c>
      <c r="R137">
        <v>-3280</v>
      </c>
      <c r="S137">
        <v>-914.66</v>
      </c>
      <c r="T137">
        <v>-7002</v>
      </c>
      <c r="U137">
        <v>520.34</v>
      </c>
      <c r="V137">
        <v>-7002.1</v>
      </c>
      <c r="W137">
        <v>2365</v>
      </c>
      <c r="X137">
        <v>-6252</v>
      </c>
      <c r="Y137">
        <v>3800</v>
      </c>
      <c r="Z137">
        <v>-4308.8617282270152</v>
      </c>
      <c r="AA137">
        <v>5631.5867453738056</v>
      </c>
      <c r="AB137">
        <v>0</v>
      </c>
      <c r="AC137">
        <v>1064.1696555107644</v>
      </c>
      <c r="AD137">
        <v>1127.0074684186504</v>
      </c>
      <c r="AE137">
        <v>1127.0852605320265</v>
      </c>
      <c r="AF137">
        <v>949.39406443921825</v>
      </c>
      <c r="AG137">
        <v>2076.4404234858575</v>
      </c>
      <c r="AH137">
        <v>1886.2998163666878</v>
      </c>
      <c r="AI137">
        <v>3721.9999999999995</v>
      </c>
      <c r="AJ137">
        <v>1844.6600027105269</v>
      </c>
      <c r="AK137">
        <v>750.10000000000059</v>
      </c>
      <c r="AL137">
        <v>2251.9483451131628</v>
      </c>
      <c r="AM137">
        <v>1321.6794517012245</v>
      </c>
      <c r="AN137">
        <v>-95.021003558665456</v>
      </c>
      <c r="AO137">
        <v>-180</v>
      </c>
      <c r="AP137">
        <v>-90.003106034687008</v>
      </c>
      <c r="AQ137">
        <v>1.2722218725854067E-14</v>
      </c>
      <c r="AR137">
        <v>-75.813620887997914</v>
      </c>
      <c r="AS137">
        <v>89.999999566492619</v>
      </c>
      <c r="AT137">
        <v>-2400.1625746957502</v>
      </c>
      <c r="AU137">
        <v>-3280</v>
      </c>
      <c r="AV137">
        <v>-7719.4999989457119</v>
      </c>
      <c r="AW137">
        <v>-7002.1</v>
      </c>
      <c r="AX137">
        <v>-5556.3811388281138</v>
      </c>
      <c r="AY137">
        <v>-3591.3617282270147</v>
      </c>
      <c r="AZ137">
        <v>-2730.9252207921031</v>
      </c>
      <c r="BA137">
        <v>-197.16</v>
      </c>
      <c r="BB137">
        <v>520.3011039433311</v>
      </c>
      <c r="BC137">
        <v>3082.5000000000005</v>
      </c>
      <c r="BD137">
        <v>3624.1573146760788</v>
      </c>
      <c r="BE137">
        <v>5631.5867508025049</v>
      </c>
      <c r="BF137">
        <v>-2565.2532760267472</v>
      </c>
      <c r="BG137">
        <v>-7002</v>
      </c>
      <c r="BH137">
        <v>-7719.5999989457123</v>
      </c>
      <c r="BI137">
        <v>-6252</v>
      </c>
      <c r="BJ137">
        <v>-5004.4805893989014</v>
      </c>
      <c r="BK137">
        <v>-3591.3617182270145</v>
      </c>
      <c r="BL137">
        <v>-851.86373761518519</v>
      </c>
      <c r="BM137">
        <v>-197.16</v>
      </c>
      <c r="BN137">
        <v>2364.9611039433312</v>
      </c>
      <c r="BO137">
        <v>3082.5000000000005</v>
      </c>
      <c r="BP137">
        <v>5807.4294306977272</v>
      </c>
      <c r="BQ137">
        <v>4309.9072991012808</v>
      </c>
      <c r="BR137">
        <v>0</v>
      </c>
      <c r="BS137">
        <v>84.97899644133453</v>
      </c>
      <c r="BT137">
        <v>89.996893965312992</v>
      </c>
      <c r="BU137">
        <v>90.003106034687022</v>
      </c>
      <c r="BV137">
        <v>75.813620887997928</v>
      </c>
      <c r="BW137">
        <v>165.81362045449055</v>
      </c>
      <c r="BX137" s="69">
        <f>Таблица1[[#This Row],[Lкан_леб,мм]]</f>
        <v>3510266.0573721025</v>
      </c>
      <c r="BY137" s="65">
        <f>Таблица1[[#This Row],[Т1]]+Таблица1[[#This Row],[Lпрям1, мм]]</f>
        <v>3512152.3571884693</v>
      </c>
      <c r="BZ137" s="65">
        <f>Таблица1[[#This Row],[Т2]]+Таблица1[[#This Row],[Lдуг 2,мм]]</f>
        <v>3513216.52684398</v>
      </c>
      <c r="CA137" s="65">
        <f>Таблица1[[#This Row],[Т3]]+Таблица1[[#This Row],[Lпрям2, мм]]</f>
        <v>3516938.52684398</v>
      </c>
      <c r="CB137" s="65">
        <f>Таблица1[[#This Row],[Т4]]+Таблица1[[#This Row],[Lдуг 3,мм]]</f>
        <v>3518065.5343123986</v>
      </c>
      <c r="CC137" s="65">
        <f>Таблица1[[#This Row],[Т5]]+Таблица1[[#This Row],[Lпрям3, мм]]</f>
        <v>3519910.1943151089</v>
      </c>
      <c r="CD137" s="65">
        <f>Таблица1[[#This Row],[Т6]]+Таблица1[[#This Row],[Lдуг 4,мм]]</f>
        <v>3521037.2795756408</v>
      </c>
      <c r="CE137" s="65">
        <f>Таблица1[[#This Row],[Т7]]+Таблица1[[#This Row],[Lпрям4, мм]]</f>
        <v>3521787.3795756409</v>
      </c>
      <c r="CF137" s="72">
        <f>Таблица1[[#This Row],[Т8]]+Таблица1[[#This Row],[Lдуг 5,мм]]</f>
        <v>3522736.7736400799</v>
      </c>
      <c r="CG137" s="65">
        <f>Таблица1[[#This Row],[Т9]]+Таблица1[[#This Row],[Lпрям5, мм]]</f>
        <v>3524988.721985193</v>
      </c>
      <c r="CH137" s="65">
        <f>Таблица1[[#This Row],[Т10]]+Таблица1[[#This Row],[Lдуг 6,мм]]</f>
        <v>3527065.1624086788</v>
      </c>
      <c r="CI137" s="66">
        <f>Таблица1[[#This Row],[Т11]]+Таблица1[[#This Row],[Lпрям6, мм]]</f>
        <v>3528386.84186038</v>
      </c>
      <c r="CJ137" s="64">
        <f>Таблица1[[#This Row],[Т12]]-Таблица1[[#This Row],[Т12]]</f>
        <v>0</v>
      </c>
      <c r="CK137" s="65">
        <f>Таблица1[[#This Row],[Т12]]-Таблица1[[#This Row],[Т11]]</f>
        <v>1321.6794517012313</v>
      </c>
      <c r="CL137" s="65">
        <f>Таблица1[[#This Row],[Т12]]-Таблица1[[#This Row],[Т10]]</f>
        <v>3398.1198751870543</v>
      </c>
      <c r="CM137" s="65">
        <f>Таблица1[[#This Row],[Т12]]-Таблица1[[#This Row],[Т9]]</f>
        <v>5650.0682203001343</v>
      </c>
      <c r="CN137" s="65">
        <f>Таблица1[[#This Row],[Т12]]-Таблица1[[#This Row],[Т8]]</f>
        <v>6599.4622847391292</v>
      </c>
      <c r="CO137" s="65">
        <f>Таблица1[[#This Row],[Т12]]-Таблица1[[#This Row],[Т7]]</f>
        <v>7349.5622847392224</v>
      </c>
      <c r="CP137" s="65">
        <f>Таблица1[[#This Row],[Т12]]-Таблица1[[#This Row],[Т6]]</f>
        <v>8476.6475452710874</v>
      </c>
      <c r="CQ137" s="65">
        <f>Таблица1[[#This Row],[Т12]]-Таблица1[[#This Row],[Т5]]</f>
        <v>10321.307547981385</v>
      </c>
      <c r="CR137" s="65">
        <f>Таблица1[[#This Row],[Т12]]-Таблица1[[#This Row],[Т4]]</f>
        <v>11448.315016400069</v>
      </c>
      <c r="CS137" s="65">
        <f>Таблица1[[#This Row],[Т12]]-Таблица1[[#This Row],[Т3]]</f>
        <v>15170.315016400069</v>
      </c>
      <c r="CT137" s="65">
        <f>Таблица1[[#This Row],[Т12]]-Таблица1[[#This Row],[Т2]]</f>
        <v>16234.484671910759</v>
      </c>
      <c r="CU137" s="65">
        <f>Таблица1[[#This Row],[Т12]]-Таблица1[[#This Row],[Т1]]</f>
        <v>18120.78448827751</v>
      </c>
      <c r="CV137" s="65">
        <f>Таблица1[[#This Row],[Lкан_леб,мм]]+Таблица1[[#This Row],[Lкан_дуг, мм]]+Таблица1[[#This Row],[Lкан_прям, мм]]</f>
        <v>3528386.8418603805</v>
      </c>
      <c r="CW137" s="60">
        <f>3511128.4-(Таблица1[[#This Row],[Lкан_леб,мм]]+Таблица1[[#This Row],[∆Lлеб из за стрел]])</f>
        <v>862.34262789739296</v>
      </c>
    </row>
    <row r="138" spans="1:101" x14ac:dyDescent="0.25">
      <c r="A138">
        <v>137</v>
      </c>
      <c r="B138">
        <v>119.36912751677809</v>
      </c>
      <c r="C138">
        <v>-29.379127516778091</v>
      </c>
      <c r="D138">
        <v>-4366.7304826506197</v>
      </c>
      <c r="E138">
        <v>5599.358762489097</v>
      </c>
      <c r="F138">
        <v>-3649.3636622000204</v>
      </c>
      <c r="G138">
        <v>4836.2335467370567</v>
      </c>
      <c r="H138">
        <v>-3649.2309726506192</v>
      </c>
      <c r="I138">
        <v>4277.6793162164458</v>
      </c>
      <c r="J138">
        <v>1321.6794462726514</v>
      </c>
      <c r="K138">
        <v>11700.21809374905</v>
      </c>
      <c r="L138">
        <v>6375.6679805760859</v>
      </c>
      <c r="M138">
        <v>3510310.9557860559</v>
      </c>
      <c r="N138">
        <v>0</v>
      </c>
      <c r="O138">
        <v>8</v>
      </c>
      <c r="P138">
        <v>-3322.5</v>
      </c>
      <c r="Q138">
        <v>-2811.96</v>
      </c>
      <c r="R138">
        <v>-3280</v>
      </c>
      <c r="S138">
        <v>-914.66</v>
      </c>
      <c r="T138">
        <v>-7002</v>
      </c>
      <c r="U138">
        <v>520.34</v>
      </c>
      <c r="V138">
        <v>-7002.1</v>
      </c>
      <c r="W138">
        <v>2365</v>
      </c>
      <c r="X138">
        <v>-6252</v>
      </c>
      <c r="Y138">
        <v>3800</v>
      </c>
      <c r="Z138">
        <v>-4366.7304826506197</v>
      </c>
      <c r="AA138">
        <v>5599.358762489097</v>
      </c>
      <c r="AB138">
        <v>0</v>
      </c>
      <c r="AC138">
        <v>1064.1696555107644</v>
      </c>
      <c r="AD138">
        <v>1127.0074684186504</v>
      </c>
      <c r="AE138">
        <v>1127.0852605320265</v>
      </c>
      <c r="AF138">
        <v>965.17961853400254</v>
      </c>
      <c r="AG138">
        <v>2092.2259775806419</v>
      </c>
      <c r="AH138">
        <v>1886.2998163666878</v>
      </c>
      <c r="AI138">
        <v>3721.9999999999995</v>
      </c>
      <c r="AJ138">
        <v>1844.6600027105269</v>
      </c>
      <c r="AK138">
        <v>750.10000000000059</v>
      </c>
      <c r="AL138">
        <v>2175.4788229704877</v>
      </c>
      <c r="AM138">
        <v>1321.679451701347</v>
      </c>
      <c r="AN138">
        <v>-95.021003558665456</v>
      </c>
      <c r="AO138">
        <v>-180</v>
      </c>
      <c r="AP138">
        <v>-90.003106034687008</v>
      </c>
      <c r="AQ138">
        <v>1.2722218725854067E-14</v>
      </c>
      <c r="AR138">
        <v>-77.074172284383422</v>
      </c>
      <c r="AS138">
        <v>89.999999566492619</v>
      </c>
      <c r="AT138">
        <v>-2400.1625746957502</v>
      </c>
      <c r="AU138">
        <v>-3280</v>
      </c>
      <c r="AV138">
        <v>-7719.4999989457119</v>
      </c>
      <c r="AW138">
        <v>-7002.1</v>
      </c>
      <c r="AX138">
        <v>-5552.6811208350055</v>
      </c>
      <c r="AY138">
        <v>-3649.2304826506193</v>
      </c>
      <c r="AZ138">
        <v>-2730.9252207921031</v>
      </c>
      <c r="BA138">
        <v>-197.16</v>
      </c>
      <c r="BB138">
        <v>520.3011039433311</v>
      </c>
      <c r="BC138">
        <v>3082.5000000000005</v>
      </c>
      <c r="BD138">
        <v>3639.5027874278921</v>
      </c>
      <c r="BE138">
        <v>5599.3587679177963</v>
      </c>
      <c r="BF138">
        <v>-2565.2532760267472</v>
      </c>
      <c r="BG138">
        <v>-7002</v>
      </c>
      <c r="BH138">
        <v>-7719.5999989457123</v>
      </c>
      <c r="BI138">
        <v>-6252</v>
      </c>
      <c r="BJ138">
        <v>-5066.0493618156133</v>
      </c>
      <c r="BK138">
        <v>-3649.230472650619</v>
      </c>
      <c r="BL138">
        <v>-851.86373761518519</v>
      </c>
      <c r="BM138">
        <v>-197.16</v>
      </c>
      <c r="BN138">
        <v>2364.9611039433312</v>
      </c>
      <c r="BO138">
        <v>3082.5000000000005</v>
      </c>
      <c r="BP138">
        <v>5759.8559750612048</v>
      </c>
      <c r="BQ138">
        <v>4277.6793162164495</v>
      </c>
      <c r="BR138">
        <v>0</v>
      </c>
      <c r="BS138">
        <v>84.97899644133453</v>
      </c>
      <c r="BT138">
        <v>89.996893965312992</v>
      </c>
      <c r="BU138">
        <v>90.003106034687022</v>
      </c>
      <c r="BV138">
        <v>77.074172284383437</v>
      </c>
      <c r="BW138">
        <v>167.07417185087604</v>
      </c>
      <c r="BX138" s="69">
        <f>Таблица1[[#This Row],[Lкан_леб,мм]]</f>
        <v>3510310.9557860559</v>
      </c>
      <c r="BY138" s="65">
        <f>Таблица1[[#This Row],[Т1]]+Таблица1[[#This Row],[Lпрям1, мм]]</f>
        <v>3512197.2556024226</v>
      </c>
      <c r="BZ138" s="65">
        <f>Таблица1[[#This Row],[Т2]]+Таблица1[[#This Row],[Lдуг 2,мм]]</f>
        <v>3513261.4252579333</v>
      </c>
      <c r="CA138" s="65">
        <f>Таблица1[[#This Row],[Т3]]+Таблица1[[#This Row],[Lпрям2, мм]]</f>
        <v>3516983.4252579333</v>
      </c>
      <c r="CB138" s="65">
        <f>Таблица1[[#This Row],[Т4]]+Таблица1[[#This Row],[Lдуг 3,мм]]</f>
        <v>3518110.432726352</v>
      </c>
      <c r="CC138" s="65">
        <f>Таблица1[[#This Row],[Т5]]+Таблица1[[#This Row],[Lпрям3, мм]]</f>
        <v>3519955.0927290623</v>
      </c>
      <c r="CD138" s="65">
        <f>Таблица1[[#This Row],[Т6]]+Таблица1[[#This Row],[Lдуг 4,мм]]</f>
        <v>3521082.1779895942</v>
      </c>
      <c r="CE138" s="65">
        <f>Таблица1[[#This Row],[Т7]]+Таблица1[[#This Row],[Lпрям4, мм]]</f>
        <v>3521832.2779895943</v>
      </c>
      <c r="CF138" s="72">
        <f>Таблица1[[#This Row],[Т8]]+Таблица1[[#This Row],[Lдуг 5,мм]]</f>
        <v>3522797.4576081284</v>
      </c>
      <c r="CG138" s="65">
        <f>Таблица1[[#This Row],[Т9]]+Таблица1[[#This Row],[Lпрям5, мм]]</f>
        <v>3524972.9364310987</v>
      </c>
      <c r="CH138" s="65">
        <f>Таблица1[[#This Row],[Т10]]+Таблица1[[#This Row],[Lдуг 6,мм]]</f>
        <v>3527065.1624086793</v>
      </c>
      <c r="CI138" s="66">
        <f>Таблица1[[#This Row],[Т11]]+Таблица1[[#This Row],[Lпрям6, мм]]</f>
        <v>3528386.8418603805</v>
      </c>
      <c r="CJ138" s="64">
        <f>Таблица1[[#This Row],[Т12]]-Таблица1[[#This Row],[Т12]]</f>
        <v>0</v>
      </c>
      <c r="CK138" s="65">
        <f>Таблица1[[#This Row],[Т12]]-Таблица1[[#This Row],[Т11]]</f>
        <v>1321.6794517012313</v>
      </c>
      <c r="CL138" s="65">
        <f>Таблица1[[#This Row],[Т12]]-Таблица1[[#This Row],[Т10]]</f>
        <v>3413.90542928176</v>
      </c>
      <c r="CM138" s="65">
        <f>Таблица1[[#This Row],[Т12]]-Таблица1[[#This Row],[Т9]]</f>
        <v>5589.3842522520572</v>
      </c>
      <c r="CN138" s="65">
        <f>Таблица1[[#This Row],[Т12]]-Таблица1[[#This Row],[Т8]]</f>
        <v>6554.5638707862236</v>
      </c>
      <c r="CO138" s="65">
        <f>Таблица1[[#This Row],[Т12]]-Таблица1[[#This Row],[Т7]]</f>
        <v>7304.6638707863167</v>
      </c>
      <c r="CP138" s="65">
        <f>Таблица1[[#This Row],[Т12]]-Таблица1[[#This Row],[Т6]]</f>
        <v>8431.7491313181818</v>
      </c>
      <c r="CQ138" s="65">
        <f>Таблица1[[#This Row],[Т12]]-Таблица1[[#This Row],[Т5]]</f>
        <v>10276.409134028479</v>
      </c>
      <c r="CR138" s="65">
        <f>Таблица1[[#This Row],[Т12]]-Таблица1[[#This Row],[Т4]]</f>
        <v>11403.416602447163</v>
      </c>
      <c r="CS138" s="65">
        <f>Таблица1[[#This Row],[Т12]]-Таблица1[[#This Row],[Т3]]</f>
        <v>15125.416602447163</v>
      </c>
      <c r="CT138" s="65">
        <f>Таблица1[[#This Row],[Т12]]-Таблица1[[#This Row],[Т2]]</f>
        <v>16189.586257957853</v>
      </c>
      <c r="CU138" s="65">
        <f>Таблица1[[#This Row],[Т12]]-Таблица1[[#This Row],[Т1]]</f>
        <v>18075.886074324604</v>
      </c>
      <c r="CV138" s="65">
        <f>Таблица1[[#This Row],[Lкан_леб,мм]]+Таблица1[[#This Row],[Lкан_дуг, мм]]+Таблица1[[#This Row],[Lкан_прям, мм]]</f>
        <v>3528386.841860381</v>
      </c>
      <c r="CW138" s="60">
        <f>3511128.4-(Таблица1[[#This Row],[Lкан_леб,мм]]+Таблица1[[#This Row],[∆Lлеб из за стрел]])</f>
        <v>817.44421394402161</v>
      </c>
    </row>
    <row r="139" spans="1:101" x14ac:dyDescent="0.25">
      <c r="A139">
        <v>138</v>
      </c>
      <c r="B139">
        <v>119.87919463087205</v>
      </c>
      <c r="C139">
        <v>-29.889194630872044</v>
      </c>
      <c r="D139">
        <v>-4424.3100429751239</v>
      </c>
      <c r="E139">
        <v>5566.6168955265503</v>
      </c>
      <c r="F139">
        <v>-3706.9432225245255</v>
      </c>
      <c r="G139">
        <v>4803.49167977451</v>
      </c>
      <c r="H139">
        <v>-3706.8105329751238</v>
      </c>
      <c r="I139">
        <v>4244.9374492535871</v>
      </c>
      <c r="J139">
        <v>1321.6794462729631</v>
      </c>
      <c r="K139">
        <v>11622.871972628174</v>
      </c>
      <c r="L139">
        <v>6408.7835509267725</v>
      </c>
      <c r="M139">
        <v>3510355.1863368261</v>
      </c>
      <c r="N139">
        <v>0</v>
      </c>
      <c r="O139">
        <v>8</v>
      </c>
      <c r="P139">
        <v>-3322.5</v>
      </c>
      <c r="Q139">
        <v>-2811.96</v>
      </c>
      <c r="R139">
        <v>-3280</v>
      </c>
      <c r="S139">
        <v>-914.66</v>
      </c>
      <c r="T139">
        <v>-7002</v>
      </c>
      <c r="U139">
        <v>520.34</v>
      </c>
      <c r="V139">
        <v>-7002.1</v>
      </c>
      <c r="W139">
        <v>2365</v>
      </c>
      <c r="X139">
        <v>-6252</v>
      </c>
      <c r="Y139">
        <v>3800</v>
      </c>
      <c r="Z139">
        <v>-4424.3100429751239</v>
      </c>
      <c r="AA139">
        <v>5566.6168955265503</v>
      </c>
      <c r="AB139">
        <v>0</v>
      </c>
      <c r="AC139">
        <v>1064.1696555107644</v>
      </c>
      <c r="AD139">
        <v>1127.0074684186504</v>
      </c>
      <c r="AE139">
        <v>1127.0852605320265</v>
      </c>
      <c r="AF139">
        <v>981.73740370934615</v>
      </c>
      <c r="AG139">
        <v>2108.7837627559852</v>
      </c>
      <c r="AH139">
        <v>1886.2998163666878</v>
      </c>
      <c r="AI139">
        <v>3721.9999999999995</v>
      </c>
      <c r="AJ139">
        <v>1844.6600027105269</v>
      </c>
      <c r="AK139">
        <v>750.10000000000059</v>
      </c>
      <c r="AL139">
        <v>2098.1327018493025</v>
      </c>
      <c r="AM139">
        <v>1321.6794517016588</v>
      </c>
      <c r="AN139">
        <v>-95.021003558665456</v>
      </c>
      <c r="AO139">
        <v>-180</v>
      </c>
      <c r="AP139">
        <v>-90.003106034687008</v>
      </c>
      <c r="AQ139">
        <v>1.2722218725854067E-14</v>
      </c>
      <c r="AR139">
        <v>-78.396389996761769</v>
      </c>
      <c r="AS139">
        <v>89.999999566492605</v>
      </c>
      <c r="AT139">
        <v>-2400.1625746957502</v>
      </c>
      <c r="AU139">
        <v>-3280</v>
      </c>
      <c r="AV139">
        <v>-7719.4999989457119</v>
      </c>
      <c r="AW139">
        <v>-7002.1</v>
      </c>
      <c r="AX139">
        <v>-5549.1638499617593</v>
      </c>
      <c r="AY139">
        <v>-3706.8100429751239</v>
      </c>
      <c r="AZ139">
        <v>-2730.9252207921031</v>
      </c>
      <c r="BA139">
        <v>-197.16</v>
      </c>
      <c r="BB139">
        <v>520.3011039433311</v>
      </c>
      <c r="BC139">
        <v>3082.5000000000005</v>
      </c>
      <c r="BD139">
        <v>3655.682308085858</v>
      </c>
      <c r="BE139">
        <v>5566.6169009552495</v>
      </c>
      <c r="BF139">
        <v>-2565.2532760267472</v>
      </c>
      <c r="BG139">
        <v>-7002</v>
      </c>
      <c r="BH139">
        <v>-7719.5999989457123</v>
      </c>
      <c r="BI139">
        <v>-6252</v>
      </c>
      <c r="BJ139">
        <v>-5127.1461930133628</v>
      </c>
      <c r="BK139">
        <v>-3706.8100329751237</v>
      </c>
      <c r="BL139">
        <v>-851.86373761518519</v>
      </c>
      <c r="BM139">
        <v>-197.16</v>
      </c>
      <c r="BN139">
        <v>2364.9611039433312</v>
      </c>
      <c r="BO139">
        <v>3082.5000000000005</v>
      </c>
      <c r="BP139">
        <v>5710.9345874406927</v>
      </c>
      <c r="BQ139">
        <v>4244.9374492535908</v>
      </c>
      <c r="BR139">
        <v>0</v>
      </c>
      <c r="BS139">
        <v>84.97899644133453</v>
      </c>
      <c r="BT139">
        <v>89.996893965312992</v>
      </c>
      <c r="BU139">
        <v>90.003106034687022</v>
      </c>
      <c r="BV139">
        <v>78.396389996761783</v>
      </c>
      <c r="BW139">
        <v>168.39638956325439</v>
      </c>
      <c r="BX139" s="69">
        <f>Таблица1[[#This Row],[Lкан_леб,мм]]</f>
        <v>3510355.1863368261</v>
      </c>
      <c r="BY139" s="65">
        <f>Таблица1[[#This Row],[Т1]]+Таблица1[[#This Row],[Lпрям1, мм]]</f>
        <v>3512241.4861531928</v>
      </c>
      <c r="BZ139" s="65">
        <f>Таблица1[[#This Row],[Т2]]+Таблица1[[#This Row],[Lдуг 2,мм]]</f>
        <v>3513305.6558087035</v>
      </c>
      <c r="CA139" s="65">
        <f>Таблица1[[#This Row],[Т3]]+Таблица1[[#This Row],[Lпрям2, мм]]</f>
        <v>3517027.6558087035</v>
      </c>
      <c r="CB139" s="65">
        <f>Таблица1[[#This Row],[Т4]]+Таблица1[[#This Row],[Lдуг 3,мм]]</f>
        <v>3518154.6632771222</v>
      </c>
      <c r="CC139" s="65">
        <f>Таблица1[[#This Row],[Т5]]+Таблица1[[#This Row],[Lпрям3, мм]]</f>
        <v>3519999.3232798325</v>
      </c>
      <c r="CD139" s="65">
        <f>Таблица1[[#This Row],[Т6]]+Таблица1[[#This Row],[Lдуг 4,мм]]</f>
        <v>3521126.4085403644</v>
      </c>
      <c r="CE139" s="65">
        <f>Таблица1[[#This Row],[Т7]]+Таблица1[[#This Row],[Lпрям4, мм]]</f>
        <v>3521876.5085403644</v>
      </c>
      <c r="CF139" s="72">
        <f>Таблица1[[#This Row],[Т8]]+Таблица1[[#This Row],[Lдуг 5,мм]]</f>
        <v>3522858.2459440739</v>
      </c>
      <c r="CG139" s="65">
        <f>Таблица1[[#This Row],[Т9]]+Таблица1[[#This Row],[Lпрям5, мм]]</f>
        <v>3524956.378645923</v>
      </c>
      <c r="CH139" s="65">
        <f>Таблица1[[#This Row],[Т10]]+Таблица1[[#This Row],[Lдуг 6,мм]]</f>
        <v>3527065.1624086788</v>
      </c>
      <c r="CI139" s="66">
        <f>Таблица1[[#This Row],[Т11]]+Таблица1[[#This Row],[Lпрям6, мм]]</f>
        <v>3528386.8418603805</v>
      </c>
      <c r="CJ139" s="64">
        <f>Таблица1[[#This Row],[Т12]]-Таблица1[[#This Row],[Т12]]</f>
        <v>0</v>
      </c>
      <c r="CK139" s="65">
        <f>Таблица1[[#This Row],[Т12]]-Таблица1[[#This Row],[Т11]]</f>
        <v>1321.679451701697</v>
      </c>
      <c r="CL139" s="65">
        <f>Таблица1[[#This Row],[Т12]]-Таблица1[[#This Row],[Т10]]</f>
        <v>3430.4632144575007</v>
      </c>
      <c r="CM139" s="65">
        <f>Таблица1[[#This Row],[Т12]]-Таблица1[[#This Row],[Т9]]</f>
        <v>5528.5959163066</v>
      </c>
      <c r="CN139" s="65">
        <f>Таблица1[[#This Row],[Т12]]-Таблица1[[#This Row],[Т8]]</f>
        <v>6510.3333200160414</v>
      </c>
      <c r="CO139" s="65">
        <f>Таблица1[[#This Row],[Т12]]-Таблица1[[#This Row],[Т7]]</f>
        <v>7260.4333200161345</v>
      </c>
      <c r="CP139" s="65">
        <f>Таблица1[[#This Row],[Т12]]-Таблица1[[#This Row],[Т6]]</f>
        <v>8387.5185805479996</v>
      </c>
      <c r="CQ139" s="65">
        <f>Таблица1[[#This Row],[Т12]]-Таблица1[[#This Row],[Т5]]</f>
        <v>10232.178583258297</v>
      </c>
      <c r="CR139" s="65">
        <f>Таблица1[[#This Row],[Т12]]-Таблица1[[#This Row],[Т4]]</f>
        <v>11359.186051676981</v>
      </c>
      <c r="CS139" s="65">
        <f>Таблица1[[#This Row],[Т12]]-Таблица1[[#This Row],[Т3]]</f>
        <v>15081.186051676981</v>
      </c>
      <c r="CT139" s="65">
        <f>Таблица1[[#This Row],[Т12]]-Таблица1[[#This Row],[Т2]]</f>
        <v>16145.355707187671</v>
      </c>
      <c r="CU139" s="65">
        <f>Таблица1[[#This Row],[Т12]]-Таблица1[[#This Row],[Т1]]</f>
        <v>18031.655523554422</v>
      </c>
      <c r="CV139" s="65">
        <f>Таблица1[[#This Row],[Lкан_леб,мм]]+Таблица1[[#This Row],[Lкан_дуг, мм]]+Таблица1[[#This Row],[Lкан_прям, мм]]</f>
        <v>3528386.8418603814</v>
      </c>
      <c r="CW139" s="60">
        <f>3511128.4-(Таблица1[[#This Row],[Lкан_леб,мм]]+Таблица1[[#This Row],[∆Lлеб из за стрел]])</f>
        <v>773.21366317383945</v>
      </c>
    </row>
    <row r="140" spans="1:101" x14ac:dyDescent="0.25">
      <c r="A140">
        <v>139</v>
      </c>
      <c r="B140">
        <v>120.38926174496601</v>
      </c>
      <c r="C140">
        <v>-30.399261744966001</v>
      </c>
      <c r="D140">
        <v>-4481.5958459442627</v>
      </c>
      <c r="E140">
        <v>5533.3637393223999</v>
      </c>
      <c r="F140">
        <v>-3764.2290254936634</v>
      </c>
      <c r="G140">
        <v>4770.2385235703596</v>
      </c>
      <c r="H140">
        <v>-3764.0963359442626</v>
      </c>
      <c r="I140">
        <v>4211.6842930497578</v>
      </c>
      <c r="J140">
        <v>1321.6794462726425</v>
      </c>
      <c r="K140">
        <v>11544.555035024277</v>
      </c>
      <c r="L140">
        <v>6443.6024598260001</v>
      </c>
      <c r="M140">
        <v>3510398.6843655305</v>
      </c>
      <c r="N140">
        <v>0</v>
      </c>
      <c r="O140">
        <v>8</v>
      </c>
      <c r="P140">
        <v>-3322.5</v>
      </c>
      <c r="Q140">
        <v>-2811.96</v>
      </c>
      <c r="R140">
        <v>-3280</v>
      </c>
      <c r="S140">
        <v>-914.66</v>
      </c>
      <c r="T140">
        <v>-7002</v>
      </c>
      <c r="U140">
        <v>520.34</v>
      </c>
      <c r="V140">
        <v>-7002.1</v>
      </c>
      <c r="W140">
        <v>2365</v>
      </c>
      <c r="X140">
        <v>-6252</v>
      </c>
      <c r="Y140">
        <v>3800</v>
      </c>
      <c r="Z140">
        <v>-4481.5958459442627</v>
      </c>
      <c r="AA140">
        <v>5533.3637393223999</v>
      </c>
      <c r="AB140">
        <v>0</v>
      </c>
      <c r="AC140">
        <v>1064.1696555107644</v>
      </c>
      <c r="AD140">
        <v>1127.0074684186504</v>
      </c>
      <c r="AE140">
        <v>1127.0852605320265</v>
      </c>
      <c r="AF140">
        <v>999.14685815895928</v>
      </c>
      <c r="AG140">
        <v>2126.1932172055986</v>
      </c>
      <c r="AH140">
        <v>1886.2998163666878</v>
      </c>
      <c r="AI140">
        <v>3721.9999999999995</v>
      </c>
      <c r="AJ140">
        <v>1844.6600027105269</v>
      </c>
      <c r="AK140">
        <v>750.10000000000059</v>
      </c>
      <c r="AL140">
        <v>2019.8157642457256</v>
      </c>
      <c r="AM140">
        <v>1321.6794517013382</v>
      </c>
      <c r="AN140">
        <v>-95.021003558665456</v>
      </c>
      <c r="AO140">
        <v>-180</v>
      </c>
      <c r="AP140">
        <v>-90.003106034687008</v>
      </c>
      <c r="AQ140">
        <v>1.2722218725854067E-14</v>
      </c>
      <c r="AR140">
        <v>-79.786617541832271</v>
      </c>
      <c r="AS140">
        <v>89.999999566492619</v>
      </c>
      <c r="AT140">
        <v>-2400.1625746957502</v>
      </c>
      <c r="AU140">
        <v>-3280</v>
      </c>
      <c r="AV140">
        <v>-7719.4999989457119</v>
      </c>
      <c r="AW140">
        <v>-7002.1</v>
      </c>
      <c r="AX140">
        <v>-5545.869347291562</v>
      </c>
      <c r="AY140">
        <v>-3764.0958459442622</v>
      </c>
      <c r="AZ140">
        <v>-2730.9252207921031</v>
      </c>
      <c r="BA140">
        <v>-197.16</v>
      </c>
      <c r="BB140">
        <v>520.3011039433311</v>
      </c>
      <c r="BC140">
        <v>3082.5000000000005</v>
      </c>
      <c r="BD140">
        <v>3672.7767658579769</v>
      </c>
      <c r="BE140">
        <v>5533.3637447510991</v>
      </c>
      <c r="BF140">
        <v>-2565.2532760267472</v>
      </c>
      <c r="BG140">
        <v>-7002</v>
      </c>
      <c r="BH140">
        <v>-7719.5999989457123</v>
      </c>
      <c r="BI140">
        <v>-6252</v>
      </c>
      <c r="BJ140">
        <v>-5187.7264986526998</v>
      </c>
      <c r="BK140">
        <v>-3764.0958359442625</v>
      </c>
      <c r="BL140">
        <v>-851.86373761518519</v>
      </c>
      <c r="BM140">
        <v>-197.16</v>
      </c>
      <c r="BN140">
        <v>2364.9611039433312</v>
      </c>
      <c r="BO140">
        <v>3082.5000000000005</v>
      </c>
      <c r="BP140">
        <v>5660.5869734644239</v>
      </c>
      <c r="BQ140">
        <v>4211.6842930497614</v>
      </c>
      <c r="BR140">
        <v>0</v>
      </c>
      <c r="BS140">
        <v>84.97899644133453</v>
      </c>
      <c r="BT140">
        <v>89.996893965312992</v>
      </c>
      <c r="BU140">
        <v>90.003106034687022</v>
      </c>
      <c r="BV140">
        <v>79.786617541832285</v>
      </c>
      <c r="BW140">
        <v>169.78661710832492</v>
      </c>
      <c r="BX140" s="69">
        <f>Таблица1[[#This Row],[Lкан_леб,мм]]</f>
        <v>3510398.6843655305</v>
      </c>
      <c r="BY140" s="65">
        <f>Таблица1[[#This Row],[Т1]]+Таблица1[[#This Row],[Lпрям1, мм]]</f>
        <v>3512284.9841818972</v>
      </c>
      <c r="BZ140" s="65">
        <f>Таблица1[[#This Row],[Т2]]+Таблица1[[#This Row],[Lдуг 2,мм]]</f>
        <v>3513349.1538374079</v>
      </c>
      <c r="CA140" s="65">
        <f>Таблица1[[#This Row],[Т3]]+Таблица1[[#This Row],[Lпрям2, мм]]</f>
        <v>3517071.1538374079</v>
      </c>
      <c r="CB140" s="65">
        <f>Таблица1[[#This Row],[Т4]]+Таблица1[[#This Row],[Lдуг 3,мм]]</f>
        <v>3518198.1613058266</v>
      </c>
      <c r="CC140" s="65">
        <f>Таблица1[[#This Row],[Т5]]+Таблица1[[#This Row],[Lпрям3, мм]]</f>
        <v>3520042.8213085369</v>
      </c>
      <c r="CD140" s="65">
        <f>Таблица1[[#This Row],[Т6]]+Таблица1[[#This Row],[Lдуг 4,мм]]</f>
        <v>3521169.9065690688</v>
      </c>
      <c r="CE140" s="65">
        <f>Таблица1[[#This Row],[Т7]]+Таблица1[[#This Row],[Lпрям4, мм]]</f>
        <v>3521920.0065690689</v>
      </c>
      <c r="CF140" s="72">
        <f>Таблица1[[#This Row],[Т8]]+Таблица1[[#This Row],[Lдуг 5,мм]]</f>
        <v>3522919.1534272279</v>
      </c>
      <c r="CG140" s="65">
        <f>Таблица1[[#This Row],[Т9]]+Таблица1[[#This Row],[Lпрям5, мм]]</f>
        <v>3524938.9691914734</v>
      </c>
      <c r="CH140" s="65">
        <f>Таблица1[[#This Row],[Т10]]+Таблица1[[#This Row],[Lдуг 6,мм]]</f>
        <v>3527065.1624086793</v>
      </c>
      <c r="CI140" s="66">
        <f>Таблица1[[#This Row],[Т11]]+Таблица1[[#This Row],[Lпрям6, мм]]</f>
        <v>3528386.8418603805</v>
      </c>
      <c r="CJ140" s="64">
        <f>Таблица1[[#This Row],[Т12]]-Таблица1[[#This Row],[Т12]]</f>
        <v>0</v>
      </c>
      <c r="CK140" s="65">
        <f>Таблица1[[#This Row],[Т12]]-Таблица1[[#This Row],[Т11]]</f>
        <v>1321.6794517012313</v>
      </c>
      <c r="CL140" s="65">
        <f>Таблица1[[#This Row],[Т12]]-Таблица1[[#This Row],[Т10]]</f>
        <v>3447.8726689070463</v>
      </c>
      <c r="CM140" s="65">
        <f>Таблица1[[#This Row],[Т12]]-Таблица1[[#This Row],[Т9]]</f>
        <v>5467.6884331526235</v>
      </c>
      <c r="CN140" s="65">
        <f>Таблица1[[#This Row],[Т12]]-Таблица1[[#This Row],[Т8]]</f>
        <v>6466.8352913116105</v>
      </c>
      <c r="CO140" s="65">
        <f>Таблица1[[#This Row],[Т12]]-Таблица1[[#This Row],[Т7]]</f>
        <v>7216.9352913117036</v>
      </c>
      <c r="CP140" s="65">
        <f>Таблица1[[#This Row],[Т12]]-Таблица1[[#This Row],[Т6]]</f>
        <v>8344.0205518435687</v>
      </c>
      <c r="CQ140" s="65">
        <f>Таблица1[[#This Row],[Т12]]-Таблица1[[#This Row],[Т5]]</f>
        <v>10188.680554553866</v>
      </c>
      <c r="CR140" s="65">
        <f>Таблица1[[#This Row],[Т12]]-Таблица1[[#This Row],[Т4]]</f>
        <v>11315.68802297255</v>
      </c>
      <c r="CS140" s="65">
        <f>Таблица1[[#This Row],[Т12]]-Таблица1[[#This Row],[Т3]]</f>
        <v>15037.68802297255</v>
      </c>
      <c r="CT140" s="65">
        <f>Таблица1[[#This Row],[Т12]]-Таблица1[[#This Row],[Т2]]</f>
        <v>16101.85767848324</v>
      </c>
      <c r="CU140" s="65">
        <f>Таблица1[[#This Row],[Т12]]-Таблица1[[#This Row],[Т1]]</f>
        <v>17988.157494849991</v>
      </c>
      <c r="CV140" s="65">
        <f>Таблица1[[#This Row],[Lкан_леб,мм]]+Таблица1[[#This Row],[Lкан_дуг, мм]]+Таблица1[[#This Row],[Lкан_прям, мм]]</f>
        <v>3528386.841860381</v>
      </c>
      <c r="CW140" s="60">
        <f>3511128.4-(Таблица1[[#This Row],[Lкан_леб,мм]]+Таблица1[[#This Row],[∆Lлеб из за стрел]])</f>
        <v>729.71563446940854</v>
      </c>
    </row>
    <row r="141" spans="1:101" x14ac:dyDescent="0.25">
      <c r="A141">
        <v>140</v>
      </c>
      <c r="B141">
        <v>120.89932885905995</v>
      </c>
      <c r="C141">
        <v>-30.909328859059958</v>
      </c>
      <c r="D141">
        <v>-4538.5833515824243</v>
      </c>
      <c r="E141">
        <v>5499.6019292332348</v>
      </c>
      <c r="F141">
        <v>-3821.2165311318254</v>
      </c>
      <c r="G141">
        <v>4736.4767134811937</v>
      </c>
      <c r="H141">
        <v>-3821.0838415824242</v>
      </c>
      <c r="I141">
        <v>4177.9224829602963</v>
      </c>
      <c r="J141">
        <v>1321.6794462729381</v>
      </c>
      <c r="K141">
        <v>11465.156321035789</v>
      </c>
      <c r="L141">
        <v>6480.3083918967413</v>
      </c>
      <c r="M141">
        <v>3510441.3771474487</v>
      </c>
      <c r="N141">
        <v>0</v>
      </c>
      <c r="O141">
        <v>8</v>
      </c>
      <c r="P141">
        <v>-3322.5</v>
      </c>
      <c r="Q141">
        <v>-2811.96</v>
      </c>
      <c r="R141">
        <v>-3280</v>
      </c>
      <c r="S141">
        <v>-914.66</v>
      </c>
      <c r="T141">
        <v>-7002</v>
      </c>
      <c r="U141">
        <v>520.34</v>
      </c>
      <c r="V141">
        <v>-7002.1</v>
      </c>
      <c r="W141">
        <v>2365</v>
      </c>
      <c r="X141">
        <v>-6252</v>
      </c>
      <c r="Y141">
        <v>3800</v>
      </c>
      <c r="Z141">
        <v>-4538.5833515824243</v>
      </c>
      <c r="AA141">
        <v>5499.6019292332348</v>
      </c>
      <c r="AB141">
        <v>0</v>
      </c>
      <c r="AC141">
        <v>1064.1696555107644</v>
      </c>
      <c r="AD141">
        <v>1127.0074684186504</v>
      </c>
      <c r="AE141">
        <v>1127.0852605320265</v>
      </c>
      <c r="AF141">
        <v>1017.4998241943302</v>
      </c>
      <c r="AG141">
        <v>2144.5461832409696</v>
      </c>
      <c r="AH141">
        <v>1886.2998163666878</v>
      </c>
      <c r="AI141">
        <v>3721.9999999999995</v>
      </c>
      <c r="AJ141">
        <v>1844.6600027105269</v>
      </c>
      <c r="AK141">
        <v>750.10000000000059</v>
      </c>
      <c r="AL141">
        <v>1940.4170502569409</v>
      </c>
      <c r="AM141">
        <v>1321.679451701634</v>
      </c>
      <c r="AN141">
        <v>-95.021003558665456</v>
      </c>
      <c r="AO141">
        <v>-180</v>
      </c>
      <c r="AP141">
        <v>-90.003106034687008</v>
      </c>
      <c r="AQ141">
        <v>1.2722218725854067E-14</v>
      </c>
      <c r="AR141">
        <v>-81.252188963955902</v>
      </c>
      <c r="AS141">
        <v>89.999999566492619</v>
      </c>
      <c r="AT141">
        <v>-2400.1625746957502</v>
      </c>
      <c r="AU141">
        <v>-3280</v>
      </c>
      <c r="AV141">
        <v>-7719.4999989457119</v>
      </c>
      <c r="AW141">
        <v>-7002.1</v>
      </c>
      <c r="AX141">
        <v>-5542.8464467779222</v>
      </c>
      <c r="AY141">
        <v>-3821.0833515824243</v>
      </c>
      <c r="AZ141">
        <v>-2730.9252207921031</v>
      </c>
      <c r="BA141">
        <v>-197.16</v>
      </c>
      <c r="BB141">
        <v>520.3011039433311</v>
      </c>
      <c r="BC141">
        <v>3082.5000000000005</v>
      </c>
      <c r="BD141">
        <v>3690.8785632769564</v>
      </c>
      <c r="BE141">
        <v>5499.6019346619341</v>
      </c>
      <c r="BF141">
        <v>-2565.2532760267472</v>
      </c>
      <c r="BG141">
        <v>-7002</v>
      </c>
      <c r="BH141">
        <v>-7719.5999989457123</v>
      </c>
      <c r="BI141">
        <v>-6252</v>
      </c>
      <c r="BJ141">
        <v>-5247.736904804503</v>
      </c>
      <c r="BK141">
        <v>-3821.0833415824241</v>
      </c>
      <c r="BL141">
        <v>-851.86373761518519</v>
      </c>
      <c r="BM141">
        <v>-197.16</v>
      </c>
      <c r="BN141">
        <v>2364.9611039433312</v>
      </c>
      <c r="BO141">
        <v>3082.5000000000005</v>
      </c>
      <c r="BP141">
        <v>5608.723365956278</v>
      </c>
      <c r="BQ141">
        <v>4177.9224829602999</v>
      </c>
      <c r="BR141">
        <v>0</v>
      </c>
      <c r="BS141">
        <v>84.97899644133453</v>
      </c>
      <c r="BT141">
        <v>89.996893965312992</v>
      </c>
      <c r="BU141">
        <v>90.003106034687022</v>
      </c>
      <c r="BV141">
        <v>81.252188963955916</v>
      </c>
      <c r="BW141">
        <v>171.25218853044851</v>
      </c>
      <c r="BX141" s="69">
        <f>Таблица1[[#This Row],[Lкан_леб,мм]]</f>
        <v>3510441.3771474487</v>
      </c>
      <c r="BY141" s="65">
        <f>Таблица1[[#This Row],[Т1]]+Таблица1[[#This Row],[Lпрям1, мм]]</f>
        <v>3512327.6769638155</v>
      </c>
      <c r="BZ141" s="65">
        <f>Таблица1[[#This Row],[Т2]]+Таблица1[[#This Row],[Lдуг 2,мм]]</f>
        <v>3513391.8466193262</v>
      </c>
      <c r="CA141" s="65">
        <f>Таблица1[[#This Row],[Т3]]+Таблица1[[#This Row],[Lпрям2, мм]]</f>
        <v>3517113.8466193262</v>
      </c>
      <c r="CB141" s="65">
        <f>Таблица1[[#This Row],[Т4]]+Таблица1[[#This Row],[Lдуг 3,мм]]</f>
        <v>3518240.8540877448</v>
      </c>
      <c r="CC141" s="65">
        <f>Таблица1[[#This Row],[Т5]]+Таблица1[[#This Row],[Lпрям3, мм]]</f>
        <v>3520085.5140904551</v>
      </c>
      <c r="CD141" s="65">
        <f>Таблица1[[#This Row],[Т6]]+Таблица1[[#This Row],[Lдуг 4,мм]]</f>
        <v>3521212.599350987</v>
      </c>
      <c r="CE141" s="65">
        <f>Таблица1[[#This Row],[Т7]]+Таблица1[[#This Row],[Lпрям4, мм]]</f>
        <v>3521962.6993509871</v>
      </c>
      <c r="CF141" s="72">
        <f>Таблица1[[#This Row],[Т8]]+Таблица1[[#This Row],[Lдуг 5,мм]]</f>
        <v>3522980.1991751813</v>
      </c>
      <c r="CG141" s="65">
        <f>Таблица1[[#This Row],[Т9]]+Таблица1[[#This Row],[Lпрям5, мм]]</f>
        <v>3524920.6162254382</v>
      </c>
      <c r="CH141" s="65">
        <f>Таблица1[[#This Row],[Т10]]+Таблица1[[#This Row],[Lдуг 6,мм]]</f>
        <v>3527065.1624086793</v>
      </c>
      <c r="CI141" s="66">
        <f>Таблица1[[#This Row],[Т11]]+Таблица1[[#This Row],[Lпрям6, мм]]</f>
        <v>3528386.841860381</v>
      </c>
      <c r="CJ141" s="64">
        <f>Таблица1[[#This Row],[Т12]]-Таблица1[[#This Row],[Т12]]</f>
        <v>0</v>
      </c>
      <c r="CK141" s="65">
        <f>Таблица1[[#This Row],[Т12]]-Таблица1[[#This Row],[Т11]]</f>
        <v>1321.679451701697</v>
      </c>
      <c r="CL141" s="65">
        <f>Таблица1[[#This Row],[Т12]]-Таблица1[[#This Row],[Т10]]</f>
        <v>3466.2256349427626</v>
      </c>
      <c r="CM141" s="65">
        <f>Таблица1[[#This Row],[Т12]]-Таблица1[[#This Row],[Т9]]</f>
        <v>5406.6426851996221</v>
      </c>
      <c r="CN141" s="65">
        <f>Таблица1[[#This Row],[Т12]]-Таблица1[[#This Row],[Т8]]</f>
        <v>6424.1425093938597</v>
      </c>
      <c r="CO141" s="65">
        <f>Таблица1[[#This Row],[Т12]]-Таблица1[[#This Row],[Т7]]</f>
        <v>7174.2425093939528</v>
      </c>
      <c r="CP141" s="65">
        <f>Таблица1[[#This Row],[Т12]]-Таблица1[[#This Row],[Т6]]</f>
        <v>8301.3277699258178</v>
      </c>
      <c r="CQ141" s="65">
        <f>Таблица1[[#This Row],[Т12]]-Таблица1[[#This Row],[Т5]]</f>
        <v>10145.987772636116</v>
      </c>
      <c r="CR141" s="65">
        <f>Таблица1[[#This Row],[Т12]]-Таблица1[[#This Row],[Т4]]</f>
        <v>11272.995241054799</v>
      </c>
      <c r="CS141" s="65">
        <f>Таблица1[[#This Row],[Т12]]-Таблица1[[#This Row],[Т3]]</f>
        <v>14994.995241054799</v>
      </c>
      <c r="CT141" s="65">
        <f>Таблица1[[#This Row],[Т12]]-Таблица1[[#This Row],[Т2]]</f>
        <v>16059.164896565489</v>
      </c>
      <c r="CU141" s="65">
        <f>Таблица1[[#This Row],[Т12]]-Таблица1[[#This Row],[Т1]]</f>
        <v>17945.46471293224</v>
      </c>
      <c r="CV141" s="65">
        <f>Таблица1[[#This Row],[Lкан_леб,мм]]+Таблица1[[#This Row],[Lкан_дуг, мм]]+Таблица1[[#This Row],[Lкан_прям, мм]]</f>
        <v>3528386.841860381</v>
      </c>
      <c r="CW141" s="60">
        <f>3511128.4-(Таблица1[[#This Row],[Lкан_леб,мм]]+Таблица1[[#This Row],[∆Lлеб из за стрел]])</f>
        <v>687.02285255119205</v>
      </c>
    </row>
    <row r="142" spans="1:101" x14ac:dyDescent="0.25">
      <c r="A142">
        <v>141</v>
      </c>
      <c r="B142">
        <v>121.40939597315391</v>
      </c>
      <c r="C142">
        <v>-31.419395973153911</v>
      </c>
      <c r="D142">
        <v>-4595.2680435544607</v>
      </c>
      <c r="E142">
        <v>5465.3341409271306</v>
      </c>
      <c r="F142">
        <v>-3877.901223103861</v>
      </c>
      <c r="G142">
        <v>4702.2089251750904</v>
      </c>
      <c r="H142">
        <v>-3877.7685335544602</v>
      </c>
      <c r="I142">
        <v>4143.6546946543331</v>
      </c>
      <c r="J142">
        <v>1321.6794462727978</v>
      </c>
      <c r="K142">
        <v>11384.543985377897</v>
      </c>
      <c r="L142">
        <v>6519.1153973807459</v>
      </c>
      <c r="M142">
        <v>3510483.1824776223</v>
      </c>
      <c r="N142">
        <v>0</v>
      </c>
      <c r="O142">
        <v>8</v>
      </c>
      <c r="P142">
        <v>-3322.5</v>
      </c>
      <c r="Q142">
        <v>-2811.96</v>
      </c>
      <c r="R142">
        <v>-3280</v>
      </c>
      <c r="S142">
        <v>-914.66</v>
      </c>
      <c r="T142">
        <v>-7002</v>
      </c>
      <c r="U142">
        <v>520.34</v>
      </c>
      <c r="V142">
        <v>-7002.1</v>
      </c>
      <c r="W142">
        <v>2365</v>
      </c>
      <c r="X142">
        <v>-6252</v>
      </c>
      <c r="Y142">
        <v>3800</v>
      </c>
      <c r="Z142">
        <v>-4595.2680435544607</v>
      </c>
      <c r="AA142">
        <v>5465.3341409271306</v>
      </c>
      <c r="AB142">
        <v>0</v>
      </c>
      <c r="AC142">
        <v>1064.1696555107644</v>
      </c>
      <c r="AD142">
        <v>1127.0074684186504</v>
      </c>
      <c r="AE142">
        <v>1127.0852605320265</v>
      </c>
      <c r="AF142">
        <v>1036.9033269363329</v>
      </c>
      <c r="AG142">
        <v>2163.9496859829719</v>
      </c>
      <c r="AH142">
        <v>1886.2998163666878</v>
      </c>
      <c r="AI142">
        <v>3721.9999999999995</v>
      </c>
      <c r="AJ142">
        <v>1844.6600027105269</v>
      </c>
      <c r="AK142">
        <v>750.10000000000059</v>
      </c>
      <c r="AL142">
        <v>1859.8047145991884</v>
      </c>
      <c r="AM142">
        <v>1321.6794517014935</v>
      </c>
      <c r="AN142">
        <v>-95.021003558665456</v>
      </c>
      <c r="AO142">
        <v>-180</v>
      </c>
      <c r="AP142">
        <v>-90.003106034687008</v>
      </c>
      <c r="AQ142">
        <v>1.2722218725854067E-14</v>
      </c>
      <c r="AR142">
        <v>-82.801650726864978</v>
      </c>
      <c r="AS142">
        <v>89.999999566492605</v>
      </c>
      <c r="AT142">
        <v>-2400.1625746957502</v>
      </c>
      <c r="AU142">
        <v>-3280</v>
      </c>
      <c r="AV142">
        <v>-7719.4999989457119</v>
      </c>
      <c r="AW142">
        <v>-7002.1</v>
      </c>
      <c r="AX142">
        <v>-5540.1551112614407</v>
      </c>
      <c r="AY142">
        <v>-3877.7680435544598</v>
      </c>
      <c r="AZ142">
        <v>-2730.9252207921031</v>
      </c>
      <c r="BA142">
        <v>-197.16</v>
      </c>
      <c r="BB142">
        <v>520.3011039433311</v>
      </c>
      <c r="BC142">
        <v>3082.5000000000005</v>
      </c>
      <c r="BD142">
        <v>3710.0939135720619</v>
      </c>
      <c r="BE142">
        <v>5465.3341463558299</v>
      </c>
      <c r="BF142">
        <v>-2565.2532760267472</v>
      </c>
      <c r="BG142">
        <v>-7002</v>
      </c>
      <c r="BH142">
        <v>-7719.5999989457123</v>
      </c>
      <c r="BI142">
        <v>-6252</v>
      </c>
      <c r="BJ142">
        <v>-5307.1129322930192</v>
      </c>
      <c r="BK142">
        <v>-3877.7680335544601</v>
      </c>
      <c r="BL142">
        <v>-851.86373761518519</v>
      </c>
      <c r="BM142">
        <v>-197.16</v>
      </c>
      <c r="BN142">
        <v>2364.9611039433312</v>
      </c>
      <c r="BO142">
        <v>3082.5000000000005</v>
      </c>
      <c r="BP142">
        <v>5555.2402273550697</v>
      </c>
      <c r="BQ142">
        <v>4143.6546946543367</v>
      </c>
      <c r="BR142">
        <v>0</v>
      </c>
      <c r="BS142">
        <v>84.97899644133453</v>
      </c>
      <c r="BT142">
        <v>89.996893965312992</v>
      </c>
      <c r="BU142">
        <v>90.003106034687022</v>
      </c>
      <c r="BV142">
        <v>82.801650726864992</v>
      </c>
      <c r="BW142">
        <v>172.8016502933576</v>
      </c>
      <c r="BX142" s="69">
        <f>Таблица1[[#This Row],[Lкан_леб,мм]]</f>
        <v>3510483.1824776223</v>
      </c>
      <c r="BY142" s="65">
        <f>Таблица1[[#This Row],[Т1]]+Таблица1[[#This Row],[Lпрям1, мм]]</f>
        <v>3512369.482293989</v>
      </c>
      <c r="BZ142" s="65">
        <f>Таблица1[[#This Row],[Т2]]+Таблица1[[#This Row],[Lдуг 2,мм]]</f>
        <v>3513433.6519494997</v>
      </c>
      <c r="CA142" s="65">
        <f>Таблица1[[#This Row],[Т3]]+Таблица1[[#This Row],[Lпрям2, мм]]</f>
        <v>3517155.6519494997</v>
      </c>
      <c r="CB142" s="65">
        <f>Таблица1[[#This Row],[Т4]]+Таблица1[[#This Row],[Lдуг 3,мм]]</f>
        <v>3518282.6594179184</v>
      </c>
      <c r="CC142" s="65">
        <f>Таблица1[[#This Row],[Т5]]+Таблица1[[#This Row],[Lпрям3, мм]]</f>
        <v>3520127.3194206287</v>
      </c>
      <c r="CD142" s="65">
        <f>Таблица1[[#This Row],[Т6]]+Таблица1[[#This Row],[Lдуг 4,мм]]</f>
        <v>3521254.4046811606</v>
      </c>
      <c r="CE142" s="65">
        <f>Таблица1[[#This Row],[Т7]]+Таблица1[[#This Row],[Lпрям4, мм]]</f>
        <v>3522004.5046811607</v>
      </c>
      <c r="CF142" s="72">
        <f>Таблица1[[#This Row],[Т8]]+Таблица1[[#This Row],[Lдуг 5,мм]]</f>
        <v>3523041.4080080972</v>
      </c>
      <c r="CG142" s="65">
        <f>Таблица1[[#This Row],[Т9]]+Таблица1[[#This Row],[Lпрям5, мм]]</f>
        <v>3524901.2127226964</v>
      </c>
      <c r="CH142" s="65">
        <f>Таблица1[[#This Row],[Т10]]+Таблица1[[#This Row],[Lдуг 6,мм]]</f>
        <v>3527065.1624086793</v>
      </c>
      <c r="CI142" s="66">
        <f>Таблица1[[#This Row],[Т11]]+Таблица1[[#This Row],[Lпрям6, мм]]</f>
        <v>3528386.841860381</v>
      </c>
      <c r="CJ142" s="64">
        <f>Таблица1[[#This Row],[Т12]]-Таблица1[[#This Row],[Т12]]</f>
        <v>0</v>
      </c>
      <c r="CK142" s="65">
        <f>Таблица1[[#This Row],[Т12]]-Таблица1[[#This Row],[Т11]]</f>
        <v>1321.679451701697</v>
      </c>
      <c r="CL142" s="65">
        <f>Таблица1[[#This Row],[Т12]]-Таблица1[[#This Row],[Т10]]</f>
        <v>3485.6291376845911</v>
      </c>
      <c r="CM142" s="65">
        <f>Таблица1[[#This Row],[Т12]]-Таблица1[[#This Row],[Т9]]</f>
        <v>5345.4338522837497</v>
      </c>
      <c r="CN142" s="65">
        <f>Таблица1[[#This Row],[Т12]]-Таблица1[[#This Row],[Т8]]</f>
        <v>6382.3371792202815</v>
      </c>
      <c r="CO142" s="65">
        <f>Таблица1[[#This Row],[Т12]]-Таблица1[[#This Row],[Т7]]</f>
        <v>7132.4371792203747</v>
      </c>
      <c r="CP142" s="65">
        <f>Таблица1[[#This Row],[Т12]]-Таблица1[[#This Row],[Т6]]</f>
        <v>8259.5224397522397</v>
      </c>
      <c r="CQ142" s="65">
        <f>Таблица1[[#This Row],[Т12]]-Таблица1[[#This Row],[Т5]]</f>
        <v>10104.182442462537</v>
      </c>
      <c r="CR142" s="65">
        <f>Таблица1[[#This Row],[Т12]]-Таблица1[[#This Row],[Т4]]</f>
        <v>11231.189910881221</v>
      </c>
      <c r="CS142" s="65">
        <f>Таблица1[[#This Row],[Т12]]-Таблица1[[#This Row],[Т3]]</f>
        <v>14953.189910881221</v>
      </c>
      <c r="CT142" s="65">
        <f>Таблица1[[#This Row],[Т12]]-Таблица1[[#This Row],[Т2]]</f>
        <v>16017.359566391911</v>
      </c>
      <c r="CU142" s="65">
        <f>Таблица1[[#This Row],[Т12]]-Таблица1[[#This Row],[Т1]]</f>
        <v>17903.659382758662</v>
      </c>
      <c r="CV142" s="65">
        <f>Таблица1[[#This Row],[Lкан_леб,мм]]+Таблица1[[#This Row],[Lкан_дуг, мм]]+Таблица1[[#This Row],[Lкан_прям, мм]]</f>
        <v>3528386.841860381</v>
      </c>
      <c r="CW142" s="60">
        <f>3511128.4-(Таблица1[[#This Row],[Lкан_леб,мм]]+Таблица1[[#This Row],[∆Lлеб из за стрел]])</f>
        <v>645.21752237761393</v>
      </c>
    </row>
    <row r="143" spans="1:101" x14ac:dyDescent="0.25">
      <c r="A143">
        <v>142</v>
      </c>
      <c r="B143">
        <v>121.91946308724786</v>
      </c>
      <c r="C143">
        <v>-31.929463087247868</v>
      </c>
      <c r="D143">
        <v>-4651.6454295235999</v>
      </c>
      <c r="E143">
        <v>5430.5630901716086</v>
      </c>
      <c r="F143">
        <v>-3934.278609073001</v>
      </c>
      <c r="G143">
        <v>4667.4378744195683</v>
      </c>
      <c r="H143">
        <v>-3934.1459195235998</v>
      </c>
      <c r="I143">
        <v>4108.8836438990493</v>
      </c>
      <c r="J143">
        <v>1321.6794462725597</v>
      </c>
      <c r="K143">
        <v>11302.5597741687</v>
      </c>
      <c r="L143">
        <v>6560.2751644566461</v>
      </c>
      <c r="M143">
        <v>3510524.0069217556</v>
      </c>
      <c r="N143">
        <v>0</v>
      </c>
      <c r="O143">
        <v>8</v>
      </c>
      <c r="P143">
        <v>-3322.5</v>
      </c>
      <c r="Q143">
        <v>-2811.96</v>
      </c>
      <c r="R143">
        <v>-3280</v>
      </c>
      <c r="S143">
        <v>-914.66</v>
      </c>
      <c r="T143">
        <v>-7002</v>
      </c>
      <c r="U143">
        <v>520.34</v>
      </c>
      <c r="V143">
        <v>-7002.1</v>
      </c>
      <c r="W143">
        <v>2365</v>
      </c>
      <c r="X143">
        <v>-6252</v>
      </c>
      <c r="Y143">
        <v>3800</v>
      </c>
      <c r="Z143">
        <v>-4651.6454295235999</v>
      </c>
      <c r="AA143">
        <v>5430.5630901716086</v>
      </c>
      <c r="AB143">
        <v>0</v>
      </c>
      <c r="AC143">
        <v>1064.1696555107644</v>
      </c>
      <c r="AD143">
        <v>1127.0074684186504</v>
      </c>
      <c r="AE143">
        <v>1127.0852605320265</v>
      </c>
      <c r="AF143">
        <v>1057.4832104742829</v>
      </c>
      <c r="AG143">
        <v>2184.5295695209225</v>
      </c>
      <c r="AH143">
        <v>1886.2998163666878</v>
      </c>
      <c r="AI143">
        <v>3721.9999999999995</v>
      </c>
      <c r="AJ143">
        <v>1844.6600027105269</v>
      </c>
      <c r="AK143">
        <v>750.10000000000059</v>
      </c>
      <c r="AL143">
        <v>1777.8205033902295</v>
      </c>
      <c r="AM143">
        <v>1321.6794517012556</v>
      </c>
      <c r="AN143">
        <v>-95.021003558665456</v>
      </c>
      <c r="AO143">
        <v>-180</v>
      </c>
      <c r="AP143">
        <v>-90.003106034687008</v>
      </c>
      <c r="AQ143">
        <v>1.2722218725854067E-14</v>
      </c>
      <c r="AR143">
        <v>-84.44505207821733</v>
      </c>
      <c r="AS143">
        <v>89.999999566492605</v>
      </c>
      <c r="AT143">
        <v>-2400.1625746957502</v>
      </c>
      <c r="AU143">
        <v>-3280</v>
      </c>
      <c r="AV143">
        <v>-7719.4999989457119</v>
      </c>
      <c r="AW143">
        <v>-7002.1</v>
      </c>
      <c r="AX143">
        <v>-5537.8695074015905</v>
      </c>
      <c r="AY143">
        <v>-3934.1454295235999</v>
      </c>
      <c r="AZ143">
        <v>-2730.9252207921031</v>
      </c>
      <c r="BA143">
        <v>-197.16</v>
      </c>
      <c r="BB143">
        <v>520.3011039433311</v>
      </c>
      <c r="BC143">
        <v>3082.5000000000005</v>
      </c>
      <c r="BD143">
        <v>3730.5457737703928</v>
      </c>
      <c r="BE143">
        <v>5430.5630956003079</v>
      </c>
      <c r="BF143">
        <v>-2565.2532760267472</v>
      </c>
      <c r="BG143">
        <v>-7002</v>
      </c>
      <c r="BH143">
        <v>-7719.5999989457123</v>
      </c>
      <c r="BI143">
        <v>-6252</v>
      </c>
      <c r="BJ143">
        <v>-5365.7759221220094</v>
      </c>
      <c r="BK143">
        <v>-3934.1454195235997</v>
      </c>
      <c r="BL143">
        <v>-851.86373761518519</v>
      </c>
      <c r="BM143">
        <v>-197.16</v>
      </c>
      <c r="BN143">
        <v>2364.9611039433312</v>
      </c>
      <c r="BO143">
        <v>3082.5000000000005</v>
      </c>
      <c r="BP143">
        <v>5500.0173164012167</v>
      </c>
      <c r="BQ143">
        <v>4108.8836438990529</v>
      </c>
      <c r="BR143">
        <v>0</v>
      </c>
      <c r="BS143">
        <v>84.97899644133453</v>
      </c>
      <c r="BT143">
        <v>89.996893965312992</v>
      </c>
      <c r="BU143">
        <v>90.003106034687022</v>
      </c>
      <c r="BV143">
        <v>84.445052078217344</v>
      </c>
      <c r="BW143">
        <v>174.44505164470993</v>
      </c>
      <c r="BX143" s="69">
        <f>Таблица1[[#This Row],[Lкан_леб,мм]]</f>
        <v>3510524.0069217556</v>
      </c>
      <c r="BY143" s="65">
        <f>Таблица1[[#This Row],[Т1]]+Таблица1[[#This Row],[Lпрям1, мм]]</f>
        <v>3512410.3067381224</v>
      </c>
      <c r="BZ143" s="65">
        <f>Таблица1[[#This Row],[Т2]]+Таблица1[[#This Row],[Lдуг 2,мм]]</f>
        <v>3513474.4763936331</v>
      </c>
      <c r="CA143" s="65">
        <f>Таблица1[[#This Row],[Т3]]+Таблица1[[#This Row],[Lпрям2, мм]]</f>
        <v>3517196.4763936331</v>
      </c>
      <c r="CB143" s="65">
        <f>Таблица1[[#This Row],[Т4]]+Таблица1[[#This Row],[Lдуг 3,мм]]</f>
        <v>3518323.4838620517</v>
      </c>
      <c r="CC143" s="65">
        <f>Таблица1[[#This Row],[Т5]]+Таблица1[[#This Row],[Lпрям3, мм]]</f>
        <v>3520168.143864762</v>
      </c>
      <c r="CD143" s="65">
        <f>Таблица1[[#This Row],[Т6]]+Таблица1[[#This Row],[Lдуг 4,мм]]</f>
        <v>3521295.2291252939</v>
      </c>
      <c r="CE143" s="65">
        <f>Таблица1[[#This Row],[Т7]]+Таблица1[[#This Row],[Lпрям4, мм]]</f>
        <v>3522045.329125294</v>
      </c>
      <c r="CF143" s="72">
        <f>Таблица1[[#This Row],[Т8]]+Таблица1[[#This Row],[Lдуг 5,мм]]</f>
        <v>3523102.8123357682</v>
      </c>
      <c r="CG143" s="65">
        <f>Таблица1[[#This Row],[Т9]]+Таблица1[[#This Row],[Lпрям5, мм]]</f>
        <v>3524880.6328391586</v>
      </c>
      <c r="CH143" s="65">
        <f>Таблица1[[#This Row],[Т10]]+Таблица1[[#This Row],[Lдуг 6,мм]]</f>
        <v>3527065.1624086797</v>
      </c>
      <c r="CI143" s="66">
        <f>Таблица1[[#This Row],[Т11]]+Таблица1[[#This Row],[Lпрям6, мм]]</f>
        <v>3528386.841860381</v>
      </c>
      <c r="CJ143" s="64">
        <f>Таблица1[[#This Row],[Т12]]-Таблица1[[#This Row],[Т12]]</f>
        <v>0</v>
      </c>
      <c r="CK143" s="65">
        <f>Таблица1[[#This Row],[Т12]]-Таблица1[[#This Row],[Т11]]</f>
        <v>1321.6794517012313</v>
      </c>
      <c r="CL143" s="65">
        <f>Таблица1[[#This Row],[Т12]]-Таблица1[[#This Row],[Т10]]</f>
        <v>3506.209021222312</v>
      </c>
      <c r="CM143" s="65">
        <f>Таблица1[[#This Row],[Т12]]-Таблица1[[#This Row],[Т9]]</f>
        <v>5284.0295246127062</v>
      </c>
      <c r="CN143" s="65">
        <f>Таблица1[[#This Row],[Т12]]-Таблица1[[#This Row],[Т8]]</f>
        <v>6341.5127350869589</v>
      </c>
      <c r="CO143" s="65">
        <f>Таблица1[[#This Row],[Т12]]-Таблица1[[#This Row],[Т7]]</f>
        <v>7091.612735087052</v>
      </c>
      <c r="CP143" s="65">
        <f>Таблица1[[#This Row],[Т12]]-Таблица1[[#This Row],[Т6]]</f>
        <v>8218.697995618917</v>
      </c>
      <c r="CQ143" s="65">
        <f>Таблица1[[#This Row],[Т12]]-Таблица1[[#This Row],[Т5]]</f>
        <v>10063.357998329215</v>
      </c>
      <c r="CR143" s="65">
        <f>Таблица1[[#This Row],[Т12]]-Таблица1[[#This Row],[Т4]]</f>
        <v>11190.365466747899</v>
      </c>
      <c r="CS143" s="65">
        <f>Таблица1[[#This Row],[Т12]]-Таблица1[[#This Row],[Т3]]</f>
        <v>14912.365466747899</v>
      </c>
      <c r="CT143" s="65">
        <f>Таблица1[[#This Row],[Т12]]-Таблица1[[#This Row],[Т2]]</f>
        <v>15976.535122258589</v>
      </c>
      <c r="CU143" s="65">
        <f>Таблица1[[#This Row],[Т12]]-Таблица1[[#This Row],[Т1]]</f>
        <v>17862.834938625339</v>
      </c>
      <c r="CV143" s="65">
        <f>Таблица1[[#This Row],[Lкан_леб,мм]]+Таблица1[[#This Row],[Lкан_дуг, мм]]+Таблица1[[#This Row],[Lкан_прям, мм]]</f>
        <v>3528386.841860381</v>
      </c>
      <c r="CW143" s="60">
        <f>3511128.4-(Таблица1[[#This Row],[Lкан_леб,мм]]+Таблица1[[#This Row],[∆Lлеб из за стрел]])</f>
        <v>604.39307824429125</v>
      </c>
    </row>
    <row r="144" spans="1:101" x14ac:dyDescent="0.25">
      <c r="A144">
        <v>143</v>
      </c>
      <c r="B144">
        <v>122.42953020134182</v>
      </c>
      <c r="C144">
        <v>-32.439530201341825</v>
      </c>
      <c r="D144">
        <v>-4707.711041507484</v>
      </c>
      <c r="E144">
        <v>5395.2915326184029</v>
      </c>
      <c r="F144">
        <v>-3990.3442210568855</v>
      </c>
      <c r="G144">
        <v>4632.1663168663617</v>
      </c>
      <c r="H144">
        <v>-3990.2115315074848</v>
      </c>
      <c r="I144">
        <v>4073.6120863458368</v>
      </c>
      <c r="J144">
        <v>1321.6794462725661</v>
      </c>
      <c r="K144">
        <v>11219.011522031466</v>
      </c>
      <c r="L144">
        <v>6604.0867116088875</v>
      </c>
      <c r="M144">
        <v>3510563.7436267408</v>
      </c>
      <c r="N144">
        <v>0</v>
      </c>
      <c r="O144">
        <v>8</v>
      </c>
      <c r="P144">
        <v>-3322.5</v>
      </c>
      <c r="Q144">
        <v>-2811.96</v>
      </c>
      <c r="R144">
        <v>-3280</v>
      </c>
      <c r="S144">
        <v>-914.66</v>
      </c>
      <c r="T144">
        <v>-7002</v>
      </c>
      <c r="U144">
        <v>520.34</v>
      </c>
      <c r="V144">
        <v>-7002.1</v>
      </c>
      <c r="W144">
        <v>2365</v>
      </c>
      <c r="X144">
        <v>-6252</v>
      </c>
      <c r="Y144">
        <v>3800</v>
      </c>
      <c r="Z144">
        <v>-4707.711041507484</v>
      </c>
      <c r="AA144">
        <v>5395.2915326184029</v>
      </c>
      <c r="AB144">
        <v>0</v>
      </c>
      <c r="AC144">
        <v>1064.1696555107644</v>
      </c>
      <c r="AD144">
        <v>1127.0074684186504</v>
      </c>
      <c r="AE144">
        <v>1127.0852605320265</v>
      </c>
      <c r="AF144">
        <v>1079.3889840504039</v>
      </c>
      <c r="AG144">
        <v>2206.4353430970432</v>
      </c>
      <c r="AH144">
        <v>1886.2998163666878</v>
      </c>
      <c r="AI144">
        <v>3721.9999999999995</v>
      </c>
      <c r="AJ144">
        <v>1844.6600027105269</v>
      </c>
      <c r="AK144">
        <v>750.10000000000059</v>
      </c>
      <c r="AL144">
        <v>1694.2722512529883</v>
      </c>
      <c r="AM144">
        <v>1321.6794517012618</v>
      </c>
      <c r="AN144">
        <v>-95.021003558665456</v>
      </c>
      <c r="AO144">
        <v>-180</v>
      </c>
      <c r="AP144">
        <v>-90.003106034687008</v>
      </c>
      <c r="AQ144">
        <v>1.2722218725854067E-14</v>
      </c>
      <c r="AR144">
        <v>-86.194332040420718</v>
      </c>
      <c r="AS144">
        <v>89.999999566492633</v>
      </c>
      <c r="AT144">
        <v>-2400.1625746957502</v>
      </c>
      <c r="AU144">
        <v>-3280</v>
      </c>
      <c r="AV144">
        <v>-7719.4999989457119</v>
      </c>
      <c r="AW144">
        <v>-7002.1</v>
      </c>
      <c r="AX144">
        <v>-5536.0821540168572</v>
      </c>
      <c r="AY144">
        <v>-3990.211041507484</v>
      </c>
      <c r="AZ144">
        <v>-2730.9252207921031</v>
      </c>
      <c r="BA144">
        <v>-197.16</v>
      </c>
      <c r="BB144">
        <v>520.3011039433311</v>
      </c>
      <c r="BC144">
        <v>3082.5000000000005</v>
      </c>
      <c r="BD144">
        <v>3752.3776543746731</v>
      </c>
      <c r="BE144">
        <v>5395.2915380471022</v>
      </c>
      <c r="BF144">
        <v>-2565.2532760267472</v>
      </c>
      <c r="BG144">
        <v>-7002</v>
      </c>
      <c r="BH144">
        <v>-7719.5999989457123</v>
      </c>
      <c r="BI144">
        <v>-6252</v>
      </c>
      <c r="BJ144">
        <v>-5423.6288874906268</v>
      </c>
      <c r="BK144">
        <v>-3990.2110315074847</v>
      </c>
      <c r="BL144">
        <v>-851.86373761518519</v>
      </c>
      <c r="BM144">
        <v>-197.16</v>
      </c>
      <c r="BN144">
        <v>2364.9611039433312</v>
      </c>
      <c r="BO144">
        <v>3082.5000000000005</v>
      </c>
      <c r="BP144">
        <v>5442.9138782437303</v>
      </c>
      <c r="BQ144">
        <v>4073.6120863458405</v>
      </c>
      <c r="BR144">
        <v>0</v>
      </c>
      <c r="BS144">
        <v>84.97899644133453</v>
      </c>
      <c r="BT144">
        <v>89.996893965312992</v>
      </c>
      <c r="BU144">
        <v>90.003106034687022</v>
      </c>
      <c r="BV144">
        <v>86.194332040420733</v>
      </c>
      <c r="BW144">
        <v>176.19433160691335</v>
      </c>
      <c r="BX144" s="69">
        <f>Таблица1[[#This Row],[Lкан_леб,мм]]</f>
        <v>3510563.7436267408</v>
      </c>
      <c r="BY144" s="65">
        <f>Таблица1[[#This Row],[Т1]]+Таблица1[[#This Row],[Lпрям1, мм]]</f>
        <v>3512450.0434431075</v>
      </c>
      <c r="BZ144" s="65">
        <f>Таблица1[[#This Row],[Т2]]+Таблица1[[#This Row],[Lдуг 2,мм]]</f>
        <v>3513514.2130986182</v>
      </c>
      <c r="CA144" s="65">
        <f>Таблица1[[#This Row],[Т3]]+Таблица1[[#This Row],[Lпрям2, мм]]</f>
        <v>3517236.2130986182</v>
      </c>
      <c r="CB144" s="65">
        <f>Таблица1[[#This Row],[Т4]]+Таблица1[[#This Row],[Lдуг 3,мм]]</f>
        <v>3518363.2205670369</v>
      </c>
      <c r="CC144" s="65">
        <f>Таблица1[[#This Row],[Т5]]+Таблица1[[#This Row],[Lпрям3, мм]]</f>
        <v>3520207.8805697472</v>
      </c>
      <c r="CD144" s="65">
        <f>Таблица1[[#This Row],[Т6]]+Таблица1[[#This Row],[Lдуг 4,мм]]</f>
        <v>3521334.965830279</v>
      </c>
      <c r="CE144" s="65">
        <f>Таблица1[[#This Row],[Т7]]+Таблица1[[#This Row],[Lпрям4, мм]]</f>
        <v>3522085.0658302791</v>
      </c>
      <c r="CF144" s="72">
        <f>Таблица1[[#This Row],[Т8]]+Таблица1[[#This Row],[Lдуг 5,мм]]</f>
        <v>3523164.4548143297</v>
      </c>
      <c r="CG144" s="65">
        <f>Таблица1[[#This Row],[Т9]]+Таблица1[[#This Row],[Lпрям5, мм]]</f>
        <v>3524858.7270655828</v>
      </c>
      <c r="CH144" s="65">
        <f>Таблица1[[#This Row],[Т10]]+Таблица1[[#This Row],[Lдуг 6,мм]]</f>
        <v>3527065.1624086797</v>
      </c>
      <c r="CI144" s="66">
        <f>Таблица1[[#This Row],[Т11]]+Таблица1[[#This Row],[Lпрям6, мм]]</f>
        <v>3528386.841860381</v>
      </c>
      <c r="CJ144" s="64">
        <f>Таблица1[[#This Row],[Т12]]-Таблица1[[#This Row],[Т12]]</f>
        <v>0</v>
      </c>
      <c r="CK144" s="65">
        <f>Таблица1[[#This Row],[Т12]]-Таблица1[[#This Row],[Т11]]</f>
        <v>1321.6794517012313</v>
      </c>
      <c r="CL144" s="65">
        <f>Таблица1[[#This Row],[Т12]]-Таблица1[[#This Row],[Т10]]</f>
        <v>3528.1147947981954</v>
      </c>
      <c r="CM144" s="65">
        <f>Таблица1[[#This Row],[Т12]]-Таблица1[[#This Row],[Т9]]</f>
        <v>5222.3870460512117</v>
      </c>
      <c r="CN144" s="65">
        <f>Таблица1[[#This Row],[Т12]]-Таблица1[[#This Row],[Т8]]</f>
        <v>6301.7760301018134</v>
      </c>
      <c r="CO144" s="65">
        <f>Таблица1[[#This Row],[Т12]]-Таблица1[[#This Row],[Т7]]</f>
        <v>7051.8760301019065</v>
      </c>
      <c r="CP144" s="65">
        <f>Таблица1[[#This Row],[Т12]]-Таблица1[[#This Row],[Т6]]</f>
        <v>8178.9612906337716</v>
      </c>
      <c r="CQ144" s="65">
        <f>Таблица1[[#This Row],[Т12]]-Таблица1[[#This Row],[Т5]]</f>
        <v>10023.621293344069</v>
      </c>
      <c r="CR144" s="65">
        <f>Таблица1[[#This Row],[Т12]]-Таблица1[[#This Row],[Т4]]</f>
        <v>11150.628761762753</v>
      </c>
      <c r="CS144" s="65">
        <f>Таблица1[[#This Row],[Т12]]-Таблица1[[#This Row],[Т3]]</f>
        <v>14872.628761762753</v>
      </c>
      <c r="CT144" s="65">
        <f>Таблица1[[#This Row],[Т12]]-Таблица1[[#This Row],[Т2]]</f>
        <v>15936.798417273443</v>
      </c>
      <c r="CU144" s="65">
        <f>Таблица1[[#This Row],[Т12]]-Таблица1[[#This Row],[Т1]]</f>
        <v>17823.098233640194</v>
      </c>
      <c r="CV144" s="65">
        <f>Таблица1[[#This Row],[Lкан_леб,мм]]+Таблица1[[#This Row],[Lкан_дуг, мм]]+Таблица1[[#This Row],[Lкан_прям, мм]]</f>
        <v>3528386.841860381</v>
      </c>
      <c r="CW144" s="60">
        <f>3511128.4-(Таблица1[[#This Row],[Lкан_леб,мм]]+Таблица1[[#This Row],[∆Lлеб из за стрел]])</f>
        <v>564.65637325914577</v>
      </c>
    </row>
    <row r="145" spans="1:101" x14ac:dyDescent="0.25">
      <c r="A145">
        <v>144</v>
      </c>
      <c r="B145">
        <v>122.93959731543578</v>
      </c>
      <c r="C145">
        <v>-32.949597315435781</v>
      </c>
      <c r="D145">
        <v>-4763.4604362322516</v>
      </c>
      <c r="E145">
        <v>5359.522263585076</v>
      </c>
      <c r="F145">
        <v>-4046.0936157816523</v>
      </c>
      <c r="G145">
        <v>4596.3970478330348</v>
      </c>
      <c r="H145">
        <v>-4045.960926232251</v>
      </c>
      <c r="I145">
        <v>4037.8428173121833</v>
      </c>
      <c r="J145">
        <v>1321.6794462728919</v>
      </c>
      <c r="K145">
        <v>11133.662738044848</v>
      </c>
      <c r="L145">
        <v>6650.9095812663809</v>
      </c>
      <c r="M145">
        <v>3510602.2695410699</v>
      </c>
      <c r="N145">
        <v>0</v>
      </c>
      <c r="O145">
        <v>8</v>
      </c>
      <c r="P145">
        <v>-3322.5</v>
      </c>
      <c r="Q145">
        <v>-2811.96</v>
      </c>
      <c r="R145">
        <v>-3280</v>
      </c>
      <c r="S145">
        <v>-914.66</v>
      </c>
      <c r="T145">
        <v>-7002</v>
      </c>
      <c r="U145">
        <v>520.34</v>
      </c>
      <c r="V145">
        <v>-7002.1</v>
      </c>
      <c r="W145">
        <v>2365</v>
      </c>
      <c r="X145">
        <v>-6252</v>
      </c>
      <c r="Y145">
        <v>3800</v>
      </c>
      <c r="Z145">
        <v>-4763.4604362322516</v>
      </c>
      <c r="AA145">
        <v>5359.522263585076</v>
      </c>
      <c r="AB145">
        <v>0</v>
      </c>
      <c r="AC145">
        <v>1064.1696555107644</v>
      </c>
      <c r="AD145">
        <v>1127.0074684186504</v>
      </c>
      <c r="AE145">
        <v>1127.0852605320265</v>
      </c>
      <c r="AF145">
        <v>1102.8004188791506</v>
      </c>
      <c r="AG145">
        <v>2229.8467779257899</v>
      </c>
      <c r="AH145">
        <v>1886.2998163666878</v>
      </c>
      <c r="AI145">
        <v>3721.9999999999995</v>
      </c>
      <c r="AJ145">
        <v>1844.6600027105269</v>
      </c>
      <c r="AK145">
        <v>750.10000000000059</v>
      </c>
      <c r="AL145">
        <v>1608.9234672660457</v>
      </c>
      <c r="AM145">
        <v>1321.6794517015878</v>
      </c>
      <c r="AN145">
        <v>-95.021003558665456</v>
      </c>
      <c r="AO145">
        <v>-180</v>
      </c>
      <c r="AP145">
        <v>-90.003106034687008</v>
      </c>
      <c r="AQ145">
        <v>1.2722218725854067E-14</v>
      </c>
      <c r="AR145">
        <v>-88.063846197957687</v>
      </c>
      <c r="AS145">
        <v>89.999999566492605</v>
      </c>
      <c r="AT145">
        <v>-2400.1625746957502</v>
      </c>
      <c r="AU145">
        <v>-3280</v>
      </c>
      <c r="AV145">
        <v>-7719.4999989457119</v>
      </c>
      <c r="AW145">
        <v>-7002.1</v>
      </c>
      <c r="AX145">
        <v>-5534.9096236507485</v>
      </c>
      <c r="AY145">
        <v>-4045.9604362322511</v>
      </c>
      <c r="AZ145">
        <v>-2730.9252207921031</v>
      </c>
      <c r="BA145">
        <v>-197.16</v>
      </c>
      <c r="BB145">
        <v>520.3011039433311</v>
      </c>
      <c r="BC145">
        <v>3082.5000000000005</v>
      </c>
      <c r="BD145">
        <v>3775.7586686155687</v>
      </c>
      <c r="BE145">
        <v>5359.5222690137753</v>
      </c>
      <c r="BF145">
        <v>-2565.2532760267472</v>
      </c>
      <c r="BG145">
        <v>-7002</v>
      </c>
      <c r="BH145">
        <v>-7719.5999989457123</v>
      </c>
      <c r="BI145">
        <v>-6252</v>
      </c>
      <c r="BJ145">
        <v>-5480.5508125815022</v>
      </c>
      <c r="BK145">
        <v>-4045.9604262322514</v>
      </c>
      <c r="BL145">
        <v>-851.86373761518519</v>
      </c>
      <c r="BM145">
        <v>-197.16</v>
      </c>
      <c r="BN145">
        <v>2364.9611039433312</v>
      </c>
      <c r="BO145">
        <v>3082.5000000000005</v>
      </c>
      <c r="BP145">
        <v>5383.7635949695068</v>
      </c>
      <c r="BQ145">
        <v>4037.842817312187</v>
      </c>
      <c r="BR145">
        <v>0</v>
      </c>
      <c r="BS145">
        <v>84.97899644133453</v>
      </c>
      <c r="BT145">
        <v>89.996893965312992</v>
      </c>
      <c r="BU145">
        <v>90.003106034687022</v>
      </c>
      <c r="BV145">
        <v>88.063846197957687</v>
      </c>
      <c r="BW145">
        <v>178.06384576445029</v>
      </c>
      <c r="BX145" s="69">
        <f>Таблица1[[#This Row],[Lкан_леб,мм]]</f>
        <v>3510602.2695410699</v>
      </c>
      <c r="BY145" s="65">
        <f>Таблица1[[#This Row],[Т1]]+Таблица1[[#This Row],[Lпрям1, мм]]</f>
        <v>3512488.5693574366</v>
      </c>
      <c r="BZ145" s="65">
        <f>Таблица1[[#This Row],[Т2]]+Таблица1[[#This Row],[Lдуг 2,мм]]</f>
        <v>3513552.7390129473</v>
      </c>
      <c r="CA145" s="65">
        <f>Таблица1[[#This Row],[Т3]]+Таблица1[[#This Row],[Lпрям2, мм]]</f>
        <v>3517274.7390129473</v>
      </c>
      <c r="CB145" s="65">
        <f>Таблица1[[#This Row],[Т4]]+Таблица1[[#This Row],[Lдуг 3,мм]]</f>
        <v>3518401.746481366</v>
      </c>
      <c r="CC145" s="65">
        <f>Таблица1[[#This Row],[Т5]]+Таблица1[[#This Row],[Lпрям3, мм]]</f>
        <v>3520246.4064840763</v>
      </c>
      <c r="CD145" s="65">
        <f>Таблица1[[#This Row],[Т6]]+Таблица1[[#This Row],[Lдуг 4,мм]]</f>
        <v>3521373.4917446082</v>
      </c>
      <c r="CE145" s="65">
        <f>Таблица1[[#This Row],[Т7]]+Таблица1[[#This Row],[Lпрям4, мм]]</f>
        <v>3522123.5917446082</v>
      </c>
      <c r="CF145" s="72">
        <f>Таблица1[[#This Row],[Т8]]+Таблица1[[#This Row],[Lдуг 5,мм]]</f>
        <v>3523226.3921634876</v>
      </c>
      <c r="CG145" s="65">
        <f>Таблица1[[#This Row],[Т9]]+Таблица1[[#This Row],[Lпрям5, мм]]</f>
        <v>3524835.3156307535</v>
      </c>
      <c r="CH145" s="65">
        <f>Таблица1[[#This Row],[Т10]]+Таблица1[[#This Row],[Lдуг 6,мм]]</f>
        <v>3527065.1624086793</v>
      </c>
      <c r="CI145" s="66">
        <f>Таблица1[[#This Row],[Т11]]+Таблица1[[#This Row],[Lпрям6, мм]]</f>
        <v>3528386.841860381</v>
      </c>
      <c r="CJ145" s="64">
        <f>Таблица1[[#This Row],[Т12]]-Таблица1[[#This Row],[Т12]]</f>
        <v>0</v>
      </c>
      <c r="CK145" s="65">
        <f>Таблица1[[#This Row],[Т12]]-Таблица1[[#This Row],[Т11]]</f>
        <v>1321.679451701697</v>
      </c>
      <c r="CL145" s="65">
        <f>Таблица1[[#This Row],[Т12]]-Таблица1[[#This Row],[Т10]]</f>
        <v>3551.5262296274304</v>
      </c>
      <c r="CM145" s="65">
        <f>Таблица1[[#This Row],[Т12]]-Таблица1[[#This Row],[Т9]]</f>
        <v>5160.4496968933381</v>
      </c>
      <c r="CN145" s="65">
        <f>Таблица1[[#This Row],[Т12]]-Таблица1[[#This Row],[Т8]]</f>
        <v>6263.2501157727093</v>
      </c>
      <c r="CO145" s="65">
        <f>Таблица1[[#This Row],[Т12]]-Таблица1[[#This Row],[Т7]]</f>
        <v>7013.3501157728024</v>
      </c>
      <c r="CP145" s="65">
        <f>Таблица1[[#This Row],[Т12]]-Таблица1[[#This Row],[Т6]]</f>
        <v>8140.4353763046674</v>
      </c>
      <c r="CQ145" s="65">
        <f>Таблица1[[#This Row],[Т12]]-Таблица1[[#This Row],[Т5]]</f>
        <v>9985.0953790149651</v>
      </c>
      <c r="CR145" s="65">
        <f>Таблица1[[#This Row],[Т12]]-Таблица1[[#This Row],[Т4]]</f>
        <v>11112.102847433649</v>
      </c>
      <c r="CS145" s="65">
        <f>Таблица1[[#This Row],[Т12]]-Таблица1[[#This Row],[Т3]]</f>
        <v>14834.102847433649</v>
      </c>
      <c r="CT145" s="65">
        <f>Таблица1[[#This Row],[Т12]]-Таблица1[[#This Row],[Т2]]</f>
        <v>15898.272502944339</v>
      </c>
      <c r="CU145" s="65">
        <f>Таблица1[[#This Row],[Т12]]-Таблица1[[#This Row],[Т1]]</f>
        <v>17784.57231931109</v>
      </c>
      <c r="CV145" s="65">
        <f>Таблица1[[#This Row],[Lкан_леб,мм]]+Таблица1[[#This Row],[Lкан_дуг, мм]]+Таблица1[[#This Row],[Lкан_прям, мм]]</f>
        <v>3528386.841860381</v>
      </c>
      <c r="CW145" s="60">
        <f>3511128.4-(Таблица1[[#This Row],[Lкан_леб,мм]]+Таблица1[[#This Row],[∆Lлеб из за стрел]])</f>
        <v>526.13045893004164</v>
      </c>
    </row>
    <row r="146" spans="1:101" x14ac:dyDescent="0.25">
      <c r="A146">
        <v>145</v>
      </c>
      <c r="B146">
        <v>123.44966442952973</v>
      </c>
      <c r="C146">
        <v>-33.459664429529738</v>
      </c>
      <c r="D146">
        <v>-4818.8891954846758</v>
      </c>
      <c r="E146">
        <v>5323.2581178334767</v>
      </c>
      <c r="F146">
        <v>-4101.5223750340765</v>
      </c>
      <c r="G146">
        <v>4560.1329020814364</v>
      </c>
      <c r="H146">
        <v>-4101.3896854846762</v>
      </c>
      <c r="I146">
        <v>4001.5781178337652</v>
      </c>
      <c r="J146">
        <v>1321.679999999712</v>
      </c>
      <c r="K146">
        <v>11046.218339491666</v>
      </c>
      <c r="L146">
        <v>6699.4014833161527</v>
      </c>
      <c r="M146">
        <v>3510641.2220484307</v>
      </c>
      <c r="N146">
        <v>0</v>
      </c>
      <c r="O146">
        <v>8</v>
      </c>
      <c r="P146">
        <v>-3322.5</v>
      </c>
      <c r="Q146">
        <v>-2811.96</v>
      </c>
      <c r="R146">
        <v>-3280</v>
      </c>
      <c r="S146">
        <v>-914.66</v>
      </c>
      <c r="T146">
        <v>-7002</v>
      </c>
      <c r="U146">
        <v>520.34</v>
      </c>
      <c r="V146">
        <v>-7002.1</v>
      </c>
      <c r="W146">
        <v>2365</v>
      </c>
      <c r="X146">
        <v>-6252</v>
      </c>
      <c r="Y146">
        <v>3800</v>
      </c>
      <c r="Z146">
        <v>-4818.8891954846758</v>
      </c>
      <c r="AA146">
        <v>5323.2581178334767</v>
      </c>
      <c r="AB146">
        <v>0</v>
      </c>
      <c r="AC146">
        <v>1064.1696555107644</v>
      </c>
      <c r="AD146">
        <v>1127.0074684186504</v>
      </c>
      <c r="AE146">
        <v>1127.0852605320265</v>
      </c>
      <c r="AF146">
        <v>1127.9367518879581</v>
      </c>
      <c r="AG146">
        <v>2253.2023469667533</v>
      </c>
      <c r="AH146">
        <v>1886.2998163666878</v>
      </c>
      <c r="AI146">
        <v>3721.9999999999995</v>
      </c>
      <c r="AJ146">
        <v>1844.6600027105269</v>
      </c>
      <c r="AK146">
        <v>750.10000000000059</v>
      </c>
      <c r="AL146">
        <v>1521.4785149860463</v>
      </c>
      <c r="AM146">
        <v>1321.6800054284049</v>
      </c>
      <c r="AN146">
        <v>-95.021003558665456</v>
      </c>
      <c r="AO146">
        <v>-180</v>
      </c>
      <c r="AP146">
        <v>-90.003106034687008</v>
      </c>
      <c r="AQ146">
        <v>1.2722218725854067E-14</v>
      </c>
      <c r="AR146">
        <v>-90.071101659755655</v>
      </c>
      <c r="AS146">
        <v>89.999999566492818</v>
      </c>
      <c r="AT146">
        <v>-2400.1625746957502</v>
      </c>
      <c r="AU146">
        <v>-3280</v>
      </c>
      <c r="AV146">
        <v>-7719.4999989457119</v>
      </c>
      <c r="AW146">
        <v>-7002.1</v>
      </c>
      <c r="AX146">
        <v>-5534.5005524666494</v>
      </c>
      <c r="AY146">
        <v>-4101.3891954846758</v>
      </c>
      <c r="AZ146">
        <v>-2730.9252207921031</v>
      </c>
      <c r="BA146">
        <v>-197.16</v>
      </c>
      <c r="BB146">
        <v>520.3011039433311</v>
      </c>
      <c r="BC146">
        <v>3082.5000000000005</v>
      </c>
      <c r="BD146">
        <v>3800.8903871840907</v>
      </c>
      <c r="BE146">
        <v>5323.2581232621733</v>
      </c>
      <c r="BF146">
        <v>-2565.2532760267472</v>
      </c>
      <c r="BG146">
        <v>-7002</v>
      </c>
      <c r="BH146">
        <v>-7719.5999989457123</v>
      </c>
      <c r="BI146">
        <v>-6252</v>
      </c>
      <c r="BJ146">
        <v>-5536.3886430180255</v>
      </c>
      <c r="BK146">
        <v>-4101.389185484677</v>
      </c>
      <c r="BL146">
        <v>-851.86373761518519</v>
      </c>
      <c r="BM146">
        <v>-197.16</v>
      </c>
      <c r="BN146">
        <v>2364.9611039433312</v>
      </c>
      <c r="BO146">
        <v>3082.5000000000005</v>
      </c>
      <c r="BP146">
        <v>5322.3677306493873</v>
      </c>
      <c r="BQ146">
        <v>4001.5781178337688</v>
      </c>
      <c r="BR146">
        <v>0</v>
      </c>
      <c r="BS146">
        <v>84.97899644133453</v>
      </c>
      <c r="BT146">
        <v>89.996893965312992</v>
      </c>
      <c r="BU146">
        <v>90.003106034687022</v>
      </c>
      <c r="BV146">
        <v>90.071101659755669</v>
      </c>
      <c r="BW146">
        <v>179.92889877375151</v>
      </c>
      <c r="BX146" s="69">
        <f>Таблица1[[#This Row],[Lкан_леб,мм]]</f>
        <v>3510641.2220484307</v>
      </c>
      <c r="BY146" s="65">
        <f>Таблица1[[#This Row],[Т1]]+Таблица1[[#This Row],[Lпрям1, мм]]</f>
        <v>3512527.5218647975</v>
      </c>
      <c r="BZ146" s="65">
        <f>Таблица1[[#This Row],[Т2]]+Таблица1[[#This Row],[Lдуг 2,мм]]</f>
        <v>3513591.6915203081</v>
      </c>
      <c r="CA146" s="65">
        <f>Таблица1[[#This Row],[Т3]]+Таблица1[[#This Row],[Lпрям2, мм]]</f>
        <v>3517313.6915203081</v>
      </c>
      <c r="CB146" s="65">
        <f>Таблица1[[#This Row],[Т4]]+Таблица1[[#This Row],[Lдуг 3,мм]]</f>
        <v>3518440.6989887268</v>
      </c>
      <c r="CC146" s="65">
        <f>Таблица1[[#This Row],[Т5]]+Таблица1[[#This Row],[Lпрям3, мм]]</f>
        <v>3520285.3589914371</v>
      </c>
      <c r="CD146" s="65">
        <f>Таблица1[[#This Row],[Т6]]+Таблица1[[#This Row],[Lдуг 4,мм]]</f>
        <v>3521412.444251969</v>
      </c>
      <c r="CE146" s="65">
        <f>Таблица1[[#This Row],[Т7]]+Таблица1[[#This Row],[Lпрям4, мм]]</f>
        <v>3522162.5442519691</v>
      </c>
      <c r="CF146" s="72">
        <f>Таблица1[[#This Row],[Т8]]+Таблица1[[#This Row],[Lдуг 5,мм]]</f>
        <v>3523290.4810038572</v>
      </c>
      <c r="CG146" s="65">
        <f>Таблица1[[#This Row],[Т9]]+Таблица1[[#This Row],[Lпрям5, мм]]</f>
        <v>3524811.9595188433</v>
      </c>
      <c r="CH146" s="65">
        <f>Таблица1[[#This Row],[Т10]]+Таблица1[[#This Row],[Lдуг 6,мм]]</f>
        <v>3527065.1618658099</v>
      </c>
      <c r="CI146" s="66">
        <f>Таблица1[[#This Row],[Т11]]+Таблица1[[#This Row],[Lпрям6, мм]]</f>
        <v>3528386.8418712383</v>
      </c>
      <c r="CJ146" s="64">
        <f>Таблица1[[#This Row],[Т12]]-Таблица1[[#This Row],[Т12]]</f>
        <v>0</v>
      </c>
      <c r="CK146" s="65">
        <f>Таблица1[[#This Row],[Т12]]-Таблица1[[#This Row],[Т11]]</f>
        <v>1321.6800054283813</v>
      </c>
      <c r="CL146" s="65">
        <f>Таблица1[[#This Row],[Т12]]-Таблица1[[#This Row],[Т10]]</f>
        <v>3574.8823523949832</v>
      </c>
      <c r="CM146" s="65">
        <f>Таблица1[[#This Row],[Т12]]-Таблица1[[#This Row],[Т9]]</f>
        <v>5096.3608673810959</v>
      </c>
      <c r="CN146" s="65">
        <f>Таблица1[[#This Row],[Т12]]-Таблица1[[#This Row],[Т8]]</f>
        <v>6224.2976192692295</v>
      </c>
      <c r="CO146" s="65">
        <f>Таблица1[[#This Row],[Т12]]-Таблица1[[#This Row],[Т7]]</f>
        <v>6974.3976192693226</v>
      </c>
      <c r="CP146" s="65">
        <f>Таблица1[[#This Row],[Т12]]-Таблица1[[#This Row],[Т6]]</f>
        <v>8101.4828798011877</v>
      </c>
      <c r="CQ146" s="65">
        <f>Таблица1[[#This Row],[Т12]]-Таблица1[[#This Row],[Т5]]</f>
        <v>9946.1428825114854</v>
      </c>
      <c r="CR146" s="65">
        <f>Таблица1[[#This Row],[Т12]]-Таблица1[[#This Row],[Т4]]</f>
        <v>11073.150350930169</v>
      </c>
      <c r="CS146" s="65">
        <f>Таблица1[[#This Row],[Т12]]-Таблица1[[#This Row],[Т3]]</f>
        <v>14795.150350930169</v>
      </c>
      <c r="CT146" s="65">
        <f>Таблица1[[#This Row],[Т12]]-Таблица1[[#This Row],[Т2]]</f>
        <v>15859.320006440859</v>
      </c>
      <c r="CU146" s="65">
        <f>Таблица1[[#This Row],[Т12]]-Таблица1[[#This Row],[Т1]]</f>
        <v>17745.61982280761</v>
      </c>
      <c r="CV146" s="65">
        <f>Таблица1[[#This Row],[Lкан_леб,мм]]+Таблица1[[#This Row],[Lкан_дуг, мм]]+Таблица1[[#This Row],[Lкан_прям, мм]]</f>
        <v>3528386.8418712383</v>
      </c>
      <c r="CW146" s="60">
        <f>3511128.4-(Таблица1[[#This Row],[Lкан_леб,мм]]+Таблица1[[#This Row],[∆Lлеб из за стрел]])</f>
        <v>487.17795156920329</v>
      </c>
    </row>
    <row r="147" spans="1:101" x14ac:dyDescent="0.25">
      <c r="A147">
        <v>146</v>
      </c>
      <c r="B147">
        <v>123.95973154362369</v>
      </c>
      <c r="C147">
        <v>-33.969731543623695</v>
      </c>
      <c r="D147">
        <v>-4873.9929264623197</v>
      </c>
      <c r="E147">
        <v>5286.5019693450959</v>
      </c>
      <c r="F147">
        <v>-4156.6261060117204</v>
      </c>
      <c r="G147">
        <v>4523.3767535930556</v>
      </c>
      <c r="H147">
        <v>-4156.4934164623201</v>
      </c>
      <c r="I147">
        <v>3964.8219693455339</v>
      </c>
      <c r="J147">
        <v>1321.6799999995619</v>
      </c>
      <c r="K147">
        <v>10956.300720725651</v>
      </c>
      <c r="L147">
        <v>6699.4014833161527</v>
      </c>
      <c r="M147">
        <v>3510731.1396671967</v>
      </c>
      <c r="N147">
        <v>0</v>
      </c>
      <c r="O147">
        <v>8</v>
      </c>
      <c r="P147">
        <v>-3322.5</v>
      </c>
      <c r="Q147">
        <v>-2811.96</v>
      </c>
      <c r="R147">
        <v>-3280</v>
      </c>
      <c r="S147">
        <v>-914.66</v>
      </c>
      <c r="T147">
        <v>-7002</v>
      </c>
      <c r="U147">
        <v>520.34</v>
      </c>
      <c r="V147">
        <v>-7002.1</v>
      </c>
      <c r="W147">
        <v>2365</v>
      </c>
      <c r="X147">
        <v>-6252</v>
      </c>
      <c r="Y147">
        <v>3800</v>
      </c>
      <c r="Z147">
        <v>-4873.9929264623197</v>
      </c>
      <c r="AA147">
        <v>5286.5019693450959</v>
      </c>
      <c r="AB147">
        <v>0</v>
      </c>
      <c r="AC147">
        <v>1064.1696555107644</v>
      </c>
      <c r="AD147">
        <v>1127.0074684186504</v>
      </c>
      <c r="AE147">
        <v>1127.0852605320265</v>
      </c>
      <c r="AF147">
        <v>1155.0699048571978</v>
      </c>
      <c r="AG147">
        <v>2226.069193997514</v>
      </c>
      <c r="AH147">
        <v>1886.2998163666878</v>
      </c>
      <c r="AI147">
        <v>3721.9999999999995</v>
      </c>
      <c r="AJ147">
        <v>1844.6600027105269</v>
      </c>
      <c r="AK147">
        <v>750.10000000000059</v>
      </c>
      <c r="AL147">
        <v>1431.5608962201816</v>
      </c>
      <c r="AM147">
        <v>1321.6800054282544</v>
      </c>
      <c r="AN147">
        <v>-95.021003558665456</v>
      </c>
      <c r="AO147">
        <v>-180</v>
      </c>
      <c r="AP147">
        <v>-90.003106034687008</v>
      </c>
      <c r="AQ147">
        <v>1.2722218725854067E-14</v>
      </c>
      <c r="AR147">
        <v>-92.237812670236892</v>
      </c>
      <c r="AS147">
        <v>89.999999566492818</v>
      </c>
      <c r="AT147">
        <v>-2400.1625746957502</v>
      </c>
      <c r="AU147">
        <v>-3280</v>
      </c>
      <c r="AV147">
        <v>-7719.4999989457119</v>
      </c>
      <c r="AW147">
        <v>-7002.1</v>
      </c>
      <c r="AX147">
        <v>-5535.0471909332809</v>
      </c>
      <c r="AY147">
        <v>-4156.4929264623197</v>
      </c>
      <c r="AZ147">
        <v>-2730.9252207921031</v>
      </c>
      <c r="BA147">
        <v>-197.16</v>
      </c>
      <c r="BB147">
        <v>520.3011039433311</v>
      </c>
      <c r="BC147">
        <v>3082.5000000000005</v>
      </c>
      <c r="BD147">
        <v>3828.0164161045141</v>
      </c>
      <c r="BE147">
        <v>5286.5019747737924</v>
      </c>
      <c r="BF147">
        <v>-2565.2532760267472</v>
      </c>
      <c r="BG147">
        <v>-7002</v>
      </c>
      <c r="BH147">
        <v>-7719.5999989457123</v>
      </c>
      <c r="BI147">
        <v>-6252</v>
      </c>
      <c r="BJ147">
        <v>-5590.9457355290378</v>
      </c>
      <c r="BK147">
        <v>-4156.49291646232</v>
      </c>
      <c r="BL147">
        <v>-851.86373761518519</v>
      </c>
      <c r="BM147">
        <v>-197.16</v>
      </c>
      <c r="BN147">
        <v>2364.9611039433312</v>
      </c>
      <c r="BO147">
        <v>3082.5000000000005</v>
      </c>
      <c r="BP147">
        <v>5258.4855532405818</v>
      </c>
      <c r="BQ147">
        <v>3964.821969345538</v>
      </c>
      <c r="BR147">
        <v>0</v>
      </c>
      <c r="BS147">
        <v>84.97899644133453</v>
      </c>
      <c r="BT147">
        <v>89.996893965312992</v>
      </c>
      <c r="BU147">
        <v>90.003106034687022</v>
      </c>
      <c r="BV147">
        <v>92.237812670236906</v>
      </c>
      <c r="BW147">
        <v>177.76218776327028</v>
      </c>
      <c r="BX147" s="69">
        <f>Таблица1[[#This Row],[Lкан_леб,мм]]</f>
        <v>3510731.1396671967</v>
      </c>
      <c r="BY147" s="65">
        <f>Таблица1[[#This Row],[Т1]]+Таблица1[[#This Row],[Lпрям1, мм]]</f>
        <v>3512617.4394835634</v>
      </c>
      <c r="BZ147" s="65">
        <f>Таблица1[[#This Row],[Т2]]+Таблица1[[#This Row],[Lдуг 2,мм]]</f>
        <v>3513681.6091390741</v>
      </c>
      <c r="CA147" s="65">
        <f>Таблица1[[#This Row],[Т3]]+Таблица1[[#This Row],[Lпрям2, мм]]</f>
        <v>3517403.6091390741</v>
      </c>
      <c r="CB147" s="65">
        <f>Таблица1[[#This Row],[Т4]]+Таблица1[[#This Row],[Lдуг 3,мм]]</f>
        <v>3518530.6166074928</v>
      </c>
      <c r="CC147" s="65">
        <f>Таблица1[[#This Row],[Т5]]+Таблица1[[#This Row],[Lпрям3, мм]]</f>
        <v>3520375.2766102031</v>
      </c>
      <c r="CD147" s="65">
        <f>Таблица1[[#This Row],[Т6]]+Таблица1[[#This Row],[Lдуг 4,мм]]</f>
        <v>3521502.361870735</v>
      </c>
      <c r="CE147" s="65">
        <f>Таблица1[[#This Row],[Т7]]+Таблица1[[#This Row],[Lпрям4, мм]]</f>
        <v>3522252.461870735</v>
      </c>
      <c r="CF147" s="72">
        <f>Таблица1[[#This Row],[Т8]]+Таблица1[[#This Row],[Lдуг 5,мм]]</f>
        <v>3523407.5317755924</v>
      </c>
      <c r="CG147" s="65">
        <f>Таблица1[[#This Row],[Т9]]+Таблица1[[#This Row],[Lпрям5, мм]]</f>
        <v>3524839.0926718125</v>
      </c>
      <c r="CH147" s="65">
        <f>Таблица1[[#This Row],[Т10]]+Таблица1[[#This Row],[Lдуг 6,мм]]</f>
        <v>3527065.1618658099</v>
      </c>
      <c r="CI147" s="66">
        <f>Таблица1[[#This Row],[Т11]]+Таблица1[[#This Row],[Lпрям6, мм]]</f>
        <v>3528386.8418712383</v>
      </c>
      <c r="CJ147" s="64">
        <f>Таблица1[[#This Row],[Т12]]-Таблица1[[#This Row],[Т12]]</f>
        <v>0</v>
      </c>
      <c r="CK147" s="65">
        <f>Таблица1[[#This Row],[Т12]]-Таблица1[[#This Row],[Т11]]</f>
        <v>1321.6800054283813</v>
      </c>
      <c r="CL147" s="65">
        <f>Таблица1[[#This Row],[Т12]]-Таблица1[[#This Row],[Т10]]</f>
        <v>3547.7491994258016</v>
      </c>
      <c r="CM147" s="65">
        <f>Таблица1[[#This Row],[Т12]]-Таблица1[[#This Row],[Т9]]</f>
        <v>4979.310095645953</v>
      </c>
      <c r="CN147" s="65">
        <f>Таблица1[[#This Row],[Т12]]-Таблица1[[#This Row],[Т8]]</f>
        <v>6134.3800005032681</v>
      </c>
      <c r="CO147" s="65">
        <f>Таблица1[[#This Row],[Т12]]-Таблица1[[#This Row],[Т7]]</f>
        <v>6884.4800005033612</v>
      </c>
      <c r="CP147" s="65">
        <f>Таблица1[[#This Row],[Т12]]-Таблица1[[#This Row],[Т6]]</f>
        <v>8011.5652610352263</v>
      </c>
      <c r="CQ147" s="65">
        <f>Таблица1[[#This Row],[Т12]]-Таблица1[[#This Row],[Т5]]</f>
        <v>9856.225263745524</v>
      </c>
      <c r="CR147" s="65">
        <f>Таблица1[[#This Row],[Т12]]-Таблица1[[#This Row],[Т4]]</f>
        <v>10983.232732164208</v>
      </c>
      <c r="CS147" s="65">
        <f>Таблица1[[#This Row],[Т12]]-Таблица1[[#This Row],[Т3]]</f>
        <v>14705.232732164208</v>
      </c>
      <c r="CT147" s="65">
        <f>Таблица1[[#This Row],[Т12]]-Таблица1[[#This Row],[Т2]]</f>
        <v>15769.402387674898</v>
      </c>
      <c r="CU147" s="65">
        <f>Таблица1[[#This Row],[Т12]]-Таблица1[[#This Row],[Т1]]</f>
        <v>17655.702204041649</v>
      </c>
      <c r="CV147" s="65">
        <f>Таблица1[[#This Row],[Lкан_леб,мм]]+Таблица1[[#This Row],[Lкан_дуг, мм]]+Таблица1[[#This Row],[Lкан_прям, мм]]</f>
        <v>3528386.8418712383</v>
      </c>
      <c r="CW147" s="60">
        <f>3511128.4-(Таблица1[[#This Row],[Lкан_леб,мм]]+Таблица1[[#This Row],[∆Lлеб из за стрел]])</f>
        <v>397.26033280324191</v>
      </c>
    </row>
    <row r="148" spans="1:101" x14ac:dyDescent="0.25">
      <c r="A148">
        <v>147</v>
      </c>
      <c r="B148">
        <v>124.46979865771765</v>
      </c>
      <c r="C148">
        <v>-34.479798657717645</v>
      </c>
      <c r="D148">
        <v>-4928.7672621216625</v>
      </c>
      <c r="E148">
        <v>5249.2567310932855</v>
      </c>
      <c r="F148">
        <v>-4211.4004416710632</v>
      </c>
      <c r="G148">
        <v>4486.1315153412443</v>
      </c>
      <c r="H148">
        <v>-4211.2677521216629</v>
      </c>
      <c r="I148">
        <v>3927.5767310935275</v>
      </c>
      <c r="J148">
        <v>1321.6799999997577</v>
      </c>
      <c r="K148">
        <v>10863.42012659881</v>
      </c>
      <c r="L148">
        <v>6699.4014833161527</v>
      </c>
      <c r="M148">
        <v>3510824.0202613231</v>
      </c>
      <c r="N148">
        <v>0</v>
      </c>
      <c r="O148">
        <v>8</v>
      </c>
      <c r="P148">
        <v>-3322.5</v>
      </c>
      <c r="Q148">
        <v>-2811.96</v>
      </c>
      <c r="R148">
        <v>-3280</v>
      </c>
      <c r="S148">
        <v>-914.66</v>
      </c>
      <c r="T148">
        <v>-7002</v>
      </c>
      <c r="U148">
        <v>520.34</v>
      </c>
      <c r="V148">
        <v>-7002.1</v>
      </c>
      <c r="W148">
        <v>2365</v>
      </c>
      <c r="X148">
        <v>-6252</v>
      </c>
      <c r="Y148">
        <v>3800</v>
      </c>
      <c r="Z148">
        <v>-4928.7672621216625</v>
      </c>
      <c r="AA148">
        <v>5249.2567310932855</v>
      </c>
      <c r="AB148">
        <v>0</v>
      </c>
      <c r="AC148">
        <v>1064.1696555107644</v>
      </c>
      <c r="AD148">
        <v>1127.0074684186504</v>
      </c>
      <c r="AE148">
        <v>1127.0852605320265</v>
      </c>
      <c r="AF148">
        <v>1184.5441412075136</v>
      </c>
      <c r="AG148">
        <v>2196.594957647198</v>
      </c>
      <c r="AH148">
        <v>1886.2998163666878</v>
      </c>
      <c r="AI148">
        <v>3721.9999999999995</v>
      </c>
      <c r="AJ148">
        <v>1844.6600027105269</v>
      </c>
      <c r="AK148">
        <v>750.10000000000059</v>
      </c>
      <c r="AL148">
        <v>1338.6803020931457</v>
      </c>
      <c r="AM148">
        <v>1321.6800054284504</v>
      </c>
      <c r="AN148">
        <v>-95.021003558665456</v>
      </c>
      <c r="AO148">
        <v>-180</v>
      </c>
      <c r="AP148">
        <v>-90.003106034687008</v>
      </c>
      <c r="AQ148">
        <v>1.2722218725854067E-14</v>
      </c>
      <c r="AR148">
        <v>-94.591470297058038</v>
      </c>
      <c r="AS148">
        <v>89.999999566492818</v>
      </c>
      <c r="AT148">
        <v>-2400.1625746957502</v>
      </c>
      <c r="AU148">
        <v>-3280</v>
      </c>
      <c r="AV148">
        <v>-7719.4999989457119</v>
      </c>
      <c r="AW148">
        <v>-7002.1</v>
      </c>
      <c r="AX148">
        <v>-5536.8025961663898</v>
      </c>
      <c r="AY148">
        <v>-4211.2672621216625</v>
      </c>
      <c r="AZ148">
        <v>-2730.9252207921031</v>
      </c>
      <c r="BA148">
        <v>-197.16</v>
      </c>
      <c r="BB148">
        <v>520.3011039433311</v>
      </c>
      <c r="BC148">
        <v>3082.5000000000005</v>
      </c>
      <c r="BD148">
        <v>3857.4362564036396</v>
      </c>
      <c r="BE148">
        <v>5249.256736521982</v>
      </c>
      <c r="BF148">
        <v>-2565.2532760267472</v>
      </c>
      <c r="BG148">
        <v>-7002</v>
      </c>
      <c r="BH148">
        <v>-7719.5999989457123</v>
      </c>
      <c r="BI148">
        <v>-6252</v>
      </c>
      <c r="BJ148">
        <v>-5643.9646659552727</v>
      </c>
      <c r="BK148">
        <v>-4211.2672521216637</v>
      </c>
      <c r="BL148">
        <v>-851.86373761518519</v>
      </c>
      <c r="BM148">
        <v>-197.16</v>
      </c>
      <c r="BN148">
        <v>2364.9611039433312</v>
      </c>
      <c r="BO148">
        <v>3082.5000000000005</v>
      </c>
      <c r="BP148">
        <v>5191.8204746896463</v>
      </c>
      <c r="BQ148">
        <v>3927.5767310935316</v>
      </c>
      <c r="BR148">
        <v>0</v>
      </c>
      <c r="BS148">
        <v>84.97899644133453</v>
      </c>
      <c r="BT148">
        <v>89.996893965312992</v>
      </c>
      <c r="BU148">
        <v>90.003106034687022</v>
      </c>
      <c r="BV148">
        <v>94.591470297058052</v>
      </c>
      <c r="BW148">
        <v>175.40853013644912</v>
      </c>
      <c r="BX148" s="69">
        <f>Таблица1[[#This Row],[Lкан_леб,мм]]</f>
        <v>3510824.0202613231</v>
      </c>
      <c r="BY148" s="65">
        <f>Таблица1[[#This Row],[Т1]]+Таблица1[[#This Row],[Lпрям1, мм]]</f>
        <v>3512710.3200776898</v>
      </c>
      <c r="BZ148" s="65">
        <f>Таблица1[[#This Row],[Т2]]+Таблица1[[#This Row],[Lдуг 2,мм]]</f>
        <v>3513774.4897332005</v>
      </c>
      <c r="CA148" s="65">
        <f>Таблица1[[#This Row],[Т3]]+Таблица1[[#This Row],[Lпрям2, мм]]</f>
        <v>3517496.4897332005</v>
      </c>
      <c r="CB148" s="65">
        <f>Таблица1[[#This Row],[Т4]]+Таблица1[[#This Row],[Lдуг 3,мм]]</f>
        <v>3518623.4972016192</v>
      </c>
      <c r="CC148" s="65">
        <f>Таблица1[[#This Row],[Т5]]+Таблица1[[#This Row],[Lпрям3, мм]]</f>
        <v>3520468.1572043295</v>
      </c>
      <c r="CD148" s="65">
        <f>Таблица1[[#This Row],[Т6]]+Таблица1[[#This Row],[Lдуг 4,мм]]</f>
        <v>3521595.2424648614</v>
      </c>
      <c r="CE148" s="65">
        <f>Таблица1[[#This Row],[Т7]]+Таблица1[[#This Row],[Lпрям4, мм]]</f>
        <v>3522345.3424648615</v>
      </c>
      <c r="CF148" s="72">
        <f>Таблица1[[#This Row],[Т8]]+Таблица1[[#This Row],[Lдуг 5,мм]]</f>
        <v>3523529.8866060688</v>
      </c>
      <c r="CG148" s="65">
        <f>Таблица1[[#This Row],[Т9]]+Таблица1[[#This Row],[Lпрям5, мм]]</f>
        <v>3524868.5669081621</v>
      </c>
      <c r="CH148" s="65">
        <f>Таблица1[[#This Row],[Т10]]+Таблица1[[#This Row],[Lдуг 6,мм]]</f>
        <v>3527065.1618658095</v>
      </c>
      <c r="CI148" s="66">
        <f>Таблица1[[#This Row],[Т11]]+Таблица1[[#This Row],[Lпрям6, мм]]</f>
        <v>3528386.8418712378</v>
      </c>
      <c r="CJ148" s="64">
        <f>Таблица1[[#This Row],[Т12]]-Таблица1[[#This Row],[Т12]]</f>
        <v>0</v>
      </c>
      <c r="CK148" s="65">
        <f>Таблица1[[#This Row],[Т12]]-Таблица1[[#This Row],[Т11]]</f>
        <v>1321.6800054283813</v>
      </c>
      <c r="CL148" s="65">
        <f>Таблица1[[#This Row],[Т12]]-Таблица1[[#This Row],[Т10]]</f>
        <v>3518.2749630757608</v>
      </c>
      <c r="CM148" s="65">
        <f>Таблица1[[#This Row],[Т12]]-Таблица1[[#This Row],[Т9]]</f>
        <v>4856.9552651690319</v>
      </c>
      <c r="CN148" s="65">
        <f>Таблица1[[#This Row],[Т12]]-Таблица1[[#This Row],[Т8]]</f>
        <v>6041.4994063763879</v>
      </c>
      <c r="CO148" s="65">
        <f>Таблица1[[#This Row],[Т12]]-Таблица1[[#This Row],[Т7]]</f>
        <v>6791.5994063764811</v>
      </c>
      <c r="CP148" s="65">
        <f>Таблица1[[#This Row],[Т12]]-Таблица1[[#This Row],[Т6]]</f>
        <v>7918.6846669083461</v>
      </c>
      <c r="CQ148" s="65">
        <f>Таблица1[[#This Row],[Т12]]-Таблица1[[#This Row],[Т5]]</f>
        <v>9763.3446696186438</v>
      </c>
      <c r="CR148" s="65">
        <f>Таблица1[[#This Row],[Т12]]-Таблица1[[#This Row],[Т4]]</f>
        <v>10890.352138037328</v>
      </c>
      <c r="CS148" s="65">
        <f>Таблица1[[#This Row],[Т12]]-Таблица1[[#This Row],[Т3]]</f>
        <v>14612.352138037328</v>
      </c>
      <c r="CT148" s="65">
        <f>Таблица1[[#This Row],[Т12]]-Таблица1[[#This Row],[Т2]]</f>
        <v>15676.521793548018</v>
      </c>
      <c r="CU148" s="65">
        <f>Таблица1[[#This Row],[Т12]]-Таблица1[[#This Row],[Т1]]</f>
        <v>17562.821609914768</v>
      </c>
      <c r="CV148" s="65">
        <f>Таблица1[[#This Row],[Lкан_леб,мм]]+Таблица1[[#This Row],[Lкан_дуг, мм]]+Таблица1[[#This Row],[Lкан_прям, мм]]</f>
        <v>3528386.8418712378</v>
      </c>
      <c r="CW148" s="60">
        <f>3511128.4-(Таблица1[[#This Row],[Lкан_леб,мм]]+Таблица1[[#This Row],[∆Lлеб из за стрел]])</f>
        <v>304.3797386768274</v>
      </c>
    </row>
    <row r="149" spans="1:101" x14ac:dyDescent="0.25">
      <c r="A149">
        <v>148</v>
      </c>
      <c r="B149">
        <v>124.9798657718116</v>
      </c>
      <c r="C149">
        <v>-34.989865771811601</v>
      </c>
      <c r="D149">
        <v>-4983.2078615241999</v>
      </c>
      <c r="E149">
        <v>5211.5253548124101</v>
      </c>
      <c r="F149">
        <v>-4265.8410410736005</v>
      </c>
      <c r="G149">
        <v>4448.4001390603698</v>
      </c>
      <c r="H149">
        <v>-4265.7083515241993</v>
      </c>
      <c r="I149">
        <v>3889.8453548125435</v>
      </c>
      <c r="J149">
        <v>1321.6799999998668</v>
      </c>
      <c r="K149">
        <v>10766.920293655203</v>
      </c>
      <c r="L149">
        <v>6699.4014833161527</v>
      </c>
      <c r="M149">
        <v>3510920.5200942671</v>
      </c>
      <c r="N149">
        <v>0</v>
      </c>
      <c r="O149">
        <v>8</v>
      </c>
      <c r="P149">
        <v>-3322.5</v>
      </c>
      <c r="Q149">
        <v>-2811.96</v>
      </c>
      <c r="R149">
        <v>-3280</v>
      </c>
      <c r="S149">
        <v>-914.66</v>
      </c>
      <c r="T149">
        <v>-7002</v>
      </c>
      <c r="U149">
        <v>520.34</v>
      </c>
      <c r="V149">
        <v>-7002.1</v>
      </c>
      <c r="W149">
        <v>2365</v>
      </c>
      <c r="X149">
        <v>-6252</v>
      </c>
      <c r="Y149">
        <v>3800</v>
      </c>
      <c r="Z149">
        <v>-4983.2078615241999</v>
      </c>
      <c r="AA149">
        <v>5211.5253548124101</v>
      </c>
      <c r="AB149">
        <v>0</v>
      </c>
      <c r="AC149">
        <v>1064.1696555107644</v>
      </c>
      <c r="AD149">
        <v>1127.0074684186504</v>
      </c>
      <c r="AE149">
        <v>1127.0852605320265</v>
      </c>
      <c r="AF149">
        <v>1216.8065544351891</v>
      </c>
      <c r="AG149">
        <v>2164.3325444195229</v>
      </c>
      <c r="AH149">
        <v>1886.2998163666878</v>
      </c>
      <c r="AI149">
        <v>3721.9999999999995</v>
      </c>
      <c r="AJ149">
        <v>1844.6600027105269</v>
      </c>
      <c r="AK149">
        <v>750.10000000000059</v>
      </c>
      <c r="AL149">
        <v>1242.180469149429</v>
      </c>
      <c r="AM149">
        <v>1321.6800054285595</v>
      </c>
      <c r="AN149">
        <v>-95.021003558665456</v>
      </c>
      <c r="AO149">
        <v>-180</v>
      </c>
      <c r="AP149">
        <v>-90.003106034687008</v>
      </c>
      <c r="AQ149">
        <v>1.2722218725854067E-14</v>
      </c>
      <c r="AR149">
        <v>-97.167777077340745</v>
      </c>
      <c r="AS149">
        <v>89.999999566492789</v>
      </c>
      <c r="AT149">
        <v>-2400.1625746957502</v>
      </c>
      <c r="AU149">
        <v>-3280</v>
      </c>
      <c r="AV149">
        <v>-7719.4999989457119</v>
      </c>
      <c r="AW149">
        <v>-7002.1</v>
      </c>
      <c r="AX149">
        <v>-5540.1072400176872</v>
      </c>
      <c r="AY149">
        <v>-4265.707861524199</v>
      </c>
      <c r="AZ149">
        <v>-2730.9252207921031</v>
      </c>
      <c r="BA149">
        <v>-197.16</v>
      </c>
      <c r="BB149">
        <v>520.3011039433311</v>
      </c>
      <c r="BC149">
        <v>3082.5000000000005</v>
      </c>
      <c r="BD149">
        <v>3889.5262435533059</v>
      </c>
      <c r="BE149">
        <v>5211.5253602411067</v>
      </c>
      <c r="BF149">
        <v>-2565.2532760267472</v>
      </c>
      <c r="BG149">
        <v>-7002</v>
      </c>
      <c r="BH149">
        <v>-7719.5999989457123</v>
      </c>
      <c r="BI149">
        <v>-6252</v>
      </c>
      <c r="BJ149">
        <v>-5695.1006215065117</v>
      </c>
      <c r="BK149">
        <v>-4265.7078515241992</v>
      </c>
      <c r="BL149">
        <v>-851.86373761518519</v>
      </c>
      <c r="BM149">
        <v>-197.16</v>
      </c>
      <c r="BN149">
        <v>2364.9611039433312</v>
      </c>
      <c r="BO149">
        <v>3082.5000000000005</v>
      </c>
      <c r="BP149">
        <v>5121.9991112591051</v>
      </c>
      <c r="BQ149">
        <v>3889.8453548125476</v>
      </c>
      <c r="BR149">
        <v>0</v>
      </c>
      <c r="BS149">
        <v>84.97899644133453</v>
      </c>
      <c r="BT149">
        <v>89.996893965312992</v>
      </c>
      <c r="BU149">
        <v>90.003106034687022</v>
      </c>
      <c r="BV149">
        <v>97.167777077340759</v>
      </c>
      <c r="BW149">
        <v>172.83222335616645</v>
      </c>
      <c r="BX149" s="69">
        <f>Таблица1[[#This Row],[Lкан_леб,мм]]</f>
        <v>3510920.5200942671</v>
      </c>
      <c r="BY149" s="65">
        <f>Таблица1[[#This Row],[Т1]]+Таблица1[[#This Row],[Lпрям1, мм]]</f>
        <v>3512806.8199106338</v>
      </c>
      <c r="BZ149" s="65">
        <f>Таблица1[[#This Row],[Т2]]+Таблица1[[#This Row],[Lдуг 2,мм]]</f>
        <v>3513870.9895661445</v>
      </c>
      <c r="CA149" s="65">
        <f>Таблица1[[#This Row],[Т3]]+Таблица1[[#This Row],[Lпрям2, мм]]</f>
        <v>3517592.9895661445</v>
      </c>
      <c r="CB149" s="65">
        <f>Таблица1[[#This Row],[Т4]]+Таблица1[[#This Row],[Lдуг 3,мм]]</f>
        <v>3518719.9970345632</v>
      </c>
      <c r="CC149" s="65">
        <f>Таблица1[[#This Row],[Т5]]+Таблица1[[#This Row],[Lпрям3, мм]]</f>
        <v>3520564.6570372735</v>
      </c>
      <c r="CD149" s="65">
        <f>Таблица1[[#This Row],[Т6]]+Таблица1[[#This Row],[Lдуг 4,мм]]</f>
        <v>3521691.7422978054</v>
      </c>
      <c r="CE149" s="65">
        <f>Таблица1[[#This Row],[Т7]]+Таблица1[[#This Row],[Lпрям4, мм]]</f>
        <v>3522441.8422978055</v>
      </c>
      <c r="CF149" s="72">
        <f>Таблица1[[#This Row],[Т8]]+Таблица1[[#This Row],[Lдуг 5,мм]]</f>
        <v>3523658.6488522408</v>
      </c>
      <c r="CG149" s="65">
        <f>Таблица1[[#This Row],[Т9]]+Таблица1[[#This Row],[Lпрям5, мм]]</f>
        <v>3524900.82932139</v>
      </c>
      <c r="CH149" s="65">
        <f>Таблица1[[#This Row],[Т10]]+Таблица1[[#This Row],[Lдуг 6,мм]]</f>
        <v>3527065.1618658095</v>
      </c>
      <c r="CI149" s="66">
        <f>Таблица1[[#This Row],[Т11]]+Таблица1[[#This Row],[Lпрям6, мм]]</f>
        <v>3528386.8418712378</v>
      </c>
      <c r="CJ149" s="64">
        <f>Таблица1[[#This Row],[Т12]]-Таблица1[[#This Row],[Т12]]</f>
        <v>0</v>
      </c>
      <c r="CK149" s="65">
        <f>Таблица1[[#This Row],[Т12]]-Таблица1[[#This Row],[Т11]]</f>
        <v>1321.6800054283813</v>
      </c>
      <c r="CL149" s="65">
        <f>Таблица1[[#This Row],[Т12]]-Таблица1[[#This Row],[Т10]]</f>
        <v>3486.0125498478301</v>
      </c>
      <c r="CM149" s="65">
        <f>Таблица1[[#This Row],[Т12]]-Таблица1[[#This Row],[Т9]]</f>
        <v>4728.1930189970881</v>
      </c>
      <c r="CN149" s="65">
        <f>Таблица1[[#This Row],[Т12]]-Таблица1[[#This Row],[Т8]]</f>
        <v>5944.9995734323747</v>
      </c>
      <c r="CO149" s="65">
        <f>Таблица1[[#This Row],[Т12]]-Таблица1[[#This Row],[Т7]]</f>
        <v>6695.0995734324679</v>
      </c>
      <c r="CP149" s="65">
        <f>Таблица1[[#This Row],[Т12]]-Таблица1[[#This Row],[Т6]]</f>
        <v>7822.1848339643329</v>
      </c>
      <c r="CQ149" s="65">
        <f>Таблица1[[#This Row],[Т12]]-Таблица1[[#This Row],[Т5]]</f>
        <v>9666.8448366746306</v>
      </c>
      <c r="CR149" s="65">
        <f>Таблица1[[#This Row],[Т12]]-Таблица1[[#This Row],[Т4]]</f>
        <v>10793.852305093314</v>
      </c>
      <c r="CS149" s="65">
        <f>Таблица1[[#This Row],[Т12]]-Таблица1[[#This Row],[Т3]]</f>
        <v>14515.852305093314</v>
      </c>
      <c r="CT149" s="65">
        <f>Таблица1[[#This Row],[Т12]]-Таблица1[[#This Row],[Т2]]</f>
        <v>15580.021960604005</v>
      </c>
      <c r="CU149" s="65">
        <f>Таблица1[[#This Row],[Т12]]-Таблица1[[#This Row],[Т1]]</f>
        <v>17466.321776970755</v>
      </c>
      <c r="CV149" s="65">
        <f>Таблица1[[#This Row],[Lкан_леб,мм]]+Таблица1[[#This Row],[Lкан_дуг, мм]]+Таблица1[[#This Row],[Lкан_прям, мм]]</f>
        <v>3528386.8418712383</v>
      </c>
      <c r="CW149" s="60">
        <f>3511128.4-(Таблица1[[#This Row],[Lкан_леб,мм]]+Таблица1[[#This Row],[∆Lлеб из за стрел]])</f>
        <v>207.87990573281422</v>
      </c>
    </row>
    <row r="150" spans="1:101" x14ac:dyDescent="0.25">
      <c r="A150">
        <v>149</v>
      </c>
      <c r="B150">
        <v>125.48993288590556</v>
      </c>
      <c r="C150">
        <v>-35.499932885905558</v>
      </c>
      <c r="D150">
        <v>-5037.3104101804656</v>
      </c>
      <c r="E150">
        <v>5173.3108307639159</v>
      </c>
      <c r="F150">
        <v>-4319.9435897298663</v>
      </c>
      <c r="G150">
        <v>4410.1856150118756</v>
      </c>
      <c r="H150">
        <v>-4319.8109001804651</v>
      </c>
      <c r="I150">
        <v>3851.6308307644049</v>
      </c>
      <c r="J150">
        <v>1321.6799999995112</v>
      </c>
      <c r="K150">
        <v>10665.89206566758</v>
      </c>
      <c r="L150">
        <v>6699.4014833161527</v>
      </c>
      <c r="M150">
        <v>3511021.5483222543</v>
      </c>
      <c r="N150">
        <v>0</v>
      </c>
      <c r="O150">
        <v>8</v>
      </c>
      <c r="P150">
        <v>-3322.5</v>
      </c>
      <c r="Q150">
        <v>-2811.96</v>
      </c>
      <c r="R150">
        <v>-3280</v>
      </c>
      <c r="S150">
        <v>-914.66</v>
      </c>
      <c r="T150">
        <v>-7002</v>
      </c>
      <c r="U150">
        <v>520.34</v>
      </c>
      <c r="V150">
        <v>-7002.1</v>
      </c>
      <c r="W150">
        <v>2365</v>
      </c>
      <c r="X150">
        <v>-6252</v>
      </c>
      <c r="Y150">
        <v>3800</v>
      </c>
      <c r="Z150">
        <v>-5037.3104101804656</v>
      </c>
      <c r="AA150">
        <v>5173.3108307639159</v>
      </c>
      <c r="AB150">
        <v>0</v>
      </c>
      <c r="AC150">
        <v>1064.1696555107644</v>
      </c>
      <c r="AD150">
        <v>1127.0074684186504</v>
      </c>
      <c r="AE150">
        <v>1127.0852605320265</v>
      </c>
      <c r="AF150">
        <v>1252.4568961817295</v>
      </c>
      <c r="AG150">
        <v>2128.6822026729828</v>
      </c>
      <c r="AH150">
        <v>1886.2998163666878</v>
      </c>
      <c r="AI150">
        <v>3721.9999999999995</v>
      </c>
      <c r="AJ150">
        <v>1844.6600027105269</v>
      </c>
      <c r="AK150">
        <v>750.10000000000059</v>
      </c>
      <c r="AL150">
        <v>1141.1522411621622</v>
      </c>
      <c r="AM150">
        <v>1321.6800054282048</v>
      </c>
      <c r="AN150">
        <v>-95.021003558665456</v>
      </c>
      <c r="AO150">
        <v>-180</v>
      </c>
      <c r="AP150">
        <v>-90.003106034687008</v>
      </c>
      <c r="AQ150">
        <v>1.2722218725854067E-14</v>
      </c>
      <c r="AR150">
        <v>-100.01462602546034</v>
      </c>
      <c r="AS150">
        <v>89.999999566492775</v>
      </c>
      <c r="AT150">
        <v>-2400.1625746957502</v>
      </c>
      <c r="AU150">
        <v>-3280</v>
      </c>
      <c r="AV150">
        <v>-7719.4999989457119</v>
      </c>
      <c r="AW150">
        <v>-7002.1</v>
      </c>
      <c r="AX150">
        <v>-5545.4322652671608</v>
      </c>
      <c r="AY150">
        <v>-4319.8104101804647</v>
      </c>
      <c r="AZ150">
        <v>-2730.9252207921031</v>
      </c>
      <c r="BA150">
        <v>-197.16</v>
      </c>
      <c r="BB150">
        <v>520.3011039433311</v>
      </c>
      <c r="BC150">
        <v>3082.5000000000005</v>
      </c>
      <c r="BD150">
        <v>3924.7729387107029</v>
      </c>
      <c r="BE150">
        <v>5173.3108361926134</v>
      </c>
      <c r="BF150">
        <v>-2565.2532760267472</v>
      </c>
      <c r="BG150">
        <v>-7002</v>
      </c>
      <c r="BH150">
        <v>-7719.5999989457123</v>
      </c>
      <c r="BI150">
        <v>-6252</v>
      </c>
      <c r="BJ150">
        <v>-5743.8781449133039</v>
      </c>
      <c r="BK150">
        <v>-4319.810400180465</v>
      </c>
      <c r="BL150">
        <v>-851.86373761518519</v>
      </c>
      <c r="BM150">
        <v>-197.16</v>
      </c>
      <c r="BN150">
        <v>2364.9611039433312</v>
      </c>
      <c r="BO150">
        <v>3082.5000000000005</v>
      </c>
      <c r="BP150">
        <v>5048.537892053213</v>
      </c>
      <c r="BQ150">
        <v>3851.630830764409</v>
      </c>
      <c r="BR150">
        <v>0</v>
      </c>
      <c r="BS150">
        <v>84.97899644133453</v>
      </c>
      <c r="BT150">
        <v>89.996893965312992</v>
      </c>
      <c r="BU150">
        <v>90.003106034687022</v>
      </c>
      <c r="BV150">
        <v>100.01462602546036</v>
      </c>
      <c r="BW150">
        <v>169.98537440804688</v>
      </c>
      <c r="BX150" s="69">
        <f>Таблица1[[#This Row],[Lкан_леб,мм]]</f>
        <v>3511021.5483222543</v>
      </c>
      <c r="BY150" s="65">
        <f>Таблица1[[#This Row],[Т1]]+Таблица1[[#This Row],[Lпрям1, мм]]</f>
        <v>3512907.8481386211</v>
      </c>
      <c r="BZ150" s="65">
        <f>Таблица1[[#This Row],[Т2]]+Таблица1[[#This Row],[Lдуг 2,мм]]</f>
        <v>3513972.0177941318</v>
      </c>
      <c r="CA150" s="65">
        <f>Таблица1[[#This Row],[Т3]]+Таблица1[[#This Row],[Lпрям2, мм]]</f>
        <v>3517694.0177941318</v>
      </c>
      <c r="CB150" s="65">
        <f>Таблица1[[#This Row],[Т4]]+Таблица1[[#This Row],[Lдуг 3,мм]]</f>
        <v>3518821.0252625505</v>
      </c>
      <c r="CC150" s="65">
        <f>Таблица1[[#This Row],[Т5]]+Таблица1[[#This Row],[Lпрям3, мм]]</f>
        <v>3520665.6852652607</v>
      </c>
      <c r="CD150" s="65">
        <f>Таблица1[[#This Row],[Т6]]+Таблица1[[#This Row],[Lдуг 4,мм]]</f>
        <v>3521792.7705257926</v>
      </c>
      <c r="CE150" s="65">
        <f>Таблица1[[#This Row],[Т7]]+Таблица1[[#This Row],[Lпрям4, мм]]</f>
        <v>3522542.8705257927</v>
      </c>
      <c r="CF150" s="72">
        <f>Таблица1[[#This Row],[Т8]]+Таблица1[[#This Row],[Lдуг 5,мм]]</f>
        <v>3523795.3274219744</v>
      </c>
      <c r="CG150" s="65">
        <f>Таблица1[[#This Row],[Т9]]+Таблица1[[#This Row],[Lпрям5, мм]]</f>
        <v>3524936.4796631364</v>
      </c>
      <c r="CH150" s="65">
        <f>Таблица1[[#This Row],[Т10]]+Таблица1[[#This Row],[Lдуг 6,мм]]</f>
        <v>3527065.1618658095</v>
      </c>
      <c r="CI150" s="66">
        <f>Таблица1[[#This Row],[Т11]]+Таблица1[[#This Row],[Lпрям6, мм]]</f>
        <v>3528386.8418712378</v>
      </c>
      <c r="CJ150" s="64">
        <f>Таблица1[[#This Row],[Т12]]-Таблица1[[#This Row],[Т12]]</f>
        <v>0</v>
      </c>
      <c r="CK150" s="65">
        <f>Таблица1[[#This Row],[Т12]]-Таблица1[[#This Row],[Т11]]</f>
        <v>1321.6800054283813</v>
      </c>
      <c r="CL150" s="65">
        <f>Таблица1[[#This Row],[Т12]]-Таблица1[[#This Row],[Т10]]</f>
        <v>3450.3622081014328</v>
      </c>
      <c r="CM150" s="65">
        <f>Таблица1[[#This Row],[Т12]]-Таблица1[[#This Row],[Т9]]</f>
        <v>4591.5144492634572</v>
      </c>
      <c r="CN150" s="65">
        <f>Таблица1[[#This Row],[Т12]]-Таблица1[[#This Row],[Т8]]</f>
        <v>5843.9713454451412</v>
      </c>
      <c r="CO150" s="65">
        <f>Таблица1[[#This Row],[Т12]]-Таблица1[[#This Row],[Т7]]</f>
        <v>6594.0713454452343</v>
      </c>
      <c r="CP150" s="65">
        <f>Таблица1[[#This Row],[Т12]]-Таблица1[[#This Row],[Т6]]</f>
        <v>7721.1566059770994</v>
      </c>
      <c r="CQ150" s="65">
        <f>Таблица1[[#This Row],[Т12]]-Таблица1[[#This Row],[Т5]]</f>
        <v>9565.8166086873971</v>
      </c>
      <c r="CR150" s="65">
        <f>Таблица1[[#This Row],[Т12]]-Таблица1[[#This Row],[Т4]]</f>
        <v>10692.824077106081</v>
      </c>
      <c r="CS150" s="65">
        <f>Таблица1[[#This Row],[Т12]]-Таблица1[[#This Row],[Т3]]</f>
        <v>14414.824077106081</v>
      </c>
      <c r="CT150" s="65">
        <f>Таблица1[[#This Row],[Т12]]-Таблица1[[#This Row],[Т2]]</f>
        <v>15478.993732616771</v>
      </c>
      <c r="CU150" s="65">
        <f>Таблица1[[#This Row],[Т12]]-Таблица1[[#This Row],[Т1]]</f>
        <v>17365.293548983522</v>
      </c>
      <c r="CV150" s="65">
        <f>Таблица1[[#This Row],[Lкан_леб,мм]]+Таблица1[[#This Row],[Lкан_дуг, мм]]+Таблица1[[#This Row],[Lкан_прям, мм]]</f>
        <v>3528386.8418712378</v>
      </c>
      <c r="CW150" s="60">
        <f>3511128.4-(Таблица1[[#This Row],[Lкан_леб,мм]]+Таблица1[[#This Row],[∆Lлеб из за стрел]])</f>
        <v>106.85167774558067</v>
      </c>
    </row>
    <row r="151" spans="1:101" x14ac:dyDescent="0.25">
      <c r="A151">
        <v>150</v>
      </c>
      <c r="B151">
        <v>125.99999999999952</v>
      </c>
      <c r="C151">
        <v>-35.989999999999519</v>
      </c>
      <c r="D151">
        <v>-5090.7616971159277</v>
      </c>
      <c r="E151">
        <v>5134.365732752959</v>
      </c>
      <c r="F151">
        <v>-4373.128539422828</v>
      </c>
      <c r="G151">
        <v>4371.4909717473092</v>
      </c>
      <c r="H151">
        <v>-4373.2621871159281</v>
      </c>
      <c r="I151">
        <v>3812.6857327532252</v>
      </c>
      <c r="J151">
        <v>1321.6799999997343</v>
      </c>
      <c r="K151">
        <v>10559.042152082264</v>
      </c>
      <c r="L151">
        <v>6699.4014833161527</v>
      </c>
      <c r="M151">
        <v>3511128.3982358398</v>
      </c>
      <c r="N151">
        <v>0</v>
      </c>
      <c r="O151">
        <v>8</v>
      </c>
      <c r="P151">
        <v>-3322.5</v>
      </c>
      <c r="Q151">
        <v>-2811.96</v>
      </c>
      <c r="R151">
        <v>-3280</v>
      </c>
      <c r="S151">
        <v>-914.66</v>
      </c>
      <c r="T151">
        <v>-7002</v>
      </c>
      <c r="U151">
        <v>520.34</v>
      </c>
      <c r="V151">
        <v>-7002.1</v>
      </c>
      <c r="W151">
        <v>2365</v>
      </c>
      <c r="X151">
        <v>-6252</v>
      </c>
      <c r="Y151">
        <v>3800</v>
      </c>
      <c r="Z151">
        <v>-5090.7616971159277</v>
      </c>
      <c r="AA151">
        <v>5134.365732752959</v>
      </c>
      <c r="AB151">
        <v>0</v>
      </c>
      <c r="AC151">
        <v>1064.1696555107644</v>
      </c>
      <c r="AD151">
        <v>1127.0074684186504</v>
      </c>
      <c r="AE151">
        <v>1127.0852605320265</v>
      </c>
      <c r="AF151">
        <v>1292.1656252013574</v>
      </c>
      <c r="AG151">
        <v>2088.9734736533542</v>
      </c>
      <c r="AH151">
        <v>1886.2998163666878</v>
      </c>
      <c r="AI151">
        <v>3721.9999999999995</v>
      </c>
      <c r="AJ151">
        <v>1844.6600027105269</v>
      </c>
      <c r="AK151">
        <v>750.10000000000059</v>
      </c>
      <c r="AL151">
        <v>1034.3023275766234</v>
      </c>
      <c r="AM151">
        <v>1321.6800054284267</v>
      </c>
      <c r="AN151">
        <v>-95.021003558665456</v>
      </c>
      <c r="AO151">
        <v>-180</v>
      </c>
      <c r="AP151">
        <v>-90.003106034687008</v>
      </c>
      <c r="AQ151">
        <v>1.2722218725854067E-14</v>
      </c>
      <c r="AR151">
        <v>-103.18555645424549</v>
      </c>
      <c r="AS151">
        <v>89.999999566492818</v>
      </c>
      <c r="AT151">
        <v>-2400.1625746957502</v>
      </c>
      <c r="AU151">
        <v>-3280</v>
      </c>
      <c r="AV151">
        <v>-7719.4999989457119</v>
      </c>
      <c r="AW151">
        <v>-7002.1</v>
      </c>
      <c r="AX151">
        <v>-5553.4158569391129</v>
      </c>
      <c r="AY151">
        <v>-4373.2616971159277</v>
      </c>
      <c r="AZ151">
        <v>-2730.9252207921031</v>
      </c>
      <c r="BA151">
        <v>-197.16</v>
      </c>
      <c r="BB151">
        <v>520.3011039433311</v>
      </c>
      <c r="BC151">
        <v>3082.5000000000005</v>
      </c>
      <c r="BD151">
        <v>3963.6656502259598</v>
      </c>
      <c r="BE151">
        <v>5134.3657381816556</v>
      </c>
      <c r="BF151">
        <v>-2565.2532760267472</v>
      </c>
      <c r="BG151">
        <v>-7002</v>
      </c>
      <c r="BH151">
        <v>-7719.5999989457123</v>
      </c>
      <c r="BI151">
        <v>-6252</v>
      </c>
      <c r="BJ151">
        <v>-5789.3458401768148</v>
      </c>
      <c r="BK151">
        <v>-4373.2616871159289</v>
      </c>
      <c r="BL151">
        <v>-851.86373761518519</v>
      </c>
      <c r="BM151">
        <v>-197.16</v>
      </c>
      <c r="BN151">
        <v>2364.9611039433312</v>
      </c>
      <c r="BO151">
        <v>3082.5000000000005</v>
      </c>
      <c r="BP151">
        <v>4970.7000825269997</v>
      </c>
      <c r="BQ151">
        <v>3812.6857327532293</v>
      </c>
      <c r="BR151">
        <v>0</v>
      </c>
      <c r="BS151">
        <v>84.97899644133453</v>
      </c>
      <c r="BT151">
        <v>89.996893965312992</v>
      </c>
      <c r="BU151">
        <v>90.003106034687022</v>
      </c>
      <c r="BV151">
        <v>103.1855564542455</v>
      </c>
      <c r="BW151">
        <v>166.81444397926168</v>
      </c>
      <c r="BX151" s="69">
        <f>Таблица1[[#This Row],[Lкан_леб,мм]]</f>
        <v>3511128.3982358398</v>
      </c>
      <c r="BY151" s="65">
        <f>Таблица1[[#This Row],[Т1]]+Таблица1[[#This Row],[Lпрям1, мм]]</f>
        <v>3513014.6980522065</v>
      </c>
      <c r="BZ151" s="65">
        <f>Таблица1[[#This Row],[Т2]]+Таблица1[[#This Row],[Lдуг 2,мм]]</f>
        <v>3514078.8677077172</v>
      </c>
      <c r="CA151" s="65">
        <f>Таблица1[[#This Row],[Т3]]+Таблица1[[#This Row],[Lпрям2, мм]]</f>
        <v>3517800.8677077172</v>
      </c>
      <c r="CB151" s="65">
        <f>Таблица1[[#This Row],[Т4]]+Таблица1[[#This Row],[Lдуг 3,мм]]</f>
        <v>3518927.8751761359</v>
      </c>
      <c r="CC151" s="65">
        <f>Таблица1[[#This Row],[Т5]]+Таблица1[[#This Row],[Lпрям3, мм]]</f>
        <v>3520772.5351788462</v>
      </c>
      <c r="CD151" s="65">
        <f>Таблица1[[#This Row],[Т6]]+Таблица1[[#This Row],[Lдуг 4,мм]]</f>
        <v>3521899.6204393781</v>
      </c>
      <c r="CE151" s="65">
        <f>Таблица1[[#This Row],[Т7]]+Таблица1[[#This Row],[Lпрям4, мм]]</f>
        <v>3522649.7204393782</v>
      </c>
      <c r="CF151" s="72">
        <f>Таблица1[[#This Row],[Т8]]+Таблица1[[#This Row],[Lдуг 5,мм]]</f>
        <v>3523941.8860645797</v>
      </c>
      <c r="CG151" s="65">
        <f>Таблица1[[#This Row],[Т9]]+Таблица1[[#This Row],[Lпрям5, мм]]</f>
        <v>3524976.1883921563</v>
      </c>
      <c r="CH151" s="65">
        <f>Таблица1[[#This Row],[Т10]]+Таблица1[[#This Row],[Lдуг 6,мм]]</f>
        <v>3527065.1618658095</v>
      </c>
      <c r="CI151" s="66">
        <f>Таблица1[[#This Row],[Т11]]+Таблица1[[#This Row],[Lпрям6, мм]]</f>
        <v>3528386.8418712378</v>
      </c>
      <c r="CJ151" s="64">
        <f>Таблица1[[#This Row],[Т12]]-Таблица1[[#This Row],[Т12]]</f>
        <v>0</v>
      </c>
      <c r="CK151" s="65">
        <f>Таблица1[[#This Row],[Т12]]-Таблица1[[#This Row],[Т11]]</f>
        <v>1321.6800054283813</v>
      </c>
      <c r="CL151" s="65">
        <f>Таблица1[[#This Row],[Т12]]-Таблица1[[#This Row],[Т10]]</f>
        <v>3410.6534790815786</v>
      </c>
      <c r="CM151" s="65">
        <f>Таблица1[[#This Row],[Т12]]-Таблица1[[#This Row],[Т9]]</f>
        <v>4444.9558066581376</v>
      </c>
      <c r="CN151" s="65">
        <f>Таблица1[[#This Row],[Т12]]-Таблица1[[#This Row],[Т8]]</f>
        <v>5737.1214318596758</v>
      </c>
      <c r="CO151" s="65">
        <f>Таблица1[[#This Row],[Т12]]-Таблица1[[#This Row],[Т7]]</f>
        <v>6487.2214318597689</v>
      </c>
      <c r="CP151" s="65">
        <f>Таблица1[[#This Row],[Т12]]-Таблица1[[#This Row],[Т6]]</f>
        <v>7614.306692391634</v>
      </c>
      <c r="CQ151" s="65">
        <f>Таблица1[[#This Row],[Т12]]-Таблица1[[#This Row],[Т5]]</f>
        <v>9458.9666951019317</v>
      </c>
      <c r="CR151" s="65">
        <f>Таблица1[[#This Row],[Т12]]-Таблица1[[#This Row],[Т4]]</f>
        <v>10585.974163520616</v>
      </c>
      <c r="CS151" s="65">
        <f>Таблица1[[#This Row],[Т12]]-Таблица1[[#This Row],[Т3]]</f>
        <v>14307.974163520616</v>
      </c>
      <c r="CT151" s="65">
        <f>Таблица1[[#This Row],[Т12]]-Таблица1[[#This Row],[Т2]]</f>
        <v>15372.143819031306</v>
      </c>
      <c r="CU151" s="65">
        <f>Таблица1[[#This Row],[Т12]]-Таблица1[[#This Row],[Т1]]</f>
        <v>17258.443635398056</v>
      </c>
      <c r="CV151" s="65">
        <f>Таблица1[[#This Row],[Lкан_леб,мм]]+Таблица1[[#This Row],[Lкан_дуг, мм]]+Таблица1[[#This Row],[Lкан_прям, мм]]</f>
        <v>3528386.8418712378</v>
      </c>
      <c r="CW151" s="60">
        <f>3511128.4-(Таблица1[[#This Row],[Lкан_леб,мм]]+Таблица1[[#This Row],[∆Lлеб из за стрел]])</f>
        <v>1.7641601152718067E-3</v>
      </c>
    </row>
    <row r="152" spans="1:101" x14ac:dyDescent="0.25">
      <c r="BX152" s="70"/>
      <c r="CF152" s="73"/>
    </row>
    <row r="153" spans="1:101" x14ac:dyDescent="0.25">
      <c r="BX153" s="70"/>
      <c r="CF153" s="73"/>
    </row>
    <row r="154" spans="1:101" x14ac:dyDescent="0.25">
      <c r="BX154" s="70"/>
      <c r="CF154" s="73"/>
    </row>
    <row r="155" spans="1:101" x14ac:dyDescent="0.25">
      <c r="BX155" s="70"/>
      <c r="CF155" s="73"/>
    </row>
    <row r="156" spans="1:101" x14ac:dyDescent="0.25">
      <c r="BX156" s="70"/>
      <c r="CF156" s="73"/>
    </row>
    <row r="157" spans="1:101" x14ac:dyDescent="0.25">
      <c r="BX157" s="70"/>
      <c r="CF157" s="73"/>
    </row>
    <row r="158" spans="1:101" x14ac:dyDescent="0.25">
      <c r="BX158" s="70"/>
      <c r="CF158" s="73"/>
    </row>
    <row r="159" spans="1:101" x14ac:dyDescent="0.25">
      <c r="BX159" s="70"/>
      <c r="CF159" s="73"/>
    </row>
    <row r="160" spans="1:101" x14ac:dyDescent="0.25">
      <c r="BX160" s="70"/>
      <c r="CF160" s="73"/>
    </row>
    <row r="161" spans="76:84" x14ac:dyDescent="0.25">
      <c r="BX161" s="70"/>
      <c r="CF161" s="73"/>
    </row>
    <row r="162" spans="76:84" x14ac:dyDescent="0.25">
      <c r="BX162" s="70"/>
      <c r="CF162" s="73"/>
    </row>
    <row r="163" spans="76:84" x14ac:dyDescent="0.25">
      <c r="BX163" s="70"/>
      <c r="CF163" s="73"/>
    </row>
    <row r="164" spans="76:84" x14ac:dyDescent="0.25">
      <c r="BX164" s="70"/>
      <c r="CF164" s="73"/>
    </row>
    <row r="165" spans="76:84" x14ac:dyDescent="0.25">
      <c r="BX165" s="70"/>
      <c r="CF165" s="73"/>
    </row>
    <row r="166" spans="76:84" x14ac:dyDescent="0.25">
      <c r="BX166" s="70"/>
      <c r="CF166" s="73"/>
    </row>
    <row r="167" spans="76:84" x14ac:dyDescent="0.25">
      <c r="BX167" s="70"/>
      <c r="CF167" s="73"/>
    </row>
    <row r="168" spans="76:84" x14ac:dyDescent="0.25">
      <c r="BX168" s="70"/>
      <c r="CF168" s="73"/>
    </row>
    <row r="169" spans="76:84" x14ac:dyDescent="0.25">
      <c r="BX169" s="70"/>
      <c r="CF169" s="73"/>
    </row>
    <row r="170" spans="76:84" x14ac:dyDescent="0.25">
      <c r="BX170" s="70"/>
      <c r="CF170" s="73"/>
    </row>
    <row r="171" spans="76:84" x14ac:dyDescent="0.25">
      <c r="BX171" s="70"/>
      <c r="CF171" s="73"/>
    </row>
    <row r="172" spans="76:84" x14ac:dyDescent="0.25">
      <c r="BX172" s="70"/>
      <c r="CF172" s="73"/>
    </row>
    <row r="173" spans="76:84" x14ac:dyDescent="0.25">
      <c r="BX173" s="70"/>
      <c r="CF173" s="73"/>
    </row>
    <row r="174" spans="76:84" x14ac:dyDescent="0.25">
      <c r="BX174" s="70"/>
      <c r="CF174" s="73"/>
    </row>
    <row r="175" spans="76:84" x14ac:dyDescent="0.25">
      <c r="BX175" s="70"/>
      <c r="CF175" s="73"/>
    </row>
    <row r="176" spans="76:84" x14ac:dyDescent="0.25">
      <c r="BX176" s="70"/>
      <c r="CF176" s="73"/>
    </row>
    <row r="177" spans="76:84" x14ac:dyDescent="0.25">
      <c r="BX177" s="70"/>
      <c r="CF177" s="73"/>
    </row>
    <row r="178" spans="76:84" x14ac:dyDescent="0.25">
      <c r="BX178" s="70"/>
      <c r="CF178" s="73"/>
    </row>
    <row r="179" spans="76:84" x14ac:dyDescent="0.25">
      <c r="BX179" s="70"/>
      <c r="CF179" s="73"/>
    </row>
    <row r="180" spans="76:84" x14ac:dyDescent="0.25">
      <c r="BX180" s="70"/>
      <c r="CF180" s="73"/>
    </row>
    <row r="181" spans="76:84" x14ac:dyDescent="0.25">
      <c r="BX181" s="70"/>
      <c r="CF181" s="73"/>
    </row>
    <row r="182" spans="76:84" x14ac:dyDescent="0.25">
      <c r="BX182" s="70"/>
      <c r="CF182" s="73"/>
    </row>
    <row r="183" spans="76:84" x14ac:dyDescent="0.25">
      <c r="BX183" s="70"/>
      <c r="CF183" s="73"/>
    </row>
    <row r="184" spans="76:84" x14ac:dyDescent="0.25">
      <c r="BX184" s="70"/>
      <c r="CF184" s="73"/>
    </row>
    <row r="185" spans="76:84" x14ac:dyDescent="0.25">
      <c r="BX185" s="70"/>
      <c r="CF185" s="73"/>
    </row>
    <row r="186" spans="76:84" x14ac:dyDescent="0.25">
      <c r="BX186" s="70"/>
      <c r="CF186" s="73"/>
    </row>
    <row r="187" spans="76:84" x14ac:dyDescent="0.25">
      <c r="BX187" s="70"/>
      <c r="CF187" s="73"/>
    </row>
    <row r="188" spans="76:84" x14ac:dyDescent="0.25">
      <c r="BX188" s="70"/>
      <c r="CF188" s="73"/>
    </row>
    <row r="189" spans="76:84" x14ac:dyDescent="0.25">
      <c r="BX189" s="70"/>
      <c r="CF189" s="73"/>
    </row>
    <row r="190" spans="76:84" x14ac:dyDescent="0.25">
      <c r="BX190" s="70"/>
      <c r="CF190" s="73"/>
    </row>
    <row r="191" spans="76:84" x14ac:dyDescent="0.25">
      <c r="BX191" s="70"/>
      <c r="CF191" s="73"/>
    </row>
    <row r="192" spans="76:84" x14ac:dyDescent="0.25">
      <c r="BX192" s="70"/>
      <c r="CF192" s="73"/>
    </row>
    <row r="193" spans="76:84" x14ac:dyDescent="0.25">
      <c r="BX193" s="70"/>
      <c r="CF193" s="73"/>
    </row>
    <row r="194" spans="76:84" x14ac:dyDescent="0.25">
      <c r="BX194" s="70"/>
      <c r="CF194" s="73"/>
    </row>
    <row r="195" spans="76:84" x14ac:dyDescent="0.25">
      <c r="BX195" s="70"/>
      <c r="CF195" s="73"/>
    </row>
    <row r="196" spans="76:84" x14ac:dyDescent="0.25">
      <c r="BX196" s="70"/>
      <c r="CF196" s="73"/>
    </row>
    <row r="197" spans="76:84" x14ac:dyDescent="0.25">
      <c r="BX197" s="70"/>
      <c r="CF197" s="73"/>
    </row>
    <row r="198" spans="76:84" x14ac:dyDescent="0.25">
      <c r="BX198" s="70"/>
      <c r="CF198" s="73"/>
    </row>
    <row r="199" spans="76:84" x14ac:dyDescent="0.25">
      <c r="BX199" s="70"/>
      <c r="CF199" s="73"/>
    </row>
    <row r="200" spans="76:84" x14ac:dyDescent="0.25">
      <c r="BX200" s="70"/>
      <c r="CF200" s="73"/>
    </row>
    <row r="201" spans="76:84" x14ac:dyDescent="0.25">
      <c r="BX201" s="70"/>
      <c r="CF201" s="73"/>
    </row>
    <row r="202" spans="76:84" x14ac:dyDescent="0.25">
      <c r="BX202" s="70"/>
      <c r="CF202" s="73"/>
    </row>
    <row r="203" spans="76:84" x14ac:dyDescent="0.25">
      <c r="BX203" s="70"/>
      <c r="CF203" s="73"/>
    </row>
    <row r="204" spans="76:84" x14ac:dyDescent="0.25">
      <c r="BX204" s="70"/>
      <c r="CF204" s="73"/>
    </row>
    <row r="205" spans="76:84" x14ac:dyDescent="0.25">
      <c r="BX205" s="70"/>
      <c r="CF205" s="73"/>
    </row>
    <row r="206" spans="76:84" x14ac:dyDescent="0.25">
      <c r="BX206" s="70"/>
      <c r="CF206" s="73"/>
    </row>
    <row r="207" spans="76:84" x14ac:dyDescent="0.25">
      <c r="BX207" s="70"/>
      <c r="CF207" s="73"/>
    </row>
    <row r="208" spans="76:84" x14ac:dyDescent="0.25">
      <c r="BX208" s="70"/>
      <c r="CF208" s="73"/>
    </row>
    <row r="209" spans="76:84" x14ac:dyDescent="0.25">
      <c r="BX209" s="70"/>
      <c r="CF209" s="73"/>
    </row>
    <row r="210" spans="76:84" x14ac:dyDescent="0.25">
      <c r="BX210" s="70"/>
      <c r="CF210" s="73"/>
    </row>
    <row r="211" spans="76:84" x14ac:dyDescent="0.25">
      <c r="BX211" s="70"/>
      <c r="CF211" s="73"/>
    </row>
    <row r="212" spans="76:84" x14ac:dyDescent="0.25">
      <c r="BX212" s="70"/>
      <c r="CF212" s="73"/>
    </row>
    <row r="213" spans="76:84" x14ac:dyDescent="0.25">
      <c r="BX213" s="70"/>
      <c r="CF213" s="73"/>
    </row>
    <row r="214" spans="76:84" x14ac:dyDescent="0.25">
      <c r="BX214" s="70"/>
      <c r="CF214" s="73"/>
    </row>
    <row r="215" spans="76:84" x14ac:dyDescent="0.25">
      <c r="BX215" s="70"/>
      <c r="CF215" s="73"/>
    </row>
    <row r="216" spans="76:84" x14ac:dyDescent="0.25">
      <c r="BX216" s="70"/>
      <c r="CF216" s="73"/>
    </row>
    <row r="217" spans="76:84" x14ac:dyDescent="0.25">
      <c r="BX217" s="70"/>
      <c r="CF217" s="73"/>
    </row>
    <row r="218" spans="76:84" x14ac:dyDescent="0.25">
      <c r="BX218" s="70"/>
      <c r="CF218" s="73"/>
    </row>
    <row r="219" spans="76:84" x14ac:dyDescent="0.25">
      <c r="BX219" s="70"/>
      <c r="CF219" s="73"/>
    </row>
    <row r="220" spans="76:84" x14ac:dyDescent="0.25">
      <c r="BX220" s="70"/>
      <c r="CF220" s="73"/>
    </row>
    <row r="221" spans="76:84" x14ac:dyDescent="0.25">
      <c r="BX221" s="70"/>
      <c r="CF221" s="73"/>
    </row>
    <row r="222" spans="76:84" x14ac:dyDescent="0.25">
      <c r="BX222" s="70"/>
      <c r="CF222" s="73"/>
    </row>
    <row r="223" spans="76:84" x14ac:dyDescent="0.25">
      <c r="BX223" s="70"/>
      <c r="CF223" s="73"/>
    </row>
    <row r="224" spans="76:84" x14ac:dyDescent="0.25">
      <c r="BX224" s="70"/>
      <c r="CF224" s="73"/>
    </row>
    <row r="225" spans="76:84" x14ac:dyDescent="0.25">
      <c r="BX225" s="70"/>
      <c r="CF225" s="73"/>
    </row>
    <row r="226" spans="76:84" x14ac:dyDescent="0.25">
      <c r="BX226" s="70"/>
      <c r="CF226" s="73"/>
    </row>
    <row r="227" spans="76:84" x14ac:dyDescent="0.25">
      <c r="BX227" s="70"/>
      <c r="CF227" s="73"/>
    </row>
    <row r="228" spans="76:84" x14ac:dyDescent="0.25">
      <c r="BX228" s="70"/>
      <c r="CF228" s="73"/>
    </row>
    <row r="229" spans="76:84" x14ac:dyDescent="0.25">
      <c r="BX229" s="70"/>
      <c r="CF229" s="73"/>
    </row>
    <row r="230" spans="76:84" x14ac:dyDescent="0.25">
      <c r="BX230" s="70"/>
      <c r="CF230" s="73"/>
    </row>
    <row r="231" spans="76:84" x14ac:dyDescent="0.25">
      <c r="BX231" s="70"/>
      <c r="CF231" s="73"/>
    </row>
    <row r="232" spans="76:84" x14ac:dyDescent="0.25">
      <c r="BX232" s="70"/>
      <c r="CF232" s="73"/>
    </row>
    <row r="233" spans="76:84" x14ac:dyDescent="0.25">
      <c r="BX233" s="70"/>
      <c r="CF233" s="73"/>
    </row>
    <row r="234" spans="76:84" x14ac:dyDescent="0.25">
      <c r="BX234" s="70"/>
      <c r="CF234" s="73"/>
    </row>
    <row r="235" spans="76:84" x14ac:dyDescent="0.25">
      <c r="BX235" s="70"/>
      <c r="CF235" s="73"/>
    </row>
    <row r="236" spans="76:84" x14ac:dyDescent="0.25">
      <c r="BX236" s="70"/>
      <c r="CF236" s="73"/>
    </row>
    <row r="237" spans="76:84" x14ac:dyDescent="0.25">
      <c r="BX237" s="70"/>
      <c r="CF237" s="73"/>
    </row>
    <row r="238" spans="76:84" x14ac:dyDescent="0.25">
      <c r="BX238" s="70"/>
      <c r="CF238" s="73"/>
    </row>
    <row r="239" spans="76:84" x14ac:dyDescent="0.25">
      <c r="BX239" s="70"/>
      <c r="CF239" s="73"/>
    </row>
    <row r="240" spans="76:84" x14ac:dyDescent="0.25">
      <c r="BX240" s="70"/>
      <c r="CF240" s="73"/>
    </row>
    <row r="241" spans="76:84" x14ac:dyDescent="0.25">
      <c r="BX241" s="70"/>
      <c r="CF241" s="73"/>
    </row>
    <row r="242" spans="76:84" x14ac:dyDescent="0.25">
      <c r="BX242" s="70"/>
      <c r="CF242" s="73"/>
    </row>
    <row r="243" spans="76:84" x14ac:dyDescent="0.25">
      <c r="BX243" s="70"/>
      <c r="CF243" s="73"/>
    </row>
    <row r="244" spans="76:84" x14ac:dyDescent="0.25">
      <c r="BX244" s="70"/>
      <c r="CF244" s="73"/>
    </row>
    <row r="245" spans="76:84" x14ac:dyDescent="0.25">
      <c r="BX245" s="70"/>
      <c r="CF245" s="73"/>
    </row>
    <row r="246" spans="76:84" x14ac:dyDescent="0.25">
      <c r="BX246" s="70"/>
      <c r="CF246" s="73"/>
    </row>
    <row r="247" spans="76:84" x14ac:dyDescent="0.25">
      <c r="BX247" s="70"/>
      <c r="CF247" s="73"/>
    </row>
    <row r="248" spans="76:84" x14ac:dyDescent="0.25">
      <c r="BX248" s="70"/>
      <c r="CF248" s="73"/>
    </row>
    <row r="249" spans="76:84" x14ac:dyDescent="0.25">
      <c r="BX249" s="70"/>
      <c r="CF249" s="73"/>
    </row>
    <row r="250" spans="76:84" x14ac:dyDescent="0.25">
      <c r="BX250" s="70"/>
      <c r="CF250" s="73"/>
    </row>
    <row r="251" spans="76:84" x14ac:dyDescent="0.25">
      <c r="BX251" s="70"/>
      <c r="CF251" s="73"/>
    </row>
    <row r="252" spans="76:84" x14ac:dyDescent="0.25">
      <c r="BX252" s="70"/>
      <c r="CF252" s="73"/>
    </row>
    <row r="253" spans="76:84" x14ac:dyDescent="0.25">
      <c r="BX253" s="70"/>
      <c r="CF253" s="73"/>
    </row>
    <row r="254" spans="76:84" x14ac:dyDescent="0.25">
      <c r="BX254" s="70"/>
      <c r="CF254" s="73"/>
    </row>
    <row r="255" spans="76:84" x14ac:dyDescent="0.25">
      <c r="BX255" s="70"/>
      <c r="CF255" s="73"/>
    </row>
    <row r="256" spans="76:84" x14ac:dyDescent="0.25">
      <c r="BX256" s="70"/>
      <c r="CF256" s="73"/>
    </row>
    <row r="257" spans="76:84" x14ac:dyDescent="0.25">
      <c r="BX257" s="70"/>
      <c r="CF257" s="73"/>
    </row>
    <row r="258" spans="76:84" x14ac:dyDescent="0.25">
      <c r="BX258" s="70"/>
      <c r="CF258" s="73"/>
    </row>
    <row r="259" spans="76:84" x14ac:dyDescent="0.25">
      <c r="BX259" s="70"/>
      <c r="CF259" s="73"/>
    </row>
    <row r="260" spans="76:84" x14ac:dyDescent="0.25">
      <c r="BX260" s="70"/>
      <c r="CF260" s="73"/>
    </row>
    <row r="261" spans="76:84" x14ac:dyDescent="0.25">
      <c r="BX261" s="70"/>
      <c r="CF261" s="73"/>
    </row>
    <row r="262" spans="76:84" x14ac:dyDescent="0.25">
      <c r="BX262" s="70"/>
      <c r="CF262" s="73"/>
    </row>
    <row r="263" spans="76:84" x14ac:dyDescent="0.25">
      <c r="BX263" s="70"/>
      <c r="CF263" s="73"/>
    </row>
    <row r="264" spans="76:84" x14ac:dyDescent="0.25">
      <c r="BX264" s="70"/>
      <c r="CF264" s="73"/>
    </row>
    <row r="265" spans="76:84" x14ac:dyDescent="0.25">
      <c r="BX265" s="70"/>
      <c r="CF265" s="73"/>
    </row>
    <row r="266" spans="76:84" x14ac:dyDescent="0.25">
      <c r="BX266" s="70"/>
      <c r="CF266" s="73"/>
    </row>
    <row r="267" spans="76:84" x14ac:dyDescent="0.25">
      <c r="BX267" s="70"/>
      <c r="CF267" s="73"/>
    </row>
    <row r="268" spans="76:84" x14ac:dyDescent="0.25">
      <c r="BX268" s="70"/>
      <c r="CF268" s="73"/>
    </row>
    <row r="269" spans="76:84" x14ac:dyDescent="0.25">
      <c r="BX269" s="70"/>
      <c r="CF269" s="73"/>
    </row>
    <row r="270" spans="76:84" x14ac:dyDescent="0.25">
      <c r="BX270" s="70"/>
      <c r="CF270" s="73"/>
    </row>
    <row r="271" spans="76:84" x14ac:dyDescent="0.25">
      <c r="BX271" s="70"/>
      <c r="CF271" s="73"/>
    </row>
    <row r="272" spans="76:84" x14ac:dyDescent="0.25">
      <c r="BX272" s="70"/>
      <c r="CF272" s="73"/>
    </row>
    <row r="273" spans="76:84" x14ac:dyDescent="0.25">
      <c r="BX273" s="70"/>
      <c r="CF273" s="73"/>
    </row>
    <row r="274" spans="76:84" x14ac:dyDescent="0.25">
      <c r="BX274" s="70"/>
      <c r="CF274" s="73"/>
    </row>
    <row r="275" spans="76:84" x14ac:dyDescent="0.25">
      <c r="BX275" s="70"/>
      <c r="CF275" s="73"/>
    </row>
    <row r="276" spans="76:84" x14ac:dyDescent="0.25">
      <c r="BX276" s="70"/>
      <c r="CF276" s="73"/>
    </row>
    <row r="277" spans="76:84" x14ac:dyDescent="0.25">
      <c r="BX277" s="70"/>
      <c r="CF277" s="73"/>
    </row>
    <row r="278" spans="76:84" x14ac:dyDescent="0.25">
      <c r="BX278" s="70"/>
      <c r="CF278" s="73"/>
    </row>
    <row r="279" spans="76:84" x14ac:dyDescent="0.25">
      <c r="BX279" s="70"/>
      <c r="CF279" s="73"/>
    </row>
    <row r="280" spans="76:84" x14ac:dyDescent="0.25">
      <c r="BX280" s="70"/>
      <c r="CF280" s="73"/>
    </row>
    <row r="281" spans="76:84" x14ac:dyDescent="0.25">
      <c r="BX281" s="70"/>
      <c r="CF281" s="73"/>
    </row>
    <row r="282" spans="76:84" x14ac:dyDescent="0.25">
      <c r="BX282" s="70"/>
      <c r="CF282" s="73"/>
    </row>
    <row r="283" spans="76:84" x14ac:dyDescent="0.25">
      <c r="BX283" s="70"/>
      <c r="CF283" s="73"/>
    </row>
    <row r="284" spans="76:84" x14ac:dyDescent="0.25">
      <c r="BX284" s="70"/>
      <c r="CF284" s="73"/>
    </row>
    <row r="285" spans="76:84" x14ac:dyDescent="0.25">
      <c r="BX285" s="70"/>
      <c r="CF285" s="73"/>
    </row>
    <row r="286" spans="76:84" x14ac:dyDescent="0.25">
      <c r="BX286" s="70"/>
    </row>
    <row r="287" spans="76:84" x14ac:dyDescent="0.25">
      <c r="BX287" s="70"/>
    </row>
    <row r="288" spans="76:84" x14ac:dyDescent="0.25">
      <c r="BX288" s="70"/>
    </row>
    <row r="289" spans="76:76" x14ac:dyDescent="0.25">
      <c r="BX289" s="70"/>
    </row>
    <row r="290" spans="76:76" x14ac:dyDescent="0.25">
      <c r="BX290" s="70"/>
    </row>
    <row r="291" spans="76:76" x14ac:dyDescent="0.25">
      <c r="BX291" s="70"/>
    </row>
    <row r="292" spans="76:76" x14ac:dyDescent="0.25">
      <c r="BX292" s="70"/>
    </row>
    <row r="293" spans="76:76" x14ac:dyDescent="0.25">
      <c r="BX293" s="70"/>
    </row>
    <row r="294" spans="76:76" x14ac:dyDescent="0.25">
      <c r="BX294" s="70"/>
    </row>
    <row r="295" spans="76:76" x14ac:dyDescent="0.25">
      <c r="BX295" s="70"/>
    </row>
    <row r="296" spans="76:76" x14ac:dyDescent="0.25">
      <c r="BX296" s="70"/>
    </row>
    <row r="297" spans="76:76" x14ac:dyDescent="0.25">
      <c r="BX297" s="70"/>
    </row>
    <row r="298" spans="76:76" x14ac:dyDescent="0.25">
      <c r="BX298" s="70"/>
    </row>
    <row r="299" spans="76:76" x14ac:dyDescent="0.25">
      <c r="BX299" s="70"/>
    </row>
    <row r="300" spans="76:76" x14ac:dyDescent="0.25">
      <c r="BX300" s="70"/>
    </row>
    <row r="301" spans="76:76" x14ac:dyDescent="0.25">
      <c r="BX301" s="70"/>
    </row>
    <row r="302" spans="76:76" x14ac:dyDescent="0.25">
      <c r="BX302" s="70"/>
    </row>
    <row r="303" spans="76:76" x14ac:dyDescent="0.25">
      <c r="BX303" s="70"/>
    </row>
    <row r="304" spans="76:76" x14ac:dyDescent="0.25">
      <c r="BX304" s="70"/>
    </row>
    <row r="305" spans="76:76" x14ac:dyDescent="0.25">
      <c r="BX305" s="70"/>
    </row>
    <row r="306" spans="76:76" x14ac:dyDescent="0.25">
      <c r="BX306" s="70"/>
    </row>
    <row r="307" spans="76:76" x14ac:dyDescent="0.25">
      <c r="BX307" s="70"/>
    </row>
    <row r="308" spans="76:76" x14ac:dyDescent="0.25">
      <c r="BX308" s="70"/>
    </row>
    <row r="309" spans="76:76" x14ac:dyDescent="0.25">
      <c r="BX309" s="70"/>
    </row>
    <row r="310" spans="76:76" x14ac:dyDescent="0.25">
      <c r="BX310" s="70"/>
    </row>
    <row r="311" spans="76:76" x14ac:dyDescent="0.25">
      <c r="BX311" s="70"/>
    </row>
    <row r="312" spans="76:76" x14ac:dyDescent="0.25">
      <c r="BX312" s="70"/>
    </row>
    <row r="502" spans="4:102" x14ac:dyDescent="0.25"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43"/>
      <c r="Q502" s="11"/>
      <c r="R502" s="11"/>
      <c r="S502" s="11"/>
      <c r="T502" s="11"/>
      <c r="U502" s="11"/>
      <c r="V502" s="11"/>
      <c r="W502" s="11"/>
      <c r="X502" s="12"/>
      <c r="Y502" s="12"/>
      <c r="Z502" s="12"/>
      <c r="AA502" s="44"/>
      <c r="AB502" s="45"/>
      <c r="AC502" s="12"/>
      <c r="AD502" s="12"/>
      <c r="AE502" s="12"/>
      <c r="AF502" s="12"/>
      <c r="AG502" s="44"/>
      <c r="AH502" s="45"/>
      <c r="AI502" s="12"/>
      <c r="AJ502" s="12"/>
      <c r="AK502" s="12"/>
      <c r="AL502" s="12"/>
      <c r="AM502" s="44"/>
      <c r="AN502" s="45"/>
      <c r="AO502" s="12"/>
      <c r="AP502" s="12"/>
      <c r="AQ502" s="12"/>
      <c r="AR502" s="12"/>
      <c r="AS502" s="44"/>
      <c r="AT502" s="45"/>
      <c r="AU502" s="12"/>
      <c r="AV502" s="12"/>
      <c r="AW502" s="12"/>
      <c r="AX502" s="12"/>
      <c r="AY502" s="44"/>
      <c r="AZ502" s="45"/>
      <c r="BA502" s="12"/>
      <c r="BB502" s="12"/>
      <c r="BC502" s="12"/>
      <c r="BD502" s="12"/>
      <c r="BE502" s="44"/>
      <c r="BF502" s="45"/>
      <c r="BG502" s="12"/>
      <c r="BH502" s="12"/>
      <c r="BI502" s="12"/>
      <c r="BJ502" s="12"/>
      <c r="BK502" s="44"/>
      <c r="BL502" s="45"/>
      <c r="BM502" s="12"/>
      <c r="BN502" s="12"/>
      <c r="BO502" s="12"/>
      <c r="BP502" s="12"/>
      <c r="BQ502" s="48"/>
      <c r="BR502" s="49"/>
      <c r="BS502" s="13"/>
      <c r="BT502" s="12"/>
      <c r="BV502" s="14"/>
      <c r="BW502" s="50"/>
      <c r="BX502" s="54"/>
      <c r="BY502" s="14"/>
      <c r="BZ502" s="14"/>
      <c r="CA502" s="14"/>
      <c r="CB502" s="14"/>
      <c r="CC502" s="14"/>
      <c r="CD502" s="14"/>
      <c r="CE502" s="14"/>
      <c r="CF502" s="15"/>
      <c r="CG502" s="14"/>
      <c r="CH502" s="14"/>
      <c r="CI502" s="50"/>
      <c r="CJ502" s="54"/>
      <c r="CK502" s="14"/>
      <c r="CL502" s="14"/>
      <c r="CM502" s="14"/>
      <c r="CN502" s="14"/>
      <c r="CO502" s="14"/>
      <c r="CP502" s="14"/>
      <c r="CQ502" s="14"/>
      <c r="CR502" s="14"/>
      <c r="CS502" s="14"/>
      <c r="CT502" s="14"/>
      <c r="CU502" s="16"/>
      <c r="CV502" s="14"/>
      <c r="CW502" s="50"/>
      <c r="CX502" s="17"/>
    </row>
    <row r="503" spans="4:102" x14ac:dyDescent="0.25"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43"/>
      <c r="Q503" s="11"/>
      <c r="R503" s="11"/>
      <c r="S503" s="11"/>
      <c r="T503" s="11"/>
      <c r="U503" s="11"/>
      <c r="V503" s="11"/>
      <c r="W503" s="11"/>
      <c r="X503" s="12"/>
      <c r="Y503" s="12"/>
      <c r="Z503" s="12"/>
      <c r="AA503" s="44"/>
      <c r="AB503" s="45"/>
      <c r="AC503" s="12"/>
      <c r="AD503" s="12"/>
      <c r="AE503" s="12"/>
      <c r="AF503" s="12"/>
      <c r="AG503" s="44"/>
      <c r="AH503" s="45"/>
      <c r="AI503" s="12"/>
      <c r="AJ503" s="12"/>
      <c r="AK503" s="12"/>
      <c r="AL503" s="12"/>
      <c r="AM503" s="44"/>
      <c r="AN503" s="45"/>
      <c r="AO503" s="12"/>
      <c r="AP503" s="12"/>
      <c r="AQ503" s="12"/>
      <c r="AR503" s="12"/>
      <c r="AS503" s="44"/>
      <c r="AT503" s="45"/>
      <c r="AU503" s="12"/>
      <c r="AV503" s="12"/>
      <c r="AW503" s="12"/>
      <c r="AX503" s="12"/>
      <c r="AY503" s="44"/>
      <c r="AZ503" s="45"/>
      <c r="BA503" s="12"/>
      <c r="BB503" s="12"/>
      <c r="BC503" s="12"/>
      <c r="BD503" s="12"/>
      <c r="BE503" s="44"/>
      <c r="BF503" s="45"/>
      <c r="BG503" s="12"/>
      <c r="BH503" s="12"/>
      <c r="BI503" s="12"/>
      <c r="BJ503" s="12"/>
      <c r="BK503" s="44"/>
      <c r="BL503" s="45"/>
      <c r="BM503" s="12"/>
      <c r="BN503" s="12"/>
      <c r="BO503" s="12"/>
      <c r="BP503" s="12"/>
      <c r="BQ503" s="48"/>
      <c r="BR503" s="49"/>
      <c r="BS503" s="13"/>
      <c r="BT503" s="12"/>
      <c r="BV503" s="14"/>
      <c r="BW503" s="50"/>
      <c r="BX503" s="54"/>
      <c r="BY503" s="14"/>
      <c r="BZ503" s="14"/>
      <c r="CA503" s="14"/>
      <c r="CB503" s="14"/>
      <c r="CC503" s="14"/>
      <c r="CD503" s="14"/>
      <c r="CE503" s="14"/>
      <c r="CF503" s="15"/>
      <c r="CG503" s="14"/>
      <c r="CH503" s="14"/>
      <c r="CI503" s="50"/>
      <c r="CJ503" s="54"/>
      <c r="CK503" s="14"/>
      <c r="CL503" s="14"/>
      <c r="CM503" s="14"/>
      <c r="CN503" s="14"/>
      <c r="CO503" s="14"/>
      <c r="CP503" s="14"/>
      <c r="CQ503" s="14"/>
      <c r="CR503" s="14"/>
      <c r="CS503" s="14"/>
      <c r="CT503" s="14"/>
      <c r="CU503" s="16"/>
      <c r="CV503" s="14"/>
      <c r="CW503" s="50"/>
      <c r="CX503" s="17"/>
    </row>
    <row r="504" spans="4:102" x14ac:dyDescent="0.25"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43"/>
      <c r="Q504" s="11"/>
      <c r="R504" s="11"/>
      <c r="S504" s="11"/>
      <c r="T504" s="11"/>
      <c r="U504" s="11"/>
      <c r="V504" s="11"/>
      <c r="W504" s="11"/>
      <c r="X504" s="12"/>
      <c r="Y504" s="12"/>
      <c r="Z504" s="12"/>
      <c r="AA504" s="44"/>
      <c r="AB504" s="45"/>
      <c r="AC504" s="12"/>
      <c r="AD504" s="12"/>
      <c r="AE504" s="12"/>
      <c r="AF504" s="12"/>
      <c r="AG504" s="44"/>
      <c r="AH504" s="45"/>
      <c r="AI504" s="12"/>
      <c r="AJ504" s="12"/>
      <c r="AK504" s="12"/>
      <c r="AL504" s="12"/>
      <c r="AM504" s="44"/>
      <c r="AN504" s="45"/>
      <c r="AO504" s="12"/>
      <c r="AP504" s="12"/>
      <c r="AQ504" s="12"/>
      <c r="AR504" s="12"/>
      <c r="AS504" s="44"/>
      <c r="AT504" s="45"/>
      <c r="AU504" s="12"/>
      <c r="AV504" s="12"/>
      <c r="AW504" s="12"/>
      <c r="AX504" s="12"/>
      <c r="AY504" s="44"/>
      <c r="AZ504" s="45"/>
      <c r="BA504" s="12"/>
      <c r="BB504" s="12"/>
      <c r="BC504" s="12"/>
      <c r="BD504" s="12"/>
      <c r="BE504" s="44"/>
      <c r="BF504" s="45"/>
      <c r="BG504" s="12"/>
      <c r="BH504" s="12"/>
      <c r="BI504" s="12"/>
      <c r="BJ504" s="12"/>
      <c r="BK504" s="44"/>
      <c r="BL504" s="45"/>
      <c r="BM504" s="12"/>
      <c r="BN504" s="12"/>
      <c r="BO504" s="12"/>
      <c r="BP504" s="12"/>
      <c r="BQ504" s="48"/>
      <c r="BR504" s="49"/>
      <c r="BS504" s="13"/>
      <c r="BT504" s="12"/>
      <c r="BV504" s="14"/>
      <c r="BW504" s="50"/>
      <c r="BX504" s="54"/>
      <c r="BY504" s="14"/>
      <c r="BZ504" s="14"/>
      <c r="CA504" s="14"/>
      <c r="CB504" s="14"/>
      <c r="CC504" s="14"/>
      <c r="CD504" s="14"/>
      <c r="CE504" s="14"/>
      <c r="CF504" s="15"/>
      <c r="CG504" s="14"/>
      <c r="CH504" s="14"/>
      <c r="CI504" s="50"/>
      <c r="CJ504" s="54"/>
      <c r="CK504" s="14"/>
      <c r="CL504" s="14"/>
      <c r="CM504" s="14"/>
      <c r="CN504" s="14"/>
      <c r="CO504" s="14"/>
      <c r="CP504" s="14"/>
      <c r="CQ504" s="14"/>
      <c r="CR504" s="14"/>
      <c r="CS504" s="14"/>
      <c r="CT504" s="14"/>
      <c r="CU504" s="16"/>
      <c r="CV504" s="14"/>
      <c r="CW504" s="50"/>
      <c r="CX504" s="17"/>
    </row>
    <row r="505" spans="4:102" x14ac:dyDescent="0.25"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43"/>
      <c r="Q505" s="11"/>
      <c r="R505" s="11"/>
      <c r="S505" s="11"/>
      <c r="T505" s="11"/>
      <c r="U505" s="11"/>
      <c r="V505" s="11"/>
      <c r="W505" s="11"/>
      <c r="X505" s="12"/>
      <c r="Y505" s="12"/>
      <c r="Z505" s="12"/>
      <c r="AA505" s="44"/>
      <c r="AB505" s="45"/>
      <c r="AC505" s="12"/>
      <c r="AD505" s="12"/>
      <c r="AE505" s="12"/>
      <c r="AF505" s="12"/>
      <c r="AG505" s="44"/>
      <c r="AH505" s="45"/>
      <c r="AI505" s="12"/>
      <c r="AJ505" s="12"/>
      <c r="AK505" s="12"/>
      <c r="AL505" s="12"/>
      <c r="AM505" s="44"/>
      <c r="AN505" s="45"/>
      <c r="AO505" s="12"/>
      <c r="AP505" s="12"/>
      <c r="AQ505" s="12"/>
      <c r="AR505" s="12"/>
      <c r="AS505" s="44"/>
      <c r="AT505" s="45"/>
      <c r="AU505" s="12"/>
      <c r="AV505" s="12"/>
      <c r="AW505" s="12"/>
      <c r="AX505" s="12"/>
      <c r="AY505" s="44"/>
      <c r="AZ505" s="45"/>
      <c r="BA505" s="12"/>
      <c r="BB505" s="12"/>
      <c r="BC505" s="12"/>
      <c r="BD505" s="12"/>
      <c r="BE505" s="44"/>
      <c r="BF505" s="45"/>
      <c r="BG505" s="12"/>
      <c r="BH505" s="12"/>
      <c r="BI505" s="12"/>
      <c r="BJ505" s="12"/>
      <c r="BK505" s="44"/>
      <c r="BL505" s="45"/>
      <c r="BM505" s="12"/>
      <c r="BN505" s="12"/>
      <c r="BO505" s="12"/>
      <c r="BP505" s="12"/>
      <c r="BQ505" s="48"/>
      <c r="BR505" s="49"/>
      <c r="BS505" s="13"/>
      <c r="BT505" s="12"/>
      <c r="BV505" s="14"/>
      <c r="BW505" s="50"/>
      <c r="BX505" s="54"/>
      <c r="BY505" s="14"/>
      <c r="BZ505" s="14"/>
      <c r="CA505" s="14"/>
      <c r="CB505" s="14"/>
      <c r="CC505" s="14"/>
      <c r="CD505" s="14"/>
      <c r="CE505" s="14"/>
      <c r="CF505" s="15"/>
      <c r="CG505" s="14"/>
      <c r="CH505" s="14"/>
      <c r="CI505" s="50"/>
      <c r="CJ505" s="54"/>
      <c r="CK505" s="14"/>
      <c r="CL505" s="14"/>
      <c r="CM505" s="14"/>
      <c r="CN505" s="14"/>
      <c r="CO505" s="14"/>
      <c r="CP505" s="14"/>
      <c r="CQ505" s="14"/>
      <c r="CR505" s="14"/>
      <c r="CS505" s="14"/>
      <c r="CT505" s="14"/>
      <c r="CU505" s="16"/>
      <c r="CV505" s="14"/>
      <c r="CW505" s="50"/>
      <c r="CX505" s="17"/>
    </row>
    <row r="506" spans="4:102" x14ac:dyDescent="0.25"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43"/>
      <c r="Q506" s="11"/>
      <c r="R506" s="11"/>
      <c r="S506" s="11"/>
      <c r="T506" s="11"/>
      <c r="U506" s="11"/>
      <c r="V506" s="11"/>
      <c r="W506" s="11"/>
      <c r="X506" s="12"/>
      <c r="Y506" s="12"/>
      <c r="Z506" s="12"/>
      <c r="AA506" s="44"/>
      <c r="AB506" s="45"/>
      <c r="AC506" s="12"/>
      <c r="AD506" s="12"/>
      <c r="AE506" s="12"/>
      <c r="AF506" s="12"/>
      <c r="AG506" s="44"/>
      <c r="AH506" s="45"/>
      <c r="AI506" s="12"/>
      <c r="AJ506" s="12"/>
      <c r="AK506" s="12"/>
      <c r="AL506" s="12"/>
      <c r="AM506" s="44"/>
      <c r="AN506" s="45"/>
      <c r="AO506" s="12"/>
      <c r="AP506" s="12"/>
      <c r="AQ506" s="12"/>
      <c r="AR506" s="12"/>
      <c r="AS506" s="44"/>
      <c r="AT506" s="45"/>
      <c r="AU506" s="12"/>
      <c r="AV506" s="12"/>
      <c r="AW506" s="12"/>
      <c r="AX506" s="12"/>
      <c r="AY506" s="44"/>
      <c r="AZ506" s="45"/>
      <c r="BA506" s="12"/>
      <c r="BB506" s="12"/>
      <c r="BC506" s="12"/>
      <c r="BD506" s="12"/>
      <c r="BE506" s="44"/>
      <c r="BF506" s="45"/>
      <c r="BG506" s="12"/>
      <c r="BH506" s="12"/>
      <c r="BI506" s="12"/>
      <c r="BJ506" s="12"/>
      <c r="BK506" s="44"/>
      <c r="BL506" s="45"/>
      <c r="BM506" s="12"/>
      <c r="BN506" s="12"/>
      <c r="BO506" s="12"/>
      <c r="BP506" s="12"/>
      <c r="BQ506" s="48"/>
      <c r="BR506" s="49"/>
      <c r="BS506" s="13"/>
      <c r="BT506" s="12"/>
      <c r="BV506" s="14"/>
      <c r="BW506" s="50"/>
      <c r="BX506" s="54"/>
      <c r="BY506" s="14"/>
      <c r="BZ506" s="14"/>
      <c r="CA506" s="14"/>
      <c r="CB506" s="14"/>
      <c r="CC506" s="14"/>
      <c r="CD506" s="14"/>
      <c r="CE506" s="14"/>
      <c r="CF506" s="15"/>
      <c r="CG506" s="14"/>
      <c r="CH506" s="14"/>
      <c r="CI506" s="50"/>
      <c r="CJ506" s="54"/>
      <c r="CK506" s="14"/>
      <c r="CL506" s="14"/>
      <c r="CM506" s="14"/>
      <c r="CN506" s="14"/>
      <c r="CO506" s="14"/>
      <c r="CP506" s="14"/>
      <c r="CQ506" s="14"/>
      <c r="CR506" s="14"/>
      <c r="CS506" s="14"/>
      <c r="CT506" s="14"/>
      <c r="CU506" s="16"/>
      <c r="CV506" s="14"/>
      <c r="CW506" s="50"/>
      <c r="CX506" s="17"/>
    </row>
    <row r="507" spans="4:102" x14ac:dyDescent="0.25"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43"/>
      <c r="Q507" s="11"/>
      <c r="R507" s="11"/>
      <c r="S507" s="11"/>
      <c r="T507" s="11"/>
      <c r="U507" s="11"/>
      <c r="V507" s="11"/>
      <c r="W507" s="11"/>
      <c r="X507" s="12"/>
      <c r="Y507" s="12"/>
      <c r="Z507" s="12"/>
      <c r="AA507" s="44"/>
      <c r="AB507" s="45"/>
      <c r="AC507" s="12"/>
      <c r="AD507" s="12"/>
      <c r="AE507" s="12"/>
      <c r="AF507" s="12"/>
      <c r="AG507" s="44"/>
      <c r="AH507" s="45"/>
      <c r="AI507" s="12"/>
      <c r="AJ507" s="12"/>
      <c r="AK507" s="12"/>
      <c r="AL507" s="12"/>
      <c r="AM507" s="44"/>
      <c r="AN507" s="45"/>
      <c r="AO507" s="12"/>
      <c r="AP507" s="12"/>
      <c r="AQ507" s="12"/>
      <c r="AR507" s="12"/>
      <c r="AS507" s="44"/>
      <c r="AT507" s="45"/>
      <c r="AU507" s="12"/>
      <c r="AV507" s="12"/>
      <c r="AW507" s="12"/>
      <c r="AX507" s="12"/>
      <c r="AY507" s="44"/>
      <c r="AZ507" s="45"/>
      <c r="BA507" s="12"/>
      <c r="BB507" s="12"/>
      <c r="BC507" s="12"/>
      <c r="BD507" s="12"/>
      <c r="BE507" s="44"/>
      <c r="BF507" s="45"/>
      <c r="BG507" s="12"/>
      <c r="BH507" s="12"/>
      <c r="BI507" s="12"/>
      <c r="BJ507" s="12"/>
      <c r="BK507" s="44"/>
      <c r="BL507" s="45"/>
      <c r="BM507" s="12"/>
      <c r="BN507" s="12"/>
      <c r="BO507" s="12"/>
      <c r="BP507" s="12"/>
      <c r="BQ507" s="48"/>
      <c r="BR507" s="49"/>
      <c r="BS507" s="13"/>
      <c r="BT507" s="12"/>
      <c r="BV507" s="14"/>
      <c r="BW507" s="50"/>
      <c r="BX507" s="54"/>
      <c r="BY507" s="14"/>
      <c r="BZ507" s="14"/>
      <c r="CA507" s="14"/>
      <c r="CB507" s="14"/>
      <c r="CC507" s="14"/>
      <c r="CD507" s="14"/>
      <c r="CE507" s="14"/>
      <c r="CF507" s="15"/>
      <c r="CG507" s="14"/>
      <c r="CH507" s="14"/>
      <c r="CI507" s="50"/>
      <c r="CJ507" s="54"/>
      <c r="CK507" s="14"/>
      <c r="CL507" s="14"/>
      <c r="CM507" s="14"/>
      <c r="CN507" s="14"/>
      <c r="CO507" s="14"/>
      <c r="CP507" s="14"/>
      <c r="CQ507" s="14"/>
      <c r="CR507" s="14"/>
      <c r="CS507" s="14"/>
      <c r="CT507" s="14"/>
      <c r="CU507" s="16"/>
      <c r="CV507" s="14"/>
      <c r="CW507" s="50"/>
      <c r="CX507" s="17"/>
    </row>
    <row r="508" spans="4:102" x14ac:dyDescent="0.25"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43"/>
      <c r="Q508" s="11"/>
      <c r="R508" s="11"/>
      <c r="S508" s="11"/>
      <c r="T508" s="11"/>
      <c r="U508" s="11"/>
      <c r="V508" s="11"/>
      <c r="W508" s="11"/>
      <c r="X508" s="12"/>
      <c r="Y508" s="12"/>
      <c r="Z508" s="12"/>
      <c r="AA508" s="44"/>
      <c r="AB508" s="45"/>
      <c r="AC508" s="12"/>
      <c r="AD508" s="12"/>
      <c r="AE508" s="12"/>
      <c r="AF508" s="12"/>
      <c r="AG508" s="44"/>
      <c r="AH508" s="45"/>
      <c r="AI508" s="12"/>
      <c r="AJ508" s="12"/>
      <c r="AK508" s="12"/>
      <c r="AL508" s="12"/>
      <c r="AM508" s="44"/>
      <c r="AN508" s="45"/>
      <c r="AO508" s="12"/>
      <c r="AP508" s="12"/>
      <c r="AQ508" s="12"/>
      <c r="AR508" s="12"/>
      <c r="AS508" s="44"/>
      <c r="AT508" s="45"/>
      <c r="AU508" s="12"/>
      <c r="AV508" s="12"/>
      <c r="AW508" s="12"/>
      <c r="AX508" s="12"/>
      <c r="AY508" s="44"/>
      <c r="AZ508" s="45"/>
      <c r="BA508" s="12"/>
      <c r="BB508" s="12"/>
      <c r="BC508" s="12"/>
      <c r="BD508" s="12"/>
      <c r="BE508" s="44"/>
      <c r="BF508" s="45"/>
      <c r="BG508" s="12"/>
      <c r="BH508" s="12"/>
      <c r="BI508" s="12"/>
      <c r="BJ508" s="12"/>
      <c r="BK508" s="44"/>
      <c r="BL508" s="45"/>
      <c r="BM508" s="12"/>
      <c r="BN508" s="12"/>
      <c r="BO508" s="12"/>
      <c r="BP508" s="12"/>
      <c r="BQ508" s="48"/>
      <c r="BR508" s="49"/>
      <c r="BS508" s="13"/>
      <c r="BT508" s="12"/>
      <c r="BV508" s="14"/>
      <c r="BW508" s="50"/>
      <c r="BX508" s="54"/>
      <c r="BY508" s="14"/>
      <c r="BZ508" s="14"/>
      <c r="CA508" s="14"/>
      <c r="CB508" s="14"/>
      <c r="CC508" s="14"/>
      <c r="CD508" s="14"/>
      <c r="CE508" s="14"/>
      <c r="CF508" s="15"/>
      <c r="CG508" s="14"/>
      <c r="CH508" s="14"/>
      <c r="CI508" s="50"/>
      <c r="CJ508" s="54"/>
      <c r="CK508" s="14"/>
      <c r="CL508" s="14"/>
      <c r="CM508" s="14"/>
      <c r="CN508" s="14"/>
      <c r="CO508" s="14"/>
      <c r="CP508" s="14"/>
      <c r="CQ508" s="14"/>
      <c r="CR508" s="14"/>
      <c r="CS508" s="14"/>
      <c r="CT508" s="14"/>
      <c r="CU508" s="16"/>
      <c r="CV508" s="14"/>
      <c r="CW508" s="50"/>
      <c r="CX508" s="17"/>
    </row>
    <row r="509" spans="4:102" x14ac:dyDescent="0.25"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43"/>
      <c r="Q509" s="11"/>
      <c r="R509" s="11"/>
      <c r="S509" s="11"/>
      <c r="T509" s="11"/>
      <c r="U509" s="11"/>
      <c r="V509" s="11"/>
      <c r="W509" s="11"/>
      <c r="X509" s="12"/>
      <c r="Y509" s="12"/>
      <c r="Z509" s="12"/>
      <c r="AA509" s="44"/>
      <c r="AB509" s="45"/>
      <c r="AC509" s="12"/>
      <c r="AD509" s="12"/>
      <c r="AE509" s="12"/>
      <c r="AF509" s="12"/>
      <c r="AG509" s="44"/>
      <c r="AH509" s="45"/>
      <c r="AI509" s="12"/>
      <c r="AJ509" s="12"/>
      <c r="AK509" s="12"/>
      <c r="AL509" s="12"/>
      <c r="AM509" s="44"/>
      <c r="AN509" s="45"/>
      <c r="AO509" s="12"/>
      <c r="AP509" s="12"/>
      <c r="AQ509" s="12"/>
      <c r="AR509" s="12"/>
      <c r="AS509" s="44"/>
      <c r="AT509" s="45"/>
      <c r="AU509" s="12"/>
      <c r="AV509" s="12"/>
      <c r="AW509" s="12"/>
      <c r="AX509" s="12"/>
      <c r="AY509" s="44"/>
      <c r="AZ509" s="45"/>
      <c r="BA509" s="12"/>
      <c r="BB509" s="12"/>
      <c r="BC509" s="12"/>
      <c r="BD509" s="12"/>
      <c r="BE509" s="44"/>
      <c r="BF509" s="45"/>
      <c r="BG509" s="12"/>
      <c r="BH509" s="12"/>
      <c r="BI509" s="12"/>
      <c r="BJ509" s="12"/>
      <c r="BK509" s="44"/>
      <c r="BL509" s="45"/>
      <c r="BM509" s="12"/>
      <c r="BN509" s="12"/>
      <c r="BO509" s="12"/>
      <c r="BP509" s="12"/>
      <c r="BQ509" s="48"/>
      <c r="BR509" s="49"/>
      <c r="BS509" s="13"/>
      <c r="BT509" s="12"/>
      <c r="BV509" s="14"/>
      <c r="BW509" s="50"/>
      <c r="BX509" s="54"/>
      <c r="BY509" s="14"/>
      <c r="BZ509" s="14"/>
      <c r="CA509" s="14"/>
      <c r="CB509" s="14"/>
      <c r="CC509" s="14"/>
      <c r="CD509" s="14"/>
      <c r="CE509" s="14"/>
      <c r="CF509" s="15"/>
      <c r="CG509" s="14"/>
      <c r="CH509" s="14"/>
      <c r="CI509" s="50"/>
      <c r="CJ509" s="54"/>
      <c r="CK509" s="14"/>
      <c r="CL509" s="14"/>
      <c r="CM509" s="14"/>
      <c r="CN509" s="14"/>
      <c r="CO509" s="14"/>
      <c r="CP509" s="14"/>
      <c r="CQ509" s="14"/>
      <c r="CR509" s="14"/>
      <c r="CS509" s="14"/>
      <c r="CT509" s="14"/>
      <c r="CU509" s="16"/>
      <c r="CV509" s="14"/>
      <c r="CW509" s="50"/>
      <c r="CX509" s="17"/>
    </row>
    <row r="510" spans="4:102" x14ac:dyDescent="0.25"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43"/>
      <c r="Q510" s="11"/>
      <c r="R510" s="11"/>
      <c r="S510" s="11"/>
      <c r="T510" s="11"/>
      <c r="U510" s="11"/>
      <c r="V510" s="11"/>
      <c r="W510" s="11"/>
      <c r="X510" s="12"/>
      <c r="Y510" s="12"/>
      <c r="Z510" s="12"/>
      <c r="AA510" s="44"/>
      <c r="AB510" s="45"/>
      <c r="AC510" s="12"/>
      <c r="AD510" s="12"/>
      <c r="AE510" s="12"/>
      <c r="AF510" s="12"/>
      <c r="AG510" s="44"/>
      <c r="AH510" s="45"/>
      <c r="AI510" s="12"/>
      <c r="AJ510" s="12"/>
      <c r="AK510" s="12"/>
      <c r="AL510" s="12"/>
      <c r="AM510" s="44"/>
      <c r="AN510" s="45"/>
      <c r="AO510" s="12"/>
      <c r="AP510" s="12"/>
      <c r="AQ510" s="12"/>
      <c r="AR510" s="12"/>
      <c r="AS510" s="44"/>
      <c r="AT510" s="45"/>
      <c r="AU510" s="12"/>
      <c r="AV510" s="12"/>
      <c r="AW510" s="12"/>
      <c r="AX510" s="12"/>
      <c r="AY510" s="44"/>
      <c r="AZ510" s="45"/>
      <c r="BA510" s="12"/>
      <c r="BB510" s="12"/>
      <c r="BC510" s="12"/>
      <c r="BD510" s="12"/>
      <c r="BE510" s="44"/>
      <c r="BF510" s="45"/>
      <c r="BG510" s="12"/>
      <c r="BH510" s="12"/>
      <c r="BI510" s="12"/>
      <c r="BJ510" s="12"/>
      <c r="BK510" s="44"/>
      <c r="BL510" s="45"/>
      <c r="BM510" s="12"/>
      <c r="BN510" s="12"/>
      <c r="BO510" s="12"/>
      <c r="BP510" s="12"/>
      <c r="BQ510" s="48"/>
      <c r="BR510" s="49"/>
      <c r="BS510" s="13"/>
      <c r="BT510" s="12"/>
      <c r="BV510" s="14"/>
      <c r="BW510" s="50"/>
      <c r="BX510" s="54"/>
      <c r="BY510" s="14"/>
      <c r="BZ510" s="14"/>
      <c r="CA510" s="14"/>
      <c r="CB510" s="14"/>
      <c r="CC510" s="14"/>
      <c r="CD510" s="14"/>
      <c r="CE510" s="14"/>
      <c r="CF510" s="15"/>
      <c r="CG510" s="14"/>
      <c r="CH510" s="14"/>
      <c r="CI510" s="50"/>
      <c r="CJ510" s="54"/>
      <c r="CK510" s="14"/>
      <c r="CL510" s="14"/>
      <c r="CM510" s="14"/>
      <c r="CN510" s="14"/>
      <c r="CO510" s="14"/>
      <c r="CP510" s="14"/>
      <c r="CQ510" s="14"/>
      <c r="CR510" s="14"/>
      <c r="CS510" s="14"/>
      <c r="CT510" s="14"/>
      <c r="CU510" s="16"/>
      <c r="CV510" s="14"/>
      <c r="CW510" s="50"/>
      <c r="CX510" s="17"/>
    </row>
    <row r="511" spans="4:102" x14ac:dyDescent="0.25"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43"/>
      <c r="Q511" s="11"/>
      <c r="R511" s="11"/>
      <c r="S511" s="11"/>
      <c r="T511" s="11"/>
      <c r="U511" s="11"/>
      <c r="V511" s="11"/>
      <c r="W511" s="11"/>
      <c r="X511" s="12"/>
      <c r="Y511" s="12"/>
      <c r="Z511" s="12"/>
      <c r="AA511" s="44"/>
      <c r="AB511" s="45"/>
      <c r="AC511" s="12"/>
      <c r="AD511" s="12"/>
      <c r="AE511" s="12"/>
      <c r="AF511" s="12"/>
      <c r="AG511" s="44"/>
      <c r="AH511" s="45"/>
      <c r="AI511" s="12"/>
      <c r="AJ511" s="12"/>
      <c r="AK511" s="12"/>
      <c r="AL511" s="12"/>
      <c r="AM511" s="44"/>
      <c r="AN511" s="45"/>
      <c r="AO511" s="12"/>
      <c r="AP511" s="12"/>
      <c r="AQ511" s="12"/>
      <c r="AR511" s="12"/>
      <c r="AS511" s="44"/>
      <c r="AT511" s="45"/>
      <c r="AU511" s="12"/>
      <c r="AV511" s="12"/>
      <c r="AW511" s="12"/>
      <c r="AX511" s="12"/>
      <c r="AY511" s="44"/>
      <c r="AZ511" s="45"/>
      <c r="BA511" s="12"/>
      <c r="BB511" s="12"/>
      <c r="BC511" s="12"/>
      <c r="BD511" s="12"/>
      <c r="BE511" s="44"/>
      <c r="BF511" s="45"/>
      <c r="BG511" s="12"/>
      <c r="BH511" s="12"/>
      <c r="BI511" s="12"/>
      <c r="BJ511" s="12"/>
      <c r="BK511" s="44"/>
      <c r="BL511" s="45"/>
      <c r="BM511" s="12"/>
      <c r="BN511" s="12"/>
      <c r="BO511" s="12"/>
      <c r="BP511" s="12"/>
      <c r="BQ511" s="48"/>
      <c r="BR511" s="49"/>
      <c r="BS511" s="13"/>
      <c r="BT511" s="12"/>
      <c r="BV511" s="14"/>
      <c r="BW511" s="50"/>
      <c r="BX511" s="54"/>
      <c r="BY511" s="14"/>
      <c r="BZ511" s="14"/>
      <c r="CA511" s="14"/>
      <c r="CB511" s="14"/>
      <c r="CC511" s="14"/>
      <c r="CD511" s="14"/>
      <c r="CE511" s="14"/>
      <c r="CF511" s="15"/>
      <c r="CG511" s="14"/>
      <c r="CH511" s="14"/>
      <c r="CI511" s="50"/>
      <c r="CJ511" s="54"/>
      <c r="CK511" s="14"/>
      <c r="CL511" s="14"/>
      <c r="CM511" s="14"/>
      <c r="CN511" s="14"/>
      <c r="CO511" s="14"/>
      <c r="CP511" s="14"/>
      <c r="CQ511" s="14"/>
      <c r="CR511" s="14"/>
      <c r="CS511" s="14"/>
      <c r="CT511" s="14"/>
      <c r="CU511" s="16"/>
      <c r="CV511" s="14"/>
      <c r="CW511" s="50"/>
      <c r="CX511" s="17"/>
    </row>
    <row r="512" spans="4:102" x14ac:dyDescent="0.25"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43"/>
      <c r="Q512" s="11"/>
      <c r="R512" s="11"/>
      <c r="S512" s="11"/>
      <c r="T512" s="11"/>
      <c r="U512" s="11"/>
      <c r="V512" s="11"/>
      <c r="W512" s="11"/>
      <c r="X512" s="12"/>
      <c r="Y512" s="12"/>
      <c r="Z512" s="12"/>
      <c r="AA512" s="44"/>
      <c r="AB512" s="45"/>
      <c r="AC512" s="12"/>
      <c r="AD512" s="12"/>
      <c r="AE512" s="12"/>
      <c r="AF512" s="12"/>
      <c r="AG512" s="44"/>
      <c r="AH512" s="45"/>
      <c r="AI512" s="12"/>
      <c r="AJ512" s="12"/>
      <c r="AK512" s="12"/>
      <c r="AL512" s="12"/>
      <c r="AM512" s="44"/>
      <c r="AN512" s="45"/>
      <c r="AO512" s="12"/>
      <c r="AP512" s="12"/>
      <c r="AQ512" s="12"/>
      <c r="AR512" s="12"/>
      <c r="AS512" s="44"/>
      <c r="AT512" s="45"/>
      <c r="AU512" s="12"/>
      <c r="AV512" s="12"/>
      <c r="AW512" s="12"/>
      <c r="AX512" s="12"/>
      <c r="AY512" s="44"/>
      <c r="AZ512" s="45"/>
      <c r="BA512" s="12"/>
      <c r="BB512" s="12"/>
      <c r="BC512" s="12"/>
      <c r="BD512" s="12"/>
      <c r="BE512" s="44"/>
      <c r="BF512" s="45"/>
      <c r="BG512" s="12"/>
      <c r="BH512" s="12"/>
      <c r="BI512" s="12"/>
      <c r="BJ512" s="12"/>
      <c r="BK512" s="44"/>
      <c r="BL512" s="45"/>
      <c r="BM512" s="12"/>
      <c r="BN512" s="12"/>
      <c r="BO512" s="12"/>
      <c r="BP512" s="12"/>
      <c r="BQ512" s="48"/>
      <c r="BR512" s="49"/>
      <c r="BS512" s="13"/>
      <c r="BT512" s="12"/>
      <c r="BV512" s="14"/>
      <c r="BW512" s="50"/>
      <c r="BX512" s="54"/>
      <c r="BY512" s="14"/>
      <c r="BZ512" s="14"/>
      <c r="CA512" s="14"/>
      <c r="CB512" s="14"/>
      <c r="CC512" s="14"/>
      <c r="CD512" s="14"/>
      <c r="CE512" s="14"/>
      <c r="CF512" s="15"/>
      <c r="CG512" s="14"/>
      <c r="CH512" s="14"/>
      <c r="CI512" s="50"/>
      <c r="CJ512" s="54"/>
      <c r="CK512" s="14"/>
      <c r="CL512" s="14"/>
      <c r="CM512" s="14"/>
      <c r="CN512" s="14"/>
      <c r="CO512" s="14"/>
      <c r="CP512" s="14"/>
      <c r="CQ512" s="14"/>
      <c r="CR512" s="14"/>
      <c r="CS512" s="14"/>
      <c r="CT512" s="14"/>
      <c r="CU512" s="16"/>
      <c r="CV512" s="14"/>
      <c r="CW512" s="50"/>
      <c r="CX512" s="17"/>
    </row>
    <row r="513" spans="4:102" x14ac:dyDescent="0.25"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43"/>
      <c r="Q513" s="11"/>
      <c r="R513" s="11"/>
      <c r="S513" s="11"/>
      <c r="T513" s="11"/>
      <c r="U513" s="11"/>
      <c r="V513" s="11"/>
      <c r="W513" s="11"/>
      <c r="X513" s="12"/>
      <c r="Y513" s="12"/>
      <c r="Z513" s="12"/>
      <c r="AA513" s="44"/>
      <c r="AB513" s="45"/>
      <c r="AC513" s="12"/>
      <c r="AD513" s="12"/>
      <c r="AE513" s="12"/>
      <c r="AF513" s="12"/>
      <c r="AG513" s="44"/>
      <c r="AH513" s="45"/>
      <c r="AI513" s="12"/>
      <c r="AJ513" s="12"/>
      <c r="AK513" s="12"/>
      <c r="AL513" s="12"/>
      <c r="AM513" s="44"/>
      <c r="AN513" s="45"/>
      <c r="AO513" s="12"/>
      <c r="AP513" s="12"/>
      <c r="AQ513" s="12"/>
      <c r="AR513" s="12"/>
      <c r="AS513" s="44"/>
      <c r="AT513" s="45"/>
      <c r="AU513" s="12"/>
      <c r="AV513" s="12"/>
      <c r="AW513" s="12"/>
      <c r="AX513" s="12"/>
      <c r="AY513" s="44"/>
      <c r="AZ513" s="45"/>
      <c r="BA513" s="12"/>
      <c r="BB513" s="12"/>
      <c r="BC513" s="12"/>
      <c r="BD513" s="12"/>
      <c r="BE513" s="44"/>
      <c r="BF513" s="45"/>
      <c r="BG513" s="12"/>
      <c r="BH513" s="12"/>
      <c r="BI513" s="12"/>
      <c r="BJ513" s="12"/>
      <c r="BK513" s="44"/>
      <c r="BL513" s="45"/>
      <c r="BM513" s="12"/>
      <c r="BN513" s="12"/>
      <c r="BO513" s="12"/>
      <c r="BP513" s="12"/>
      <c r="BQ513" s="48"/>
      <c r="BR513" s="49"/>
      <c r="BS513" s="13"/>
      <c r="BT513" s="12"/>
      <c r="BV513" s="14"/>
      <c r="BW513" s="50"/>
      <c r="BX513" s="54"/>
      <c r="BY513" s="14"/>
      <c r="BZ513" s="14"/>
      <c r="CA513" s="14"/>
      <c r="CB513" s="14"/>
      <c r="CC513" s="14"/>
      <c r="CD513" s="14"/>
      <c r="CE513" s="14"/>
      <c r="CF513" s="15"/>
      <c r="CG513" s="14"/>
      <c r="CH513" s="14"/>
      <c r="CI513" s="50"/>
      <c r="CJ513" s="54"/>
      <c r="CK513" s="14"/>
      <c r="CL513" s="14"/>
      <c r="CM513" s="14"/>
      <c r="CN513" s="14"/>
      <c r="CO513" s="14"/>
      <c r="CP513" s="14"/>
      <c r="CQ513" s="14"/>
      <c r="CR513" s="14"/>
      <c r="CS513" s="14"/>
      <c r="CT513" s="14"/>
      <c r="CU513" s="16"/>
      <c r="CV513" s="14"/>
      <c r="CW513" s="50"/>
      <c r="CX513" s="17"/>
    </row>
    <row r="514" spans="4:102" x14ac:dyDescent="0.25"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43"/>
      <c r="Q514" s="11"/>
      <c r="R514" s="11"/>
      <c r="S514" s="11"/>
      <c r="T514" s="11"/>
      <c r="U514" s="11"/>
      <c r="V514" s="11"/>
      <c r="W514" s="11"/>
      <c r="X514" s="12"/>
      <c r="Y514" s="12"/>
      <c r="Z514" s="12"/>
      <c r="AA514" s="44"/>
      <c r="AB514" s="45"/>
      <c r="AC514" s="12"/>
      <c r="AD514" s="12"/>
      <c r="AE514" s="12"/>
      <c r="AF514" s="12"/>
      <c r="AG514" s="44"/>
      <c r="AH514" s="45"/>
      <c r="AI514" s="12"/>
      <c r="AJ514" s="12"/>
      <c r="AK514" s="12"/>
      <c r="AL514" s="12"/>
      <c r="AM514" s="44"/>
      <c r="AN514" s="45"/>
      <c r="AO514" s="12"/>
      <c r="AP514" s="12"/>
      <c r="AQ514" s="12"/>
      <c r="AR514" s="12"/>
      <c r="AS514" s="44"/>
      <c r="AT514" s="45"/>
      <c r="AU514" s="12"/>
      <c r="AV514" s="12"/>
      <c r="AW514" s="12"/>
      <c r="AX514" s="12"/>
      <c r="AY514" s="44"/>
      <c r="AZ514" s="45"/>
      <c r="BA514" s="12"/>
      <c r="BB514" s="12"/>
      <c r="BC514" s="12"/>
      <c r="BD514" s="12"/>
      <c r="BE514" s="44"/>
      <c r="BF514" s="45"/>
      <c r="BG514" s="12"/>
      <c r="BH514" s="12"/>
      <c r="BI514" s="12"/>
      <c r="BJ514" s="12"/>
      <c r="BK514" s="44"/>
      <c r="BL514" s="45"/>
      <c r="BM514" s="12"/>
      <c r="BN514" s="12"/>
      <c r="BO514" s="12"/>
      <c r="BP514" s="12"/>
      <c r="BQ514" s="48"/>
      <c r="BR514" s="49"/>
      <c r="BS514" s="13"/>
      <c r="BT514" s="12"/>
      <c r="BV514" s="14"/>
      <c r="BW514" s="50"/>
      <c r="BX514" s="54"/>
      <c r="BY514" s="14"/>
      <c r="BZ514" s="14"/>
      <c r="CA514" s="14"/>
      <c r="CB514" s="14"/>
      <c r="CC514" s="14"/>
      <c r="CD514" s="14"/>
      <c r="CE514" s="14"/>
      <c r="CF514" s="15"/>
      <c r="CG514" s="14"/>
      <c r="CH514" s="14"/>
      <c r="CI514" s="50"/>
      <c r="CJ514" s="54"/>
      <c r="CK514" s="14"/>
      <c r="CL514" s="14"/>
      <c r="CM514" s="14"/>
      <c r="CN514" s="14"/>
      <c r="CO514" s="14"/>
      <c r="CP514" s="14"/>
      <c r="CQ514" s="14"/>
      <c r="CR514" s="14"/>
      <c r="CS514" s="14"/>
      <c r="CT514" s="14"/>
      <c r="CU514" s="16"/>
      <c r="CV514" s="14"/>
      <c r="CW514" s="50"/>
      <c r="CX514" s="17"/>
    </row>
    <row r="515" spans="4:102" x14ac:dyDescent="0.25"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43"/>
      <c r="Q515" s="11"/>
      <c r="R515" s="11"/>
      <c r="S515" s="11"/>
      <c r="T515" s="11"/>
      <c r="U515" s="11"/>
      <c r="V515" s="11"/>
      <c r="W515" s="11"/>
      <c r="X515" s="12"/>
      <c r="Y515" s="12"/>
      <c r="Z515" s="12"/>
      <c r="AA515" s="44"/>
      <c r="AB515" s="45"/>
      <c r="AC515" s="12"/>
      <c r="AD515" s="12"/>
      <c r="AE515" s="12"/>
      <c r="AF515" s="12"/>
      <c r="AG515" s="44"/>
      <c r="AH515" s="45"/>
      <c r="AI515" s="12"/>
      <c r="AJ515" s="12"/>
      <c r="AK515" s="12"/>
      <c r="AL515" s="12"/>
      <c r="AM515" s="44"/>
      <c r="AN515" s="45"/>
      <c r="AO515" s="12"/>
      <c r="AP515" s="12"/>
      <c r="AQ515" s="12"/>
      <c r="AR515" s="12"/>
      <c r="AS515" s="44"/>
      <c r="AT515" s="45"/>
      <c r="AU515" s="12"/>
      <c r="AV515" s="12"/>
      <c r="AW515" s="12"/>
      <c r="AX515" s="12"/>
      <c r="AY515" s="44"/>
      <c r="AZ515" s="45"/>
      <c r="BA515" s="12"/>
      <c r="BB515" s="12"/>
      <c r="BC515" s="12"/>
      <c r="BD515" s="12"/>
      <c r="BE515" s="44"/>
      <c r="BF515" s="45"/>
      <c r="BG515" s="12"/>
      <c r="BH515" s="12"/>
      <c r="BI515" s="12"/>
      <c r="BJ515" s="12"/>
      <c r="BK515" s="44"/>
      <c r="BL515" s="45"/>
      <c r="BM515" s="12"/>
      <c r="BN515" s="12"/>
      <c r="BO515" s="12"/>
      <c r="BP515" s="12"/>
      <c r="BQ515" s="48"/>
      <c r="BR515" s="49"/>
      <c r="BS515" s="13"/>
      <c r="BT515" s="12"/>
      <c r="BV515" s="14"/>
      <c r="BW515" s="50"/>
      <c r="BX515" s="54"/>
      <c r="BY515" s="14"/>
      <c r="BZ515" s="14"/>
      <c r="CA515" s="14"/>
      <c r="CB515" s="14"/>
      <c r="CC515" s="14"/>
      <c r="CD515" s="14"/>
      <c r="CE515" s="14"/>
      <c r="CF515" s="15"/>
      <c r="CG515" s="14"/>
      <c r="CH515" s="14"/>
      <c r="CI515" s="50"/>
      <c r="CJ515" s="54"/>
      <c r="CK515" s="14"/>
      <c r="CL515" s="14"/>
      <c r="CM515" s="14"/>
      <c r="CN515" s="14"/>
      <c r="CO515" s="14"/>
      <c r="CP515" s="14"/>
      <c r="CQ515" s="14"/>
      <c r="CR515" s="14"/>
      <c r="CS515" s="14"/>
      <c r="CT515" s="14"/>
      <c r="CU515" s="16"/>
      <c r="CV515" s="14"/>
      <c r="CW515" s="50"/>
      <c r="CX515" s="17"/>
    </row>
    <row r="516" spans="4:102" x14ac:dyDescent="0.25"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43"/>
      <c r="Q516" s="11"/>
      <c r="R516" s="11"/>
      <c r="S516" s="11"/>
      <c r="T516" s="11"/>
      <c r="U516" s="11"/>
      <c r="V516" s="11"/>
      <c r="W516" s="11"/>
      <c r="X516" s="12"/>
      <c r="Y516" s="12"/>
      <c r="Z516" s="12"/>
      <c r="AA516" s="44"/>
      <c r="AB516" s="45"/>
      <c r="AC516" s="12"/>
      <c r="AD516" s="12"/>
      <c r="AE516" s="12"/>
      <c r="AF516" s="12"/>
      <c r="AG516" s="44"/>
      <c r="AH516" s="45"/>
      <c r="AI516" s="12"/>
      <c r="AJ516" s="12"/>
      <c r="AK516" s="12"/>
      <c r="AL516" s="12"/>
      <c r="AM516" s="44"/>
      <c r="AN516" s="45"/>
      <c r="AO516" s="12"/>
      <c r="AP516" s="12"/>
      <c r="AQ516" s="12"/>
      <c r="AR516" s="12"/>
      <c r="AS516" s="44"/>
      <c r="AT516" s="45"/>
      <c r="AU516" s="12"/>
      <c r="AV516" s="12"/>
      <c r="AW516" s="12"/>
      <c r="AX516" s="12"/>
      <c r="AY516" s="44"/>
      <c r="AZ516" s="45"/>
      <c r="BA516" s="12"/>
      <c r="BB516" s="12"/>
      <c r="BC516" s="12"/>
      <c r="BD516" s="12"/>
      <c r="BE516" s="44"/>
      <c r="BF516" s="45"/>
      <c r="BG516" s="12"/>
      <c r="BH516" s="12"/>
      <c r="BI516" s="12"/>
      <c r="BJ516" s="12"/>
      <c r="BK516" s="44"/>
      <c r="BL516" s="45"/>
      <c r="BM516" s="12"/>
      <c r="BN516" s="12"/>
      <c r="BO516" s="12"/>
      <c r="BP516" s="12"/>
      <c r="BQ516" s="48"/>
      <c r="BR516" s="49"/>
      <c r="BS516" s="13"/>
      <c r="BT516" s="12"/>
      <c r="BV516" s="14"/>
      <c r="BW516" s="50"/>
      <c r="BX516" s="54"/>
      <c r="BY516" s="14"/>
      <c r="BZ516" s="14"/>
      <c r="CA516" s="14"/>
      <c r="CB516" s="14"/>
      <c r="CC516" s="14"/>
      <c r="CD516" s="14"/>
      <c r="CE516" s="14"/>
      <c r="CF516" s="15"/>
      <c r="CG516" s="14"/>
      <c r="CH516" s="14"/>
      <c r="CI516" s="50"/>
      <c r="CJ516" s="54"/>
      <c r="CK516" s="14"/>
      <c r="CL516" s="14"/>
      <c r="CM516" s="14"/>
      <c r="CN516" s="14"/>
      <c r="CO516" s="14"/>
      <c r="CP516" s="14"/>
      <c r="CQ516" s="14"/>
      <c r="CR516" s="14"/>
      <c r="CS516" s="14"/>
      <c r="CT516" s="14"/>
      <c r="CU516" s="16"/>
      <c r="CV516" s="14"/>
      <c r="CW516" s="50"/>
      <c r="CX516" s="17"/>
    </row>
    <row r="517" spans="4:102" x14ac:dyDescent="0.25"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43"/>
      <c r="Q517" s="11"/>
      <c r="R517" s="11"/>
      <c r="S517" s="11"/>
      <c r="T517" s="11"/>
      <c r="U517" s="11"/>
      <c r="V517" s="11"/>
      <c r="W517" s="11"/>
      <c r="X517" s="12"/>
      <c r="Y517" s="12"/>
      <c r="Z517" s="12"/>
      <c r="AA517" s="44"/>
      <c r="AB517" s="45"/>
      <c r="AC517" s="12"/>
      <c r="AD517" s="12"/>
      <c r="AE517" s="12"/>
      <c r="AF517" s="12"/>
      <c r="AG517" s="44"/>
      <c r="AH517" s="45"/>
      <c r="AI517" s="12"/>
      <c r="AJ517" s="12"/>
      <c r="AK517" s="12"/>
      <c r="AL517" s="12"/>
      <c r="AM517" s="44"/>
      <c r="AN517" s="45"/>
      <c r="AO517" s="12"/>
      <c r="AP517" s="12"/>
      <c r="AQ517" s="12"/>
      <c r="AR517" s="12"/>
      <c r="AS517" s="44"/>
      <c r="AT517" s="45"/>
      <c r="AU517" s="12"/>
      <c r="AV517" s="12"/>
      <c r="AW517" s="12"/>
      <c r="AX517" s="12"/>
      <c r="AY517" s="44"/>
      <c r="AZ517" s="45"/>
      <c r="BA517" s="12"/>
      <c r="BB517" s="12"/>
      <c r="BC517" s="12"/>
      <c r="BD517" s="12"/>
      <c r="BE517" s="44"/>
      <c r="BF517" s="45"/>
      <c r="BG517" s="12"/>
      <c r="BH517" s="12"/>
      <c r="BI517" s="12"/>
      <c r="BJ517" s="12"/>
      <c r="BK517" s="44"/>
      <c r="BL517" s="45"/>
      <c r="BM517" s="12"/>
      <c r="BN517" s="12"/>
      <c r="BO517" s="12"/>
      <c r="BP517" s="12"/>
      <c r="BQ517" s="48"/>
      <c r="BR517" s="49"/>
      <c r="BS517" s="13"/>
      <c r="BT517" s="12"/>
      <c r="BV517" s="14"/>
      <c r="BW517" s="50"/>
      <c r="BX517" s="54"/>
      <c r="BY517" s="14"/>
      <c r="BZ517" s="14"/>
      <c r="CA517" s="14"/>
      <c r="CB517" s="14"/>
      <c r="CC517" s="14"/>
      <c r="CD517" s="14"/>
      <c r="CE517" s="14"/>
      <c r="CF517" s="15"/>
      <c r="CG517" s="14"/>
      <c r="CH517" s="14"/>
      <c r="CI517" s="50"/>
      <c r="CJ517" s="54"/>
      <c r="CK517" s="14"/>
      <c r="CL517" s="14"/>
      <c r="CM517" s="14"/>
      <c r="CN517" s="14"/>
      <c r="CO517" s="14"/>
      <c r="CP517" s="14"/>
      <c r="CQ517" s="14"/>
      <c r="CR517" s="14"/>
      <c r="CS517" s="14"/>
      <c r="CT517" s="14"/>
      <c r="CU517" s="16"/>
      <c r="CV517" s="14"/>
      <c r="CW517" s="50"/>
      <c r="CX517" s="17"/>
    </row>
    <row r="518" spans="4:102" x14ac:dyDescent="0.25"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43"/>
      <c r="Q518" s="11"/>
      <c r="R518" s="11"/>
      <c r="S518" s="11"/>
      <c r="T518" s="11"/>
      <c r="U518" s="11"/>
      <c r="V518" s="11"/>
      <c r="W518" s="11"/>
      <c r="X518" s="12"/>
      <c r="Y518" s="12"/>
      <c r="Z518" s="12"/>
      <c r="AA518" s="44"/>
      <c r="AB518" s="45"/>
      <c r="AC518" s="12"/>
      <c r="AD518" s="12"/>
      <c r="AE518" s="12"/>
      <c r="AF518" s="12"/>
      <c r="AG518" s="44"/>
      <c r="AH518" s="45"/>
      <c r="AI518" s="12"/>
      <c r="AJ518" s="12"/>
      <c r="AK518" s="12"/>
      <c r="AL518" s="12"/>
      <c r="AM518" s="44"/>
      <c r="AN518" s="45"/>
      <c r="AO518" s="12"/>
      <c r="AP518" s="12"/>
      <c r="AQ518" s="12"/>
      <c r="AR518" s="12"/>
      <c r="AS518" s="44"/>
      <c r="AT518" s="45"/>
      <c r="AU518" s="12"/>
      <c r="AV518" s="12"/>
      <c r="AW518" s="12"/>
      <c r="AX518" s="12"/>
      <c r="AY518" s="44"/>
      <c r="AZ518" s="45"/>
      <c r="BA518" s="12"/>
      <c r="BB518" s="12"/>
      <c r="BC518" s="12"/>
      <c r="BD518" s="12"/>
      <c r="BE518" s="44"/>
      <c r="BF518" s="45"/>
      <c r="BG518" s="12"/>
      <c r="BH518" s="12"/>
      <c r="BI518" s="12"/>
      <c r="BJ518" s="12"/>
      <c r="BK518" s="44"/>
      <c r="BL518" s="45"/>
      <c r="BM518" s="12"/>
      <c r="BN518" s="12"/>
      <c r="BO518" s="12"/>
      <c r="BP518" s="12"/>
      <c r="BQ518" s="48"/>
      <c r="BR518" s="49"/>
      <c r="BS518" s="13"/>
      <c r="BT518" s="12"/>
      <c r="BV518" s="14"/>
      <c r="BW518" s="50"/>
      <c r="BX518" s="54"/>
      <c r="BY518" s="14"/>
      <c r="BZ518" s="14"/>
      <c r="CA518" s="14"/>
      <c r="CB518" s="14"/>
      <c r="CC518" s="14"/>
      <c r="CD518" s="14"/>
      <c r="CE518" s="14"/>
      <c r="CF518" s="15"/>
      <c r="CG518" s="14"/>
      <c r="CH518" s="14"/>
      <c r="CI518" s="50"/>
      <c r="CJ518" s="54"/>
      <c r="CK518" s="14"/>
      <c r="CL518" s="14"/>
      <c r="CM518" s="14"/>
      <c r="CN518" s="14"/>
      <c r="CO518" s="14"/>
      <c r="CP518" s="14"/>
      <c r="CQ518" s="14"/>
      <c r="CR518" s="14"/>
      <c r="CS518" s="14"/>
      <c r="CT518" s="14"/>
      <c r="CU518" s="16"/>
      <c r="CV518" s="14"/>
      <c r="CW518" s="50"/>
      <c r="CX518" s="17"/>
    </row>
    <row r="519" spans="4:102" x14ac:dyDescent="0.25"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43"/>
      <c r="Q519" s="11"/>
      <c r="R519" s="11"/>
      <c r="S519" s="11"/>
      <c r="T519" s="11"/>
      <c r="U519" s="11"/>
      <c r="V519" s="11"/>
      <c r="W519" s="11"/>
      <c r="X519" s="12"/>
      <c r="Y519" s="12"/>
      <c r="Z519" s="12"/>
      <c r="AA519" s="44"/>
      <c r="AB519" s="45"/>
      <c r="AC519" s="12"/>
      <c r="AD519" s="12"/>
      <c r="AE519" s="12"/>
      <c r="AF519" s="12"/>
      <c r="AG519" s="44"/>
      <c r="AH519" s="45"/>
      <c r="AI519" s="12"/>
      <c r="AJ519" s="12"/>
      <c r="AK519" s="12"/>
      <c r="AL519" s="12"/>
      <c r="AM519" s="44"/>
      <c r="AN519" s="45"/>
      <c r="AO519" s="12"/>
      <c r="AP519" s="12"/>
      <c r="AQ519" s="12"/>
      <c r="AR519" s="12"/>
      <c r="AS519" s="44"/>
      <c r="AT519" s="45"/>
      <c r="AU519" s="12"/>
      <c r="AV519" s="12"/>
      <c r="AW519" s="12"/>
      <c r="AX519" s="12"/>
      <c r="AY519" s="44"/>
      <c r="AZ519" s="45"/>
      <c r="BA519" s="12"/>
      <c r="BB519" s="12"/>
      <c r="BC519" s="12"/>
      <c r="BD519" s="12"/>
      <c r="BE519" s="44"/>
      <c r="BF519" s="45"/>
      <c r="BG519" s="12"/>
      <c r="BH519" s="12"/>
      <c r="BI519" s="12"/>
      <c r="BJ519" s="12"/>
      <c r="BK519" s="44"/>
      <c r="BL519" s="45"/>
      <c r="BM519" s="12"/>
      <c r="BN519" s="12"/>
      <c r="BO519" s="12"/>
      <c r="BP519" s="12"/>
      <c r="BQ519" s="48"/>
      <c r="BR519" s="49"/>
      <c r="BS519" s="13"/>
      <c r="BT519" s="12"/>
      <c r="BV519" s="14"/>
      <c r="BW519" s="50"/>
      <c r="BX519" s="54"/>
      <c r="BY519" s="14"/>
      <c r="BZ519" s="14"/>
      <c r="CA519" s="14"/>
      <c r="CB519" s="14"/>
      <c r="CC519" s="14"/>
      <c r="CD519" s="14"/>
      <c r="CE519" s="14"/>
      <c r="CF519" s="15"/>
      <c r="CG519" s="14"/>
      <c r="CH519" s="14"/>
      <c r="CI519" s="50"/>
      <c r="CJ519" s="54"/>
      <c r="CK519" s="14"/>
      <c r="CL519" s="14"/>
      <c r="CM519" s="14"/>
      <c r="CN519" s="14"/>
      <c r="CO519" s="14"/>
      <c r="CP519" s="14"/>
      <c r="CQ519" s="14"/>
      <c r="CR519" s="14"/>
      <c r="CS519" s="14"/>
      <c r="CT519" s="14"/>
      <c r="CU519" s="16"/>
      <c r="CV519" s="14"/>
      <c r="CW519" s="50"/>
      <c r="CX519" s="17"/>
    </row>
    <row r="520" spans="4:102" x14ac:dyDescent="0.25"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43"/>
      <c r="Q520" s="11"/>
      <c r="R520" s="11"/>
      <c r="S520" s="11"/>
      <c r="T520" s="11"/>
      <c r="U520" s="11"/>
      <c r="V520" s="11"/>
      <c r="W520" s="11"/>
      <c r="X520" s="12"/>
      <c r="Y520" s="12"/>
      <c r="Z520" s="12"/>
      <c r="AA520" s="44"/>
      <c r="AB520" s="45"/>
      <c r="AC520" s="12"/>
      <c r="AD520" s="12"/>
      <c r="AE520" s="12"/>
      <c r="AF520" s="12"/>
      <c r="AG520" s="44"/>
      <c r="AH520" s="45"/>
      <c r="AI520" s="12"/>
      <c r="AJ520" s="12"/>
      <c r="AK520" s="12"/>
      <c r="AL520" s="12"/>
      <c r="AM520" s="44"/>
      <c r="AN520" s="45"/>
      <c r="AO520" s="12"/>
      <c r="AP520" s="12"/>
      <c r="AQ520" s="12"/>
      <c r="AR520" s="12"/>
      <c r="AS520" s="44"/>
      <c r="AT520" s="45"/>
      <c r="AU520" s="12"/>
      <c r="AV520" s="12"/>
      <c r="AW520" s="12"/>
      <c r="AX520" s="12"/>
      <c r="AY520" s="44"/>
      <c r="AZ520" s="45"/>
      <c r="BA520" s="12"/>
      <c r="BB520" s="12"/>
      <c r="BC520" s="12"/>
      <c r="BD520" s="12"/>
      <c r="BE520" s="44"/>
      <c r="BF520" s="45"/>
      <c r="BG520" s="12"/>
      <c r="BH520" s="12"/>
      <c r="BI520" s="12"/>
      <c r="BJ520" s="12"/>
      <c r="BK520" s="44"/>
      <c r="BL520" s="45"/>
      <c r="BM520" s="12"/>
      <c r="BN520" s="12"/>
      <c r="BO520" s="12"/>
      <c r="BP520" s="12"/>
      <c r="BQ520" s="48"/>
      <c r="BR520" s="49"/>
      <c r="BS520" s="13"/>
      <c r="BT520" s="12"/>
      <c r="BV520" s="14"/>
      <c r="BW520" s="50"/>
      <c r="BX520" s="54"/>
      <c r="BY520" s="14"/>
      <c r="BZ520" s="14"/>
      <c r="CA520" s="14"/>
      <c r="CB520" s="14"/>
      <c r="CC520" s="14"/>
      <c r="CD520" s="14"/>
      <c r="CE520" s="14"/>
      <c r="CF520" s="15"/>
      <c r="CG520" s="14"/>
      <c r="CH520" s="14"/>
      <c r="CI520" s="50"/>
      <c r="CJ520" s="54"/>
      <c r="CK520" s="14"/>
      <c r="CL520" s="14"/>
      <c r="CM520" s="14"/>
      <c r="CN520" s="14"/>
      <c r="CO520" s="14"/>
      <c r="CP520" s="14"/>
      <c r="CQ520" s="14"/>
      <c r="CR520" s="14"/>
      <c r="CS520" s="14"/>
      <c r="CT520" s="14"/>
      <c r="CU520" s="16"/>
      <c r="CV520" s="14"/>
      <c r="CW520" s="50"/>
      <c r="CX520" s="17"/>
    </row>
    <row r="521" spans="4:102" x14ac:dyDescent="0.25"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43"/>
      <c r="Q521" s="11"/>
      <c r="R521" s="11"/>
      <c r="S521" s="11"/>
      <c r="T521" s="11"/>
      <c r="U521" s="11"/>
      <c r="V521" s="11"/>
      <c r="W521" s="11"/>
      <c r="X521" s="12"/>
      <c r="Y521" s="12"/>
      <c r="Z521" s="12"/>
      <c r="AA521" s="44"/>
      <c r="AB521" s="45"/>
      <c r="AC521" s="12"/>
      <c r="AD521" s="12"/>
      <c r="AE521" s="12"/>
      <c r="AF521" s="12"/>
      <c r="AG521" s="44"/>
      <c r="AH521" s="45"/>
      <c r="AI521" s="12"/>
      <c r="AJ521" s="12"/>
      <c r="AK521" s="12"/>
      <c r="AL521" s="12"/>
      <c r="AM521" s="44"/>
      <c r="AN521" s="45"/>
      <c r="AO521" s="12"/>
      <c r="AP521" s="12"/>
      <c r="AQ521" s="12"/>
      <c r="AR521" s="12"/>
      <c r="AS521" s="44"/>
      <c r="AT521" s="45"/>
      <c r="AU521" s="12"/>
      <c r="AV521" s="12"/>
      <c r="AW521" s="12"/>
      <c r="AX521" s="12"/>
      <c r="AY521" s="44"/>
      <c r="AZ521" s="45"/>
      <c r="BA521" s="12"/>
      <c r="BB521" s="12"/>
      <c r="BC521" s="12"/>
      <c r="BD521" s="12"/>
      <c r="BE521" s="44"/>
      <c r="BF521" s="45"/>
      <c r="BG521" s="12"/>
      <c r="BH521" s="12"/>
      <c r="BI521" s="12"/>
      <c r="BJ521" s="12"/>
      <c r="BK521" s="44"/>
      <c r="BL521" s="45"/>
      <c r="BM521" s="12"/>
      <c r="BN521" s="12"/>
      <c r="BO521" s="12"/>
      <c r="BP521" s="12"/>
      <c r="BQ521" s="48"/>
      <c r="BR521" s="49"/>
      <c r="BS521" s="13"/>
      <c r="BT521" s="12"/>
      <c r="BV521" s="14"/>
      <c r="BW521" s="50"/>
      <c r="BX521" s="54"/>
      <c r="BY521" s="14"/>
      <c r="BZ521" s="14"/>
      <c r="CA521" s="14"/>
      <c r="CB521" s="14"/>
      <c r="CC521" s="14"/>
      <c r="CD521" s="14"/>
      <c r="CE521" s="14"/>
      <c r="CF521" s="15"/>
      <c r="CG521" s="14"/>
      <c r="CH521" s="14"/>
      <c r="CI521" s="50"/>
      <c r="CJ521" s="54"/>
      <c r="CK521" s="14"/>
      <c r="CL521" s="14"/>
      <c r="CM521" s="14"/>
      <c r="CN521" s="14"/>
      <c r="CO521" s="14"/>
      <c r="CP521" s="14"/>
      <c r="CQ521" s="14"/>
      <c r="CR521" s="14"/>
      <c r="CS521" s="14"/>
      <c r="CT521" s="14"/>
      <c r="CU521" s="16"/>
      <c r="CV521" s="14"/>
      <c r="CW521" s="50"/>
      <c r="CX521" s="17"/>
    </row>
    <row r="522" spans="4:102" x14ac:dyDescent="0.25"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43"/>
      <c r="Q522" s="11"/>
      <c r="R522" s="11"/>
      <c r="S522" s="11"/>
      <c r="T522" s="11"/>
      <c r="U522" s="11"/>
      <c r="V522" s="11"/>
      <c r="W522" s="11"/>
      <c r="X522" s="12"/>
      <c r="Y522" s="12"/>
      <c r="Z522" s="12"/>
      <c r="AA522" s="44"/>
      <c r="AB522" s="45"/>
      <c r="AC522" s="12"/>
      <c r="AD522" s="12"/>
      <c r="AE522" s="12"/>
      <c r="AF522" s="12"/>
      <c r="AG522" s="44"/>
      <c r="AH522" s="45"/>
      <c r="AI522" s="12"/>
      <c r="AJ522" s="12"/>
      <c r="AK522" s="12"/>
      <c r="AL522" s="12"/>
      <c r="AM522" s="44"/>
      <c r="AN522" s="45"/>
      <c r="AO522" s="12"/>
      <c r="AP522" s="12"/>
      <c r="AQ522" s="12"/>
      <c r="AR522" s="12"/>
      <c r="AS522" s="44"/>
      <c r="AT522" s="45"/>
      <c r="AU522" s="12"/>
      <c r="AV522" s="12"/>
      <c r="AW522" s="12"/>
      <c r="AX522" s="12"/>
      <c r="AY522" s="44"/>
      <c r="AZ522" s="45"/>
      <c r="BA522" s="12"/>
      <c r="BB522" s="12"/>
      <c r="BC522" s="12"/>
      <c r="BD522" s="12"/>
      <c r="BE522" s="44"/>
      <c r="BF522" s="45"/>
      <c r="BG522" s="12"/>
      <c r="BH522" s="12"/>
      <c r="BI522" s="12"/>
      <c r="BJ522" s="12"/>
      <c r="BK522" s="44"/>
      <c r="BL522" s="45"/>
      <c r="BM522" s="12"/>
      <c r="BN522" s="12"/>
      <c r="BO522" s="12"/>
      <c r="BP522" s="12"/>
      <c r="BQ522" s="48"/>
      <c r="BR522" s="49"/>
      <c r="BS522" s="13"/>
      <c r="BT522" s="12"/>
      <c r="BV522" s="14"/>
      <c r="BW522" s="50"/>
      <c r="BX522" s="54"/>
      <c r="BY522" s="14"/>
      <c r="BZ522" s="14"/>
      <c r="CA522" s="14"/>
      <c r="CB522" s="14"/>
      <c r="CC522" s="14"/>
      <c r="CD522" s="14"/>
      <c r="CE522" s="14"/>
      <c r="CF522" s="15"/>
      <c r="CG522" s="14"/>
      <c r="CH522" s="14"/>
      <c r="CI522" s="50"/>
      <c r="CJ522" s="54"/>
      <c r="CK522" s="14"/>
      <c r="CL522" s="14"/>
      <c r="CM522" s="14"/>
      <c r="CN522" s="14"/>
      <c r="CO522" s="14"/>
      <c r="CP522" s="14"/>
      <c r="CQ522" s="14"/>
      <c r="CR522" s="14"/>
      <c r="CS522" s="14"/>
      <c r="CT522" s="14"/>
      <c r="CU522" s="16"/>
      <c r="CV522" s="14"/>
      <c r="CW522" s="50"/>
      <c r="CX522" s="17"/>
    </row>
    <row r="523" spans="4:102" x14ac:dyDescent="0.25"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43"/>
      <c r="Q523" s="11"/>
      <c r="R523" s="11"/>
      <c r="S523" s="11"/>
      <c r="T523" s="11"/>
      <c r="U523" s="11"/>
      <c r="V523" s="11"/>
      <c r="W523" s="11"/>
      <c r="X523" s="12"/>
      <c r="Y523" s="12"/>
      <c r="Z523" s="12"/>
      <c r="AA523" s="44"/>
      <c r="AB523" s="45"/>
      <c r="AC523" s="12"/>
      <c r="AD523" s="12"/>
      <c r="AE523" s="12"/>
      <c r="AF523" s="12"/>
      <c r="AG523" s="44"/>
      <c r="AH523" s="45"/>
      <c r="AI523" s="12"/>
      <c r="AJ523" s="12"/>
      <c r="AK523" s="12"/>
      <c r="AL523" s="12"/>
      <c r="AM523" s="44"/>
      <c r="AN523" s="45"/>
      <c r="AO523" s="12"/>
      <c r="AP523" s="12"/>
      <c r="AQ523" s="12"/>
      <c r="AR523" s="12"/>
      <c r="AS523" s="44"/>
      <c r="AT523" s="45"/>
      <c r="AU523" s="12"/>
      <c r="AV523" s="12"/>
      <c r="AW523" s="12"/>
      <c r="AX523" s="12"/>
      <c r="AY523" s="44"/>
      <c r="AZ523" s="45"/>
      <c r="BA523" s="12"/>
      <c r="BB523" s="12"/>
      <c r="BC523" s="12"/>
      <c r="BD523" s="12"/>
      <c r="BE523" s="44"/>
      <c r="BF523" s="45"/>
      <c r="BG523" s="12"/>
      <c r="BH523" s="12"/>
      <c r="BI523" s="12"/>
      <c r="BJ523" s="12"/>
      <c r="BK523" s="44"/>
      <c r="BL523" s="45"/>
      <c r="BM523" s="12"/>
      <c r="BN523" s="12"/>
      <c r="BO523" s="12"/>
      <c r="BP523" s="12"/>
      <c r="BQ523" s="48"/>
      <c r="BR523" s="49"/>
      <c r="BS523" s="13"/>
      <c r="BT523" s="12"/>
      <c r="BV523" s="14"/>
      <c r="BW523" s="50"/>
      <c r="BX523" s="54"/>
      <c r="BY523" s="14"/>
      <c r="BZ523" s="14"/>
      <c r="CA523" s="14"/>
      <c r="CB523" s="14"/>
      <c r="CC523" s="14"/>
      <c r="CD523" s="14"/>
      <c r="CE523" s="14"/>
      <c r="CF523" s="15"/>
      <c r="CG523" s="14"/>
      <c r="CH523" s="14"/>
      <c r="CI523" s="50"/>
      <c r="CJ523" s="54"/>
      <c r="CK523" s="14"/>
      <c r="CL523" s="14"/>
      <c r="CM523" s="14"/>
      <c r="CN523" s="14"/>
      <c r="CO523" s="14"/>
      <c r="CP523" s="14"/>
      <c r="CQ523" s="14"/>
      <c r="CR523" s="14"/>
      <c r="CS523" s="14"/>
      <c r="CT523" s="14"/>
      <c r="CU523" s="16"/>
      <c r="CV523" s="14"/>
      <c r="CW523" s="50"/>
      <c r="CX523" s="17"/>
    </row>
    <row r="524" spans="4:102" x14ac:dyDescent="0.25"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43"/>
      <c r="Q524" s="11"/>
      <c r="R524" s="11"/>
      <c r="S524" s="11"/>
      <c r="T524" s="11"/>
      <c r="U524" s="11"/>
      <c r="V524" s="11"/>
      <c r="W524" s="11"/>
      <c r="X524" s="12"/>
      <c r="Y524" s="12"/>
      <c r="Z524" s="12"/>
      <c r="AA524" s="44"/>
      <c r="AB524" s="45"/>
      <c r="AC524" s="12"/>
      <c r="AD524" s="12"/>
      <c r="AE524" s="12"/>
      <c r="AF524" s="12"/>
      <c r="AG524" s="44"/>
      <c r="AH524" s="45"/>
      <c r="AI524" s="12"/>
      <c r="AJ524" s="12"/>
      <c r="AK524" s="12"/>
      <c r="AL524" s="12"/>
      <c r="AM524" s="44"/>
      <c r="AN524" s="45"/>
      <c r="AO524" s="12"/>
      <c r="AP524" s="12"/>
      <c r="AQ524" s="12"/>
      <c r="AR524" s="12"/>
      <c r="AS524" s="44"/>
      <c r="AT524" s="45"/>
      <c r="AU524" s="12"/>
      <c r="AV524" s="12"/>
      <c r="AW524" s="12"/>
      <c r="AX524" s="12"/>
      <c r="AY524" s="44"/>
      <c r="AZ524" s="45"/>
      <c r="BA524" s="12"/>
      <c r="BB524" s="12"/>
      <c r="BC524" s="12"/>
      <c r="BD524" s="12"/>
      <c r="BE524" s="44"/>
      <c r="BF524" s="45"/>
      <c r="BG524" s="12"/>
      <c r="BH524" s="12"/>
      <c r="BI524" s="12"/>
      <c r="BJ524" s="12"/>
      <c r="BK524" s="44"/>
      <c r="BL524" s="45"/>
      <c r="BM524" s="12"/>
      <c r="BN524" s="12"/>
      <c r="BO524" s="12"/>
      <c r="BP524" s="12"/>
      <c r="BQ524" s="48"/>
      <c r="BR524" s="49"/>
      <c r="BS524" s="13"/>
      <c r="BT524" s="12"/>
      <c r="BV524" s="14"/>
      <c r="BW524" s="50"/>
      <c r="BX524" s="54"/>
      <c r="BY524" s="14"/>
      <c r="BZ524" s="14"/>
      <c r="CA524" s="14"/>
      <c r="CB524" s="14"/>
      <c r="CC524" s="14"/>
      <c r="CD524" s="14"/>
      <c r="CE524" s="14"/>
      <c r="CF524" s="15"/>
      <c r="CG524" s="14"/>
      <c r="CH524" s="14"/>
      <c r="CI524" s="50"/>
      <c r="CJ524" s="54"/>
      <c r="CK524" s="14"/>
      <c r="CL524" s="14"/>
      <c r="CM524" s="14"/>
      <c r="CN524" s="14"/>
      <c r="CO524" s="14"/>
      <c r="CP524" s="14"/>
      <c r="CQ524" s="14"/>
      <c r="CR524" s="14"/>
      <c r="CS524" s="14"/>
      <c r="CT524" s="14"/>
      <c r="CU524" s="16"/>
      <c r="CV524" s="14"/>
      <c r="CW524" s="50"/>
      <c r="CX524" s="17"/>
    </row>
    <row r="525" spans="4:102" x14ac:dyDescent="0.25"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43"/>
      <c r="Q525" s="11"/>
      <c r="R525" s="11"/>
      <c r="S525" s="11"/>
      <c r="T525" s="11"/>
      <c r="U525" s="11"/>
      <c r="V525" s="11"/>
      <c r="W525" s="11"/>
      <c r="X525" s="12"/>
      <c r="Y525" s="12"/>
      <c r="Z525" s="12"/>
      <c r="AA525" s="44"/>
      <c r="AB525" s="45"/>
      <c r="AC525" s="12"/>
      <c r="AD525" s="12"/>
      <c r="AE525" s="12"/>
      <c r="AF525" s="12"/>
      <c r="AG525" s="44"/>
      <c r="AH525" s="45"/>
      <c r="AI525" s="12"/>
      <c r="AJ525" s="12"/>
      <c r="AK525" s="12"/>
      <c r="AL525" s="12"/>
      <c r="AM525" s="44"/>
      <c r="AN525" s="45"/>
      <c r="AO525" s="12"/>
      <c r="AP525" s="12"/>
      <c r="AQ525" s="12"/>
      <c r="AR525" s="12"/>
      <c r="AS525" s="44"/>
      <c r="AT525" s="45"/>
      <c r="AU525" s="12"/>
      <c r="AV525" s="12"/>
      <c r="AW525" s="12"/>
      <c r="AX525" s="12"/>
      <c r="AY525" s="44"/>
      <c r="AZ525" s="45"/>
      <c r="BA525" s="12"/>
      <c r="BB525" s="12"/>
      <c r="BC525" s="12"/>
      <c r="BD525" s="12"/>
      <c r="BE525" s="44"/>
      <c r="BF525" s="45"/>
      <c r="BG525" s="12"/>
      <c r="BH525" s="12"/>
      <c r="BI525" s="12"/>
      <c r="BJ525" s="12"/>
      <c r="BK525" s="44"/>
      <c r="BL525" s="45"/>
      <c r="BM525" s="12"/>
      <c r="BN525" s="12"/>
      <c r="BO525" s="12"/>
      <c r="BP525" s="12"/>
      <c r="BQ525" s="48"/>
      <c r="BR525" s="49"/>
      <c r="BS525" s="13"/>
      <c r="BT525" s="12"/>
      <c r="BV525" s="14"/>
      <c r="BW525" s="50"/>
      <c r="BX525" s="54"/>
      <c r="BY525" s="14"/>
      <c r="BZ525" s="14"/>
      <c r="CA525" s="14"/>
      <c r="CB525" s="14"/>
      <c r="CC525" s="14"/>
      <c r="CD525" s="14"/>
      <c r="CE525" s="14"/>
      <c r="CF525" s="15"/>
      <c r="CG525" s="14"/>
      <c r="CH525" s="14"/>
      <c r="CI525" s="50"/>
      <c r="CJ525" s="54"/>
      <c r="CK525" s="14"/>
      <c r="CL525" s="14"/>
      <c r="CM525" s="14"/>
      <c r="CN525" s="14"/>
      <c r="CO525" s="14"/>
      <c r="CP525" s="14"/>
      <c r="CQ525" s="14"/>
      <c r="CR525" s="14"/>
      <c r="CS525" s="14"/>
      <c r="CT525" s="14"/>
      <c r="CU525" s="16"/>
      <c r="CV525" s="14"/>
      <c r="CW525" s="50"/>
      <c r="CX525" s="17"/>
    </row>
    <row r="526" spans="4:102" x14ac:dyDescent="0.25"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43"/>
      <c r="Q526" s="11"/>
      <c r="R526" s="11"/>
      <c r="S526" s="11"/>
      <c r="T526" s="11"/>
      <c r="U526" s="11"/>
      <c r="V526" s="11"/>
      <c r="W526" s="11"/>
      <c r="X526" s="12"/>
      <c r="Y526" s="12"/>
      <c r="Z526" s="12"/>
      <c r="AA526" s="44"/>
      <c r="AB526" s="45"/>
      <c r="AC526" s="12"/>
      <c r="AD526" s="12"/>
      <c r="AE526" s="12"/>
      <c r="AF526" s="12"/>
      <c r="AG526" s="44"/>
      <c r="AH526" s="45"/>
      <c r="AI526" s="12"/>
      <c r="AJ526" s="12"/>
      <c r="AK526" s="12"/>
      <c r="AL526" s="12"/>
      <c r="AM526" s="44"/>
      <c r="AN526" s="45"/>
      <c r="AO526" s="12"/>
      <c r="AP526" s="12"/>
      <c r="AQ526" s="12"/>
      <c r="AR526" s="12"/>
      <c r="AS526" s="44"/>
      <c r="AT526" s="45"/>
      <c r="AU526" s="12"/>
      <c r="AV526" s="12"/>
      <c r="AW526" s="12"/>
      <c r="AX526" s="12"/>
      <c r="AY526" s="44"/>
      <c r="AZ526" s="45"/>
      <c r="BA526" s="12"/>
      <c r="BB526" s="12"/>
      <c r="BC526" s="12"/>
      <c r="BD526" s="12"/>
      <c r="BE526" s="44"/>
      <c r="BF526" s="45"/>
      <c r="BG526" s="12"/>
      <c r="BH526" s="12"/>
      <c r="BI526" s="12"/>
      <c r="BJ526" s="12"/>
      <c r="BK526" s="44"/>
      <c r="BL526" s="45"/>
      <c r="BM526" s="12"/>
      <c r="BN526" s="12"/>
      <c r="BO526" s="12"/>
      <c r="BP526" s="12"/>
      <c r="BQ526" s="48"/>
      <c r="BR526" s="49"/>
      <c r="BS526" s="13"/>
      <c r="BT526" s="12"/>
      <c r="BV526" s="14"/>
      <c r="BW526" s="50"/>
      <c r="BX526" s="54"/>
      <c r="BY526" s="14"/>
      <c r="BZ526" s="14"/>
      <c r="CA526" s="14"/>
      <c r="CB526" s="14"/>
      <c r="CC526" s="14"/>
      <c r="CD526" s="14"/>
      <c r="CE526" s="14"/>
      <c r="CF526" s="15"/>
      <c r="CG526" s="14"/>
      <c r="CH526" s="14"/>
      <c r="CI526" s="50"/>
      <c r="CJ526" s="54"/>
      <c r="CK526" s="14"/>
      <c r="CL526" s="14"/>
      <c r="CM526" s="14"/>
      <c r="CN526" s="14"/>
      <c r="CO526" s="14"/>
      <c r="CP526" s="14"/>
      <c r="CQ526" s="14"/>
      <c r="CR526" s="14"/>
      <c r="CS526" s="14"/>
      <c r="CT526" s="14"/>
      <c r="CU526" s="16"/>
      <c r="CV526" s="14"/>
      <c r="CW526" s="50"/>
      <c r="CX526" s="17"/>
    </row>
    <row r="527" spans="4:102" x14ac:dyDescent="0.25"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43"/>
      <c r="Q527" s="11"/>
      <c r="R527" s="11"/>
      <c r="S527" s="11"/>
      <c r="T527" s="11"/>
      <c r="U527" s="11"/>
      <c r="V527" s="11"/>
      <c r="W527" s="11"/>
      <c r="X527" s="12"/>
      <c r="Y527" s="12"/>
      <c r="Z527" s="12"/>
      <c r="AA527" s="44"/>
      <c r="AB527" s="45"/>
      <c r="AC527" s="12"/>
      <c r="AD527" s="12"/>
      <c r="AE527" s="12"/>
      <c r="AF527" s="12"/>
      <c r="AG527" s="44"/>
      <c r="AH527" s="45"/>
      <c r="AI527" s="12"/>
      <c r="AJ527" s="12"/>
      <c r="AK527" s="12"/>
      <c r="AL527" s="12"/>
      <c r="AM527" s="44"/>
      <c r="AN527" s="45"/>
      <c r="AO527" s="12"/>
      <c r="AP527" s="12"/>
      <c r="AQ527" s="12"/>
      <c r="AR527" s="12"/>
      <c r="AS527" s="44"/>
      <c r="AT527" s="45"/>
      <c r="AU527" s="12"/>
      <c r="AV527" s="12"/>
      <c r="AW527" s="12"/>
      <c r="AX527" s="12"/>
      <c r="AY527" s="44"/>
      <c r="AZ527" s="45"/>
      <c r="BA527" s="12"/>
      <c r="BB527" s="12"/>
      <c r="BC527" s="12"/>
      <c r="BD527" s="12"/>
      <c r="BE527" s="44"/>
      <c r="BF527" s="45"/>
      <c r="BG527" s="12"/>
      <c r="BH527" s="12"/>
      <c r="BI527" s="12"/>
      <c r="BJ527" s="12"/>
      <c r="BK527" s="44"/>
      <c r="BL527" s="45"/>
      <c r="BM527" s="12"/>
      <c r="BN527" s="12"/>
      <c r="BO527" s="12"/>
      <c r="BP527" s="12"/>
      <c r="BQ527" s="48"/>
      <c r="BR527" s="49"/>
      <c r="BS527" s="13"/>
      <c r="BT527" s="12"/>
      <c r="BV527" s="14"/>
      <c r="BW527" s="50"/>
      <c r="BX527" s="54"/>
      <c r="BY527" s="14"/>
      <c r="BZ527" s="14"/>
      <c r="CA527" s="14"/>
      <c r="CB527" s="14"/>
      <c r="CC527" s="14"/>
      <c r="CD527" s="14"/>
      <c r="CE527" s="14"/>
      <c r="CF527" s="15"/>
      <c r="CG527" s="14"/>
      <c r="CH527" s="14"/>
      <c r="CI527" s="50"/>
      <c r="CJ527" s="54"/>
      <c r="CK527" s="14"/>
      <c r="CL527" s="14"/>
      <c r="CM527" s="14"/>
      <c r="CN527" s="14"/>
      <c r="CO527" s="14"/>
      <c r="CP527" s="14"/>
      <c r="CQ527" s="14"/>
      <c r="CR527" s="14"/>
      <c r="CS527" s="14"/>
      <c r="CT527" s="14"/>
      <c r="CU527" s="16"/>
      <c r="CV527" s="14"/>
      <c r="CW527" s="50"/>
      <c r="CX527" s="17"/>
    </row>
    <row r="528" spans="4:102" x14ac:dyDescent="0.25"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43"/>
      <c r="Q528" s="11"/>
      <c r="R528" s="11"/>
      <c r="S528" s="11"/>
      <c r="T528" s="11"/>
      <c r="U528" s="11"/>
      <c r="V528" s="11"/>
      <c r="W528" s="11"/>
      <c r="X528" s="12"/>
      <c r="Y528" s="12"/>
      <c r="Z528" s="12"/>
      <c r="AA528" s="44"/>
      <c r="AB528" s="45"/>
      <c r="AC528" s="12"/>
      <c r="AD528" s="12"/>
      <c r="AE528" s="12"/>
      <c r="AF528" s="12"/>
      <c r="AG528" s="44"/>
      <c r="AH528" s="45"/>
      <c r="AI528" s="12"/>
      <c r="AJ528" s="12"/>
      <c r="AK528" s="12"/>
      <c r="AL528" s="12"/>
      <c r="AM528" s="44"/>
      <c r="AN528" s="45"/>
      <c r="AO528" s="12"/>
      <c r="AP528" s="12"/>
      <c r="AQ528" s="12"/>
      <c r="AR528" s="12"/>
      <c r="AS528" s="44"/>
      <c r="AT528" s="45"/>
      <c r="AU528" s="12"/>
      <c r="AV528" s="12"/>
      <c r="AW528" s="12"/>
      <c r="AX528" s="12"/>
      <c r="AY528" s="44"/>
      <c r="AZ528" s="45"/>
      <c r="BA528" s="12"/>
      <c r="BB528" s="12"/>
      <c r="BC528" s="12"/>
      <c r="BD528" s="12"/>
      <c r="BE528" s="44"/>
      <c r="BF528" s="45"/>
      <c r="BG528" s="12"/>
      <c r="BH528" s="12"/>
      <c r="BI528" s="12"/>
      <c r="BJ528" s="12"/>
      <c r="BK528" s="44"/>
      <c r="BL528" s="45"/>
      <c r="BM528" s="12"/>
      <c r="BN528" s="12"/>
      <c r="BO528" s="12"/>
      <c r="BP528" s="12"/>
      <c r="BQ528" s="48"/>
      <c r="BR528" s="49"/>
      <c r="BS528" s="13"/>
      <c r="BT528" s="12"/>
      <c r="BV528" s="14"/>
      <c r="BW528" s="50"/>
      <c r="BX528" s="54"/>
      <c r="BY528" s="14"/>
      <c r="BZ528" s="14"/>
      <c r="CA528" s="14"/>
      <c r="CB528" s="14"/>
      <c r="CC528" s="14"/>
      <c r="CD528" s="14"/>
      <c r="CE528" s="14"/>
      <c r="CF528" s="15"/>
      <c r="CG528" s="14"/>
      <c r="CH528" s="14"/>
      <c r="CI528" s="50"/>
      <c r="CJ528" s="54"/>
      <c r="CK528" s="14"/>
      <c r="CL528" s="14"/>
      <c r="CM528" s="14"/>
      <c r="CN528" s="14"/>
      <c r="CO528" s="14"/>
      <c r="CP528" s="14"/>
      <c r="CQ528" s="14"/>
      <c r="CR528" s="14"/>
      <c r="CS528" s="14"/>
      <c r="CT528" s="14"/>
      <c r="CU528" s="16"/>
      <c r="CV528" s="14"/>
      <c r="CW528" s="50"/>
      <c r="CX528" s="17"/>
    </row>
    <row r="529" spans="4:102" x14ac:dyDescent="0.25"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43"/>
      <c r="Q529" s="11"/>
      <c r="R529" s="11"/>
      <c r="S529" s="11"/>
      <c r="T529" s="11"/>
      <c r="U529" s="11"/>
      <c r="V529" s="11"/>
      <c r="W529" s="11"/>
      <c r="X529" s="12"/>
      <c r="Y529" s="12"/>
      <c r="Z529" s="12"/>
      <c r="AA529" s="44"/>
      <c r="AB529" s="45"/>
      <c r="AC529" s="12"/>
      <c r="AD529" s="12"/>
      <c r="AE529" s="12"/>
      <c r="AF529" s="12"/>
      <c r="AG529" s="44"/>
      <c r="AH529" s="45"/>
      <c r="AI529" s="12"/>
      <c r="AJ529" s="12"/>
      <c r="AK529" s="12"/>
      <c r="AL529" s="12"/>
      <c r="AM529" s="44"/>
      <c r="AN529" s="45"/>
      <c r="AO529" s="12"/>
      <c r="AP529" s="12"/>
      <c r="AQ529" s="12"/>
      <c r="AR529" s="12"/>
      <c r="AS529" s="44"/>
      <c r="AT529" s="45"/>
      <c r="AU529" s="12"/>
      <c r="AV529" s="12"/>
      <c r="AW529" s="12"/>
      <c r="AX529" s="12"/>
      <c r="AY529" s="44"/>
      <c r="AZ529" s="45"/>
      <c r="BA529" s="12"/>
      <c r="BB529" s="12"/>
      <c r="BC529" s="12"/>
      <c r="BD529" s="12"/>
      <c r="BE529" s="44"/>
      <c r="BF529" s="45"/>
      <c r="BG529" s="12"/>
      <c r="BH529" s="12"/>
      <c r="BI529" s="12"/>
      <c r="BJ529" s="12"/>
      <c r="BK529" s="44"/>
      <c r="BL529" s="45"/>
      <c r="BM529" s="12"/>
      <c r="BN529" s="12"/>
      <c r="BO529" s="12"/>
      <c r="BP529" s="12"/>
      <c r="BQ529" s="48"/>
      <c r="BR529" s="49"/>
      <c r="BS529" s="13"/>
      <c r="BT529" s="12"/>
      <c r="BV529" s="14"/>
      <c r="BW529" s="50"/>
      <c r="BX529" s="54"/>
      <c r="BY529" s="14"/>
      <c r="BZ529" s="14"/>
      <c r="CA529" s="14"/>
      <c r="CB529" s="14"/>
      <c r="CC529" s="14"/>
      <c r="CD529" s="14"/>
      <c r="CE529" s="14"/>
      <c r="CF529" s="15"/>
      <c r="CG529" s="14"/>
      <c r="CH529" s="14"/>
      <c r="CI529" s="50"/>
      <c r="CJ529" s="54"/>
      <c r="CK529" s="14"/>
      <c r="CL529" s="14"/>
      <c r="CM529" s="14"/>
      <c r="CN529" s="14"/>
      <c r="CO529" s="14"/>
      <c r="CP529" s="14"/>
      <c r="CQ529" s="14"/>
      <c r="CR529" s="14"/>
      <c r="CS529" s="14"/>
      <c r="CT529" s="14"/>
      <c r="CU529" s="16"/>
      <c r="CV529" s="14"/>
      <c r="CW529" s="50"/>
      <c r="CX529" s="17"/>
    </row>
    <row r="530" spans="4:102" x14ac:dyDescent="0.25"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43"/>
      <c r="Q530" s="11"/>
      <c r="R530" s="11"/>
      <c r="S530" s="11"/>
      <c r="T530" s="11"/>
      <c r="U530" s="11"/>
      <c r="V530" s="11"/>
      <c r="W530" s="11"/>
      <c r="X530" s="12"/>
      <c r="Y530" s="12"/>
      <c r="Z530" s="12"/>
      <c r="AA530" s="44"/>
      <c r="AB530" s="45"/>
      <c r="AC530" s="12"/>
      <c r="AD530" s="12"/>
      <c r="AE530" s="12"/>
      <c r="AF530" s="12"/>
      <c r="AG530" s="44"/>
      <c r="AH530" s="45"/>
      <c r="AI530" s="12"/>
      <c r="AJ530" s="12"/>
      <c r="AK530" s="12"/>
      <c r="AL530" s="12"/>
      <c r="AM530" s="44"/>
      <c r="AN530" s="45"/>
      <c r="AO530" s="12"/>
      <c r="AP530" s="12"/>
      <c r="AQ530" s="12"/>
      <c r="AR530" s="12"/>
      <c r="AS530" s="44"/>
      <c r="AT530" s="45"/>
      <c r="AU530" s="12"/>
      <c r="AV530" s="12"/>
      <c r="AW530" s="12"/>
      <c r="AX530" s="12"/>
      <c r="AY530" s="44"/>
      <c r="AZ530" s="45"/>
      <c r="BA530" s="12"/>
      <c r="BB530" s="12"/>
      <c r="BC530" s="12"/>
      <c r="BD530" s="12"/>
      <c r="BE530" s="44"/>
      <c r="BF530" s="45"/>
      <c r="BG530" s="12"/>
      <c r="BH530" s="12"/>
      <c r="BI530" s="12"/>
      <c r="BJ530" s="12"/>
      <c r="BK530" s="44"/>
      <c r="BL530" s="45"/>
      <c r="BM530" s="12"/>
      <c r="BN530" s="12"/>
      <c r="BO530" s="12"/>
      <c r="BP530" s="12"/>
      <c r="BQ530" s="48"/>
      <c r="BR530" s="49"/>
      <c r="BS530" s="13"/>
      <c r="BT530" s="12"/>
      <c r="BV530" s="14"/>
      <c r="BW530" s="50"/>
      <c r="BX530" s="54"/>
      <c r="BY530" s="14"/>
      <c r="BZ530" s="14"/>
      <c r="CA530" s="14"/>
      <c r="CB530" s="14"/>
      <c r="CC530" s="14"/>
      <c r="CD530" s="14"/>
      <c r="CE530" s="14"/>
      <c r="CF530" s="15"/>
      <c r="CG530" s="14"/>
      <c r="CH530" s="14"/>
      <c r="CI530" s="50"/>
      <c r="CJ530" s="54"/>
      <c r="CK530" s="14"/>
      <c r="CL530" s="14"/>
      <c r="CM530" s="14"/>
      <c r="CN530" s="14"/>
      <c r="CO530" s="14"/>
      <c r="CP530" s="14"/>
      <c r="CQ530" s="14"/>
      <c r="CR530" s="14"/>
      <c r="CS530" s="14"/>
      <c r="CT530" s="14"/>
      <c r="CU530" s="16"/>
      <c r="CV530" s="14"/>
      <c r="CW530" s="50"/>
      <c r="CX530" s="17"/>
    </row>
    <row r="531" spans="4:102" x14ac:dyDescent="0.25"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43"/>
      <c r="Q531" s="11"/>
      <c r="R531" s="11"/>
      <c r="S531" s="11"/>
      <c r="T531" s="11"/>
      <c r="U531" s="11"/>
      <c r="V531" s="11"/>
      <c r="W531" s="11"/>
      <c r="X531" s="12"/>
      <c r="Y531" s="12"/>
      <c r="Z531" s="12"/>
      <c r="AA531" s="44"/>
      <c r="AB531" s="45"/>
      <c r="AC531" s="12"/>
      <c r="AD531" s="12"/>
      <c r="AE531" s="12"/>
      <c r="AF531" s="12"/>
      <c r="AG531" s="44"/>
      <c r="AH531" s="45"/>
      <c r="AI531" s="12"/>
      <c r="AJ531" s="12"/>
      <c r="AK531" s="12"/>
      <c r="AL531" s="12"/>
      <c r="AM531" s="44"/>
      <c r="AN531" s="45"/>
      <c r="AO531" s="12"/>
      <c r="AP531" s="12"/>
      <c r="AQ531" s="12"/>
      <c r="AR531" s="12"/>
      <c r="AS531" s="44"/>
      <c r="AT531" s="45"/>
      <c r="AU531" s="12"/>
      <c r="AV531" s="12"/>
      <c r="AW531" s="12"/>
      <c r="AX531" s="12"/>
      <c r="AY531" s="44"/>
      <c r="AZ531" s="45"/>
      <c r="BA531" s="12"/>
      <c r="BB531" s="12"/>
      <c r="BC531" s="12"/>
      <c r="BD531" s="12"/>
      <c r="BE531" s="44"/>
      <c r="BF531" s="45"/>
      <c r="BG531" s="12"/>
      <c r="BH531" s="12"/>
      <c r="BI531" s="12"/>
      <c r="BJ531" s="12"/>
      <c r="BK531" s="44"/>
      <c r="BL531" s="45"/>
      <c r="BM531" s="12"/>
      <c r="BN531" s="12"/>
      <c r="BO531" s="12"/>
      <c r="BP531" s="12"/>
      <c r="BQ531" s="48"/>
      <c r="BR531" s="49"/>
      <c r="BS531" s="13"/>
      <c r="BT531" s="12"/>
      <c r="BV531" s="14"/>
      <c r="BW531" s="50"/>
      <c r="BX531" s="54"/>
      <c r="BY531" s="14"/>
      <c r="BZ531" s="14"/>
      <c r="CA531" s="14"/>
      <c r="CB531" s="14"/>
      <c r="CC531" s="14"/>
      <c r="CD531" s="14"/>
      <c r="CE531" s="14"/>
      <c r="CF531" s="15"/>
      <c r="CG531" s="14"/>
      <c r="CH531" s="14"/>
      <c r="CI531" s="50"/>
      <c r="CJ531" s="54"/>
      <c r="CK531" s="14"/>
      <c r="CL531" s="14"/>
      <c r="CM531" s="14"/>
      <c r="CN531" s="14"/>
      <c r="CO531" s="14"/>
      <c r="CP531" s="14"/>
      <c r="CQ531" s="14"/>
      <c r="CR531" s="14"/>
      <c r="CS531" s="14"/>
      <c r="CT531" s="14"/>
      <c r="CU531" s="16"/>
      <c r="CV531" s="14"/>
      <c r="CW531" s="50"/>
      <c r="CX531" s="17"/>
    </row>
    <row r="532" spans="4:102" x14ac:dyDescent="0.25"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43"/>
      <c r="Q532" s="11"/>
      <c r="R532" s="11"/>
      <c r="S532" s="11"/>
      <c r="T532" s="11"/>
      <c r="U532" s="11"/>
      <c r="V532" s="11"/>
      <c r="W532" s="11"/>
      <c r="X532" s="12"/>
      <c r="Y532" s="12"/>
      <c r="Z532" s="12"/>
      <c r="AA532" s="44"/>
      <c r="AB532" s="45"/>
      <c r="AC532" s="12"/>
      <c r="AD532" s="12"/>
      <c r="AE532" s="12"/>
      <c r="AF532" s="12"/>
      <c r="AG532" s="44"/>
      <c r="AH532" s="45"/>
      <c r="AI532" s="12"/>
      <c r="AJ532" s="12"/>
      <c r="AK532" s="12"/>
      <c r="AL532" s="12"/>
      <c r="AM532" s="44"/>
      <c r="AN532" s="45"/>
      <c r="AO532" s="12"/>
      <c r="AP532" s="12"/>
      <c r="AQ532" s="12"/>
      <c r="AR532" s="12"/>
      <c r="AS532" s="44"/>
      <c r="AT532" s="45"/>
      <c r="AU532" s="12"/>
      <c r="AV532" s="12"/>
      <c r="AW532" s="12"/>
      <c r="AX532" s="12"/>
      <c r="AY532" s="44"/>
      <c r="AZ532" s="45"/>
      <c r="BA532" s="12"/>
      <c r="BB532" s="12"/>
      <c r="BC532" s="12"/>
      <c r="BD532" s="12"/>
      <c r="BE532" s="44"/>
      <c r="BF532" s="45"/>
      <c r="BG532" s="12"/>
      <c r="BH532" s="12"/>
      <c r="BI532" s="12"/>
      <c r="BJ532" s="12"/>
      <c r="BK532" s="44"/>
      <c r="BL532" s="45"/>
      <c r="BM532" s="12"/>
      <c r="BN532" s="12"/>
      <c r="BO532" s="12"/>
      <c r="BP532" s="12"/>
      <c r="BQ532" s="48"/>
      <c r="BR532" s="49"/>
      <c r="BS532" s="13"/>
      <c r="BT532" s="12"/>
      <c r="BV532" s="14"/>
      <c r="BW532" s="50"/>
      <c r="BX532" s="54"/>
      <c r="BY532" s="14"/>
      <c r="BZ532" s="14"/>
      <c r="CA532" s="14"/>
      <c r="CB532" s="14"/>
      <c r="CC532" s="14"/>
      <c r="CD532" s="14"/>
      <c r="CE532" s="14"/>
      <c r="CF532" s="15"/>
      <c r="CG532" s="14"/>
      <c r="CH532" s="14"/>
      <c r="CI532" s="50"/>
      <c r="CJ532" s="54"/>
      <c r="CK532" s="14"/>
      <c r="CL532" s="14"/>
      <c r="CM532" s="14"/>
      <c r="CN532" s="14"/>
      <c r="CO532" s="14"/>
      <c r="CP532" s="14"/>
      <c r="CQ532" s="14"/>
      <c r="CR532" s="14"/>
      <c r="CS532" s="14"/>
      <c r="CT532" s="14"/>
      <c r="CU532" s="16"/>
      <c r="CV532" s="14"/>
      <c r="CW532" s="50"/>
      <c r="CX532" s="17"/>
    </row>
    <row r="533" spans="4:102" x14ac:dyDescent="0.25"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43"/>
      <c r="Q533" s="11"/>
      <c r="R533" s="11"/>
      <c r="S533" s="11"/>
      <c r="T533" s="11"/>
      <c r="U533" s="11"/>
      <c r="V533" s="11"/>
      <c r="W533" s="11"/>
      <c r="X533" s="12"/>
      <c r="Y533" s="12"/>
      <c r="Z533" s="12"/>
      <c r="AA533" s="44"/>
      <c r="AB533" s="45"/>
      <c r="AC533" s="12"/>
      <c r="AD533" s="12"/>
      <c r="AE533" s="12"/>
      <c r="AF533" s="12"/>
      <c r="AG533" s="44"/>
      <c r="AH533" s="45"/>
      <c r="AI533" s="12"/>
      <c r="AJ533" s="12"/>
      <c r="AK533" s="12"/>
      <c r="AL533" s="12"/>
      <c r="AM533" s="44"/>
      <c r="AN533" s="45"/>
      <c r="AO533" s="12"/>
      <c r="AP533" s="12"/>
      <c r="AQ533" s="12"/>
      <c r="AR533" s="12"/>
      <c r="AS533" s="44"/>
      <c r="AT533" s="45"/>
      <c r="AU533" s="12"/>
      <c r="AV533" s="12"/>
      <c r="AW533" s="12"/>
      <c r="AX533" s="12"/>
      <c r="AY533" s="44"/>
      <c r="AZ533" s="45"/>
      <c r="BA533" s="12"/>
      <c r="BB533" s="12"/>
      <c r="BC533" s="12"/>
      <c r="BD533" s="12"/>
      <c r="BE533" s="44"/>
      <c r="BF533" s="45"/>
      <c r="BG533" s="12"/>
      <c r="BH533" s="12"/>
      <c r="BI533" s="12"/>
      <c r="BJ533" s="12"/>
      <c r="BK533" s="44"/>
      <c r="BL533" s="45"/>
      <c r="BM533" s="12"/>
      <c r="BN533" s="12"/>
      <c r="BO533" s="12"/>
      <c r="BP533" s="12"/>
      <c r="BQ533" s="48"/>
      <c r="BR533" s="49"/>
      <c r="BS533" s="13"/>
      <c r="BT533" s="12"/>
      <c r="BV533" s="14"/>
      <c r="BW533" s="50"/>
      <c r="BX533" s="54"/>
      <c r="BY533" s="14"/>
      <c r="BZ533" s="14"/>
      <c r="CA533" s="14"/>
      <c r="CB533" s="14"/>
      <c r="CC533" s="14"/>
      <c r="CD533" s="14"/>
      <c r="CE533" s="14"/>
      <c r="CF533" s="15"/>
      <c r="CG533" s="14"/>
      <c r="CH533" s="14"/>
      <c r="CI533" s="50"/>
      <c r="CJ533" s="54"/>
      <c r="CK533" s="14"/>
      <c r="CL533" s="14"/>
      <c r="CM533" s="14"/>
      <c r="CN533" s="14"/>
      <c r="CO533" s="14"/>
      <c r="CP533" s="14"/>
      <c r="CQ533" s="14"/>
      <c r="CR533" s="14"/>
      <c r="CS533" s="14"/>
      <c r="CT533" s="14"/>
      <c r="CU533" s="16"/>
      <c r="CV533" s="14"/>
      <c r="CW533" s="50"/>
      <c r="CX533" s="17"/>
    </row>
    <row r="534" spans="4:102" x14ac:dyDescent="0.25"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43"/>
      <c r="Q534" s="11"/>
      <c r="R534" s="11"/>
      <c r="S534" s="11"/>
      <c r="T534" s="11"/>
      <c r="U534" s="11"/>
      <c r="V534" s="11"/>
      <c r="W534" s="11"/>
      <c r="X534" s="12"/>
      <c r="Y534" s="12"/>
      <c r="Z534" s="12"/>
      <c r="AA534" s="44"/>
      <c r="AB534" s="45"/>
      <c r="AC534" s="12"/>
      <c r="AD534" s="12"/>
      <c r="AE534" s="12"/>
      <c r="AF534" s="12"/>
      <c r="AG534" s="44"/>
      <c r="AH534" s="45"/>
      <c r="AI534" s="12"/>
      <c r="AJ534" s="12"/>
      <c r="AK534" s="12"/>
      <c r="AL534" s="12"/>
      <c r="AM534" s="44"/>
      <c r="AN534" s="45"/>
      <c r="AO534" s="12"/>
      <c r="AP534" s="12"/>
      <c r="AQ534" s="12"/>
      <c r="AR534" s="12"/>
      <c r="AS534" s="44"/>
      <c r="AT534" s="45"/>
      <c r="AU534" s="12"/>
      <c r="AV534" s="12"/>
      <c r="AW534" s="12"/>
      <c r="AX534" s="12"/>
      <c r="AY534" s="44"/>
      <c r="AZ534" s="45"/>
      <c r="BA534" s="12"/>
      <c r="BB534" s="12"/>
      <c r="BC534" s="12"/>
      <c r="BD534" s="12"/>
      <c r="BE534" s="44"/>
      <c r="BF534" s="45"/>
      <c r="BG534" s="12"/>
      <c r="BH534" s="12"/>
      <c r="BI534" s="12"/>
      <c r="BJ534" s="12"/>
      <c r="BK534" s="44"/>
      <c r="BL534" s="45"/>
      <c r="BM534" s="12"/>
      <c r="BN534" s="12"/>
      <c r="BO534" s="12"/>
      <c r="BP534" s="12"/>
      <c r="BQ534" s="48"/>
      <c r="BR534" s="49"/>
      <c r="BS534" s="13"/>
      <c r="BT534" s="12"/>
      <c r="BV534" s="14"/>
      <c r="BW534" s="50"/>
      <c r="BX534" s="54"/>
      <c r="BY534" s="14"/>
      <c r="BZ534" s="14"/>
      <c r="CA534" s="14"/>
      <c r="CB534" s="14"/>
      <c r="CC534" s="14"/>
      <c r="CD534" s="14"/>
      <c r="CE534" s="14"/>
      <c r="CF534" s="15"/>
      <c r="CG534" s="14"/>
      <c r="CH534" s="14"/>
      <c r="CI534" s="50"/>
      <c r="CJ534" s="54"/>
      <c r="CK534" s="14"/>
      <c r="CL534" s="14"/>
      <c r="CM534" s="14"/>
      <c r="CN534" s="14"/>
      <c r="CO534" s="14"/>
      <c r="CP534" s="14"/>
      <c r="CQ534" s="14"/>
      <c r="CR534" s="14"/>
      <c r="CS534" s="14"/>
      <c r="CT534" s="14"/>
      <c r="CU534" s="16"/>
      <c r="CV534" s="14"/>
      <c r="CW534" s="50"/>
      <c r="CX534" s="17"/>
    </row>
    <row r="535" spans="4:102" x14ac:dyDescent="0.25"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43"/>
      <c r="Q535" s="11"/>
      <c r="R535" s="11"/>
      <c r="S535" s="11"/>
      <c r="T535" s="11"/>
      <c r="U535" s="11"/>
      <c r="V535" s="11"/>
      <c r="W535" s="11"/>
      <c r="X535" s="12"/>
      <c r="Y535" s="12"/>
      <c r="Z535" s="12"/>
      <c r="AA535" s="44"/>
      <c r="AB535" s="45"/>
      <c r="AC535" s="12"/>
      <c r="AD535" s="12"/>
      <c r="AE535" s="12"/>
      <c r="AF535" s="12"/>
      <c r="AG535" s="44"/>
      <c r="AH535" s="45"/>
      <c r="AI535" s="12"/>
      <c r="AJ535" s="12"/>
      <c r="AK535" s="12"/>
      <c r="AL535" s="12"/>
      <c r="AM535" s="44"/>
      <c r="AN535" s="45"/>
      <c r="AO535" s="12"/>
      <c r="AP535" s="12"/>
      <c r="AQ535" s="12"/>
      <c r="AR535" s="12"/>
      <c r="AS535" s="44"/>
      <c r="AT535" s="45"/>
      <c r="AU535" s="12"/>
      <c r="AV535" s="12"/>
      <c r="AW535" s="12"/>
      <c r="AX535" s="12"/>
      <c r="AY535" s="44"/>
      <c r="AZ535" s="45"/>
      <c r="BA535" s="12"/>
      <c r="BB535" s="12"/>
      <c r="BC535" s="12"/>
      <c r="BD535" s="12"/>
      <c r="BE535" s="44"/>
      <c r="BF535" s="45"/>
      <c r="BG535" s="12"/>
      <c r="BH535" s="12"/>
      <c r="BI535" s="12"/>
      <c r="BJ535" s="12"/>
      <c r="BK535" s="44"/>
      <c r="BL535" s="45"/>
      <c r="BM535" s="12"/>
      <c r="BN535" s="12"/>
      <c r="BO535" s="12"/>
      <c r="BP535" s="12"/>
      <c r="BQ535" s="48"/>
      <c r="BR535" s="49"/>
      <c r="BS535" s="13"/>
      <c r="BT535" s="12"/>
      <c r="BV535" s="14"/>
      <c r="BW535" s="50"/>
      <c r="BX535" s="54"/>
      <c r="BY535" s="14"/>
      <c r="BZ535" s="14"/>
      <c r="CA535" s="14"/>
      <c r="CB535" s="14"/>
      <c r="CC535" s="14"/>
      <c r="CD535" s="14"/>
      <c r="CE535" s="14"/>
      <c r="CF535" s="15"/>
      <c r="CG535" s="14"/>
      <c r="CH535" s="14"/>
      <c r="CI535" s="50"/>
      <c r="CJ535" s="54"/>
      <c r="CK535" s="14"/>
      <c r="CL535" s="14"/>
      <c r="CM535" s="14"/>
      <c r="CN535" s="14"/>
      <c r="CO535" s="14"/>
      <c r="CP535" s="14"/>
      <c r="CQ535" s="14"/>
      <c r="CR535" s="14"/>
      <c r="CS535" s="14"/>
      <c r="CT535" s="14"/>
      <c r="CU535" s="16"/>
      <c r="CV535" s="14"/>
      <c r="CW535" s="50"/>
      <c r="CX535" s="17"/>
    </row>
    <row r="536" spans="4:102" x14ac:dyDescent="0.25"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43"/>
      <c r="Q536" s="11"/>
      <c r="R536" s="11"/>
      <c r="S536" s="11"/>
      <c r="T536" s="11"/>
      <c r="U536" s="11"/>
      <c r="V536" s="11"/>
      <c r="W536" s="11"/>
      <c r="X536" s="12"/>
      <c r="Y536" s="12"/>
      <c r="Z536" s="12"/>
      <c r="AA536" s="44"/>
      <c r="AB536" s="45"/>
      <c r="AC536" s="12"/>
      <c r="AD536" s="12"/>
      <c r="AE536" s="12"/>
      <c r="AF536" s="12"/>
      <c r="AG536" s="44"/>
      <c r="AH536" s="45"/>
      <c r="AI536" s="12"/>
      <c r="AJ536" s="12"/>
      <c r="AK536" s="12"/>
      <c r="AL536" s="12"/>
      <c r="AM536" s="44"/>
      <c r="AN536" s="45"/>
      <c r="AO536" s="12"/>
      <c r="AP536" s="12"/>
      <c r="AQ536" s="12"/>
      <c r="AR536" s="12"/>
      <c r="AS536" s="44"/>
      <c r="AT536" s="45"/>
      <c r="AU536" s="12"/>
      <c r="AV536" s="12"/>
      <c r="AW536" s="12"/>
      <c r="AX536" s="12"/>
      <c r="AY536" s="44"/>
      <c r="AZ536" s="45"/>
      <c r="BA536" s="12"/>
      <c r="BB536" s="12"/>
      <c r="BC536" s="12"/>
      <c r="BD536" s="12"/>
      <c r="BE536" s="44"/>
      <c r="BF536" s="45"/>
      <c r="BG536" s="12"/>
      <c r="BH536" s="12"/>
      <c r="BI536" s="12"/>
      <c r="BJ536" s="12"/>
      <c r="BK536" s="44"/>
      <c r="BL536" s="45"/>
      <c r="BM536" s="12"/>
      <c r="BN536" s="12"/>
      <c r="BO536" s="12"/>
      <c r="BP536" s="12"/>
      <c r="BQ536" s="48"/>
      <c r="BR536" s="49"/>
      <c r="BS536" s="13"/>
      <c r="BT536" s="12"/>
      <c r="BV536" s="14"/>
      <c r="BW536" s="50"/>
      <c r="BX536" s="54"/>
      <c r="BY536" s="14"/>
      <c r="BZ536" s="14"/>
      <c r="CA536" s="14"/>
      <c r="CB536" s="14"/>
      <c r="CC536" s="14"/>
      <c r="CD536" s="14"/>
      <c r="CE536" s="14"/>
      <c r="CF536" s="15"/>
      <c r="CG536" s="14"/>
      <c r="CH536" s="14"/>
      <c r="CI536" s="50"/>
      <c r="CJ536" s="54"/>
      <c r="CK536" s="14"/>
      <c r="CL536" s="14"/>
      <c r="CM536" s="14"/>
      <c r="CN536" s="14"/>
      <c r="CO536" s="14"/>
      <c r="CP536" s="14"/>
      <c r="CQ536" s="14"/>
      <c r="CR536" s="14"/>
      <c r="CS536" s="14"/>
      <c r="CT536" s="14"/>
      <c r="CU536" s="16"/>
      <c r="CV536" s="14"/>
      <c r="CW536" s="50"/>
      <c r="CX536" s="17"/>
    </row>
    <row r="537" spans="4:102" x14ac:dyDescent="0.25"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43"/>
      <c r="Q537" s="11"/>
      <c r="R537" s="11"/>
      <c r="S537" s="11"/>
      <c r="T537" s="11"/>
      <c r="U537" s="11"/>
      <c r="V537" s="11"/>
      <c r="W537" s="11"/>
      <c r="X537" s="12"/>
      <c r="Y537" s="12"/>
      <c r="Z537" s="12"/>
      <c r="AA537" s="44"/>
      <c r="AB537" s="45"/>
      <c r="AC537" s="12"/>
      <c r="AD537" s="12"/>
      <c r="AE537" s="12"/>
      <c r="AF537" s="12"/>
      <c r="AG537" s="44"/>
      <c r="AH537" s="45"/>
      <c r="AI537" s="12"/>
      <c r="AJ537" s="12"/>
      <c r="AK537" s="12"/>
      <c r="AL537" s="12"/>
      <c r="AM537" s="44"/>
      <c r="AN537" s="45"/>
      <c r="AO537" s="12"/>
      <c r="AP537" s="12"/>
      <c r="AQ537" s="12"/>
      <c r="AR537" s="12"/>
      <c r="AS537" s="44"/>
      <c r="AT537" s="45"/>
      <c r="AU537" s="12"/>
      <c r="AV537" s="12"/>
      <c r="AW537" s="12"/>
      <c r="AX537" s="12"/>
      <c r="AY537" s="44"/>
      <c r="AZ537" s="45"/>
      <c r="BA537" s="12"/>
      <c r="BB537" s="12"/>
      <c r="BC537" s="12"/>
      <c r="BD537" s="12"/>
      <c r="BE537" s="44"/>
      <c r="BF537" s="45"/>
      <c r="BG537" s="12"/>
      <c r="BH537" s="12"/>
      <c r="BI537" s="12"/>
      <c r="BJ537" s="12"/>
      <c r="BK537" s="44"/>
      <c r="BL537" s="45"/>
      <c r="BM537" s="12"/>
      <c r="BN537" s="12"/>
      <c r="BO537" s="12"/>
      <c r="BP537" s="12"/>
      <c r="BQ537" s="48"/>
      <c r="BR537" s="49"/>
      <c r="BS537" s="13"/>
      <c r="BT537" s="12"/>
      <c r="BV537" s="14"/>
      <c r="BW537" s="50"/>
      <c r="BX537" s="54"/>
      <c r="BY537" s="14"/>
      <c r="BZ537" s="14"/>
      <c r="CA537" s="14"/>
      <c r="CB537" s="14"/>
      <c r="CC537" s="14"/>
      <c r="CD537" s="14"/>
      <c r="CE537" s="14"/>
      <c r="CF537" s="15"/>
      <c r="CG537" s="14"/>
      <c r="CH537" s="14"/>
      <c r="CI537" s="50"/>
      <c r="CJ537" s="54"/>
      <c r="CK537" s="14"/>
      <c r="CL537" s="14"/>
      <c r="CM537" s="14"/>
      <c r="CN537" s="14"/>
      <c r="CO537" s="14"/>
      <c r="CP537" s="14"/>
      <c r="CQ537" s="14"/>
      <c r="CR537" s="14"/>
      <c r="CS537" s="14"/>
      <c r="CT537" s="14"/>
      <c r="CU537" s="16"/>
      <c r="CV537" s="14"/>
      <c r="CW537" s="50"/>
      <c r="CX537" s="17"/>
    </row>
    <row r="538" spans="4:102" x14ac:dyDescent="0.25"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43"/>
      <c r="Q538" s="11"/>
      <c r="R538" s="11"/>
      <c r="S538" s="11"/>
      <c r="T538" s="11"/>
      <c r="U538" s="11"/>
      <c r="V538" s="11"/>
      <c r="W538" s="11"/>
      <c r="X538" s="12"/>
      <c r="Y538" s="12"/>
      <c r="Z538" s="12"/>
      <c r="AA538" s="44"/>
      <c r="AB538" s="45"/>
      <c r="AC538" s="12"/>
      <c r="AD538" s="12"/>
      <c r="AE538" s="12"/>
      <c r="AF538" s="12"/>
      <c r="AG538" s="44"/>
      <c r="AH538" s="45"/>
      <c r="AI538" s="12"/>
      <c r="AJ538" s="12"/>
      <c r="AK538" s="12"/>
      <c r="AL538" s="12"/>
      <c r="AM538" s="44"/>
      <c r="AN538" s="45"/>
      <c r="AO538" s="12"/>
      <c r="AP538" s="12"/>
      <c r="AQ538" s="12"/>
      <c r="AR538" s="12"/>
      <c r="AS538" s="44"/>
      <c r="AT538" s="45"/>
      <c r="AU538" s="12"/>
      <c r="AV538" s="12"/>
      <c r="AW538" s="12"/>
      <c r="AX538" s="12"/>
      <c r="AY538" s="44"/>
      <c r="AZ538" s="45"/>
      <c r="BA538" s="12"/>
      <c r="BB538" s="12"/>
      <c r="BC538" s="12"/>
      <c r="BD538" s="12"/>
      <c r="BE538" s="44"/>
      <c r="BF538" s="45"/>
      <c r="BG538" s="12"/>
      <c r="BH538" s="12"/>
      <c r="BI538" s="12"/>
      <c r="BJ538" s="12"/>
      <c r="BK538" s="44"/>
      <c r="BL538" s="45"/>
      <c r="BM538" s="12"/>
      <c r="BN538" s="12"/>
      <c r="BO538" s="12"/>
      <c r="BP538" s="12"/>
      <c r="BQ538" s="48"/>
      <c r="BR538" s="49"/>
      <c r="BS538" s="13"/>
      <c r="BT538" s="12"/>
      <c r="BV538" s="14"/>
      <c r="BW538" s="50"/>
      <c r="BX538" s="54"/>
      <c r="BY538" s="14"/>
      <c r="BZ538" s="14"/>
      <c r="CA538" s="14"/>
      <c r="CB538" s="14"/>
      <c r="CC538" s="14"/>
      <c r="CD538" s="14"/>
      <c r="CE538" s="14"/>
      <c r="CF538" s="15"/>
      <c r="CG538" s="14"/>
      <c r="CH538" s="14"/>
      <c r="CI538" s="50"/>
      <c r="CJ538" s="54"/>
      <c r="CK538" s="14"/>
      <c r="CL538" s="14"/>
      <c r="CM538" s="14"/>
      <c r="CN538" s="14"/>
      <c r="CO538" s="14"/>
      <c r="CP538" s="14"/>
      <c r="CQ538" s="14"/>
      <c r="CR538" s="14"/>
      <c r="CS538" s="14"/>
      <c r="CT538" s="14"/>
      <c r="CU538" s="16"/>
      <c r="CV538" s="14"/>
      <c r="CW538" s="50"/>
      <c r="CX538" s="17"/>
    </row>
    <row r="539" spans="4:102" x14ac:dyDescent="0.25"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43"/>
      <c r="Q539" s="11"/>
      <c r="R539" s="11"/>
      <c r="S539" s="11"/>
      <c r="T539" s="11"/>
      <c r="U539" s="11"/>
      <c r="V539" s="11"/>
      <c r="W539" s="11"/>
      <c r="X539" s="12"/>
      <c r="Y539" s="12"/>
      <c r="Z539" s="12"/>
      <c r="AA539" s="44"/>
      <c r="AB539" s="45"/>
      <c r="AC539" s="12"/>
      <c r="AD539" s="12"/>
      <c r="AE539" s="12"/>
      <c r="AF539" s="12"/>
      <c r="AG539" s="44"/>
      <c r="AH539" s="45"/>
      <c r="AI539" s="12"/>
      <c r="AJ539" s="12"/>
      <c r="AK539" s="12"/>
      <c r="AL539" s="12"/>
      <c r="AM539" s="44"/>
      <c r="AN539" s="45"/>
      <c r="AO539" s="12"/>
      <c r="AP539" s="12"/>
      <c r="AQ539" s="12"/>
      <c r="AR539" s="12"/>
      <c r="AS539" s="44"/>
      <c r="AT539" s="45"/>
      <c r="AU539" s="12"/>
      <c r="AV539" s="12"/>
      <c r="AW539" s="12"/>
      <c r="AX539" s="12"/>
      <c r="AY539" s="44"/>
      <c r="AZ539" s="45"/>
      <c r="BA539" s="12"/>
      <c r="BB539" s="12"/>
      <c r="BC539" s="12"/>
      <c r="BD539" s="12"/>
      <c r="BE539" s="44"/>
      <c r="BF539" s="45"/>
      <c r="BG539" s="12"/>
      <c r="BH539" s="12"/>
      <c r="BI539" s="12"/>
      <c r="BJ539" s="12"/>
      <c r="BK539" s="44"/>
      <c r="BL539" s="45"/>
      <c r="BM539" s="12"/>
      <c r="BN539" s="12"/>
      <c r="BO539" s="12"/>
      <c r="BP539" s="12"/>
      <c r="BQ539" s="48"/>
      <c r="BR539" s="49"/>
      <c r="BS539" s="13"/>
      <c r="BT539" s="12"/>
      <c r="BV539" s="14"/>
      <c r="BW539" s="50"/>
      <c r="BX539" s="54"/>
      <c r="BY539" s="14"/>
      <c r="BZ539" s="14"/>
      <c r="CA539" s="14"/>
      <c r="CB539" s="14"/>
      <c r="CC539" s="14"/>
      <c r="CD539" s="14"/>
      <c r="CE539" s="14"/>
      <c r="CF539" s="15"/>
      <c r="CG539" s="14"/>
      <c r="CH539" s="14"/>
      <c r="CI539" s="50"/>
      <c r="CJ539" s="54"/>
      <c r="CK539" s="14"/>
      <c r="CL539" s="14"/>
      <c r="CM539" s="14"/>
      <c r="CN539" s="14"/>
      <c r="CO539" s="14"/>
      <c r="CP539" s="14"/>
      <c r="CQ539" s="14"/>
      <c r="CR539" s="14"/>
      <c r="CS539" s="14"/>
      <c r="CT539" s="14"/>
      <c r="CU539" s="16"/>
      <c r="CV539" s="14"/>
      <c r="CW539" s="50"/>
      <c r="CX539" s="17"/>
    </row>
    <row r="540" spans="4:102" x14ac:dyDescent="0.25"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43"/>
      <c r="Q540" s="11"/>
      <c r="R540" s="11"/>
      <c r="S540" s="11"/>
      <c r="T540" s="11"/>
      <c r="U540" s="11"/>
      <c r="V540" s="11"/>
      <c r="W540" s="11"/>
      <c r="X540" s="12"/>
      <c r="Y540" s="12"/>
      <c r="Z540" s="12"/>
      <c r="AA540" s="44"/>
      <c r="AB540" s="45"/>
      <c r="AC540" s="12"/>
      <c r="AD540" s="12"/>
      <c r="AE540" s="12"/>
      <c r="AF540" s="12"/>
      <c r="AG540" s="44"/>
      <c r="AH540" s="45"/>
      <c r="AI540" s="12"/>
      <c r="AJ540" s="12"/>
      <c r="AK540" s="12"/>
      <c r="AL540" s="12"/>
      <c r="AM540" s="44"/>
      <c r="AN540" s="45"/>
      <c r="AO540" s="12"/>
      <c r="AP540" s="12"/>
      <c r="AQ540" s="12"/>
      <c r="AR540" s="12"/>
      <c r="AS540" s="44"/>
      <c r="AT540" s="45"/>
      <c r="AU540" s="12"/>
      <c r="AV540" s="12"/>
      <c r="AW540" s="12"/>
      <c r="AX540" s="12"/>
      <c r="AY540" s="44"/>
      <c r="AZ540" s="45"/>
      <c r="BA540" s="12"/>
      <c r="BB540" s="12"/>
      <c r="BC540" s="12"/>
      <c r="BD540" s="12"/>
      <c r="BE540" s="44"/>
      <c r="BF540" s="45"/>
      <c r="BG540" s="12"/>
      <c r="BH540" s="12"/>
      <c r="BI540" s="12"/>
      <c r="BJ540" s="12"/>
      <c r="BK540" s="44"/>
      <c r="BL540" s="45"/>
      <c r="BM540" s="12"/>
      <c r="BN540" s="12"/>
      <c r="BO540" s="12"/>
      <c r="BP540" s="12"/>
      <c r="BQ540" s="48"/>
      <c r="BR540" s="49"/>
      <c r="BS540" s="13"/>
      <c r="BT540" s="12"/>
      <c r="BV540" s="14"/>
      <c r="BW540" s="50"/>
      <c r="BX540" s="54"/>
      <c r="BY540" s="14"/>
      <c r="BZ540" s="14"/>
      <c r="CA540" s="14"/>
      <c r="CB540" s="14"/>
      <c r="CC540" s="14"/>
      <c r="CD540" s="14"/>
      <c r="CE540" s="14"/>
      <c r="CF540" s="15"/>
      <c r="CG540" s="14"/>
      <c r="CH540" s="14"/>
      <c r="CI540" s="50"/>
      <c r="CJ540" s="54"/>
      <c r="CK540" s="14"/>
      <c r="CL540" s="14"/>
      <c r="CM540" s="14"/>
      <c r="CN540" s="14"/>
      <c r="CO540" s="14"/>
      <c r="CP540" s="14"/>
      <c r="CQ540" s="14"/>
      <c r="CR540" s="14"/>
      <c r="CS540" s="14"/>
      <c r="CT540" s="14"/>
      <c r="CU540" s="16"/>
      <c r="CV540" s="14"/>
      <c r="CW540" s="50"/>
      <c r="CX540" s="17"/>
    </row>
    <row r="541" spans="4:102" x14ac:dyDescent="0.25"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43"/>
      <c r="Q541" s="11"/>
      <c r="R541" s="11"/>
      <c r="S541" s="11"/>
      <c r="T541" s="11"/>
      <c r="U541" s="11"/>
      <c r="V541" s="11"/>
      <c r="W541" s="11"/>
      <c r="X541" s="12"/>
      <c r="Y541" s="12"/>
      <c r="Z541" s="12"/>
      <c r="AA541" s="44"/>
      <c r="AB541" s="45"/>
      <c r="AC541" s="12"/>
      <c r="AD541" s="12"/>
      <c r="AE541" s="12"/>
      <c r="AF541" s="12"/>
      <c r="AG541" s="44"/>
      <c r="AH541" s="45"/>
      <c r="AI541" s="12"/>
      <c r="AJ541" s="12"/>
      <c r="AK541" s="12"/>
      <c r="AL541" s="12"/>
      <c r="AM541" s="44"/>
      <c r="AN541" s="45"/>
      <c r="AO541" s="12"/>
      <c r="AP541" s="12"/>
      <c r="AQ541" s="12"/>
      <c r="AR541" s="12"/>
      <c r="AS541" s="44"/>
      <c r="AT541" s="45"/>
      <c r="AU541" s="12"/>
      <c r="AV541" s="12"/>
      <c r="AW541" s="12"/>
      <c r="AX541" s="12"/>
      <c r="AY541" s="44"/>
      <c r="AZ541" s="45"/>
      <c r="BA541" s="12"/>
      <c r="BB541" s="12"/>
      <c r="BC541" s="12"/>
      <c r="BD541" s="12"/>
      <c r="BE541" s="44"/>
      <c r="BF541" s="45"/>
      <c r="BG541" s="12"/>
      <c r="BH541" s="12"/>
      <c r="BI541" s="12"/>
      <c r="BJ541" s="12"/>
      <c r="BK541" s="44"/>
      <c r="BL541" s="45"/>
      <c r="BM541" s="12"/>
      <c r="BN541" s="12"/>
      <c r="BO541" s="12"/>
      <c r="BP541" s="12"/>
      <c r="BQ541" s="48"/>
      <c r="BR541" s="49"/>
      <c r="BS541" s="13"/>
      <c r="BT541" s="12"/>
      <c r="BV541" s="14"/>
      <c r="BW541" s="50"/>
      <c r="BX541" s="54"/>
      <c r="BY541" s="14"/>
      <c r="BZ541" s="14"/>
      <c r="CA541" s="14"/>
      <c r="CB541" s="14"/>
      <c r="CC541" s="14"/>
      <c r="CD541" s="14"/>
      <c r="CE541" s="14"/>
      <c r="CF541" s="15"/>
      <c r="CG541" s="14"/>
      <c r="CH541" s="14"/>
      <c r="CI541" s="50"/>
      <c r="CJ541" s="54"/>
      <c r="CK541" s="14"/>
      <c r="CL541" s="14"/>
      <c r="CM541" s="14"/>
      <c r="CN541" s="14"/>
      <c r="CO541" s="14"/>
      <c r="CP541" s="14"/>
      <c r="CQ541" s="14"/>
      <c r="CR541" s="14"/>
      <c r="CS541" s="14"/>
      <c r="CT541" s="14"/>
      <c r="CU541" s="16"/>
      <c r="CV541" s="14"/>
      <c r="CW541" s="50"/>
      <c r="CX541" s="17"/>
    </row>
    <row r="542" spans="4:102" x14ac:dyDescent="0.25"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43"/>
      <c r="Q542" s="11"/>
      <c r="R542" s="11"/>
      <c r="S542" s="11"/>
      <c r="T542" s="11"/>
      <c r="U542" s="11"/>
      <c r="V542" s="11"/>
      <c r="W542" s="11"/>
      <c r="X542" s="12"/>
      <c r="Y542" s="12"/>
      <c r="Z542" s="12"/>
      <c r="AA542" s="44"/>
      <c r="AB542" s="45"/>
      <c r="AC542" s="12"/>
      <c r="AD542" s="12"/>
      <c r="AE542" s="12"/>
      <c r="AF542" s="12"/>
      <c r="AG542" s="44"/>
      <c r="AH542" s="45"/>
      <c r="AI542" s="12"/>
      <c r="AJ542" s="12"/>
      <c r="AK542" s="12"/>
      <c r="AL542" s="12"/>
      <c r="AM542" s="44"/>
      <c r="AN542" s="45"/>
      <c r="AO542" s="12"/>
      <c r="AP542" s="12"/>
      <c r="AQ542" s="12"/>
      <c r="AR542" s="12"/>
      <c r="AS542" s="44"/>
      <c r="AT542" s="45"/>
      <c r="AU542" s="12"/>
      <c r="AV542" s="12"/>
      <c r="AW542" s="12"/>
      <c r="AX542" s="12"/>
      <c r="AY542" s="44"/>
      <c r="AZ542" s="45"/>
      <c r="BA542" s="12"/>
      <c r="BB542" s="12"/>
      <c r="BC542" s="12"/>
      <c r="BD542" s="12"/>
      <c r="BE542" s="44"/>
      <c r="BF542" s="45"/>
      <c r="BG542" s="12"/>
      <c r="BH542" s="12"/>
      <c r="BI542" s="12"/>
      <c r="BJ542" s="12"/>
      <c r="BK542" s="44"/>
      <c r="BL542" s="45"/>
      <c r="BM542" s="12"/>
      <c r="BN542" s="12"/>
      <c r="BO542" s="12"/>
      <c r="BP542" s="12"/>
      <c r="BQ542" s="48"/>
      <c r="BR542" s="49"/>
      <c r="BS542" s="13"/>
      <c r="BT542" s="12"/>
      <c r="BV542" s="14"/>
      <c r="BW542" s="50"/>
      <c r="BX542" s="54"/>
      <c r="BY542" s="14"/>
      <c r="BZ542" s="14"/>
      <c r="CA542" s="14"/>
      <c r="CB542" s="14"/>
      <c r="CC542" s="14"/>
      <c r="CD542" s="14"/>
      <c r="CE542" s="14"/>
      <c r="CF542" s="15"/>
      <c r="CG542" s="14"/>
      <c r="CH542" s="14"/>
      <c r="CI542" s="50"/>
      <c r="CJ542" s="54"/>
      <c r="CK542" s="14"/>
      <c r="CL542" s="14"/>
      <c r="CM542" s="14"/>
      <c r="CN542" s="14"/>
      <c r="CO542" s="14"/>
      <c r="CP542" s="14"/>
      <c r="CQ542" s="14"/>
      <c r="CR542" s="14"/>
      <c r="CS542" s="14"/>
      <c r="CT542" s="14"/>
      <c r="CU542" s="16"/>
      <c r="CV542" s="14"/>
      <c r="CW542" s="50"/>
      <c r="CX542" s="17"/>
    </row>
    <row r="543" spans="4:102" x14ac:dyDescent="0.25"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43"/>
      <c r="Q543" s="11"/>
      <c r="R543" s="11"/>
      <c r="S543" s="11"/>
      <c r="T543" s="11"/>
      <c r="U543" s="11"/>
      <c r="V543" s="11"/>
      <c r="W543" s="11"/>
      <c r="X543" s="12"/>
      <c r="Y543" s="12"/>
      <c r="Z543" s="12"/>
      <c r="AA543" s="44"/>
      <c r="AB543" s="45"/>
      <c r="AC543" s="12"/>
      <c r="AD543" s="12"/>
      <c r="AE543" s="12"/>
      <c r="AF543" s="12"/>
      <c r="AG543" s="44"/>
      <c r="AH543" s="45"/>
      <c r="AI543" s="12"/>
      <c r="AJ543" s="12"/>
      <c r="AK543" s="12"/>
      <c r="AL543" s="12"/>
      <c r="AM543" s="44"/>
      <c r="AN543" s="45"/>
      <c r="AO543" s="12"/>
      <c r="AP543" s="12"/>
      <c r="AQ543" s="12"/>
      <c r="AR543" s="12"/>
      <c r="AS543" s="44"/>
      <c r="AT543" s="45"/>
      <c r="AU543" s="12"/>
      <c r="AV543" s="12"/>
      <c r="AW543" s="12"/>
      <c r="AX543" s="12"/>
      <c r="AY543" s="44"/>
      <c r="AZ543" s="45"/>
      <c r="BA543" s="12"/>
      <c r="BB543" s="12"/>
      <c r="BC543" s="12"/>
      <c r="BD543" s="12"/>
      <c r="BE543" s="44"/>
      <c r="BF543" s="45"/>
      <c r="BG543" s="12"/>
      <c r="BH543" s="12"/>
      <c r="BI543" s="12"/>
      <c r="BJ543" s="12"/>
      <c r="BK543" s="44"/>
      <c r="BL543" s="45"/>
      <c r="BM543" s="12"/>
      <c r="BN543" s="12"/>
      <c r="BO543" s="12"/>
      <c r="BP543" s="12"/>
      <c r="BQ543" s="48"/>
      <c r="BR543" s="49"/>
      <c r="BS543" s="13"/>
      <c r="BT543" s="12"/>
      <c r="BV543" s="14"/>
      <c r="BW543" s="50"/>
      <c r="BX543" s="54"/>
      <c r="BY543" s="14"/>
      <c r="BZ543" s="14"/>
      <c r="CA543" s="14"/>
      <c r="CB543" s="14"/>
      <c r="CC543" s="14"/>
      <c r="CD543" s="14"/>
      <c r="CE543" s="14"/>
      <c r="CF543" s="15"/>
      <c r="CG543" s="14"/>
      <c r="CH543" s="14"/>
      <c r="CI543" s="50"/>
      <c r="CJ543" s="54"/>
      <c r="CK543" s="14"/>
      <c r="CL543" s="14"/>
      <c r="CM543" s="14"/>
      <c r="CN543" s="14"/>
      <c r="CO543" s="14"/>
      <c r="CP543" s="14"/>
      <c r="CQ543" s="14"/>
      <c r="CR543" s="14"/>
      <c r="CS543" s="14"/>
      <c r="CT543" s="14"/>
      <c r="CU543" s="16"/>
      <c r="CV543" s="14"/>
      <c r="CW543" s="50"/>
      <c r="CX543" s="17"/>
    </row>
    <row r="544" spans="4:102" x14ac:dyDescent="0.25"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43"/>
      <c r="Q544" s="11"/>
      <c r="R544" s="11"/>
      <c r="S544" s="11"/>
      <c r="T544" s="11"/>
      <c r="U544" s="11"/>
      <c r="V544" s="11"/>
      <c r="W544" s="11"/>
      <c r="X544" s="12"/>
      <c r="Y544" s="12"/>
      <c r="Z544" s="12"/>
      <c r="AA544" s="44"/>
      <c r="AB544" s="45"/>
      <c r="AC544" s="12"/>
      <c r="AD544" s="12"/>
      <c r="AE544" s="12"/>
      <c r="AF544" s="12"/>
      <c r="AG544" s="44"/>
      <c r="AH544" s="45"/>
      <c r="AI544" s="12"/>
      <c r="AJ544" s="12"/>
      <c r="AK544" s="12"/>
      <c r="AL544" s="12"/>
      <c r="AM544" s="44"/>
      <c r="AN544" s="45"/>
      <c r="AO544" s="12"/>
      <c r="AP544" s="12"/>
      <c r="AQ544" s="12"/>
      <c r="AR544" s="12"/>
      <c r="AS544" s="44"/>
      <c r="AT544" s="45"/>
      <c r="AU544" s="12"/>
      <c r="AV544" s="12"/>
      <c r="AW544" s="12"/>
      <c r="AX544" s="12"/>
      <c r="AY544" s="44"/>
      <c r="AZ544" s="45"/>
      <c r="BA544" s="12"/>
      <c r="BB544" s="12"/>
      <c r="BC544" s="12"/>
      <c r="BD544" s="12"/>
      <c r="BE544" s="44"/>
      <c r="BF544" s="45"/>
      <c r="BG544" s="12"/>
      <c r="BH544" s="12"/>
      <c r="BI544" s="12"/>
      <c r="BJ544" s="12"/>
      <c r="BK544" s="44"/>
      <c r="BL544" s="45"/>
      <c r="BM544" s="12"/>
      <c r="BN544" s="12"/>
      <c r="BO544" s="12"/>
      <c r="BP544" s="12"/>
      <c r="BQ544" s="48"/>
      <c r="BR544" s="49"/>
      <c r="BS544" s="13"/>
      <c r="BT544" s="12"/>
      <c r="BV544" s="14"/>
      <c r="BW544" s="50"/>
      <c r="BX544" s="54"/>
      <c r="BY544" s="14"/>
      <c r="BZ544" s="14"/>
      <c r="CA544" s="14"/>
      <c r="CB544" s="14"/>
      <c r="CC544" s="14"/>
      <c r="CD544" s="14"/>
      <c r="CE544" s="14"/>
      <c r="CF544" s="15"/>
      <c r="CG544" s="14"/>
      <c r="CH544" s="14"/>
      <c r="CI544" s="50"/>
      <c r="CJ544" s="54"/>
      <c r="CK544" s="14"/>
      <c r="CL544" s="14"/>
      <c r="CM544" s="14"/>
      <c r="CN544" s="14"/>
      <c r="CO544" s="14"/>
      <c r="CP544" s="14"/>
      <c r="CQ544" s="14"/>
      <c r="CR544" s="14"/>
      <c r="CS544" s="14"/>
      <c r="CT544" s="14"/>
      <c r="CU544" s="16"/>
      <c r="CV544" s="14"/>
      <c r="CW544" s="50"/>
      <c r="CX544" s="17"/>
    </row>
    <row r="545" spans="4:102" x14ac:dyDescent="0.25"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43"/>
      <c r="Q545" s="11"/>
      <c r="R545" s="11"/>
      <c r="S545" s="11"/>
      <c r="T545" s="11"/>
      <c r="U545" s="11"/>
      <c r="V545" s="11"/>
      <c r="W545" s="11"/>
      <c r="X545" s="12"/>
      <c r="Y545" s="12"/>
      <c r="Z545" s="12"/>
      <c r="AA545" s="44"/>
      <c r="AB545" s="45"/>
      <c r="AC545" s="12"/>
      <c r="AD545" s="12"/>
      <c r="AE545" s="12"/>
      <c r="AF545" s="12"/>
      <c r="AG545" s="44"/>
      <c r="AH545" s="45"/>
      <c r="AI545" s="12"/>
      <c r="AJ545" s="12"/>
      <c r="AK545" s="12"/>
      <c r="AL545" s="12"/>
      <c r="AM545" s="44"/>
      <c r="AN545" s="45"/>
      <c r="AO545" s="12"/>
      <c r="AP545" s="12"/>
      <c r="AQ545" s="12"/>
      <c r="AR545" s="12"/>
      <c r="AS545" s="44"/>
      <c r="AT545" s="45"/>
      <c r="AU545" s="12"/>
      <c r="AV545" s="12"/>
      <c r="AW545" s="12"/>
      <c r="AX545" s="12"/>
      <c r="AY545" s="44"/>
      <c r="AZ545" s="45"/>
      <c r="BA545" s="12"/>
      <c r="BB545" s="12"/>
      <c r="BC545" s="12"/>
      <c r="BD545" s="12"/>
      <c r="BE545" s="44"/>
      <c r="BF545" s="45"/>
      <c r="BG545" s="12"/>
      <c r="BH545" s="12"/>
      <c r="BI545" s="12"/>
      <c r="BJ545" s="12"/>
      <c r="BK545" s="44"/>
      <c r="BL545" s="45"/>
      <c r="BM545" s="12"/>
      <c r="BN545" s="12"/>
      <c r="BO545" s="12"/>
      <c r="BP545" s="12"/>
      <c r="BQ545" s="48"/>
      <c r="BR545" s="49"/>
      <c r="BS545" s="13"/>
      <c r="BT545" s="12"/>
      <c r="BV545" s="14"/>
      <c r="BW545" s="50"/>
      <c r="BX545" s="54"/>
      <c r="BY545" s="14"/>
      <c r="BZ545" s="14"/>
      <c r="CA545" s="14"/>
      <c r="CB545" s="14"/>
      <c r="CC545" s="14"/>
      <c r="CD545" s="14"/>
      <c r="CE545" s="14"/>
      <c r="CF545" s="15"/>
      <c r="CG545" s="14"/>
      <c r="CH545" s="14"/>
      <c r="CI545" s="50"/>
      <c r="CJ545" s="54"/>
      <c r="CK545" s="14"/>
      <c r="CL545" s="14"/>
      <c r="CM545" s="14"/>
      <c r="CN545" s="14"/>
      <c r="CO545" s="14"/>
      <c r="CP545" s="14"/>
      <c r="CQ545" s="14"/>
      <c r="CR545" s="14"/>
      <c r="CS545" s="14"/>
      <c r="CT545" s="14"/>
      <c r="CU545" s="16"/>
      <c r="CV545" s="14"/>
      <c r="CW545" s="50"/>
      <c r="CX545" s="17"/>
    </row>
    <row r="546" spans="4:102" x14ac:dyDescent="0.25"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43"/>
      <c r="Q546" s="11"/>
      <c r="R546" s="11"/>
      <c r="S546" s="11"/>
      <c r="T546" s="11"/>
      <c r="U546" s="11"/>
      <c r="V546" s="11"/>
      <c r="W546" s="11"/>
      <c r="X546" s="12"/>
      <c r="Y546" s="12"/>
      <c r="Z546" s="12"/>
      <c r="AA546" s="44"/>
      <c r="AB546" s="45"/>
      <c r="AC546" s="12"/>
      <c r="AD546" s="12"/>
      <c r="AE546" s="12"/>
      <c r="AF546" s="12"/>
      <c r="AG546" s="44"/>
      <c r="AH546" s="45"/>
      <c r="AI546" s="12"/>
      <c r="AJ546" s="12"/>
      <c r="AK546" s="12"/>
      <c r="AL546" s="12"/>
      <c r="AM546" s="44"/>
      <c r="AN546" s="45"/>
      <c r="AO546" s="12"/>
      <c r="AP546" s="12"/>
      <c r="AQ546" s="12"/>
      <c r="AR546" s="12"/>
      <c r="AS546" s="44"/>
      <c r="AT546" s="45"/>
      <c r="AU546" s="12"/>
      <c r="AV546" s="12"/>
      <c r="AW546" s="12"/>
      <c r="AX546" s="12"/>
      <c r="AY546" s="44"/>
      <c r="AZ546" s="45"/>
      <c r="BA546" s="12"/>
      <c r="BB546" s="12"/>
      <c r="BC546" s="12"/>
      <c r="BD546" s="12"/>
      <c r="BE546" s="44"/>
      <c r="BF546" s="45"/>
      <c r="BG546" s="12"/>
      <c r="BH546" s="12"/>
      <c r="BI546" s="12"/>
      <c r="BJ546" s="12"/>
      <c r="BK546" s="44"/>
      <c r="BL546" s="45"/>
      <c r="BM546" s="12"/>
      <c r="BN546" s="12"/>
      <c r="BO546" s="12"/>
      <c r="BP546" s="12"/>
      <c r="BQ546" s="48"/>
      <c r="BR546" s="49"/>
      <c r="BS546" s="13"/>
      <c r="BT546" s="12"/>
      <c r="BV546" s="14"/>
      <c r="BW546" s="50"/>
      <c r="BX546" s="54"/>
      <c r="BY546" s="14"/>
      <c r="BZ546" s="14"/>
      <c r="CA546" s="14"/>
      <c r="CB546" s="14"/>
      <c r="CC546" s="14"/>
      <c r="CD546" s="14"/>
      <c r="CE546" s="14"/>
      <c r="CF546" s="15"/>
      <c r="CG546" s="14"/>
      <c r="CH546" s="14"/>
      <c r="CI546" s="50"/>
      <c r="CJ546" s="54"/>
      <c r="CK546" s="14"/>
      <c r="CL546" s="14"/>
      <c r="CM546" s="14"/>
      <c r="CN546" s="14"/>
      <c r="CO546" s="14"/>
      <c r="CP546" s="14"/>
      <c r="CQ546" s="14"/>
      <c r="CR546" s="14"/>
      <c r="CS546" s="14"/>
      <c r="CT546" s="14"/>
      <c r="CU546" s="16"/>
      <c r="CV546" s="14"/>
      <c r="CW546" s="50"/>
      <c r="CX546" s="17"/>
    </row>
    <row r="547" spans="4:102" x14ac:dyDescent="0.25"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43"/>
      <c r="Q547" s="11"/>
      <c r="R547" s="11"/>
      <c r="S547" s="11"/>
      <c r="T547" s="11"/>
      <c r="U547" s="11"/>
      <c r="V547" s="11"/>
      <c r="W547" s="11"/>
      <c r="X547" s="12"/>
      <c r="Y547" s="12"/>
      <c r="Z547" s="12"/>
      <c r="AA547" s="44"/>
      <c r="AB547" s="45"/>
      <c r="AC547" s="12"/>
      <c r="AD547" s="12"/>
      <c r="AE547" s="12"/>
      <c r="AF547" s="12"/>
      <c r="AG547" s="44"/>
      <c r="AH547" s="45"/>
      <c r="AI547" s="12"/>
      <c r="AJ547" s="12"/>
      <c r="AK547" s="12"/>
      <c r="AL547" s="12"/>
      <c r="AM547" s="44"/>
      <c r="AN547" s="45"/>
      <c r="AO547" s="12"/>
      <c r="AP547" s="12"/>
      <c r="AQ547" s="12"/>
      <c r="AR547" s="12"/>
      <c r="AS547" s="44"/>
      <c r="AT547" s="45"/>
      <c r="AU547" s="12"/>
      <c r="AV547" s="12"/>
      <c r="AW547" s="12"/>
      <c r="AX547" s="12"/>
      <c r="AY547" s="44"/>
      <c r="AZ547" s="45"/>
      <c r="BA547" s="12"/>
      <c r="BB547" s="12"/>
      <c r="BC547" s="12"/>
      <c r="BD547" s="12"/>
      <c r="BE547" s="44"/>
      <c r="BF547" s="45"/>
      <c r="BG547" s="12"/>
      <c r="BH547" s="12"/>
      <c r="BI547" s="12"/>
      <c r="BJ547" s="12"/>
      <c r="BK547" s="44"/>
      <c r="BL547" s="45"/>
      <c r="BM547" s="12"/>
      <c r="BN547" s="12"/>
      <c r="BO547" s="12"/>
      <c r="BP547" s="12"/>
      <c r="BQ547" s="48"/>
      <c r="BR547" s="49"/>
      <c r="BS547" s="13"/>
      <c r="BT547" s="12"/>
      <c r="BV547" s="14"/>
      <c r="BW547" s="50"/>
      <c r="BX547" s="54"/>
      <c r="BY547" s="14"/>
      <c r="BZ547" s="14"/>
      <c r="CA547" s="14"/>
      <c r="CB547" s="14"/>
      <c r="CC547" s="14"/>
      <c r="CD547" s="14"/>
      <c r="CE547" s="14"/>
      <c r="CF547" s="15"/>
      <c r="CG547" s="14"/>
      <c r="CH547" s="14"/>
      <c r="CI547" s="50"/>
      <c r="CJ547" s="54"/>
      <c r="CK547" s="14"/>
      <c r="CL547" s="14"/>
      <c r="CM547" s="14"/>
      <c r="CN547" s="14"/>
      <c r="CO547" s="14"/>
      <c r="CP547" s="14"/>
      <c r="CQ547" s="14"/>
      <c r="CR547" s="14"/>
      <c r="CS547" s="14"/>
      <c r="CT547" s="14"/>
      <c r="CU547" s="16"/>
      <c r="CV547" s="14"/>
      <c r="CW547" s="50"/>
      <c r="CX547" s="17"/>
    </row>
    <row r="548" spans="4:102" x14ac:dyDescent="0.25"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43"/>
      <c r="Q548" s="11"/>
      <c r="R548" s="11"/>
      <c r="S548" s="11"/>
      <c r="T548" s="11"/>
      <c r="U548" s="11"/>
      <c r="V548" s="11"/>
      <c r="W548" s="11"/>
      <c r="X548" s="12"/>
      <c r="Y548" s="12"/>
      <c r="Z548" s="12"/>
      <c r="AA548" s="44"/>
      <c r="AB548" s="45"/>
      <c r="AC548" s="12"/>
      <c r="AD548" s="12"/>
      <c r="AE548" s="12"/>
      <c r="AF548" s="12"/>
      <c r="AG548" s="44"/>
      <c r="AH548" s="45"/>
      <c r="AI548" s="12"/>
      <c r="AJ548" s="12"/>
      <c r="AK548" s="12"/>
      <c r="AL548" s="12"/>
      <c r="AM548" s="44"/>
      <c r="AN548" s="45"/>
      <c r="AO548" s="12"/>
      <c r="AP548" s="12"/>
      <c r="AQ548" s="12"/>
      <c r="AR548" s="12"/>
      <c r="AS548" s="44"/>
      <c r="AT548" s="45"/>
      <c r="AU548" s="12"/>
      <c r="AV548" s="12"/>
      <c r="AW548" s="12"/>
      <c r="AX548" s="12"/>
      <c r="AY548" s="44"/>
      <c r="AZ548" s="45"/>
      <c r="BA548" s="12"/>
      <c r="BB548" s="12"/>
      <c r="BC548" s="12"/>
      <c r="BD548" s="12"/>
      <c r="BE548" s="44"/>
      <c r="BF548" s="45"/>
      <c r="BG548" s="12"/>
      <c r="BH548" s="12"/>
      <c r="BI548" s="12"/>
      <c r="BJ548" s="12"/>
      <c r="BK548" s="44"/>
      <c r="BL548" s="45"/>
      <c r="BM548" s="12"/>
      <c r="BN548" s="12"/>
      <c r="BO548" s="12"/>
      <c r="BP548" s="12"/>
      <c r="BQ548" s="48"/>
      <c r="BR548" s="49"/>
      <c r="BS548" s="13"/>
      <c r="BT548" s="12"/>
      <c r="BV548" s="14"/>
      <c r="BW548" s="50"/>
      <c r="BX548" s="54"/>
      <c r="BY548" s="14"/>
      <c r="BZ548" s="14"/>
      <c r="CA548" s="14"/>
      <c r="CB548" s="14"/>
      <c r="CC548" s="14"/>
      <c r="CD548" s="14"/>
      <c r="CE548" s="14"/>
      <c r="CF548" s="15"/>
      <c r="CG548" s="14"/>
      <c r="CH548" s="14"/>
      <c r="CI548" s="50"/>
      <c r="CJ548" s="54"/>
      <c r="CK548" s="14"/>
      <c r="CL548" s="14"/>
      <c r="CM548" s="14"/>
      <c r="CN548" s="14"/>
      <c r="CO548" s="14"/>
      <c r="CP548" s="14"/>
      <c r="CQ548" s="14"/>
      <c r="CR548" s="14"/>
      <c r="CS548" s="14"/>
      <c r="CT548" s="14"/>
      <c r="CU548" s="16"/>
      <c r="CV548" s="14"/>
      <c r="CW548" s="50"/>
      <c r="CX548" s="17"/>
    </row>
    <row r="549" spans="4:102" x14ac:dyDescent="0.25"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43"/>
      <c r="Q549" s="11"/>
      <c r="R549" s="11"/>
      <c r="S549" s="11"/>
      <c r="T549" s="11"/>
      <c r="U549" s="11"/>
      <c r="V549" s="11"/>
      <c r="W549" s="11"/>
      <c r="X549" s="12"/>
      <c r="Y549" s="12"/>
      <c r="Z549" s="12"/>
      <c r="AA549" s="44"/>
      <c r="AB549" s="45"/>
      <c r="AC549" s="12"/>
      <c r="AD549" s="12"/>
      <c r="AE549" s="12"/>
      <c r="AF549" s="12"/>
      <c r="AG549" s="44"/>
      <c r="AH549" s="45"/>
      <c r="AI549" s="12"/>
      <c r="AJ549" s="12"/>
      <c r="AK549" s="12"/>
      <c r="AL549" s="12"/>
      <c r="AM549" s="44"/>
      <c r="AN549" s="45"/>
      <c r="AO549" s="12"/>
      <c r="AP549" s="12"/>
      <c r="AQ549" s="12"/>
      <c r="AR549" s="12"/>
      <c r="AS549" s="44"/>
      <c r="AT549" s="45"/>
      <c r="AU549" s="12"/>
      <c r="AV549" s="12"/>
      <c r="AW549" s="12"/>
      <c r="AX549" s="12"/>
      <c r="AY549" s="44"/>
      <c r="AZ549" s="45"/>
      <c r="BA549" s="12"/>
      <c r="BB549" s="12"/>
      <c r="BC549" s="12"/>
      <c r="BD549" s="12"/>
      <c r="BE549" s="44"/>
      <c r="BF549" s="45"/>
      <c r="BG549" s="12"/>
      <c r="BH549" s="12"/>
      <c r="BI549" s="12"/>
      <c r="BJ549" s="12"/>
      <c r="BK549" s="44"/>
      <c r="BL549" s="45"/>
      <c r="BM549" s="12"/>
      <c r="BN549" s="12"/>
      <c r="BO549" s="12"/>
      <c r="BP549" s="12"/>
      <c r="BQ549" s="48"/>
      <c r="BR549" s="49"/>
      <c r="BS549" s="13"/>
      <c r="BT549" s="12"/>
      <c r="BV549" s="14"/>
      <c r="BW549" s="50"/>
      <c r="BX549" s="54"/>
      <c r="BY549" s="14"/>
      <c r="BZ549" s="14"/>
      <c r="CA549" s="14"/>
      <c r="CB549" s="14"/>
      <c r="CC549" s="14"/>
      <c r="CD549" s="14"/>
      <c r="CE549" s="14"/>
      <c r="CF549" s="15"/>
      <c r="CG549" s="14"/>
      <c r="CH549" s="14"/>
      <c r="CI549" s="50"/>
      <c r="CJ549" s="54"/>
      <c r="CK549" s="14"/>
      <c r="CL549" s="14"/>
      <c r="CM549" s="14"/>
      <c r="CN549" s="14"/>
      <c r="CO549" s="14"/>
      <c r="CP549" s="14"/>
      <c r="CQ549" s="14"/>
      <c r="CR549" s="14"/>
      <c r="CS549" s="14"/>
      <c r="CT549" s="14"/>
      <c r="CU549" s="16"/>
      <c r="CV549" s="14"/>
      <c r="CW549" s="50"/>
      <c r="CX549" s="17"/>
    </row>
    <row r="550" spans="4:102" x14ac:dyDescent="0.25"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43"/>
      <c r="Q550" s="11"/>
      <c r="R550" s="11"/>
      <c r="S550" s="11"/>
      <c r="T550" s="11"/>
      <c r="U550" s="11"/>
      <c r="V550" s="11"/>
      <c r="W550" s="11"/>
      <c r="X550" s="12"/>
      <c r="Y550" s="12"/>
      <c r="Z550" s="12"/>
      <c r="AA550" s="44"/>
      <c r="AB550" s="45"/>
      <c r="AC550" s="12"/>
      <c r="AD550" s="12"/>
      <c r="AE550" s="12"/>
      <c r="AF550" s="12"/>
      <c r="AG550" s="44"/>
      <c r="AH550" s="45"/>
      <c r="AI550" s="12"/>
      <c r="AJ550" s="12"/>
      <c r="AK550" s="12"/>
      <c r="AL550" s="12"/>
      <c r="AM550" s="44"/>
      <c r="AN550" s="45"/>
      <c r="AO550" s="12"/>
      <c r="AP550" s="12"/>
      <c r="AQ550" s="12"/>
      <c r="AR550" s="12"/>
      <c r="AS550" s="44"/>
      <c r="AT550" s="45"/>
      <c r="AU550" s="12"/>
      <c r="AV550" s="12"/>
      <c r="AW550" s="12"/>
      <c r="AX550" s="12"/>
      <c r="AY550" s="44"/>
      <c r="AZ550" s="45"/>
      <c r="BA550" s="12"/>
      <c r="BB550" s="12"/>
      <c r="BC550" s="12"/>
      <c r="BD550" s="12"/>
      <c r="BE550" s="44"/>
      <c r="BF550" s="45"/>
      <c r="BG550" s="12"/>
      <c r="BH550" s="12"/>
      <c r="BI550" s="12"/>
      <c r="BJ550" s="12"/>
      <c r="BK550" s="44"/>
      <c r="BL550" s="45"/>
      <c r="BM550" s="12"/>
      <c r="BN550" s="12"/>
      <c r="BO550" s="12"/>
      <c r="BP550" s="12"/>
      <c r="BQ550" s="48"/>
      <c r="BR550" s="49"/>
      <c r="BS550" s="13"/>
      <c r="BT550" s="12"/>
      <c r="BV550" s="14"/>
      <c r="BW550" s="50"/>
      <c r="BX550" s="54"/>
      <c r="BY550" s="14"/>
      <c r="BZ550" s="14"/>
      <c r="CA550" s="14"/>
      <c r="CB550" s="14"/>
      <c r="CC550" s="14"/>
      <c r="CD550" s="14"/>
      <c r="CE550" s="14"/>
      <c r="CF550" s="15"/>
      <c r="CG550" s="14"/>
      <c r="CH550" s="14"/>
      <c r="CI550" s="50"/>
      <c r="CJ550" s="54"/>
      <c r="CK550" s="14"/>
      <c r="CL550" s="14"/>
      <c r="CM550" s="14"/>
      <c r="CN550" s="14"/>
      <c r="CO550" s="14"/>
      <c r="CP550" s="14"/>
      <c r="CQ550" s="14"/>
      <c r="CR550" s="14"/>
      <c r="CS550" s="14"/>
      <c r="CT550" s="14"/>
      <c r="CU550" s="16"/>
      <c r="CV550" s="14"/>
      <c r="CW550" s="50"/>
      <c r="CX550" s="17"/>
    </row>
    <row r="551" spans="4:102" x14ac:dyDescent="0.25"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43"/>
      <c r="Q551" s="11"/>
      <c r="R551" s="11"/>
      <c r="S551" s="11"/>
      <c r="T551" s="11"/>
      <c r="U551" s="11"/>
      <c r="V551" s="11"/>
      <c r="W551" s="11"/>
      <c r="X551" s="12"/>
      <c r="Y551" s="12"/>
      <c r="Z551" s="12"/>
      <c r="AA551" s="44"/>
      <c r="AB551" s="45"/>
      <c r="AC551" s="12"/>
      <c r="AD551" s="12"/>
      <c r="AE551" s="12"/>
      <c r="AF551" s="12"/>
      <c r="AG551" s="44"/>
      <c r="AH551" s="45"/>
      <c r="AI551" s="12"/>
      <c r="AJ551" s="12"/>
      <c r="AK551" s="12"/>
      <c r="AL551" s="12"/>
      <c r="AM551" s="44"/>
      <c r="AN551" s="45"/>
      <c r="AO551" s="12"/>
      <c r="AP551" s="12"/>
      <c r="AQ551" s="12"/>
      <c r="AR551" s="12"/>
      <c r="AS551" s="44"/>
      <c r="AT551" s="45"/>
      <c r="AU551" s="12"/>
      <c r="AV551" s="12"/>
      <c r="AW551" s="12"/>
      <c r="AX551" s="12"/>
      <c r="AY551" s="44"/>
      <c r="AZ551" s="45"/>
      <c r="BA551" s="12"/>
      <c r="BB551" s="12"/>
      <c r="BC551" s="12"/>
      <c r="BD551" s="12"/>
      <c r="BE551" s="44"/>
      <c r="BF551" s="45"/>
      <c r="BG551" s="12"/>
      <c r="BH551" s="12"/>
      <c r="BI551" s="12"/>
      <c r="BJ551" s="12"/>
      <c r="BK551" s="44"/>
      <c r="BL551" s="45"/>
      <c r="BM551" s="12"/>
      <c r="BN551" s="12"/>
      <c r="BO551" s="12"/>
      <c r="BP551" s="12"/>
      <c r="BQ551" s="48"/>
      <c r="BR551" s="49"/>
      <c r="BS551" s="13"/>
      <c r="BT551" s="12"/>
      <c r="BV551" s="14"/>
      <c r="BW551" s="50"/>
      <c r="BX551" s="54"/>
      <c r="BY551" s="14"/>
      <c r="BZ551" s="14"/>
      <c r="CA551" s="14"/>
      <c r="CB551" s="14"/>
      <c r="CC551" s="14"/>
      <c r="CD551" s="14"/>
      <c r="CE551" s="14"/>
      <c r="CF551" s="15"/>
      <c r="CG551" s="14"/>
      <c r="CH551" s="14"/>
      <c r="CI551" s="50"/>
      <c r="CJ551" s="54"/>
      <c r="CK551" s="14"/>
      <c r="CL551" s="14"/>
      <c r="CM551" s="14"/>
      <c r="CN551" s="14"/>
      <c r="CO551" s="14"/>
      <c r="CP551" s="14"/>
      <c r="CQ551" s="14"/>
      <c r="CR551" s="14"/>
      <c r="CS551" s="14"/>
      <c r="CT551" s="14"/>
      <c r="CU551" s="16"/>
      <c r="CV551" s="14"/>
      <c r="CW551" s="50"/>
      <c r="CX551" s="17"/>
    </row>
    <row r="552" spans="4:102" x14ac:dyDescent="0.25"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43"/>
      <c r="Q552" s="11"/>
      <c r="R552" s="11"/>
      <c r="S552" s="11"/>
      <c r="T552" s="11"/>
      <c r="U552" s="11"/>
      <c r="V552" s="11"/>
      <c r="W552" s="11"/>
      <c r="X552" s="12"/>
      <c r="Y552" s="12"/>
      <c r="Z552" s="12"/>
      <c r="AA552" s="44"/>
      <c r="AB552" s="45"/>
      <c r="AC552" s="12"/>
      <c r="AD552" s="12"/>
      <c r="AE552" s="12"/>
      <c r="AF552" s="12"/>
      <c r="AG552" s="44"/>
      <c r="AH552" s="45"/>
      <c r="AI552" s="12"/>
      <c r="AJ552" s="12"/>
      <c r="AK552" s="12"/>
      <c r="AL552" s="12"/>
      <c r="AM552" s="44"/>
      <c r="AN552" s="45"/>
      <c r="AO552" s="12"/>
      <c r="AP552" s="12"/>
      <c r="AQ552" s="12"/>
      <c r="AR552" s="12"/>
      <c r="AS552" s="44"/>
      <c r="AT552" s="45"/>
      <c r="AU552" s="12"/>
      <c r="AV552" s="12"/>
      <c r="AW552" s="12"/>
      <c r="AX552" s="12"/>
      <c r="AY552" s="44"/>
      <c r="AZ552" s="45"/>
      <c r="BA552" s="12"/>
      <c r="BB552" s="12"/>
      <c r="BC552" s="12"/>
      <c r="BD552" s="12"/>
      <c r="BE552" s="44"/>
      <c r="BF552" s="45"/>
      <c r="BG552" s="12"/>
      <c r="BH552" s="12"/>
      <c r="BI552" s="12"/>
      <c r="BJ552" s="12"/>
      <c r="BK552" s="44"/>
      <c r="BL552" s="45"/>
      <c r="BM552" s="12"/>
      <c r="BN552" s="12"/>
      <c r="BO552" s="12"/>
      <c r="BP552" s="12"/>
      <c r="BQ552" s="48"/>
      <c r="BR552" s="49"/>
      <c r="BS552" s="13"/>
      <c r="BT552" s="12"/>
      <c r="BV552" s="14"/>
      <c r="BW552" s="50"/>
      <c r="BX552" s="54"/>
      <c r="BY552" s="14"/>
      <c r="BZ552" s="14"/>
      <c r="CA552" s="14"/>
      <c r="CB552" s="14"/>
      <c r="CC552" s="14"/>
      <c r="CD552" s="14"/>
      <c r="CE552" s="14"/>
      <c r="CF552" s="15"/>
      <c r="CG552" s="14"/>
      <c r="CH552" s="14"/>
      <c r="CI552" s="50"/>
      <c r="CJ552" s="54"/>
      <c r="CK552" s="14"/>
      <c r="CL552" s="14"/>
      <c r="CM552" s="14"/>
      <c r="CN552" s="14"/>
      <c r="CO552" s="14"/>
      <c r="CP552" s="14"/>
      <c r="CQ552" s="14"/>
      <c r="CR552" s="14"/>
      <c r="CS552" s="14"/>
      <c r="CT552" s="14"/>
      <c r="CU552" s="16"/>
      <c r="CV552" s="14"/>
      <c r="CW552" s="50"/>
      <c r="CX552" s="17"/>
    </row>
    <row r="553" spans="4:102" x14ac:dyDescent="0.25"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43"/>
      <c r="Q553" s="11"/>
      <c r="R553" s="11"/>
      <c r="S553" s="11"/>
      <c r="T553" s="11"/>
      <c r="U553" s="11"/>
      <c r="V553" s="11"/>
      <c r="W553" s="11"/>
      <c r="X553" s="12"/>
      <c r="Y553" s="12"/>
      <c r="Z553" s="12"/>
      <c r="AA553" s="44"/>
      <c r="AB553" s="45"/>
      <c r="AC553" s="12"/>
      <c r="AD553" s="12"/>
      <c r="AE553" s="12"/>
      <c r="AF553" s="12"/>
      <c r="AG553" s="44"/>
      <c r="AH553" s="45"/>
      <c r="AI553" s="12"/>
      <c r="AJ553" s="12"/>
      <c r="AK553" s="12"/>
      <c r="AL553" s="12"/>
      <c r="AM553" s="44"/>
      <c r="AN553" s="45"/>
      <c r="AO553" s="12"/>
      <c r="AP553" s="12"/>
      <c r="AQ553" s="12"/>
      <c r="AR553" s="12"/>
      <c r="AS553" s="44"/>
      <c r="AT553" s="45"/>
      <c r="AU553" s="12"/>
      <c r="AV553" s="12"/>
      <c r="AW553" s="12"/>
      <c r="AX553" s="12"/>
      <c r="AY553" s="44"/>
      <c r="AZ553" s="45"/>
      <c r="BA553" s="12"/>
      <c r="BB553" s="12"/>
      <c r="BC553" s="12"/>
      <c r="BD553" s="12"/>
      <c r="BE553" s="44"/>
      <c r="BF553" s="45"/>
      <c r="BG553" s="12"/>
      <c r="BH553" s="12"/>
      <c r="BI553" s="12"/>
      <c r="BJ553" s="12"/>
      <c r="BK553" s="44"/>
      <c r="BL553" s="45"/>
      <c r="BM553" s="12"/>
      <c r="BN553" s="12"/>
      <c r="BO553" s="12"/>
      <c r="BP553" s="12"/>
      <c r="BQ553" s="48"/>
      <c r="BR553" s="49"/>
      <c r="BS553" s="13"/>
      <c r="BT553" s="12"/>
      <c r="BV553" s="14"/>
      <c r="BW553" s="50"/>
      <c r="BX553" s="54"/>
      <c r="BY553" s="14"/>
      <c r="BZ553" s="14"/>
      <c r="CA553" s="14"/>
      <c r="CB553" s="14"/>
      <c r="CC553" s="14"/>
      <c r="CD553" s="14"/>
      <c r="CE553" s="14"/>
      <c r="CF553" s="15"/>
      <c r="CG553" s="14"/>
      <c r="CH553" s="14"/>
      <c r="CI553" s="50"/>
      <c r="CJ553" s="54"/>
      <c r="CK553" s="14"/>
      <c r="CL553" s="14"/>
      <c r="CM553" s="14"/>
      <c r="CN553" s="14"/>
      <c r="CO553" s="14"/>
      <c r="CP553" s="14"/>
      <c r="CQ553" s="14"/>
      <c r="CR553" s="14"/>
      <c r="CS553" s="14"/>
      <c r="CT553" s="14"/>
      <c r="CU553" s="16"/>
      <c r="CV553" s="14"/>
      <c r="CW553" s="50"/>
      <c r="CX553" s="17"/>
    </row>
    <row r="554" spans="4:102" x14ac:dyDescent="0.25"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43"/>
      <c r="Q554" s="11"/>
      <c r="R554" s="11"/>
      <c r="S554" s="11"/>
      <c r="T554" s="11"/>
      <c r="U554" s="11"/>
      <c r="V554" s="11"/>
      <c r="W554" s="11"/>
      <c r="X554" s="12"/>
      <c r="Y554" s="12"/>
      <c r="Z554" s="12"/>
      <c r="AA554" s="44"/>
      <c r="AB554" s="45"/>
      <c r="AC554" s="12"/>
      <c r="AD554" s="12"/>
      <c r="AE554" s="12"/>
      <c r="AF554" s="12"/>
      <c r="AG554" s="44"/>
      <c r="AH554" s="45"/>
      <c r="AI554" s="12"/>
      <c r="AJ554" s="12"/>
      <c r="AK554" s="12"/>
      <c r="AL554" s="12"/>
      <c r="AM554" s="44"/>
      <c r="AN554" s="45"/>
      <c r="AO554" s="12"/>
      <c r="AP554" s="12"/>
      <c r="AQ554" s="12"/>
      <c r="AR554" s="12"/>
      <c r="AS554" s="44"/>
      <c r="AT554" s="45"/>
      <c r="AU554" s="12"/>
      <c r="AV554" s="12"/>
      <c r="AW554" s="12"/>
      <c r="AX554" s="12"/>
      <c r="AY554" s="44"/>
      <c r="AZ554" s="45"/>
      <c r="BA554" s="12"/>
      <c r="BB554" s="12"/>
      <c r="BC554" s="12"/>
      <c r="BD554" s="12"/>
      <c r="BE554" s="44"/>
      <c r="BF554" s="45"/>
      <c r="BG554" s="12"/>
      <c r="BH554" s="12"/>
      <c r="BI554" s="12"/>
      <c r="BJ554" s="12"/>
      <c r="BK554" s="44"/>
      <c r="BL554" s="45"/>
      <c r="BM554" s="12"/>
      <c r="BN554" s="12"/>
      <c r="BO554" s="12"/>
      <c r="BP554" s="12"/>
      <c r="BQ554" s="48"/>
      <c r="BR554" s="49"/>
      <c r="BS554" s="13"/>
      <c r="BT554" s="12"/>
      <c r="BV554" s="14"/>
      <c r="BW554" s="50"/>
      <c r="BX554" s="54"/>
      <c r="BY554" s="14"/>
      <c r="BZ554" s="14"/>
      <c r="CA554" s="14"/>
      <c r="CB554" s="14"/>
      <c r="CC554" s="14"/>
      <c r="CD554" s="14"/>
      <c r="CE554" s="14"/>
      <c r="CF554" s="15"/>
      <c r="CG554" s="14"/>
      <c r="CH554" s="14"/>
      <c r="CI554" s="50"/>
      <c r="CJ554" s="54"/>
      <c r="CK554" s="14"/>
      <c r="CL554" s="14"/>
      <c r="CM554" s="14"/>
      <c r="CN554" s="14"/>
      <c r="CO554" s="14"/>
      <c r="CP554" s="14"/>
      <c r="CQ554" s="14"/>
      <c r="CR554" s="14"/>
      <c r="CS554" s="14"/>
      <c r="CT554" s="14"/>
      <c r="CU554" s="16"/>
      <c r="CV554" s="14"/>
      <c r="CW554" s="50"/>
      <c r="CX554" s="17"/>
    </row>
    <row r="555" spans="4:102" x14ac:dyDescent="0.25"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43"/>
      <c r="Q555" s="11"/>
      <c r="R555" s="11"/>
      <c r="S555" s="11"/>
      <c r="T555" s="11"/>
      <c r="U555" s="11"/>
      <c r="V555" s="11"/>
      <c r="W555" s="11"/>
      <c r="X555" s="12"/>
      <c r="Y555" s="12"/>
      <c r="Z555" s="12"/>
      <c r="AA555" s="44"/>
      <c r="AB555" s="45"/>
      <c r="AC555" s="12"/>
      <c r="AD555" s="12"/>
      <c r="AE555" s="12"/>
      <c r="AF555" s="12"/>
      <c r="AG555" s="44"/>
      <c r="AH555" s="45"/>
      <c r="AI555" s="12"/>
      <c r="AJ555" s="12"/>
      <c r="AK555" s="12"/>
      <c r="AL555" s="12"/>
      <c r="AM555" s="44"/>
      <c r="AN555" s="45"/>
      <c r="AO555" s="12"/>
      <c r="AP555" s="12"/>
      <c r="AQ555" s="12"/>
      <c r="AR555" s="12"/>
      <c r="AS555" s="44"/>
      <c r="AT555" s="45"/>
      <c r="AU555" s="12"/>
      <c r="AV555" s="12"/>
      <c r="AW555" s="12"/>
      <c r="AX555" s="12"/>
      <c r="AY555" s="44"/>
      <c r="AZ555" s="45"/>
      <c r="BA555" s="12"/>
      <c r="BB555" s="12"/>
      <c r="BC555" s="12"/>
      <c r="BD555" s="12"/>
      <c r="BE555" s="44"/>
      <c r="BF555" s="45"/>
      <c r="BG555" s="12"/>
      <c r="BH555" s="12"/>
      <c r="BI555" s="12"/>
      <c r="BJ555" s="12"/>
      <c r="BK555" s="44"/>
      <c r="BL555" s="45"/>
      <c r="BM555" s="12"/>
      <c r="BN555" s="12"/>
      <c r="BO555" s="12"/>
      <c r="BP555" s="12"/>
      <c r="BQ555" s="48"/>
      <c r="BR555" s="49"/>
      <c r="BS555" s="13"/>
      <c r="BT555" s="12"/>
      <c r="BV555" s="14"/>
      <c r="BW555" s="50"/>
      <c r="BX555" s="54"/>
      <c r="BY555" s="14"/>
      <c r="BZ555" s="14"/>
      <c r="CA555" s="14"/>
      <c r="CB555" s="14"/>
      <c r="CC555" s="14"/>
      <c r="CD555" s="14"/>
      <c r="CE555" s="14"/>
      <c r="CF555" s="15"/>
      <c r="CG555" s="14"/>
      <c r="CH555" s="14"/>
      <c r="CI555" s="50"/>
      <c r="CJ555" s="54"/>
      <c r="CK555" s="14"/>
      <c r="CL555" s="14"/>
      <c r="CM555" s="14"/>
      <c r="CN555" s="14"/>
      <c r="CO555" s="14"/>
      <c r="CP555" s="14"/>
      <c r="CQ555" s="14"/>
      <c r="CR555" s="14"/>
      <c r="CS555" s="14"/>
      <c r="CT555" s="14"/>
      <c r="CU555" s="16"/>
      <c r="CV555" s="14"/>
      <c r="CW555" s="50"/>
      <c r="CX555" s="17"/>
    </row>
    <row r="556" spans="4:102" x14ac:dyDescent="0.25"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43"/>
      <c r="Q556" s="11"/>
      <c r="R556" s="11"/>
      <c r="S556" s="11"/>
      <c r="T556" s="11"/>
      <c r="U556" s="11"/>
      <c r="V556" s="11"/>
      <c r="W556" s="11"/>
      <c r="X556" s="12"/>
      <c r="Y556" s="12"/>
      <c r="Z556" s="12"/>
      <c r="AA556" s="44"/>
      <c r="AB556" s="45"/>
      <c r="AC556" s="12"/>
      <c r="AD556" s="12"/>
      <c r="AE556" s="12"/>
      <c r="AF556" s="12"/>
      <c r="AG556" s="44"/>
      <c r="AH556" s="45"/>
      <c r="AI556" s="12"/>
      <c r="AJ556" s="12"/>
      <c r="AK556" s="12"/>
      <c r="AL556" s="12"/>
      <c r="AM556" s="44"/>
      <c r="AN556" s="45"/>
      <c r="AO556" s="12"/>
      <c r="AP556" s="12"/>
      <c r="AQ556" s="12"/>
      <c r="AR556" s="12"/>
      <c r="AS556" s="44"/>
      <c r="AT556" s="45"/>
      <c r="AU556" s="12"/>
      <c r="AV556" s="12"/>
      <c r="AW556" s="12"/>
      <c r="AX556" s="12"/>
      <c r="AY556" s="44"/>
      <c r="AZ556" s="45"/>
      <c r="BA556" s="12"/>
      <c r="BB556" s="12"/>
      <c r="BC556" s="12"/>
      <c r="BD556" s="12"/>
      <c r="BE556" s="44"/>
      <c r="BF556" s="45"/>
      <c r="BG556" s="12"/>
      <c r="BH556" s="12"/>
      <c r="BI556" s="12"/>
      <c r="BJ556" s="12"/>
      <c r="BK556" s="44"/>
      <c r="BL556" s="45"/>
      <c r="BM556" s="12"/>
      <c r="BN556" s="12"/>
      <c r="BO556" s="12"/>
      <c r="BP556" s="12"/>
      <c r="BQ556" s="48"/>
      <c r="BR556" s="49"/>
      <c r="BS556" s="13"/>
      <c r="BT556" s="12"/>
      <c r="BV556" s="14"/>
      <c r="BW556" s="50"/>
      <c r="BX556" s="54"/>
      <c r="BY556" s="14"/>
      <c r="BZ556" s="14"/>
      <c r="CA556" s="14"/>
      <c r="CB556" s="14"/>
      <c r="CC556" s="14"/>
      <c r="CD556" s="14"/>
      <c r="CE556" s="14"/>
      <c r="CF556" s="15"/>
      <c r="CG556" s="14"/>
      <c r="CH556" s="14"/>
      <c r="CI556" s="50"/>
      <c r="CJ556" s="54"/>
      <c r="CK556" s="14"/>
      <c r="CL556" s="14"/>
      <c r="CM556" s="14"/>
      <c r="CN556" s="14"/>
      <c r="CO556" s="14"/>
      <c r="CP556" s="14"/>
      <c r="CQ556" s="14"/>
      <c r="CR556" s="14"/>
      <c r="CS556" s="14"/>
      <c r="CT556" s="14"/>
      <c r="CU556" s="16"/>
      <c r="CV556" s="14"/>
      <c r="CW556" s="50"/>
      <c r="CX556" s="17"/>
    </row>
    <row r="557" spans="4:102" x14ac:dyDescent="0.25"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43"/>
      <c r="Q557" s="11"/>
      <c r="R557" s="11"/>
      <c r="S557" s="11"/>
      <c r="T557" s="11"/>
      <c r="U557" s="11"/>
      <c r="V557" s="11"/>
      <c r="W557" s="11"/>
      <c r="X557" s="12"/>
      <c r="Y557" s="12"/>
      <c r="Z557" s="12"/>
      <c r="AA557" s="44"/>
      <c r="AB557" s="45"/>
      <c r="AC557" s="12"/>
      <c r="AD557" s="12"/>
      <c r="AE557" s="12"/>
      <c r="AF557" s="12"/>
      <c r="AG557" s="44"/>
      <c r="AH557" s="45"/>
      <c r="AI557" s="12"/>
      <c r="AJ557" s="12"/>
      <c r="AK557" s="12"/>
      <c r="AL557" s="12"/>
      <c r="AM557" s="44"/>
      <c r="AN557" s="45"/>
      <c r="AO557" s="12"/>
      <c r="AP557" s="12"/>
      <c r="AQ557" s="12"/>
      <c r="AR557" s="12"/>
      <c r="AS557" s="44"/>
      <c r="AT557" s="45"/>
      <c r="AU557" s="12"/>
      <c r="AV557" s="12"/>
      <c r="AW557" s="12"/>
      <c r="AX557" s="12"/>
      <c r="AY557" s="44"/>
      <c r="AZ557" s="45"/>
      <c r="BA557" s="12"/>
      <c r="BB557" s="12"/>
      <c r="BC557" s="12"/>
      <c r="BD557" s="12"/>
      <c r="BE557" s="44"/>
      <c r="BF557" s="45"/>
      <c r="BG557" s="12"/>
      <c r="BH557" s="12"/>
      <c r="BI557" s="12"/>
      <c r="BJ557" s="12"/>
      <c r="BK557" s="44"/>
      <c r="BL557" s="45"/>
      <c r="BM557" s="12"/>
      <c r="BN557" s="12"/>
      <c r="BO557" s="12"/>
      <c r="BP557" s="12"/>
      <c r="BQ557" s="48"/>
      <c r="BR557" s="49"/>
      <c r="BS557" s="13"/>
      <c r="BT557" s="12"/>
      <c r="BV557" s="14"/>
      <c r="BW557" s="50"/>
      <c r="BX557" s="54"/>
      <c r="BY557" s="14"/>
      <c r="BZ557" s="14"/>
      <c r="CA557" s="14"/>
      <c r="CB557" s="14"/>
      <c r="CC557" s="14"/>
      <c r="CD557" s="14"/>
      <c r="CE557" s="14"/>
      <c r="CF557" s="15"/>
      <c r="CG557" s="14"/>
      <c r="CH557" s="14"/>
      <c r="CI557" s="50"/>
      <c r="CJ557" s="54"/>
      <c r="CK557" s="14"/>
      <c r="CL557" s="14"/>
      <c r="CM557" s="14"/>
      <c r="CN557" s="14"/>
      <c r="CO557" s="14"/>
      <c r="CP557" s="14"/>
      <c r="CQ557" s="14"/>
      <c r="CR557" s="14"/>
      <c r="CS557" s="14"/>
      <c r="CT557" s="14"/>
      <c r="CU557" s="16"/>
      <c r="CV557" s="14"/>
      <c r="CW557" s="50"/>
      <c r="CX557" s="17"/>
    </row>
    <row r="558" spans="4:102" x14ac:dyDescent="0.25"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43"/>
      <c r="Q558" s="11"/>
      <c r="R558" s="11"/>
      <c r="S558" s="11"/>
      <c r="T558" s="11"/>
      <c r="U558" s="11"/>
      <c r="V558" s="11"/>
      <c r="W558" s="11"/>
      <c r="X558" s="12"/>
      <c r="Y558" s="12"/>
      <c r="Z558" s="12"/>
      <c r="AA558" s="44"/>
      <c r="AB558" s="45"/>
      <c r="AC558" s="12"/>
      <c r="AD558" s="12"/>
      <c r="AE558" s="12"/>
      <c r="AF558" s="12"/>
      <c r="AG558" s="44"/>
      <c r="AH558" s="45"/>
      <c r="AI558" s="12"/>
      <c r="AJ558" s="12"/>
      <c r="AK558" s="12"/>
      <c r="AL558" s="12"/>
      <c r="AM558" s="44"/>
      <c r="AN558" s="45"/>
      <c r="AO558" s="12"/>
      <c r="AP558" s="12"/>
      <c r="AQ558" s="12"/>
      <c r="AR558" s="12"/>
      <c r="AS558" s="44"/>
      <c r="AT558" s="45"/>
      <c r="AU558" s="12"/>
      <c r="AV558" s="12"/>
      <c r="AW558" s="12"/>
      <c r="AX558" s="12"/>
      <c r="AY558" s="44"/>
      <c r="AZ558" s="45"/>
      <c r="BA558" s="12"/>
      <c r="BB558" s="12"/>
      <c r="BC558" s="12"/>
      <c r="BD558" s="12"/>
      <c r="BE558" s="44"/>
      <c r="BF558" s="45"/>
      <c r="BG558" s="12"/>
      <c r="BH558" s="12"/>
      <c r="BI558" s="12"/>
      <c r="BJ558" s="12"/>
      <c r="BK558" s="44"/>
      <c r="BL558" s="45"/>
      <c r="BM558" s="12"/>
      <c r="BN558" s="12"/>
      <c r="BO558" s="12"/>
      <c r="BP558" s="12"/>
      <c r="BQ558" s="48"/>
      <c r="BR558" s="49"/>
      <c r="BS558" s="13"/>
      <c r="BT558" s="12"/>
      <c r="BV558" s="14"/>
      <c r="BW558" s="50"/>
      <c r="BX558" s="54"/>
      <c r="BY558" s="14"/>
      <c r="BZ558" s="14"/>
      <c r="CA558" s="14"/>
      <c r="CB558" s="14"/>
      <c r="CC558" s="14"/>
      <c r="CD558" s="14"/>
      <c r="CE558" s="14"/>
      <c r="CF558" s="15"/>
      <c r="CG558" s="14"/>
      <c r="CH558" s="14"/>
      <c r="CI558" s="50"/>
      <c r="CJ558" s="54"/>
      <c r="CK558" s="14"/>
      <c r="CL558" s="14"/>
      <c r="CM558" s="14"/>
      <c r="CN558" s="14"/>
      <c r="CO558" s="14"/>
      <c r="CP558" s="14"/>
      <c r="CQ558" s="14"/>
      <c r="CR558" s="14"/>
      <c r="CS558" s="14"/>
      <c r="CT558" s="14"/>
      <c r="CU558" s="16"/>
      <c r="CV558" s="14"/>
      <c r="CW558" s="50"/>
      <c r="CX558" s="17"/>
    </row>
    <row r="559" spans="4:102" x14ac:dyDescent="0.25"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43"/>
      <c r="Q559" s="11"/>
      <c r="R559" s="11"/>
      <c r="S559" s="11"/>
      <c r="T559" s="11"/>
      <c r="U559" s="11"/>
      <c r="V559" s="11"/>
      <c r="W559" s="11"/>
      <c r="X559" s="12"/>
      <c r="Y559" s="12"/>
      <c r="Z559" s="12"/>
      <c r="AA559" s="44"/>
      <c r="AB559" s="45"/>
      <c r="AC559" s="12"/>
      <c r="AD559" s="12"/>
      <c r="AE559" s="12"/>
      <c r="AF559" s="12"/>
      <c r="AG559" s="44"/>
      <c r="AH559" s="45"/>
      <c r="AI559" s="12"/>
      <c r="AJ559" s="12"/>
      <c r="AK559" s="12"/>
      <c r="AL559" s="12"/>
      <c r="AM559" s="44"/>
      <c r="AN559" s="45"/>
      <c r="AO559" s="12"/>
      <c r="AP559" s="12"/>
      <c r="AQ559" s="12"/>
      <c r="AR559" s="12"/>
      <c r="AS559" s="44"/>
      <c r="AT559" s="45"/>
      <c r="AU559" s="12"/>
      <c r="AV559" s="12"/>
      <c r="AW559" s="12"/>
      <c r="AX559" s="12"/>
      <c r="AY559" s="44"/>
      <c r="AZ559" s="45"/>
      <c r="BA559" s="12"/>
      <c r="BB559" s="12"/>
      <c r="BC559" s="12"/>
      <c r="BD559" s="12"/>
      <c r="BE559" s="44"/>
      <c r="BF559" s="45"/>
      <c r="BG559" s="12"/>
      <c r="BH559" s="12"/>
      <c r="BI559" s="12"/>
      <c r="BJ559" s="12"/>
      <c r="BK559" s="44"/>
      <c r="BL559" s="45"/>
      <c r="BM559" s="12"/>
      <c r="BN559" s="12"/>
      <c r="BO559" s="12"/>
      <c r="BP559" s="12"/>
      <c r="BQ559" s="48"/>
      <c r="BR559" s="49"/>
      <c r="BS559" s="13"/>
      <c r="BT559" s="12"/>
      <c r="BV559" s="14"/>
      <c r="BW559" s="50"/>
      <c r="BX559" s="54"/>
      <c r="BY559" s="14"/>
      <c r="BZ559" s="14"/>
      <c r="CA559" s="14"/>
      <c r="CB559" s="14"/>
      <c r="CC559" s="14"/>
      <c r="CD559" s="14"/>
      <c r="CE559" s="14"/>
      <c r="CF559" s="15"/>
      <c r="CG559" s="14"/>
      <c r="CH559" s="14"/>
      <c r="CI559" s="50"/>
      <c r="CJ559" s="54"/>
      <c r="CK559" s="14"/>
      <c r="CL559" s="14"/>
      <c r="CM559" s="14"/>
      <c r="CN559" s="14"/>
      <c r="CO559" s="14"/>
      <c r="CP559" s="14"/>
      <c r="CQ559" s="14"/>
      <c r="CR559" s="14"/>
      <c r="CS559" s="14"/>
      <c r="CT559" s="14"/>
      <c r="CU559" s="16"/>
      <c r="CV559" s="14"/>
      <c r="CW559" s="50"/>
      <c r="CX559" s="17"/>
    </row>
    <row r="560" spans="4:102" x14ac:dyDescent="0.25"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43"/>
      <c r="Q560" s="11"/>
      <c r="R560" s="11"/>
      <c r="S560" s="11"/>
      <c r="T560" s="11"/>
      <c r="U560" s="11"/>
      <c r="V560" s="11"/>
      <c r="W560" s="11"/>
      <c r="X560" s="12"/>
      <c r="Y560" s="12"/>
      <c r="Z560" s="12"/>
      <c r="AA560" s="44"/>
      <c r="AB560" s="45"/>
      <c r="AC560" s="12"/>
      <c r="AD560" s="12"/>
      <c r="AE560" s="12"/>
      <c r="AF560" s="12"/>
      <c r="AG560" s="44"/>
      <c r="AH560" s="45"/>
      <c r="AI560" s="12"/>
      <c r="AJ560" s="12"/>
      <c r="AK560" s="12"/>
      <c r="AL560" s="12"/>
      <c r="AM560" s="44"/>
      <c r="AN560" s="45"/>
      <c r="AO560" s="12"/>
      <c r="AP560" s="12"/>
      <c r="AQ560" s="12"/>
      <c r="AR560" s="12"/>
      <c r="AS560" s="44"/>
      <c r="AT560" s="45"/>
      <c r="AU560" s="12"/>
      <c r="AV560" s="12"/>
      <c r="AW560" s="12"/>
      <c r="AX560" s="12"/>
      <c r="AY560" s="44"/>
      <c r="AZ560" s="45"/>
      <c r="BA560" s="12"/>
      <c r="BB560" s="12"/>
      <c r="BC560" s="12"/>
      <c r="BD560" s="12"/>
      <c r="BE560" s="44"/>
      <c r="BF560" s="45"/>
      <c r="BG560" s="12"/>
      <c r="BH560" s="12"/>
      <c r="BI560" s="12"/>
      <c r="BJ560" s="12"/>
      <c r="BK560" s="44"/>
      <c r="BL560" s="45"/>
      <c r="BM560" s="12"/>
      <c r="BN560" s="12"/>
      <c r="BO560" s="12"/>
      <c r="BP560" s="12"/>
      <c r="BQ560" s="48"/>
      <c r="BR560" s="49"/>
      <c r="BS560" s="13"/>
      <c r="BT560" s="12"/>
      <c r="BV560" s="14"/>
      <c r="BW560" s="50"/>
      <c r="BX560" s="54"/>
      <c r="BY560" s="14"/>
      <c r="BZ560" s="14"/>
      <c r="CA560" s="14"/>
      <c r="CB560" s="14"/>
      <c r="CC560" s="14"/>
      <c r="CD560" s="14"/>
      <c r="CE560" s="14"/>
      <c r="CF560" s="15"/>
      <c r="CG560" s="14"/>
      <c r="CH560" s="14"/>
      <c r="CI560" s="50"/>
      <c r="CJ560" s="54"/>
      <c r="CK560" s="14"/>
      <c r="CL560" s="14"/>
      <c r="CM560" s="14"/>
      <c r="CN560" s="14"/>
      <c r="CO560" s="14"/>
      <c r="CP560" s="14"/>
      <c r="CQ560" s="14"/>
      <c r="CR560" s="14"/>
      <c r="CS560" s="14"/>
      <c r="CT560" s="14"/>
      <c r="CU560" s="16"/>
      <c r="CV560" s="14"/>
      <c r="CW560" s="50"/>
      <c r="CX560" s="17"/>
    </row>
    <row r="561" spans="4:102" x14ac:dyDescent="0.25"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43"/>
      <c r="Q561" s="11"/>
      <c r="R561" s="11"/>
      <c r="S561" s="11"/>
      <c r="T561" s="11"/>
      <c r="U561" s="11"/>
      <c r="V561" s="11"/>
      <c r="W561" s="11"/>
      <c r="X561" s="12"/>
      <c r="Y561" s="12"/>
      <c r="Z561" s="12"/>
      <c r="AA561" s="44"/>
      <c r="AB561" s="45"/>
      <c r="AC561" s="12"/>
      <c r="AD561" s="12"/>
      <c r="AE561" s="12"/>
      <c r="AF561" s="12"/>
      <c r="AG561" s="44"/>
      <c r="AH561" s="45"/>
      <c r="AI561" s="12"/>
      <c r="AJ561" s="12"/>
      <c r="AK561" s="12"/>
      <c r="AL561" s="12"/>
      <c r="AM561" s="44"/>
      <c r="AN561" s="45"/>
      <c r="AO561" s="12"/>
      <c r="AP561" s="12"/>
      <c r="AQ561" s="12"/>
      <c r="AR561" s="12"/>
      <c r="AS561" s="44"/>
      <c r="AT561" s="45"/>
      <c r="AU561" s="12"/>
      <c r="AV561" s="12"/>
      <c r="AW561" s="12"/>
      <c r="AX561" s="12"/>
      <c r="AY561" s="44"/>
      <c r="AZ561" s="45"/>
      <c r="BA561" s="12"/>
      <c r="BB561" s="12"/>
      <c r="BC561" s="12"/>
      <c r="BD561" s="12"/>
      <c r="BE561" s="44"/>
      <c r="BF561" s="45"/>
      <c r="BG561" s="12"/>
      <c r="BH561" s="12"/>
      <c r="BI561" s="12"/>
      <c r="BJ561" s="12"/>
      <c r="BK561" s="44"/>
      <c r="BL561" s="45"/>
      <c r="BM561" s="12"/>
      <c r="BN561" s="12"/>
      <c r="BO561" s="12"/>
      <c r="BP561" s="12"/>
      <c r="BQ561" s="48"/>
      <c r="BR561" s="49"/>
      <c r="BS561" s="13"/>
      <c r="BT561" s="12"/>
      <c r="BV561" s="14"/>
      <c r="BW561" s="50"/>
      <c r="BX561" s="54"/>
      <c r="BY561" s="14"/>
      <c r="BZ561" s="14"/>
      <c r="CA561" s="14"/>
      <c r="CB561" s="14"/>
      <c r="CC561" s="14"/>
      <c r="CD561" s="14"/>
      <c r="CE561" s="14"/>
      <c r="CF561" s="15"/>
      <c r="CG561" s="14"/>
      <c r="CH561" s="14"/>
      <c r="CI561" s="50"/>
      <c r="CJ561" s="54"/>
      <c r="CK561" s="14"/>
      <c r="CL561" s="14"/>
      <c r="CM561" s="14"/>
      <c r="CN561" s="14"/>
      <c r="CO561" s="14"/>
      <c r="CP561" s="14"/>
      <c r="CQ561" s="14"/>
      <c r="CR561" s="14"/>
      <c r="CS561" s="14"/>
      <c r="CT561" s="14"/>
      <c r="CU561" s="16"/>
      <c r="CV561" s="14"/>
      <c r="CW561" s="50"/>
      <c r="CX561" s="17"/>
    </row>
    <row r="562" spans="4:102" x14ac:dyDescent="0.25"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43"/>
      <c r="Q562" s="11"/>
      <c r="R562" s="11"/>
      <c r="S562" s="11"/>
      <c r="T562" s="11"/>
      <c r="U562" s="11"/>
      <c r="V562" s="11"/>
      <c r="W562" s="11"/>
      <c r="X562" s="12"/>
      <c r="Y562" s="12"/>
      <c r="Z562" s="12"/>
      <c r="AA562" s="44"/>
      <c r="AB562" s="45"/>
      <c r="AC562" s="12"/>
      <c r="AD562" s="12"/>
      <c r="AE562" s="12"/>
      <c r="AF562" s="12"/>
      <c r="AG562" s="44"/>
      <c r="AH562" s="45"/>
      <c r="AI562" s="12"/>
      <c r="AJ562" s="12"/>
      <c r="AK562" s="12"/>
      <c r="AL562" s="12"/>
      <c r="AM562" s="44"/>
      <c r="AN562" s="45"/>
      <c r="AO562" s="12"/>
      <c r="AP562" s="12"/>
      <c r="AQ562" s="12"/>
      <c r="AR562" s="12"/>
      <c r="AS562" s="44"/>
      <c r="AT562" s="45"/>
      <c r="AU562" s="12"/>
      <c r="AV562" s="12"/>
      <c r="AW562" s="12"/>
      <c r="AX562" s="12"/>
      <c r="AY562" s="44"/>
      <c r="AZ562" s="45"/>
      <c r="BA562" s="12"/>
      <c r="BB562" s="12"/>
      <c r="BC562" s="12"/>
      <c r="BD562" s="12"/>
      <c r="BE562" s="44"/>
      <c r="BF562" s="45"/>
      <c r="BG562" s="12"/>
      <c r="BH562" s="12"/>
      <c r="BI562" s="12"/>
      <c r="BJ562" s="12"/>
      <c r="BK562" s="44"/>
      <c r="BL562" s="45"/>
      <c r="BM562" s="12"/>
      <c r="BN562" s="12"/>
      <c r="BO562" s="12"/>
      <c r="BP562" s="12"/>
      <c r="BQ562" s="48"/>
      <c r="BR562" s="49"/>
      <c r="BS562" s="13"/>
      <c r="BT562" s="12"/>
      <c r="BV562" s="14"/>
      <c r="BW562" s="50"/>
      <c r="BX562" s="54"/>
      <c r="BY562" s="14"/>
      <c r="BZ562" s="14"/>
      <c r="CA562" s="14"/>
      <c r="CB562" s="14"/>
      <c r="CC562" s="14"/>
      <c r="CD562" s="14"/>
      <c r="CE562" s="14"/>
      <c r="CF562" s="15"/>
      <c r="CG562" s="14"/>
      <c r="CH562" s="14"/>
      <c r="CI562" s="50"/>
      <c r="CJ562" s="54"/>
      <c r="CK562" s="14"/>
      <c r="CL562" s="14"/>
      <c r="CM562" s="14"/>
      <c r="CN562" s="14"/>
      <c r="CO562" s="14"/>
      <c r="CP562" s="14"/>
      <c r="CQ562" s="14"/>
      <c r="CR562" s="14"/>
      <c r="CS562" s="14"/>
      <c r="CT562" s="14"/>
      <c r="CU562" s="16"/>
      <c r="CV562" s="14"/>
      <c r="CW562" s="50"/>
      <c r="CX562" s="17"/>
    </row>
    <row r="563" spans="4:102" x14ac:dyDescent="0.25"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43"/>
      <c r="Q563" s="11"/>
      <c r="R563" s="11"/>
      <c r="S563" s="11"/>
      <c r="T563" s="11"/>
      <c r="U563" s="11"/>
      <c r="V563" s="11"/>
      <c r="W563" s="11"/>
      <c r="X563" s="12"/>
      <c r="Y563" s="12"/>
      <c r="Z563" s="12"/>
      <c r="AA563" s="44"/>
      <c r="AB563" s="45"/>
      <c r="AC563" s="12"/>
      <c r="AD563" s="12"/>
      <c r="AE563" s="12"/>
      <c r="AF563" s="12"/>
      <c r="AG563" s="44"/>
      <c r="AH563" s="45"/>
      <c r="AI563" s="12"/>
      <c r="AJ563" s="12"/>
      <c r="AK563" s="12"/>
      <c r="AL563" s="12"/>
      <c r="AM563" s="44"/>
      <c r="AN563" s="45"/>
      <c r="AO563" s="12"/>
      <c r="AP563" s="12"/>
      <c r="AQ563" s="12"/>
      <c r="AR563" s="12"/>
      <c r="AS563" s="44"/>
      <c r="AT563" s="45"/>
      <c r="AU563" s="12"/>
      <c r="AV563" s="12"/>
      <c r="AW563" s="12"/>
      <c r="AX563" s="12"/>
      <c r="AY563" s="44"/>
      <c r="AZ563" s="45"/>
      <c r="BA563" s="12"/>
      <c r="BB563" s="12"/>
      <c r="BC563" s="12"/>
      <c r="BD563" s="12"/>
      <c r="BE563" s="44"/>
      <c r="BF563" s="45"/>
      <c r="BG563" s="12"/>
      <c r="BH563" s="12"/>
      <c r="BI563" s="12"/>
      <c r="BJ563" s="12"/>
      <c r="BK563" s="44"/>
      <c r="BL563" s="45"/>
      <c r="BM563" s="12"/>
      <c r="BN563" s="12"/>
      <c r="BO563" s="12"/>
      <c r="BP563" s="12"/>
      <c r="BQ563" s="48"/>
      <c r="BR563" s="49"/>
      <c r="BS563" s="13"/>
      <c r="BT563" s="12"/>
      <c r="BV563" s="14"/>
      <c r="BW563" s="50"/>
      <c r="BX563" s="54"/>
      <c r="BY563" s="14"/>
      <c r="BZ563" s="14"/>
      <c r="CA563" s="14"/>
      <c r="CB563" s="14"/>
      <c r="CC563" s="14"/>
      <c r="CD563" s="14"/>
      <c r="CE563" s="14"/>
      <c r="CF563" s="15"/>
      <c r="CG563" s="14"/>
      <c r="CH563" s="14"/>
      <c r="CI563" s="50"/>
      <c r="CJ563" s="54"/>
      <c r="CK563" s="14"/>
      <c r="CL563" s="14"/>
      <c r="CM563" s="14"/>
      <c r="CN563" s="14"/>
      <c r="CO563" s="14"/>
      <c r="CP563" s="14"/>
      <c r="CQ563" s="14"/>
      <c r="CR563" s="14"/>
      <c r="CS563" s="14"/>
      <c r="CT563" s="14"/>
      <c r="CU563" s="16"/>
      <c r="CV563" s="14"/>
      <c r="CW563" s="50"/>
      <c r="CX563" s="17"/>
    </row>
    <row r="564" spans="4:102" x14ac:dyDescent="0.25"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43"/>
      <c r="Q564" s="11"/>
      <c r="R564" s="11"/>
      <c r="S564" s="11"/>
      <c r="T564" s="11"/>
      <c r="U564" s="11"/>
      <c r="V564" s="11"/>
      <c r="W564" s="11"/>
      <c r="X564" s="12"/>
      <c r="Y564" s="12"/>
      <c r="Z564" s="12"/>
      <c r="AA564" s="44"/>
      <c r="AB564" s="45"/>
      <c r="AC564" s="12"/>
      <c r="AD564" s="12"/>
      <c r="AE564" s="12"/>
      <c r="AF564" s="12"/>
      <c r="AG564" s="44"/>
      <c r="AH564" s="45"/>
      <c r="AI564" s="12"/>
      <c r="AJ564" s="12"/>
      <c r="AK564" s="12"/>
      <c r="AL564" s="12"/>
      <c r="AM564" s="44"/>
      <c r="AN564" s="45"/>
      <c r="AO564" s="12"/>
      <c r="AP564" s="12"/>
      <c r="AQ564" s="12"/>
      <c r="AR564" s="12"/>
      <c r="AS564" s="44"/>
      <c r="AT564" s="45"/>
      <c r="AU564" s="12"/>
      <c r="AV564" s="12"/>
      <c r="AW564" s="12"/>
      <c r="AX564" s="12"/>
      <c r="AY564" s="44"/>
      <c r="AZ564" s="45"/>
      <c r="BA564" s="12"/>
      <c r="BB564" s="12"/>
      <c r="BC564" s="12"/>
      <c r="BD564" s="12"/>
      <c r="BE564" s="44"/>
      <c r="BF564" s="45"/>
      <c r="BG564" s="12"/>
      <c r="BH564" s="12"/>
      <c r="BI564" s="12"/>
      <c r="BJ564" s="12"/>
      <c r="BK564" s="44"/>
      <c r="BL564" s="45"/>
      <c r="BM564" s="12"/>
      <c r="BN564" s="12"/>
      <c r="BO564" s="12"/>
      <c r="BP564" s="12"/>
      <c r="BQ564" s="48"/>
      <c r="BR564" s="49"/>
      <c r="BS564" s="13"/>
      <c r="BT564" s="12"/>
      <c r="BV564" s="14"/>
      <c r="BW564" s="50"/>
      <c r="BX564" s="54"/>
      <c r="BY564" s="14"/>
      <c r="BZ564" s="14"/>
      <c r="CA564" s="14"/>
      <c r="CB564" s="14"/>
      <c r="CC564" s="14"/>
      <c r="CD564" s="14"/>
      <c r="CE564" s="14"/>
      <c r="CF564" s="15"/>
      <c r="CG564" s="14"/>
      <c r="CH564" s="14"/>
      <c r="CI564" s="50"/>
      <c r="CJ564" s="54"/>
      <c r="CK564" s="14"/>
      <c r="CL564" s="14"/>
      <c r="CM564" s="14"/>
      <c r="CN564" s="14"/>
      <c r="CO564" s="14"/>
      <c r="CP564" s="14"/>
      <c r="CQ564" s="14"/>
      <c r="CR564" s="14"/>
      <c r="CS564" s="14"/>
      <c r="CT564" s="14"/>
      <c r="CU564" s="16"/>
      <c r="CV564" s="14"/>
      <c r="CW564" s="50"/>
      <c r="CX564" s="17"/>
    </row>
    <row r="565" spans="4:102" x14ac:dyDescent="0.25"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43"/>
      <c r="Q565" s="11"/>
      <c r="R565" s="11"/>
      <c r="S565" s="11"/>
      <c r="T565" s="11"/>
      <c r="U565" s="11"/>
      <c r="V565" s="11"/>
      <c r="W565" s="11"/>
      <c r="X565" s="12"/>
      <c r="Y565" s="12"/>
      <c r="Z565" s="12"/>
      <c r="AA565" s="44"/>
      <c r="AB565" s="45"/>
      <c r="AC565" s="12"/>
      <c r="AD565" s="12"/>
      <c r="AE565" s="12"/>
      <c r="AF565" s="12"/>
      <c r="AG565" s="44"/>
      <c r="AH565" s="45"/>
      <c r="AI565" s="12"/>
      <c r="AJ565" s="12"/>
      <c r="AK565" s="12"/>
      <c r="AL565" s="12"/>
      <c r="AM565" s="44"/>
      <c r="AN565" s="45"/>
      <c r="AO565" s="12"/>
      <c r="AP565" s="12"/>
      <c r="AQ565" s="12"/>
      <c r="AR565" s="12"/>
      <c r="AS565" s="44"/>
      <c r="AT565" s="45"/>
      <c r="AU565" s="12"/>
      <c r="AV565" s="12"/>
      <c r="AW565" s="12"/>
      <c r="AX565" s="12"/>
      <c r="AY565" s="44"/>
      <c r="AZ565" s="45"/>
      <c r="BA565" s="12"/>
      <c r="BB565" s="12"/>
      <c r="BC565" s="12"/>
      <c r="BD565" s="12"/>
      <c r="BE565" s="44"/>
      <c r="BF565" s="45"/>
      <c r="BG565" s="12"/>
      <c r="BH565" s="12"/>
      <c r="BI565" s="12"/>
      <c r="BJ565" s="12"/>
      <c r="BK565" s="44"/>
      <c r="BL565" s="45"/>
      <c r="BM565" s="12"/>
      <c r="BN565" s="12"/>
      <c r="BO565" s="12"/>
      <c r="BP565" s="12"/>
      <c r="BQ565" s="48"/>
      <c r="BR565" s="49"/>
      <c r="BS565" s="13"/>
      <c r="BT565" s="12"/>
      <c r="BV565" s="14"/>
      <c r="BW565" s="50"/>
      <c r="BX565" s="54"/>
      <c r="BY565" s="14"/>
      <c r="BZ565" s="14"/>
      <c r="CA565" s="14"/>
      <c r="CB565" s="14"/>
      <c r="CC565" s="14"/>
      <c r="CD565" s="14"/>
      <c r="CE565" s="14"/>
      <c r="CF565" s="15"/>
      <c r="CG565" s="14"/>
      <c r="CH565" s="14"/>
      <c r="CI565" s="50"/>
      <c r="CJ565" s="54"/>
      <c r="CK565" s="14"/>
      <c r="CL565" s="14"/>
      <c r="CM565" s="14"/>
      <c r="CN565" s="14"/>
      <c r="CO565" s="14"/>
      <c r="CP565" s="14"/>
      <c r="CQ565" s="14"/>
      <c r="CR565" s="14"/>
      <c r="CS565" s="14"/>
      <c r="CT565" s="14"/>
      <c r="CU565" s="16"/>
      <c r="CV565" s="14"/>
      <c r="CW565" s="50"/>
      <c r="CX565" s="17"/>
    </row>
    <row r="566" spans="4:102" x14ac:dyDescent="0.25"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43"/>
      <c r="Q566" s="11"/>
      <c r="R566" s="11"/>
      <c r="S566" s="11"/>
      <c r="T566" s="11"/>
      <c r="U566" s="11"/>
      <c r="V566" s="11"/>
      <c r="W566" s="11"/>
      <c r="X566" s="12"/>
      <c r="Y566" s="12"/>
      <c r="Z566" s="12"/>
      <c r="AA566" s="44"/>
      <c r="AB566" s="45"/>
      <c r="AC566" s="12"/>
      <c r="AD566" s="12"/>
      <c r="AE566" s="12"/>
      <c r="AF566" s="12"/>
      <c r="AG566" s="44"/>
      <c r="AH566" s="45"/>
      <c r="AI566" s="12"/>
      <c r="AJ566" s="12"/>
      <c r="AK566" s="12"/>
      <c r="AL566" s="12"/>
      <c r="AM566" s="44"/>
      <c r="AN566" s="45"/>
      <c r="AO566" s="12"/>
      <c r="AP566" s="12"/>
      <c r="AQ566" s="12"/>
      <c r="AR566" s="12"/>
      <c r="AS566" s="44"/>
      <c r="AT566" s="45"/>
      <c r="AU566" s="12"/>
      <c r="AV566" s="12"/>
      <c r="AW566" s="12"/>
      <c r="AX566" s="12"/>
      <c r="AY566" s="44"/>
      <c r="AZ566" s="45"/>
      <c r="BA566" s="12"/>
      <c r="BB566" s="12"/>
      <c r="BC566" s="12"/>
      <c r="BD566" s="12"/>
      <c r="BE566" s="44"/>
      <c r="BF566" s="45"/>
      <c r="BG566" s="12"/>
      <c r="BH566" s="12"/>
      <c r="BI566" s="12"/>
      <c r="BJ566" s="12"/>
      <c r="BK566" s="44"/>
      <c r="BL566" s="45"/>
      <c r="BM566" s="12"/>
      <c r="BN566" s="12"/>
      <c r="BO566" s="12"/>
      <c r="BP566" s="12"/>
      <c r="BQ566" s="48"/>
      <c r="BR566" s="49"/>
      <c r="BS566" s="13"/>
      <c r="BT566" s="12"/>
      <c r="BV566" s="14"/>
      <c r="BW566" s="50"/>
      <c r="BX566" s="54"/>
      <c r="BY566" s="14"/>
      <c r="BZ566" s="14"/>
      <c r="CA566" s="14"/>
      <c r="CB566" s="14"/>
      <c r="CC566" s="14"/>
      <c r="CD566" s="14"/>
      <c r="CE566" s="14"/>
      <c r="CF566" s="15"/>
      <c r="CG566" s="14"/>
      <c r="CH566" s="14"/>
      <c r="CI566" s="50"/>
      <c r="CJ566" s="54"/>
      <c r="CK566" s="14"/>
      <c r="CL566" s="14"/>
      <c r="CM566" s="14"/>
      <c r="CN566" s="14"/>
      <c r="CO566" s="14"/>
      <c r="CP566" s="14"/>
      <c r="CQ566" s="14"/>
      <c r="CR566" s="14"/>
      <c r="CS566" s="14"/>
      <c r="CT566" s="14"/>
      <c r="CU566" s="16"/>
      <c r="CV566" s="14"/>
      <c r="CW566" s="50"/>
      <c r="CX566" s="17"/>
    </row>
    <row r="567" spans="4:102" x14ac:dyDescent="0.25"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43"/>
      <c r="Q567" s="11"/>
      <c r="R567" s="11"/>
      <c r="S567" s="11"/>
      <c r="T567" s="11"/>
      <c r="U567" s="11"/>
      <c r="V567" s="11"/>
      <c r="W567" s="11"/>
      <c r="X567" s="12"/>
      <c r="Y567" s="12"/>
      <c r="Z567" s="12"/>
      <c r="AA567" s="44"/>
      <c r="AB567" s="45"/>
      <c r="AC567" s="12"/>
      <c r="AD567" s="12"/>
      <c r="AE567" s="12"/>
      <c r="AF567" s="12"/>
      <c r="AG567" s="44"/>
      <c r="AH567" s="45"/>
      <c r="AI567" s="12"/>
      <c r="AJ567" s="12"/>
      <c r="AK567" s="12"/>
      <c r="AL567" s="12"/>
      <c r="AM567" s="44"/>
      <c r="AN567" s="45"/>
      <c r="AO567" s="12"/>
      <c r="AP567" s="12"/>
      <c r="AQ567" s="12"/>
      <c r="AR567" s="12"/>
      <c r="AS567" s="44"/>
      <c r="AT567" s="45"/>
      <c r="AU567" s="12"/>
      <c r="AV567" s="12"/>
      <c r="AW567" s="12"/>
      <c r="AX567" s="12"/>
      <c r="AY567" s="44"/>
      <c r="AZ567" s="45"/>
      <c r="BA567" s="12"/>
      <c r="BB567" s="12"/>
      <c r="BC567" s="12"/>
      <c r="BD567" s="12"/>
      <c r="BE567" s="44"/>
      <c r="BF567" s="45"/>
      <c r="BG567" s="12"/>
      <c r="BH567" s="12"/>
      <c r="BI567" s="12"/>
      <c r="BJ567" s="12"/>
      <c r="BK567" s="44"/>
      <c r="BL567" s="45"/>
      <c r="BM567" s="12"/>
      <c r="BN567" s="12"/>
      <c r="BO567" s="12"/>
      <c r="BP567" s="12"/>
      <c r="BQ567" s="48"/>
      <c r="BR567" s="49"/>
      <c r="BS567" s="13"/>
      <c r="BT567" s="12"/>
      <c r="BV567" s="14"/>
      <c r="BW567" s="50"/>
      <c r="BX567" s="54"/>
      <c r="BY567" s="14"/>
      <c r="BZ567" s="14"/>
      <c r="CA567" s="14"/>
      <c r="CB567" s="14"/>
      <c r="CC567" s="14"/>
      <c r="CD567" s="14"/>
      <c r="CE567" s="14"/>
      <c r="CF567" s="15"/>
      <c r="CG567" s="14"/>
      <c r="CH567" s="14"/>
      <c r="CI567" s="50"/>
      <c r="CJ567" s="54"/>
      <c r="CK567" s="14"/>
      <c r="CL567" s="14"/>
      <c r="CM567" s="14"/>
      <c r="CN567" s="14"/>
      <c r="CO567" s="14"/>
      <c r="CP567" s="14"/>
      <c r="CQ567" s="14"/>
      <c r="CR567" s="14"/>
      <c r="CS567" s="14"/>
      <c r="CT567" s="14"/>
      <c r="CU567" s="16"/>
      <c r="CV567" s="14"/>
      <c r="CW567" s="50"/>
      <c r="CX567" s="17"/>
    </row>
    <row r="568" spans="4:102" x14ac:dyDescent="0.25"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43"/>
      <c r="Q568" s="11"/>
      <c r="R568" s="11"/>
      <c r="S568" s="11"/>
      <c r="T568" s="11"/>
      <c r="U568" s="11"/>
      <c r="V568" s="11"/>
      <c r="W568" s="11"/>
      <c r="X568" s="12"/>
      <c r="Y568" s="12"/>
      <c r="Z568" s="12"/>
      <c r="AA568" s="44"/>
      <c r="AB568" s="45"/>
      <c r="AC568" s="12"/>
      <c r="AD568" s="12"/>
      <c r="AE568" s="12"/>
      <c r="AF568" s="12"/>
      <c r="AG568" s="44"/>
      <c r="AH568" s="45"/>
      <c r="AI568" s="12"/>
      <c r="AJ568" s="12"/>
      <c r="AK568" s="12"/>
      <c r="AL568" s="12"/>
      <c r="AM568" s="44"/>
      <c r="AN568" s="45"/>
      <c r="AO568" s="12"/>
      <c r="AP568" s="12"/>
      <c r="AQ568" s="12"/>
      <c r="AR568" s="12"/>
      <c r="AS568" s="44"/>
      <c r="AT568" s="45"/>
      <c r="AU568" s="12"/>
      <c r="AV568" s="12"/>
      <c r="AW568" s="12"/>
      <c r="AX568" s="12"/>
      <c r="AY568" s="44"/>
      <c r="AZ568" s="45"/>
      <c r="BA568" s="12"/>
      <c r="BB568" s="12"/>
      <c r="BC568" s="12"/>
      <c r="BD568" s="12"/>
      <c r="BE568" s="44"/>
      <c r="BF568" s="45"/>
      <c r="BG568" s="12"/>
      <c r="BH568" s="12"/>
      <c r="BI568" s="12"/>
      <c r="BJ568" s="12"/>
      <c r="BK568" s="44"/>
      <c r="BL568" s="45"/>
      <c r="BM568" s="12"/>
      <c r="BN568" s="12"/>
      <c r="BO568" s="12"/>
      <c r="BP568" s="12"/>
      <c r="BQ568" s="48"/>
      <c r="BR568" s="49"/>
      <c r="BS568" s="13"/>
      <c r="BT568" s="12"/>
      <c r="BV568" s="14"/>
      <c r="BW568" s="50"/>
      <c r="BX568" s="54"/>
      <c r="BY568" s="14"/>
      <c r="BZ568" s="14"/>
      <c r="CA568" s="14"/>
      <c r="CB568" s="14"/>
      <c r="CC568" s="14"/>
      <c r="CD568" s="14"/>
      <c r="CE568" s="14"/>
      <c r="CF568" s="15"/>
      <c r="CG568" s="14"/>
      <c r="CH568" s="14"/>
      <c r="CI568" s="50"/>
      <c r="CJ568" s="54"/>
      <c r="CK568" s="14"/>
      <c r="CL568" s="14"/>
      <c r="CM568" s="14"/>
      <c r="CN568" s="14"/>
      <c r="CO568" s="14"/>
      <c r="CP568" s="14"/>
      <c r="CQ568" s="14"/>
      <c r="CR568" s="14"/>
      <c r="CS568" s="14"/>
      <c r="CT568" s="14"/>
      <c r="CU568" s="16"/>
      <c r="CV568" s="14"/>
      <c r="CW568" s="50"/>
      <c r="CX568" s="17"/>
    </row>
    <row r="569" spans="4:102" x14ac:dyDescent="0.25"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43"/>
      <c r="Q569" s="11"/>
      <c r="R569" s="11"/>
      <c r="S569" s="11"/>
      <c r="T569" s="11"/>
      <c r="U569" s="11"/>
      <c r="V569" s="11"/>
      <c r="W569" s="11"/>
      <c r="X569" s="12"/>
      <c r="Y569" s="12"/>
      <c r="Z569" s="12"/>
      <c r="AA569" s="44"/>
      <c r="AB569" s="45"/>
      <c r="AC569" s="12"/>
      <c r="AD569" s="12"/>
      <c r="AE569" s="12"/>
      <c r="AF569" s="12"/>
      <c r="AG569" s="44"/>
      <c r="AH569" s="45"/>
      <c r="AI569" s="12"/>
      <c r="AJ569" s="12"/>
      <c r="AK569" s="12"/>
      <c r="AL569" s="12"/>
      <c r="AM569" s="44"/>
      <c r="AN569" s="45"/>
      <c r="AO569" s="12"/>
      <c r="AP569" s="12"/>
      <c r="AQ569" s="12"/>
      <c r="AR569" s="12"/>
      <c r="AS569" s="44"/>
      <c r="AT569" s="45"/>
      <c r="AU569" s="12"/>
      <c r="AV569" s="12"/>
      <c r="AW569" s="12"/>
      <c r="AX569" s="12"/>
      <c r="AY569" s="44"/>
      <c r="AZ569" s="45"/>
      <c r="BA569" s="12"/>
      <c r="BB569" s="12"/>
      <c r="BC569" s="12"/>
      <c r="BD569" s="12"/>
      <c r="BE569" s="44"/>
      <c r="BF569" s="45"/>
      <c r="BG569" s="12"/>
      <c r="BH569" s="12"/>
      <c r="BI569" s="12"/>
      <c r="BJ569" s="12"/>
      <c r="BK569" s="44"/>
      <c r="BL569" s="45"/>
      <c r="BM569" s="12"/>
      <c r="BN569" s="12"/>
      <c r="BO569" s="12"/>
      <c r="BP569" s="12"/>
      <c r="BQ569" s="48"/>
      <c r="BR569" s="49"/>
      <c r="BS569" s="13"/>
      <c r="BT569" s="12"/>
      <c r="BV569" s="14"/>
      <c r="BW569" s="50"/>
      <c r="BX569" s="54"/>
      <c r="BY569" s="14"/>
      <c r="BZ569" s="14"/>
      <c r="CA569" s="14"/>
      <c r="CB569" s="14"/>
      <c r="CC569" s="14"/>
      <c r="CD569" s="14"/>
      <c r="CE569" s="14"/>
      <c r="CF569" s="15"/>
      <c r="CG569" s="14"/>
      <c r="CH569" s="14"/>
      <c r="CI569" s="50"/>
      <c r="CJ569" s="54"/>
      <c r="CK569" s="14"/>
      <c r="CL569" s="14"/>
      <c r="CM569" s="14"/>
      <c r="CN569" s="14"/>
      <c r="CO569" s="14"/>
      <c r="CP569" s="14"/>
      <c r="CQ569" s="14"/>
      <c r="CR569" s="14"/>
      <c r="CS569" s="14"/>
      <c r="CT569" s="14"/>
      <c r="CU569" s="16"/>
      <c r="CV569" s="14"/>
      <c r="CW569" s="50"/>
      <c r="CX569" s="17"/>
    </row>
    <row r="570" spans="4:102" x14ac:dyDescent="0.25"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43"/>
      <c r="Q570" s="11"/>
      <c r="R570" s="11"/>
      <c r="S570" s="11"/>
      <c r="T570" s="11"/>
      <c r="U570" s="11"/>
      <c r="V570" s="11"/>
      <c r="W570" s="11"/>
      <c r="X570" s="12"/>
      <c r="Y570" s="12"/>
      <c r="Z570" s="12"/>
      <c r="AA570" s="44"/>
      <c r="AB570" s="45"/>
      <c r="AC570" s="12"/>
      <c r="AD570" s="12"/>
      <c r="AE570" s="12"/>
      <c r="AF570" s="12"/>
      <c r="AG570" s="44"/>
      <c r="AH570" s="45"/>
      <c r="AI570" s="12"/>
      <c r="AJ570" s="12"/>
      <c r="AK570" s="12"/>
      <c r="AL570" s="12"/>
      <c r="AM570" s="44"/>
      <c r="AN570" s="45"/>
      <c r="AO570" s="12"/>
      <c r="AP570" s="12"/>
      <c r="AQ570" s="12"/>
      <c r="AR570" s="12"/>
      <c r="AS570" s="44"/>
      <c r="AT570" s="45"/>
      <c r="AU570" s="12"/>
      <c r="AV570" s="12"/>
      <c r="AW570" s="12"/>
      <c r="AX570" s="12"/>
      <c r="AY570" s="44"/>
      <c r="AZ570" s="45"/>
      <c r="BA570" s="12"/>
      <c r="BB570" s="12"/>
      <c r="BC570" s="12"/>
      <c r="BD570" s="12"/>
      <c r="BE570" s="44"/>
      <c r="BF570" s="45"/>
      <c r="BG570" s="12"/>
      <c r="BH570" s="12"/>
      <c r="BI570" s="12"/>
      <c r="BJ570" s="12"/>
      <c r="BK570" s="44"/>
      <c r="BL570" s="45"/>
      <c r="BM570" s="12"/>
      <c r="BN570" s="12"/>
      <c r="BO570" s="12"/>
      <c r="BP570" s="12"/>
      <c r="BQ570" s="48"/>
      <c r="BR570" s="49"/>
      <c r="BS570" s="13"/>
      <c r="BT570" s="12"/>
      <c r="BV570" s="14"/>
      <c r="BW570" s="50"/>
      <c r="BX570" s="54"/>
      <c r="BY570" s="14"/>
      <c r="BZ570" s="14"/>
      <c r="CA570" s="14"/>
      <c r="CB570" s="14"/>
      <c r="CC570" s="14"/>
      <c r="CD570" s="14"/>
      <c r="CE570" s="14"/>
      <c r="CF570" s="15"/>
      <c r="CG570" s="14"/>
      <c r="CH570" s="14"/>
      <c r="CI570" s="50"/>
      <c r="CJ570" s="54"/>
      <c r="CK570" s="14"/>
      <c r="CL570" s="14"/>
      <c r="CM570" s="14"/>
      <c r="CN570" s="14"/>
      <c r="CO570" s="14"/>
      <c r="CP570" s="14"/>
      <c r="CQ570" s="14"/>
      <c r="CR570" s="14"/>
      <c r="CS570" s="14"/>
      <c r="CT570" s="14"/>
      <c r="CU570" s="16"/>
      <c r="CV570" s="14"/>
      <c r="CW570" s="50"/>
      <c r="CX570" s="17"/>
    </row>
    <row r="571" spans="4:102" x14ac:dyDescent="0.25"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43"/>
      <c r="Q571" s="11"/>
      <c r="R571" s="11"/>
      <c r="S571" s="11"/>
      <c r="T571" s="11"/>
      <c r="U571" s="11"/>
      <c r="V571" s="11"/>
      <c r="W571" s="11"/>
      <c r="X571" s="12"/>
      <c r="Y571" s="12"/>
      <c r="Z571" s="12"/>
      <c r="AA571" s="44"/>
      <c r="AB571" s="45"/>
      <c r="AC571" s="12"/>
      <c r="AD571" s="12"/>
      <c r="AE571" s="12"/>
      <c r="AF571" s="12"/>
      <c r="AG571" s="44"/>
      <c r="AH571" s="45"/>
      <c r="AI571" s="12"/>
      <c r="AJ571" s="12"/>
      <c r="AK571" s="12"/>
      <c r="AL571" s="12"/>
      <c r="AM571" s="44"/>
      <c r="AN571" s="45"/>
      <c r="AO571" s="12"/>
      <c r="AP571" s="12"/>
      <c r="AQ571" s="12"/>
      <c r="AR571" s="12"/>
      <c r="AS571" s="44"/>
      <c r="AT571" s="45"/>
      <c r="AU571" s="12"/>
      <c r="AV571" s="12"/>
      <c r="AW571" s="12"/>
      <c r="AX571" s="12"/>
      <c r="AY571" s="44"/>
      <c r="AZ571" s="45"/>
      <c r="BA571" s="12"/>
      <c r="BB571" s="12"/>
      <c r="BC571" s="12"/>
      <c r="BD571" s="12"/>
      <c r="BE571" s="44"/>
      <c r="BF571" s="45"/>
      <c r="BG571" s="12"/>
      <c r="BH571" s="12"/>
      <c r="BI571" s="12"/>
      <c r="BJ571" s="12"/>
      <c r="BK571" s="44"/>
      <c r="BL571" s="45"/>
      <c r="BM571" s="12"/>
      <c r="BN571" s="12"/>
      <c r="BO571" s="12"/>
      <c r="BP571" s="12"/>
      <c r="BQ571" s="48"/>
      <c r="BR571" s="49"/>
      <c r="BS571" s="13"/>
      <c r="BT571" s="12"/>
      <c r="BV571" s="14"/>
      <c r="BW571" s="50"/>
      <c r="BX571" s="54"/>
      <c r="BY571" s="14"/>
      <c r="BZ571" s="14"/>
      <c r="CA571" s="14"/>
      <c r="CB571" s="14"/>
      <c r="CC571" s="14"/>
      <c r="CD571" s="14"/>
      <c r="CE571" s="14"/>
      <c r="CF571" s="15"/>
      <c r="CG571" s="14"/>
      <c r="CH571" s="14"/>
      <c r="CI571" s="50"/>
      <c r="CJ571" s="54"/>
      <c r="CK571" s="14"/>
      <c r="CL571" s="14"/>
      <c r="CM571" s="14"/>
      <c r="CN571" s="14"/>
      <c r="CO571" s="14"/>
      <c r="CP571" s="14"/>
      <c r="CQ571" s="14"/>
      <c r="CR571" s="14"/>
      <c r="CS571" s="14"/>
      <c r="CT571" s="14"/>
      <c r="CU571" s="16"/>
      <c r="CV571" s="14"/>
      <c r="CW571" s="50"/>
      <c r="CX571" s="17"/>
    </row>
    <row r="572" spans="4:102" x14ac:dyDescent="0.25"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43"/>
      <c r="Q572" s="11"/>
      <c r="R572" s="11"/>
      <c r="S572" s="11"/>
      <c r="T572" s="11"/>
      <c r="U572" s="11"/>
      <c r="V572" s="11"/>
      <c r="W572" s="11"/>
      <c r="X572" s="12"/>
      <c r="Y572" s="12"/>
      <c r="Z572" s="12"/>
      <c r="AA572" s="44"/>
      <c r="AB572" s="45"/>
      <c r="AC572" s="12"/>
      <c r="AD572" s="12"/>
      <c r="AE572" s="12"/>
      <c r="AF572" s="12"/>
      <c r="AG572" s="44"/>
      <c r="AH572" s="45"/>
      <c r="AI572" s="12"/>
      <c r="AJ572" s="12"/>
      <c r="AK572" s="12"/>
      <c r="AL572" s="12"/>
      <c r="AM572" s="44"/>
      <c r="AN572" s="45"/>
      <c r="AO572" s="12"/>
      <c r="AP572" s="12"/>
      <c r="AQ572" s="12"/>
      <c r="AR572" s="12"/>
      <c r="AS572" s="44"/>
      <c r="AT572" s="45"/>
      <c r="AU572" s="12"/>
      <c r="AV572" s="12"/>
      <c r="AW572" s="12"/>
      <c r="AX572" s="12"/>
      <c r="AY572" s="44"/>
      <c r="AZ572" s="45"/>
      <c r="BA572" s="12"/>
      <c r="BB572" s="12"/>
      <c r="BC572" s="12"/>
      <c r="BD572" s="12"/>
      <c r="BE572" s="44"/>
      <c r="BF572" s="45"/>
      <c r="BG572" s="12"/>
      <c r="BH572" s="12"/>
      <c r="BI572" s="12"/>
      <c r="BJ572" s="12"/>
      <c r="BK572" s="44"/>
      <c r="BL572" s="45"/>
      <c r="BM572" s="12"/>
      <c r="BN572" s="12"/>
      <c r="BO572" s="12"/>
      <c r="BP572" s="12"/>
      <c r="BQ572" s="48"/>
      <c r="BR572" s="49"/>
      <c r="BS572" s="13"/>
      <c r="BT572" s="12"/>
      <c r="BV572" s="14"/>
      <c r="BW572" s="50"/>
      <c r="BX572" s="54"/>
      <c r="BY572" s="14"/>
      <c r="BZ572" s="14"/>
      <c r="CA572" s="14"/>
      <c r="CB572" s="14"/>
      <c r="CC572" s="14"/>
      <c r="CD572" s="14"/>
      <c r="CE572" s="14"/>
      <c r="CF572" s="15"/>
      <c r="CG572" s="14"/>
      <c r="CH572" s="14"/>
      <c r="CI572" s="50"/>
      <c r="CJ572" s="54"/>
      <c r="CK572" s="14"/>
      <c r="CL572" s="14"/>
      <c r="CM572" s="14"/>
      <c r="CN572" s="14"/>
      <c r="CO572" s="14"/>
      <c r="CP572" s="14"/>
      <c r="CQ572" s="14"/>
      <c r="CR572" s="14"/>
      <c r="CS572" s="14"/>
      <c r="CT572" s="14"/>
      <c r="CU572" s="16"/>
      <c r="CV572" s="14"/>
      <c r="CW572" s="50"/>
      <c r="CX572" s="17"/>
    </row>
    <row r="573" spans="4:102" x14ac:dyDescent="0.25"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43"/>
      <c r="Q573" s="11"/>
      <c r="R573" s="11"/>
      <c r="S573" s="11"/>
      <c r="T573" s="11"/>
      <c r="U573" s="11"/>
      <c r="V573" s="11"/>
      <c r="W573" s="11"/>
      <c r="X573" s="12"/>
      <c r="Y573" s="12"/>
      <c r="Z573" s="12"/>
      <c r="AA573" s="44"/>
      <c r="AB573" s="45"/>
      <c r="AC573" s="12"/>
      <c r="AD573" s="12"/>
      <c r="AE573" s="12"/>
      <c r="AF573" s="12"/>
      <c r="AG573" s="44"/>
      <c r="AH573" s="45"/>
      <c r="AI573" s="12"/>
      <c r="AJ573" s="12"/>
      <c r="AK573" s="12"/>
      <c r="AL573" s="12"/>
      <c r="AM573" s="44"/>
      <c r="AN573" s="45"/>
      <c r="AO573" s="12"/>
      <c r="AP573" s="12"/>
      <c r="AQ573" s="12"/>
      <c r="AR573" s="12"/>
      <c r="AS573" s="44"/>
      <c r="AT573" s="45"/>
      <c r="AU573" s="12"/>
      <c r="AV573" s="12"/>
      <c r="AW573" s="12"/>
      <c r="AX573" s="12"/>
      <c r="AY573" s="44"/>
      <c r="AZ573" s="45"/>
      <c r="BA573" s="12"/>
      <c r="BB573" s="12"/>
      <c r="BC573" s="12"/>
      <c r="BD573" s="12"/>
      <c r="BE573" s="44"/>
      <c r="BF573" s="45"/>
      <c r="BG573" s="12"/>
      <c r="BH573" s="12"/>
      <c r="BI573" s="12"/>
      <c r="BJ573" s="12"/>
      <c r="BK573" s="44"/>
      <c r="BL573" s="45"/>
      <c r="BM573" s="12"/>
      <c r="BN573" s="12"/>
      <c r="BO573" s="12"/>
      <c r="BP573" s="12"/>
      <c r="BQ573" s="48"/>
      <c r="BR573" s="49"/>
      <c r="BS573" s="13"/>
      <c r="BT573" s="12"/>
      <c r="BV573" s="14"/>
      <c r="BW573" s="50"/>
      <c r="BX573" s="54"/>
      <c r="BY573" s="14"/>
      <c r="BZ573" s="14"/>
      <c r="CA573" s="14"/>
      <c r="CB573" s="14"/>
      <c r="CC573" s="14"/>
      <c r="CD573" s="14"/>
      <c r="CE573" s="14"/>
      <c r="CF573" s="15"/>
      <c r="CG573" s="14"/>
      <c r="CH573" s="14"/>
      <c r="CI573" s="50"/>
      <c r="CJ573" s="54"/>
      <c r="CK573" s="14"/>
      <c r="CL573" s="14"/>
      <c r="CM573" s="14"/>
      <c r="CN573" s="14"/>
      <c r="CO573" s="14"/>
      <c r="CP573" s="14"/>
      <c r="CQ573" s="14"/>
      <c r="CR573" s="14"/>
      <c r="CS573" s="14"/>
      <c r="CT573" s="14"/>
      <c r="CU573" s="16"/>
      <c r="CV573" s="14"/>
      <c r="CW573" s="50"/>
      <c r="CX573" s="17"/>
    </row>
    <row r="574" spans="4:102" x14ac:dyDescent="0.25"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43"/>
      <c r="Q574" s="11"/>
      <c r="R574" s="11"/>
      <c r="S574" s="11"/>
      <c r="T574" s="11"/>
      <c r="U574" s="11"/>
      <c r="V574" s="11"/>
      <c r="W574" s="11"/>
      <c r="X574" s="12"/>
      <c r="Y574" s="12"/>
      <c r="Z574" s="12"/>
      <c r="AA574" s="44"/>
      <c r="AB574" s="45"/>
      <c r="AC574" s="12"/>
      <c r="AD574" s="12"/>
      <c r="AE574" s="12"/>
      <c r="AF574" s="12"/>
      <c r="AG574" s="44"/>
      <c r="AH574" s="45"/>
      <c r="AI574" s="12"/>
      <c r="AJ574" s="12"/>
      <c r="AK574" s="12"/>
      <c r="AL574" s="12"/>
      <c r="AM574" s="44"/>
      <c r="AN574" s="45"/>
      <c r="AO574" s="12"/>
      <c r="AP574" s="12"/>
      <c r="AQ574" s="12"/>
      <c r="AR574" s="12"/>
      <c r="AS574" s="44"/>
      <c r="AT574" s="45"/>
      <c r="AU574" s="12"/>
      <c r="AV574" s="12"/>
      <c r="AW574" s="12"/>
      <c r="AX574" s="12"/>
      <c r="AY574" s="44"/>
      <c r="AZ574" s="45"/>
      <c r="BA574" s="12"/>
      <c r="BB574" s="12"/>
      <c r="BC574" s="12"/>
      <c r="BD574" s="12"/>
      <c r="BE574" s="44"/>
      <c r="BF574" s="45"/>
      <c r="BG574" s="12"/>
      <c r="BH574" s="12"/>
      <c r="BI574" s="12"/>
      <c r="BJ574" s="12"/>
      <c r="BK574" s="44"/>
      <c r="BL574" s="45"/>
      <c r="BM574" s="12"/>
      <c r="BN574" s="12"/>
      <c r="BO574" s="12"/>
      <c r="BP574" s="12"/>
      <c r="BQ574" s="48"/>
      <c r="BR574" s="49"/>
      <c r="BS574" s="13"/>
      <c r="BT574" s="12"/>
      <c r="BV574" s="14"/>
      <c r="BW574" s="50"/>
      <c r="BX574" s="54"/>
      <c r="BY574" s="14"/>
      <c r="BZ574" s="14"/>
      <c r="CA574" s="14"/>
      <c r="CB574" s="14"/>
      <c r="CC574" s="14"/>
      <c r="CD574" s="14"/>
      <c r="CE574" s="14"/>
      <c r="CF574" s="15"/>
      <c r="CG574" s="14"/>
      <c r="CH574" s="14"/>
      <c r="CI574" s="50"/>
      <c r="CJ574" s="54"/>
      <c r="CK574" s="14"/>
      <c r="CL574" s="14"/>
      <c r="CM574" s="14"/>
      <c r="CN574" s="14"/>
      <c r="CO574" s="14"/>
      <c r="CP574" s="14"/>
      <c r="CQ574" s="14"/>
      <c r="CR574" s="14"/>
      <c r="CS574" s="14"/>
      <c r="CT574" s="14"/>
      <c r="CU574" s="16"/>
      <c r="CV574" s="14"/>
      <c r="CW574" s="50"/>
      <c r="CX574" s="17"/>
    </row>
    <row r="575" spans="4:102" x14ac:dyDescent="0.25"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43"/>
      <c r="Q575" s="11"/>
      <c r="R575" s="11"/>
      <c r="S575" s="11"/>
      <c r="T575" s="11"/>
      <c r="U575" s="11"/>
      <c r="V575" s="11"/>
      <c r="W575" s="11"/>
      <c r="X575" s="12"/>
      <c r="Y575" s="12"/>
      <c r="Z575" s="12"/>
      <c r="AA575" s="44"/>
      <c r="AB575" s="45"/>
      <c r="AC575" s="12"/>
      <c r="AD575" s="12"/>
      <c r="AE575" s="12"/>
      <c r="AF575" s="12"/>
      <c r="AG575" s="44"/>
      <c r="AH575" s="45"/>
      <c r="AI575" s="12"/>
      <c r="AJ575" s="12"/>
      <c r="AK575" s="12"/>
      <c r="AL575" s="12"/>
      <c r="AM575" s="44"/>
      <c r="AN575" s="45"/>
      <c r="AO575" s="12"/>
      <c r="AP575" s="12"/>
      <c r="AQ575" s="12"/>
      <c r="AR575" s="12"/>
      <c r="AS575" s="44"/>
      <c r="AT575" s="45"/>
      <c r="AU575" s="12"/>
      <c r="AV575" s="12"/>
      <c r="AW575" s="12"/>
      <c r="AX575" s="12"/>
      <c r="AY575" s="44"/>
      <c r="AZ575" s="45"/>
      <c r="BA575" s="12"/>
      <c r="BB575" s="12"/>
      <c r="BC575" s="12"/>
      <c r="BD575" s="12"/>
      <c r="BE575" s="44"/>
      <c r="BF575" s="45"/>
      <c r="BG575" s="12"/>
      <c r="BH575" s="12"/>
      <c r="BI575" s="12"/>
      <c r="BJ575" s="12"/>
      <c r="BK575" s="44"/>
      <c r="BL575" s="45"/>
      <c r="BM575" s="12"/>
      <c r="BN575" s="12"/>
      <c r="BO575" s="12"/>
      <c r="BP575" s="12"/>
      <c r="BQ575" s="48"/>
      <c r="BR575" s="49"/>
      <c r="BS575" s="13"/>
      <c r="BT575" s="12"/>
      <c r="BV575" s="14"/>
      <c r="BW575" s="50"/>
      <c r="BX575" s="54"/>
      <c r="BY575" s="14"/>
      <c r="BZ575" s="14"/>
      <c r="CA575" s="14"/>
      <c r="CB575" s="14"/>
      <c r="CC575" s="14"/>
      <c r="CD575" s="14"/>
      <c r="CE575" s="14"/>
      <c r="CF575" s="15"/>
      <c r="CG575" s="14"/>
      <c r="CH575" s="14"/>
      <c r="CI575" s="50"/>
      <c r="CJ575" s="54"/>
      <c r="CK575" s="14"/>
      <c r="CL575" s="14"/>
      <c r="CM575" s="14"/>
      <c r="CN575" s="14"/>
      <c r="CO575" s="14"/>
      <c r="CP575" s="14"/>
      <c r="CQ575" s="14"/>
      <c r="CR575" s="14"/>
      <c r="CS575" s="14"/>
      <c r="CT575" s="14"/>
      <c r="CU575" s="16"/>
      <c r="CV575" s="14"/>
      <c r="CW575" s="50"/>
      <c r="CX575" s="17"/>
    </row>
    <row r="576" spans="4:102" x14ac:dyDescent="0.25"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43"/>
      <c r="Q576" s="11"/>
      <c r="R576" s="11"/>
      <c r="S576" s="11"/>
      <c r="T576" s="11"/>
      <c r="U576" s="11"/>
      <c r="V576" s="11"/>
      <c r="W576" s="11"/>
      <c r="X576" s="12"/>
      <c r="Y576" s="12"/>
      <c r="Z576" s="12"/>
      <c r="AA576" s="44"/>
      <c r="AB576" s="45"/>
      <c r="AC576" s="12"/>
      <c r="AD576" s="12"/>
      <c r="AE576" s="12"/>
      <c r="AF576" s="12"/>
      <c r="AG576" s="44"/>
      <c r="AH576" s="45"/>
      <c r="AI576" s="12"/>
      <c r="AJ576" s="12"/>
      <c r="AK576" s="12"/>
      <c r="AL576" s="12"/>
      <c r="AM576" s="44"/>
      <c r="AN576" s="45"/>
      <c r="AO576" s="12"/>
      <c r="AP576" s="12"/>
      <c r="AQ576" s="12"/>
      <c r="AR576" s="12"/>
      <c r="AS576" s="44"/>
      <c r="AT576" s="45"/>
      <c r="AU576" s="12"/>
      <c r="AV576" s="12"/>
      <c r="AW576" s="12"/>
      <c r="AX576" s="12"/>
      <c r="AY576" s="44"/>
      <c r="AZ576" s="45"/>
      <c r="BA576" s="12"/>
      <c r="BB576" s="12"/>
      <c r="BC576" s="12"/>
      <c r="BD576" s="12"/>
      <c r="BE576" s="44"/>
      <c r="BF576" s="45"/>
      <c r="BG576" s="12"/>
      <c r="BH576" s="12"/>
      <c r="BI576" s="12"/>
      <c r="BJ576" s="12"/>
      <c r="BK576" s="44"/>
      <c r="BL576" s="45"/>
      <c r="BM576" s="12"/>
      <c r="BN576" s="12"/>
      <c r="BO576" s="12"/>
      <c r="BP576" s="12"/>
      <c r="BQ576" s="48"/>
      <c r="BR576" s="49"/>
      <c r="BS576" s="13"/>
      <c r="BT576" s="12"/>
      <c r="BV576" s="14"/>
      <c r="BW576" s="50"/>
      <c r="BX576" s="54"/>
      <c r="BY576" s="14"/>
      <c r="BZ576" s="14"/>
      <c r="CA576" s="14"/>
      <c r="CB576" s="14"/>
      <c r="CC576" s="14"/>
      <c r="CD576" s="14"/>
      <c r="CE576" s="14"/>
      <c r="CF576" s="15"/>
      <c r="CG576" s="14"/>
      <c r="CH576" s="14"/>
      <c r="CI576" s="50"/>
      <c r="CJ576" s="54"/>
      <c r="CK576" s="14"/>
      <c r="CL576" s="14"/>
      <c r="CM576" s="14"/>
      <c r="CN576" s="14"/>
      <c r="CO576" s="14"/>
      <c r="CP576" s="14"/>
      <c r="CQ576" s="14"/>
      <c r="CR576" s="14"/>
      <c r="CS576" s="14"/>
      <c r="CT576" s="14"/>
      <c r="CU576" s="16"/>
      <c r="CV576" s="14"/>
      <c r="CW576" s="50"/>
      <c r="CX576" s="17"/>
    </row>
    <row r="577" spans="4:102" x14ac:dyDescent="0.25"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43"/>
      <c r="Q577" s="11"/>
      <c r="R577" s="11"/>
      <c r="S577" s="11"/>
      <c r="T577" s="11"/>
      <c r="U577" s="11"/>
      <c r="V577" s="11"/>
      <c r="W577" s="11"/>
      <c r="X577" s="12"/>
      <c r="Y577" s="12"/>
      <c r="Z577" s="12"/>
      <c r="AA577" s="44"/>
      <c r="AB577" s="45"/>
      <c r="AC577" s="12"/>
      <c r="AD577" s="12"/>
      <c r="AE577" s="12"/>
      <c r="AF577" s="12"/>
      <c r="AG577" s="44"/>
      <c r="AH577" s="45"/>
      <c r="AI577" s="12"/>
      <c r="AJ577" s="12"/>
      <c r="AK577" s="12"/>
      <c r="AL577" s="12"/>
      <c r="AM577" s="44"/>
      <c r="AN577" s="45"/>
      <c r="AO577" s="12"/>
      <c r="AP577" s="12"/>
      <c r="AQ577" s="12"/>
      <c r="AR577" s="12"/>
      <c r="AS577" s="44"/>
      <c r="AT577" s="45"/>
      <c r="AU577" s="12"/>
      <c r="AV577" s="12"/>
      <c r="AW577" s="12"/>
      <c r="AX577" s="12"/>
      <c r="AY577" s="44"/>
      <c r="AZ577" s="45"/>
      <c r="BA577" s="12"/>
      <c r="BB577" s="12"/>
      <c r="BC577" s="12"/>
      <c r="BD577" s="12"/>
      <c r="BE577" s="44"/>
      <c r="BF577" s="45"/>
      <c r="BG577" s="12"/>
      <c r="BH577" s="12"/>
      <c r="BI577" s="12"/>
      <c r="BJ577" s="12"/>
      <c r="BK577" s="44"/>
      <c r="BL577" s="45"/>
      <c r="BM577" s="12"/>
      <c r="BN577" s="12"/>
      <c r="BO577" s="12"/>
      <c r="BP577" s="12"/>
      <c r="BQ577" s="48"/>
      <c r="BR577" s="49"/>
      <c r="BS577" s="13"/>
      <c r="BT577" s="12"/>
      <c r="BV577" s="14"/>
      <c r="BW577" s="50"/>
      <c r="BX577" s="54"/>
      <c r="BY577" s="14"/>
      <c r="BZ577" s="14"/>
      <c r="CA577" s="14"/>
      <c r="CB577" s="14"/>
      <c r="CC577" s="14"/>
      <c r="CD577" s="14"/>
      <c r="CE577" s="14"/>
      <c r="CF577" s="15"/>
      <c r="CG577" s="14"/>
      <c r="CH577" s="14"/>
      <c r="CI577" s="50"/>
      <c r="CJ577" s="54"/>
      <c r="CK577" s="14"/>
      <c r="CL577" s="14"/>
      <c r="CM577" s="14"/>
      <c r="CN577" s="14"/>
      <c r="CO577" s="14"/>
      <c r="CP577" s="14"/>
      <c r="CQ577" s="14"/>
      <c r="CR577" s="14"/>
      <c r="CS577" s="14"/>
      <c r="CT577" s="14"/>
      <c r="CU577" s="16"/>
      <c r="CV577" s="14"/>
      <c r="CW577" s="50"/>
      <c r="CX577" s="17"/>
    </row>
    <row r="578" spans="4:102" x14ac:dyDescent="0.25"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43"/>
      <c r="Q578" s="11"/>
      <c r="R578" s="11"/>
      <c r="S578" s="11"/>
      <c r="T578" s="11"/>
      <c r="U578" s="11"/>
      <c r="V578" s="11"/>
      <c r="W578" s="11"/>
      <c r="X578" s="12"/>
      <c r="Y578" s="12"/>
      <c r="Z578" s="12"/>
      <c r="AA578" s="44"/>
      <c r="AB578" s="45"/>
      <c r="AC578" s="12"/>
      <c r="AD578" s="12"/>
      <c r="AE578" s="12"/>
      <c r="AF578" s="12"/>
      <c r="AG578" s="44"/>
      <c r="AH578" s="45"/>
      <c r="AI578" s="12"/>
      <c r="AJ578" s="12"/>
      <c r="AK578" s="12"/>
      <c r="AL578" s="12"/>
      <c r="AM578" s="44"/>
      <c r="AN578" s="45"/>
      <c r="AO578" s="12"/>
      <c r="AP578" s="12"/>
      <c r="AQ578" s="12"/>
      <c r="AR578" s="12"/>
      <c r="AS578" s="44"/>
      <c r="AT578" s="45"/>
      <c r="AU578" s="12"/>
      <c r="AV578" s="12"/>
      <c r="AW578" s="12"/>
      <c r="AX578" s="12"/>
      <c r="AY578" s="44"/>
      <c r="AZ578" s="45"/>
      <c r="BA578" s="12"/>
      <c r="BB578" s="12"/>
      <c r="BC578" s="12"/>
      <c r="BD578" s="12"/>
      <c r="BE578" s="44"/>
      <c r="BF578" s="45"/>
      <c r="BG578" s="12"/>
      <c r="BH578" s="12"/>
      <c r="BI578" s="12"/>
      <c r="BJ578" s="12"/>
      <c r="BK578" s="44"/>
      <c r="BL578" s="45"/>
      <c r="BM578" s="12"/>
      <c r="BN578" s="12"/>
      <c r="BO578" s="12"/>
      <c r="BP578" s="12"/>
      <c r="BQ578" s="48"/>
      <c r="BR578" s="49"/>
      <c r="BS578" s="13"/>
      <c r="BT578" s="12"/>
      <c r="BV578" s="14"/>
      <c r="BW578" s="50"/>
      <c r="BX578" s="54"/>
      <c r="BY578" s="14"/>
      <c r="BZ578" s="14"/>
      <c r="CA578" s="14"/>
      <c r="CB578" s="14"/>
      <c r="CC578" s="14"/>
      <c r="CD578" s="14"/>
      <c r="CE578" s="14"/>
      <c r="CF578" s="15"/>
      <c r="CG578" s="14"/>
      <c r="CH578" s="14"/>
      <c r="CI578" s="50"/>
      <c r="CJ578" s="54"/>
      <c r="CK578" s="14"/>
      <c r="CL578" s="14"/>
      <c r="CM578" s="14"/>
      <c r="CN578" s="14"/>
      <c r="CO578" s="14"/>
      <c r="CP578" s="14"/>
      <c r="CQ578" s="14"/>
      <c r="CR578" s="14"/>
      <c r="CS578" s="14"/>
      <c r="CT578" s="14"/>
      <c r="CU578" s="16"/>
      <c r="CV578" s="14"/>
      <c r="CW578" s="50"/>
      <c r="CX578" s="17"/>
    </row>
    <row r="579" spans="4:102" x14ac:dyDescent="0.25"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43"/>
      <c r="Q579" s="11"/>
      <c r="R579" s="11"/>
      <c r="S579" s="11"/>
      <c r="T579" s="11"/>
      <c r="U579" s="11"/>
      <c r="V579" s="11"/>
      <c r="W579" s="11"/>
      <c r="X579" s="12"/>
      <c r="Y579" s="12"/>
      <c r="Z579" s="12"/>
      <c r="AA579" s="44"/>
      <c r="AB579" s="45"/>
      <c r="AC579" s="12"/>
      <c r="AD579" s="12"/>
      <c r="AE579" s="12"/>
      <c r="AF579" s="12"/>
      <c r="AG579" s="44"/>
      <c r="AH579" s="45"/>
      <c r="AI579" s="12"/>
      <c r="AJ579" s="12"/>
      <c r="AK579" s="12"/>
      <c r="AL579" s="12"/>
      <c r="AM579" s="44"/>
      <c r="AN579" s="45"/>
      <c r="AO579" s="12"/>
      <c r="AP579" s="12"/>
      <c r="AQ579" s="12"/>
      <c r="AR579" s="12"/>
      <c r="AS579" s="44"/>
      <c r="AT579" s="45"/>
      <c r="AU579" s="12"/>
      <c r="AV579" s="12"/>
      <c r="AW579" s="12"/>
      <c r="AX579" s="12"/>
      <c r="AY579" s="44"/>
      <c r="AZ579" s="45"/>
      <c r="BA579" s="12"/>
      <c r="BB579" s="12"/>
      <c r="BC579" s="12"/>
      <c r="BD579" s="12"/>
      <c r="BE579" s="44"/>
      <c r="BF579" s="45"/>
      <c r="BG579" s="12"/>
      <c r="BH579" s="12"/>
      <c r="BI579" s="12"/>
      <c r="BJ579" s="12"/>
      <c r="BK579" s="44"/>
      <c r="BL579" s="45"/>
      <c r="BM579" s="12"/>
      <c r="BN579" s="12"/>
      <c r="BO579" s="12"/>
      <c r="BP579" s="12"/>
      <c r="BQ579" s="48"/>
      <c r="BR579" s="49"/>
      <c r="BS579" s="13"/>
      <c r="BT579" s="12"/>
      <c r="BV579" s="14"/>
      <c r="BW579" s="50"/>
      <c r="BX579" s="54"/>
      <c r="BY579" s="14"/>
      <c r="BZ579" s="14"/>
      <c r="CA579" s="14"/>
      <c r="CB579" s="14"/>
      <c r="CC579" s="14"/>
      <c r="CD579" s="14"/>
      <c r="CE579" s="14"/>
      <c r="CF579" s="15"/>
      <c r="CG579" s="14"/>
      <c r="CH579" s="14"/>
      <c r="CI579" s="50"/>
      <c r="CJ579" s="54"/>
      <c r="CK579" s="14"/>
      <c r="CL579" s="14"/>
      <c r="CM579" s="14"/>
      <c r="CN579" s="14"/>
      <c r="CO579" s="14"/>
      <c r="CP579" s="14"/>
      <c r="CQ579" s="14"/>
      <c r="CR579" s="14"/>
      <c r="CS579" s="14"/>
      <c r="CT579" s="14"/>
      <c r="CU579" s="16"/>
      <c r="CV579" s="14"/>
      <c r="CW579" s="50"/>
      <c r="CX579" s="17"/>
    </row>
    <row r="580" spans="4:102" x14ac:dyDescent="0.25"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43"/>
      <c r="Q580" s="11"/>
      <c r="R580" s="11"/>
      <c r="S580" s="11"/>
      <c r="T580" s="11"/>
      <c r="U580" s="11"/>
      <c r="V580" s="11"/>
      <c r="W580" s="11"/>
      <c r="X580" s="12"/>
      <c r="Y580" s="12"/>
      <c r="Z580" s="12"/>
      <c r="AA580" s="44"/>
      <c r="AB580" s="45"/>
      <c r="AC580" s="12"/>
      <c r="AD580" s="12"/>
      <c r="AE580" s="12"/>
      <c r="AF580" s="12"/>
      <c r="AG580" s="44"/>
      <c r="AH580" s="45"/>
      <c r="AI580" s="12"/>
      <c r="AJ580" s="12"/>
      <c r="AK580" s="12"/>
      <c r="AL580" s="12"/>
      <c r="AM580" s="44"/>
      <c r="AN580" s="45"/>
      <c r="AO580" s="12"/>
      <c r="AP580" s="12"/>
      <c r="AQ580" s="12"/>
      <c r="AR580" s="12"/>
      <c r="AS580" s="44"/>
      <c r="AT580" s="45"/>
      <c r="AU580" s="12"/>
      <c r="AV580" s="12"/>
      <c r="AW580" s="12"/>
      <c r="AX580" s="12"/>
      <c r="AY580" s="44"/>
      <c r="AZ580" s="45"/>
      <c r="BA580" s="12"/>
      <c r="BB580" s="12"/>
      <c r="BC580" s="12"/>
      <c r="BD580" s="12"/>
      <c r="BE580" s="44"/>
      <c r="BF580" s="45"/>
      <c r="BG580" s="12"/>
      <c r="BH580" s="12"/>
      <c r="BI580" s="12"/>
      <c r="BJ580" s="12"/>
      <c r="BK580" s="44"/>
      <c r="BL580" s="45"/>
      <c r="BM580" s="12"/>
      <c r="BN580" s="12"/>
      <c r="BO580" s="12"/>
      <c r="BP580" s="12"/>
      <c r="BQ580" s="48"/>
      <c r="BR580" s="49"/>
      <c r="BS580" s="13"/>
      <c r="BT580" s="12"/>
      <c r="BV580" s="14"/>
      <c r="BW580" s="50"/>
      <c r="BX580" s="54"/>
      <c r="BY580" s="14"/>
      <c r="BZ580" s="14"/>
      <c r="CA580" s="14"/>
      <c r="CB580" s="14"/>
      <c r="CC580" s="14"/>
      <c r="CD580" s="14"/>
      <c r="CE580" s="14"/>
      <c r="CF580" s="15"/>
      <c r="CG580" s="14"/>
      <c r="CH580" s="14"/>
      <c r="CI580" s="50"/>
      <c r="CJ580" s="54"/>
      <c r="CK580" s="14"/>
      <c r="CL580" s="14"/>
      <c r="CM580" s="14"/>
      <c r="CN580" s="14"/>
      <c r="CO580" s="14"/>
      <c r="CP580" s="14"/>
      <c r="CQ580" s="14"/>
      <c r="CR580" s="14"/>
      <c r="CS580" s="14"/>
      <c r="CT580" s="14"/>
      <c r="CU580" s="16"/>
      <c r="CV580" s="14"/>
      <c r="CW580" s="50"/>
      <c r="CX580" s="17"/>
    </row>
    <row r="581" spans="4:102" x14ac:dyDescent="0.25"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43"/>
      <c r="Q581" s="11"/>
      <c r="R581" s="11"/>
      <c r="S581" s="11"/>
      <c r="T581" s="11"/>
      <c r="U581" s="11"/>
      <c r="V581" s="11"/>
      <c r="W581" s="11"/>
      <c r="X581" s="12"/>
      <c r="Y581" s="12"/>
      <c r="Z581" s="12"/>
      <c r="AA581" s="44"/>
      <c r="AB581" s="45"/>
      <c r="AC581" s="12"/>
      <c r="AD581" s="12"/>
      <c r="AE581" s="12"/>
      <c r="AF581" s="12"/>
      <c r="AG581" s="44"/>
      <c r="AH581" s="45"/>
      <c r="AI581" s="12"/>
      <c r="AJ581" s="12"/>
      <c r="AK581" s="12"/>
      <c r="AL581" s="12"/>
      <c r="AM581" s="44"/>
      <c r="AN581" s="45"/>
      <c r="AO581" s="12"/>
      <c r="AP581" s="12"/>
      <c r="AQ581" s="12"/>
      <c r="AR581" s="12"/>
      <c r="AS581" s="44"/>
      <c r="AT581" s="45"/>
      <c r="AU581" s="12"/>
      <c r="AV581" s="12"/>
      <c r="AW581" s="12"/>
      <c r="AX581" s="12"/>
      <c r="AY581" s="44"/>
      <c r="AZ581" s="45"/>
      <c r="BA581" s="12"/>
      <c r="BB581" s="12"/>
      <c r="BC581" s="12"/>
      <c r="BD581" s="12"/>
      <c r="BE581" s="44"/>
      <c r="BF581" s="45"/>
      <c r="BG581" s="12"/>
      <c r="BH581" s="12"/>
      <c r="BI581" s="12"/>
      <c r="BJ581" s="12"/>
      <c r="BK581" s="44"/>
      <c r="BL581" s="45"/>
      <c r="BM581" s="12"/>
      <c r="BN581" s="12"/>
      <c r="BO581" s="12"/>
      <c r="BP581" s="12"/>
      <c r="BQ581" s="48"/>
      <c r="BR581" s="49"/>
      <c r="BS581" s="13"/>
      <c r="BT581" s="12"/>
      <c r="BV581" s="14"/>
      <c r="BW581" s="50"/>
      <c r="BX581" s="54"/>
      <c r="BY581" s="14"/>
      <c r="BZ581" s="14"/>
      <c r="CA581" s="14"/>
      <c r="CB581" s="14"/>
      <c r="CC581" s="14"/>
      <c r="CD581" s="14"/>
      <c r="CE581" s="14"/>
      <c r="CF581" s="15"/>
      <c r="CG581" s="14"/>
      <c r="CH581" s="14"/>
      <c r="CI581" s="50"/>
      <c r="CJ581" s="54"/>
      <c r="CK581" s="14"/>
      <c r="CL581" s="14"/>
      <c r="CM581" s="14"/>
      <c r="CN581" s="14"/>
      <c r="CO581" s="14"/>
      <c r="CP581" s="14"/>
      <c r="CQ581" s="14"/>
      <c r="CR581" s="14"/>
      <c r="CS581" s="14"/>
      <c r="CT581" s="14"/>
      <c r="CU581" s="16"/>
      <c r="CV581" s="14"/>
      <c r="CW581" s="50"/>
      <c r="CX581" s="17"/>
    </row>
    <row r="582" spans="4:102" x14ac:dyDescent="0.25"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43"/>
      <c r="Q582" s="11"/>
      <c r="R582" s="11"/>
      <c r="S582" s="11"/>
      <c r="T582" s="11"/>
      <c r="U582" s="11"/>
      <c r="V582" s="11"/>
      <c r="W582" s="11"/>
      <c r="X582" s="12"/>
      <c r="Y582" s="12"/>
      <c r="Z582" s="12"/>
      <c r="AA582" s="44"/>
      <c r="AB582" s="45"/>
      <c r="AC582" s="12"/>
      <c r="AD582" s="12"/>
      <c r="AE582" s="12"/>
      <c r="AF582" s="12"/>
      <c r="AG582" s="44"/>
      <c r="AH582" s="45"/>
      <c r="AI582" s="12"/>
      <c r="AJ582" s="12"/>
      <c r="AK582" s="12"/>
      <c r="AL582" s="12"/>
      <c r="AM582" s="44"/>
      <c r="AN582" s="45"/>
      <c r="AO582" s="12"/>
      <c r="AP582" s="12"/>
      <c r="AQ582" s="12"/>
      <c r="AR582" s="12"/>
      <c r="AS582" s="44"/>
      <c r="AT582" s="45"/>
      <c r="AU582" s="12"/>
      <c r="AV582" s="12"/>
      <c r="AW582" s="12"/>
      <c r="AX582" s="12"/>
      <c r="AY582" s="44"/>
      <c r="AZ582" s="45"/>
      <c r="BA582" s="12"/>
      <c r="BB582" s="12"/>
      <c r="BC582" s="12"/>
      <c r="BD582" s="12"/>
      <c r="BE582" s="44"/>
      <c r="BF582" s="45"/>
      <c r="BG582" s="12"/>
      <c r="BH582" s="12"/>
      <c r="BI582" s="12"/>
      <c r="BJ582" s="12"/>
      <c r="BK582" s="44"/>
      <c r="BL582" s="45"/>
      <c r="BM582" s="12"/>
      <c r="BN582" s="12"/>
      <c r="BO582" s="12"/>
      <c r="BP582" s="12"/>
      <c r="BQ582" s="48"/>
      <c r="BR582" s="49"/>
      <c r="BS582" s="13"/>
      <c r="BT582" s="12"/>
      <c r="BV582" s="14"/>
      <c r="BW582" s="50"/>
      <c r="BX582" s="54"/>
      <c r="BY582" s="14"/>
      <c r="BZ582" s="14"/>
      <c r="CA582" s="14"/>
      <c r="CB582" s="14"/>
      <c r="CC582" s="14"/>
      <c r="CD582" s="14"/>
      <c r="CE582" s="14"/>
      <c r="CF582" s="15"/>
      <c r="CG582" s="14"/>
      <c r="CH582" s="14"/>
      <c r="CI582" s="50"/>
      <c r="CJ582" s="54"/>
      <c r="CK582" s="14"/>
      <c r="CL582" s="14"/>
      <c r="CM582" s="14"/>
      <c r="CN582" s="14"/>
      <c r="CO582" s="14"/>
      <c r="CP582" s="14"/>
      <c r="CQ582" s="14"/>
      <c r="CR582" s="14"/>
      <c r="CS582" s="14"/>
      <c r="CT582" s="14"/>
      <c r="CU582" s="16"/>
      <c r="CV582" s="14"/>
      <c r="CW582" s="50"/>
      <c r="CX582" s="17"/>
    </row>
    <row r="583" spans="4:102" x14ac:dyDescent="0.25"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43"/>
      <c r="Q583" s="11"/>
      <c r="R583" s="11"/>
      <c r="S583" s="11"/>
      <c r="T583" s="11"/>
      <c r="U583" s="11"/>
      <c r="V583" s="11"/>
      <c r="W583" s="11"/>
      <c r="X583" s="12"/>
      <c r="Y583" s="12"/>
      <c r="Z583" s="12"/>
      <c r="AA583" s="44"/>
      <c r="AB583" s="45"/>
      <c r="AC583" s="12"/>
      <c r="AD583" s="12"/>
      <c r="AE583" s="12"/>
      <c r="AF583" s="12"/>
      <c r="AG583" s="44"/>
      <c r="AH583" s="45"/>
      <c r="AI583" s="12"/>
      <c r="AJ583" s="12"/>
      <c r="AK583" s="12"/>
      <c r="AL583" s="12"/>
      <c r="AM583" s="44"/>
      <c r="AN583" s="45"/>
      <c r="AO583" s="12"/>
      <c r="AP583" s="12"/>
      <c r="AQ583" s="12"/>
      <c r="AR583" s="12"/>
      <c r="AS583" s="44"/>
      <c r="AT583" s="45"/>
      <c r="AU583" s="12"/>
      <c r="AV583" s="12"/>
      <c r="AW583" s="12"/>
      <c r="AX583" s="12"/>
      <c r="AY583" s="44"/>
      <c r="AZ583" s="45"/>
      <c r="BA583" s="12"/>
      <c r="BB583" s="12"/>
      <c r="BC583" s="12"/>
      <c r="BD583" s="12"/>
      <c r="BE583" s="44"/>
      <c r="BF583" s="45"/>
      <c r="BG583" s="12"/>
      <c r="BH583" s="12"/>
      <c r="BI583" s="12"/>
      <c r="BJ583" s="12"/>
      <c r="BK583" s="44"/>
      <c r="BL583" s="45"/>
      <c r="BM583" s="12"/>
      <c r="BN583" s="12"/>
      <c r="BO583" s="12"/>
      <c r="BP583" s="12"/>
      <c r="BQ583" s="48"/>
      <c r="BR583" s="49"/>
      <c r="BS583" s="13"/>
      <c r="BT583" s="12"/>
      <c r="BV583" s="14"/>
      <c r="BW583" s="50"/>
      <c r="BX583" s="54"/>
      <c r="BY583" s="14"/>
      <c r="BZ583" s="14"/>
      <c r="CA583" s="14"/>
      <c r="CB583" s="14"/>
      <c r="CC583" s="14"/>
      <c r="CD583" s="14"/>
      <c r="CE583" s="14"/>
      <c r="CF583" s="15"/>
      <c r="CG583" s="14"/>
      <c r="CH583" s="14"/>
      <c r="CI583" s="50"/>
      <c r="CJ583" s="54"/>
      <c r="CK583" s="14"/>
      <c r="CL583" s="14"/>
      <c r="CM583" s="14"/>
      <c r="CN583" s="14"/>
      <c r="CO583" s="14"/>
      <c r="CP583" s="14"/>
      <c r="CQ583" s="14"/>
      <c r="CR583" s="14"/>
      <c r="CS583" s="14"/>
      <c r="CT583" s="14"/>
      <c r="CU583" s="16"/>
      <c r="CV583" s="14"/>
      <c r="CW583" s="50"/>
      <c r="CX583" s="17"/>
    </row>
    <row r="584" spans="4:102" x14ac:dyDescent="0.25"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43"/>
      <c r="Q584" s="11"/>
      <c r="R584" s="11"/>
      <c r="S584" s="11"/>
      <c r="T584" s="11"/>
      <c r="U584" s="11"/>
      <c r="V584" s="11"/>
      <c r="W584" s="11"/>
      <c r="X584" s="12"/>
      <c r="Y584" s="12"/>
      <c r="Z584" s="12"/>
      <c r="AA584" s="44"/>
      <c r="AB584" s="45"/>
      <c r="AC584" s="12"/>
      <c r="AD584" s="12"/>
      <c r="AE584" s="12"/>
      <c r="AF584" s="12"/>
      <c r="AG584" s="44"/>
      <c r="AH584" s="45"/>
      <c r="AI584" s="12"/>
      <c r="AJ584" s="12"/>
      <c r="AK584" s="12"/>
      <c r="AL584" s="12"/>
      <c r="AM584" s="44"/>
      <c r="AN584" s="45"/>
      <c r="AO584" s="12"/>
      <c r="AP584" s="12"/>
      <c r="AQ584" s="12"/>
      <c r="AR584" s="12"/>
      <c r="AS584" s="44"/>
      <c r="AT584" s="45"/>
      <c r="AU584" s="12"/>
      <c r="AV584" s="12"/>
      <c r="AW584" s="12"/>
      <c r="AX584" s="12"/>
      <c r="AY584" s="44"/>
      <c r="AZ584" s="45"/>
      <c r="BA584" s="12"/>
      <c r="BB584" s="12"/>
      <c r="BC584" s="12"/>
      <c r="BD584" s="12"/>
      <c r="BE584" s="44"/>
      <c r="BF584" s="45"/>
      <c r="BG584" s="12"/>
      <c r="BH584" s="12"/>
      <c r="BI584" s="12"/>
      <c r="BJ584" s="12"/>
      <c r="BK584" s="44"/>
      <c r="BL584" s="45"/>
      <c r="BM584" s="12"/>
      <c r="BN584" s="12"/>
      <c r="BO584" s="12"/>
      <c r="BP584" s="12"/>
      <c r="BQ584" s="48"/>
      <c r="BR584" s="49"/>
      <c r="BS584" s="13"/>
      <c r="BT584" s="12"/>
      <c r="BV584" s="14"/>
      <c r="BW584" s="50"/>
      <c r="BX584" s="54"/>
      <c r="BY584" s="14"/>
      <c r="BZ584" s="14"/>
      <c r="CA584" s="14"/>
      <c r="CB584" s="14"/>
      <c r="CC584" s="14"/>
      <c r="CD584" s="14"/>
      <c r="CE584" s="14"/>
      <c r="CF584" s="15"/>
      <c r="CG584" s="14"/>
      <c r="CH584" s="14"/>
      <c r="CI584" s="50"/>
      <c r="CJ584" s="54"/>
      <c r="CK584" s="14"/>
      <c r="CL584" s="14"/>
      <c r="CM584" s="14"/>
      <c r="CN584" s="14"/>
      <c r="CO584" s="14"/>
      <c r="CP584" s="14"/>
      <c r="CQ584" s="14"/>
      <c r="CR584" s="14"/>
      <c r="CS584" s="14"/>
      <c r="CT584" s="14"/>
      <c r="CU584" s="16"/>
      <c r="CV584" s="14"/>
      <c r="CW584" s="50"/>
      <c r="CX584" s="17"/>
    </row>
    <row r="585" spans="4:102" x14ac:dyDescent="0.25"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43"/>
      <c r="Q585" s="11"/>
      <c r="R585" s="11"/>
      <c r="S585" s="11"/>
      <c r="T585" s="11"/>
      <c r="U585" s="11"/>
      <c r="V585" s="11"/>
      <c r="W585" s="11"/>
      <c r="X585" s="12"/>
      <c r="Y585" s="12"/>
      <c r="Z585" s="12"/>
      <c r="AA585" s="44"/>
      <c r="AB585" s="45"/>
      <c r="AC585" s="12"/>
      <c r="AD585" s="12"/>
      <c r="AE585" s="12"/>
      <c r="AF585" s="12"/>
      <c r="AG585" s="44"/>
      <c r="AH585" s="45"/>
      <c r="AI585" s="12"/>
      <c r="AJ585" s="12"/>
      <c r="AK585" s="12"/>
      <c r="AL585" s="12"/>
      <c r="AM585" s="44"/>
      <c r="AN585" s="45"/>
      <c r="AO585" s="12"/>
      <c r="AP585" s="12"/>
      <c r="AQ585" s="12"/>
      <c r="AR585" s="12"/>
      <c r="AS585" s="44"/>
      <c r="AT585" s="45"/>
      <c r="AU585" s="12"/>
      <c r="AV585" s="12"/>
      <c r="AW585" s="12"/>
      <c r="AX585" s="12"/>
      <c r="AY585" s="44"/>
      <c r="AZ585" s="45"/>
      <c r="BA585" s="12"/>
      <c r="BB585" s="12"/>
      <c r="BC585" s="12"/>
      <c r="BD585" s="12"/>
      <c r="BE585" s="44"/>
      <c r="BF585" s="45"/>
      <c r="BG585" s="12"/>
      <c r="BH585" s="12"/>
      <c r="BI585" s="12"/>
      <c r="BJ585" s="12"/>
      <c r="BK585" s="44"/>
      <c r="BL585" s="45"/>
      <c r="BM585" s="12"/>
      <c r="BN585" s="12"/>
      <c r="BO585" s="12"/>
      <c r="BP585" s="12"/>
      <c r="BQ585" s="48"/>
      <c r="BR585" s="49"/>
      <c r="BS585" s="13"/>
      <c r="BT585" s="12"/>
      <c r="BV585" s="14"/>
      <c r="BW585" s="50"/>
      <c r="BX585" s="54"/>
      <c r="BY585" s="14"/>
      <c r="BZ585" s="14"/>
      <c r="CA585" s="14"/>
      <c r="CB585" s="14"/>
      <c r="CC585" s="14"/>
      <c r="CD585" s="14"/>
      <c r="CE585" s="14"/>
      <c r="CF585" s="15"/>
      <c r="CG585" s="14"/>
      <c r="CH585" s="14"/>
      <c r="CI585" s="50"/>
      <c r="CJ585" s="54"/>
      <c r="CK585" s="14"/>
      <c r="CL585" s="14"/>
      <c r="CM585" s="14"/>
      <c r="CN585" s="14"/>
      <c r="CO585" s="14"/>
      <c r="CP585" s="14"/>
      <c r="CQ585" s="14"/>
      <c r="CR585" s="14"/>
      <c r="CS585" s="14"/>
      <c r="CT585" s="14"/>
      <c r="CU585" s="16"/>
      <c r="CV585" s="14"/>
      <c r="CW585" s="50"/>
      <c r="CX585" s="17"/>
    </row>
    <row r="586" spans="4:102" x14ac:dyDescent="0.25"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43"/>
      <c r="Q586" s="11"/>
      <c r="R586" s="11"/>
      <c r="S586" s="11"/>
      <c r="T586" s="11"/>
      <c r="U586" s="11"/>
      <c r="V586" s="11"/>
      <c r="W586" s="11"/>
      <c r="X586" s="12"/>
      <c r="Y586" s="12"/>
      <c r="Z586" s="12"/>
      <c r="AA586" s="44"/>
      <c r="AB586" s="45"/>
      <c r="AC586" s="12"/>
      <c r="AD586" s="12"/>
      <c r="AE586" s="12"/>
      <c r="AF586" s="12"/>
      <c r="AG586" s="44"/>
      <c r="AH586" s="45"/>
      <c r="AI586" s="12"/>
      <c r="AJ586" s="12"/>
      <c r="AK586" s="12"/>
      <c r="AL586" s="12"/>
      <c r="AM586" s="44"/>
      <c r="AN586" s="45"/>
      <c r="AO586" s="12"/>
      <c r="AP586" s="12"/>
      <c r="AQ586" s="12"/>
      <c r="AR586" s="12"/>
      <c r="AS586" s="44"/>
      <c r="AT586" s="45"/>
      <c r="AU586" s="12"/>
      <c r="AV586" s="12"/>
      <c r="AW586" s="12"/>
      <c r="AX586" s="12"/>
      <c r="AY586" s="44"/>
      <c r="AZ586" s="45"/>
      <c r="BA586" s="12"/>
      <c r="BB586" s="12"/>
      <c r="BC586" s="12"/>
      <c r="BD586" s="12"/>
      <c r="BE586" s="44"/>
      <c r="BF586" s="45"/>
      <c r="BG586" s="12"/>
      <c r="BH586" s="12"/>
      <c r="BI586" s="12"/>
      <c r="BJ586" s="12"/>
      <c r="BK586" s="44"/>
      <c r="BL586" s="45"/>
      <c r="BM586" s="12"/>
      <c r="BN586" s="12"/>
      <c r="BO586" s="12"/>
      <c r="BP586" s="12"/>
      <c r="BQ586" s="48"/>
      <c r="BR586" s="49"/>
      <c r="BS586" s="13"/>
      <c r="BT586" s="12"/>
      <c r="BV586" s="14"/>
      <c r="BW586" s="50"/>
      <c r="BX586" s="54"/>
      <c r="BY586" s="14"/>
      <c r="BZ586" s="14"/>
      <c r="CA586" s="14"/>
      <c r="CB586" s="14"/>
      <c r="CC586" s="14"/>
      <c r="CD586" s="14"/>
      <c r="CE586" s="14"/>
      <c r="CF586" s="15"/>
      <c r="CG586" s="14"/>
      <c r="CH586" s="14"/>
      <c r="CI586" s="50"/>
      <c r="CJ586" s="54"/>
      <c r="CK586" s="14"/>
      <c r="CL586" s="14"/>
      <c r="CM586" s="14"/>
      <c r="CN586" s="14"/>
      <c r="CO586" s="14"/>
      <c r="CP586" s="14"/>
      <c r="CQ586" s="14"/>
      <c r="CR586" s="14"/>
      <c r="CS586" s="14"/>
      <c r="CT586" s="14"/>
      <c r="CU586" s="16"/>
      <c r="CV586" s="14"/>
      <c r="CW586" s="50"/>
      <c r="CX586" s="17"/>
    </row>
    <row r="587" spans="4:102" x14ac:dyDescent="0.25"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43"/>
      <c r="Q587" s="11"/>
      <c r="R587" s="11"/>
      <c r="S587" s="11"/>
      <c r="T587" s="11"/>
      <c r="U587" s="11"/>
      <c r="V587" s="11"/>
      <c r="W587" s="11"/>
      <c r="X587" s="12"/>
      <c r="Y587" s="12"/>
      <c r="Z587" s="12"/>
      <c r="AA587" s="44"/>
      <c r="AB587" s="45"/>
      <c r="AC587" s="12"/>
      <c r="AD587" s="12"/>
      <c r="AE587" s="12"/>
      <c r="AF587" s="12"/>
      <c r="AG587" s="44"/>
      <c r="AH587" s="45"/>
      <c r="AI587" s="12"/>
      <c r="AJ587" s="12"/>
      <c r="AK587" s="12"/>
      <c r="AL587" s="12"/>
      <c r="AM587" s="44"/>
      <c r="AN587" s="45"/>
      <c r="AO587" s="12"/>
      <c r="AP587" s="12"/>
      <c r="AQ587" s="12"/>
      <c r="AR587" s="12"/>
      <c r="AS587" s="44"/>
      <c r="AT587" s="45"/>
      <c r="AU587" s="12"/>
      <c r="AV587" s="12"/>
      <c r="AW587" s="12"/>
      <c r="AX587" s="12"/>
      <c r="AY587" s="44"/>
      <c r="AZ587" s="45"/>
      <c r="BA587" s="12"/>
      <c r="BB587" s="12"/>
      <c r="BC587" s="12"/>
      <c r="BD587" s="12"/>
      <c r="BE587" s="44"/>
      <c r="BF587" s="45"/>
      <c r="BG587" s="12"/>
      <c r="BH587" s="12"/>
      <c r="BI587" s="12"/>
      <c r="BJ587" s="12"/>
      <c r="BK587" s="44"/>
      <c r="BL587" s="45"/>
      <c r="BM587" s="12"/>
      <c r="BN587" s="12"/>
      <c r="BO587" s="12"/>
      <c r="BP587" s="12"/>
      <c r="BQ587" s="48"/>
      <c r="BR587" s="49"/>
      <c r="BS587" s="13"/>
      <c r="BT587" s="12"/>
      <c r="BV587" s="14"/>
      <c r="BW587" s="50"/>
      <c r="BX587" s="54"/>
      <c r="BY587" s="14"/>
      <c r="BZ587" s="14"/>
      <c r="CA587" s="14"/>
      <c r="CB587" s="14"/>
      <c r="CC587" s="14"/>
      <c r="CD587" s="14"/>
      <c r="CE587" s="14"/>
      <c r="CF587" s="15"/>
      <c r="CG587" s="14"/>
      <c r="CH587" s="14"/>
      <c r="CI587" s="50"/>
      <c r="CJ587" s="54"/>
      <c r="CK587" s="14"/>
      <c r="CL587" s="14"/>
      <c r="CM587" s="14"/>
      <c r="CN587" s="14"/>
      <c r="CO587" s="14"/>
      <c r="CP587" s="14"/>
      <c r="CQ587" s="14"/>
      <c r="CR587" s="14"/>
      <c r="CS587" s="14"/>
      <c r="CT587" s="14"/>
      <c r="CU587" s="16"/>
      <c r="CV587" s="14"/>
      <c r="CW587" s="50"/>
      <c r="CX587" s="17"/>
    </row>
    <row r="588" spans="4:102" x14ac:dyDescent="0.25"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43"/>
      <c r="Q588" s="11"/>
      <c r="R588" s="11"/>
      <c r="S588" s="11"/>
      <c r="T588" s="11"/>
      <c r="U588" s="11"/>
      <c r="V588" s="11"/>
      <c r="W588" s="11"/>
      <c r="X588" s="12"/>
      <c r="Y588" s="12"/>
      <c r="Z588" s="12"/>
      <c r="AA588" s="44"/>
      <c r="AB588" s="45"/>
      <c r="AC588" s="12"/>
      <c r="AD588" s="12"/>
      <c r="AE588" s="12"/>
      <c r="AF588" s="12"/>
      <c r="AG588" s="44"/>
      <c r="AH588" s="45"/>
      <c r="AI588" s="12"/>
      <c r="AJ588" s="12"/>
      <c r="AK588" s="12"/>
      <c r="AL588" s="12"/>
      <c r="AM588" s="44"/>
      <c r="AN588" s="45"/>
      <c r="AO588" s="12"/>
      <c r="AP588" s="12"/>
      <c r="AQ588" s="12"/>
      <c r="AR588" s="12"/>
      <c r="AS588" s="44"/>
      <c r="AT588" s="45"/>
      <c r="AU588" s="12"/>
      <c r="AV588" s="12"/>
      <c r="AW588" s="12"/>
      <c r="AX588" s="12"/>
      <c r="AY588" s="44"/>
      <c r="AZ588" s="45"/>
      <c r="BA588" s="12"/>
      <c r="BB588" s="12"/>
      <c r="BC588" s="12"/>
      <c r="BD588" s="12"/>
      <c r="BE588" s="44"/>
      <c r="BF588" s="45"/>
      <c r="BG588" s="12"/>
      <c r="BH588" s="12"/>
      <c r="BI588" s="12"/>
      <c r="BJ588" s="12"/>
      <c r="BK588" s="44"/>
      <c r="BL588" s="45"/>
      <c r="BM588" s="12"/>
      <c r="BN588" s="12"/>
      <c r="BO588" s="12"/>
      <c r="BP588" s="12"/>
      <c r="BQ588" s="48"/>
      <c r="BR588" s="49"/>
      <c r="BS588" s="13"/>
      <c r="BT588" s="12"/>
      <c r="BV588" s="14"/>
      <c r="BW588" s="50"/>
      <c r="BX588" s="54"/>
      <c r="BY588" s="14"/>
      <c r="BZ588" s="14"/>
      <c r="CA588" s="14"/>
      <c r="CB588" s="14"/>
      <c r="CC588" s="14"/>
      <c r="CD588" s="14"/>
      <c r="CE588" s="14"/>
      <c r="CF588" s="15"/>
      <c r="CG588" s="14"/>
      <c r="CH588" s="14"/>
      <c r="CI588" s="50"/>
      <c r="CJ588" s="54"/>
      <c r="CK588" s="14"/>
      <c r="CL588" s="14"/>
      <c r="CM588" s="14"/>
      <c r="CN588" s="14"/>
      <c r="CO588" s="14"/>
      <c r="CP588" s="14"/>
      <c r="CQ588" s="14"/>
      <c r="CR588" s="14"/>
      <c r="CS588" s="14"/>
      <c r="CT588" s="14"/>
      <c r="CU588" s="16"/>
      <c r="CV588" s="14"/>
      <c r="CW588" s="50"/>
      <c r="CX588" s="17"/>
    </row>
    <row r="589" spans="4:102" x14ac:dyDescent="0.25"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43"/>
      <c r="Q589" s="11"/>
      <c r="R589" s="11"/>
      <c r="S589" s="11"/>
      <c r="T589" s="11"/>
      <c r="U589" s="11"/>
      <c r="V589" s="11"/>
      <c r="W589" s="11"/>
      <c r="X589" s="12"/>
      <c r="Y589" s="12"/>
      <c r="Z589" s="12"/>
      <c r="AA589" s="44"/>
      <c r="AB589" s="45"/>
      <c r="AC589" s="12"/>
      <c r="AD589" s="12"/>
      <c r="AE589" s="12"/>
      <c r="AF589" s="12"/>
      <c r="AG589" s="44"/>
      <c r="AH589" s="45"/>
      <c r="AI589" s="12"/>
      <c r="AJ589" s="12"/>
      <c r="AK589" s="12"/>
      <c r="AL589" s="12"/>
      <c r="AM589" s="44"/>
      <c r="AN589" s="45"/>
      <c r="AO589" s="12"/>
      <c r="AP589" s="12"/>
      <c r="AQ589" s="12"/>
      <c r="AR589" s="12"/>
      <c r="AS589" s="44"/>
      <c r="AT589" s="45"/>
      <c r="AU589" s="12"/>
      <c r="AV589" s="12"/>
      <c r="AW589" s="12"/>
      <c r="AX589" s="12"/>
      <c r="AY589" s="44"/>
      <c r="AZ589" s="45"/>
      <c r="BA589" s="12"/>
      <c r="BB589" s="12"/>
      <c r="BC589" s="12"/>
      <c r="BD589" s="12"/>
      <c r="BE589" s="44"/>
      <c r="BF589" s="45"/>
      <c r="BG589" s="12"/>
      <c r="BH589" s="12"/>
      <c r="BI589" s="12"/>
      <c r="BJ589" s="12"/>
      <c r="BK589" s="44"/>
      <c r="BL589" s="45"/>
      <c r="BM589" s="12"/>
      <c r="BN589" s="12"/>
      <c r="BO589" s="12"/>
      <c r="BP589" s="12"/>
      <c r="BQ589" s="48"/>
      <c r="BR589" s="49"/>
      <c r="BS589" s="13"/>
      <c r="BT589" s="12"/>
      <c r="BV589" s="14"/>
      <c r="BW589" s="50"/>
      <c r="BX589" s="54"/>
      <c r="BY589" s="14"/>
      <c r="BZ589" s="14"/>
      <c r="CA589" s="14"/>
      <c r="CB589" s="14"/>
      <c r="CC589" s="14"/>
      <c r="CD589" s="14"/>
      <c r="CE589" s="14"/>
      <c r="CF589" s="15"/>
      <c r="CG589" s="14"/>
      <c r="CH589" s="14"/>
      <c r="CI589" s="50"/>
      <c r="CJ589" s="54"/>
      <c r="CK589" s="14"/>
      <c r="CL589" s="14"/>
      <c r="CM589" s="14"/>
      <c r="CN589" s="14"/>
      <c r="CO589" s="14"/>
      <c r="CP589" s="14"/>
      <c r="CQ589" s="14"/>
      <c r="CR589" s="14"/>
      <c r="CS589" s="14"/>
      <c r="CT589" s="14"/>
      <c r="CU589" s="16"/>
      <c r="CV589" s="14"/>
      <c r="CW589" s="50"/>
      <c r="CX589" s="17"/>
    </row>
    <row r="590" spans="4:102" x14ac:dyDescent="0.25"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43"/>
      <c r="Q590" s="11"/>
      <c r="R590" s="11"/>
      <c r="S590" s="11"/>
      <c r="T590" s="11"/>
      <c r="U590" s="11"/>
      <c r="V590" s="11"/>
      <c r="W590" s="11"/>
      <c r="X590" s="12"/>
      <c r="Y590" s="12"/>
      <c r="Z590" s="12"/>
      <c r="AA590" s="44"/>
      <c r="AB590" s="45"/>
      <c r="AC590" s="12"/>
      <c r="AD590" s="12"/>
      <c r="AE590" s="12"/>
      <c r="AF590" s="12"/>
      <c r="AG590" s="44"/>
      <c r="AH590" s="45"/>
      <c r="AI590" s="12"/>
      <c r="AJ590" s="12"/>
      <c r="AK590" s="12"/>
      <c r="AL590" s="12"/>
      <c r="AM590" s="44"/>
      <c r="AN590" s="45"/>
      <c r="AO590" s="12"/>
      <c r="AP590" s="12"/>
      <c r="AQ590" s="12"/>
      <c r="AR590" s="12"/>
      <c r="AS590" s="44"/>
      <c r="AT590" s="45"/>
      <c r="AU590" s="12"/>
      <c r="AV590" s="12"/>
      <c r="AW590" s="12"/>
      <c r="AX590" s="12"/>
      <c r="AY590" s="44"/>
      <c r="AZ590" s="45"/>
      <c r="BA590" s="12"/>
      <c r="BB590" s="12"/>
      <c r="BC590" s="12"/>
      <c r="BD590" s="12"/>
      <c r="BE590" s="44"/>
      <c r="BF590" s="45"/>
      <c r="BG590" s="12"/>
      <c r="BH590" s="12"/>
      <c r="BI590" s="12"/>
      <c r="BJ590" s="12"/>
      <c r="BK590" s="44"/>
      <c r="BL590" s="45"/>
      <c r="BM590" s="12"/>
      <c r="BN590" s="12"/>
      <c r="BO590" s="12"/>
      <c r="BP590" s="12"/>
      <c r="BQ590" s="48"/>
      <c r="BR590" s="49"/>
      <c r="BS590" s="13"/>
      <c r="BT590" s="12"/>
      <c r="BV590" s="14"/>
      <c r="BW590" s="50"/>
      <c r="BX590" s="54"/>
      <c r="BY590" s="14"/>
      <c r="BZ590" s="14"/>
      <c r="CA590" s="14"/>
      <c r="CB590" s="14"/>
      <c r="CC590" s="14"/>
      <c r="CD590" s="14"/>
      <c r="CE590" s="14"/>
      <c r="CF590" s="15"/>
      <c r="CG590" s="14"/>
      <c r="CH590" s="14"/>
      <c r="CI590" s="50"/>
      <c r="CJ590" s="54"/>
      <c r="CK590" s="14"/>
      <c r="CL590" s="14"/>
      <c r="CM590" s="14"/>
      <c r="CN590" s="14"/>
      <c r="CO590" s="14"/>
      <c r="CP590" s="14"/>
      <c r="CQ590" s="14"/>
      <c r="CR590" s="14"/>
      <c r="CS590" s="14"/>
      <c r="CT590" s="14"/>
      <c r="CU590" s="16"/>
      <c r="CV590" s="14"/>
      <c r="CW590" s="50"/>
      <c r="CX590" s="17"/>
    </row>
    <row r="591" spans="4:102" x14ac:dyDescent="0.25"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43"/>
      <c r="Q591" s="11"/>
      <c r="R591" s="11"/>
      <c r="S591" s="11"/>
      <c r="T591" s="11"/>
      <c r="U591" s="11"/>
      <c r="V591" s="11"/>
      <c r="W591" s="11"/>
      <c r="X591" s="12"/>
      <c r="Y591" s="12"/>
      <c r="Z591" s="12"/>
      <c r="AA591" s="44"/>
      <c r="AB591" s="45"/>
      <c r="AC591" s="12"/>
      <c r="AD591" s="12"/>
      <c r="AE591" s="12"/>
      <c r="AF591" s="12"/>
      <c r="AG591" s="44"/>
      <c r="AH591" s="45"/>
      <c r="AI591" s="12"/>
      <c r="AJ591" s="12"/>
      <c r="AK591" s="12"/>
      <c r="AL591" s="12"/>
      <c r="AM591" s="44"/>
      <c r="AN591" s="45"/>
      <c r="AO591" s="12"/>
      <c r="AP591" s="12"/>
      <c r="AQ591" s="12"/>
      <c r="AR591" s="12"/>
      <c r="AS591" s="44"/>
      <c r="AT591" s="45"/>
      <c r="AU591" s="12"/>
      <c r="AV591" s="12"/>
      <c r="AW591" s="12"/>
      <c r="AX591" s="12"/>
      <c r="AY591" s="44"/>
      <c r="AZ591" s="45"/>
      <c r="BA591" s="12"/>
      <c r="BB591" s="12"/>
      <c r="BC591" s="12"/>
      <c r="BD591" s="12"/>
      <c r="BE591" s="44"/>
      <c r="BF591" s="45"/>
      <c r="BG591" s="12"/>
      <c r="BH591" s="12"/>
      <c r="BI591" s="12"/>
      <c r="BJ591" s="12"/>
      <c r="BK591" s="44"/>
      <c r="BL591" s="45"/>
      <c r="BM591" s="12"/>
      <c r="BN591" s="12"/>
      <c r="BO591" s="12"/>
      <c r="BP591" s="12"/>
      <c r="BQ591" s="48"/>
      <c r="BR591" s="49"/>
      <c r="BS591" s="13"/>
      <c r="BT591" s="12"/>
      <c r="BV591" s="14"/>
      <c r="BW591" s="50"/>
      <c r="BX591" s="54"/>
      <c r="BY591" s="14"/>
      <c r="BZ591" s="14"/>
      <c r="CA591" s="14"/>
      <c r="CB591" s="14"/>
      <c r="CC591" s="14"/>
      <c r="CD591" s="14"/>
      <c r="CE591" s="14"/>
      <c r="CF591" s="15"/>
      <c r="CG591" s="14"/>
      <c r="CH591" s="14"/>
      <c r="CI591" s="50"/>
      <c r="CJ591" s="54"/>
      <c r="CK591" s="14"/>
      <c r="CL591" s="14"/>
      <c r="CM591" s="14"/>
      <c r="CN591" s="14"/>
      <c r="CO591" s="14"/>
      <c r="CP591" s="14"/>
      <c r="CQ591" s="14"/>
      <c r="CR591" s="14"/>
      <c r="CS591" s="14"/>
      <c r="CT591" s="14"/>
      <c r="CU591" s="16"/>
      <c r="CV591" s="14"/>
      <c r="CW591" s="50"/>
      <c r="CX591" s="17"/>
    </row>
    <row r="592" spans="4:102" x14ac:dyDescent="0.25"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43"/>
      <c r="Q592" s="11"/>
      <c r="R592" s="11"/>
      <c r="S592" s="11"/>
      <c r="T592" s="11"/>
      <c r="U592" s="11"/>
      <c r="V592" s="11"/>
      <c r="W592" s="11"/>
      <c r="X592" s="12"/>
      <c r="Y592" s="12"/>
      <c r="Z592" s="12"/>
      <c r="AA592" s="44"/>
      <c r="AB592" s="45"/>
      <c r="AC592" s="12"/>
      <c r="AD592" s="12"/>
      <c r="AE592" s="12"/>
      <c r="AF592" s="12"/>
      <c r="AG592" s="44"/>
      <c r="AH592" s="45"/>
      <c r="AI592" s="12"/>
      <c r="AJ592" s="12"/>
      <c r="AK592" s="12"/>
      <c r="AL592" s="12"/>
      <c r="AM592" s="44"/>
      <c r="AN592" s="45"/>
      <c r="AO592" s="12"/>
      <c r="AP592" s="12"/>
      <c r="AQ592" s="12"/>
      <c r="AR592" s="12"/>
      <c r="AS592" s="44"/>
      <c r="AT592" s="45"/>
      <c r="AU592" s="12"/>
      <c r="AV592" s="12"/>
      <c r="AW592" s="12"/>
      <c r="AX592" s="12"/>
      <c r="AY592" s="44"/>
      <c r="AZ592" s="45"/>
      <c r="BA592" s="12"/>
      <c r="BB592" s="12"/>
      <c r="BC592" s="12"/>
      <c r="BD592" s="12"/>
      <c r="BE592" s="44"/>
      <c r="BF592" s="45"/>
      <c r="BG592" s="12"/>
      <c r="BH592" s="12"/>
      <c r="BI592" s="12"/>
      <c r="BJ592" s="12"/>
      <c r="BK592" s="44"/>
      <c r="BL592" s="45"/>
      <c r="BM592" s="12"/>
      <c r="BN592" s="12"/>
      <c r="BO592" s="12"/>
      <c r="BP592" s="12"/>
      <c r="BQ592" s="48"/>
      <c r="BR592" s="49"/>
      <c r="BS592" s="13"/>
      <c r="BT592" s="12"/>
      <c r="BV592" s="14"/>
      <c r="BW592" s="50"/>
      <c r="BX592" s="54"/>
      <c r="BY592" s="14"/>
      <c r="BZ592" s="14"/>
      <c r="CA592" s="14"/>
      <c r="CB592" s="14"/>
      <c r="CC592" s="14"/>
      <c r="CD592" s="14"/>
      <c r="CE592" s="14"/>
      <c r="CF592" s="15"/>
      <c r="CG592" s="14"/>
      <c r="CH592" s="14"/>
      <c r="CI592" s="50"/>
      <c r="CJ592" s="54"/>
      <c r="CK592" s="14"/>
      <c r="CL592" s="14"/>
      <c r="CM592" s="14"/>
      <c r="CN592" s="14"/>
      <c r="CO592" s="14"/>
      <c r="CP592" s="14"/>
      <c r="CQ592" s="14"/>
      <c r="CR592" s="14"/>
      <c r="CS592" s="14"/>
      <c r="CT592" s="14"/>
      <c r="CU592" s="16"/>
      <c r="CV592" s="14"/>
      <c r="CW592" s="50"/>
      <c r="CX592" s="17"/>
    </row>
    <row r="593" spans="4:102" x14ac:dyDescent="0.25"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43"/>
      <c r="Q593" s="11"/>
      <c r="R593" s="11"/>
      <c r="S593" s="11"/>
      <c r="T593" s="11"/>
      <c r="U593" s="11"/>
      <c r="V593" s="11"/>
      <c r="W593" s="11"/>
      <c r="X593" s="12"/>
      <c r="Y593" s="12"/>
      <c r="Z593" s="12"/>
      <c r="AA593" s="44"/>
      <c r="AB593" s="45"/>
      <c r="AC593" s="12"/>
      <c r="AD593" s="12"/>
      <c r="AE593" s="12"/>
      <c r="AF593" s="12"/>
      <c r="AG593" s="44"/>
      <c r="AH593" s="45"/>
      <c r="AI593" s="12"/>
      <c r="AJ593" s="12"/>
      <c r="AK593" s="12"/>
      <c r="AL593" s="12"/>
      <c r="AM593" s="44"/>
      <c r="AN593" s="45"/>
      <c r="AO593" s="12"/>
      <c r="AP593" s="12"/>
      <c r="AQ593" s="12"/>
      <c r="AR593" s="12"/>
      <c r="AS593" s="44"/>
      <c r="AT593" s="45"/>
      <c r="AU593" s="12"/>
      <c r="AV593" s="12"/>
      <c r="AW593" s="12"/>
      <c r="AX593" s="12"/>
      <c r="AY593" s="44"/>
      <c r="AZ593" s="45"/>
      <c r="BA593" s="12"/>
      <c r="BB593" s="12"/>
      <c r="BC593" s="12"/>
      <c r="BD593" s="12"/>
      <c r="BE593" s="44"/>
      <c r="BF593" s="45"/>
      <c r="BG593" s="12"/>
      <c r="BH593" s="12"/>
      <c r="BI593" s="12"/>
      <c r="BJ593" s="12"/>
      <c r="BK593" s="44"/>
      <c r="BL593" s="45"/>
      <c r="BM593" s="12"/>
      <c r="BN593" s="12"/>
      <c r="BO593" s="12"/>
      <c r="BP593" s="12"/>
      <c r="BQ593" s="48"/>
      <c r="BR593" s="49"/>
      <c r="BS593" s="13"/>
      <c r="BT593" s="12"/>
      <c r="BV593" s="14"/>
      <c r="BW593" s="50"/>
      <c r="BX593" s="54"/>
      <c r="BY593" s="14"/>
      <c r="BZ593" s="14"/>
      <c r="CA593" s="14"/>
      <c r="CB593" s="14"/>
      <c r="CC593" s="14"/>
      <c r="CD593" s="14"/>
      <c r="CE593" s="14"/>
      <c r="CF593" s="15"/>
      <c r="CG593" s="14"/>
      <c r="CH593" s="14"/>
      <c r="CI593" s="50"/>
      <c r="CJ593" s="54"/>
      <c r="CK593" s="14"/>
      <c r="CL593" s="14"/>
      <c r="CM593" s="14"/>
      <c r="CN593" s="14"/>
      <c r="CO593" s="14"/>
      <c r="CP593" s="14"/>
      <c r="CQ593" s="14"/>
      <c r="CR593" s="14"/>
      <c r="CS593" s="14"/>
      <c r="CT593" s="14"/>
      <c r="CU593" s="16"/>
      <c r="CV593" s="14"/>
      <c r="CW593" s="50"/>
      <c r="CX593" s="17"/>
    </row>
    <row r="594" spans="4:102" x14ac:dyDescent="0.25"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43"/>
      <c r="Q594" s="11"/>
      <c r="R594" s="11"/>
      <c r="S594" s="11"/>
      <c r="T594" s="11"/>
      <c r="U594" s="11"/>
      <c r="V594" s="11"/>
      <c r="W594" s="11"/>
      <c r="X594" s="12"/>
      <c r="Y594" s="12"/>
      <c r="Z594" s="12"/>
      <c r="AA594" s="44"/>
      <c r="AB594" s="45"/>
      <c r="AC594" s="12"/>
      <c r="AD594" s="12"/>
      <c r="AE594" s="12"/>
      <c r="AF594" s="12"/>
      <c r="AG594" s="44"/>
      <c r="AH594" s="45"/>
      <c r="AI594" s="12"/>
      <c r="AJ594" s="12"/>
      <c r="AK594" s="12"/>
      <c r="AL594" s="12"/>
      <c r="AM594" s="44"/>
      <c r="AN594" s="45"/>
      <c r="AO594" s="12"/>
      <c r="AP594" s="12"/>
      <c r="AQ594" s="12"/>
      <c r="AR594" s="12"/>
      <c r="AS594" s="44"/>
      <c r="AT594" s="45"/>
      <c r="AU594" s="12"/>
      <c r="AV594" s="12"/>
      <c r="AW594" s="12"/>
      <c r="AX594" s="12"/>
      <c r="AY594" s="44"/>
      <c r="AZ594" s="45"/>
      <c r="BA594" s="12"/>
      <c r="BB594" s="12"/>
      <c r="BC594" s="12"/>
      <c r="BD594" s="12"/>
      <c r="BE594" s="44"/>
      <c r="BF594" s="45"/>
      <c r="BG594" s="12"/>
      <c r="BH594" s="12"/>
      <c r="BI594" s="12"/>
      <c r="BJ594" s="12"/>
      <c r="BK594" s="44"/>
      <c r="BL594" s="45"/>
      <c r="BM594" s="12"/>
      <c r="BN594" s="12"/>
      <c r="BO594" s="12"/>
      <c r="BP594" s="12"/>
      <c r="BQ594" s="48"/>
      <c r="BR594" s="49"/>
      <c r="BS594" s="13"/>
      <c r="BT594" s="12"/>
      <c r="BV594" s="14"/>
      <c r="BW594" s="50"/>
      <c r="BX594" s="54"/>
      <c r="BY594" s="14"/>
      <c r="BZ594" s="14"/>
      <c r="CA594" s="14"/>
      <c r="CB594" s="14"/>
      <c r="CC594" s="14"/>
      <c r="CD594" s="14"/>
      <c r="CE594" s="14"/>
      <c r="CF594" s="15"/>
      <c r="CG594" s="14"/>
      <c r="CH594" s="14"/>
      <c r="CI594" s="50"/>
      <c r="CJ594" s="54"/>
      <c r="CK594" s="14"/>
      <c r="CL594" s="14"/>
      <c r="CM594" s="14"/>
      <c r="CN594" s="14"/>
      <c r="CO594" s="14"/>
      <c r="CP594" s="14"/>
      <c r="CQ594" s="14"/>
      <c r="CR594" s="14"/>
      <c r="CS594" s="14"/>
      <c r="CT594" s="14"/>
      <c r="CU594" s="16"/>
      <c r="CV594" s="14"/>
      <c r="CW594" s="50"/>
      <c r="CX594" s="17"/>
    </row>
    <row r="595" spans="4:102" x14ac:dyDescent="0.25"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43"/>
      <c r="Q595" s="11"/>
      <c r="R595" s="11"/>
      <c r="S595" s="11"/>
      <c r="T595" s="11"/>
      <c r="U595" s="11"/>
      <c r="V595" s="11"/>
      <c r="W595" s="11"/>
      <c r="X595" s="12"/>
      <c r="Y595" s="12"/>
      <c r="Z595" s="12"/>
      <c r="AA595" s="44"/>
      <c r="AB595" s="45"/>
      <c r="AC595" s="12"/>
      <c r="AD595" s="12"/>
      <c r="AE595" s="12"/>
      <c r="AF595" s="12"/>
      <c r="AG595" s="44"/>
      <c r="AH595" s="45"/>
      <c r="AI595" s="12"/>
      <c r="AJ595" s="12"/>
      <c r="AK595" s="12"/>
      <c r="AL595" s="12"/>
      <c r="AM595" s="44"/>
      <c r="AN595" s="45"/>
      <c r="AO595" s="12"/>
      <c r="AP595" s="12"/>
      <c r="AQ595" s="12"/>
      <c r="AR595" s="12"/>
      <c r="AS595" s="44"/>
      <c r="AT595" s="45"/>
      <c r="AU595" s="12"/>
      <c r="AV595" s="12"/>
      <c r="AW595" s="12"/>
      <c r="AX595" s="12"/>
      <c r="AY595" s="44"/>
      <c r="AZ595" s="45"/>
      <c r="BA595" s="12"/>
      <c r="BB595" s="12"/>
      <c r="BC595" s="12"/>
      <c r="BD595" s="12"/>
      <c r="BE595" s="44"/>
      <c r="BF595" s="45"/>
      <c r="BG595" s="12"/>
      <c r="BH595" s="12"/>
      <c r="BI595" s="12"/>
      <c r="BJ595" s="12"/>
      <c r="BK595" s="44"/>
      <c r="BL595" s="45"/>
      <c r="BM595" s="12"/>
      <c r="BN595" s="12"/>
      <c r="BO595" s="12"/>
      <c r="BP595" s="12"/>
      <c r="BQ595" s="48"/>
      <c r="BR595" s="49"/>
      <c r="BS595" s="13"/>
      <c r="BT595" s="12"/>
      <c r="BV595" s="14"/>
      <c r="BW595" s="50"/>
      <c r="BX595" s="54"/>
      <c r="BY595" s="14"/>
      <c r="BZ595" s="14"/>
      <c r="CA595" s="14"/>
      <c r="CB595" s="14"/>
      <c r="CC595" s="14"/>
      <c r="CD595" s="14"/>
      <c r="CE595" s="14"/>
      <c r="CF595" s="15"/>
      <c r="CG595" s="14"/>
      <c r="CH595" s="14"/>
      <c r="CI595" s="50"/>
      <c r="CJ595" s="54"/>
      <c r="CK595" s="14"/>
      <c r="CL595" s="14"/>
      <c r="CM595" s="14"/>
      <c r="CN595" s="14"/>
      <c r="CO595" s="14"/>
      <c r="CP595" s="14"/>
      <c r="CQ595" s="14"/>
      <c r="CR595" s="14"/>
      <c r="CS595" s="14"/>
      <c r="CT595" s="14"/>
      <c r="CU595" s="16"/>
      <c r="CV595" s="14"/>
      <c r="CW595" s="50"/>
      <c r="CX595" s="17"/>
    </row>
    <row r="596" spans="4:102" x14ac:dyDescent="0.25"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43"/>
      <c r="Q596" s="11"/>
      <c r="R596" s="11"/>
      <c r="S596" s="11"/>
      <c r="T596" s="11"/>
      <c r="U596" s="11"/>
      <c r="V596" s="11"/>
      <c r="W596" s="11"/>
      <c r="X596" s="12"/>
      <c r="Y596" s="12"/>
      <c r="Z596" s="12"/>
      <c r="AA596" s="44"/>
      <c r="AB596" s="45"/>
      <c r="AC596" s="12"/>
      <c r="AD596" s="12"/>
      <c r="AE596" s="12"/>
      <c r="AF596" s="12"/>
      <c r="AG596" s="44"/>
      <c r="AH596" s="45"/>
      <c r="AI596" s="12"/>
      <c r="AJ596" s="12"/>
      <c r="AK596" s="12"/>
      <c r="AL596" s="12"/>
      <c r="AM596" s="44"/>
      <c r="AN596" s="45"/>
      <c r="AO596" s="12"/>
      <c r="AP596" s="12"/>
      <c r="AQ596" s="12"/>
      <c r="AR596" s="12"/>
      <c r="AS596" s="44"/>
      <c r="AT596" s="45"/>
      <c r="AU596" s="12"/>
      <c r="AV596" s="12"/>
      <c r="AW596" s="12"/>
      <c r="AX596" s="12"/>
      <c r="AY596" s="44"/>
      <c r="AZ596" s="45"/>
      <c r="BA596" s="12"/>
      <c r="BB596" s="12"/>
      <c r="BC596" s="12"/>
      <c r="BD596" s="12"/>
      <c r="BE596" s="44"/>
      <c r="BF596" s="45"/>
      <c r="BG596" s="12"/>
      <c r="BH596" s="12"/>
      <c r="BI596" s="12"/>
      <c r="BJ596" s="12"/>
      <c r="BK596" s="44"/>
      <c r="BL596" s="45"/>
      <c r="BM596" s="12"/>
      <c r="BN596" s="12"/>
      <c r="BO596" s="12"/>
      <c r="BP596" s="12"/>
      <c r="BQ596" s="48"/>
      <c r="BR596" s="49"/>
      <c r="BS596" s="13"/>
      <c r="BT596" s="12"/>
      <c r="BV596" s="14"/>
      <c r="BW596" s="50"/>
      <c r="BX596" s="54"/>
      <c r="BY596" s="14"/>
      <c r="BZ596" s="14"/>
      <c r="CA596" s="14"/>
      <c r="CB596" s="14"/>
      <c r="CC596" s="14"/>
      <c r="CD596" s="14"/>
      <c r="CE596" s="14"/>
      <c r="CF596" s="15"/>
      <c r="CG596" s="14"/>
      <c r="CH596" s="14"/>
      <c r="CI596" s="50"/>
      <c r="CJ596" s="54"/>
      <c r="CK596" s="14"/>
      <c r="CL596" s="14"/>
      <c r="CM596" s="14"/>
      <c r="CN596" s="14"/>
      <c r="CO596" s="14"/>
      <c r="CP596" s="14"/>
      <c r="CQ596" s="14"/>
      <c r="CR596" s="14"/>
      <c r="CS596" s="14"/>
      <c r="CT596" s="14"/>
      <c r="CU596" s="16"/>
      <c r="CV596" s="14"/>
      <c r="CW596" s="50"/>
      <c r="CX596" s="17"/>
    </row>
    <row r="597" spans="4:102" x14ac:dyDescent="0.25"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43"/>
      <c r="Q597" s="11"/>
      <c r="R597" s="11"/>
      <c r="S597" s="11"/>
      <c r="T597" s="11"/>
      <c r="U597" s="11"/>
      <c r="V597" s="11"/>
      <c r="W597" s="11"/>
      <c r="X597" s="12"/>
      <c r="Y597" s="12"/>
      <c r="Z597" s="12"/>
      <c r="AA597" s="44"/>
      <c r="AB597" s="45"/>
      <c r="AC597" s="12"/>
      <c r="AD597" s="12"/>
      <c r="AE597" s="12"/>
      <c r="AF597" s="12"/>
      <c r="AG597" s="44"/>
      <c r="AH597" s="45"/>
      <c r="AI597" s="12"/>
      <c r="AJ597" s="12"/>
      <c r="AK597" s="12"/>
      <c r="AL597" s="12"/>
      <c r="AM597" s="44"/>
      <c r="AN597" s="45"/>
      <c r="AO597" s="12"/>
      <c r="AP597" s="12"/>
      <c r="AQ597" s="12"/>
      <c r="AR597" s="12"/>
      <c r="AS597" s="44"/>
      <c r="AT597" s="45"/>
      <c r="AU597" s="12"/>
      <c r="AV597" s="12"/>
      <c r="AW597" s="12"/>
      <c r="AX597" s="12"/>
      <c r="AY597" s="44"/>
      <c r="AZ597" s="45"/>
      <c r="BA597" s="12"/>
      <c r="BB597" s="12"/>
      <c r="BC597" s="12"/>
      <c r="BD597" s="12"/>
      <c r="BE597" s="44"/>
      <c r="BF597" s="45"/>
      <c r="BG597" s="12"/>
      <c r="BH597" s="12"/>
      <c r="BI597" s="12"/>
      <c r="BJ597" s="12"/>
      <c r="BK597" s="44"/>
      <c r="BL597" s="45"/>
      <c r="BM597" s="12"/>
      <c r="BN597" s="12"/>
      <c r="BO597" s="12"/>
      <c r="BP597" s="12"/>
      <c r="BQ597" s="48"/>
      <c r="BR597" s="49"/>
      <c r="BS597" s="13"/>
      <c r="BT597" s="12"/>
      <c r="BV597" s="14"/>
      <c r="BW597" s="50"/>
      <c r="BX597" s="54"/>
      <c r="BY597" s="14"/>
      <c r="BZ597" s="14"/>
      <c r="CA597" s="14"/>
      <c r="CB597" s="14"/>
      <c r="CC597" s="14"/>
      <c r="CD597" s="14"/>
      <c r="CE597" s="14"/>
      <c r="CF597" s="15"/>
      <c r="CG597" s="14"/>
      <c r="CH597" s="14"/>
      <c r="CI597" s="50"/>
      <c r="CJ597" s="54"/>
      <c r="CK597" s="14"/>
      <c r="CL597" s="14"/>
      <c r="CM597" s="14"/>
      <c r="CN597" s="14"/>
      <c r="CO597" s="14"/>
      <c r="CP597" s="14"/>
      <c r="CQ597" s="14"/>
      <c r="CR597" s="14"/>
      <c r="CS597" s="14"/>
      <c r="CT597" s="14"/>
      <c r="CU597" s="16"/>
      <c r="CV597" s="14"/>
      <c r="CW597" s="50"/>
      <c r="CX597" s="17"/>
    </row>
    <row r="598" spans="4:102" x14ac:dyDescent="0.25"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43"/>
      <c r="Q598" s="11"/>
      <c r="R598" s="11"/>
      <c r="S598" s="11"/>
      <c r="T598" s="11"/>
      <c r="U598" s="11"/>
      <c r="V598" s="11"/>
      <c r="W598" s="11"/>
      <c r="X598" s="12"/>
      <c r="Y598" s="12"/>
      <c r="Z598" s="12"/>
      <c r="AA598" s="44"/>
      <c r="AB598" s="45"/>
      <c r="AC598" s="12"/>
      <c r="AD598" s="12"/>
      <c r="AE598" s="12"/>
      <c r="AF598" s="12"/>
      <c r="AG598" s="44"/>
      <c r="AH598" s="45"/>
      <c r="AI598" s="12"/>
      <c r="AJ598" s="12"/>
      <c r="AK598" s="12"/>
      <c r="AL598" s="12"/>
      <c r="AM598" s="44"/>
      <c r="AN598" s="45"/>
      <c r="AO598" s="12"/>
      <c r="AP598" s="12"/>
      <c r="AQ598" s="12"/>
      <c r="AR598" s="12"/>
      <c r="AS598" s="44"/>
      <c r="AT598" s="45"/>
      <c r="AU598" s="12"/>
      <c r="AV598" s="12"/>
      <c r="AW598" s="12"/>
      <c r="AX598" s="12"/>
      <c r="AY598" s="44"/>
      <c r="AZ598" s="45"/>
      <c r="BA598" s="12"/>
      <c r="BB598" s="12"/>
      <c r="BC598" s="12"/>
      <c r="BD598" s="12"/>
      <c r="BE598" s="44"/>
      <c r="BF598" s="45"/>
      <c r="BG598" s="12"/>
      <c r="BH598" s="12"/>
      <c r="BI598" s="12"/>
      <c r="BJ598" s="12"/>
      <c r="BK598" s="44"/>
      <c r="BL598" s="45"/>
      <c r="BM598" s="12"/>
      <c r="BN598" s="12"/>
      <c r="BO598" s="12"/>
      <c r="BP598" s="12"/>
      <c r="BQ598" s="48"/>
      <c r="BR598" s="49"/>
      <c r="BS598" s="13"/>
      <c r="BT598" s="12"/>
      <c r="BV598" s="14"/>
      <c r="BW598" s="50"/>
      <c r="BX598" s="54"/>
      <c r="BY598" s="14"/>
      <c r="BZ598" s="14"/>
      <c r="CA598" s="14"/>
      <c r="CB598" s="14"/>
      <c r="CC598" s="14"/>
      <c r="CD598" s="14"/>
      <c r="CE598" s="14"/>
      <c r="CF598" s="15"/>
      <c r="CG598" s="14"/>
      <c r="CH598" s="14"/>
      <c r="CI598" s="50"/>
      <c r="CJ598" s="54"/>
      <c r="CK598" s="14"/>
      <c r="CL598" s="14"/>
      <c r="CM598" s="14"/>
      <c r="CN598" s="14"/>
      <c r="CO598" s="14"/>
      <c r="CP598" s="14"/>
      <c r="CQ598" s="14"/>
      <c r="CR598" s="14"/>
      <c r="CS598" s="14"/>
      <c r="CT598" s="14"/>
      <c r="CU598" s="16"/>
      <c r="CV598" s="14"/>
      <c r="CW598" s="50"/>
      <c r="CX598" s="17"/>
    </row>
    <row r="599" spans="4:102" x14ac:dyDescent="0.25"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43"/>
      <c r="Q599" s="11"/>
      <c r="R599" s="11"/>
      <c r="S599" s="11"/>
      <c r="T599" s="11"/>
      <c r="U599" s="11"/>
      <c r="V599" s="11"/>
      <c r="W599" s="11"/>
      <c r="X599" s="12"/>
      <c r="Y599" s="12"/>
      <c r="Z599" s="12"/>
      <c r="AA599" s="44"/>
      <c r="AB599" s="45"/>
      <c r="AC599" s="12"/>
      <c r="AD599" s="12"/>
      <c r="AE599" s="12"/>
      <c r="AF599" s="12"/>
      <c r="AG599" s="44"/>
      <c r="AH599" s="45"/>
      <c r="AI599" s="12"/>
      <c r="AJ599" s="12"/>
      <c r="AK599" s="12"/>
      <c r="AL599" s="12"/>
      <c r="AM599" s="44"/>
      <c r="AN599" s="45"/>
      <c r="AO599" s="12"/>
      <c r="AP599" s="12"/>
      <c r="AQ599" s="12"/>
      <c r="AR599" s="12"/>
      <c r="AS599" s="44"/>
      <c r="AT599" s="45"/>
      <c r="AU599" s="12"/>
      <c r="AV599" s="12"/>
      <c r="AW599" s="12"/>
      <c r="AX599" s="12"/>
      <c r="AY599" s="44"/>
      <c r="AZ599" s="45"/>
      <c r="BA599" s="12"/>
      <c r="BB599" s="12"/>
      <c r="BC599" s="12"/>
      <c r="BD599" s="12"/>
      <c r="BE599" s="44"/>
      <c r="BF599" s="45"/>
      <c r="BG599" s="12"/>
      <c r="BH599" s="12"/>
      <c r="BI599" s="12"/>
      <c r="BJ599" s="12"/>
      <c r="BK599" s="44"/>
      <c r="BL599" s="45"/>
      <c r="BM599" s="12"/>
      <c r="BN599" s="12"/>
      <c r="BO599" s="12"/>
      <c r="BP599" s="12"/>
      <c r="BQ599" s="48"/>
      <c r="BR599" s="49"/>
      <c r="BS599" s="13"/>
      <c r="BT599" s="12"/>
      <c r="BV599" s="14"/>
      <c r="BW599" s="50"/>
      <c r="BX599" s="54"/>
      <c r="BY599" s="14"/>
      <c r="BZ599" s="14"/>
      <c r="CA599" s="14"/>
      <c r="CB599" s="14"/>
      <c r="CC599" s="14"/>
      <c r="CD599" s="14"/>
      <c r="CE599" s="14"/>
      <c r="CF599" s="15"/>
      <c r="CG599" s="14"/>
      <c r="CH599" s="14"/>
      <c r="CI599" s="50"/>
      <c r="CJ599" s="54"/>
      <c r="CK599" s="14"/>
      <c r="CL599" s="14"/>
      <c r="CM599" s="14"/>
      <c r="CN599" s="14"/>
      <c r="CO599" s="14"/>
      <c r="CP599" s="14"/>
      <c r="CQ599" s="14"/>
      <c r="CR599" s="14"/>
      <c r="CS599" s="14"/>
      <c r="CT599" s="14"/>
      <c r="CU599" s="16"/>
      <c r="CV599" s="14"/>
      <c r="CW599" s="50"/>
      <c r="CX599" s="17"/>
    </row>
    <row r="600" spans="4:102" x14ac:dyDescent="0.25"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43"/>
      <c r="Q600" s="11"/>
      <c r="R600" s="11"/>
      <c r="S600" s="11"/>
      <c r="T600" s="11"/>
      <c r="U600" s="11"/>
      <c r="V600" s="11"/>
      <c r="W600" s="11"/>
      <c r="X600" s="12"/>
      <c r="Y600" s="12"/>
      <c r="Z600" s="12"/>
      <c r="AA600" s="44"/>
      <c r="AB600" s="45"/>
      <c r="AC600" s="12"/>
      <c r="AD600" s="12"/>
      <c r="AE600" s="12"/>
      <c r="AF600" s="12"/>
      <c r="AG600" s="44"/>
      <c r="AH600" s="45"/>
      <c r="AI600" s="12"/>
      <c r="AJ600" s="12"/>
      <c r="AK600" s="12"/>
      <c r="AL600" s="12"/>
      <c r="AM600" s="44"/>
      <c r="AN600" s="45"/>
      <c r="AO600" s="12"/>
      <c r="AP600" s="12"/>
      <c r="AQ600" s="12"/>
      <c r="AR600" s="12"/>
      <c r="AS600" s="44"/>
      <c r="AT600" s="45"/>
      <c r="AU600" s="12"/>
      <c r="AV600" s="12"/>
      <c r="AW600" s="12"/>
      <c r="AX600" s="12"/>
      <c r="AY600" s="44"/>
      <c r="AZ600" s="45"/>
      <c r="BA600" s="12"/>
      <c r="BB600" s="12"/>
      <c r="BC600" s="12"/>
      <c r="BD600" s="12"/>
      <c r="BE600" s="44"/>
      <c r="BF600" s="45"/>
      <c r="BG600" s="12"/>
      <c r="BH600" s="12"/>
      <c r="BI600" s="12"/>
      <c r="BJ600" s="12"/>
      <c r="BK600" s="44"/>
      <c r="BL600" s="45"/>
      <c r="BM600" s="12"/>
      <c r="BN600" s="12"/>
      <c r="BO600" s="12"/>
      <c r="BP600" s="12"/>
      <c r="BQ600" s="48"/>
      <c r="BR600" s="49"/>
      <c r="BS600" s="13"/>
      <c r="BT600" s="12"/>
      <c r="BV600" s="14"/>
      <c r="BW600" s="50"/>
      <c r="BX600" s="54"/>
      <c r="BY600" s="14"/>
      <c r="BZ600" s="14"/>
      <c r="CA600" s="14"/>
      <c r="CB600" s="14"/>
      <c r="CC600" s="14"/>
      <c r="CD600" s="14"/>
      <c r="CE600" s="14"/>
      <c r="CF600" s="15"/>
      <c r="CG600" s="14"/>
      <c r="CH600" s="14"/>
      <c r="CI600" s="50"/>
      <c r="CJ600" s="54"/>
      <c r="CK600" s="14"/>
      <c r="CL600" s="14"/>
      <c r="CM600" s="14"/>
      <c r="CN600" s="14"/>
      <c r="CO600" s="14"/>
      <c r="CP600" s="14"/>
      <c r="CQ600" s="14"/>
      <c r="CR600" s="14"/>
      <c r="CS600" s="14"/>
      <c r="CT600" s="14"/>
      <c r="CU600" s="16"/>
      <c r="CV600" s="14"/>
      <c r="CW600" s="50"/>
      <c r="CX600" s="17"/>
    </row>
    <row r="601" spans="4:102" x14ac:dyDescent="0.25"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43"/>
      <c r="Q601" s="11"/>
      <c r="R601" s="11"/>
      <c r="S601" s="11"/>
      <c r="T601" s="11"/>
      <c r="U601" s="11"/>
      <c r="V601" s="11"/>
      <c r="W601" s="11"/>
      <c r="X601" s="12"/>
      <c r="Y601" s="12"/>
      <c r="Z601" s="12"/>
      <c r="AA601" s="44"/>
      <c r="AB601" s="45"/>
      <c r="AC601" s="12"/>
      <c r="AD601" s="12"/>
      <c r="AE601" s="12"/>
      <c r="AF601" s="12"/>
      <c r="AG601" s="44"/>
      <c r="AH601" s="45"/>
      <c r="AI601" s="12"/>
      <c r="AJ601" s="12"/>
      <c r="AK601" s="12"/>
      <c r="AL601" s="12"/>
      <c r="AM601" s="44"/>
      <c r="AN601" s="45"/>
      <c r="AO601" s="12"/>
      <c r="AP601" s="12"/>
      <c r="AQ601" s="12"/>
      <c r="AR601" s="12"/>
      <c r="AS601" s="44"/>
      <c r="AT601" s="45"/>
      <c r="AU601" s="12"/>
      <c r="AV601" s="12"/>
      <c r="AW601" s="12"/>
      <c r="AX601" s="12"/>
      <c r="AY601" s="44"/>
      <c r="AZ601" s="45"/>
      <c r="BA601" s="12"/>
      <c r="BB601" s="12"/>
      <c r="BC601" s="12"/>
      <c r="BD601" s="12"/>
      <c r="BE601" s="44"/>
      <c r="BF601" s="45"/>
      <c r="BG601" s="12"/>
      <c r="BH601" s="12"/>
      <c r="BI601" s="12"/>
      <c r="BJ601" s="12"/>
      <c r="BK601" s="44"/>
      <c r="BL601" s="45"/>
      <c r="BM601" s="12"/>
      <c r="BN601" s="12"/>
      <c r="BO601" s="12"/>
      <c r="BP601" s="12"/>
      <c r="BQ601" s="48"/>
      <c r="BR601" s="49"/>
      <c r="BS601" s="13"/>
      <c r="BT601" s="12"/>
      <c r="BV601" s="14"/>
      <c r="BW601" s="50"/>
      <c r="BX601" s="54"/>
      <c r="BY601" s="14"/>
      <c r="BZ601" s="14"/>
      <c r="CA601" s="14"/>
      <c r="CB601" s="14"/>
      <c r="CC601" s="14"/>
      <c r="CD601" s="14"/>
      <c r="CE601" s="14"/>
      <c r="CF601" s="15"/>
      <c r="CG601" s="14"/>
      <c r="CH601" s="14"/>
      <c r="CI601" s="50"/>
      <c r="CJ601" s="54"/>
      <c r="CK601" s="14"/>
      <c r="CL601" s="14"/>
      <c r="CM601" s="14"/>
      <c r="CN601" s="14"/>
      <c r="CO601" s="14"/>
      <c r="CP601" s="14"/>
      <c r="CQ601" s="14"/>
      <c r="CR601" s="14"/>
      <c r="CS601" s="14"/>
      <c r="CT601" s="14"/>
      <c r="CU601" s="16"/>
      <c r="CV601" s="14"/>
      <c r="CW601" s="50"/>
      <c r="CX601" s="17"/>
    </row>
    <row r="602" spans="4:102" x14ac:dyDescent="0.25"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43"/>
      <c r="Q602" s="11"/>
      <c r="R602" s="11"/>
      <c r="S602" s="11"/>
      <c r="T602" s="11"/>
      <c r="U602" s="11"/>
      <c r="V602" s="11"/>
      <c r="W602" s="11"/>
      <c r="X602" s="12"/>
      <c r="Y602" s="12"/>
      <c r="Z602" s="12"/>
      <c r="AA602" s="44"/>
      <c r="AB602" s="45"/>
      <c r="AC602" s="12"/>
      <c r="AD602" s="12"/>
      <c r="AE602" s="12"/>
      <c r="AF602" s="12"/>
      <c r="AG602" s="44"/>
      <c r="AH602" s="45"/>
      <c r="AI602" s="12"/>
      <c r="AJ602" s="12"/>
      <c r="AK602" s="12"/>
      <c r="AL602" s="12"/>
      <c r="AM602" s="44"/>
      <c r="AN602" s="45"/>
      <c r="AO602" s="12"/>
      <c r="AP602" s="12"/>
      <c r="AQ602" s="12"/>
      <c r="AR602" s="12"/>
      <c r="AS602" s="44"/>
      <c r="AT602" s="45"/>
      <c r="AU602" s="12"/>
      <c r="AV602" s="12"/>
      <c r="AW602" s="12"/>
      <c r="AX602" s="12"/>
      <c r="AY602" s="44"/>
      <c r="AZ602" s="45"/>
      <c r="BA602" s="12"/>
      <c r="BB602" s="12"/>
      <c r="BC602" s="12"/>
      <c r="BD602" s="12"/>
      <c r="BE602" s="44"/>
      <c r="BF602" s="45"/>
      <c r="BG602" s="12"/>
      <c r="BH602" s="12"/>
      <c r="BI602" s="12"/>
      <c r="BJ602" s="12"/>
      <c r="BK602" s="44"/>
      <c r="BL602" s="45"/>
      <c r="BM602" s="12"/>
      <c r="BN602" s="12"/>
      <c r="BO602" s="12"/>
      <c r="BP602" s="12"/>
      <c r="BQ602" s="48"/>
      <c r="BR602" s="49"/>
      <c r="BS602" s="13"/>
      <c r="BT602" s="12"/>
      <c r="BV602" s="14"/>
      <c r="BW602" s="50"/>
      <c r="BX602" s="54"/>
      <c r="BY602" s="14"/>
      <c r="BZ602" s="14"/>
      <c r="CA602" s="14"/>
      <c r="CB602" s="14"/>
      <c r="CC602" s="14"/>
      <c r="CD602" s="14"/>
      <c r="CE602" s="14"/>
      <c r="CF602" s="15"/>
      <c r="CG602" s="14"/>
      <c r="CH602" s="14"/>
      <c r="CI602" s="50"/>
      <c r="CJ602" s="54"/>
      <c r="CK602" s="14"/>
      <c r="CL602" s="14"/>
      <c r="CM602" s="14"/>
      <c r="CN602" s="14"/>
      <c r="CO602" s="14"/>
      <c r="CP602" s="14"/>
      <c r="CQ602" s="14"/>
      <c r="CR602" s="14"/>
      <c r="CS602" s="14"/>
      <c r="CT602" s="14"/>
      <c r="CU602" s="16"/>
      <c r="CV602" s="14"/>
      <c r="CW602" s="50"/>
      <c r="CX602" s="17"/>
    </row>
    <row r="603" spans="4:102" x14ac:dyDescent="0.25"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43"/>
      <c r="Q603" s="11"/>
      <c r="R603" s="11"/>
      <c r="S603" s="11"/>
      <c r="T603" s="11"/>
      <c r="U603" s="11"/>
      <c r="V603" s="11"/>
      <c r="W603" s="11"/>
      <c r="X603" s="12"/>
      <c r="Y603" s="12"/>
      <c r="Z603" s="12"/>
      <c r="AA603" s="44"/>
      <c r="AB603" s="45"/>
      <c r="AC603" s="12"/>
      <c r="AD603" s="12"/>
      <c r="AE603" s="12"/>
      <c r="AF603" s="12"/>
      <c r="AG603" s="44"/>
      <c r="AH603" s="45"/>
      <c r="AI603" s="12"/>
      <c r="AJ603" s="12"/>
      <c r="AK603" s="12"/>
      <c r="AL603" s="12"/>
      <c r="AM603" s="44"/>
      <c r="AN603" s="45"/>
      <c r="AO603" s="12"/>
      <c r="AP603" s="12"/>
      <c r="AQ603" s="12"/>
      <c r="AR603" s="12"/>
      <c r="AS603" s="44"/>
      <c r="AT603" s="45"/>
      <c r="AU603" s="12"/>
      <c r="AV603" s="12"/>
      <c r="AW603" s="12"/>
      <c r="AX603" s="12"/>
      <c r="AY603" s="44"/>
      <c r="AZ603" s="45"/>
      <c r="BA603" s="12"/>
      <c r="BB603" s="12"/>
      <c r="BC603" s="12"/>
      <c r="BD603" s="12"/>
      <c r="BE603" s="44"/>
      <c r="BF603" s="45"/>
      <c r="BG603" s="12"/>
      <c r="BH603" s="12"/>
      <c r="BI603" s="12"/>
      <c r="BJ603" s="12"/>
      <c r="BK603" s="44"/>
      <c r="BL603" s="45"/>
      <c r="BM603" s="12"/>
      <c r="BN603" s="12"/>
      <c r="BO603" s="12"/>
      <c r="BP603" s="12"/>
      <c r="BQ603" s="48"/>
      <c r="BR603" s="49"/>
      <c r="BS603" s="13"/>
      <c r="BT603" s="12"/>
      <c r="BV603" s="14"/>
      <c r="BW603" s="50"/>
      <c r="BX603" s="54"/>
      <c r="BY603" s="14"/>
      <c r="BZ603" s="14"/>
      <c r="CA603" s="14"/>
      <c r="CB603" s="14"/>
      <c r="CC603" s="14"/>
      <c r="CD603" s="14"/>
      <c r="CE603" s="14"/>
      <c r="CF603" s="15"/>
      <c r="CG603" s="14"/>
      <c r="CH603" s="14"/>
      <c r="CI603" s="50"/>
      <c r="CJ603" s="54"/>
      <c r="CK603" s="14"/>
      <c r="CL603" s="14"/>
      <c r="CM603" s="14"/>
      <c r="CN603" s="14"/>
      <c r="CO603" s="14"/>
      <c r="CP603" s="14"/>
      <c r="CQ603" s="14"/>
      <c r="CR603" s="14"/>
      <c r="CS603" s="14"/>
      <c r="CT603" s="14"/>
      <c r="CU603" s="16"/>
      <c r="CV603" s="14"/>
      <c r="CW603" s="50"/>
      <c r="CX603" s="17"/>
    </row>
    <row r="604" spans="4:102" x14ac:dyDescent="0.25"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43"/>
      <c r="Q604" s="11"/>
      <c r="R604" s="11"/>
      <c r="S604" s="11"/>
      <c r="T604" s="11"/>
      <c r="U604" s="11"/>
      <c r="V604" s="11"/>
      <c r="W604" s="11"/>
      <c r="X604" s="12"/>
      <c r="Y604" s="12"/>
      <c r="Z604" s="12"/>
      <c r="AA604" s="44"/>
      <c r="AB604" s="45"/>
      <c r="AC604" s="12"/>
      <c r="AD604" s="12"/>
      <c r="AE604" s="12"/>
      <c r="AF604" s="12"/>
      <c r="AG604" s="44"/>
      <c r="AH604" s="45"/>
      <c r="AI604" s="12"/>
      <c r="AJ604" s="12"/>
      <c r="AK604" s="12"/>
      <c r="AL604" s="12"/>
      <c r="AM604" s="44"/>
      <c r="AN604" s="45"/>
      <c r="AO604" s="12"/>
      <c r="AP604" s="12"/>
      <c r="AQ604" s="12"/>
      <c r="AR604" s="12"/>
      <c r="AS604" s="44"/>
      <c r="AT604" s="45"/>
      <c r="AU604" s="12"/>
      <c r="AV604" s="12"/>
      <c r="AW604" s="12"/>
      <c r="AX604" s="12"/>
      <c r="AY604" s="44"/>
      <c r="AZ604" s="45"/>
      <c r="BA604" s="12"/>
      <c r="BB604" s="12"/>
      <c r="BC604" s="12"/>
      <c r="BD604" s="12"/>
      <c r="BE604" s="44"/>
      <c r="BF604" s="45"/>
      <c r="BG604" s="12"/>
      <c r="BH604" s="12"/>
      <c r="BI604" s="12"/>
      <c r="BJ604" s="12"/>
      <c r="BK604" s="44"/>
      <c r="BL604" s="45"/>
      <c r="BM604" s="12"/>
      <c r="BN604" s="12"/>
      <c r="BO604" s="12"/>
      <c r="BP604" s="12"/>
      <c r="BQ604" s="48"/>
      <c r="BR604" s="49"/>
      <c r="BS604" s="13"/>
      <c r="BT604" s="12"/>
      <c r="BV604" s="14"/>
      <c r="BW604" s="50"/>
      <c r="BX604" s="54"/>
      <c r="BY604" s="14"/>
      <c r="BZ604" s="14"/>
      <c r="CA604" s="14"/>
      <c r="CB604" s="14"/>
      <c r="CC604" s="14"/>
      <c r="CD604" s="14"/>
      <c r="CE604" s="14"/>
      <c r="CF604" s="15"/>
      <c r="CG604" s="14"/>
      <c r="CH604" s="14"/>
      <c r="CI604" s="50"/>
      <c r="CJ604" s="54"/>
      <c r="CK604" s="14"/>
      <c r="CL604" s="14"/>
      <c r="CM604" s="14"/>
      <c r="CN604" s="14"/>
      <c r="CO604" s="14"/>
      <c r="CP604" s="14"/>
      <c r="CQ604" s="14"/>
      <c r="CR604" s="14"/>
      <c r="CS604" s="14"/>
      <c r="CT604" s="14"/>
      <c r="CU604" s="16"/>
      <c r="CV604" s="14"/>
      <c r="CW604" s="50"/>
      <c r="CX604" s="17"/>
    </row>
    <row r="605" spans="4:102" x14ac:dyDescent="0.25"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43"/>
      <c r="Q605" s="11"/>
      <c r="R605" s="11"/>
      <c r="S605" s="11"/>
      <c r="T605" s="11"/>
      <c r="U605" s="11"/>
      <c r="V605" s="11"/>
      <c r="W605" s="11"/>
      <c r="X605" s="12"/>
      <c r="Y605" s="12"/>
      <c r="Z605" s="12"/>
      <c r="AA605" s="44"/>
      <c r="AB605" s="45"/>
      <c r="AC605" s="12"/>
      <c r="AD605" s="12"/>
      <c r="AE605" s="12"/>
      <c r="AF605" s="12"/>
      <c r="AG605" s="44"/>
      <c r="AH605" s="45"/>
      <c r="AI605" s="12"/>
      <c r="AJ605" s="12"/>
      <c r="AK605" s="12"/>
      <c r="AL605" s="12"/>
      <c r="AM605" s="44"/>
      <c r="AN605" s="45"/>
      <c r="AO605" s="12"/>
      <c r="AP605" s="12"/>
      <c r="AQ605" s="12"/>
      <c r="AR605" s="12"/>
      <c r="AS605" s="44"/>
      <c r="AT605" s="45"/>
      <c r="AU605" s="12"/>
      <c r="AV605" s="12"/>
      <c r="AW605" s="12"/>
      <c r="AX605" s="12"/>
      <c r="AY605" s="44"/>
      <c r="AZ605" s="45"/>
      <c r="BA605" s="12"/>
      <c r="BB605" s="12"/>
      <c r="BC605" s="12"/>
      <c r="BD605" s="12"/>
      <c r="BE605" s="44"/>
      <c r="BF605" s="45"/>
      <c r="BG605" s="12"/>
      <c r="BH605" s="12"/>
      <c r="BI605" s="12"/>
      <c r="BJ605" s="12"/>
      <c r="BK605" s="44"/>
      <c r="BL605" s="45"/>
      <c r="BM605" s="12"/>
      <c r="BN605" s="12"/>
      <c r="BO605" s="12"/>
      <c r="BP605" s="12"/>
      <c r="BQ605" s="48"/>
      <c r="BR605" s="49"/>
      <c r="BS605" s="13"/>
      <c r="BT605" s="12"/>
      <c r="BV605" s="14"/>
      <c r="BW605" s="50"/>
      <c r="BX605" s="54"/>
      <c r="BY605" s="14"/>
      <c r="BZ605" s="14"/>
      <c r="CA605" s="14"/>
      <c r="CB605" s="14"/>
      <c r="CC605" s="14"/>
      <c r="CD605" s="14"/>
      <c r="CE605" s="14"/>
      <c r="CF605" s="15"/>
      <c r="CG605" s="14"/>
      <c r="CH605" s="14"/>
      <c r="CI605" s="50"/>
      <c r="CJ605" s="54"/>
      <c r="CK605" s="14"/>
      <c r="CL605" s="14"/>
      <c r="CM605" s="14"/>
      <c r="CN605" s="14"/>
      <c r="CO605" s="14"/>
      <c r="CP605" s="14"/>
      <c r="CQ605" s="14"/>
      <c r="CR605" s="14"/>
      <c r="CS605" s="14"/>
      <c r="CT605" s="14"/>
      <c r="CU605" s="16"/>
      <c r="CV605" s="14"/>
      <c r="CW605" s="50"/>
      <c r="CX605" s="17"/>
    </row>
    <row r="606" spans="4:102" x14ac:dyDescent="0.25"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43"/>
      <c r="Q606" s="11"/>
      <c r="R606" s="11"/>
      <c r="S606" s="11"/>
      <c r="T606" s="11"/>
      <c r="U606" s="11"/>
      <c r="V606" s="11"/>
      <c r="W606" s="11"/>
      <c r="X606" s="12"/>
      <c r="Y606" s="12"/>
      <c r="Z606" s="12"/>
      <c r="AA606" s="44"/>
      <c r="AB606" s="45"/>
      <c r="AC606" s="12"/>
      <c r="AD606" s="12"/>
      <c r="AE606" s="12"/>
      <c r="AF606" s="12"/>
      <c r="AG606" s="44"/>
      <c r="AH606" s="45"/>
      <c r="AI606" s="12"/>
      <c r="AJ606" s="12"/>
      <c r="AK606" s="12"/>
      <c r="AL606" s="12"/>
      <c r="AM606" s="44"/>
      <c r="AN606" s="45"/>
      <c r="AO606" s="12"/>
      <c r="AP606" s="12"/>
      <c r="AQ606" s="12"/>
      <c r="AR606" s="12"/>
      <c r="AS606" s="44"/>
      <c r="AT606" s="45"/>
      <c r="AU606" s="12"/>
      <c r="AV606" s="12"/>
      <c r="AW606" s="12"/>
      <c r="AX606" s="12"/>
      <c r="AY606" s="44"/>
      <c r="AZ606" s="45"/>
      <c r="BA606" s="12"/>
      <c r="BB606" s="12"/>
      <c r="BC606" s="12"/>
      <c r="BD606" s="12"/>
      <c r="BE606" s="44"/>
      <c r="BF606" s="45"/>
      <c r="BG606" s="12"/>
      <c r="BH606" s="12"/>
      <c r="BI606" s="12"/>
      <c r="BJ606" s="12"/>
      <c r="BK606" s="44"/>
      <c r="BL606" s="45"/>
      <c r="BM606" s="12"/>
      <c r="BN606" s="12"/>
      <c r="BO606" s="12"/>
      <c r="BP606" s="12"/>
      <c r="BQ606" s="48"/>
      <c r="BR606" s="49"/>
      <c r="BS606" s="13"/>
      <c r="BT606" s="12"/>
      <c r="BV606" s="14"/>
      <c r="BW606" s="50"/>
      <c r="BX606" s="54"/>
      <c r="BY606" s="14"/>
      <c r="BZ606" s="14"/>
      <c r="CA606" s="14"/>
      <c r="CB606" s="14"/>
      <c r="CC606" s="14"/>
      <c r="CD606" s="14"/>
      <c r="CE606" s="14"/>
      <c r="CF606" s="15"/>
      <c r="CG606" s="14"/>
      <c r="CH606" s="14"/>
      <c r="CI606" s="50"/>
      <c r="CJ606" s="54"/>
      <c r="CK606" s="14"/>
      <c r="CL606" s="14"/>
      <c r="CM606" s="14"/>
      <c r="CN606" s="14"/>
      <c r="CO606" s="14"/>
      <c r="CP606" s="14"/>
      <c r="CQ606" s="14"/>
      <c r="CR606" s="14"/>
      <c r="CS606" s="14"/>
      <c r="CT606" s="14"/>
      <c r="CU606" s="16"/>
      <c r="CV606" s="14"/>
      <c r="CW606" s="50"/>
      <c r="CX606" s="17"/>
    </row>
    <row r="607" spans="4:102" x14ac:dyDescent="0.25"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43"/>
      <c r="Q607" s="11"/>
      <c r="R607" s="11"/>
      <c r="S607" s="11"/>
      <c r="T607" s="11"/>
      <c r="U607" s="11"/>
      <c r="V607" s="11"/>
      <c r="W607" s="11"/>
      <c r="X607" s="12"/>
      <c r="Y607" s="12"/>
      <c r="Z607" s="12"/>
      <c r="AA607" s="44"/>
      <c r="AB607" s="45"/>
      <c r="AC607" s="12"/>
      <c r="AD607" s="12"/>
      <c r="AE607" s="12"/>
      <c r="AF607" s="12"/>
      <c r="AG607" s="44"/>
      <c r="AH607" s="45"/>
      <c r="AI607" s="12"/>
      <c r="AJ607" s="12"/>
      <c r="AK607" s="12"/>
      <c r="AL607" s="12"/>
      <c r="AM607" s="44"/>
      <c r="AN607" s="45"/>
      <c r="AO607" s="12"/>
      <c r="AP607" s="12"/>
      <c r="AQ607" s="12"/>
      <c r="AR607" s="12"/>
      <c r="AS607" s="44"/>
      <c r="AT607" s="45"/>
      <c r="AU607" s="12"/>
      <c r="AV607" s="12"/>
      <c r="AW607" s="12"/>
      <c r="AX607" s="12"/>
      <c r="AY607" s="44"/>
      <c r="AZ607" s="45"/>
      <c r="BA607" s="12"/>
      <c r="BB607" s="12"/>
      <c r="BC607" s="12"/>
      <c r="BD607" s="12"/>
      <c r="BE607" s="44"/>
      <c r="BF607" s="45"/>
      <c r="BG607" s="12"/>
      <c r="BH607" s="12"/>
      <c r="BI607" s="12"/>
      <c r="BJ607" s="12"/>
      <c r="BK607" s="44"/>
      <c r="BL607" s="45"/>
      <c r="BM607" s="12"/>
      <c r="BN607" s="12"/>
      <c r="BO607" s="12"/>
      <c r="BP607" s="12"/>
      <c r="BQ607" s="48"/>
      <c r="BR607" s="49"/>
      <c r="BS607" s="13"/>
      <c r="BT607" s="12"/>
      <c r="BV607" s="14"/>
      <c r="BW607" s="50"/>
      <c r="BX607" s="54"/>
      <c r="BY607" s="14"/>
      <c r="BZ607" s="14"/>
      <c r="CA607" s="14"/>
      <c r="CB607" s="14"/>
      <c r="CC607" s="14"/>
      <c r="CD607" s="14"/>
      <c r="CE607" s="14"/>
      <c r="CF607" s="15"/>
      <c r="CG607" s="14"/>
      <c r="CH607" s="14"/>
      <c r="CI607" s="50"/>
      <c r="CJ607" s="54"/>
      <c r="CK607" s="14"/>
      <c r="CL607" s="14"/>
      <c r="CM607" s="14"/>
      <c r="CN607" s="14"/>
      <c r="CO607" s="14"/>
      <c r="CP607" s="14"/>
      <c r="CQ607" s="14"/>
      <c r="CR607" s="14"/>
      <c r="CS607" s="14"/>
      <c r="CT607" s="14"/>
      <c r="CU607" s="16"/>
      <c r="CV607" s="14"/>
      <c r="CW607" s="50"/>
      <c r="CX607" s="17"/>
    </row>
    <row r="608" spans="4:102" x14ac:dyDescent="0.25"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43"/>
      <c r="Q608" s="11"/>
      <c r="R608" s="11"/>
      <c r="S608" s="11"/>
      <c r="T608" s="11"/>
      <c r="U608" s="11"/>
      <c r="V608" s="11"/>
      <c r="W608" s="11"/>
      <c r="X608" s="12"/>
      <c r="Y608" s="12"/>
      <c r="Z608" s="12"/>
      <c r="AA608" s="44"/>
      <c r="AB608" s="45"/>
      <c r="AC608" s="12"/>
      <c r="AD608" s="12"/>
      <c r="AE608" s="12"/>
      <c r="AF608" s="12"/>
      <c r="AG608" s="44"/>
      <c r="AH608" s="45"/>
      <c r="AI608" s="12"/>
      <c r="AJ608" s="12"/>
      <c r="AK608" s="12"/>
      <c r="AL608" s="12"/>
      <c r="AM608" s="44"/>
      <c r="AN608" s="45"/>
      <c r="AO608" s="12"/>
      <c r="AP608" s="12"/>
      <c r="AQ608" s="12"/>
      <c r="AR608" s="12"/>
      <c r="AS608" s="44"/>
      <c r="AT608" s="45"/>
      <c r="AU608" s="12"/>
      <c r="AV608" s="12"/>
      <c r="AW608" s="12"/>
      <c r="AX608" s="12"/>
      <c r="AY608" s="44"/>
      <c r="AZ608" s="45"/>
      <c r="BA608" s="12"/>
      <c r="BB608" s="12"/>
      <c r="BC608" s="12"/>
      <c r="BD608" s="12"/>
      <c r="BE608" s="44"/>
      <c r="BF608" s="45"/>
      <c r="BG608" s="12"/>
      <c r="BH608" s="12"/>
      <c r="BI608" s="12"/>
      <c r="BJ608" s="12"/>
      <c r="BK608" s="44"/>
      <c r="BL608" s="45"/>
      <c r="BM608" s="12"/>
      <c r="BN608" s="12"/>
      <c r="BO608" s="12"/>
      <c r="BP608" s="12"/>
      <c r="BQ608" s="48"/>
      <c r="BR608" s="49"/>
      <c r="BS608" s="13"/>
      <c r="BT608" s="12"/>
      <c r="BV608" s="14"/>
      <c r="BW608" s="50"/>
      <c r="BX608" s="54"/>
      <c r="BY608" s="14"/>
      <c r="BZ608" s="14"/>
      <c r="CA608" s="14"/>
      <c r="CB608" s="14"/>
      <c r="CC608" s="14"/>
      <c r="CD608" s="14"/>
      <c r="CE608" s="14"/>
      <c r="CF608" s="15"/>
      <c r="CG608" s="14"/>
      <c r="CH608" s="14"/>
      <c r="CI608" s="50"/>
      <c r="CJ608" s="54"/>
      <c r="CK608" s="14"/>
      <c r="CL608" s="14"/>
      <c r="CM608" s="14"/>
      <c r="CN608" s="14"/>
      <c r="CO608" s="14"/>
      <c r="CP608" s="14"/>
      <c r="CQ608" s="14"/>
      <c r="CR608" s="14"/>
      <c r="CS608" s="14"/>
      <c r="CT608" s="14"/>
      <c r="CU608" s="16"/>
      <c r="CV608" s="14"/>
      <c r="CW608" s="50"/>
      <c r="CX608" s="17"/>
    </row>
    <row r="609" spans="4:102" x14ac:dyDescent="0.25"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43"/>
      <c r="Q609" s="11"/>
      <c r="R609" s="11"/>
      <c r="S609" s="11"/>
      <c r="T609" s="11"/>
      <c r="U609" s="11"/>
      <c r="V609" s="11"/>
      <c r="W609" s="11"/>
      <c r="X609" s="12"/>
      <c r="Y609" s="12"/>
      <c r="Z609" s="12"/>
      <c r="AA609" s="44"/>
      <c r="AB609" s="45"/>
      <c r="AC609" s="12"/>
      <c r="AD609" s="12"/>
      <c r="AE609" s="12"/>
      <c r="AF609" s="12"/>
      <c r="AG609" s="44"/>
      <c r="AH609" s="45"/>
      <c r="AI609" s="12"/>
      <c r="AJ609" s="12"/>
      <c r="AK609" s="12"/>
      <c r="AL609" s="12"/>
      <c r="AM609" s="44"/>
      <c r="AN609" s="45"/>
      <c r="AO609" s="12"/>
      <c r="AP609" s="12"/>
      <c r="AQ609" s="12"/>
      <c r="AR609" s="12"/>
      <c r="AS609" s="44"/>
      <c r="AT609" s="45"/>
      <c r="AU609" s="12"/>
      <c r="AV609" s="12"/>
      <c r="AW609" s="12"/>
      <c r="AX609" s="12"/>
      <c r="AY609" s="44"/>
      <c r="AZ609" s="45"/>
      <c r="BA609" s="12"/>
      <c r="BB609" s="12"/>
      <c r="BC609" s="12"/>
      <c r="BD609" s="12"/>
      <c r="BE609" s="44"/>
      <c r="BF609" s="45"/>
      <c r="BG609" s="12"/>
      <c r="BH609" s="12"/>
      <c r="BI609" s="12"/>
      <c r="BJ609" s="12"/>
      <c r="BK609" s="44"/>
      <c r="BL609" s="45"/>
      <c r="BM609" s="12"/>
      <c r="BN609" s="12"/>
      <c r="BO609" s="12"/>
      <c r="BP609" s="12"/>
      <c r="BQ609" s="48"/>
      <c r="BR609" s="49"/>
      <c r="BS609" s="13"/>
      <c r="BT609" s="12"/>
      <c r="BV609" s="14"/>
      <c r="BW609" s="50"/>
      <c r="BX609" s="54"/>
      <c r="BY609" s="14"/>
      <c r="BZ609" s="14"/>
      <c r="CA609" s="14"/>
      <c r="CB609" s="14"/>
      <c r="CC609" s="14"/>
      <c r="CD609" s="14"/>
      <c r="CE609" s="14"/>
      <c r="CF609" s="15"/>
      <c r="CG609" s="14"/>
      <c r="CH609" s="14"/>
      <c r="CI609" s="50"/>
      <c r="CJ609" s="54"/>
      <c r="CK609" s="14"/>
      <c r="CL609" s="14"/>
      <c r="CM609" s="14"/>
      <c r="CN609" s="14"/>
      <c r="CO609" s="14"/>
      <c r="CP609" s="14"/>
      <c r="CQ609" s="14"/>
      <c r="CR609" s="14"/>
      <c r="CS609" s="14"/>
      <c r="CT609" s="14"/>
      <c r="CU609" s="16"/>
      <c r="CV609" s="14"/>
      <c r="CW609" s="50"/>
      <c r="CX609" s="17"/>
    </row>
    <row r="610" spans="4:102" x14ac:dyDescent="0.25"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43"/>
      <c r="Q610" s="11"/>
      <c r="R610" s="11"/>
      <c r="S610" s="11"/>
      <c r="T610" s="11"/>
      <c r="U610" s="11"/>
      <c r="V610" s="11"/>
      <c r="W610" s="11"/>
      <c r="X610" s="12"/>
      <c r="Y610" s="12"/>
      <c r="Z610" s="12"/>
      <c r="AA610" s="44"/>
      <c r="AB610" s="45"/>
      <c r="AC610" s="12"/>
      <c r="AD610" s="12"/>
      <c r="AE610" s="12"/>
      <c r="AF610" s="12"/>
      <c r="AG610" s="44"/>
      <c r="AH610" s="45"/>
      <c r="AI610" s="12"/>
      <c r="AJ610" s="12"/>
      <c r="AK610" s="12"/>
      <c r="AL610" s="12"/>
      <c r="AM610" s="44"/>
      <c r="AN610" s="45"/>
      <c r="AO610" s="12"/>
      <c r="AP610" s="12"/>
      <c r="AQ610" s="12"/>
      <c r="AR610" s="12"/>
      <c r="AS610" s="44"/>
      <c r="AT610" s="45"/>
      <c r="AU610" s="12"/>
      <c r="AV610" s="12"/>
      <c r="AW610" s="12"/>
      <c r="AX610" s="12"/>
      <c r="AY610" s="44"/>
      <c r="AZ610" s="45"/>
      <c r="BA610" s="12"/>
      <c r="BB610" s="12"/>
      <c r="BC610" s="12"/>
      <c r="BD610" s="12"/>
      <c r="BE610" s="44"/>
      <c r="BF610" s="45"/>
      <c r="BG610" s="12"/>
      <c r="BH610" s="12"/>
      <c r="BI610" s="12"/>
      <c r="BJ610" s="12"/>
      <c r="BK610" s="44"/>
      <c r="BL610" s="45"/>
      <c r="BM610" s="12"/>
      <c r="BN610" s="12"/>
      <c r="BO610" s="12"/>
      <c r="BP610" s="12"/>
      <c r="BQ610" s="48"/>
      <c r="BR610" s="49"/>
      <c r="BS610" s="13"/>
      <c r="BT610" s="12"/>
      <c r="BV610" s="14"/>
      <c r="BW610" s="50"/>
      <c r="BX610" s="54"/>
      <c r="BY610" s="14"/>
      <c r="BZ610" s="14"/>
      <c r="CA610" s="14"/>
      <c r="CB610" s="14"/>
      <c r="CC610" s="14"/>
      <c r="CD610" s="14"/>
      <c r="CE610" s="14"/>
      <c r="CF610" s="15"/>
      <c r="CG610" s="14"/>
      <c r="CH610" s="14"/>
      <c r="CI610" s="50"/>
      <c r="CJ610" s="54"/>
      <c r="CK610" s="14"/>
      <c r="CL610" s="14"/>
      <c r="CM610" s="14"/>
      <c r="CN610" s="14"/>
      <c r="CO610" s="14"/>
      <c r="CP610" s="14"/>
      <c r="CQ610" s="14"/>
      <c r="CR610" s="14"/>
      <c r="CS610" s="14"/>
      <c r="CT610" s="14"/>
      <c r="CU610" s="16"/>
      <c r="CV610" s="14"/>
      <c r="CW610" s="50"/>
      <c r="CX610" s="17"/>
    </row>
    <row r="611" spans="4:102" x14ac:dyDescent="0.25"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43"/>
      <c r="Q611" s="11"/>
      <c r="R611" s="11"/>
      <c r="S611" s="11"/>
      <c r="T611" s="11"/>
      <c r="U611" s="11"/>
      <c r="V611" s="11"/>
      <c r="W611" s="11"/>
      <c r="X611" s="12"/>
      <c r="Y611" s="12"/>
      <c r="Z611" s="12"/>
      <c r="AA611" s="44"/>
      <c r="AB611" s="45"/>
      <c r="AC611" s="12"/>
      <c r="AD611" s="12"/>
      <c r="AE611" s="12"/>
      <c r="AF611" s="12"/>
      <c r="AG611" s="44"/>
      <c r="AH611" s="45"/>
      <c r="AI611" s="12"/>
      <c r="AJ611" s="12"/>
      <c r="AK611" s="12"/>
      <c r="AL611" s="12"/>
      <c r="AM611" s="44"/>
      <c r="AN611" s="45"/>
      <c r="AO611" s="12"/>
      <c r="AP611" s="12"/>
      <c r="AQ611" s="12"/>
      <c r="AR611" s="12"/>
      <c r="AS611" s="44"/>
      <c r="AT611" s="45"/>
      <c r="AU611" s="12"/>
      <c r="AV611" s="12"/>
      <c r="AW611" s="12"/>
      <c r="AX611" s="12"/>
      <c r="AY611" s="44"/>
      <c r="AZ611" s="45"/>
      <c r="BA611" s="12"/>
      <c r="BB611" s="12"/>
      <c r="BC611" s="12"/>
      <c r="BD611" s="12"/>
      <c r="BE611" s="44"/>
      <c r="BF611" s="45"/>
      <c r="BG611" s="12"/>
      <c r="BH611" s="12"/>
      <c r="BI611" s="12"/>
      <c r="BJ611" s="12"/>
      <c r="BK611" s="44"/>
      <c r="BL611" s="45"/>
      <c r="BM611" s="12"/>
      <c r="BN611" s="12"/>
      <c r="BO611" s="12"/>
      <c r="BP611" s="12"/>
      <c r="BQ611" s="48"/>
      <c r="BR611" s="49"/>
      <c r="BS611" s="13"/>
      <c r="BT611" s="12"/>
      <c r="BV611" s="14"/>
      <c r="BW611" s="50"/>
      <c r="BX611" s="54"/>
      <c r="BY611" s="14"/>
      <c r="BZ611" s="14"/>
      <c r="CA611" s="14"/>
      <c r="CB611" s="14"/>
      <c r="CC611" s="14"/>
      <c r="CD611" s="14"/>
      <c r="CE611" s="14"/>
      <c r="CF611" s="15"/>
      <c r="CG611" s="14"/>
      <c r="CH611" s="14"/>
      <c r="CI611" s="50"/>
      <c r="CJ611" s="54"/>
      <c r="CK611" s="14"/>
      <c r="CL611" s="14"/>
      <c r="CM611" s="14"/>
      <c r="CN611" s="14"/>
      <c r="CO611" s="14"/>
      <c r="CP611" s="14"/>
      <c r="CQ611" s="14"/>
      <c r="CR611" s="14"/>
      <c r="CS611" s="14"/>
      <c r="CT611" s="14"/>
      <c r="CU611" s="16"/>
      <c r="CV611" s="14"/>
      <c r="CW611" s="50"/>
      <c r="CX611" s="17"/>
    </row>
    <row r="612" spans="4:102" x14ac:dyDescent="0.25"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43"/>
      <c r="Q612" s="11"/>
      <c r="R612" s="11"/>
      <c r="S612" s="11"/>
      <c r="T612" s="11"/>
      <c r="U612" s="11"/>
      <c r="V612" s="11"/>
      <c r="W612" s="11"/>
      <c r="X612" s="12"/>
      <c r="Y612" s="12"/>
      <c r="Z612" s="12"/>
      <c r="AA612" s="44"/>
      <c r="AB612" s="45"/>
      <c r="AC612" s="12"/>
      <c r="AD612" s="12"/>
      <c r="AE612" s="12"/>
      <c r="AF612" s="12"/>
      <c r="AG612" s="44"/>
      <c r="AH612" s="45"/>
      <c r="AI612" s="12"/>
      <c r="AJ612" s="12"/>
      <c r="AK612" s="12"/>
      <c r="AL612" s="12"/>
      <c r="AM612" s="44"/>
      <c r="AN612" s="45"/>
      <c r="AO612" s="12"/>
      <c r="AP612" s="12"/>
      <c r="AQ612" s="12"/>
      <c r="AR612" s="12"/>
      <c r="AS612" s="44"/>
      <c r="AT612" s="45"/>
      <c r="AU612" s="12"/>
      <c r="AV612" s="12"/>
      <c r="AW612" s="12"/>
      <c r="AX612" s="12"/>
      <c r="AY612" s="44"/>
      <c r="AZ612" s="45"/>
      <c r="BA612" s="12"/>
      <c r="BB612" s="12"/>
      <c r="BC612" s="12"/>
      <c r="BD612" s="12"/>
      <c r="BE612" s="44"/>
      <c r="BF612" s="45"/>
      <c r="BG612" s="12"/>
      <c r="BH612" s="12"/>
      <c r="BI612" s="12"/>
      <c r="BJ612" s="12"/>
      <c r="BK612" s="44"/>
      <c r="BL612" s="45"/>
      <c r="BM612" s="12"/>
      <c r="BN612" s="12"/>
      <c r="BO612" s="12"/>
      <c r="BP612" s="12"/>
      <c r="BQ612" s="48"/>
      <c r="BR612" s="49"/>
      <c r="BS612" s="13"/>
      <c r="BT612" s="12"/>
      <c r="BV612" s="14"/>
      <c r="BW612" s="50"/>
      <c r="BX612" s="54"/>
      <c r="BY612" s="14"/>
      <c r="BZ612" s="14"/>
      <c r="CA612" s="14"/>
      <c r="CB612" s="14"/>
      <c r="CC612" s="14"/>
      <c r="CD612" s="14"/>
      <c r="CE612" s="14"/>
      <c r="CF612" s="15"/>
      <c r="CG612" s="14"/>
      <c r="CH612" s="14"/>
      <c r="CI612" s="50"/>
      <c r="CJ612" s="54"/>
      <c r="CK612" s="14"/>
      <c r="CL612" s="14"/>
      <c r="CM612" s="14"/>
      <c r="CN612" s="14"/>
      <c r="CO612" s="14"/>
      <c r="CP612" s="14"/>
      <c r="CQ612" s="14"/>
      <c r="CR612" s="14"/>
      <c r="CS612" s="14"/>
      <c r="CT612" s="14"/>
      <c r="CU612" s="16"/>
      <c r="CV612" s="14"/>
      <c r="CW612" s="50"/>
      <c r="CX612" s="17"/>
    </row>
    <row r="613" spans="4:102" x14ac:dyDescent="0.25"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43"/>
      <c r="Q613" s="11"/>
      <c r="R613" s="11"/>
      <c r="S613" s="11"/>
      <c r="T613" s="11"/>
      <c r="U613" s="11"/>
      <c r="V613" s="11"/>
      <c r="W613" s="11"/>
      <c r="X613" s="12"/>
      <c r="Y613" s="12"/>
      <c r="Z613" s="12"/>
      <c r="AA613" s="44"/>
      <c r="AB613" s="45"/>
      <c r="AC613" s="12"/>
      <c r="AD613" s="12"/>
      <c r="AE613" s="12"/>
      <c r="AF613" s="12"/>
      <c r="AG613" s="44"/>
      <c r="AH613" s="45"/>
      <c r="AI613" s="12"/>
      <c r="AJ613" s="12"/>
      <c r="AK613" s="12"/>
      <c r="AL613" s="12"/>
      <c r="AM613" s="44"/>
      <c r="AN613" s="45"/>
      <c r="AO613" s="12"/>
      <c r="AP613" s="12"/>
      <c r="AQ613" s="12"/>
      <c r="AR613" s="12"/>
      <c r="AS613" s="44"/>
      <c r="AT613" s="45"/>
      <c r="AU613" s="12"/>
      <c r="AV613" s="12"/>
      <c r="AW613" s="12"/>
      <c r="AX613" s="12"/>
      <c r="AY613" s="44"/>
      <c r="AZ613" s="45"/>
      <c r="BA613" s="12"/>
      <c r="BB613" s="12"/>
      <c r="BC613" s="12"/>
      <c r="BD613" s="12"/>
      <c r="BE613" s="44"/>
      <c r="BF613" s="45"/>
      <c r="BG613" s="12"/>
      <c r="BH613" s="12"/>
      <c r="BI613" s="12"/>
      <c r="BJ613" s="12"/>
      <c r="BK613" s="44"/>
      <c r="BL613" s="45"/>
      <c r="BM613" s="12"/>
      <c r="BN613" s="12"/>
      <c r="BO613" s="12"/>
      <c r="BP613" s="12"/>
      <c r="BQ613" s="48"/>
      <c r="BR613" s="49"/>
      <c r="BS613" s="13"/>
      <c r="BT613" s="12"/>
      <c r="BV613" s="14"/>
      <c r="BW613" s="50"/>
      <c r="BX613" s="54"/>
      <c r="BY613" s="14"/>
      <c r="BZ613" s="14"/>
      <c r="CA613" s="14"/>
      <c r="CB613" s="14"/>
      <c r="CC613" s="14"/>
      <c r="CD613" s="14"/>
      <c r="CE613" s="14"/>
      <c r="CF613" s="15"/>
      <c r="CG613" s="14"/>
      <c r="CH613" s="14"/>
      <c r="CI613" s="50"/>
      <c r="CJ613" s="54"/>
      <c r="CK613" s="14"/>
      <c r="CL613" s="14"/>
      <c r="CM613" s="14"/>
      <c r="CN613" s="14"/>
      <c r="CO613" s="14"/>
      <c r="CP613" s="14"/>
      <c r="CQ613" s="14"/>
      <c r="CR613" s="14"/>
      <c r="CS613" s="14"/>
      <c r="CT613" s="14"/>
      <c r="CU613" s="16"/>
      <c r="CV613" s="14"/>
      <c r="CW613" s="50"/>
      <c r="CX613" s="17"/>
    </row>
    <row r="614" spans="4:102" x14ac:dyDescent="0.25"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43"/>
      <c r="Q614" s="11"/>
      <c r="R614" s="11"/>
      <c r="S614" s="11"/>
      <c r="T614" s="11"/>
      <c r="U614" s="11"/>
      <c r="V614" s="11"/>
      <c r="W614" s="11"/>
      <c r="X614" s="12"/>
      <c r="Y614" s="12"/>
      <c r="Z614" s="12"/>
      <c r="AA614" s="44"/>
      <c r="AB614" s="45"/>
      <c r="AC614" s="12"/>
      <c r="AD614" s="12"/>
      <c r="AE614" s="12"/>
      <c r="AF614" s="12"/>
      <c r="AG614" s="44"/>
      <c r="AH614" s="45"/>
      <c r="AI614" s="12"/>
      <c r="AJ614" s="12"/>
      <c r="AK614" s="12"/>
      <c r="AL614" s="12"/>
      <c r="AM614" s="44"/>
      <c r="AN614" s="45"/>
      <c r="AO614" s="12"/>
      <c r="AP614" s="12"/>
      <c r="AQ614" s="12"/>
      <c r="AR614" s="12"/>
      <c r="AS614" s="44"/>
      <c r="AT614" s="45"/>
      <c r="AU614" s="12"/>
      <c r="AV614" s="12"/>
      <c r="AW614" s="12"/>
      <c r="AX614" s="12"/>
      <c r="AY614" s="44"/>
      <c r="AZ614" s="45"/>
      <c r="BA614" s="12"/>
      <c r="BB614" s="12"/>
      <c r="BC614" s="12"/>
      <c r="BD614" s="12"/>
      <c r="BE614" s="44"/>
      <c r="BF614" s="45"/>
      <c r="BG614" s="12"/>
      <c r="BH614" s="12"/>
      <c r="BI614" s="12"/>
      <c r="BJ614" s="12"/>
      <c r="BK614" s="44"/>
      <c r="BL614" s="45"/>
      <c r="BM614" s="12"/>
      <c r="BN614" s="12"/>
      <c r="BO614" s="12"/>
      <c r="BP614" s="12"/>
      <c r="BQ614" s="48"/>
      <c r="BR614" s="49"/>
      <c r="BS614" s="13"/>
      <c r="BT614" s="12"/>
      <c r="BV614" s="14"/>
      <c r="BW614" s="50"/>
      <c r="BX614" s="54"/>
      <c r="BY614" s="14"/>
      <c r="BZ614" s="14"/>
      <c r="CA614" s="14"/>
      <c r="CB614" s="14"/>
      <c r="CC614" s="14"/>
      <c r="CD614" s="14"/>
      <c r="CE614" s="14"/>
      <c r="CF614" s="15"/>
      <c r="CG614" s="14"/>
      <c r="CH614" s="14"/>
      <c r="CI614" s="50"/>
      <c r="CJ614" s="54"/>
      <c r="CK614" s="14"/>
      <c r="CL614" s="14"/>
      <c r="CM614" s="14"/>
      <c r="CN614" s="14"/>
      <c r="CO614" s="14"/>
      <c r="CP614" s="14"/>
      <c r="CQ614" s="14"/>
      <c r="CR614" s="14"/>
      <c r="CS614" s="14"/>
      <c r="CT614" s="14"/>
      <c r="CU614" s="16"/>
      <c r="CV614" s="14"/>
      <c r="CW614" s="50"/>
      <c r="CX614" s="17"/>
    </row>
    <row r="615" spans="4:102" x14ac:dyDescent="0.25"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43"/>
      <c r="Q615" s="11"/>
      <c r="R615" s="11"/>
      <c r="S615" s="11"/>
      <c r="T615" s="11"/>
      <c r="U615" s="11"/>
      <c r="V615" s="11"/>
      <c r="W615" s="11"/>
      <c r="X615" s="12"/>
      <c r="Y615" s="12"/>
      <c r="Z615" s="12"/>
      <c r="AA615" s="44"/>
      <c r="AB615" s="45"/>
      <c r="AC615" s="12"/>
      <c r="AD615" s="12"/>
      <c r="AE615" s="12"/>
      <c r="AF615" s="12"/>
      <c r="AG615" s="44"/>
      <c r="AH615" s="45"/>
      <c r="AI615" s="12"/>
      <c r="AJ615" s="12"/>
      <c r="AK615" s="12"/>
      <c r="AL615" s="12"/>
      <c r="AM615" s="44"/>
      <c r="AN615" s="45"/>
      <c r="AO615" s="12"/>
      <c r="AP615" s="12"/>
      <c r="AQ615" s="12"/>
      <c r="AR615" s="12"/>
      <c r="AS615" s="44"/>
      <c r="AT615" s="45"/>
      <c r="AU615" s="12"/>
      <c r="AV615" s="12"/>
      <c r="AW615" s="12"/>
      <c r="AX615" s="12"/>
      <c r="AY615" s="44"/>
      <c r="AZ615" s="45"/>
      <c r="BA615" s="12"/>
      <c r="BB615" s="12"/>
      <c r="BC615" s="12"/>
      <c r="BD615" s="12"/>
      <c r="BE615" s="44"/>
      <c r="BF615" s="45"/>
      <c r="BG615" s="12"/>
      <c r="BH615" s="12"/>
      <c r="BI615" s="12"/>
      <c r="BJ615" s="12"/>
      <c r="BK615" s="44"/>
      <c r="BL615" s="45"/>
      <c r="BM615" s="12"/>
      <c r="BN615" s="12"/>
      <c r="BO615" s="12"/>
      <c r="BP615" s="12"/>
      <c r="BQ615" s="48"/>
      <c r="BR615" s="49"/>
      <c r="BS615" s="13"/>
      <c r="BT615" s="12"/>
      <c r="BV615" s="14"/>
      <c r="BW615" s="50"/>
      <c r="BX615" s="54"/>
      <c r="BY615" s="14"/>
      <c r="BZ615" s="14"/>
      <c r="CA615" s="14"/>
      <c r="CB615" s="14"/>
      <c r="CC615" s="14"/>
      <c r="CD615" s="14"/>
      <c r="CE615" s="14"/>
      <c r="CF615" s="15"/>
      <c r="CG615" s="14"/>
      <c r="CH615" s="14"/>
      <c r="CI615" s="50"/>
      <c r="CJ615" s="54"/>
      <c r="CK615" s="14"/>
      <c r="CL615" s="14"/>
      <c r="CM615" s="14"/>
      <c r="CN615" s="14"/>
      <c r="CO615" s="14"/>
      <c r="CP615" s="14"/>
      <c r="CQ615" s="14"/>
      <c r="CR615" s="14"/>
      <c r="CS615" s="14"/>
      <c r="CT615" s="14"/>
      <c r="CU615" s="16"/>
      <c r="CV615" s="14"/>
      <c r="CW615" s="50"/>
      <c r="CX615" s="17"/>
    </row>
    <row r="616" spans="4:102" x14ac:dyDescent="0.25"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43"/>
      <c r="Q616" s="11"/>
      <c r="R616" s="11"/>
      <c r="S616" s="11"/>
      <c r="T616" s="11"/>
      <c r="U616" s="11"/>
      <c r="V616" s="11"/>
      <c r="W616" s="11"/>
      <c r="X616" s="12"/>
      <c r="Y616" s="12"/>
      <c r="Z616" s="12"/>
      <c r="AA616" s="44"/>
      <c r="AB616" s="45"/>
      <c r="AC616" s="12"/>
      <c r="AD616" s="12"/>
      <c r="AE616" s="12"/>
      <c r="AF616" s="12"/>
      <c r="AG616" s="44"/>
      <c r="AH616" s="45"/>
      <c r="AI616" s="12"/>
      <c r="AJ616" s="12"/>
      <c r="AK616" s="12"/>
      <c r="AL616" s="12"/>
      <c r="AM616" s="44"/>
      <c r="AN616" s="45"/>
      <c r="AO616" s="12"/>
      <c r="AP616" s="12"/>
      <c r="AQ616" s="12"/>
      <c r="AR616" s="12"/>
      <c r="AS616" s="44"/>
      <c r="AT616" s="45"/>
      <c r="AU616" s="12"/>
      <c r="AV616" s="12"/>
      <c r="AW616" s="12"/>
      <c r="AX616" s="12"/>
      <c r="AY616" s="44"/>
      <c r="AZ616" s="45"/>
      <c r="BA616" s="12"/>
      <c r="BB616" s="12"/>
      <c r="BC616" s="12"/>
      <c r="BD616" s="12"/>
      <c r="BE616" s="44"/>
      <c r="BF616" s="45"/>
      <c r="BG616" s="12"/>
      <c r="BH616" s="12"/>
      <c r="BI616" s="12"/>
      <c r="BJ616" s="12"/>
      <c r="BK616" s="44"/>
      <c r="BL616" s="45"/>
      <c r="BM616" s="12"/>
      <c r="BN616" s="12"/>
      <c r="BO616" s="12"/>
      <c r="BP616" s="12"/>
      <c r="BQ616" s="48"/>
      <c r="BR616" s="49"/>
      <c r="BS616" s="13"/>
      <c r="BT616" s="12"/>
      <c r="BV616" s="14"/>
      <c r="BW616" s="50"/>
      <c r="BX616" s="54"/>
      <c r="BY616" s="14"/>
      <c r="BZ616" s="14"/>
      <c r="CA616" s="14"/>
      <c r="CB616" s="14"/>
      <c r="CC616" s="14"/>
      <c r="CD616" s="14"/>
      <c r="CE616" s="14"/>
      <c r="CF616" s="15"/>
      <c r="CG616" s="14"/>
      <c r="CH616" s="14"/>
      <c r="CI616" s="50"/>
      <c r="CJ616" s="54"/>
      <c r="CK616" s="14"/>
      <c r="CL616" s="14"/>
      <c r="CM616" s="14"/>
      <c r="CN616" s="14"/>
      <c r="CO616" s="14"/>
      <c r="CP616" s="14"/>
      <c r="CQ616" s="14"/>
      <c r="CR616" s="14"/>
      <c r="CS616" s="14"/>
      <c r="CT616" s="14"/>
      <c r="CU616" s="16"/>
      <c r="CV616" s="14"/>
      <c r="CW616" s="50"/>
      <c r="CX616" s="17"/>
    </row>
    <row r="617" spans="4:102" x14ac:dyDescent="0.25"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43"/>
      <c r="Q617" s="11"/>
      <c r="R617" s="11"/>
      <c r="S617" s="11"/>
      <c r="T617" s="11"/>
      <c r="U617" s="11"/>
      <c r="V617" s="11"/>
      <c r="W617" s="11"/>
      <c r="X617" s="12"/>
      <c r="Y617" s="12"/>
      <c r="Z617" s="12"/>
      <c r="AA617" s="44"/>
      <c r="AB617" s="45"/>
      <c r="AC617" s="12"/>
      <c r="AD617" s="12"/>
      <c r="AE617" s="12"/>
      <c r="AF617" s="12"/>
      <c r="AG617" s="44"/>
      <c r="AH617" s="45"/>
      <c r="AI617" s="12"/>
      <c r="AJ617" s="12"/>
      <c r="AK617" s="12"/>
      <c r="AL617" s="12"/>
      <c r="AM617" s="44"/>
      <c r="AN617" s="45"/>
      <c r="AO617" s="12"/>
      <c r="AP617" s="12"/>
      <c r="AQ617" s="12"/>
      <c r="AR617" s="12"/>
      <c r="AS617" s="44"/>
      <c r="AT617" s="45"/>
      <c r="AU617" s="12"/>
      <c r="AV617" s="12"/>
      <c r="AW617" s="12"/>
      <c r="AX617" s="12"/>
      <c r="AY617" s="44"/>
      <c r="AZ617" s="45"/>
      <c r="BA617" s="12"/>
      <c r="BB617" s="12"/>
      <c r="BC617" s="12"/>
      <c r="BD617" s="12"/>
      <c r="BE617" s="44"/>
      <c r="BF617" s="45"/>
      <c r="BG617" s="12"/>
      <c r="BH617" s="12"/>
      <c r="BI617" s="12"/>
      <c r="BJ617" s="12"/>
      <c r="BK617" s="44"/>
      <c r="BL617" s="45"/>
      <c r="BM617" s="12"/>
      <c r="BN617" s="12"/>
      <c r="BO617" s="12"/>
      <c r="BP617" s="12"/>
      <c r="BQ617" s="48"/>
      <c r="BR617" s="49"/>
      <c r="BS617" s="13"/>
      <c r="BT617" s="12"/>
      <c r="BV617" s="14"/>
      <c r="BW617" s="50"/>
      <c r="BX617" s="54"/>
      <c r="BY617" s="14"/>
      <c r="BZ617" s="14"/>
      <c r="CA617" s="14"/>
      <c r="CB617" s="14"/>
      <c r="CC617" s="14"/>
      <c r="CD617" s="14"/>
      <c r="CE617" s="14"/>
      <c r="CF617" s="15"/>
      <c r="CG617" s="14"/>
      <c r="CH617" s="14"/>
      <c r="CI617" s="50"/>
      <c r="CJ617" s="54"/>
      <c r="CK617" s="14"/>
      <c r="CL617" s="14"/>
      <c r="CM617" s="14"/>
      <c r="CN617" s="14"/>
      <c r="CO617" s="14"/>
      <c r="CP617" s="14"/>
      <c r="CQ617" s="14"/>
      <c r="CR617" s="14"/>
      <c r="CS617" s="14"/>
      <c r="CT617" s="14"/>
      <c r="CU617" s="16"/>
      <c r="CV617" s="14"/>
      <c r="CW617" s="50"/>
      <c r="CX617" s="17"/>
    </row>
    <row r="618" spans="4:102" x14ac:dyDescent="0.25"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43"/>
      <c r="Q618" s="11"/>
      <c r="R618" s="11"/>
      <c r="S618" s="11"/>
      <c r="T618" s="11"/>
      <c r="U618" s="11"/>
      <c r="V618" s="11"/>
      <c r="W618" s="11"/>
      <c r="X618" s="12"/>
      <c r="Y618" s="12"/>
      <c r="Z618" s="12"/>
      <c r="AA618" s="44"/>
      <c r="AB618" s="45"/>
      <c r="AC618" s="12"/>
      <c r="AD618" s="12"/>
      <c r="AE618" s="12"/>
      <c r="AF618" s="12"/>
      <c r="AG618" s="44"/>
      <c r="AH618" s="45"/>
      <c r="AI618" s="12"/>
      <c r="AJ618" s="12"/>
      <c r="AK618" s="12"/>
      <c r="AL618" s="12"/>
      <c r="AM618" s="44"/>
      <c r="AN618" s="45"/>
      <c r="AO618" s="12"/>
      <c r="AP618" s="12"/>
      <c r="AQ618" s="12"/>
      <c r="AR618" s="12"/>
      <c r="AS618" s="44"/>
      <c r="AT618" s="45"/>
      <c r="AU618" s="12"/>
      <c r="AV618" s="12"/>
      <c r="AW618" s="12"/>
      <c r="AX618" s="12"/>
      <c r="AY618" s="44"/>
      <c r="AZ618" s="45"/>
      <c r="BA618" s="12"/>
      <c r="BB618" s="12"/>
      <c r="BC618" s="12"/>
      <c r="BD618" s="12"/>
      <c r="BE618" s="44"/>
      <c r="BF618" s="45"/>
      <c r="BG618" s="12"/>
      <c r="BH618" s="12"/>
      <c r="BI618" s="12"/>
      <c r="BJ618" s="12"/>
      <c r="BK618" s="44"/>
      <c r="BL618" s="45"/>
      <c r="BM618" s="12"/>
      <c r="BN618" s="12"/>
      <c r="BO618" s="12"/>
      <c r="BP618" s="12"/>
      <c r="BQ618" s="48"/>
      <c r="BR618" s="49"/>
      <c r="BS618" s="13"/>
      <c r="BT618" s="12"/>
      <c r="BV618" s="14"/>
      <c r="BW618" s="50"/>
      <c r="BX618" s="54"/>
      <c r="BY618" s="14"/>
      <c r="BZ618" s="14"/>
      <c r="CA618" s="14"/>
      <c r="CB618" s="14"/>
      <c r="CC618" s="14"/>
      <c r="CD618" s="14"/>
      <c r="CE618" s="14"/>
      <c r="CF618" s="15"/>
      <c r="CG618" s="14"/>
      <c r="CH618" s="14"/>
      <c r="CI618" s="50"/>
      <c r="CJ618" s="54"/>
      <c r="CK618" s="14"/>
      <c r="CL618" s="14"/>
      <c r="CM618" s="14"/>
      <c r="CN618" s="14"/>
      <c r="CO618" s="14"/>
      <c r="CP618" s="14"/>
      <c r="CQ618" s="14"/>
      <c r="CR618" s="14"/>
      <c r="CS618" s="14"/>
      <c r="CT618" s="14"/>
      <c r="CU618" s="16"/>
      <c r="CV618" s="14"/>
      <c r="CW618" s="50"/>
      <c r="CX618" s="17"/>
    </row>
    <row r="619" spans="4:102" x14ac:dyDescent="0.25"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43"/>
      <c r="Q619" s="11"/>
      <c r="R619" s="11"/>
      <c r="S619" s="11"/>
      <c r="T619" s="11"/>
      <c r="U619" s="11"/>
      <c r="V619" s="11"/>
      <c r="W619" s="11"/>
      <c r="X619" s="12"/>
      <c r="Y619" s="12"/>
      <c r="Z619" s="12"/>
      <c r="AA619" s="44"/>
      <c r="AB619" s="45"/>
      <c r="AC619" s="12"/>
      <c r="AD619" s="12"/>
      <c r="AE619" s="12"/>
      <c r="AF619" s="12"/>
      <c r="AG619" s="44"/>
      <c r="AH619" s="45"/>
      <c r="AI619" s="12"/>
      <c r="AJ619" s="12"/>
      <c r="AK619" s="12"/>
      <c r="AL619" s="12"/>
      <c r="AM619" s="44"/>
      <c r="AN619" s="45"/>
      <c r="AO619" s="12"/>
      <c r="AP619" s="12"/>
      <c r="AQ619" s="12"/>
      <c r="AR619" s="12"/>
      <c r="AS619" s="44"/>
      <c r="AT619" s="45"/>
      <c r="AU619" s="12"/>
      <c r="AV619" s="12"/>
      <c r="AW619" s="12"/>
      <c r="AX619" s="12"/>
      <c r="AY619" s="44"/>
      <c r="AZ619" s="45"/>
      <c r="BA619" s="12"/>
      <c r="BB619" s="12"/>
      <c r="BC619" s="12"/>
      <c r="BD619" s="12"/>
      <c r="BE619" s="44"/>
      <c r="BF619" s="45"/>
      <c r="BG619" s="12"/>
      <c r="BH619" s="12"/>
      <c r="BI619" s="12"/>
      <c r="BJ619" s="12"/>
      <c r="BK619" s="44"/>
      <c r="BL619" s="45"/>
      <c r="BM619" s="12"/>
      <c r="BN619" s="12"/>
      <c r="BO619" s="12"/>
      <c r="BP619" s="12"/>
      <c r="BQ619" s="48"/>
      <c r="BR619" s="49"/>
      <c r="BS619" s="13"/>
      <c r="BT619" s="12"/>
      <c r="BV619" s="14"/>
      <c r="BW619" s="50"/>
      <c r="BX619" s="54"/>
      <c r="BY619" s="14"/>
      <c r="BZ619" s="14"/>
      <c r="CA619" s="14"/>
      <c r="CB619" s="14"/>
      <c r="CC619" s="14"/>
      <c r="CD619" s="14"/>
      <c r="CE619" s="14"/>
      <c r="CF619" s="15"/>
      <c r="CG619" s="14"/>
      <c r="CH619" s="14"/>
      <c r="CI619" s="50"/>
      <c r="CJ619" s="54"/>
      <c r="CK619" s="14"/>
      <c r="CL619" s="14"/>
      <c r="CM619" s="14"/>
      <c r="CN619" s="14"/>
      <c r="CO619" s="14"/>
      <c r="CP619" s="14"/>
      <c r="CQ619" s="14"/>
      <c r="CR619" s="14"/>
      <c r="CS619" s="14"/>
      <c r="CT619" s="14"/>
      <c r="CU619" s="16"/>
      <c r="CV619" s="14"/>
      <c r="CW619" s="50"/>
      <c r="CX619" s="17"/>
    </row>
    <row r="620" spans="4:102" x14ac:dyDescent="0.25"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43"/>
      <c r="Q620" s="11"/>
      <c r="R620" s="11"/>
      <c r="S620" s="11"/>
      <c r="T620" s="11"/>
      <c r="U620" s="11"/>
      <c r="V620" s="11"/>
      <c r="W620" s="11"/>
      <c r="X620" s="12"/>
      <c r="Y620" s="12"/>
      <c r="Z620" s="12"/>
      <c r="AA620" s="44"/>
      <c r="AB620" s="45"/>
      <c r="AC620" s="12"/>
      <c r="AD620" s="12"/>
      <c r="AE620" s="12"/>
      <c r="AF620" s="12"/>
      <c r="AG620" s="44"/>
      <c r="AH620" s="45"/>
      <c r="AI620" s="12"/>
      <c r="AJ620" s="12"/>
      <c r="AK620" s="12"/>
      <c r="AL620" s="12"/>
      <c r="AM620" s="44"/>
      <c r="AN620" s="45"/>
      <c r="AO620" s="12"/>
      <c r="AP620" s="12"/>
      <c r="AQ620" s="12"/>
      <c r="AR620" s="12"/>
      <c r="AS620" s="44"/>
      <c r="AT620" s="45"/>
      <c r="AU620" s="12"/>
      <c r="AV620" s="12"/>
      <c r="AW620" s="12"/>
      <c r="AX620" s="12"/>
      <c r="AY620" s="44"/>
      <c r="AZ620" s="45"/>
      <c r="BA620" s="12"/>
      <c r="BB620" s="12"/>
      <c r="BC620" s="12"/>
      <c r="BD620" s="12"/>
      <c r="BE620" s="44"/>
      <c r="BF620" s="45"/>
      <c r="BG620" s="12"/>
      <c r="BH620" s="12"/>
      <c r="BI620" s="12"/>
      <c r="BJ620" s="12"/>
      <c r="BK620" s="44"/>
      <c r="BL620" s="45"/>
      <c r="BM620" s="12"/>
      <c r="BN620" s="12"/>
      <c r="BO620" s="12"/>
      <c r="BP620" s="12"/>
      <c r="BQ620" s="48"/>
      <c r="BR620" s="49"/>
      <c r="BS620" s="13"/>
      <c r="BT620" s="12"/>
      <c r="BV620" s="14"/>
      <c r="BW620" s="50"/>
      <c r="BX620" s="54"/>
      <c r="BY620" s="14"/>
      <c r="BZ620" s="14"/>
      <c r="CA620" s="14"/>
      <c r="CB620" s="14"/>
      <c r="CC620" s="14"/>
      <c r="CD620" s="14"/>
      <c r="CE620" s="14"/>
      <c r="CF620" s="15"/>
      <c r="CG620" s="14"/>
      <c r="CH620" s="14"/>
      <c r="CI620" s="50"/>
      <c r="CJ620" s="54"/>
      <c r="CK620" s="14"/>
      <c r="CL620" s="14"/>
      <c r="CM620" s="14"/>
      <c r="CN620" s="14"/>
      <c r="CO620" s="14"/>
      <c r="CP620" s="14"/>
      <c r="CQ620" s="14"/>
      <c r="CR620" s="14"/>
      <c r="CS620" s="14"/>
      <c r="CT620" s="14"/>
      <c r="CU620" s="16"/>
      <c r="CV620" s="14"/>
      <c r="CW620" s="50"/>
      <c r="CX620" s="17"/>
    </row>
    <row r="621" spans="4:102" x14ac:dyDescent="0.25"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43"/>
      <c r="Q621" s="11"/>
      <c r="R621" s="11"/>
      <c r="S621" s="11"/>
      <c r="T621" s="11"/>
      <c r="U621" s="11"/>
      <c r="V621" s="11"/>
      <c r="W621" s="11"/>
      <c r="X621" s="12"/>
      <c r="Y621" s="12"/>
      <c r="Z621" s="12"/>
      <c r="AA621" s="44"/>
      <c r="AB621" s="45"/>
      <c r="AC621" s="12"/>
      <c r="AD621" s="12"/>
      <c r="AE621" s="12"/>
      <c r="AF621" s="12"/>
      <c r="AG621" s="44"/>
      <c r="AH621" s="45"/>
      <c r="AI621" s="12"/>
      <c r="AJ621" s="12"/>
      <c r="AK621" s="12"/>
      <c r="AL621" s="12"/>
      <c r="AM621" s="44"/>
      <c r="AN621" s="45"/>
      <c r="AO621" s="12"/>
      <c r="AP621" s="12"/>
      <c r="AQ621" s="12"/>
      <c r="AR621" s="12"/>
      <c r="AS621" s="44"/>
      <c r="AT621" s="45"/>
      <c r="AU621" s="12"/>
      <c r="AV621" s="12"/>
      <c r="AW621" s="12"/>
      <c r="AX621" s="12"/>
      <c r="AY621" s="44"/>
      <c r="AZ621" s="45"/>
      <c r="BA621" s="12"/>
      <c r="BB621" s="12"/>
      <c r="BC621" s="12"/>
      <c r="BD621" s="12"/>
      <c r="BE621" s="44"/>
      <c r="BF621" s="45"/>
      <c r="BG621" s="12"/>
      <c r="BH621" s="12"/>
      <c r="BI621" s="12"/>
      <c r="BJ621" s="12"/>
      <c r="BK621" s="44"/>
      <c r="BL621" s="45"/>
      <c r="BM621" s="12"/>
      <c r="BN621" s="12"/>
      <c r="BO621" s="12"/>
      <c r="BP621" s="12"/>
      <c r="BQ621" s="48"/>
      <c r="BR621" s="49"/>
      <c r="BS621" s="13"/>
      <c r="BT621" s="12"/>
      <c r="BV621" s="14"/>
      <c r="BW621" s="50"/>
      <c r="BX621" s="54"/>
      <c r="BY621" s="14"/>
      <c r="BZ621" s="14"/>
      <c r="CA621" s="14"/>
      <c r="CB621" s="14"/>
      <c r="CC621" s="14"/>
      <c r="CD621" s="14"/>
      <c r="CE621" s="14"/>
      <c r="CF621" s="15"/>
      <c r="CG621" s="14"/>
      <c r="CH621" s="14"/>
      <c r="CI621" s="50"/>
      <c r="CJ621" s="54"/>
      <c r="CK621" s="14"/>
      <c r="CL621" s="14"/>
      <c r="CM621" s="14"/>
      <c r="CN621" s="14"/>
      <c r="CO621" s="14"/>
      <c r="CP621" s="14"/>
      <c r="CQ621" s="14"/>
      <c r="CR621" s="14"/>
      <c r="CS621" s="14"/>
      <c r="CT621" s="14"/>
      <c r="CU621" s="16"/>
      <c r="CV621" s="14"/>
      <c r="CW621" s="50"/>
      <c r="CX621" s="17"/>
    </row>
    <row r="622" spans="4:102" x14ac:dyDescent="0.25"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43"/>
      <c r="Q622" s="11"/>
      <c r="R622" s="11"/>
      <c r="S622" s="11"/>
      <c r="T622" s="11"/>
      <c r="U622" s="11"/>
      <c r="V622" s="11"/>
      <c r="W622" s="11"/>
      <c r="X622" s="12"/>
      <c r="Y622" s="12"/>
      <c r="Z622" s="12"/>
      <c r="AA622" s="44"/>
      <c r="AB622" s="45"/>
      <c r="AC622" s="12"/>
      <c r="AD622" s="12"/>
      <c r="AE622" s="12"/>
      <c r="AF622" s="12"/>
      <c r="AG622" s="44"/>
      <c r="AH622" s="45"/>
      <c r="AI622" s="12"/>
      <c r="AJ622" s="12"/>
      <c r="AK622" s="12"/>
      <c r="AL622" s="12"/>
      <c r="AM622" s="44"/>
      <c r="AN622" s="45"/>
      <c r="AO622" s="12"/>
      <c r="AP622" s="12"/>
      <c r="AQ622" s="12"/>
      <c r="AR622" s="12"/>
      <c r="AS622" s="44"/>
      <c r="AT622" s="45"/>
      <c r="AU622" s="12"/>
      <c r="AV622" s="12"/>
      <c r="AW622" s="12"/>
      <c r="AX622" s="12"/>
      <c r="AY622" s="44"/>
      <c r="AZ622" s="45"/>
      <c r="BA622" s="12"/>
      <c r="BB622" s="12"/>
      <c r="BC622" s="12"/>
      <c r="BD622" s="12"/>
      <c r="BE622" s="44"/>
      <c r="BF622" s="45"/>
      <c r="BG622" s="12"/>
      <c r="BH622" s="12"/>
      <c r="BI622" s="12"/>
      <c r="BJ622" s="12"/>
      <c r="BK622" s="44"/>
      <c r="BL622" s="45"/>
      <c r="BM622" s="12"/>
      <c r="BN622" s="12"/>
      <c r="BO622" s="12"/>
      <c r="BP622" s="12"/>
      <c r="BQ622" s="48"/>
      <c r="BR622" s="49"/>
      <c r="BS622" s="13"/>
      <c r="BT622" s="12"/>
      <c r="BV622" s="14"/>
      <c r="BW622" s="50"/>
      <c r="BX622" s="54"/>
      <c r="BY622" s="14"/>
      <c r="BZ622" s="14"/>
      <c r="CA622" s="14"/>
      <c r="CB622" s="14"/>
      <c r="CC622" s="14"/>
      <c r="CD622" s="14"/>
      <c r="CE622" s="14"/>
      <c r="CF622" s="15"/>
      <c r="CG622" s="14"/>
      <c r="CH622" s="14"/>
      <c r="CI622" s="50"/>
      <c r="CJ622" s="54"/>
      <c r="CK622" s="14"/>
      <c r="CL622" s="14"/>
      <c r="CM622" s="14"/>
      <c r="CN622" s="14"/>
      <c r="CO622" s="14"/>
      <c r="CP622" s="14"/>
      <c r="CQ622" s="14"/>
      <c r="CR622" s="14"/>
      <c r="CS622" s="14"/>
      <c r="CT622" s="14"/>
      <c r="CU622" s="16"/>
      <c r="CV622" s="14"/>
      <c r="CW622" s="50"/>
      <c r="CX622" s="17"/>
    </row>
    <row r="623" spans="4:102" x14ac:dyDescent="0.25"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43"/>
      <c r="Q623" s="11"/>
      <c r="R623" s="11"/>
      <c r="S623" s="11"/>
      <c r="T623" s="11"/>
      <c r="U623" s="11"/>
      <c r="V623" s="11"/>
      <c r="W623" s="11"/>
      <c r="X623" s="12"/>
      <c r="Y623" s="12"/>
      <c r="Z623" s="12"/>
      <c r="AA623" s="44"/>
      <c r="AB623" s="45"/>
      <c r="AC623" s="12"/>
      <c r="AD623" s="12"/>
      <c r="AE623" s="12"/>
      <c r="AF623" s="12"/>
      <c r="AG623" s="44"/>
      <c r="AH623" s="45"/>
      <c r="AI623" s="12"/>
      <c r="AJ623" s="12"/>
      <c r="AK623" s="12"/>
      <c r="AL623" s="12"/>
      <c r="AM623" s="44"/>
      <c r="AN623" s="45"/>
      <c r="AO623" s="12"/>
      <c r="AP623" s="12"/>
      <c r="AQ623" s="12"/>
      <c r="AR623" s="12"/>
      <c r="AS623" s="44"/>
      <c r="AT623" s="45"/>
      <c r="AU623" s="12"/>
      <c r="AV623" s="12"/>
      <c r="AW623" s="12"/>
      <c r="AX623" s="12"/>
      <c r="AY623" s="44"/>
      <c r="AZ623" s="45"/>
      <c r="BA623" s="12"/>
      <c r="BB623" s="12"/>
      <c r="BC623" s="12"/>
      <c r="BD623" s="12"/>
      <c r="BE623" s="44"/>
      <c r="BF623" s="45"/>
      <c r="BG623" s="12"/>
      <c r="BH623" s="12"/>
      <c r="BI623" s="12"/>
      <c r="BJ623" s="12"/>
      <c r="BK623" s="44"/>
      <c r="BL623" s="45"/>
      <c r="BM623" s="12"/>
      <c r="BN623" s="12"/>
      <c r="BO623" s="12"/>
      <c r="BP623" s="12"/>
      <c r="BQ623" s="48"/>
      <c r="BR623" s="49"/>
      <c r="BS623" s="13"/>
      <c r="BT623" s="12"/>
      <c r="BV623" s="14"/>
      <c r="BW623" s="50"/>
      <c r="BX623" s="54"/>
      <c r="BY623" s="14"/>
      <c r="BZ623" s="14"/>
      <c r="CA623" s="14"/>
      <c r="CB623" s="14"/>
      <c r="CC623" s="14"/>
      <c r="CD623" s="14"/>
      <c r="CE623" s="14"/>
      <c r="CF623" s="15"/>
      <c r="CG623" s="14"/>
      <c r="CH623" s="14"/>
      <c r="CI623" s="50"/>
      <c r="CJ623" s="54"/>
      <c r="CK623" s="14"/>
      <c r="CL623" s="14"/>
      <c r="CM623" s="14"/>
      <c r="CN623" s="14"/>
      <c r="CO623" s="14"/>
      <c r="CP623" s="14"/>
      <c r="CQ623" s="14"/>
      <c r="CR623" s="14"/>
      <c r="CS623" s="14"/>
      <c r="CT623" s="14"/>
      <c r="CU623" s="16"/>
      <c r="CV623" s="14"/>
      <c r="CW623" s="50"/>
      <c r="CX623" s="17"/>
    </row>
    <row r="624" spans="4:102" x14ac:dyDescent="0.25"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43"/>
      <c r="Q624" s="11"/>
      <c r="R624" s="11"/>
      <c r="S624" s="11"/>
      <c r="T624" s="11"/>
      <c r="U624" s="11"/>
      <c r="V624" s="11"/>
      <c r="W624" s="11"/>
      <c r="X624" s="12"/>
      <c r="Y624" s="12"/>
      <c r="Z624" s="12"/>
      <c r="AA624" s="44"/>
      <c r="AB624" s="45"/>
      <c r="AC624" s="12"/>
      <c r="AD624" s="12"/>
      <c r="AE624" s="12"/>
      <c r="AF624" s="12"/>
      <c r="AG624" s="44"/>
      <c r="AH624" s="45"/>
      <c r="AI624" s="12"/>
      <c r="AJ624" s="12"/>
      <c r="AK624" s="12"/>
      <c r="AL624" s="12"/>
      <c r="AM624" s="44"/>
      <c r="AN624" s="45"/>
      <c r="AO624" s="12"/>
      <c r="AP624" s="12"/>
      <c r="AQ624" s="12"/>
      <c r="AR624" s="12"/>
      <c r="AS624" s="44"/>
      <c r="AT624" s="45"/>
      <c r="AU624" s="12"/>
      <c r="AV624" s="12"/>
      <c r="AW624" s="12"/>
      <c r="AX624" s="12"/>
      <c r="AY624" s="44"/>
      <c r="AZ624" s="45"/>
      <c r="BA624" s="12"/>
      <c r="BB624" s="12"/>
      <c r="BC624" s="12"/>
      <c r="BD624" s="12"/>
      <c r="BE624" s="44"/>
      <c r="BF624" s="45"/>
      <c r="BG624" s="12"/>
      <c r="BH624" s="12"/>
      <c r="BI624" s="12"/>
      <c r="BJ624" s="12"/>
      <c r="BK624" s="44"/>
      <c r="BL624" s="45"/>
      <c r="BM624" s="12"/>
      <c r="BN624" s="12"/>
      <c r="BO624" s="12"/>
      <c r="BP624" s="12"/>
      <c r="BQ624" s="48"/>
      <c r="BR624" s="49"/>
      <c r="BS624" s="13"/>
      <c r="BT624" s="12"/>
      <c r="BV624" s="14"/>
      <c r="BW624" s="50"/>
      <c r="BX624" s="54"/>
      <c r="BY624" s="14"/>
      <c r="BZ624" s="14"/>
      <c r="CA624" s="14"/>
      <c r="CB624" s="14"/>
      <c r="CC624" s="14"/>
      <c r="CD624" s="14"/>
      <c r="CE624" s="14"/>
      <c r="CF624" s="15"/>
      <c r="CG624" s="14"/>
      <c r="CH624" s="14"/>
      <c r="CI624" s="50"/>
      <c r="CJ624" s="54"/>
      <c r="CK624" s="14"/>
      <c r="CL624" s="14"/>
      <c r="CM624" s="14"/>
      <c r="CN624" s="14"/>
      <c r="CO624" s="14"/>
      <c r="CP624" s="14"/>
      <c r="CQ624" s="14"/>
      <c r="CR624" s="14"/>
      <c r="CS624" s="14"/>
      <c r="CT624" s="14"/>
      <c r="CU624" s="16"/>
      <c r="CV624" s="14"/>
      <c r="CW624" s="50"/>
      <c r="CX624" s="17"/>
    </row>
    <row r="625" spans="4:102" x14ac:dyDescent="0.25"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43"/>
      <c r="Q625" s="11"/>
      <c r="R625" s="11"/>
      <c r="S625" s="11"/>
      <c r="T625" s="11"/>
      <c r="U625" s="11"/>
      <c r="V625" s="11"/>
      <c r="W625" s="11"/>
      <c r="X625" s="12"/>
      <c r="Y625" s="12"/>
      <c r="Z625" s="12"/>
      <c r="AA625" s="44"/>
      <c r="AB625" s="45"/>
      <c r="AC625" s="12"/>
      <c r="AD625" s="12"/>
      <c r="AE625" s="12"/>
      <c r="AF625" s="12"/>
      <c r="AG625" s="44"/>
      <c r="AH625" s="45"/>
      <c r="AI625" s="12"/>
      <c r="AJ625" s="12"/>
      <c r="AK625" s="12"/>
      <c r="AL625" s="12"/>
      <c r="AM625" s="44"/>
      <c r="AN625" s="45"/>
      <c r="AO625" s="12"/>
      <c r="AP625" s="12"/>
      <c r="AQ625" s="12"/>
      <c r="AR625" s="12"/>
      <c r="AS625" s="44"/>
      <c r="AT625" s="45"/>
      <c r="AU625" s="12"/>
      <c r="AV625" s="12"/>
      <c r="AW625" s="12"/>
      <c r="AX625" s="12"/>
      <c r="AY625" s="44"/>
      <c r="AZ625" s="45"/>
      <c r="BA625" s="12"/>
      <c r="BB625" s="12"/>
      <c r="BC625" s="12"/>
      <c r="BD625" s="12"/>
      <c r="BE625" s="44"/>
      <c r="BF625" s="45"/>
      <c r="BG625" s="12"/>
      <c r="BH625" s="12"/>
      <c r="BI625" s="12"/>
      <c r="BJ625" s="12"/>
      <c r="BK625" s="44"/>
      <c r="BL625" s="45"/>
      <c r="BM625" s="12"/>
      <c r="BN625" s="12"/>
      <c r="BO625" s="12"/>
      <c r="BP625" s="12"/>
      <c r="BQ625" s="48"/>
      <c r="BR625" s="49"/>
      <c r="BS625" s="13"/>
      <c r="BT625" s="12"/>
      <c r="BV625" s="14"/>
      <c r="BW625" s="50"/>
      <c r="BX625" s="54"/>
      <c r="BY625" s="14"/>
      <c r="BZ625" s="14"/>
      <c r="CA625" s="14"/>
      <c r="CB625" s="14"/>
      <c r="CC625" s="14"/>
      <c r="CD625" s="14"/>
      <c r="CE625" s="14"/>
      <c r="CF625" s="15"/>
      <c r="CG625" s="14"/>
      <c r="CH625" s="14"/>
      <c r="CI625" s="50"/>
      <c r="CJ625" s="54"/>
      <c r="CK625" s="14"/>
      <c r="CL625" s="14"/>
      <c r="CM625" s="14"/>
      <c r="CN625" s="14"/>
      <c r="CO625" s="14"/>
      <c r="CP625" s="14"/>
      <c r="CQ625" s="14"/>
      <c r="CR625" s="14"/>
      <c r="CS625" s="14"/>
      <c r="CT625" s="14"/>
      <c r="CU625" s="16"/>
      <c r="CV625" s="14"/>
      <c r="CW625" s="50"/>
      <c r="CX625" s="17"/>
    </row>
    <row r="626" spans="4:102" x14ac:dyDescent="0.25"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43"/>
      <c r="Q626" s="11"/>
      <c r="R626" s="11"/>
      <c r="S626" s="11"/>
      <c r="T626" s="11"/>
      <c r="U626" s="11"/>
      <c r="V626" s="11"/>
      <c r="W626" s="11"/>
      <c r="X626" s="12"/>
      <c r="Y626" s="12"/>
      <c r="Z626" s="12"/>
      <c r="AA626" s="44"/>
      <c r="AB626" s="45"/>
      <c r="AC626" s="12"/>
      <c r="AD626" s="12"/>
      <c r="AE626" s="12"/>
      <c r="AF626" s="12"/>
      <c r="AG626" s="44"/>
      <c r="AH626" s="45"/>
      <c r="AI626" s="12"/>
      <c r="AJ626" s="12"/>
      <c r="AK626" s="12"/>
      <c r="AL626" s="12"/>
      <c r="AM626" s="44"/>
      <c r="AN626" s="45"/>
      <c r="AO626" s="12"/>
      <c r="AP626" s="12"/>
      <c r="AQ626" s="12"/>
      <c r="AR626" s="12"/>
      <c r="AS626" s="44"/>
      <c r="AT626" s="45"/>
      <c r="AU626" s="12"/>
      <c r="AV626" s="12"/>
      <c r="AW626" s="12"/>
      <c r="AX626" s="12"/>
      <c r="AY626" s="44"/>
      <c r="AZ626" s="45"/>
      <c r="BA626" s="12"/>
      <c r="BB626" s="12"/>
      <c r="BC626" s="12"/>
      <c r="BD626" s="12"/>
      <c r="BE626" s="44"/>
      <c r="BF626" s="45"/>
      <c r="BG626" s="12"/>
      <c r="BH626" s="12"/>
      <c r="BI626" s="12"/>
      <c r="BJ626" s="12"/>
      <c r="BK626" s="44"/>
      <c r="BL626" s="45"/>
      <c r="BM626" s="12"/>
      <c r="BN626" s="12"/>
      <c r="BO626" s="12"/>
      <c r="BP626" s="12"/>
      <c r="BQ626" s="48"/>
      <c r="BR626" s="49"/>
      <c r="BS626" s="13"/>
      <c r="BT626" s="12"/>
      <c r="BV626" s="14"/>
      <c r="BW626" s="50"/>
      <c r="BX626" s="54"/>
      <c r="BY626" s="14"/>
      <c r="BZ626" s="14"/>
      <c r="CA626" s="14"/>
      <c r="CB626" s="14"/>
      <c r="CC626" s="14"/>
      <c r="CD626" s="14"/>
      <c r="CE626" s="14"/>
      <c r="CF626" s="15"/>
      <c r="CG626" s="14"/>
      <c r="CH626" s="14"/>
      <c r="CI626" s="50"/>
      <c r="CJ626" s="54"/>
      <c r="CK626" s="14"/>
      <c r="CL626" s="14"/>
      <c r="CM626" s="14"/>
      <c r="CN626" s="14"/>
      <c r="CO626" s="14"/>
      <c r="CP626" s="14"/>
      <c r="CQ626" s="14"/>
      <c r="CR626" s="14"/>
      <c r="CS626" s="14"/>
      <c r="CT626" s="14"/>
      <c r="CU626" s="16"/>
      <c r="CV626" s="14"/>
      <c r="CW626" s="50"/>
      <c r="CX626" s="17"/>
    </row>
    <row r="627" spans="4:102" x14ac:dyDescent="0.25"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43"/>
      <c r="Q627" s="11"/>
      <c r="R627" s="11"/>
      <c r="S627" s="11"/>
      <c r="T627" s="11"/>
      <c r="U627" s="11"/>
      <c r="V627" s="11"/>
      <c r="W627" s="11"/>
      <c r="X627" s="12"/>
      <c r="Y627" s="12"/>
      <c r="Z627" s="12"/>
      <c r="AA627" s="44"/>
      <c r="AB627" s="45"/>
      <c r="AC627" s="12"/>
      <c r="AD627" s="12"/>
      <c r="AE627" s="12"/>
      <c r="AF627" s="12"/>
      <c r="AG627" s="44"/>
      <c r="AH627" s="45"/>
      <c r="AI627" s="12"/>
      <c r="AJ627" s="12"/>
      <c r="AK627" s="12"/>
      <c r="AL627" s="12"/>
      <c r="AM627" s="44"/>
      <c r="AN627" s="45"/>
      <c r="AO627" s="12"/>
      <c r="AP627" s="12"/>
      <c r="AQ627" s="12"/>
      <c r="AR627" s="12"/>
      <c r="AS627" s="44"/>
      <c r="AT627" s="45"/>
      <c r="AU627" s="12"/>
      <c r="AV627" s="12"/>
      <c r="AW627" s="12"/>
      <c r="AX627" s="12"/>
      <c r="AY627" s="44"/>
      <c r="AZ627" s="45"/>
      <c r="BA627" s="12"/>
      <c r="BB627" s="12"/>
      <c r="BC627" s="12"/>
      <c r="BD627" s="12"/>
      <c r="BE627" s="44"/>
      <c r="BF627" s="45"/>
      <c r="BG627" s="12"/>
      <c r="BH627" s="12"/>
      <c r="BI627" s="12"/>
      <c r="BJ627" s="12"/>
      <c r="BK627" s="44"/>
      <c r="BL627" s="45"/>
      <c r="BM627" s="12"/>
      <c r="BN627" s="12"/>
      <c r="BO627" s="12"/>
      <c r="BP627" s="12"/>
      <c r="BQ627" s="48"/>
      <c r="BR627" s="49"/>
      <c r="BS627" s="13"/>
      <c r="BT627" s="12"/>
      <c r="BV627" s="14"/>
      <c r="BW627" s="50"/>
      <c r="BX627" s="54"/>
      <c r="BY627" s="14"/>
      <c r="BZ627" s="14"/>
      <c r="CA627" s="14"/>
      <c r="CB627" s="14"/>
      <c r="CC627" s="14"/>
      <c r="CD627" s="14"/>
      <c r="CE627" s="14"/>
      <c r="CF627" s="15"/>
      <c r="CG627" s="14"/>
      <c r="CH627" s="14"/>
      <c r="CI627" s="50"/>
      <c r="CJ627" s="54"/>
      <c r="CK627" s="14"/>
      <c r="CL627" s="14"/>
      <c r="CM627" s="14"/>
      <c r="CN627" s="14"/>
      <c r="CO627" s="14"/>
      <c r="CP627" s="14"/>
      <c r="CQ627" s="14"/>
      <c r="CR627" s="14"/>
      <c r="CS627" s="14"/>
      <c r="CT627" s="14"/>
      <c r="CU627" s="16"/>
      <c r="CV627" s="14"/>
      <c r="CW627" s="50"/>
      <c r="CX627" s="17"/>
    </row>
    <row r="628" spans="4:102" x14ac:dyDescent="0.25"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43"/>
      <c r="Q628" s="11"/>
      <c r="R628" s="11"/>
      <c r="S628" s="11"/>
      <c r="T628" s="11"/>
      <c r="U628" s="11"/>
      <c r="V628" s="11"/>
      <c r="W628" s="11"/>
      <c r="X628" s="12"/>
      <c r="Y628" s="12"/>
      <c r="Z628" s="12"/>
      <c r="AA628" s="44"/>
      <c r="AB628" s="45"/>
      <c r="AC628" s="12"/>
      <c r="AD628" s="12"/>
      <c r="AE628" s="12"/>
      <c r="AF628" s="12"/>
      <c r="AG628" s="44"/>
      <c r="AH628" s="45"/>
      <c r="AI628" s="12"/>
      <c r="AJ628" s="12"/>
      <c r="AK628" s="12"/>
      <c r="AL628" s="12"/>
      <c r="AM628" s="44"/>
      <c r="AN628" s="45"/>
      <c r="AO628" s="12"/>
      <c r="AP628" s="12"/>
      <c r="AQ628" s="12"/>
      <c r="AR628" s="12"/>
      <c r="AS628" s="44"/>
      <c r="AT628" s="45"/>
      <c r="AU628" s="12"/>
      <c r="AV628" s="12"/>
      <c r="AW628" s="12"/>
      <c r="AX628" s="12"/>
      <c r="AY628" s="44"/>
      <c r="AZ628" s="45"/>
      <c r="BA628" s="12"/>
      <c r="BB628" s="12"/>
      <c r="BC628" s="12"/>
      <c r="BD628" s="12"/>
      <c r="BE628" s="44"/>
      <c r="BF628" s="45"/>
      <c r="BG628" s="12"/>
      <c r="BH628" s="12"/>
      <c r="BI628" s="12"/>
      <c r="BJ628" s="12"/>
      <c r="BK628" s="44"/>
      <c r="BL628" s="45"/>
      <c r="BM628" s="12"/>
      <c r="BN628" s="12"/>
      <c r="BO628" s="12"/>
      <c r="BP628" s="12"/>
      <c r="BQ628" s="48"/>
      <c r="BR628" s="49"/>
      <c r="BS628" s="13"/>
      <c r="BT628" s="12"/>
      <c r="BV628" s="14"/>
      <c r="BW628" s="50"/>
      <c r="BX628" s="54"/>
      <c r="BY628" s="14"/>
      <c r="BZ628" s="14"/>
      <c r="CA628" s="14"/>
      <c r="CB628" s="14"/>
      <c r="CC628" s="14"/>
      <c r="CD628" s="14"/>
      <c r="CE628" s="14"/>
      <c r="CF628" s="15"/>
      <c r="CG628" s="14"/>
      <c r="CH628" s="14"/>
      <c r="CI628" s="50"/>
      <c r="CJ628" s="54"/>
      <c r="CK628" s="14"/>
      <c r="CL628" s="14"/>
      <c r="CM628" s="14"/>
      <c r="CN628" s="14"/>
      <c r="CO628" s="14"/>
      <c r="CP628" s="14"/>
      <c r="CQ628" s="14"/>
      <c r="CR628" s="14"/>
      <c r="CS628" s="14"/>
      <c r="CT628" s="14"/>
      <c r="CU628" s="16"/>
      <c r="CV628" s="14"/>
      <c r="CW628" s="50"/>
      <c r="CX628" s="17"/>
    </row>
    <row r="629" spans="4:102" x14ac:dyDescent="0.25"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43"/>
      <c r="Q629" s="11"/>
      <c r="R629" s="11"/>
      <c r="S629" s="11"/>
      <c r="T629" s="11"/>
      <c r="U629" s="11"/>
      <c r="V629" s="11"/>
      <c r="W629" s="11"/>
      <c r="X629" s="12"/>
      <c r="Y629" s="12"/>
      <c r="Z629" s="12"/>
      <c r="AA629" s="44"/>
      <c r="AB629" s="45"/>
      <c r="AC629" s="12"/>
      <c r="AD629" s="12"/>
      <c r="AE629" s="12"/>
      <c r="AF629" s="12"/>
      <c r="AG629" s="44"/>
      <c r="AH629" s="45"/>
      <c r="AI629" s="12"/>
      <c r="AJ629" s="12"/>
      <c r="AK629" s="12"/>
      <c r="AL629" s="12"/>
      <c r="AM629" s="44"/>
      <c r="AN629" s="45"/>
      <c r="AO629" s="12"/>
      <c r="AP629" s="12"/>
      <c r="AQ629" s="12"/>
      <c r="AR629" s="12"/>
      <c r="AS629" s="44"/>
      <c r="AT629" s="45"/>
      <c r="AU629" s="12"/>
      <c r="AV629" s="12"/>
      <c r="AW629" s="12"/>
      <c r="AX629" s="12"/>
      <c r="AY629" s="44"/>
      <c r="AZ629" s="45"/>
      <c r="BA629" s="12"/>
      <c r="BB629" s="12"/>
      <c r="BC629" s="12"/>
      <c r="BD629" s="12"/>
      <c r="BE629" s="44"/>
      <c r="BF629" s="45"/>
      <c r="BG629" s="12"/>
      <c r="BH629" s="12"/>
      <c r="BI629" s="12"/>
      <c r="BJ629" s="12"/>
      <c r="BK629" s="44"/>
      <c r="BL629" s="45"/>
      <c r="BM629" s="12"/>
      <c r="BN629" s="12"/>
      <c r="BO629" s="12"/>
      <c r="BP629" s="12"/>
      <c r="BQ629" s="48"/>
      <c r="BR629" s="49"/>
      <c r="BS629" s="13"/>
      <c r="BT629" s="12"/>
      <c r="BV629" s="14"/>
      <c r="BW629" s="50"/>
      <c r="BX629" s="54"/>
      <c r="BY629" s="14"/>
      <c r="BZ629" s="14"/>
      <c r="CA629" s="14"/>
      <c r="CB629" s="14"/>
      <c r="CC629" s="14"/>
      <c r="CD629" s="14"/>
      <c r="CE629" s="14"/>
      <c r="CF629" s="15"/>
      <c r="CG629" s="14"/>
      <c r="CH629" s="14"/>
      <c r="CI629" s="50"/>
      <c r="CJ629" s="54"/>
      <c r="CK629" s="14"/>
      <c r="CL629" s="14"/>
      <c r="CM629" s="14"/>
      <c r="CN629" s="14"/>
      <c r="CO629" s="14"/>
      <c r="CP629" s="14"/>
      <c r="CQ629" s="14"/>
      <c r="CR629" s="14"/>
      <c r="CS629" s="14"/>
      <c r="CT629" s="14"/>
      <c r="CU629" s="16"/>
      <c r="CV629" s="14"/>
      <c r="CW629" s="50"/>
      <c r="CX629" s="17"/>
    </row>
    <row r="630" spans="4:102" x14ac:dyDescent="0.25"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43"/>
      <c r="Q630" s="11"/>
      <c r="R630" s="11"/>
      <c r="S630" s="11"/>
      <c r="T630" s="11"/>
      <c r="U630" s="11"/>
      <c r="V630" s="11"/>
      <c r="W630" s="11"/>
      <c r="X630" s="12"/>
      <c r="Y630" s="12"/>
      <c r="Z630" s="12"/>
      <c r="AA630" s="44"/>
      <c r="AB630" s="45"/>
      <c r="AC630" s="12"/>
      <c r="AD630" s="12"/>
      <c r="AE630" s="12"/>
      <c r="AF630" s="12"/>
      <c r="AG630" s="44"/>
      <c r="AH630" s="45"/>
      <c r="AI630" s="12"/>
      <c r="AJ630" s="12"/>
      <c r="AK630" s="12"/>
      <c r="AL630" s="12"/>
      <c r="AM630" s="44"/>
      <c r="AN630" s="45"/>
      <c r="AO630" s="12"/>
      <c r="AP630" s="12"/>
      <c r="AQ630" s="12"/>
      <c r="AR630" s="12"/>
      <c r="AS630" s="44"/>
      <c r="AT630" s="45"/>
      <c r="AU630" s="12"/>
      <c r="AV630" s="12"/>
      <c r="AW630" s="12"/>
      <c r="AX630" s="12"/>
      <c r="AY630" s="44"/>
      <c r="AZ630" s="45"/>
      <c r="BA630" s="12"/>
      <c r="BB630" s="12"/>
      <c r="BC630" s="12"/>
      <c r="BD630" s="12"/>
      <c r="BE630" s="44"/>
      <c r="BF630" s="45"/>
      <c r="BG630" s="12"/>
      <c r="BH630" s="12"/>
      <c r="BI630" s="12"/>
      <c r="BJ630" s="12"/>
      <c r="BK630" s="44"/>
      <c r="BL630" s="45"/>
      <c r="BM630" s="12"/>
      <c r="BN630" s="12"/>
      <c r="BO630" s="12"/>
      <c r="BP630" s="12"/>
      <c r="BQ630" s="48"/>
      <c r="BR630" s="49"/>
      <c r="BS630" s="13"/>
      <c r="BT630" s="12"/>
      <c r="BV630" s="14"/>
      <c r="BW630" s="50"/>
      <c r="BX630" s="54"/>
      <c r="BY630" s="14"/>
      <c r="BZ630" s="14"/>
      <c r="CA630" s="14"/>
      <c r="CB630" s="14"/>
      <c r="CC630" s="14"/>
      <c r="CD630" s="14"/>
      <c r="CE630" s="14"/>
      <c r="CF630" s="15"/>
      <c r="CG630" s="14"/>
      <c r="CH630" s="14"/>
      <c r="CI630" s="50"/>
      <c r="CJ630" s="54"/>
      <c r="CK630" s="14"/>
      <c r="CL630" s="14"/>
      <c r="CM630" s="14"/>
      <c r="CN630" s="14"/>
      <c r="CO630" s="14"/>
      <c r="CP630" s="14"/>
      <c r="CQ630" s="14"/>
      <c r="CR630" s="14"/>
      <c r="CS630" s="14"/>
      <c r="CT630" s="14"/>
      <c r="CU630" s="16"/>
      <c r="CV630" s="14"/>
      <c r="CW630" s="50"/>
      <c r="CX630" s="17"/>
    </row>
    <row r="631" spans="4:102" x14ac:dyDescent="0.25"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43"/>
      <c r="Q631" s="11"/>
      <c r="R631" s="11"/>
      <c r="S631" s="11"/>
      <c r="T631" s="11"/>
      <c r="U631" s="11"/>
      <c r="V631" s="11"/>
      <c r="W631" s="11"/>
      <c r="X631" s="12"/>
      <c r="Y631" s="12"/>
      <c r="Z631" s="12"/>
      <c r="AA631" s="44"/>
      <c r="AB631" s="45"/>
      <c r="AC631" s="12"/>
      <c r="AD631" s="12"/>
      <c r="AE631" s="12"/>
      <c r="AF631" s="12"/>
      <c r="AG631" s="44"/>
      <c r="AH631" s="45"/>
      <c r="AI631" s="12"/>
      <c r="AJ631" s="12"/>
      <c r="AK631" s="12"/>
      <c r="AL631" s="12"/>
      <c r="AM631" s="44"/>
      <c r="AN631" s="45"/>
      <c r="AO631" s="12"/>
      <c r="AP631" s="12"/>
      <c r="AQ631" s="12"/>
      <c r="AR631" s="12"/>
      <c r="AS631" s="44"/>
      <c r="AT631" s="45"/>
      <c r="AU631" s="12"/>
      <c r="AV631" s="12"/>
      <c r="AW631" s="12"/>
      <c r="AX631" s="12"/>
      <c r="AY631" s="44"/>
      <c r="AZ631" s="45"/>
      <c r="BA631" s="12"/>
      <c r="BB631" s="12"/>
      <c r="BC631" s="12"/>
      <c r="BD631" s="12"/>
      <c r="BE631" s="44"/>
      <c r="BF631" s="45"/>
      <c r="BG631" s="12"/>
      <c r="BH631" s="12"/>
      <c r="BI631" s="12"/>
      <c r="BJ631" s="12"/>
      <c r="BK631" s="44"/>
      <c r="BL631" s="45"/>
      <c r="BM631" s="12"/>
      <c r="BN631" s="12"/>
      <c r="BO631" s="12"/>
      <c r="BP631" s="12"/>
      <c r="BQ631" s="48"/>
      <c r="BR631" s="49"/>
      <c r="BS631" s="13"/>
      <c r="BT631" s="12"/>
      <c r="BV631" s="14"/>
      <c r="BW631" s="50"/>
      <c r="BX631" s="54"/>
      <c r="BY631" s="14"/>
      <c r="BZ631" s="14"/>
      <c r="CA631" s="14"/>
      <c r="CB631" s="14"/>
      <c r="CC631" s="14"/>
      <c r="CD631" s="14"/>
      <c r="CE631" s="14"/>
      <c r="CF631" s="15"/>
      <c r="CG631" s="14"/>
      <c r="CH631" s="14"/>
      <c r="CI631" s="50"/>
      <c r="CJ631" s="54"/>
      <c r="CK631" s="14"/>
      <c r="CL631" s="14"/>
      <c r="CM631" s="14"/>
      <c r="CN631" s="14"/>
      <c r="CO631" s="14"/>
      <c r="CP631" s="14"/>
      <c r="CQ631" s="14"/>
      <c r="CR631" s="14"/>
      <c r="CS631" s="14"/>
      <c r="CT631" s="14"/>
      <c r="CU631" s="16"/>
      <c r="CV631" s="14"/>
      <c r="CW631" s="50"/>
      <c r="CX631" s="17"/>
    </row>
    <row r="632" spans="4:102" x14ac:dyDescent="0.25"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43"/>
      <c r="Q632" s="11"/>
      <c r="R632" s="11"/>
      <c r="S632" s="11"/>
      <c r="T632" s="11"/>
      <c r="U632" s="11"/>
      <c r="V632" s="11"/>
      <c r="W632" s="11"/>
      <c r="X632" s="12"/>
      <c r="Y632" s="12"/>
      <c r="Z632" s="12"/>
      <c r="AA632" s="44"/>
      <c r="AB632" s="45"/>
      <c r="AC632" s="12"/>
      <c r="AD632" s="12"/>
      <c r="AE632" s="12"/>
      <c r="AF632" s="12"/>
      <c r="AG632" s="44"/>
      <c r="AH632" s="45"/>
      <c r="AI632" s="12"/>
      <c r="AJ632" s="12"/>
      <c r="AK632" s="12"/>
      <c r="AL632" s="12"/>
      <c r="AM632" s="44"/>
      <c r="AN632" s="45"/>
      <c r="AO632" s="12"/>
      <c r="AP632" s="12"/>
      <c r="AQ632" s="12"/>
      <c r="AR632" s="12"/>
      <c r="AS632" s="44"/>
      <c r="AT632" s="45"/>
      <c r="AU632" s="12"/>
      <c r="AV632" s="12"/>
      <c r="AW632" s="12"/>
      <c r="AX632" s="12"/>
      <c r="AY632" s="44"/>
      <c r="AZ632" s="45"/>
      <c r="BA632" s="12"/>
      <c r="BB632" s="12"/>
      <c r="BC632" s="12"/>
      <c r="BD632" s="12"/>
      <c r="BE632" s="44"/>
      <c r="BF632" s="45"/>
      <c r="BG632" s="12"/>
      <c r="BH632" s="12"/>
      <c r="BI632" s="12"/>
      <c r="BJ632" s="12"/>
      <c r="BK632" s="44"/>
      <c r="BL632" s="45"/>
      <c r="BM632" s="12"/>
      <c r="BN632" s="12"/>
      <c r="BO632" s="12"/>
      <c r="BP632" s="12"/>
      <c r="BQ632" s="48"/>
      <c r="BR632" s="49"/>
      <c r="BS632" s="13"/>
      <c r="BT632" s="12"/>
      <c r="BV632" s="14"/>
      <c r="BW632" s="50"/>
      <c r="BX632" s="54"/>
      <c r="BY632" s="14"/>
      <c r="BZ632" s="14"/>
      <c r="CA632" s="14"/>
      <c r="CB632" s="14"/>
      <c r="CC632" s="14"/>
      <c r="CD632" s="14"/>
      <c r="CE632" s="14"/>
      <c r="CF632" s="15"/>
      <c r="CG632" s="14"/>
      <c r="CH632" s="14"/>
      <c r="CI632" s="50"/>
      <c r="CJ632" s="54"/>
      <c r="CK632" s="14"/>
      <c r="CL632" s="14"/>
      <c r="CM632" s="14"/>
      <c r="CN632" s="14"/>
      <c r="CO632" s="14"/>
      <c r="CP632" s="14"/>
      <c r="CQ632" s="14"/>
      <c r="CR632" s="14"/>
      <c r="CS632" s="14"/>
      <c r="CT632" s="14"/>
      <c r="CU632" s="16"/>
      <c r="CV632" s="14"/>
      <c r="CW632" s="50"/>
      <c r="CX632" s="17"/>
    </row>
    <row r="633" spans="4:102" x14ac:dyDescent="0.25"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43"/>
      <c r="Q633" s="11"/>
      <c r="R633" s="11"/>
      <c r="S633" s="11"/>
      <c r="T633" s="11"/>
      <c r="U633" s="11"/>
      <c r="V633" s="11"/>
      <c r="W633" s="11"/>
      <c r="X633" s="12"/>
      <c r="Y633" s="12"/>
      <c r="Z633" s="12"/>
      <c r="AA633" s="44"/>
      <c r="AB633" s="45"/>
      <c r="AC633" s="12"/>
      <c r="AD633" s="12"/>
      <c r="AE633" s="12"/>
      <c r="AF633" s="12"/>
      <c r="AG633" s="44"/>
      <c r="AH633" s="45"/>
      <c r="AI633" s="12"/>
      <c r="AJ633" s="12"/>
      <c r="AK633" s="12"/>
      <c r="AL633" s="12"/>
      <c r="AM633" s="44"/>
      <c r="AN633" s="45"/>
      <c r="AO633" s="12"/>
      <c r="AP633" s="12"/>
      <c r="AQ633" s="12"/>
      <c r="AR633" s="12"/>
      <c r="AS633" s="44"/>
      <c r="AT633" s="45"/>
      <c r="AU633" s="12"/>
      <c r="AV633" s="12"/>
      <c r="AW633" s="12"/>
      <c r="AX633" s="12"/>
      <c r="AY633" s="44"/>
      <c r="AZ633" s="45"/>
      <c r="BA633" s="12"/>
      <c r="BB633" s="12"/>
      <c r="BC633" s="12"/>
      <c r="BD633" s="12"/>
      <c r="BE633" s="44"/>
      <c r="BF633" s="45"/>
      <c r="BG633" s="12"/>
      <c r="BH633" s="12"/>
      <c r="BI633" s="12"/>
      <c r="BJ633" s="12"/>
      <c r="BK633" s="44"/>
      <c r="BL633" s="45"/>
      <c r="BM633" s="12"/>
      <c r="BN633" s="12"/>
      <c r="BO633" s="12"/>
      <c r="BP633" s="12"/>
      <c r="BQ633" s="48"/>
      <c r="BR633" s="49"/>
      <c r="BS633" s="13"/>
      <c r="BT633" s="12"/>
      <c r="BV633" s="14"/>
      <c r="BW633" s="50"/>
      <c r="BX633" s="54"/>
      <c r="BY633" s="14"/>
      <c r="BZ633" s="14"/>
      <c r="CA633" s="14"/>
      <c r="CB633" s="14"/>
      <c r="CC633" s="14"/>
      <c r="CD633" s="14"/>
      <c r="CE633" s="14"/>
      <c r="CF633" s="15"/>
      <c r="CG633" s="14"/>
      <c r="CH633" s="14"/>
      <c r="CI633" s="50"/>
      <c r="CJ633" s="54"/>
      <c r="CK633" s="14"/>
      <c r="CL633" s="14"/>
      <c r="CM633" s="14"/>
      <c r="CN633" s="14"/>
      <c r="CO633" s="14"/>
      <c r="CP633" s="14"/>
      <c r="CQ633" s="14"/>
      <c r="CR633" s="14"/>
      <c r="CS633" s="14"/>
      <c r="CT633" s="14"/>
      <c r="CU633" s="16"/>
      <c r="CV633" s="14"/>
      <c r="CW633" s="50"/>
      <c r="CX633" s="17"/>
    </row>
    <row r="634" spans="4:102" x14ac:dyDescent="0.25"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43"/>
      <c r="Q634" s="11"/>
      <c r="R634" s="11"/>
      <c r="S634" s="11"/>
      <c r="T634" s="11"/>
      <c r="U634" s="11"/>
      <c r="V634" s="11"/>
      <c r="W634" s="11"/>
      <c r="X634" s="12"/>
      <c r="Y634" s="12"/>
      <c r="Z634" s="12"/>
      <c r="AA634" s="44"/>
      <c r="AB634" s="45"/>
      <c r="AC634" s="12"/>
      <c r="AD634" s="12"/>
      <c r="AE634" s="12"/>
      <c r="AF634" s="12"/>
      <c r="AG634" s="44"/>
      <c r="AH634" s="45"/>
      <c r="AI634" s="12"/>
      <c r="AJ634" s="12"/>
      <c r="AK634" s="12"/>
      <c r="AL634" s="12"/>
      <c r="AM634" s="44"/>
      <c r="AN634" s="45"/>
      <c r="AO634" s="12"/>
      <c r="AP634" s="12"/>
      <c r="AQ634" s="12"/>
      <c r="AR634" s="12"/>
      <c r="AS634" s="44"/>
      <c r="AT634" s="45"/>
      <c r="AU634" s="12"/>
      <c r="AV634" s="12"/>
      <c r="AW634" s="12"/>
      <c r="AX634" s="12"/>
      <c r="AY634" s="44"/>
      <c r="AZ634" s="45"/>
      <c r="BA634" s="12"/>
      <c r="BB634" s="12"/>
      <c r="BC634" s="12"/>
      <c r="BD634" s="12"/>
      <c r="BE634" s="44"/>
      <c r="BF634" s="45"/>
      <c r="BG634" s="12"/>
      <c r="BH634" s="12"/>
      <c r="BI634" s="12"/>
      <c r="BJ634" s="12"/>
      <c r="BK634" s="44"/>
      <c r="BL634" s="45"/>
      <c r="BM634" s="12"/>
      <c r="BN634" s="12"/>
      <c r="BO634" s="12"/>
      <c r="BP634" s="12"/>
      <c r="BQ634" s="48"/>
      <c r="BR634" s="49"/>
      <c r="BS634" s="13"/>
      <c r="BT634" s="12"/>
      <c r="BV634" s="14"/>
      <c r="BW634" s="50"/>
      <c r="BX634" s="54"/>
      <c r="BY634" s="14"/>
      <c r="BZ634" s="14"/>
      <c r="CA634" s="14"/>
      <c r="CB634" s="14"/>
      <c r="CC634" s="14"/>
      <c r="CD634" s="14"/>
      <c r="CE634" s="14"/>
      <c r="CF634" s="15"/>
      <c r="CG634" s="14"/>
      <c r="CH634" s="14"/>
      <c r="CI634" s="50"/>
      <c r="CJ634" s="54"/>
      <c r="CK634" s="14"/>
      <c r="CL634" s="14"/>
      <c r="CM634" s="14"/>
      <c r="CN634" s="14"/>
      <c r="CO634" s="14"/>
      <c r="CP634" s="14"/>
      <c r="CQ634" s="14"/>
      <c r="CR634" s="14"/>
      <c r="CS634" s="14"/>
      <c r="CT634" s="14"/>
      <c r="CU634" s="16"/>
      <c r="CV634" s="14"/>
      <c r="CW634" s="50"/>
      <c r="CX634" s="17"/>
    </row>
    <row r="635" spans="4:102" x14ac:dyDescent="0.25"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43"/>
      <c r="Q635" s="11"/>
      <c r="R635" s="11"/>
      <c r="S635" s="11"/>
      <c r="T635" s="11"/>
      <c r="U635" s="11"/>
      <c r="V635" s="11"/>
      <c r="W635" s="11"/>
      <c r="X635" s="12"/>
      <c r="Y635" s="12"/>
      <c r="Z635" s="12"/>
      <c r="AA635" s="44"/>
      <c r="AB635" s="45"/>
      <c r="AC635" s="12"/>
      <c r="AD635" s="12"/>
      <c r="AE635" s="12"/>
      <c r="AF635" s="12"/>
      <c r="AG635" s="44"/>
      <c r="AH635" s="45"/>
      <c r="AI635" s="12"/>
      <c r="AJ635" s="12"/>
      <c r="AK635" s="12"/>
      <c r="AL635" s="12"/>
      <c r="AM635" s="44"/>
      <c r="AN635" s="45"/>
      <c r="AO635" s="12"/>
      <c r="AP635" s="12"/>
      <c r="AQ635" s="12"/>
      <c r="AR635" s="12"/>
      <c r="AS635" s="44"/>
      <c r="AT635" s="45"/>
      <c r="AU635" s="12"/>
      <c r="AV635" s="12"/>
      <c r="AW635" s="12"/>
      <c r="AX635" s="12"/>
      <c r="AY635" s="44"/>
      <c r="AZ635" s="45"/>
      <c r="BA635" s="12"/>
      <c r="BB635" s="12"/>
      <c r="BC635" s="12"/>
      <c r="BD635" s="12"/>
      <c r="BE635" s="44"/>
      <c r="BF635" s="45"/>
      <c r="BG635" s="12"/>
      <c r="BH635" s="12"/>
      <c r="BI635" s="12"/>
      <c r="BJ635" s="12"/>
      <c r="BK635" s="44"/>
      <c r="BL635" s="45"/>
      <c r="BM635" s="12"/>
      <c r="BN635" s="12"/>
      <c r="BO635" s="12"/>
      <c r="BP635" s="12"/>
      <c r="BQ635" s="48"/>
      <c r="BR635" s="49"/>
      <c r="BS635" s="13"/>
      <c r="BT635" s="12"/>
      <c r="BV635" s="14"/>
      <c r="BW635" s="50"/>
      <c r="BX635" s="54"/>
      <c r="BY635" s="14"/>
      <c r="BZ635" s="14"/>
      <c r="CA635" s="14"/>
      <c r="CB635" s="14"/>
      <c r="CC635" s="14"/>
      <c r="CD635" s="14"/>
      <c r="CE635" s="14"/>
      <c r="CF635" s="15"/>
      <c r="CG635" s="14"/>
      <c r="CH635" s="14"/>
      <c r="CI635" s="50"/>
      <c r="CJ635" s="54"/>
      <c r="CK635" s="14"/>
      <c r="CL635" s="14"/>
      <c r="CM635" s="14"/>
      <c r="CN635" s="14"/>
      <c r="CO635" s="14"/>
      <c r="CP635" s="14"/>
      <c r="CQ635" s="14"/>
      <c r="CR635" s="14"/>
      <c r="CS635" s="14"/>
      <c r="CT635" s="14"/>
      <c r="CU635" s="16"/>
      <c r="CV635" s="14"/>
      <c r="CW635" s="50"/>
      <c r="CX635" s="17"/>
    </row>
    <row r="636" spans="4:102" x14ac:dyDescent="0.25"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43"/>
      <c r="Q636" s="11"/>
      <c r="R636" s="11"/>
      <c r="S636" s="11"/>
      <c r="T636" s="11"/>
      <c r="U636" s="11"/>
      <c r="V636" s="11"/>
      <c r="W636" s="11"/>
      <c r="X636" s="12"/>
      <c r="Y636" s="12"/>
      <c r="Z636" s="12"/>
      <c r="AA636" s="44"/>
      <c r="AB636" s="45"/>
      <c r="AC636" s="12"/>
      <c r="AD636" s="12"/>
      <c r="AE636" s="12"/>
      <c r="AF636" s="12"/>
      <c r="AG636" s="44"/>
      <c r="AH636" s="45"/>
      <c r="AI636" s="12"/>
      <c r="AJ636" s="12"/>
      <c r="AK636" s="12"/>
      <c r="AL636" s="12"/>
      <c r="AM636" s="44"/>
      <c r="AN636" s="45"/>
      <c r="AO636" s="12"/>
      <c r="AP636" s="12"/>
      <c r="AQ636" s="12"/>
      <c r="AR636" s="12"/>
      <c r="AS636" s="44"/>
      <c r="AT636" s="45"/>
      <c r="AU636" s="12"/>
      <c r="AV636" s="12"/>
      <c r="AW636" s="12"/>
      <c r="AX636" s="12"/>
      <c r="AY636" s="44"/>
      <c r="AZ636" s="45"/>
      <c r="BA636" s="12"/>
      <c r="BB636" s="12"/>
      <c r="BC636" s="12"/>
      <c r="BD636" s="12"/>
      <c r="BE636" s="44"/>
      <c r="BF636" s="45"/>
      <c r="BG636" s="12"/>
      <c r="BH636" s="12"/>
      <c r="BI636" s="12"/>
      <c r="BJ636" s="12"/>
      <c r="BK636" s="44"/>
      <c r="BL636" s="45"/>
      <c r="BM636" s="12"/>
      <c r="BN636" s="12"/>
      <c r="BO636" s="12"/>
      <c r="BP636" s="12"/>
      <c r="BQ636" s="48"/>
      <c r="BR636" s="49"/>
      <c r="BS636" s="13"/>
      <c r="BT636" s="12"/>
      <c r="BV636" s="14"/>
      <c r="BW636" s="50"/>
      <c r="BX636" s="54"/>
      <c r="BY636" s="14"/>
      <c r="BZ636" s="14"/>
      <c r="CA636" s="14"/>
      <c r="CB636" s="14"/>
      <c r="CC636" s="14"/>
      <c r="CD636" s="14"/>
      <c r="CE636" s="14"/>
      <c r="CF636" s="15"/>
      <c r="CG636" s="14"/>
      <c r="CH636" s="14"/>
      <c r="CI636" s="50"/>
      <c r="CJ636" s="54"/>
      <c r="CK636" s="14"/>
      <c r="CL636" s="14"/>
      <c r="CM636" s="14"/>
      <c r="CN636" s="14"/>
      <c r="CO636" s="14"/>
      <c r="CP636" s="14"/>
      <c r="CQ636" s="14"/>
      <c r="CR636" s="14"/>
      <c r="CS636" s="14"/>
      <c r="CT636" s="14"/>
      <c r="CU636" s="16"/>
      <c r="CV636" s="14"/>
      <c r="CW636" s="50"/>
      <c r="CX636" s="17"/>
    </row>
    <row r="637" spans="4:102" x14ac:dyDescent="0.25"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43"/>
      <c r="Q637" s="11"/>
      <c r="R637" s="11"/>
      <c r="S637" s="11"/>
      <c r="T637" s="11"/>
      <c r="U637" s="11"/>
      <c r="V637" s="11"/>
      <c r="W637" s="11"/>
      <c r="X637" s="12"/>
      <c r="Y637" s="12"/>
      <c r="Z637" s="12"/>
      <c r="AA637" s="44"/>
      <c r="AB637" s="45"/>
      <c r="AC637" s="12"/>
      <c r="AD637" s="12"/>
      <c r="AE637" s="12"/>
      <c r="AF637" s="12"/>
      <c r="AG637" s="44"/>
      <c r="AH637" s="45"/>
      <c r="AI637" s="12"/>
      <c r="AJ637" s="12"/>
      <c r="AK637" s="12"/>
      <c r="AL637" s="12"/>
      <c r="AM637" s="44"/>
      <c r="AN637" s="45"/>
      <c r="AO637" s="12"/>
      <c r="AP637" s="12"/>
      <c r="AQ637" s="12"/>
      <c r="AR637" s="12"/>
      <c r="AS637" s="44"/>
      <c r="AT637" s="45"/>
      <c r="AU637" s="12"/>
      <c r="AV637" s="12"/>
      <c r="AW637" s="12"/>
      <c r="AX637" s="12"/>
      <c r="AY637" s="44"/>
      <c r="AZ637" s="45"/>
      <c r="BA637" s="12"/>
      <c r="BB637" s="12"/>
      <c r="BC637" s="12"/>
      <c r="BD637" s="12"/>
      <c r="BE637" s="44"/>
      <c r="BF637" s="45"/>
      <c r="BG637" s="12"/>
      <c r="BH637" s="12"/>
      <c r="BI637" s="12"/>
      <c r="BJ637" s="12"/>
      <c r="BK637" s="44"/>
      <c r="BL637" s="45"/>
      <c r="BM637" s="12"/>
      <c r="BN637" s="12"/>
      <c r="BO637" s="12"/>
      <c r="BP637" s="12"/>
      <c r="BQ637" s="48"/>
      <c r="BR637" s="49"/>
      <c r="BS637" s="13"/>
      <c r="BT637" s="12"/>
      <c r="BV637" s="14"/>
      <c r="BW637" s="50"/>
      <c r="BX637" s="54"/>
      <c r="BY637" s="14"/>
      <c r="BZ637" s="14"/>
      <c r="CA637" s="14"/>
      <c r="CB637" s="14"/>
      <c r="CC637" s="14"/>
      <c r="CD637" s="14"/>
      <c r="CE637" s="14"/>
      <c r="CF637" s="15"/>
      <c r="CG637" s="14"/>
      <c r="CH637" s="14"/>
      <c r="CI637" s="50"/>
      <c r="CJ637" s="54"/>
      <c r="CK637" s="14"/>
      <c r="CL637" s="14"/>
      <c r="CM637" s="14"/>
      <c r="CN637" s="14"/>
      <c r="CO637" s="14"/>
      <c r="CP637" s="14"/>
      <c r="CQ637" s="14"/>
      <c r="CR637" s="14"/>
      <c r="CS637" s="14"/>
      <c r="CT637" s="14"/>
      <c r="CU637" s="16"/>
      <c r="CV637" s="14"/>
      <c r="CW637" s="50"/>
      <c r="CX637" s="17"/>
    </row>
    <row r="638" spans="4:102" x14ac:dyDescent="0.25"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43"/>
      <c r="Q638" s="11"/>
      <c r="R638" s="11"/>
      <c r="S638" s="11"/>
      <c r="T638" s="11"/>
      <c r="U638" s="11"/>
      <c r="V638" s="11"/>
      <c r="W638" s="11"/>
      <c r="X638" s="12"/>
      <c r="Y638" s="12"/>
      <c r="Z638" s="12"/>
      <c r="AA638" s="44"/>
      <c r="AB638" s="45"/>
      <c r="AC638" s="12"/>
      <c r="AD638" s="12"/>
      <c r="AE638" s="12"/>
      <c r="AF638" s="12"/>
      <c r="AG638" s="44"/>
      <c r="AH638" s="45"/>
      <c r="AI638" s="12"/>
      <c r="AJ638" s="12"/>
      <c r="AK638" s="12"/>
      <c r="AL638" s="12"/>
      <c r="AM638" s="44"/>
      <c r="AN638" s="45"/>
      <c r="AO638" s="12"/>
      <c r="AP638" s="12"/>
      <c r="AQ638" s="12"/>
      <c r="AR638" s="12"/>
      <c r="AS638" s="44"/>
      <c r="AT638" s="45"/>
      <c r="AU638" s="12"/>
      <c r="AV638" s="12"/>
      <c r="AW638" s="12"/>
      <c r="AX638" s="12"/>
      <c r="AY638" s="44"/>
      <c r="AZ638" s="45"/>
      <c r="BA638" s="12"/>
      <c r="BB638" s="12"/>
      <c r="BC638" s="12"/>
      <c r="BD638" s="12"/>
      <c r="BE638" s="44"/>
      <c r="BF638" s="45"/>
      <c r="BG638" s="12"/>
      <c r="BH638" s="12"/>
      <c r="BI638" s="12"/>
      <c r="BJ638" s="12"/>
      <c r="BK638" s="44"/>
      <c r="BL638" s="45"/>
      <c r="BM638" s="12"/>
      <c r="BN638" s="12"/>
      <c r="BO638" s="12"/>
      <c r="BP638" s="12"/>
      <c r="BQ638" s="48"/>
      <c r="BR638" s="49"/>
      <c r="BS638" s="13"/>
      <c r="BT638" s="12"/>
      <c r="BV638" s="14"/>
      <c r="BW638" s="50"/>
      <c r="BX638" s="54"/>
      <c r="BY638" s="14"/>
      <c r="BZ638" s="14"/>
      <c r="CA638" s="14"/>
      <c r="CB638" s="14"/>
      <c r="CC638" s="14"/>
      <c r="CD638" s="14"/>
      <c r="CE638" s="14"/>
      <c r="CF638" s="15"/>
      <c r="CG638" s="14"/>
      <c r="CH638" s="14"/>
      <c r="CI638" s="50"/>
      <c r="CJ638" s="54"/>
      <c r="CK638" s="14"/>
      <c r="CL638" s="14"/>
      <c r="CM638" s="14"/>
      <c r="CN638" s="14"/>
      <c r="CO638" s="14"/>
      <c r="CP638" s="14"/>
      <c r="CQ638" s="14"/>
      <c r="CR638" s="14"/>
      <c r="CS638" s="14"/>
      <c r="CT638" s="14"/>
      <c r="CU638" s="16"/>
      <c r="CV638" s="14"/>
      <c r="CW638" s="50"/>
      <c r="CX638" s="17"/>
    </row>
    <row r="639" spans="4:102" x14ac:dyDescent="0.25"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43"/>
      <c r="Q639" s="11"/>
      <c r="R639" s="11"/>
      <c r="S639" s="11"/>
      <c r="T639" s="11"/>
      <c r="U639" s="11"/>
      <c r="V639" s="11"/>
      <c r="W639" s="11"/>
      <c r="X639" s="12"/>
      <c r="Y639" s="12"/>
      <c r="Z639" s="12"/>
      <c r="AA639" s="44"/>
      <c r="AB639" s="45"/>
      <c r="AC639" s="12"/>
      <c r="AD639" s="12"/>
      <c r="AE639" s="12"/>
      <c r="AF639" s="12"/>
      <c r="AG639" s="44"/>
      <c r="AH639" s="45"/>
      <c r="AI639" s="12"/>
      <c r="AJ639" s="12"/>
      <c r="AK639" s="12"/>
      <c r="AL639" s="12"/>
      <c r="AM639" s="44"/>
      <c r="AN639" s="45"/>
      <c r="AO639" s="12"/>
      <c r="AP639" s="12"/>
      <c r="AQ639" s="12"/>
      <c r="AR639" s="12"/>
      <c r="AS639" s="44"/>
      <c r="AT639" s="45"/>
      <c r="AU639" s="12"/>
      <c r="AV639" s="12"/>
      <c r="AW639" s="12"/>
      <c r="AX639" s="12"/>
      <c r="AY639" s="44"/>
      <c r="AZ639" s="45"/>
      <c r="BA639" s="12"/>
      <c r="BB639" s="12"/>
      <c r="BC639" s="12"/>
      <c r="BD639" s="12"/>
      <c r="BE639" s="44"/>
      <c r="BF639" s="45"/>
      <c r="BG639" s="12"/>
      <c r="BH639" s="12"/>
      <c r="BI639" s="12"/>
      <c r="BJ639" s="12"/>
      <c r="BK639" s="44"/>
      <c r="BL639" s="45"/>
      <c r="BM639" s="12"/>
      <c r="BN639" s="12"/>
      <c r="BO639" s="12"/>
      <c r="BP639" s="12"/>
      <c r="BQ639" s="48"/>
      <c r="BR639" s="49"/>
      <c r="BS639" s="13"/>
      <c r="BT639" s="12"/>
      <c r="BV639" s="14"/>
      <c r="BW639" s="50"/>
      <c r="BX639" s="54"/>
      <c r="BY639" s="14"/>
      <c r="BZ639" s="14"/>
      <c r="CA639" s="14"/>
      <c r="CB639" s="14"/>
      <c r="CC639" s="14"/>
      <c r="CD639" s="14"/>
      <c r="CE639" s="14"/>
      <c r="CF639" s="15"/>
      <c r="CG639" s="14"/>
      <c r="CH639" s="14"/>
      <c r="CI639" s="50"/>
      <c r="CJ639" s="54"/>
      <c r="CK639" s="14"/>
      <c r="CL639" s="14"/>
      <c r="CM639" s="14"/>
      <c r="CN639" s="14"/>
      <c r="CO639" s="14"/>
      <c r="CP639" s="14"/>
      <c r="CQ639" s="14"/>
      <c r="CR639" s="14"/>
      <c r="CS639" s="14"/>
      <c r="CT639" s="14"/>
      <c r="CU639" s="16"/>
      <c r="CV639" s="14"/>
      <c r="CW639" s="50"/>
      <c r="CX639" s="17"/>
    </row>
    <row r="640" spans="4:102" x14ac:dyDescent="0.25"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43"/>
      <c r="Q640" s="11"/>
      <c r="R640" s="11"/>
      <c r="S640" s="11"/>
      <c r="T640" s="11"/>
      <c r="U640" s="11"/>
      <c r="V640" s="11"/>
      <c r="W640" s="11"/>
      <c r="X640" s="12"/>
      <c r="Y640" s="12"/>
      <c r="Z640" s="12"/>
      <c r="AA640" s="44"/>
      <c r="AB640" s="45"/>
      <c r="AC640" s="12"/>
      <c r="AD640" s="12"/>
      <c r="AE640" s="12"/>
      <c r="AF640" s="12"/>
      <c r="AG640" s="44"/>
      <c r="AH640" s="45"/>
      <c r="AI640" s="12"/>
      <c r="AJ640" s="12"/>
      <c r="AK640" s="12"/>
      <c r="AL640" s="12"/>
      <c r="AM640" s="44"/>
      <c r="AN640" s="45"/>
      <c r="AO640" s="12"/>
      <c r="AP640" s="12"/>
      <c r="AQ640" s="12"/>
      <c r="AR640" s="12"/>
      <c r="AS640" s="44"/>
      <c r="AT640" s="45"/>
      <c r="AU640" s="12"/>
      <c r="AV640" s="12"/>
      <c r="AW640" s="12"/>
      <c r="AX640" s="12"/>
      <c r="AY640" s="44"/>
      <c r="AZ640" s="45"/>
      <c r="BA640" s="12"/>
      <c r="BB640" s="12"/>
      <c r="BC640" s="12"/>
      <c r="BD640" s="12"/>
      <c r="BE640" s="44"/>
      <c r="BF640" s="45"/>
      <c r="BG640" s="12"/>
      <c r="BH640" s="12"/>
      <c r="BI640" s="12"/>
      <c r="BJ640" s="12"/>
      <c r="BK640" s="44"/>
      <c r="BL640" s="45"/>
      <c r="BM640" s="12"/>
      <c r="BN640" s="12"/>
      <c r="BO640" s="12"/>
      <c r="BP640" s="12"/>
      <c r="BQ640" s="48"/>
      <c r="BR640" s="49"/>
      <c r="BS640" s="13"/>
      <c r="BT640" s="12"/>
      <c r="BV640" s="14"/>
      <c r="BW640" s="50"/>
      <c r="BX640" s="54"/>
      <c r="BY640" s="14"/>
      <c r="BZ640" s="14"/>
      <c r="CA640" s="14"/>
      <c r="CB640" s="14"/>
      <c r="CC640" s="14"/>
      <c r="CD640" s="14"/>
      <c r="CE640" s="14"/>
      <c r="CF640" s="15"/>
      <c r="CG640" s="14"/>
      <c r="CH640" s="14"/>
      <c r="CI640" s="50"/>
      <c r="CJ640" s="54"/>
      <c r="CK640" s="14"/>
      <c r="CL640" s="14"/>
      <c r="CM640" s="14"/>
      <c r="CN640" s="14"/>
      <c r="CO640" s="14"/>
      <c r="CP640" s="14"/>
      <c r="CQ640" s="14"/>
      <c r="CR640" s="14"/>
      <c r="CS640" s="14"/>
      <c r="CT640" s="14"/>
      <c r="CU640" s="16"/>
      <c r="CV640" s="14"/>
      <c r="CW640" s="50"/>
      <c r="CX640" s="17"/>
    </row>
    <row r="641" spans="4:102" x14ac:dyDescent="0.25"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43"/>
      <c r="Q641" s="11"/>
      <c r="R641" s="11"/>
      <c r="S641" s="11"/>
      <c r="T641" s="11"/>
      <c r="U641" s="11"/>
      <c r="V641" s="11"/>
      <c r="W641" s="11"/>
      <c r="X641" s="12"/>
      <c r="Y641" s="12"/>
      <c r="Z641" s="12"/>
      <c r="AA641" s="44"/>
      <c r="AB641" s="45"/>
      <c r="AC641" s="12"/>
      <c r="AD641" s="12"/>
      <c r="AE641" s="12"/>
      <c r="AF641" s="12"/>
      <c r="AG641" s="44"/>
      <c r="AH641" s="45"/>
      <c r="AI641" s="12"/>
      <c r="AJ641" s="12"/>
      <c r="AK641" s="12"/>
      <c r="AL641" s="12"/>
      <c r="AM641" s="44"/>
      <c r="AN641" s="45"/>
      <c r="AO641" s="12"/>
      <c r="AP641" s="12"/>
      <c r="AQ641" s="12"/>
      <c r="AR641" s="12"/>
      <c r="AS641" s="44"/>
      <c r="AT641" s="45"/>
      <c r="AU641" s="12"/>
      <c r="AV641" s="12"/>
      <c r="AW641" s="12"/>
      <c r="AX641" s="12"/>
      <c r="AY641" s="44"/>
      <c r="AZ641" s="45"/>
      <c r="BA641" s="12"/>
      <c r="BB641" s="12"/>
      <c r="BC641" s="12"/>
      <c r="BD641" s="12"/>
      <c r="BE641" s="44"/>
      <c r="BF641" s="45"/>
      <c r="BG641" s="12"/>
      <c r="BH641" s="12"/>
      <c r="BI641" s="12"/>
      <c r="BJ641" s="12"/>
      <c r="BK641" s="44"/>
      <c r="BL641" s="45"/>
      <c r="BM641" s="12"/>
      <c r="BN641" s="12"/>
      <c r="BO641" s="12"/>
      <c r="BP641" s="12"/>
      <c r="BQ641" s="48"/>
      <c r="BR641" s="49"/>
      <c r="BS641" s="13"/>
      <c r="BT641" s="12"/>
      <c r="BV641" s="14"/>
      <c r="BW641" s="50"/>
      <c r="BX641" s="54"/>
      <c r="BY641" s="14"/>
      <c r="BZ641" s="14"/>
      <c r="CA641" s="14"/>
      <c r="CB641" s="14"/>
      <c r="CC641" s="14"/>
      <c r="CD641" s="14"/>
      <c r="CE641" s="14"/>
      <c r="CF641" s="15"/>
      <c r="CG641" s="14"/>
      <c r="CH641" s="14"/>
      <c r="CI641" s="50"/>
      <c r="CJ641" s="54"/>
      <c r="CK641" s="14"/>
      <c r="CL641" s="14"/>
      <c r="CM641" s="14"/>
      <c r="CN641" s="14"/>
      <c r="CO641" s="14"/>
      <c r="CP641" s="14"/>
      <c r="CQ641" s="14"/>
      <c r="CR641" s="14"/>
      <c r="CS641" s="14"/>
      <c r="CT641" s="14"/>
      <c r="CU641" s="16"/>
      <c r="CV641" s="14"/>
      <c r="CW641" s="50"/>
      <c r="CX641" s="17"/>
    </row>
    <row r="642" spans="4:102" x14ac:dyDescent="0.25"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43"/>
      <c r="Q642" s="11"/>
      <c r="R642" s="11"/>
      <c r="S642" s="11"/>
      <c r="T642" s="11"/>
      <c r="U642" s="11"/>
      <c r="V642" s="11"/>
      <c r="W642" s="11"/>
      <c r="X642" s="12"/>
      <c r="Y642" s="12"/>
      <c r="Z642" s="12"/>
      <c r="AA642" s="44"/>
      <c r="AB642" s="45"/>
      <c r="AC642" s="12"/>
      <c r="AD642" s="12"/>
      <c r="AE642" s="12"/>
      <c r="AF642" s="12"/>
      <c r="AG642" s="44"/>
      <c r="AH642" s="45"/>
      <c r="AI642" s="12"/>
      <c r="AJ642" s="12"/>
      <c r="AK642" s="12"/>
      <c r="AL642" s="12"/>
      <c r="AM642" s="44"/>
      <c r="AN642" s="45"/>
      <c r="AO642" s="12"/>
      <c r="AP642" s="12"/>
      <c r="AQ642" s="12"/>
      <c r="AR642" s="12"/>
      <c r="AS642" s="44"/>
      <c r="AT642" s="45"/>
      <c r="AU642" s="12"/>
      <c r="AV642" s="12"/>
      <c r="AW642" s="12"/>
      <c r="AX642" s="12"/>
      <c r="AY642" s="44"/>
      <c r="AZ642" s="45"/>
      <c r="BA642" s="12"/>
      <c r="BB642" s="12"/>
      <c r="BC642" s="12"/>
      <c r="BD642" s="12"/>
      <c r="BE642" s="44"/>
      <c r="BF642" s="45"/>
      <c r="BG642" s="12"/>
      <c r="BH642" s="12"/>
      <c r="BI642" s="12"/>
      <c r="BJ642" s="12"/>
      <c r="BK642" s="44"/>
      <c r="BL642" s="45"/>
      <c r="BM642" s="12"/>
      <c r="BN642" s="12"/>
      <c r="BO642" s="12"/>
      <c r="BP642" s="12"/>
      <c r="BQ642" s="48"/>
      <c r="BR642" s="49"/>
      <c r="BS642" s="13"/>
      <c r="BT642" s="12"/>
      <c r="BV642" s="14"/>
      <c r="BW642" s="50"/>
      <c r="BX642" s="54"/>
      <c r="BY642" s="14"/>
      <c r="BZ642" s="14"/>
      <c r="CA642" s="14"/>
      <c r="CB642" s="14"/>
      <c r="CC642" s="14"/>
      <c r="CD642" s="14"/>
      <c r="CE642" s="14"/>
      <c r="CF642" s="15"/>
      <c r="CG642" s="14"/>
      <c r="CH642" s="14"/>
      <c r="CI642" s="50"/>
      <c r="CJ642" s="54"/>
      <c r="CK642" s="14"/>
      <c r="CL642" s="14"/>
      <c r="CM642" s="14"/>
      <c r="CN642" s="14"/>
      <c r="CO642" s="14"/>
      <c r="CP642" s="14"/>
      <c r="CQ642" s="14"/>
      <c r="CR642" s="14"/>
      <c r="CS642" s="14"/>
      <c r="CT642" s="14"/>
      <c r="CU642" s="16"/>
      <c r="CV642" s="14"/>
      <c r="CW642" s="50"/>
      <c r="CX642" s="17"/>
    </row>
    <row r="643" spans="4:102" x14ac:dyDescent="0.25"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43"/>
      <c r="Q643" s="11"/>
      <c r="R643" s="11"/>
      <c r="S643" s="11"/>
      <c r="T643" s="11"/>
      <c r="U643" s="11"/>
      <c r="V643" s="11"/>
      <c r="W643" s="11"/>
      <c r="X643" s="12"/>
      <c r="Y643" s="12"/>
      <c r="Z643" s="12"/>
      <c r="AA643" s="44"/>
      <c r="AB643" s="45"/>
      <c r="AC643" s="12"/>
      <c r="AD643" s="12"/>
      <c r="AE643" s="12"/>
      <c r="AF643" s="12"/>
      <c r="AG643" s="44"/>
      <c r="AH643" s="45"/>
      <c r="AI643" s="12"/>
      <c r="AJ643" s="12"/>
      <c r="AK643" s="12"/>
      <c r="AL643" s="12"/>
      <c r="AM643" s="44"/>
      <c r="AN643" s="45"/>
      <c r="AO643" s="12"/>
      <c r="AP643" s="12"/>
      <c r="AQ643" s="12"/>
      <c r="AR643" s="12"/>
      <c r="AS643" s="44"/>
      <c r="AT643" s="45"/>
      <c r="AU643" s="12"/>
      <c r="AV643" s="12"/>
      <c r="AW643" s="12"/>
      <c r="AX643" s="12"/>
      <c r="AY643" s="44"/>
      <c r="AZ643" s="45"/>
      <c r="BA643" s="12"/>
      <c r="BB643" s="12"/>
      <c r="BC643" s="12"/>
      <c r="BD643" s="12"/>
      <c r="BE643" s="44"/>
      <c r="BF643" s="45"/>
      <c r="BG643" s="12"/>
      <c r="BH643" s="12"/>
      <c r="BI643" s="12"/>
      <c r="BJ643" s="12"/>
      <c r="BK643" s="44"/>
      <c r="BL643" s="45"/>
      <c r="BM643" s="12"/>
      <c r="BN643" s="12"/>
      <c r="BO643" s="12"/>
      <c r="BP643" s="12"/>
      <c r="BQ643" s="48"/>
      <c r="BR643" s="49"/>
      <c r="BS643" s="13"/>
      <c r="BT643" s="12"/>
      <c r="BV643" s="14"/>
      <c r="BW643" s="50"/>
      <c r="BX643" s="54"/>
      <c r="BY643" s="14"/>
      <c r="BZ643" s="14"/>
      <c r="CA643" s="14"/>
      <c r="CB643" s="14"/>
      <c r="CC643" s="14"/>
      <c r="CD643" s="14"/>
      <c r="CE643" s="14"/>
      <c r="CF643" s="15"/>
      <c r="CG643" s="14"/>
      <c r="CH643" s="14"/>
      <c r="CI643" s="50"/>
      <c r="CJ643" s="54"/>
      <c r="CK643" s="14"/>
      <c r="CL643" s="14"/>
      <c r="CM643" s="14"/>
      <c r="CN643" s="14"/>
      <c r="CO643" s="14"/>
      <c r="CP643" s="14"/>
      <c r="CQ643" s="14"/>
      <c r="CR643" s="14"/>
      <c r="CS643" s="14"/>
      <c r="CT643" s="14"/>
      <c r="CU643" s="16"/>
      <c r="CV643" s="14"/>
      <c r="CW643" s="50"/>
      <c r="CX643" s="17"/>
    </row>
    <row r="644" spans="4:102" x14ac:dyDescent="0.25"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43"/>
      <c r="Q644" s="11"/>
      <c r="R644" s="11"/>
      <c r="S644" s="11"/>
      <c r="T644" s="11"/>
      <c r="U644" s="11"/>
      <c r="V644" s="11"/>
      <c r="W644" s="11"/>
      <c r="X644" s="12"/>
      <c r="Y644" s="12"/>
      <c r="Z644" s="12"/>
      <c r="AA644" s="44"/>
      <c r="AB644" s="45"/>
      <c r="AC644" s="12"/>
      <c r="AD644" s="12"/>
      <c r="AE644" s="12"/>
      <c r="AF644" s="12"/>
      <c r="AG644" s="44"/>
      <c r="AH644" s="45"/>
      <c r="AI644" s="12"/>
      <c r="AJ644" s="12"/>
      <c r="AK644" s="12"/>
      <c r="AL644" s="12"/>
      <c r="AM644" s="44"/>
      <c r="AN644" s="45"/>
      <c r="AO644" s="12"/>
      <c r="AP644" s="12"/>
      <c r="AQ644" s="12"/>
      <c r="AR644" s="12"/>
      <c r="AS644" s="44"/>
      <c r="AT644" s="45"/>
      <c r="AU644" s="12"/>
      <c r="AV644" s="12"/>
      <c r="AW644" s="12"/>
      <c r="AX644" s="12"/>
      <c r="AY644" s="44"/>
      <c r="AZ644" s="45"/>
      <c r="BA644" s="12"/>
      <c r="BB644" s="12"/>
      <c r="BC644" s="12"/>
      <c r="BD644" s="12"/>
      <c r="BE644" s="44"/>
      <c r="BF644" s="45"/>
      <c r="BG644" s="12"/>
      <c r="BH644" s="12"/>
      <c r="BI644" s="12"/>
      <c r="BJ644" s="12"/>
      <c r="BK644" s="44"/>
      <c r="BL644" s="45"/>
      <c r="BM644" s="12"/>
      <c r="BN644" s="12"/>
      <c r="BO644" s="12"/>
      <c r="BP644" s="12"/>
      <c r="BQ644" s="48"/>
      <c r="BR644" s="49"/>
      <c r="BS644" s="13"/>
      <c r="BT644" s="12"/>
      <c r="BV644" s="14"/>
      <c r="BW644" s="50"/>
      <c r="BX644" s="54"/>
      <c r="BY644" s="14"/>
      <c r="BZ644" s="14"/>
      <c r="CA644" s="14"/>
      <c r="CB644" s="14"/>
      <c r="CC644" s="14"/>
      <c r="CD644" s="14"/>
      <c r="CE644" s="14"/>
      <c r="CF644" s="15"/>
      <c r="CG644" s="14"/>
      <c r="CH644" s="14"/>
      <c r="CI644" s="50"/>
      <c r="CJ644" s="54"/>
      <c r="CK644" s="14"/>
      <c r="CL644" s="14"/>
      <c r="CM644" s="14"/>
      <c r="CN644" s="14"/>
      <c r="CO644" s="14"/>
      <c r="CP644" s="14"/>
      <c r="CQ644" s="14"/>
      <c r="CR644" s="14"/>
      <c r="CS644" s="14"/>
      <c r="CT644" s="14"/>
      <c r="CU644" s="16"/>
      <c r="CV644" s="14"/>
      <c r="CW644" s="50"/>
      <c r="CX644" s="17"/>
    </row>
    <row r="645" spans="4:102" x14ac:dyDescent="0.25"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43"/>
      <c r="Q645" s="11"/>
      <c r="R645" s="11"/>
      <c r="S645" s="11"/>
      <c r="T645" s="11"/>
      <c r="U645" s="11"/>
      <c r="V645" s="11"/>
      <c r="W645" s="11"/>
      <c r="X645" s="12"/>
      <c r="Y645" s="12"/>
      <c r="Z645" s="12"/>
      <c r="AA645" s="44"/>
      <c r="AB645" s="45"/>
      <c r="AC645" s="12"/>
      <c r="AD645" s="12"/>
      <c r="AE645" s="12"/>
      <c r="AF645" s="12"/>
      <c r="AG645" s="44"/>
      <c r="AH645" s="45"/>
      <c r="AI645" s="12"/>
      <c r="AJ645" s="12"/>
      <c r="AK645" s="12"/>
      <c r="AL645" s="12"/>
      <c r="AM645" s="44"/>
      <c r="AN645" s="45"/>
      <c r="AO645" s="12"/>
      <c r="AP645" s="12"/>
      <c r="AQ645" s="12"/>
      <c r="AR645" s="12"/>
      <c r="AS645" s="44"/>
      <c r="AT645" s="45"/>
      <c r="AU645" s="12"/>
      <c r="AV645" s="12"/>
      <c r="AW645" s="12"/>
      <c r="AX645" s="12"/>
      <c r="AY645" s="44"/>
      <c r="AZ645" s="45"/>
      <c r="BA645" s="12"/>
      <c r="BB645" s="12"/>
      <c r="BC645" s="12"/>
      <c r="BD645" s="12"/>
      <c r="BE645" s="44"/>
      <c r="BF645" s="45"/>
      <c r="BG645" s="12"/>
      <c r="BH645" s="12"/>
      <c r="BI645" s="12"/>
      <c r="BJ645" s="12"/>
      <c r="BK645" s="44"/>
      <c r="BL645" s="45"/>
      <c r="BM645" s="12"/>
      <c r="BN645" s="12"/>
      <c r="BO645" s="12"/>
      <c r="BP645" s="12"/>
      <c r="BQ645" s="48"/>
      <c r="BR645" s="49"/>
      <c r="BS645" s="13"/>
      <c r="BT645" s="12"/>
      <c r="BV645" s="14"/>
      <c r="BW645" s="50"/>
      <c r="BX645" s="54"/>
      <c r="BY645" s="14"/>
      <c r="BZ645" s="14"/>
      <c r="CA645" s="14"/>
      <c r="CB645" s="14"/>
      <c r="CC645" s="14"/>
      <c r="CD645" s="14"/>
      <c r="CE645" s="14"/>
      <c r="CF645" s="15"/>
      <c r="CG645" s="14"/>
      <c r="CH645" s="14"/>
      <c r="CI645" s="50"/>
      <c r="CJ645" s="54"/>
      <c r="CK645" s="14"/>
      <c r="CL645" s="14"/>
      <c r="CM645" s="14"/>
      <c r="CN645" s="14"/>
      <c r="CO645" s="14"/>
      <c r="CP645" s="14"/>
      <c r="CQ645" s="14"/>
      <c r="CR645" s="14"/>
      <c r="CS645" s="14"/>
      <c r="CT645" s="14"/>
      <c r="CU645" s="16"/>
      <c r="CV645" s="14"/>
      <c r="CW645" s="50"/>
      <c r="CX645" s="17"/>
    </row>
    <row r="646" spans="4:102" x14ac:dyDescent="0.25"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43"/>
      <c r="Q646" s="11"/>
      <c r="R646" s="11"/>
      <c r="S646" s="11"/>
      <c r="T646" s="11"/>
      <c r="U646" s="11"/>
      <c r="V646" s="11"/>
      <c r="W646" s="11"/>
      <c r="X646" s="12"/>
      <c r="Y646" s="12"/>
      <c r="Z646" s="12"/>
      <c r="AA646" s="44"/>
      <c r="AB646" s="45"/>
      <c r="AC646" s="12"/>
      <c r="AD646" s="12"/>
      <c r="AE646" s="12"/>
      <c r="AF646" s="12"/>
      <c r="AG646" s="44"/>
      <c r="AH646" s="45"/>
      <c r="AI646" s="12"/>
      <c r="AJ646" s="12"/>
      <c r="AK646" s="12"/>
      <c r="AL646" s="12"/>
      <c r="AM646" s="44"/>
      <c r="AN646" s="45"/>
      <c r="AO646" s="12"/>
      <c r="AP646" s="12"/>
      <c r="AQ646" s="12"/>
      <c r="AR646" s="12"/>
      <c r="AS646" s="44"/>
      <c r="AT646" s="45"/>
      <c r="AU646" s="12"/>
      <c r="AV646" s="12"/>
      <c r="AW646" s="12"/>
      <c r="AX646" s="12"/>
      <c r="AY646" s="44"/>
      <c r="AZ646" s="45"/>
      <c r="BA646" s="12"/>
      <c r="BB646" s="12"/>
      <c r="BC646" s="12"/>
      <c r="BD646" s="12"/>
      <c r="BE646" s="44"/>
      <c r="BF646" s="45"/>
      <c r="BG646" s="12"/>
      <c r="BH646" s="12"/>
      <c r="BI646" s="12"/>
      <c r="BJ646" s="12"/>
      <c r="BK646" s="44"/>
      <c r="BL646" s="45"/>
      <c r="BM646" s="12"/>
      <c r="BN646" s="12"/>
      <c r="BO646" s="12"/>
      <c r="BP646" s="12"/>
      <c r="BQ646" s="48"/>
      <c r="BR646" s="49"/>
      <c r="BS646" s="13"/>
      <c r="BT646" s="12"/>
      <c r="BV646" s="14"/>
      <c r="BW646" s="50"/>
      <c r="BX646" s="54"/>
      <c r="BY646" s="14"/>
      <c r="BZ646" s="14"/>
      <c r="CA646" s="14"/>
      <c r="CB646" s="14"/>
      <c r="CC646" s="14"/>
      <c r="CD646" s="14"/>
      <c r="CE646" s="14"/>
      <c r="CF646" s="15"/>
      <c r="CG646" s="14"/>
      <c r="CH646" s="14"/>
      <c r="CI646" s="50"/>
      <c r="CJ646" s="54"/>
      <c r="CK646" s="14"/>
      <c r="CL646" s="14"/>
      <c r="CM646" s="14"/>
      <c r="CN646" s="14"/>
      <c r="CO646" s="14"/>
      <c r="CP646" s="14"/>
      <c r="CQ646" s="14"/>
      <c r="CR646" s="14"/>
      <c r="CS646" s="14"/>
      <c r="CT646" s="14"/>
      <c r="CU646" s="16"/>
      <c r="CV646" s="14"/>
      <c r="CW646" s="50"/>
      <c r="CX646" s="17"/>
    </row>
    <row r="647" spans="4:102" x14ac:dyDescent="0.25"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43"/>
      <c r="Q647" s="11"/>
      <c r="R647" s="11"/>
      <c r="S647" s="11"/>
      <c r="T647" s="11"/>
      <c r="U647" s="11"/>
      <c r="V647" s="11"/>
      <c r="W647" s="11"/>
      <c r="X647" s="12"/>
      <c r="Y647" s="12"/>
      <c r="Z647" s="12"/>
      <c r="AA647" s="44"/>
      <c r="AB647" s="45"/>
      <c r="AC647" s="12"/>
      <c r="AD647" s="12"/>
      <c r="AE647" s="12"/>
      <c r="AF647" s="12"/>
      <c r="AG647" s="44"/>
      <c r="AH647" s="45"/>
      <c r="AI647" s="12"/>
      <c r="AJ647" s="12"/>
      <c r="AK647" s="12"/>
      <c r="AL647" s="12"/>
      <c r="AM647" s="44"/>
      <c r="AN647" s="45"/>
      <c r="AO647" s="12"/>
      <c r="AP647" s="12"/>
      <c r="AQ647" s="12"/>
      <c r="AR647" s="12"/>
      <c r="AS647" s="44"/>
      <c r="AT647" s="45"/>
      <c r="AU647" s="12"/>
      <c r="AV647" s="12"/>
      <c r="AW647" s="12"/>
      <c r="AX647" s="12"/>
      <c r="AY647" s="44"/>
      <c r="AZ647" s="45"/>
      <c r="BA647" s="12"/>
      <c r="BB647" s="12"/>
      <c r="BC647" s="12"/>
      <c r="BD647" s="12"/>
      <c r="BE647" s="44"/>
      <c r="BF647" s="45"/>
      <c r="BG647" s="12"/>
      <c r="BH647" s="12"/>
      <c r="BI647" s="12"/>
      <c r="BJ647" s="12"/>
      <c r="BK647" s="44"/>
      <c r="BL647" s="45"/>
      <c r="BM647" s="12"/>
      <c r="BN647" s="12"/>
      <c r="BO647" s="12"/>
      <c r="BP647" s="12"/>
      <c r="BQ647" s="48"/>
      <c r="BR647" s="49"/>
      <c r="BS647" s="13"/>
      <c r="BT647" s="12"/>
      <c r="BV647" s="14"/>
      <c r="BW647" s="50"/>
      <c r="BX647" s="54"/>
      <c r="BY647" s="14"/>
      <c r="BZ647" s="14"/>
      <c r="CA647" s="14"/>
      <c r="CB647" s="14"/>
      <c r="CC647" s="14"/>
      <c r="CD647" s="14"/>
      <c r="CE647" s="14"/>
      <c r="CF647" s="15"/>
      <c r="CG647" s="14"/>
      <c r="CH647" s="14"/>
      <c r="CI647" s="50"/>
      <c r="CJ647" s="54"/>
      <c r="CK647" s="14"/>
      <c r="CL647" s="14"/>
      <c r="CM647" s="14"/>
      <c r="CN647" s="14"/>
      <c r="CO647" s="14"/>
      <c r="CP647" s="14"/>
      <c r="CQ647" s="14"/>
      <c r="CR647" s="14"/>
      <c r="CS647" s="14"/>
      <c r="CT647" s="14"/>
      <c r="CU647" s="16"/>
      <c r="CV647" s="14"/>
      <c r="CW647" s="50"/>
      <c r="CX647" s="17"/>
    </row>
    <row r="648" spans="4:102" x14ac:dyDescent="0.25"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43"/>
      <c r="Q648" s="11"/>
      <c r="R648" s="11"/>
      <c r="S648" s="11"/>
      <c r="T648" s="11"/>
      <c r="U648" s="11"/>
      <c r="V648" s="11"/>
      <c r="W648" s="11"/>
      <c r="X648" s="12"/>
      <c r="Y648" s="12"/>
      <c r="Z648" s="12"/>
      <c r="AA648" s="44"/>
      <c r="AB648" s="45"/>
      <c r="AC648" s="12"/>
      <c r="AD648" s="12"/>
      <c r="AE648" s="12"/>
      <c r="AF648" s="12"/>
      <c r="AG648" s="44"/>
      <c r="AH648" s="45"/>
      <c r="AI648" s="12"/>
      <c r="AJ648" s="12"/>
      <c r="AK648" s="12"/>
      <c r="AL648" s="12"/>
      <c r="AM648" s="44"/>
      <c r="AN648" s="45"/>
      <c r="AO648" s="12"/>
      <c r="AP648" s="12"/>
      <c r="AQ648" s="12"/>
      <c r="AR648" s="12"/>
      <c r="AS648" s="44"/>
      <c r="AT648" s="45"/>
      <c r="AU648" s="12"/>
      <c r="AV648" s="12"/>
      <c r="AW648" s="12"/>
      <c r="AX648" s="12"/>
      <c r="AY648" s="44"/>
      <c r="AZ648" s="45"/>
      <c r="BA648" s="12"/>
      <c r="BB648" s="12"/>
      <c r="BC648" s="12"/>
      <c r="BD648" s="12"/>
      <c r="BE648" s="44"/>
      <c r="BF648" s="45"/>
      <c r="BG648" s="12"/>
      <c r="BH648" s="12"/>
      <c r="BI648" s="12"/>
      <c r="BJ648" s="12"/>
      <c r="BK648" s="44"/>
      <c r="BL648" s="45"/>
      <c r="BM648" s="12"/>
      <c r="BN648" s="12"/>
      <c r="BO648" s="12"/>
      <c r="BP648" s="12"/>
      <c r="BQ648" s="48"/>
      <c r="BR648" s="49"/>
      <c r="BS648" s="13"/>
      <c r="BT648" s="12"/>
      <c r="BV648" s="14"/>
      <c r="BW648" s="50"/>
      <c r="BX648" s="54"/>
      <c r="BY648" s="14"/>
      <c r="BZ648" s="14"/>
      <c r="CA648" s="14"/>
      <c r="CB648" s="14"/>
      <c r="CC648" s="14"/>
      <c r="CD648" s="14"/>
      <c r="CE648" s="14"/>
      <c r="CF648" s="15"/>
      <c r="CG648" s="14"/>
      <c r="CH648" s="14"/>
      <c r="CI648" s="50"/>
      <c r="CJ648" s="54"/>
      <c r="CK648" s="14"/>
      <c r="CL648" s="14"/>
      <c r="CM648" s="14"/>
      <c r="CN648" s="14"/>
      <c r="CO648" s="14"/>
      <c r="CP648" s="14"/>
      <c r="CQ648" s="14"/>
      <c r="CR648" s="14"/>
      <c r="CS648" s="14"/>
      <c r="CT648" s="14"/>
      <c r="CU648" s="16"/>
      <c r="CV648" s="14"/>
      <c r="CW648" s="50"/>
      <c r="CX648" s="17"/>
    </row>
    <row r="649" spans="4:102" x14ac:dyDescent="0.25"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43"/>
      <c r="Q649" s="11"/>
      <c r="R649" s="11"/>
      <c r="S649" s="11"/>
      <c r="T649" s="11"/>
      <c r="U649" s="11"/>
      <c r="V649" s="11"/>
      <c r="W649" s="11"/>
      <c r="X649" s="12"/>
      <c r="Y649" s="12"/>
      <c r="Z649" s="12"/>
      <c r="AA649" s="44"/>
      <c r="AB649" s="45"/>
      <c r="AC649" s="12"/>
      <c r="AD649" s="12"/>
      <c r="AE649" s="12"/>
      <c r="AF649" s="12"/>
      <c r="AG649" s="44"/>
      <c r="AH649" s="45"/>
      <c r="AI649" s="12"/>
      <c r="AJ649" s="12"/>
      <c r="AK649" s="12"/>
      <c r="AL649" s="12"/>
      <c r="AM649" s="44"/>
      <c r="AN649" s="45"/>
      <c r="AO649" s="12"/>
      <c r="AP649" s="12"/>
      <c r="AQ649" s="12"/>
      <c r="AR649" s="12"/>
      <c r="AS649" s="44"/>
      <c r="AT649" s="45"/>
      <c r="AU649" s="12"/>
      <c r="AV649" s="12"/>
      <c r="AW649" s="12"/>
      <c r="AX649" s="12"/>
      <c r="AY649" s="44"/>
      <c r="AZ649" s="45"/>
      <c r="BA649" s="12"/>
      <c r="BB649" s="12"/>
      <c r="BC649" s="12"/>
      <c r="BD649" s="12"/>
      <c r="BE649" s="44"/>
      <c r="BF649" s="45"/>
      <c r="BG649" s="12"/>
      <c r="BH649" s="12"/>
      <c r="BI649" s="12"/>
      <c r="BJ649" s="12"/>
      <c r="BK649" s="44"/>
      <c r="BL649" s="45"/>
      <c r="BM649" s="12"/>
      <c r="BN649" s="12"/>
      <c r="BO649" s="12"/>
      <c r="BP649" s="12"/>
      <c r="BQ649" s="48"/>
      <c r="BR649" s="49"/>
      <c r="BS649" s="13"/>
      <c r="BT649" s="12"/>
      <c r="BV649" s="14"/>
      <c r="BW649" s="50"/>
      <c r="BX649" s="54"/>
      <c r="BY649" s="14"/>
      <c r="BZ649" s="14"/>
      <c r="CA649" s="14"/>
      <c r="CB649" s="14"/>
      <c r="CC649" s="14"/>
      <c r="CD649" s="14"/>
      <c r="CE649" s="14"/>
      <c r="CF649" s="15"/>
      <c r="CG649" s="14"/>
      <c r="CH649" s="14"/>
      <c r="CI649" s="50"/>
      <c r="CJ649" s="54"/>
      <c r="CK649" s="14"/>
      <c r="CL649" s="14"/>
      <c r="CM649" s="14"/>
      <c r="CN649" s="14"/>
      <c r="CO649" s="14"/>
      <c r="CP649" s="14"/>
      <c r="CQ649" s="14"/>
      <c r="CR649" s="14"/>
      <c r="CS649" s="14"/>
      <c r="CT649" s="14"/>
      <c r="CU649" s="16"/>
      <c r="CV649" s="14"/>
      <c r="CW649" s="50"/>
      <c r="CX649" s="17"/>
    </row>
    <row r="650" spans="4:102" x14ac:dyDescent="0.25"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43"/>
      <c r="Q650" s="11"/>
      <c r="R650" s="11"/>
      <c r="S650" s="11"/>
      <c r="T650" s="11"/>
      <c r="U650" s="11"/>
      <c r="V650" s="11"/>
      <c r="W650" s="11"/>
      <c r="X650" s="12"/>
      <c r="Y650" s="12"/>
      <c r="Z650" s="12"/>
      <c r="AA650" s="44"/>
      <c r="AB650" s="45"/>
      <c r="AC650" s="12"/>
      <c r="AD650" s="12"/>
      <c r="AE650" s="12"/>
      <c r="AF650" s="12"/>
      <c r="AG650" s="44"/>
      <c r="AH650" s="45"/>
      <c r="AI650" s="12"/>
      <c r="AJ650" s="12"/>
      <c r="AK650" s="12"/>
      <c r="AL650" s="12"/>
      <c r="AM650" s="44"/>
      <c r="AN650" s="45"/>
      <c r="AO650" s="12"/>
      <c r="AP650" s="12"/>
      <c r="AQ650" s="12"/>
      <c r="AR650" s="12"/>
      <c r="AS650" s="44"/>
      <c r="AT650" s="45"/>
      <c r="AU650" s="12"/>
      <c r="AV650" s="12"/>
      <c r="AW650" s="12"/>
      <c r="AX650" s="12"/>
      <c r="AY650" s="44"/>
      <c r="AZ650" s="45"/>
      <c r="BA650" s="12"/>
      <c r="BB650" s="12"/>
      <c r="BC650" s="12"/>
      <c r="BD650" s="12"/>
      <c r="BE650" s="44"/>
      <c r="BF650" s="45"/>
      <c r="BG650" s="12"/>
      <c r="BH650" s="12"/>
      <c r="BI650" s="12"/>
      <c r="BJ650" s="12"/>
      <c r="BK650" s="44"/>
      <c r="BL650" s="45"/>
      <c r="BM650" s="12"/>
      <c r="BN650" s="12"/>
      <c r="BO650" s="12"/>
      <c r="BP650" s="12"/>
      <c r="BQ650" s="48"/>
      <c r="BR650" s="49"/>
      <c r="BS650" s="13"/>
      <c r="BT650" s="12"/>
      <c r="BV650" s="14"/>
      <c r="BW650" s="50"/>
      <c r="BX650" s="54"/>
      <c r="BY650" s="14"/>
      <c r="BZ650" s="14"/>
      <c r="CA650" s="14"/>
      <c r="CB650" s="14"/>
      <c r="CC650" s="14"/>
      <c r="CD650" s="14"/>
      <c r="CE650" s="14"/>
      <c r="CF650" s="15"/>
      <c r="CG650" s="14"/>
      <c r="CH650" s="14"/>
      <c r="CI650" s="50"/>
      <c r="CJ650" s="54"/>
      <c r="CK650" s="14"/>
      <c r="CL650" s="14"/>
      <c r="CM650" s="14"/>
      <c r="CN650" s="14"/>
      <c r="CO650" s="14"/>
      <c r="CP650" s="14"/>
      <c r="CQ650" s="14"/>
      <c r="CR650" s="14"/>
      <c r="CS650" s="14"/>
      <c r="CT650" s="14"/>
      <c r="CU650" s="16"/>
      <c r="CV650" s="14"/>
      <c r="CW650" s="50"/>
      <c r="CX650" s="17"/>
    </row>
    <row r="651" spans="4:102" x14ac:dyDescent="0.25"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43"/>
      <c r="Q651" s="11"/>
      <c r="R651" s="11"/>
      <c r="S651" s="11"/>
      <c r="T651" s="11"/>
      <c r="U651" s="11"/>
      <c r="V651" s="11"/>
      <c r="W651" s="11"/>
      <c r="X651" s="12"/>
      <c r="Y651" s="12"/>
      <c r="Z651" s="12"/>
      <c r="AA651" s="44"/>
      <c r="AB651" s="45"/>
      <c r="AC651" s="12"/>
      <c r="AD651" s="12"/>
      <c r="AE651" s="12"/>
      <c r="AF651" s="12"/>
      <c r="AG651" s="44"/>
      <c r="AH651" s="45"/>
      <c r="AI651" s="12"/>
      <c r="AJ651" s="12"/>
      <c r="AK651" s="12"/>
      <c r="AL651" s="12"/>
      <c r="AM651" s="44"/>
      <c r="AN651" s="45"/>
      <c r="AO651" s="12"/>
      <c r="AP651" s="12"/>
      <c r="AQ651" s="12"/>
      <c r="AR651" s="12"/>
      <c r="AS651" s="44"/>
      <c r="AT651" s="45"/>
      <c r="AU651" s="12"/>
      <c r="AV651" s="12"/>
      <c r="AW651" s="12"/>
      <c r="AX651" s="12"/>
      <c r="AY651" s="44"/>
      <c r="AZ651" s="45"/>
      <c r="BA651" s="12"/>
      <c r="BB651" s="12"/>
      <c r="BC651" s="12"/>
      <c r="BD651" s="12"/>
      <c r="BE651" s="44"/>
      <c r="BF651" s="45"/>
      <c r="BG651" s="12"/>
      <c r="BH651" s="12"/>
      <c r="BI651" s="12"/>
      <c r="BJ651" s="12"/>
      <c r="BK651" s="44"/>
      <c r="BL651" s="45"/>
      <c r="BM651" s="12"/>
      <c r="BN651" s="12"/>
      <c r="BO651" s="12"/>
      <c r="BP651" s="12"/>
      <c r="BQ651" s="48"/>
      <c r="BR651" s="49"/>
      <c r="BS651" s="13"/>
      <c r="BT651" s="12"/>
      <c r="BV651" s="14"/>
      <c r="BW651" s="50"/>
      <c r="BX651" s="54"/>
      <c r="BY651" s="14"/>
      <c r="BZ651" s="14"/>
      <c r="CA651" s="14"/>
      <c r="CB651" s="14"/>
      <c r="CC651" s="14"/>
      <c r="CD651" s="14"/>
      <c r="CE651" s="14"/>
      <c r="CF651" s="15"/>
      <c r="CG651" s="14"/>
      <c r="CH651" s="14"/>
      <c r="CI651" s="50"/>
      <c r="CJ651" s="54"/>
      <c r="CK651" s="14"/>
      <c r="CL651" s="14"/>
      <c r="CM651" s="14"/>
      <c r="CN651" s="14"/>
      <c r="CO651" s="14"/>
      <c r="CP651" s="14"/>
      <c r="CQ651" s="14"/>
      <c r="CR651" s="14"/>
      <c r="CS651" s="14"/>
      <c r="CT651" s="14"/>
      <c r="CU651" s="16"/>
      <c r="CV651" s="14"/>
      <c r="CW651" s="50"/>
      <c r="CX651" s="17"/>
    </row>
    <row r="652" spans="4:102" x14ac:dyDescent="0.25"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43"/>
      <c r="Q652" s="11"/>
      <c r="R652" s="11"/>
      <c r="S652" s="11"/>
      <c r="T652" s="11"/>
      <c r="U652" s="11"/>
      <c r="V652" s="11"/>
      <c r="W652" s="11"/>
      <c r="X652" s="12"/>
      <c r="Y652" s="12"/>
      <c r="Z652" s="12"/>
      <c r="AA652" s="44"/>
      <c r="AB652" s="45"/>
      <c r="AC652" s="12"/>
      <c r="AD652" s="12"/>
      <c r="AE652" s="12"/>
      <c r="AF652" s="12"/>
      <c r="AG652" s="44"/>
      <c r="AH652" s="45"/>
      <c r="AI652" s="12"/>
      <c r="AJ652" s="12"/>
      <c r="AK652" s="12"/>
      <c r="AL652" s="12"/>
      <c r="AM652" s="44"/>
      <c r="AN652" s="45"/>
      <c r="AO652" s="12"/>
      <c r="AP652" s="12"/>
      <c r="AQ652" s="12"/>
      <c r="AR652" s="12"/>
      <c r="AS652" s="44"/>
      <c r="AT652" s="45"/>
      <c r="AU652" s="12"/>
      <c r="AV652" s="12"/>
      <c r="AW652" s="12"/>
      <c r="AX652" s="12"/>
      <c r="AY652" s="44"/>
      <c r="AZ652" s="45"/>
      <c r="BA652" s="12"/>
      <c r="BB652" s="12"/>
      <c r="BC652" s="12"/>
      <c r="BD652" s="12"/>
      <c r="BE652" s="44"/>
      <c r="BF652" s="45"/>
      <c r="BG652" s="12"/>
      <c r="BH652" s="12"/>
      <c r="BI652" s="12"/>
      <c r="BJ652" s="12"/>
      <c r="BK652" s="44"/>
      <c r="BL652" s="45"/>
      <c r="BM652" s="12"/>
      <c r="BN652" s="12"/>
      <c r="BO652" s="12"/>
      <c r="BP652" s="12"/>
      <c r="BQ652" s="48"/>
      <c r="BR652" s="49"/>
      <c r="BS652" s="13"/>
      <c r="BT652" s="12"/>
      <c r="BV652" s="14"/>
      <c r="BW652" s="50"/>
      <c r="BX652" s="54"/>
      <c r="BY652" s="14"/>
      <c r="BZ652" s="14"/>
      <c r="CA652" s="14"/>
      <c r="CB652" s="14"/>
      <c r="CC652" s="14"/>
      <c r="CD652" s="14"/>
      <c r="CE652" s="14"/>
      <c r="CF652" s="15"/>
      <c r="CG652" s="14"/>
      <c r="CH652" s="14"/>
      <c r="CI652" s="50"/>
      <c r="CJ652" s="54"/>
      <c r="CK652" s="14"/>
      <c r="CL652" s="14"/>
      <c r="CM652" s="14"/>
      <c r="CN652" s="14"/>
      <c r="CO652" s="14"/>
      <c r="CP652" s="14"/>
      <c r="CQ652" s="14"/>
      <c r="CR652" s="14"/>
      <c r="CS652" s="14"/>
      <c r="CT652" s="14"/>
      <c r="CU652" s="16"/>
      <c r="CV652" s="14"/>
      <c r="CW652" s="50"/>
      <c r="CX652" s="17"/>
    </row>
    <row r="653" spans="4:102" x14ac:dyDescent="0.25"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43"/>
      <c r="Q653" s="11"/>
      <c r="R653" s="11"/>
      <c r="S653" s="11"/>
      <c r="T653" s="11"/>
      <c r="U653" s="11"/>
      <c r="V653" s="11"/>
      <c r="W653" s="11"/>
      <c r="X653" s="12"/>
      <c r="Y653" s="12"/>
      <c r="Z653" s="12"/>
      <c r="AA653" s="44"/>
      <c r="AB653" s="45"/>
      <c r="AC653" s="12"/>
      <c r="AD653" s="12"/>
      <c r="AE653" s="12"/>
      <c r="AF653" s="12"/>
      <c r="AG653" s="44"/>
      <c r="AH653" s="45"/>
      <c r="AI653" s="12"/>
      <c r="AJ653" s="12"/>
      <c r="AK653" s="12"/>
      <c r="AL653" s="12"/>
      <c r="AM653" s="44"/>
      <c r="AN653" s="45"/>
      <c r="AO653" s="12"/>
      <c r="AP653" s="12"/>
      <c r="AQ653" s="12"/>
      <c r="AR653" s="12"/>
      <c r="AS653" s="44"/>
      <c r="AT653" s="45"/>
      <c r="AU653" s="12"/>
      <c r="AV653" s="12"/>
      <c r="AW653" s="12"/>
      <c r="AX653" s="12"/>
      <c r="AY653" s="44"/>
      <c r="AZ653" s="45"/>
      <c r="BA653" s="12"/>
      <c r="BB653" s="12"/>
      <c r="BC653" s="12"/>
      <c r="BD653" s="12"/>
      <c r="BE653" s="44"/>
      <c r="BF653" s="45"/>
      <c r="BG653" s="12"/>
      <c r="BH653" s="12"/>
      <c r="BI653" s="12"/>
      <c r="BJ653" s="12"/>
      <c r="BK653" s="44"/>
      <c r="BL653" s="45"/>
      <c r="BM653" s="12"/>
      <c r="BN653" s="12"/>
      <c r="BO653" s="12"/>
      <c r="BP653" s="12"/>
      <c r="BQ653" s="48"/>
      <c r="BR653" s="49"/>
      <c r="BS653" s="13"/>
      <c r="BT653" s="12"/>
      <c r="BV653" s="14"/>
      <c r="BW653" s="50"/>
      <c r="BX653" s="54"/>
      <c r="BY653" s="14"/>
      <c r="BZ653" s="14"/>
      <c r="CA653" s="14"/>
      <c r="CB653" s="14"/>
      <c r="CC653" s="14"/>
      <c r="CD653" s="14"/>
      <c r="CE653" s="14"/>
      <c r="CF653" s="15"/>
      <c r="CG653" s="14"/>
      <c r="CH653" s="14"/>
      <c r="CI653" s="50"/>
      <c r="CJ653" s="54"/>
      <c r="CK653" s="14"/>
      <c r="CL653" s="14"/>
      <c r="CM653" s="14"/>
      <c r="CN653" s="14"/>
      <c r="CO653" s="14"/>
      <c r="CP653" s="14"/>
      <c r="CQ653" s="14"/>
      <c r="CR653" s="14"/>
      <c r="CS653" s="14"/>
      <c r="CT653" s="14"/>
      <c r="CU653" s="16"/>
      <c r="CV653" s="14"/>
      <c r="CW653" s="50"/>
      <c r="CX653" s="17"/>
    </row>
    <row r="654" spans="4:102" x14ac:dyDescent="0.25"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43"/>
      <c r="Q654" s="11"/>
      <c r="R654" s="11"/>
      <c r="S654" s="11"/>
      <c r="T654" s="11"/>
      <c r="U654" s="11"/>
      <c r="V654" s="11"/>
      <c r="W654" s="11"/>
      <c r="X654" s="12"/>
      <c r="Y654" s="12"/>
      <c r="Z654" s="12"/>
      <c r="AA654" s="44"/>
      <c r="AB654" s="45"/>
      <c r="AC654" s="12"/>
      <c r="AD654" s="12"/>
      <c r="AE654" s="12"/>
      <c r="AF654" s="12"/>
      <c r="AG654" s="44"/>
      <c r="AH654" s="45"/>
      <c r="AI654" s="12"/>
      <c r="AJ654" s="12"/>
      <c r="AK654" s="12"/>
      <c r="AL654" s="12"/>
      <c r="AM654" s="44"/>
      <c r="AN654" s="45"/>
      <c r="AO654" s="12"/>
      <c r="AP654" s="12"/>
      <c r="AQ654" s="12"/>
      <c r="AR654" s="12"/>
      <c r="AS654" s="44"/>
      <c r="AT654" s="45"/>
      <c r="AU654" s="12"/>
      <c r="AV654" s="12"/>
      <c r="AW654" s="12"/>
      <c r="AX654" s="12"/>
      <c r="AY654" s="44"/>
      <c r="AZ654" s="45"/>
      <c r="BA654" s="12"/>
      <c r="BB654" s="12"/>
      <c r="BC654" s="12"/>
      <c r="BD654" s="12"/>
      <c r="BE654" s="44"/>
      <c r="BF654" s="45"/>
      <c r="BG654" s="12"/>
      <c r="BH654" s="12"/>
      <c r="BI654" s="12"/>
      <c r="BJ654" s="12"/>
      <c r="BK654" s="44"/>
      <c r="BL654" s="45"/>
      <c r="BM654" s="12"/>
      <c r="BN654" s="12"/>
      <c r="BO654" s="12"/>
      <c r="BP654" s="12"/>
      <c r="BQ654" s="48"/>
      <c r="BR654" s="49"/>
      <c r="BS654" s="13"/>
      <c r="BT654" s="12"/>
      <c r="BV654" s="14"/>
      <c r="BW654" s="50"/>
      <c r="BX654" s="54"/>
      <c r="BY654" s="14"/>
      <c r="BZ654" s="14"/>
      <c r="CA654" s="14"/>
      <c r="CB654" s="14"/>
      <c r="CC654" s="14"/>
      <c r="CD654" s="14"/>
      <c r="CE654" s="14"/>
      <c r="CF654" s="15"/>
      <c r="CG654" s="14"/>
      <c r="CH654" s="14"/>
      <c r="CI654" s="50"/>
      <c r="CJ654" s="54"/>
      <c r="CK654" s="14"/>
      <c r="CL654" s="14"/>
      <c r="CM654" s="14"/>
      <c r="CN654" s="14"/>
      <c r="CO654" s="14"/>
      <c r="CP654" s="14"/>
      <c r="CQ654" s="14"/>
      <c r="CR654" s="14"/>
      <c r="CS654" s="14"/>
      <c r="CT654" s="14"/>
      <c r="CU654" s="16"/>
      <c r="CV654" s="14"/>
      <c r="CW654" s="50"/>
      <c r="CX654" s="17"/>
    </row>
    <row r="655" spans="4:102" x14ac:dyDescent="0.25"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43"/>
      <c r="Q655" s="11"/>
      <c r="R655" s="11"/>
      <c r="S655" s="11"/>
      <c r="T655" s="11"/>
      <c r="U655" s="11"/>
      <c r="V655" s="11"/>
      <c r="W655" s="11"/>
      <c r="X655" s="12"/>
      <c r="Y655" s="12"/>
      <c r="Z655" s="12"/>
      <c r="AA655" s="44"/>
      <c r="AB655" s="45"/>
      <c r="AC655" s="12"/>
      <c r="AD655" s="12"/>
      <c r="AE655" s="12"/>
      <c r="AF655" s="12"/>
      <c r="AG655" s="44"/>
      <c r="AH655" s="45"/>
      <c r="AI655" s="12"/>
      <c r="AJ655" s="12"/>
      <c r="AK655" s="12"/>
      <c r="AL655" s="12"/>
      <c r="AM655" s="44"/>
      <c r="AN655" s="45"/>
      <c r="AO655" s="12"/>
      <c r="AP655" s="12"/>
      <c r="AQ655" s="12"/>
      <c r="AR655" s="12"/>
      <c r="AS655" s="44"/>
      <c r="AT655" s="45"/>
      <c r="AU655" s="12"/>
      <c r="AV655" s="12"/>
      <c r="AW655" s="12"/>
      <c r="AX655" s="12"/>
      <c r="AY655" s="44"/>
      <c r="AZ655" s="45"/>
      <c r="BA655" s="12"/>
      <c r="BB655" s="12"/>
      <c r="BC655" s="12"/>
      <c r="BD655" s="12"/>
      <c r="BE655" s="44"/>
      <c r="BF655" s="45"/>
      <c r="BG655" s="12"/>
      <c r="BH655" s="12"/>
      <c r="BI655" s="12"/>
      <c r="BJ655" s="12"/>
      <c r="BK655" s="44"/>
      <c r="BL655" s="45"/>
      <c r="BM655" s="12"/>
      <c r="BN655" s="12"/>
      <c r="BO655" s="12"/>
      <c r="BP655" s="12"/>
      <c r="BQ655" s="48"/>
      <c r="BR655" s="49"/>
      <c r="BS655" s="13"/>
      <c r="BT655" s="12"/>
      <c r="BV655" s="14"/>
      <c r="BW655" s="50"/>
      <c r="BX655" s="54"/>
      <c r="BY655" s="14"/>
      <c r="BZ655" s="14"/>
      <c r="CA655" s="14"/>
      <c r="CB655" s="14"/>
      <c r="CC655" s="14"/>
      <c r="CD655" s="14"/>
      <c r="CE655" s="14"/>
      <c r="CF655" s="15"/>
      <c r="CG655" s="14"/>
      <c r="CH655" s="14"/>
      <c r="CI655" s="50"/>
      <c r="CJ655" s="54"/>
      <c r="CK655" s="14"/>
      <c r="CL655" s="14"/>
      <c r="CM655" s="14"/>
      <c r="CN655" s="14"/>
      <c r="CO655" s="14"/>
      <c r="CP655" s="14"/>
      <c r="CQ655" s="14"/>
      <c r="CR655" s="14"/>
      <c r="CS655" s="14"/>
      <c r="CT655" s="14"/>
      <c r="CU655" s="16"/>
      <c r="CV655" s="14"/>
      <c r="CW655" s="50"/>
      <c r="CX655" s="17"/>
    </row>
    <row r="656" spans="4:102" x14ac:dyDescent="0.25"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43"/>
      <c r="Q656" s="11"/>
      <c r="R656" s="11"/>
      <c r="S656" s="11"/>
      <c r="T656" s="11"/>
      <c r="U656" s="11"/>
      <c r="V656" s="11"/>
      <c r="W656" s="11"/>
      <c r="X656" s="12"/>
      <c r="Y656" s="12"/>
      <c r="Z656" s="12"/>
      <c r="AA656" s="44"/>
      <c r="AB656" s="45"/>
      <c r="AC656" s="12"/>
      <c r="AD656" s="12"/>
      <c r="AE656" s="12"/>
      <c r="AF656" s="12"/>
      <c r="AG656" s="44"/>
      <c r="AH656" s="45"/>
      <c r="AI656" s="12"/>
      <c r="AJ656" s="12"/>
      <c r="AK656" s="12"/>
      <c r="AL656" s="12"/>
      <c r="AM656" s="44"/>
      <c r="AN656" s="45"/>
      <c r="AO656" s="12"/>
      <c r="AP656" s="12"/>
      <c r="AQ656" s="12"/>
      <c r="AR656" s="12"/>
      <c r="AS656" s="44"/>
      <c r="AT656" s="45"/>
      <c r="AU656" s="12"/>
      <c r="AV656" s="12"/>
      <c r="AW656" s="12"/>
      <c r="AX656" s="12"/>
      <c r="AY656" s="44"/>
      <c r="AZ656" s="45"/>
      <c r="BA656" s="12"/>
      <c r="BB656" s="12"/>
      <c r="BC656" s="12"/>
      <c r="BD656" s="12"/>
      <c r="BE656" s="44"/>
      <c r="BF656" s="45"/>
      <c r="BG656" s="12"/>
      <c r="BH656" s="12"/>
      <c r="BI656" s="12"/>
      <c r="BJ656" s="12"/>
      <c r="BK656" s="44"/>
      <c r="BL656" s="45"/>
      <c r="BM656" s="12"/>
      <c r="BN656" s="12"/>
      <c r="BO656" s="12"/>
      <c r="BP656" s="12"/>
      <c r="BQ656" s="48"/>
      <c r="BR656" s="49"/>
      <c r="BS656" s="13"/>
      <c r="BT656" s="12"/>
      <c r="BV656" s="14"/>
      <c r="BW656" s="50"/>
      <c r="BX656" s="54"/>
      <c r="BY656" s="14"/>
      <c r="BZ656" s="14"/>
      <c r="CA656" s="14"/>
      <c r="CB656" s="14"/>
      <c r="CC656" s="14"/>
      <c r="CD656" s="14"/>
      <c r="CE656" s="14"/>
      <c r="CF656" s="15"/>
      <c r="CG656" s="14"/>
      <c r="CH656" s="14"/>
      <c r="CI656" s="50"/>
      <c r="CJ656" s="54"/>
      <c r="CK656" s="14"/>
      <c r="CL656" s="14"/>
      <c r="CM656" s="14"/>
      <c r="CN656" s="14"/>
      <c r="CO656" s="14"/>
      <c r="CP656" s="14"/>
      <c r="CQ656" s="14"/>
      <c r="CR656" s="14"/>
      <c r="CS656" s="14"/>
      <c r="CT656" s="14"/>
      <c r="CU656" s="16"/>
      <c r="CV656" s="14"/>
      <c r="CW656" s="50"/>
      <c r="CX656" s="17"/>
    </row>
    <row r="657" spans="4:102" x14ac:dyDescent="0.25"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43"/>
      <c r="Q657" s="11"/>
      <c r="R657" s="11"/>
      <c r="S657" s="11"/>
      <c r="T657" s="11"/>
      <c r="U657" s="11"/>
      <c r="V657" s="11"/>
      <c r="W657" s="11"/>
      <c r="X657" s="12"/>
      <c r="Y657" s="12"/>
      <c r="Z657" s="12"/>
      <c r="AA657" s="44"/>
      <c r="AB657" s="45"/>
      <c r="AC657" s="12"/>
      <c r="AD657" s="12"/>
      <c r="AE657" s="12"/>
      <c r="AF657" s="12"/>
      <c r="AG657" s="44"/>
      <c r="AH657" s="45"/>
      <c r="AI657" s="12"/>
      <c r="AJ657" s="12"/>
      <c r="AK657" s="12"/>
      <c r="AL657" s="12"/>
      <c r="AM657" s="44"/>
      <c r="AN657" s="45"/>
      <c r="AO657" s="12"/>
      <c r="AP657" s="12"/>
      <c r="AQ657" s="12"/>
      <c r="AR657" s="12"/>
      <c r="AS657" s="44"/>
      <c r="AT657" s="45"/>
      <c r="AU657" s="12"/>
      <c r="AV657" s="12"/>
      <c r="AW657" s="12"/>
      <c r="AX657" s="12"/>
      <c r="AY657" s="44"/>
      <c r="AZ657" s="45"/>
      <c r="BA657" s="12"/>
      <c r="BB657" s="12"/>
      <c r="BC657" s="12"/>
      <c r="BD657" s="12"/>
      <c r="BE657" s="44"/>
      <c r="BF657" s="45"/>
      <c r="BG657" s="12"/>
      <c r="BH657" s="12"/>
      <c r="BI657" s="12"/>
      <c r="BJ657" s="12"/>
      <c r="BK657" s="44"/>
      <c r="BL657" s="45"/>
      <c r="BM657" s="12"/>
      <c r="BN657" s="12"/>
      <c r="BO657" s="12"/>
      <c r="BP657" s="12"/>
      <c r="BQ657" s="48"/>
      <c r="BR657" s="49"/>
      <c r="BS657" s="13"/>
      <c r="BT657" s="12"/>
      <c r="BV657" s="14"/>
      <c r="BW657" s="50"/>
      <c r="BX657" s="54"/>
      <c r="BY657" s="14"/>
      <c r="BZ657" s="14"/>
      <c r="CA657" s="14"/>
      <c r="CB657" s="14"/>
      <c r="CC657" s="14"/>
      <c r="CD657" s="14"/>
      <c r="CE657" s="14"/>
      <c r="CF657" s="15"/>
      <c r="CG657" s="14"/>
      <c r="CH657" s="14"/>
      <c r="CI657" s="50"/>
      <c r="CJ657" s="54"/>
      <c r="CK657" s="14"/>
      <c r="CL657" s="14"/>
      <c r="CM657" s="14"/>
      <c r="CN657" s="14"/>
      <c r="CO657" s="14"/>
      <c r="CP657" s="14"/>
      <c r="CQ657" s="14"/>
      <c r="CR657" s="14"/>
      <c r="CS657" s="14"/>
      <c r="CT657" s="14"/>
      <c r="CU657" s="16"/>
      <c r="CV657" s="14"/>
      <c r="CW657" s="50"/>
      <c r="CX657" s="17"/>
    </row>
    <row r="658" spans="4:102" x14ac:dyDescent="0.25"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43"/>
      <c r="Q658" s="11"/>
      <c r="R658" s="11"/>
      <c r="S658" s="11"/>
      <c r="T658" s="11"/>
      <c r="U658" s="11"/>
      <c r="V658" s="11"/>
      <c r="W658" s="11"/>
      <c r="X658" s="12"/>
      <c r="Y658" s="12"/>
      <c r="Z658" s="12"/>
      <c r="AA658" s="44"/>
      <c r="AB658" s="45"/>
      <c r="AC658" s="12"/>
      <c r="AD658" s="12"/>
      <c r="AE658" s="12"/>
      <c r="AF658" s="12"/>
      <c r="AG658" s="44"/>
      <c r="AH658" s="45"/>
      <c r="AI658" s="12"/>
      <c r="AJ658" s="12"/>
      <c r="AK658" s="12"/>
      <c r="AL658" s="12"/>
      <c r="AM658" s="44"/>
      <c r="AN658" s="45"/>
      <c r="AO658" s="12"/>
      <c r="AP658" s="12"/>
      <c r="AQ658" s="12"/>
      <c r="AR658" s="12"/>
      <c r="AS658" s="44"/>
      <c r="AT658" s="45"/>
      <c r="AU658" s="12"/>
      <c r="AV658" s="12"/>
      <c r="AW658" s="12"/>
      <c r="AX658" s="12"/>
      <c r="AY658" s="44"/>
      <c r="AZ658" s="45"/>
      <c r="BA658" s="12"/>
      <c r="BB658" s="12"/>
      <c r="BC658" s="12"/>
      <c r="BD658" s="12"/>
      <c r="BE658" s="44"/>
      <c r="BF658" s="45"/>
      <c r="BG658" s="12"/>
      <c r="BH658" s="12"/>
      <c r="BI658" s="12"/>
      <c r="BJ658" s="12"/>
      <c r="BK658" s="44"/>
      <c r="BL658" s="45"/>
      <c r="BM658" s="12"/>
      <c r="BN658" s="12"/>
      <c r="BO658" s="12"/>
      <c r="BP658" s="12"/>
      <c r="BQ658" s="48"/>
      <c r="BR658" s="49"/>
      <c r="BS658" s="13"/>
      <c r="BT658" s="12"/>
      <c r="BV658" s="14"/>
      <c r="BW658" s="50"/>
      <c r="BX658" s="54"/>
      <c r="BY658" s="14"/>
      <c r="BZ658" s="14"/>
      <c r="CA658" s="14"/>
      <c r="CB658" s="14"/>
      <c r="CC658" s="14"/>
      <c r="CD658" s="14"/>
      <c r="CE658" s="14"/>
      <c r="CF658" s="15"/>
      <c r="CG658" s="14"/>
      <c r="CH658" s="14"/>
      <c r="CI658" s="50"/>
      <c r="CJ658" s="54"/>
      <c r="CK658" s="14"/>
      <c r="CL658" s="14"/>
      <c r="CM658" s="14"/>
      <c r="CN658" s="14"/>
      <c r="CO658" s="14"/>
      <c r="CP658" s="14"/>
      <c r="CQ658" s="14"/>
      <c r="CR658" s="14"/>
      <c r="CS658" s="14"/>
      <c r="CT658" s="14"/>
      <c r="CU658" s="16"/>
      <c r="CV658" s="14"/>
      <c r="CW658" s="50"/>
      <c r="CX658" s="17"/>
    </row>
    <row r="659" spans="4:102" x14ac:dyDescent="0.25"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43"/>
      <c r="Q659" s="11"/>
      <c r="R659" s="11"/>
      <c r="S659" s="11"/>
      <c r="T659" s="11"/>
      <c r="U659" s="11"/>
      <c r="V659" s="11"/>
      <c r="W659" s="11"/>
      <c r="X659" s="12"/>
      <c r="Y659" s="12"/>
      <c r="Z659" s="12"/>
      <c r="AA659" s="44"/>
      <c r="AB659" s="45"/>
      <c r="AC659" s="12"/>
      <c r="AD659" s="12"/>
      <c r="AE659" s="12"/>
      <c r="AF659" s="12"/>
      <c r="AG659" s="44"/>
      <c r="AH659" s="45"/>
      <c r="AI659" s="12"/>
      <c r="AJ659" s="12"/>
      <c r="AK659" s="12"/>
      <c r="AL659" s="12"/>
      <c r="AM659" s="44"/>
      <c r="AN659" s="45"/>
      <c r="AO659" s="12"/>
      <c r="AP659" s="12"/>
      <c r="AQ659" s="12"/>
      <c r="AR659" s="12"/>
      <c r="AS659" s="44"/>
      <c r="AT659" s="45"/>
      <c r="AU659" s="12"/>
      <c r="AV659" s="12"/>
      <c r="AW659" s="12"/>
      <c r="AX659" s="12"/>
      <c r="AY659" s="44"/>
      <c r="AZ659" s="45"/>
      <c r="BA659" s="12"/>
      <c r="BB659" s="12"/>
      <c r="BC659" s="12"/>
      <c r="BD659" s="12"/>
      <c r="BE659" s="44"/>
      <c r="BF659" s="45"/>
      <c r="BG659" s="12"/>
      <c r="BH659" s="12"/>
      <c r="BI659" s="12"/>
      <c r="BJ659" s="12"/>
      <c r="BK659" s="44"/>
      <c r="BL659" s="45"/>
      <c r="BM659" s="12"/>
      <c r="BN659" s="12"/>
      <c r="BO659" s="12"/>
      <c r="BP659" s="12"/>
      <c r="BQ659" s="48"/>
      <c r="BR659" s="49"/>
      <c r="BS659" s="13"/>
      <c r="BT659" s="12"/>
      <c r="BV659" s="14"/>
      <c r="BW659" s="50"/>
      <c r="BX659" s="54"/>
      <c r="BY659" s="14"/>
      <c r="BZ659" s="14"/>
      <c r="CA659" s="14"/>
      <c r="CB659" s="14"/>
      <c r="CC659" s="14"/>
      <c r="CD659" s="14"/>
      <c r="CE659" s="14"/>
      <c r="CF659" s="15"/>
      <c r="CG659" s="14"/>
      <c r="CH659" s="14"/>
      <c r="CI659" s="50"/>
      <c r="CJ659" s="54"/>
      <c r="CK659" s="14"/>
      <c r="CL659" s="14"/>
      <c r="CM659" s="14"/>
      <c r="CN659" s="14"/>
      <c r="CO659" s="14"/>
      <c r="CP659" s="14"/>
      <c r="CQ659" s="14"/>
      <c r="CR659" s="14"/>
      <c r="CS659" s="14"/>
      <c r="CT659" s="14"/>
      <c r="CU659" s="16"/>
      <c r="CV659" s="14"/>
      <c r="CW659" s="50"/>
      <c r="CX659" s="17"/>
    </row>
    <row r="660" spans="4:102" x14ac:dyDescent="0.25"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43"/>
      <c r="Q660" s="11"/>
      <c r="R660" s="11"/>
      <c r="S660" s="11"/>
      <c r="T660" s="11"/>
      <c r="U660" s="11"/>
      <c r="V660" s="11"/>
      <c r="W660" s="11"/>
      <c r="X660" s="12"/>
      <c r="Y660" s="12"/>
      <c r="Z660" s="12"/>
      <c r="AA660" s="44"/>
      <c r="AB660" s="45"/>
      <c r="AC660" s="12"/>
      <c r="AD660" s="12"/>
      <c r="AE660" s="12"/>
      <c r="AF660" s="12"/>
      <c r="AG660" s="44"/>
      <c r="AH660" s="45"/>
      <c r="AI660" s="12"/>
      <c r="AJ660" s="12"/>
      <c r="AK660" s="12"/>
      <c r="AL660" s="12"/>
      <c r="AM660" s="44"/>
      <c r="AN660" s="45"/>
      <c r="AO660" s="12"/>
      <c r="AP660" s="12"/>
      <c r="AQ660" s="12"/>
      <c r="AR660" s="12"/>
      <c r="AS660" s="44"/>
      <c r="AT660" s="45"/>
      <c r="AU660" s="12"/>
      <c r="AV660" s="12"/>
      <c r="AW660" s="12"/>
      <c r="AX660" s="12"/>
      <c r="AY660" s="44"/>
      <c r="AZ660" s="45"/>
      <c r="BA660" s="12"/>
      <c r="BB660" s="12"/>
      <c r="BC660" s="12"/>
      <c r="BD660" s="12"/>
      <c r="BE660" s="44"/>
      <c r="BF660" s="45"/>
      <c r="BG660" s="12"/>
      <c r="BH660" s="12"/>
      <c r="BI660" s="12"/>
      <c r="BJ660" s="12"/>
      <c r="BK660" s="44"/>
      <c r="BL660" s="45"/>
      <c r="BM660" s="12"/>
      <c r="BN660" s="12"/>
      <c r="BO660" s="12"/>
      <c r="BP660" s="12"/>
      <c r="BQ660" s="48"/>
      <c r="BR660" s="49"/>
      <c r="BS660" s="13"/>
      <c r="BT660" s="12"/>
      <c r="BV660" s="14"/>
      <c r="BW660" s="50"/>
      <c r="BX660" s="54"/>
      <c r="BY660" s="14"/>
      <c r="BZ660" s="14"/>
      <c r="CA660" s="14"/>
      <c r="CB660" s="14"/>
      <c r="CC660" s="14"/>
      <c r="CD660" s="14"/>
      <c r="CE660" s="14"/>
      <c r="CF660" s="15"/>
      <c r="CG660" s="14"/>
      <c r="CH660" s="14"/>
      <c r="CI660" s="50"/>
      <c r="CJ660" s="54"/>
      <c r="CK660" s="14"/>
      <c r="CL660" s="14"/>
      <c r="CM660" s="14"/>
      <c r="CN660" s="14"/>
      <c r="CO660" s="14"/>
      <c r="CP660" s="14"/>
      <c r="CQ660" s="14"/>
      <c r="CR660" s="14"/>
      <c r="CS660" s="14"/>
      <c r="CT660" s="14"/>
      <c r="CU660" s="16"/>
      <c r="CV660" s="14"/>
      <c r="CW660" s="50"/>
      <c r="CX660" s="17"/>
    </row>
    <row r="661" spans="4:102" x14ac:dyDescent="0.25"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43"/>
      <c r="Q661" s="11"/>
      <c r="R661" s="11"/>
      <c r="S661" s="11"/>
      <c r="T661" s="11"/>
      <c r="U661" s="11"/>
      <c r="V661" s="11"/>
      <c r="W661" s="11"/>
      <c r="X661" s="12"/>
      <c r="Y661" s="12"/>
      <c r="Z661" s="12"/>
      <c r="AA661" s="44"/>
      <c r="AB661" s="45"/>
      <c r="AC661" s="12"/>
      <c r="AD661" s="12"/>
      <c r="AE661" s="12"/>
      <c r="AF661" s="12"/>
      <c r="AG661" s="44"/>
      <c r="AH661" s="45"/>
      <c r="AI661" s="12"/>
      <c r="AJ661" s="12"/>
      <c r="AK661" s="12"/>
      <c r="AL661" s="12"/>
      <c r="AM661" s="44"/>
      <c r="AN661" s="45"/>
      <c r="AO661" s="12"/>
      <c r="AP661" s="12"/>
      <c r="AQ661" s="12"/>
      <c r="AR661" s="12"/>
      <c r="AS661" s="44"/>
      <c r="AT661" s="45"/>
      <c r="AU661" s="12"/>
      <c r="AV661" s="12"/>
      <c r="AW661" s="12"/>
      <c r="AX661" s="12"/>
      <c r="AY661" s="44"/>
      <c r="AZ661" s="45"/>
      <c r="BA661" s="12"/>
      <c r="BB661" s="12"/>
      <c r="BC661" s="12"/>
      <c r="BD661" s="12"/>
      <c r="BE661" s="44"/>
      <c r="BF661" s="45"/>
      <c r="BG661" s="12"/>
      <c r="BH661" s="12"/>
      <c r="BI661" s="12"/>
      <c r="BJ661" s="12"/>
      <c r="BK661" s="44"/>
      <c r="BL661" s="45"/>
      <c r="BM661" s="12"/>
      <c r="BN661" s="12"/>
      <c r="BO661" s="12"/>
      <c r="BP661" s="12"/>
      <c r="BQ661" s="48"/>
      <c r="BR661" s="49"/>
      <c r="BS661" s="13"/>
      <c r="BT661" s="12"/>
      <c r="BV661" s="14"/>
      <c r="BW661" s="50"/>
      <c r="BX661" s="54"/>
      <c r="BY661" s="14"/>
      <c r="BZ661" s="14"/>
      <c r="CA661" s="14"/>
      <c r="CB661" s="14"/>
      <c r="CC661" s="14"/>
      <c r="CD661" s="14"/>
      <c r="CE661" s="14"/>
      <c r="CF661" s="15"/>
      <c r="CG661" s="14"/>
      <c r="CH661" s="14"/>
      <c r="CI661" s="50"/>
      <c r="CJ661" s="54"/>
      <c r="CK661" s="14"/>
      <c r="CL661" s="14"/>
      <c r="CM661" s="14"/>
      <c r="CN661" s="14"/>
      <c r="CO661" s="14"/>
      <c r="CP661" s="14"/>
      <c r="CQ661" s="14"/>
      <c r="CR661" s="14"/>
      <c r="CS661" s="14"/>
      <c r="CT661" s="14"/>
      <c r="CU661" s="16"/>
      <c r="CV661" s="14"/>
      <c r="CW661" s="50"/>
      <c r="CX661" s="17"/>
    </row>
    <row r="662" spans="4:102" x14ac:dyDescent="0.25"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43"/>
      <c r="Q662" s="11"/>
      <c r="R662" s="11"/>
      <c r="S662" s="11"/>
      <c r="T662" s="11"/>
      <c r="U662" s="11"/>
      <c r="V662" s="11"/>
      <c r="W662" s="11"/>
      <c r="X662" s="12"/>
      <c r="Y662" s="12"/>
      <c r="Z662" s="12"/>
      <c r="AA662" s="44"/>
      <c r="AB662" s="45"/>
      <c r="AC662" s="12"/>
      <c r="AD662" s="12"/>
      <c r="AE662" s="12"/>
      <c r="AF662" s="12"/>
      <c r="AG662" s="44"/>
      <c r="AH662" s="45"/>
      <c r="AI662" s="12"/>
      <c r="AJ662" s="12"/>
      <c r="AK662" s="12"/>
      <c r="AL662" s="12"/>
      <c r="AM662" s="44"/>
      <c r="AN662" s="45"/>
      <c r="AO662" s="12"/>
      <c r="AP662" s="12"/>
      <c r="AQ662" s="12"/>
      <c r="AR662" s="12"/>
      <c r="AS662" s="44"/>
      <c r="AT662" s="45"/>
      <c r="AU662" s="12"/>
      <c r="AV662" s="12"/>
      <c r="AW662" s="12"/>
      <c r="AX662" s="12"/>
      <c r="AY662" s="44"/>
      <c r="AZ662" s="45"/>
      <c r="BA662" s="12"/>
      <c r="BB662" s="12"/>
      <c r="BC662" s="12"/>
      <c r="BD662" s="12"/>
      <c r="BE662" s="44"/>
      <c r="BF662" s="45"/>
      <c r="BG662" s="12"/>
      <c r="BH662" s="12"/>
      <c r="BI662" s="12"/>
      <c r="BJ662" s="12"/>
      <c r="BK662" s="44"/>
      <c r="BL662" s="45"/>
      <c r="BM662" s="12"/>
      <c r="BN662" s="12"/>
      <c r="BO662" s="12"/>
      <c r="BP662" s="12"/>
      <c r="BQ662" s="48"/>
      <c r="BR662" s="49"/>
      <c r="BS662" s="13"/>
      <c r="BT662" s="12"/>
      <c r="BV662" s="14"/>
      <c r="BW662" s="50"/>
      <c r="BX662" s="54"/>
      <c r="BY662" s="14"/>
      <c r="BZ662" s="14"/>
      <c r="CA662" s="14"/>
      <c r="CB662" s="14"/>
      <c r="CC662" s="14"/>
      <c r="CD662" s="14"/>
      <c r="CE662" s="14"/>
      <c r="CF662" s="15"/>
      <c r="CG662" s="14"/>
      <c r="CH662" s="14"/>
      <c r="CI662" s="50"/>
      <c r="CJ662" s="54"/>
      <c r="CK662" s="14"/>
      <c r="CL662" s="14"/>
      <c r="CM662" s="14"/>
      <c r="CN662" s="14"/>
      <c r="CO662" s="14"/>
      <c r="CP662" s="14"/>
      <c r="CQ662" s="14"/>
      <c r="CR662" s="14"/>
      <c r="CS662" s="14"/>
      <c r="CT662" s="14"/>
      <c r="CU662" s="16"/>
      <c r="CV662" s="14"/>
      <c r="CW662" s="50"/>
      <c r="CX662" s="17"/>
    </row>
    <row r="663" spans="4:102" x14ac:dyDescent="0.25"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43"/>
      <c r="Q663" s="11"/>
      <c r="R663" s="11"/>
      <c r="S663" s="11"/>
      <c r="T663" s="11"/>
      <c r="U663" s="11"/>
      <c r="V663" s="11"/>
      <c r="W663" s="11"/>
      <c r="X663" s="12"/>
      <c r="Y663" s="12"/>
      <c r="Z663" s="12"/>
      <c r="AA663" s="44"/>
      <c r="AB663" s="45"/>
      <c r="AC663" s="12"/>
      <c r="AD663" s="12"/>
      <c r="AE663" s="12"/>
      <c r="AF663" s="12"/>
      <c r="AG663" s="44"/>
      <c r="AH663" s="45"/>
      <c r="AI663" s="12"/>
      <c r="AJ663" s="12"/>
      <c r="AK663" s="12"/>
      <c r="AL663" s="12"/>
      <c r="AM663" s="44"/>
      <c r="AN663" s="45"/>
      <c r="AO663" s="12"/>
      <c r="AP663" s="12"/>
      <c r="AQ663" s="12"/>
      <c r="AR663" s="12"/>
      <c r="AS663" s="44"/>
      <c r="AT663" s="45"/>
      <c r="AU663" s="12"/>
      <c r="AV663" s="12"/>
      <c r="AW663" s="12"/>
      <c r="AX663" s="12"/>
      <c r="AY663" s="44"/>
      <c r="AZ663" s="45"/>
      <c r="BA663" s="12"/>
      <c r="BB663" s="12"/>
      <c r="BC663" s="12"/>
      <c r="BD663" s="12"/>
      <c r="BE663" s="44"/>
      <c r="BF663" s="45"/>
      <c r="BG663" s="12"/>
      <c r="BH663" s="12"/>
      <c r="BI663" s="12"/>
      <c r="BJ663" s="12"/>
      <c r="BK663" s="44"/>
      <c r="BL663" s="45"/>
      <c r="BM663" s="12"/>
      <c r="BN663" s="12"/>
      <c r="BO663" s="12"/>
      <c r="BP663" s="12"/>
      <c r="BQ663" s="48"/>
      <c r="BR663" s="49"/>
      <c r="BS663" s="13"/>
      <c r="BT663" s="12"/>
      <c r="BV663" s="14"/>
      <c r="BW663" s="50"/>
      <c r="BX663" s="54"/>
      <c r="BY663" s="14"/>
      <c r="BZ663" s="14"/>
      <c r="CA663" s="14"/>
      <c r="CB663" s="14"/>
      <c r="CC663" s="14"/>
      <c r="CD663" s="14"/>
      <c r="CE663" s="14"/>
      <c r="CF663" s="15"/>
      <c r="CG663" s="14"/>
      <c r="CH663" s="14"/>
      <c r="CI663" s="50"/>
      <c r="CJ663" s="54"/>
      <c r="CK663" s="14"/>
      <c r="CL663" s="14"/>
      <c r="CM663" s="14"/>
      <c r="CN663" s="14"/>
      <c r="CO663" s="14"/>
      <c r="CP663" s="14"/>
      <c r="CQ663" s="14"/>
      <c r="CR663" s="14"/>
      <c r="CS663" s="14"/>
      <c r="CT663" s="14"/>
      <c r="CU663" s="16"/>
      <c r="CV663" s="14"/>
      <c r="CW663" s="50"/>
      <c r="CX663" s="17"/>
    </row>
    <row r="664" spans="4:102" x14ac:dyDescent="0.25"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43"/>
      <c r="Q664" s="11"/>
      <c r="R664" s="11"/>
      <c r="S664" s="11"/>
      <c r="T664" s="11"/>
      <c r="U664" s="11"/>
      <c r="V664" s="11"/>
      <c r="W664" s="11"/>
      <c r="X664" s="12"/>
      <c r="Y664" s="12"/>
      <c r="Z664" s="12"/>
      <c r="AA664" s="44"/>
      <c r="AB664" s="45"/>
      <c r="AC664" s="12"/>
      <c r="AD664" s="12"/>
      <c r="AE664" s="12"/>
      <c r="AF664" s="12"/>
      <c r="AG664" s="44"/>
      <c r="AH664" s="45"/>
      <c r="AI664" s="12"/>
      <c r="AJ664" s="12"/>
      <c r="AK664" s="12"/>
      <c r="AL664" s="12"/>
      <c r="AM664" s="44"/>
      <c r="AN664" s="45"/>
      <c r="AO664" s="12"/>
      <c r="AP664" s="12"/>
      <c r="AQ664" s="12"/>
      <c r="AR664" s="12"/>
      <c r="AS664" s="44"/>
      <c r="AT664" s="45"/>
      <c r="AU664" s="12"/>
      <c r="AV664" s="12"/>
      <c r="AW664" s="12"/>
      <c r="AX664" s="12"/>
      <c r="AY664" s="44"/>
      <c r="AZ664" s="45"/>
      <c r="BA664" s="12"/>
      <c r="BB664" s="12"/>
      <c r="BC664" s="12"/>
      <c r="BD664" s="12"/>
      <c r="BE664" s="44"/>
      <c r="BF664" s="45"/>
      <c r="BG664" s="12"/>
      <c r="BH664" s="12"/>
      <c r="BI664" s="12"/>
      <c r="BJ664" s="12"/>
      <c r="BK664" s="44"/>
      <c r="BL664" s="45"/>
      <c r="BM664" s="12"/>
      <c r="BN664" s="12"/>
      <c r="BO664" s="12"/>
      <c r="BP664" s="12"/>
      <c r="BQ664" s="48"/>
      <c r="BR664" s="49"/>
      <c r="BS664" s="13"/>
      <c r="BT664" s="12"/>
      <c r="BV664" s="14"/>
      <c r="BW664" s="50"/>
      <c r="BX664" s="54"/>
      <c r="BY664" s="14"/>
      <c r="BZ664" s="14"/>
      <c r="CA664" s="14"/>
      <c r="CB664" s="14"/>
      <c r="CC664" s="14"/>
      <c r="CD664" s="14"/>
      <c r="CE664" s="14"/>
      <c r="CF664" s="15"/>
      <c r="CG664" s="14"/>
      <c r="CH664" s="14"/>
      <c r="CI664" s="50"/>
      <c r="CJ664" s="54"/>
      <c r="CK664" s="14"/>
      <c r="CL664" s="14"/>
      <c r="CM664" s="14"/>
      <c r="CN664" s="14"/>
      <c r="CO664" s="14"/>
      <c r="CP664" s="14"/>
      <c r="CQ664" s="14"/>
      <c r="CR664" s="14"/>
      <c r="CS664" s="14"/>
      <c r="CT664" s="14"/>
      <c r="CU664" s="16"/>
      <c r="CV664" s="14"/>
      <c r="CW664" s="50"/>
      <c r="CX664" s="17"/>
    </row>
    <row r="665" spans="4:102" x14ac:dyDescent="0.25"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43"/>
      <c r="Q665" s="11"/>
      <c r="R665" s="11"/>
      <c r="S665" s="11"/>
      <c r="T665" s="11"/>
      <c r="U665" s="11"/>
      <c r="V665" s="11"/>
      <c r="W665" s="11"/>
      <c r="X665" s="12"/>
      <c r="Y665" s="12"/>
      <c r="Z665" s="12"/>
      <c r="AA665" s="44"/>
      <c r="AB665" s="45"/>
      <c r="AC665" s="12"/>
      <c r="AD665" s="12"/>
      <c r="AE665" s="12"/>
      <c r="AF665" s="12"/>
      <c r="AG665" s="44"/>
      <c r="AH665" s="45"/>
      <c r="AI665" s="12"/>
      <c r="AJ665" s="12"/>
      <c r="AK665" s="12"/>
      <c r="AL665" s="12"/>
      <c r="AM665" s="44"/>
      <c r="AN665" s="45"/>
      <c r="AO665" s="12"/>
      <c r="AP665" s="12"/>
      <c r="AQ665" s="12"/>
      <c r="AR665" s="12"/>
      <c r="AS665" s="44"/>
      <c r="AT665" s="45"/>
      <c r="AU665" s="12"/>
      <c r="AV665" s="12"/>
      <c r="AW665" s="12"/>
      <c r="AX665" s="12"/>
      <c r="AY665" s="44"/>
      <c r="AZ665" s="45"/>
      <c r="BA665" s="12"/>
      <c r="BB665" s="12"/>
      <c r="BC665" s="12"/>
      <c r="BD665" s="12"/>
      <c r="BE665" s="44"/>
      <c r="BF665" s="45"/>
      <c r="BG665" s="12"/>
      <c r="BH665" s="12"/>
      <c r="BI665" s="12"/>
      <c r="BJ665" s="12"/>
      <c r="BK665" s="44"/>
      <c r="BL665" s="45"/>
      <c r="BM665" s="12"/>
      <c r="BN665" s="12"/>
      <c r="BO665" s="12"/>
      <c r="BP665" s="12"/>
      <c r="BQ665" s="48"/>
      <c r="BR665" s="49"/>
      <c r="BS665" s="13"/>
      <c r="BT665" s="12"/>
      <c r="BV665" s="14"/>
      <c r="BW665" s="50"/>
      <c r="BX665" s="54"/>
      <c r="BY665" s="14"/>
      <c r="BZ665" s="14"/>
      <c r="CA665" s="14"/>
      <c r="CB665" s="14"/>
      <c r="CC665" s="14"/>
      <c r="CD665" s="14"/>
      <c r="CE665" s="14"/>
      <c r="CF665" s="15"/>
      <c r="CG665" s="14"/>
      <c r="CH665" s="14"/>
      <c r="CI665" s="50"/>
      <c r="CJ665" s="54"/>
      <c r="CK665" s="14"/>
      <c r="CL665" s="14"/>
      <c r="CM665" s="14"/>
      <c r="CN665" s="14"/>
      <c r="CO665" s="14"/>
      <c r="CP665" s="14"/>
      <c r="CQ665" s="14"/>
      <c r="CR665" s="14"/>
      <c r="CS665" s="14"/>
      <c r="CT665" s="14"/>
      <c r="CU665" s="16"/>
      <c r="CV665" s="14"/>
      <c r="CW665" s="50"/>
      <c r="CX665" s="17"/>
    </row>
    <row r="666" spans="4:102" x14ac:dyDescent="0.25"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43"/>
      <c r="Q666" s="11"/>
      <c r="R666" s="11"/>
      <c r="S666" s="11"/>
      <c r="T666" s="11"/>
      <c r="U666" s="11"/>
      <c r="V666" s="11"/>
      <c r="W666" s="11"/>
      <c r="X666" s="12"/>
      <c r="Y666" s="12"/>
      <c r="Z666" s="12"/>
      <c r="AA666" s="44"/>
      <c r="AB666" s="45"/>
      <c r="AC666" s="12"/>
      <c r="AD666" s="12"/>
      <c r="AE666" s="12"/>
      <c r="AF666" s="12"/>
      <c r="AG666" s="44"/>
      <c r="AH666" s="45"/>
      <c r="AI666" s="12"/>
      <c r="AJ666" s="12"/>
      <c r="AK666" s="12"/>
      <c r="AL666" s="12"/>
      <c r="AM666" s="44"/>
      <c r="AN666" s="45"/>
      <c r="AO666" s="12"/>
      <c r="AP666" s="12"/>
      <c r="AQ666" s="12"/>
      <c r="AR666" s="12"/>
      <c r="AS666" s="44"/>
      <c r="AT666" s="45"/>
      <c r="AU666" s="12"/>
      <c r="AV666" s="12"/>
      <c r="AW666" s="12"/>
      <c r="AX666" s="12"/>
      <c r="AY666" s="44"/>
      <c r="AZ666" s="45"/>
      <c r="BA666" s="12"/>
      <c r="BB666" s="12"/>
      <c r="BC666" s="12"/>
      <c r="BD666" s="12"/>
      <c r="BE666" s="44"/>
      <c r="BF666" s="45"/>
      <c r="BG666" s="12"/>
      <c r="BH666" s="12"/>
      <c r="BI666" s="12"/>
      <c r="BJ666" s="12"/>
      <c r="BK666" s="44"/>
      <c r="BL666" s="45"/>
      <c r="BM666" s="12"/>
      <c r="BN666" s="12"/>
      <c r="BO666" s="12"/>
      <c r="BP666" s="12"/>
      <c r="BQ666" s="48"/>
      <c r="BR666" s="49"/>
      <c r="BS666" s="13"/>
      <c r="BT666" s="12"/>
      <c r="BV666" s="14"/>
      <c r="BW666" s="50"/>
      <c r="BX666" s="54"/>
      <c r="BY666" s="14"/>
      <c r="BZ666" s="14"/>
      <c r="CA666" s="14"/>
      <c r="CB666" s="14"/>
      <c r="CC666" s="14"/>
      <c r="CD666" s="14"/>
      <c r="CE666" s="14"/>
      <c r="CF666" s="15"/>
      <c r="CG666" s="14"/>
      <c r="CH666" s="14"/>
      <c r="CI666" s="50"/>
      <c r="CJ666" s="54"/>
      <c r="CK666" s="14"/>
      <c r="CL666" s="14"/>
      <c r="CM666" s="14"/>
      <c r="CN666" s="14"/>
      <c r="CO666" s="14"/>
      <c r="CP666" s="14"/>
      <c r="CQ666" s="14"/>
      <c r="CR666" s="14"/>
      <c r="CS666" s="14"/>
      <c r="CT666" s="14"/>
      <c r="CU666" s="16"/>
      <c r="CV666" s="14"/>
      <c r="CW666" s="50"/>
      <c r="CX666" s="17"/>
    </row>
    <row r="667" spans="4:102" x14ac:dyDescent="0.25"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43"/>
      <c r="Q667" s="11"/>
      <c r="R667" s="11"/>
      <c r="S667" s="11"/>
      <c r="T667" s="11"/>
      <c r="U667" s="11"/>
      <c r="V667" s="11"/>
      <c r="W667" s="11"/>
      <c r="X667" s="12"/>
      <c r="Y667" s="12"/>
      <c r="Z667" s="12"/>
      <c r="AA667" s="44"/>
      <c r="AB667" s="45"/>
      <c r="AC667" s="12"/>
      <c r="AD667" s="12"/>
      <c r="AE667" s="12"/>
      <c r="AF667" s="12"/>
      <c r="AG667" s="44"/>
      <c r="AH667" s="45"/>
      <c r="AI667" s="12"/>
      <c r="AJ667" s="12"/>
      <c r="AK667" s="12"/>
      <c r="AL667" s="12"/>
      <c r="AM667" s="44"/>
      <c r="AN667" s="45"/>
      <c r="AO667" s="12"/>
      <c r="AP667" s="12"/>
      <c r="AQ667" s="12"/>
      <c r="AR667" s="12"/>
      <c r="AS667" s="44"/>
      <c r="AT667" s="45"/>
      <c r="AU667" s="12"/>
      <c r="AV667" s="12"/>
      <c r="AW667" s="12"/>
      <c r="AX667" s="12"/>
      <c r="AY667" s="44"/>
      <c r="AZ667" s="45"/>
      <c r="BA667" s="12"/>
      <c r="BB667" s="12"/>
      <c r="BC667" s="12"/>
      <c r="BD667" s="12"/>
      <c r="BE667" s="44"/>
      <c r="BF667" s="45"/>
      <c r="BG667" s="12"/>
      <c r="BH667" s="12"/>
      <c r="BI667" s="12"/>
      <c r="BJ667" s="12"/>
      <c r="BK667" s="44"/>
      <c r="BL667" s="45"/>
      <c r="BM667" s="12"/>
      <c r="BN667" s="12"/>
      <c r="BO667" s="12"/>
      <c r="BP667" s="12"/>
      <c r="BQ667" s="48"/>
      <c r="BR667" s="49"/>
      <c r="BS667" s="13"/>
      <c r="BT667" s="12"/>
      <c r="BV667" s="14"/>
      <c r="BW667" s="50"/>
      <c r="BX667" s="54"/>
      <c r="BY667" s="14"/>
      <c r="BZ667" s="14"/>
      <c r="CA667" s="14"/>
      <c r="CB667" s="14"/>
      <c r="CC667" s="14"/>
      <c r="CD667" s="14"/>
      <c r="CE667" s="14"/>
      <c r="CF667" s="15"/>
      <c r="CG667" s="14"/>
      <c r="CH667" s="14"/>
      <c r="CI667" s="50"/>
      <c r="CJ667" s="54"/>
      <c r="CK667" s="14"/>
      <c r="CL667" s="14"/>
      <c r="CM667" s="14"/>
      <c r="CN667" s="14"/>
      <c r="CO667" s="14"/>
      <c r="CP667" s="14"/>
      <c r="CQ667" s="14"/>
      <c r="CR667" s="14"/>
      <c r="CS667" s="14"/>
      <c r="CT667" s="14"/>
      <c r="CU667" s="16"/>
      <c r="CV667" s="14"/>
      <c r="CW667" s="50"/>
      <c r="CX667" s="17"/>
    </row>
    <row r="668" spans="4:102" x14ac:dyDescent="0.25"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43"/>
      <c r="Q668" s="11"/>
      <c r="R668" s="11"/>
      <c r="S668" s="11"/>
      <c r="T668" s="11"/>
      <c r="U668" s="11"/>
      <c r="V668" s="11"/>
      <c r="W668" s="11"/>
      <c r="X668" s="12"/>
      <c r="Y668" s="12"/>
      <c r="Z668" s="12"/>
      <c r="AA668" s="44"/>
      <c r="AB668" s="45"/>
      <c r="AC668" s="12"/>
      <c r="AD668" s="12"/>
      <c r="AE668" s="12"/>
      <c r="AF668" s="12"/>
      <c r="AG668" s="44"/>
      <c r="AH668" s="45"/>
      <c r="AI668" s="12"/>
      <c r="AJ668" s="12"/>
      <c r="AK668" s="12"/>
      <c r="AL668" s="12"/>
      <c r="AM668" s="44"/>
      <c r="AN668" s="45"/>
      <c r="AO668" s="12"/>
      <c r="AP668" s="12"/>
      <c r="AQ668" s="12"/>
      <c r="AR668" s="12"/>
      <c r="AS668" s="44"/>
      <c r="AT668" s="45"/>
      <c r="AU668" s="12"/>
      <c r="AV668" s="12"/>
      <c r="AW668" s="12"/>
      <c r="AX668" s="12"/>
      <c r="AY668" s="44"/>
      <c r="AZ668" s="45"/>
      <c r="BA668" s="12"/>
      <c r="BB668" s="12"/>
      <c r="BC668" s="12"/>
      <c r="BD668" s="12"/>
      <c r="BE668" s="44"/>
      <c r="BF668" s="45"/>
      <c r="BG668" s="12"/>
      <c r="BH668" s="12"/>
      <c r="BI668" s="12"/>
      <c r="BJ668" s="12"/>
      <c r="BK668" s="44"/>
      <c r="BL668" s="45"/>
      <c r="BM668" s="12"/>
      <c r="BN668" s="12"/>
      <c r="BO668" s="12"/>
      <c r="BP668" s="12"/>
      <c r="BQ668" s="48"/>
      <c r="BR668" s="49"/>
      <c r="BS668" s="13"/>
      <c r="BT668" s="12"/>
      <c r="BV668" s="14"/>
      <c r="BW668" s="50"/>
      <c r="BX668" s="54"/>
      <c r="BY668" s="14"/>
      <c r="BZ668" s="14"/>
      <c r="CA668" s="14"/>
      <c r="CB668" s="14"/>
      <c r="CC668" s="14"/>
      <c r="CD668" s="14"/>
      <c r="CE668" s="14"/>
      <c r="CF668" s="15"/>
      <c r="CG668" s="14"/>
      <c r="CH668" s="14"/>
      <c r="CI668" s="50"/>
      <c r="CJ668" s="54"/>
      <c r="CK668" s="14"/>
      <c r="CL668" s="14"/>
      <c r="CM668" s="14"/>
      <c r="CN668" s="14"/>
      <c r="CO668" s="14"/>
      <c r="CP668" s="14"/>
      <c r="CQ668" s="14"/>
      <c r="CR668" s="14"/>
      <c r="CS668" s="14"/>
      <c r="CT668" s="14"/>
      <c r="CU668" s="16"/>
      <c r="CV668" s="14"/>
      <c r="CW668" s="50"/>
      <c r="CX668" s="17"/>
    </row>
    <row r="669" spans="4:102" x14ac:dyDescent="0.25"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43"/>
      <c r="Q669" s="11"/>
      <c r="R669" s="11"/>
      <c r="S669" s="11"/>
      <c r="T669" s="11"/>
      <c r="U669" s="11"/>
      <c r="V669" s="11"/>
      <c r="W669" s="11"/>
      <c r="X669" s="12"/>
      <c r="Y669" s="12"/>
      <c r="Z669" s="12"/>
      <c r="AA669" s="44"/>
      <c r="AB669" s="45"/>
      <c r="AC669" s="12"/>
      <c r="AD669" s="12"/>
      <c r="AE669" s="12"/>
      <c r="AF669" s="12"/>
      <c r="AG669" s="44"/>
      <c r="AH669" s="45"/>
      <c r="AI669" s="12"/>
      <c r="AJ669" s="12"/>
      <c r="AK669" s="12"/>
      <c r="AL669" s="12"/>
      <c r="AM669" s="44"/>
      <c r="AN669" s="45"/>
      <c r="AO669" s="12"/>
      <c r="AP669" s="12"/>
      <c r="AQ669" s="12"/>
      <c r="AR669" s="12"/>
      <c r="AS669" s="44"/>
      <c r="AT669" s="45"/>
      <c r="AU669" s="12"/>
      <c r="AV669" s="12"/>
      <c r="AW669" s="12"/>
      <c r="AX669" s="12"/>
      <c r="AY669" s="44"/>
      <c r="AZ669" s="45"/>
      <c r="BA669" s="12"/>
      <c r="BB669" s="12"/>
      <c r="BC669" s="12"/>
      <c r="BD669" s="12"/>
      <c r="BE669" s="44"/>
      <c r="BF669" s="45"/>
      <c r="BG669" s="12"/>
      <c r="BH669" s="12"/>
      <c r="BI669" s="12"/>
      <c r="BJ669" s="12"/>
      <c r="BK669" s="44"/>
      <c r="BL669" s="45"/>
      <c r="BM669" s="12"/>
      <c r="BN669" s="12"/>
      <c r="BO669" s="12"/>
      <c r="BP669" s="12"/>
      <c r="BQ669" s="48"/>
      <c r="BR669" s="49"/>
      <c r="BS669" s="13"/>
      <c r="BT669" s="12"/>
      <c r="BV669" s="14"/>
      <c r="BW669" s="50"/>
      <c r="BX669" s="54"/>
      <c r="BY669" s="14"/>
      <c r="BZ669" s="14"/>
      <c r="CA669" s="14"/>
      <c r="CB669" s="14"/>
      <c r="CC669" s="14"/>
      <c r="CD669" s="14"/>
      <c r="CE669" s="14"/>
      <c r="CF669" s="15"/>
      <c r="CG669" s="14"/>
      <c r="CH669" s="14"/>
      <c r="CI669" s="50"/>
      <c r="CJ669" s="54"/>
      <c r="CK669" s="14"/>
      <c r="CL669" s="14"/>
      <c r="CM669" s="14"/>
      <c r="CN669" s="14"/>
      <c r="CO669" s="14"/>
      <c r="CP669" s="14"/>
      <c r="CQ669" s="14"/>
      <c r="CR669" s="14"/>
      <c r="CS669" s="14"/>
      <c r="CT669" s="14"/>
      <c r="CU669" s="16"/>
      <c r="CV669" s="14"/>
      <c r="CW669" s="50"/>
      <c r="CX669" s="17"/>
    </row>
    <row r="670" spans="4:102" x14ac:dyDescent="0.25"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43"/>
      <c r="Q670" s="11"/>
      <c r="R670" s="11"/>
      <c r="S670" s="11"/>
      <c r="T670" s="11"/>
      <c r="U670" s="11"/>
      <c r="V670" s="11"/>
      <c r="W670" s="11"/>
      <c r="X670" s="12"/>
      <c r="Y670" s="12"/>
      <c r="Z670" s="12"/>
      <c r="AA670" s="44"/>
      <c r="AB670" s="45"/>
      <c r="AC670" s="12"/>
      <c r="AD670" s="12"/>
      <c r="AE670" s="12"/>
      <c r="AF670" s="12"/>
      <c r="AG670" s="44"/>
      <c r="AH670" s="45"/>
      <c r="AI670" s="12"/>
      <c r="AJ670" s="12"/>
      <c r="AK670" s="12"/>
      <c r="AL670" s="12"/>
      <c r="AM670" s="44"/>
      <c r="AN670" s="45"/>
      <c r="AO670" s="12"/>
      <c r="AP670" s="12"/>
      <c r="AQ670" s="12"/>
      <c r="AR670" s="12"/>
      <c r="AS670" s="44"/>
      <c r="AT670" s="45"/>
      <c r="AU670" s="12"/>
      <c r="AV670" s="12"/>
      <c r="AW670" s="12"/>
      <c r="AX670" s="12"/>
      <c r="AY670" s="44"/>
      <c r="AZ670" s="45"/>
      <c r="BA670" s="12"/>
      <c r="BB670" s="12"/>
      <c r="BC670" s="12"/>
      <c r="BD670" s="12"/>
      <c r="BE670" s="44"/>
      <c r="BF670" s="45"/>
      <c r="BG670" s="12"/>
      <c r="BH670" s="12"/>
      <c r="BI670" s="12"/>
      <c r="BJ670" s="12"/>
      <c r="BK670" s="44"/>
      <c r="BL670" s="45"/>
      <c r="BM670" s="12"/>
      <c r="BN670" s="12"/>
      <c r="BO670" s="12"/>
      <c r="BP670" s="12"/>
      <c r="BQ670" s="48"/>
      <c r="BR670" s="49"/>
      <c r="BS670" s="13"/>
      <c r="BT670" s="12"/>
      <c r="BV670" s="14"/>
      <c r="BW670" s="50"/>
      <c r="BX670" s="54"/>
      <c r="BY670" s="14"/>
      <c r="BZ670" s="14"/>
      <c r="CA670" s="14"/>
      <c r="CB670" s="14"/>
      <c r="CC670" s="14"/>
      <c r="CD670" s="14"/>
      <c r="CE670" s="14"/>
      <c r="CF670" s="15"/>
      <c r="CG670" s="14"/>
      <c r="CH670" s="14"/>
      <c r="CI670" s="50"/>
      <c r="CJ670" s="54"/>
      <c r="CK670" s="14"/>
      <c r="CL670" s="14"/>
      <c r="CM670" s="14"/>
      <c r="CN670" s="14"/>
      <c r="CO670" s="14"/>
      <c r="CP670" s="14"/>
      <c r="CQ670" s="14"/>
      <c r="CR670" s="14"/>
      <c r="CS670" s="14"/>
      <c r="CT670" s="14"/>
      <c r="CU670" s="16"/>
      <c r="CV670" s="14"/>
      <c r="CW670" s="50"/>
      <c r="CX670" s="17"/>
    </row>
    <row r="671" spans="4:102" x14ac:dyDescent="0.25"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43"/>
      <c r="Q671" s="11"/>
      <c r="R671" s="11"/>
      <c r="S671" s="11"/>
      <c r="T671" s="11"/>
      <c r="U671" s="11"/>
      <c r="V671" s="11"/>
      <c r="W671" s="11"/>
      <c r="X671" s="12"/>
      <c r="Y671" s="12"/>
      <c r="Z671" s="12"/>
      <c r="AA671" s="44"/>
      <c r="AB671" s="45"/>
      <c r="AC671" s="12"/>
      <c r="AD671" s="12"/>
      <c r="AE671" s="12"/>
      <c r="AF671" s="12"/>
      <c r="AG671" s="44"/>
      <c r="AH671" s="45"/>
      <c r="AI671" s="12"/>
      <c r="AJ671" s="12"/>
      <c r="AK671" s="12"/>
      <c r="AL671" s="12"/>
      <c r="AM671" s="44"/>
      <c r="AN671" s="45"/>
      <c r="AO671" s="12"/>
      <c r="AP671" s="12"/>
      <c r="AQ671" s="12"/>
      <c r="AR671" s="12"/>
      <c r="AS671" s="44"/>
      <c r="AT671" s="45"/>
      <c r="AU671" s="12"/>
      <c r="AV671" s="12"/>
      <c r="AW671" s="12"/>
      <c r="AX671" s="12"/>
      <c r="AY671" s="44"/>
      <c r="AZ671" s="45"/>
      <c r="BA671" s="12"/>
      <c r="BB671" s="12"/>
      <c r="BC671" s="12"/>
      <c r="BD671" s="12"/>
      <c r="BE671" s="44"/>
      <c r="BF671" s="45"/>
      <c r="BG671" s="12"/>
      <c r="BH671" s="12"/>
      <c r="BI671" s="12"/>
      <c r="BJ671" s="12"/>
      <c r="BK671" s="44"/>
      <c r="BL671" s="45"/>
      <c r="BM671" s="12"/>
      <c r="BN671" s="12"/>
      <c r="BO671" s="12"/>
      <c r="BP671" s="12"/>
      <c r="BQ671" s="48"/>
      <c r="BR671" s="49"/>
      <c r="BS671" s="13"/>
      <c r="BT671" s="12"/>
      <c r="BV671" s="14"/>
      <c r="BW671" s="50"/>
      <c r="BX671" s="54"/>
      <c r="BY671" s="14"/>
      <c r="BZ671" s="14"/>
      <c r="CA671" s="14"/>
      <c r="CB671" s="14"/>
      <c r="CC671" s="14"/>
      <c r="CD671" s="14"/>
      <c r="CE671" s="14"/>
      <c r="CF671" s="15"/>
      <c r="CG671" s="14"/>
      <c r="CH671" s="14"/>
      <c r="CI671" s="50"/>
      <c r="CJ671" s="54"/>
      <c r="CK671" s="14"/>
      <c r="CL671" s="14"/>
      <c r="CM671" s="14"/>
      <c r="CN671" s="14"/>
      <c r="CO671" s="14"/>
      <c r="CP671" s="14"/>
      <c r="CQ671" s="14"/>
      <c r="CR671" s="14"/>
      <c r="CS671" s="14"/>
      <c r="CT671" s="14"/>
      <c r="CU671" s="16"/>
      <c r="CV671" s="14"/>
      <c r="CW671" s="50"/>
      <c r="CX671" s="17"/>
    </row>
    <row r="672" spans="4:102" x14ac:dyDescent="0.25"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43"/>
      <c r="Q672" s="11"/>
      <c r="R672" s="11"/>
      <c r="S672" s="11"/>
      <c r="T672" s="11"/>
      <c r="U672" s="11"/>
      <c r="V672" s="11"/>
      <c r="W672" s="11"/>
      <c r="X672" s="12"/>
      <c r="Y672" s="12"/>
      <c r="Z672" s="12"/>
      <c r="AA672" s="44"/>
      <c r="AB672" s="45"/>
      <c r="AC672" s="12"/>
      <c r="AD672" s="12"/>
      <c r="AE672" s="12"/>
      <c r="AF672" s="12"/>
      <c r="AG672" s="44"/>
      <c r="AH672" s="45"/>
      <c r="AI672" s="12"/>
      <c r="AJ672" s="12"/>
      <c r="AK672" s="12"/>
      <c r="AL672" s="12"/>
      <c r="AM672" s="44"/>
      <c r="AN672" s="45"/>
      <c r="AO672" s="12"/>
      <c r="AP672" s="12"/>
      <c r="AQ672" s="12"/>
      <c r="AR672" s="12"/>
      <c r="AS672" s="44"/>
      <c r="AT672" s="45"/>
      <c r="AU672" s="12"/>
      <c r="AV672" s="12"/>
      <c r="AW672" s="12"/>
      <c r="AX672" s="12"/>
      <c r="AY672" s="44"/>
      <c r="AZ672" s="45"/>
      <c r="BA672" s="12"/>
      <c r="BB672" s="12"/>
      <c r="BC672" s="12"/>
      <c r="BD672" s="12"/>
      <c r="BE672" s="44"/>
      <c r="BF672" s="45"/>
      <c r="BG672" s="12"/>
      <c r="BH672" s="12"/>
      <c r="BI672" s="12"/>
      <c r="BJ672" s="12"/>
      <c r="BK672" s="44"/>
      <c r="BL672" s="45"/>
      <c r="BM672" s="12"/>
      <c r="BN672" s="12"/>
      <c r="BO672" s="12"/>
      <c r="BP672" s="12"/>
      <c r="BQ672" s="48"/>
      <c r="BR672" s="49"/>
      <c r="BS672" s="13"/>
      <c r="BT672" s="12"/>
      <c r="BV672" s="14"/>
      <c r="BW672" s="50"/>
      <c r="BX672" s="54"/>
      <c r="BY672" s="14"/>
      <c r="BZ672" s="14"/>
      <c r="CA672" s="14"/>
      <c r="CB672" s="14"/>
      <c r="CC672" s="14"/>
      <c r="CD672" s="14"/>
      <c r="CE672" s="14"/>
      <c r="CF672" s="15"/>
      <c r="CG672" s="14"/>
      <c r="CH672" s="14"/>
      <c r="CI672" s="50"/>
      <c r="CJ672" s="54"/>
      <c r="CK672" s="14"/>
      <c r="CL672" s="14"/>
      <c r="CM672" s="14"/>
      <c r="CN672" s="14"/>
      <c r="CO672" s="14"/>
      <c r="CP672" s="14"/>
      <c r="CQ672" s="14"/>
      <c r="CR672" s="14"/>
      <c r="CS672" s="14"/>
      <c r="CT672" s="14"/>
      <c r="CU672" s="16"/>
      <c r="CV672" s="14"/>
      <c r="CW672" s="50"/>
      <c r="CX672" s="17"/>
    </row>
    <row r="673" spans="4:102" x14ac:dyDescent="0.25"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43"/>
      <c r="Q673" s="11"/>
      <c r="R673" s="11"/>
      <c r="S673" s="11"/>
      <c r="T673" s="11"/>
      <c r="U673" s="11"/>
      <c r="V673" s="11"/>
      <c r="W673" s="11"/>
      <c r="X673" s="12"/>
      <c r="Y673" s="12"/>
      <c r="Z673" s="12"/>
      <c r="AA673" s="44"/>
      <c r="AB673" s="45"/>
      <c r="AC673" s="12"/>
      <c r="AD673" s="12"/>
      <c r="AE673" s="12"/>
      <c r="AF673" s="12"/>
      <c r="AG673" s="44"/>
      <c r="AH673" s="45"/>
      <c r="AI673" s="12"/>
      <c r="AJ673" s="12"/>
      <c r="AK673" s="12"/>
      <c r="AL673" s="12"/>
      <c r="AM673" s="44"/>
      <c r="AN673" s="45"/>
      <c r="AO673" s="12"/>
      <c r="AP673" s="12"/>
      <c r="AQ673" s="12"/>
      <c r="AR673" s="12"/>
      <c r="AS673" s="44"/>
      <c r="AT673" s="45"/>
      <c r="AU673" s="12"/>
      <c r="AV673" s="12"/>
      <c r="AW673" s="12"/>
      <c r="AX673" s="12"/>
      <c r="AY673" s="44"/>
      <c r="AZ673" s="45"/>
      <c r="BA673" s="12"/>
      <c r="BB673" s="12"/>
      <c r="BC673" s="12"/>
      <c r="BD673" s="12"/>
      <c r="BE673" s="44"/>
      <c r="BF673" s="45"/>
      <c r="BG673" s="12"/>
      <c r="BH673" s="12"/>
      <c r="BI673" s="12"/>
      <c r="BJ673" s="12"/>
      <c r="BK673" s="44"/>
      <c r="BL673" s="45"/>
      <c r="BM673" s="12"/>
      <c r="BN673" s="12"/>
      <c r="BO673" s="12"/>
      <c r="BP673" s="12"/>
      <c r="BQ673" s="48"/>
      <c r="BR673" s="49"/>
      <c r="BS673" s="13"/>
      <c r="BT673" s="12"/>
      <c r="BV673" s="14"/>
      <c r="BW673" s="50"/>
      <c r="BX673" s="54"/>
      <c r="BY673" s="14"/>
      <c r="BZ673" s="14"/>
      <c r="CA673" s="14"/>
      <c r="CB673" s="14"/>
      <c r="CC673" s="14"/>
      <c r="CD673" s="14"/>
      <c r="CE673" s="14"/>
      <c r="CF673" s="15"/>
      <c r="CG673" s="14"/>
      <c r="CH673" s="14"/>
      <c r="CI673" s="50"/>
      <c r="CJ673" s="54"/>
      <c r="CK673" s="14"/>
      <c r="CL673" s="14"/>
      <c r="CM673" s="14"/>
      <c r="CN673" s="14"/>
      <c r="CO673" s="14"/>
      <c r="CP673" s="14"/>
      <c r="CQ673" s="14"/>
      <c r="CR673" s="14"/>
      <c r="CS673" s="14"/>
      <c r="CT673" s="14"/>
      <c r="CU673" s="16"/>
      <c r="CV673" s="14"/>
      <c r="CW673" s="50"/>
      <c r="CX673" s="17"/>
    </row>
    <row r="674" spans="4:102" x14ac:dyDescent="0.25"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43"/>
      <c r="Q674" s="11"/>
      <c r="R674" s="11"/>
      <c r="S674" s="11"/>
      <c r="T674" s="11"/>
      <c r="U674" s="11"/>
      <c r="V674" s="11"/>
      <c r="W674" s="11"/>
      <c r="X674" s="12"/>
      <c r="Y674" s="12"/>
      <c r="Z674" s="12"/>
      <c r="AA674" s="44"/>
      <c r="AB674" s="45"/>
      <c r="AC674" s="12"/>
      <c r="AD674" s="12"/>
      <c r="AE674" s="12"/>
      <c r="AF674" s="12"/>
      <c r="AG674" s="44"/>
      <c r="AH674" s="45"/>
      <c r="AI674" s="12"/>
      <c r="AJ674" s="12"/>
      <c r="AK674" s="12"/>
      <c r="AL674" s="12"/>
      <c r="AM674" s="44"/>
      <c r="AN674" s="45"/>
      <c r="AO674" s="12"/>
      <c r="AP674" s="12"/>
      <c r="AQ674" s="12"/>
      <c r="AR674" s="12"/>
      <c r="AS674" s="44"/>
      <c r="AT674" s="45"/>
      <c r="AU674" s="12"/>
      <c r="AV674" s="12"/>
      <c r="AW674" s="12"/>
      <c r="AX674" s="12"/>
      <c r="AY674" s="44"/>
      <c r="AZ674" s="45"/>
      <c r="BA674" s="12"/>
      <c r="BB674" s="12"/>
      <c r="BC674" s="12"/>
      <c r="BD674" s="12"/>
      <c r="BE674" s="44"/>
      <c r="BF674" s="45"/>
      <c r="BG674" s="12"/>
      <c r="BH674" s="12"/>
      <c r="BI674" s="12"/>
      <c r="BJ674" s="12"/>
      <c r="BK674" s="44"/>
      <c r="BL674" s="45"/>
      <c r="BM674" s="12"/>
      <c r="BN674" s="12"/>
      <c r="BO674" s="12"/>
      <c r="BP674" s="12"/>
      <c r="BQ674" s="48"/>
      <c r="BR674" s="49"/>
      <c r="BS674" s="13"/>
      <c r="BT674" s="12"/>
      <c r="BV674" s="14"/>
      <c r="BW674" s="50"/>
      <c r="BX674" s="54"/>
      <c r="BY674" s="14"/>
      <c r="BZ674" s="14"/>
      <c r="CA674" s="14"/>
      <c r="CB674" s="14"/>
      <c r="CC674" s="14"/>
      <c r="CD674" s="14"/>
      <c r="CE674" s="14"/>
      <c r="CF674" s="15"/>
      <c r="CG674" s="14"/>
      <c r="CH674" s="14"/>
      <c r="CI674" s="50"/>
      <c r="CJ674" s="54"/>
      <c r="CK674" s="14"/>
      <c r="CL674" s="14"/>
      <c r="CM674" s="14"/>
      <c r="CN674" s="14"/>
      <c r="CO674" s="14"/>
      <c r="CP674" s="14"/>
      <c r="CQ674" s="14"/>
      <c r="CR674" s="14"/>
      <c r="CS674" s="14"/>
      <c r="CT674" s="14"/>
      <c r="CU674" s="16"/>
      <c r="CV674" s="14"/>
      <c r="CW674" s="50"/>
      <c r="CX674" s="17"/>
    </row>
    <row r="675" spans="4:102" x14ac:dyDescent="0.25"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43"/>
      <c r="Q675" s="11"/>
      <c r="R675" s="11"/>
      <c r="S675" s="11"/>
      <c r="T675" s="11"/>
      <c r="U675" s="11"/>
      <c r="V675" s="11"/>
      <c r="W675" s="11"/>
      <c r="X675" s="12"/>
      <c r="Y675" s="12"/>
      <c r="Z675" s="12"/>
      <c r="AA675" s="44"/>
      <c r="AB675" s="45"/>
      <c r="AC675" s="12"/>
      <c r="AD675" s="12"/>
      <c r="AE675" s="12"/>
      <c r="AF675" s="12"/>
      <c r="AG675" s="44"/>
      <c r="AH675" s="45"/>
      <c r="AI675" s="12"/>
      <c r="AJ675" s="12"/>
      <c r="AK675" s="12"/>
      <c r="AL675" s="12"/>
      <c r="AM675" s="44"/>
      <c r="AN675" s="45"/>
      <c r="AO675" s="12"/>
      <c r="AP675" s="12"/>
      <c r="AQ675" s="12"/>
      <c r="AR675" s="12"/>
      <c r="AS675" s="44"/>
      <c r="AT675" s="45"/>
      <c r="AU675" s="12"/>
      <c r="AV675" s="12"/>
      <c r="AW675" s="12"/>
      <c r="AX675" s="12"/>
      <c r="AY675" s="44"/>
      <c r="AZ675" s="45"/>
      <c r="BA675" s="12"/>
      <c r="BB675" s="12"/>
      <c r="BC675" s="12"/>
      <c r="BD675" s="12"/>
      <c r="BE675" s="44"/>
      <c r="BF675" s="45"/>
      <c r="BG675" s="12"/>
      <c r="BH675" s="12"/>
      <c r="BI675" s="12"/>
      <c r="BJ675" s="12"/>
      <c r="BK675" s="44"/>
      <c r="BL675" s="45"/>
      <c r="BM675" s="12"/>
      <c r="BN675" s="12"/>
      <c r="BO675" s="12"/>
      <c r="BP675" s="12"/>
      <c r="BQ675" s="48"/>
      <c r="BR675" s="49"/>
      <c r="BS675" s="13"/>
      <c r="BT675" s="12"/>
      <c r="BV675" s="14"/>
      <c r="BW675" s="50"/>
      <c r="BX675" s="54"/>
      <c r="BY675" s="14"/>
      <c r="BZ675" s="14"/>
      <c r="CA675" s="14"/>
      <c r="CB675" s="14"/>
      <c r="CC675" s="14"/>
      <c r="CD675" s="14"/>
      <c r="CE675" s="14"/>
      <c r="CF675" s="15"/>
      <c r="CG675" s="14"/>
      <c r="CH675" s="14"/>
      <c r="CI675" s="50"/>
      <c r="CJ675" s="54"/>
      <c r="CK675" s="14"/>
      <c r="CL675" s="14"/>
      <c r="CM675" s="14"/>
      <c r="CN675" s="14"/>
      <c r="CO675" s="14"/>
      <c r="CP675" s="14"/>
      <c r="CQ675" s="14"/>
      <c r="CR675" s="14"/>
      <c r="CS675" s="14"/>
      <c r="CT675" s="14"/>
      <c r="CU675" s="16"/>
      <c r="CV675" s="14"/>
      <c r="CW675" s="50"/>
      <c r="CX675" s="17"/>
    </row>
    <row r="676" spans="4:102" x14ac:dyDescent="0.25"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43"/>
      <c r="Q676" s="11"/>
      <c r="R676" s="11"/>
      <c r="S676" s="11"/>
      <c r="T676" s="11"/>
      <c r="U676" s="11"/>
      <c r="V676" s="11"/>
      <c r="W676" s="11"/>
      <c r="X676" s="12"/>
      <c r="Y676" s="12"/>
      <c r="Z676" s="12"/>
      <c r="AA676" s="44"/>
      <c r="AB676" s="45"/>
      <c r="AC676" s="12"/>
      <c r="AD676" s="12"/>
      <c r="AE676" s="12"/>
      <c r="AF676" s="12"/>
      <c r="AG676" s="44"/>
      <c r="AH676" s="45"/>
      <c r="AI676" s="12"/>
      <c r="AJ676" s="12"/>
      <c r="AK676" s="12"/>
      <c r="AL676" s="12"/>
      <c r="AM676" s="44"/>
      <c r="AN676" s="45"/>
      <c r="AO676" s="12"/>
      <c r="AP676" s="12"/>
      <c r="AQ676" s="12"/>
      <c r="AR676" s="12"/>
      <c r="AS676" s="44"/>
      <c r="AT676" s="45"/>
      <c r="AU676" s="12"/>
      <c r="AV676" s="12"/>
      <c r="AW676" s="12"/>
      <c r="AX676" s="12"/>
      <c r="AY676" s="44"/>
      <c r="AZ676" s="45"/>
      <c r="BA676" s="12"/>
      <c r="BB676" s="12"/>
      <c r="BC676" s="12"/>
      <c r="BD676" s="12"/>
      <c r="BE676" s="44"/>
      <c r="BF676" s="45"/>
      <c r="BG676" s="12"/>
      <c r="BH676" s="12"/>
      <c r="BI676" s="12"/>
      <c r="BJ676" s="12"/>
      <c r="BK676" s="44"/>
      <c r="BL676" s="45"/>
      <c r="BM676" s="12"/>
      <c r="BN676" s="12"/>
      <c r="BO676" s="12"/>
      <c r="BP676" s="12"/>
      <c r="BQ676" s="48"/>
      <c r="BR676" s="49"/>
      <c r="BS676" s="13"/>
      <c r="BT676" s="12"/>
      <c r="BV676" s="14"/>
      <c r="BW676" s="50"/>
      <c r="BX676" s="54"/>
      <c r="BY676" s="14"/>
      <c r="BZ676" s="14"/>
      <c r="CA676" s="14"/>
      <c r="CB676" s="14"/>
      <c r="CC676" s="14"/>
      <c r="CD676" s="14"/>
      <c r="CE676" s="14"/>
      <c r="CF676" s="15"/>
      <c r="CG676" s="14"/>
      <c r="CH676" s="14"/>
      <c r="CI676" s="50"/>
      <c r="CJ676" s="54"/>
      <c r="CK676" s="14"/>
      <c r="CL676" s="14"/>
      <c r="CM676" s="14"/>
      <c r="CN676" s="14"/>
      <c r="CO676" s="14"/>
      <c r="CP676" s="14"/>
      <c r="CQ676" s="14"/>
      <c r="CR676" s="14"/>
      <c r="CS676" s="14"/>
      <c r="CT676" s="14"/>
      <c r="CU676" s="16"/>
      <c r="CV676" s="14"/>
      <c r="CW676" s="50"/>
      <c r="CX676" s="17"/>
    </row>
    <row r="677" spans="4:102" x14ac:dyDescent="0.25"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43"/>
      <c r="Q677" s="11"/>
      <c r="R677" s="11"/>
      <c r="S677" s="11"/>
      <c r="T677" s="11"/>
      <c r="U677" s="11"/>
      <c r="V677" s="11"/>
      <c r="W677" s="11"/>
      <c r="X677" s="12"/>
      <c r="Y677" s="12"/>
      <c r="Z677" s="12"/>
      <c r="AA677" s="44"/>
      <c r="AB677" s="45"/>
      <c r="AC677" s="12"/>
      <c r="AD677" s="12"/>
      <c r="AE677" s="12"/>
      <c r="AF677" s="12"/>
      <c r="AG677" s="44"/>
      <c r="AH677" s="45"/>
      <c r="AI677" s="12"/>
      <c r="AJ677" s="12"/>
      <c r="AK677" s="12"/>
      <c r="AL677" s="12"/>
      <c r="AM677" s="44"/>
      <c r="AN677" s="45"/>
      <c r="AO677" s="12"/>
      <c r="AP677" s="12"/>
      <c r="AQ677" s="12"/>
      <c r="AR677" s="12"/>
      <c r="AS677" s="44"/>
      <c r="AT677" s="45"/>
      <c r="AU677" s="12"/>
      <c r="AV677" s="12"/>
      <c r="AW677" s="12"/>
      <c r="AX677" s="12"/>
      <c r="AY677" s="44"/>
      <c r="AZ677" s="45"/>
      <c r="BA677" s="12"/>
      <c r="BB677" s="12"/>
      <c r="BC677" s="12"/>
      <c r="BD677" s="12"/>
      <c r="BE677" s="44"/>
      <c r="BF677" s="45"/>
      <c r="BG677" s="12"/>
      <c r="BH677" s="12"/>
      <c r="BI677" s="12"/>
      <c r="BJ677" s="12"/>
      <c r="BK677" s="44"/>
      <c r="BL677" s="45"/>
      <c r="BM677" s="12"/>
      <c r="BN677" s="12"/>
      <c r="BO677" s="12"/>
      <c r="BP677" s="12"/>
      <c r="BQ677" s="48"/>
      <c r="BR677" s="49"/>
      <c r="BS677" s="13"/>
      <c r="BT677" s="12"/>
      <c r="BV677" s="14"/>
      <c r="BW677" s="50"/>
      <c r="BX677" s="54"/>
      <c r="BY677" s="14"/>
      <c r="BZ677" s="14"/>
      <c r="CA677" s="14"/>
      <c r="CB677" s="14"/>
      <c r="CC677" s="14"/>
      <c r="CD677" s="14"/>
      <c r="CE677" s="14"/>
      <c r="CF677" s="15"/>
      <c r="CG677" s="14"/>
      <c r="CH677" s="14"/>
      <c r="CI677" s="50"/>
      <c r="CJ677" s="54"/>
      <c r="CK677" s="14"/>
      <c r="CL677" s="14"/>
      <c r="CM677" s="14"/>
      <c r="CN677" s="14"/>
      <c r="CO677" s="14"/>
      <c r="CP677" s="14"/>
      <c r="CQ677" s="14"/>
      <c r="CR677" s="14"/>
      <c r="CS677" s="14"/>
      <c r="CT677" s="14"/>
      <c r="CU677" s="16"/>
      <c r="CV677" s="14"/>
      <c r="CW677" s="50"/>
      <c r="CX677" s="17"/>
    </row>
    <row r="678" spans="4:102" x14ac:dyDescent="0.25"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43"/>
      <c r="Q678" s="11"/>
      <c r="R678" s="11"/>
      <c r="S678" s="11"/>
      <c r="T678" s="11"/>
      <c r="U678" s="11"/>
      <c r="V678" s="11"/>
      <c r="W678" s="11"/>
      <c r="X678" s="12"/>
      <c r="Y678" s="12"/>
      <c r="Z678" s="12"/>
      <c r="AA678" s="44"/>
      <c r="AB678" s="45"/>
      <c r="AC678" s="12"/>
      <c r="AD678" s="12"/>
      <c r="AE678" s="12"/>
      <c r="AF678" s="12"/>
      <c r="AG678" s="44"/>
      <c r="AH678" s="45"/>
      <c r="AI678" s="12"/>
      <c r="AJ678" s="12"/>
      <c r="AK678" s="12"/>
      <c r="AL678" s="12"/>
      <c r="AM678" s="44"/>
      <c r="AN678" s="45"/>
      <c r="AO678" s="12"/>
      <c r="AP678" s="12"/>
      <c r="AQ678" s="12"/>
      <c r="AR678" s="12"/>
      <c r="AS678" s="44"/>
      <c r="AT678" s="45"/>
      <c r="AU678" s="12"/>
      <c r="AV678" s="12"/>
      <c r="AW678" s="12"/>
      <c r="AX678" s="12"/>
      <c r="AY678" s="44"/>
      <c r="AZ678" s="45"/>
      <c r="BA678" s="12"/>
      <c r="BB678" s="12"/>
      <c r="BC678" s="12"/>
      <c r="BD678" s="12"/>
      <c r="BE678" s="44"/>
      <c r="BF678" s="45"/>
      <c r="BG678" s="12"/>
      <c r="BH678" s="12"/>
      <c r="BI678" s="12"/>
      <c r="BJ678" s="12"/>
      <c r="BK678" s="44"/>
      <c r="BL678" s="45"/>
      <c r="BM678" s="12"/>
      <c r="BN678" s="12"/>
      <c r="BO678" s="12"/>
      <c r="BP678" s="12"/>
      <c r="BQ678" s="48"/>
      <c r="BR678" s="49"/>
      <c r="BS678" s="13"/>
      <c r="BT678" s="12"/>
      <c r="BV678" s="14"/>
      <c r="BW678" s="50"/>
      <c r="BX678" s="54"/>
      <c r="BY678" s="14"/>
      <c r="BZ678" s="14"/>
      <c r="CA678" s="14"/>
      <c r="CB678" s="14"/>
      <c r="CC678" s="14"/>
      <c r="CD678" s="14"/>
      <c r="CE678" s="14"/>
      <c r="CF678" s="15"/>
      <c r="CG678" s="14"/>
      <c r="CH678" s="14"/>
      <c r="CI678" s="50"/>
      <c r="CJ678" s="54"/>
      <c r="CK678" s="14"/>
      <c r="CL678" s="14"/>
      <c r="CM678" s="14"/>
      <c r="CN678" s="14"/>
      <c r="CO678" s="14"/>
      <c r="CP678" s="14"/>
      <c r="CQ678" s="14"/>
      <c r="CR678" s="14"/>
      <c r="CS678" s="14"/>
      <c r="CT678" s="14"/>
      <c r="CU678" s="16"/>
      <c r="CV678" s="14"/>
      <c r="CW678" s="50"/>
      <c r="CX678" s="17"/>
    </row>
    <row r="679" spans="4:102" x14ac:dyDescent="0.25"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43"/>
      <c r="Q679" s="11"/>
      <c r="R679" s="11"/>
      <c r="S679" s="11"/>
      <c r="T679" s="11"/>
      <c r="U679" s="11"/>
      <c r="V679" s="11"/>
      <c r="W679" s="11"/>
      <c r="X679" s="12"/>
      <c r="Y679" s="12"/>
      <c r="Z679" s="12"/>
      <c r="AA679" s="44"/>
      <c r="AB679" s="45"/>
      <c r="AC679" s="12"/>
      <c r="AD679" s="12"/>
      <c r="AE679" s="12"/>
      <c r="AF679" s="12"/>
      <c r="AG679" s="44"/>
      <c r="AH679" s="45"/>
      <c r="AI679" s="12"/>
      <c r="AJ679" s="12"/>
      <c r="AK679" s="12"/>
      <c r="AL679" s="12"/>
      <c r="AM679" s="44"/>
      <c r="AN679" s="45"/>
      <c r="AO679" s="12"/>
      <c r="AP679" s="12"/>
      <c r="AQ679" s="12"/>
      <c r="AR679" s="12"/>
      <c r="AS679" s="44"/>
      <c r="AT679" s="45"/>
      <c r="AU679" s="12"/>
      <c r="AV679" s="12"/>
      <c r="AW679" s="12"/>
      <c r="AX679" s="12"/>
      <c r="AY679" s="44"/>
      <c r="AZ679" s="45"/>
      <c r="BA679" s="12"/>
      <c r="BB679" s="12"/>
      <c r="BC679" s="12"/>
      <c r="BD679" s="12"/>
      <c r="BE679" s="44"/>
      <c r="BF679" s="45"/>
      <c r="BG679" s="12"/>
      <c r="BH679" s="12"/>
      <c r="BI679" s="12"/>
      <c r="BJ679" s="12"/>
      <c r="BK679" s="44"/>
      <c r="BL679" s="45"/>
      <c r="BM679" s="12"/>
      <c r="BN679" s="12"/>
      <c r="BO679" s="12"/>
      <c r="BP679" s="12"/>
      <c r="BQ679" s="48"/>
      <c r="BR679" s="49"/>
      <c r="BS679" s="13"/>
      <c r="BT679" s="12"/>
      <c r="BV679" s="14"/>
      <c r="BW679" s="50"/>
      <c r="BX679" s="54"/>
      <c r="BY679" s="14"/>
      <c r="BZ679" s="14"/>
      <c r="CA679" s="14"/>
      <c r="CB679" s="14"/>
      <c r="CC679" s="14"/>
      <c r="CD679" s="14"/>
      <c r="CE679" s="14"/>
      <c r="CF679" s="15"/>
      <c r="CG679" s="14"/>
      <c r="CH679" s="14"/>
      <c r="CI679" s="50"/>
      <c r="CJ679" s="54"/>
      <c r="CK679" s="14"/>
      <c r="CL679" s="14"/>
      <c r="CM679" s="14"/>
      <c r="CN679" s="14"/>
      <c r="CO679" s="14"/>
      <c r="CP679" s="14"/>
      <c r="CQ679" s="14"/>
      <c r="CR679" s="14"/>
      <c r="CS679" s="14"/>
      <c r="CT679" s="14"/>
      <c r="CU679" s="16"/>
      <c r="CV679" s="14"/>
      <c r="CW679" s="50"/>
      <c r="CX679" s="17"/>
    </row>
    <row r="680" spans="4:102" x14ac:dyDescent="0.25"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43"/>
      <c r="Q680" s="11"/>
      <c r="R680" s="11"/>
      <c r="S680" s="11"/>
      <c r="T680" s="11"/>
      <c r="U680" s="11"/>
      <c r="V680" s="11"/>
      <c r="W680" s="11"/>
      <c r="X680" s="12"/>
      <c r="Y680" s="12"/>
      <c r="Z680" s="12"/>
      <c r="AA680" s="44"/>
      <c r="AB680" s="45"/>
      <c r="AC680" s="12"/>
      <c r="AD680" s="12"/>
      <c r="AE680" s="12"/>
      <c r="AF680" s="12"/>
      <c r="AG680" s="44"/>
      <c r="AH680" s="45"/>
      <c r="AI680" s="12"/>
      <c r="AJ680" s="12"/>
      <c r="AK680" s="12"/>
      <c r="AL680" s="12"/>
      <c r="AM680" s="44"/>
      <c r="AN680" s="45"/>
      <c r="AO680" s="12"/>
      <c r="AP680" s="12"/>
      <c r="AQ680" s="12"/>
      <c r="AR680" s="12"/>
      <c r="AS680" s="44"/>
      <c r="AT680" s="45"/>
      <c r="AU680" s="12"/>
      <c r="AV680" s="12"/>
      <c r="AW680" s="12"/>
      <c r="AX680" s="12"/>
      <c r="AY680" s="44"/>
      <c r="AZ680" s="45"/>
      <c r="BA680" s="12"/>
      <c r="BB680" s="12"/>
      <c r="BC680" s="12"/>
      <c r="BD680" s="12"/>
      <c r="BE680" s="44"/>
      <c r="BF680" s="45"/>
      <c r="BG680" s="12"/>
      <c r="BH680" s="12"/>
      <c r="BI680" s="12"/>
      <c r="BJ680" s="12"/>
      <c r="BK680" s="44"/>
      <c r="BL680" s="45"/>
      <c r="BM680" s="12"/>
      <c r="BN680" s="12"/>
      <c r="BO680" s="12"/>
      <c r="BP680" s="12"/>
      <c r="BQ680" s="48"/>
      <c r="BR680" s="49"/>
      <c r="BS680" s="13"/>
      <c r="BT680" s="12"/>
      <c r="BV680" s="14"/>
      <c r="BW680" s="50"/>
      <c r="BX680" s="54"/>
      <c r="BY680" s="14"/>
      <c r="BZ680" s="14"/>
      <c r="CA680" s="14"/>
      <c r="CB680" s="14"/>
      <c r="CC680" s="14"/>
      <c r="CD680" s="14"/>
      <c r="CE680" s="14"/>
      <c r="CF680" s="15"/>
      <c r="CG680" s="14"/>
      <c r="CH680" s="14"/>
      <c r="CI680" s="50"/>
      <c r="CJ680" s="54"/>
      <c r="CK680" s="14"/>
      <c r="CL680" s="14"/>
      <c r="CM680" s="14"/>
      <c r="CN680" s="14"/>
      <c r="CO680" s="14"/>
      <c r="CP680" s="14"/>
      <c r="CQ680" s="14"/>
      <c r="CR680" s="14"/>
      <c r="CS680" s="14"/>
      <c r="CT680" s="14"/>
      <c r="CU680" s="16"/>
      <c r="CV680" s="14"/>
      <c r="CW680" s="50"/>
      <c r="CX680" s="17"/>
    </row>
    <row r="681" spans="4:102" x14ac:dyDescent="0.25"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43"/>
      <c r="Q681" s="11"/>
      <c r="R681" s="11"/>
      <c r="S681" s="11"/>
      <c r="T681" s="11"/>
      <c r="U681" s="11"/>
      <c r="V681" s="11"/>
      <c r="W681" s="11"/>
      <c r="X681" s="12"/>
      <c r="Y681" s="12"/>
      <c r="Z681" s="12"/>
      <c r="AA681" s="44"/>
      <c r="AB681" s="45"/>
      <c r="AC681" s="12"/>
      <c r="AD681" s="12"/>
      <c r="AE681" s="12"/>
      <c r="AF681" s="12"/>
      <c r="AG681" s="44"/>
      <c r="AH681" s="45"/>
      <c r="AI681" s="12"/>
      <c r="AJ681" s="12"/>
      <c r="AK681" s="12"/>
      <c r="AL681" s="12"/>
      <c r="AM681" s="44"/>
      <c r="AN681" s="45"/>
      <c r="AO681" s="12"/>
      <c r="AP681" s="12"/>
      <c r="AQ681" s="12"/>
      <c r="AR681" s="12"/>
      <c r="AS681" s="44"/>
      <c r="AT681" s="45"/>
      <c r="AU681" s="12"/>
      <c r="AV681" s="12"/>
      <c r="AW681" s="12"/>
      <c r="AX681" s="12"/>
      <c r="AY681" s="44"/>
      <c r="AZ681" s="45"/>
      <c r="BA681" s="12"/>
      <c r="BB681" s="12"/>
      <c r="BC681" s="12"/>
      <c r="BD681" s="12"/>
      <c r="BE681" s="44"/>
      <c r="BF681" s="45"/>
      <c r="BG681" s="12"/>
      <c r="BH681" s="12"/>
      <c r="BI681" s="12"/>
      <c r="BJ681" s="12"/>
      <c r="BK681" s="44"/>
      <c r="BL681" s="45"/>
      <c r="BM681" s="12"/>
      <c r="BN681" s="12"/>
      <c r="BO681" s="12"/>
      <c r="BP681" s="12"/>
      <c r="BQ681" s="48"/>
      <c r="BR681" s="49"/>
      <c r="BS681" s="13"/>
      <c r="BT681" s="12"/>
      <c r="BV681" s="14"/>
      <c r="BW681" s="50"/>
      <c r="BX681" s="54"/>
      <c r="BY681" s="14"/>
      <c r="BZ681" s="14"/>
      <c r="CA681" s="14"/>
      <c r="CB681" s="14"/>
      <c r="CC681" s="14"/>
      <c r="CD681" s="14"/>
      <c r="CE681" s="14"/>
      <c r="CF681" s="15"/>
      <c r="CG681" s="14"/>
      <c r="CH681" s="14"/>
      <c r="CI681" s="50"/>
      <c r="CJ681" s="54"/>
      <c r="CK681" s="14"/>
      <c r="CL681" s="14"/>
      <c r="CM681" s="14"/>
      <c r="CN681" s="14"/>
      <c r="CO681" s="14"/>
      <c r="CP681" s="14"/>
      <c r="CQ681" s="14"/>
      <c r="CR681" s="14"/>
      <c r="CS681" s="14"/>
      <c r="CT681" s="14"/>
      <c r="CU681" s="16"/>
      <c r="CV681" s="14"/>
      <c r="CW681" s="50"/>
      <c r="CX681" s="17"/>
    </row>
    <row r="682" spans="4:102" x14ac:dyDescent="0.25"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43"/>
      <c r="Q682" s="11"/>
      <c r="R682" s="11"/>
      <c r="S682" s="11"/>
      <c r="T682" s="11"/>
      <c r="U682" s="11"/>
      <c r="V682" s="11"/>
      <c r="W682" s="11"/>
      <c r="X682" s="12"/>
      <c r="Y682" s="12"/>
      <c r="Z682" s="12"/>
      <c r="AA682" s="44"/>
      <c r="AB682" s="45"/>
      <c r="AC682" s="12"/>
      <c r="AD682" s="12"/>
      <c r="AE682" s="12"/>
      <c r="AF682" s="12"/>
      <c r="AG682" s="44"/>
      <c r="AH682" s="45"/>
      <c r="AI682" s="12"/>
      <c r="AJ682" s="12"/>
      <c r="AK682" s="12"/>
      <c r="AL682" s="12"/>
      <c r="AM682" s="44"/>
      <c r="AN682" s="45"/>
      <c r="AO682" s="12"/>
      <c r="AP682" s="12"/>
      <c r="AQ682" s="12"/>
      <c r="AR682" s="12"/>
      <c r="AS682" s="44"/>
      <c r="AT682" s="45"/>
      <c r="AU682" s="12"/>
      <c r="AV682" s="12"/>
      <c r="AW682" s="12"/>
      <c r="AX682" s="12"/>
      <c r="AY682" s="44"/>
      <c r="AZ682" s="45"/>
      <c r="BA682" s="12"/>
      <c r="BB682" s="12"/>
      <c r="BC682" s="12"/>
      <c r="BD682" s="12"/>
      <c r="BE682" s="44"/>
      <c r="BF682" s="45"/>
      <c r="BG682" s="12"/>
      <c r="BH682" s="12"/>
      <c r="BI682" s="12"/>
      <c r="BJ682" s="12"/>
      <c r="BK682" s="44"/>
      <c r="BL682" s="45"/>
      <c r="BM682" s="12"/>
      <c r="BN682" s="12"/>
      <c r="BO682" s="12"/>
      <c r="BP682" s="12"/>
      <c r="BQ682" s="48"/>
      <c r="BR682" s="49"/>
      <c r="BS682" s="13"/>
      <c r="BT682" s="12"/>
      <c r="BV682" s="14"/>
      <c r="BW682" s="50"/>
      <c r="BX682" s="54"/>
      <c r="BY682" s="14"/>
      <c r="BZ682" s="14"/>
      <c r="CA682" s="14"/>
      <c r="CB682" s="14"/>
      <c r="CC682" s="14"/>
      <c r="CD682" s="14"/>
      <c r="CE682" s="14"/>
      <c r="CF682" s="15"/>
      <c r="CG682" s="14"/>
      <c r="CH682" s="14"/>
      <c r="CI682" s="50"/>
      <c r="CJ682" s="54"/>
      <c r="CK682" s="14"/>
      <c r="CL682" s="14"/>
      <c r="CM682" s="14"/>
      <c r="CN682" s="14"/>
      <c r="CO682" s="14"/>
      <c r="CP682" s="14"/>
      <c r="CQ682" s="14"/>
      <c r="CR682" s="14"/>
      <c r="CS682" s="14"/>
      <c r="CT682" s="14"/>
      <c r="CU682" s="16"/>
      <c r="CV682" s="14"/>
      <c r="CW682" s="50"/>
      <c r="CX682" s="17"/>
    </row>
    <row r="683" spans="4:102" x14ac:dyDescent="0.25"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43"/>
      <c r="Q683" s="11"/>
      <c r="R683" s="11"/>
      <c r="S683" s="11"/>
      <c r="T683" s="11"/>
      <c r="U683" s="11"/>
      <c r="V683" s="11"/>
      <c r="W683" s="11"/>
      <c r="X683" s="12"/>
      <c r="Y683" s="12"/>
      <c r="Z683" s="12"/>
      <c r="AA683" s="44"/>
      <c r="AB683" s="45"/>
      <c r="AC683" s="12"/>
      <c r="AD683" s="12"/>
      <c r="AE683" s="12"/>
      <c r="AF683" s="12"/>
      <c r="AG683" s="44"/>
      <c r="AH683" s="45"/>
      <c r="AI683" s="12"/>
      <c r="AJ683" s="12"/>
      <c r="AK683" s="12"/>
      <c r="AL683" s="12"/>
      <c r="AM683" s="44"/>
      <c r="AN683" s="45"/>
      <c r="AO683" s="12"/>
      <c r="AP683" s="12"/>
      <c r="AQ683" s="12"/>
      <c r="AR683" s="12"/>
      <c r="AS683" s="44"/>
      <c r="AT683" s="45"/>
      <c r="AU683" s="12"/>
      <c r="AV683" s="12"/>
      <c r="AW683" s="12"/>
      <c r="AX683" s="12"/>
      <c r="AY683" s="44"/>
      <c r="AZ683" s="45"/>
      <c r="BA683" s="12"/>
      <c r="BB683" s="12"/>
      <c r="BC683" s="12"/>
      <c r="BD683" s="12"/>
      <c r="BE683" s="44"/>
      <c r="BF683" s="45"/>
      <c r="BG683" s="12"/>
      <c r="BH683" s="12"/>
      <c r="BI683" s="12"/>
      <c r="BJ683" s="12"/>
      <c r="BK683" s="44"/>
      <c r="BL683" s="45"/>
      <c r="BM683" s="12"/>
      <c r="BN683" s="12"/>
      <c r="BO683" s="12"/>
      <c r="BP683" s="12"/>
      <c r="BQ683" s="48"/>
      <c r="BR683" s="49"/>
      <c r="BS683" s="13"/>
      <c r="BT683" s="12"/>
      <c r="BV683" s="14"/>
      <c r="BW683" s="50"/>
      <c r="BX683" s="54"/>
      <c r="BY683" s="14"/>
      <c r="BZ683" s="14"/>
      <c r="CA683" s="14"/>
      <c r="CB683" s="14"/>
      <c r="CC683" s="14"/>
      <c r="CD683" s="14"/>
      <c r="CE683" s="14"/>
      <c r="CF683" s="15"/>
      <c r="CG683" s="14"/>
      <c r="CH683" s="14"/>
      <c r="CI683" s="50"/>
      <c r="CJ683" s="54"/>
      <c r="CK683" s="14"/>
      <c r="CL683" s="14"/>
      <c r="CM683" s="14"/>
      <c r="CN683" s="14"/>
      <c r="CO683" s="14"/>
      <c r="CP683" s="14"/>
      <c r="CQ683" s="14"/>
      <c r="CR683" s="14"/>
      <c r="CS683" s="14"/>
      <c r="CT683" s="14"/>
      <c r="CU683" s="16"/>
      <c r="CV683" s="14"/>
      <c r="CW683" s="50"/>
      <c r="CX683" s="17"/>
    </row>
    <row r="684" spans="4:102" x14ac:dyDescent="0.25"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43"/>
      <c r="Q684" s="11"/>
      <c r="R684" s="11"/>
      <c r="S684" s="11"/>
      <c r="T684" s="11"/>
      <c r="U684" s="11"/>
      <c r="V684" s="11"/>
      <c r="W684" s="11"/>
      <c r="X684" s="12"/>
      <c r="Y684" s="12"/>
      <c r="Z684" s="12"/>
      <c r="AA684" s="44"/>
      <c r="AB684" s="45"/>
      <c r="AC684" s="12"/>
      <c r="AD684" s="12"/>
      <c r="AE684" s="12"/>
      <c r="AF684" s="12"/>
      <c r="AG684" s="44"/>
      <c r="AH684" s="45"/>
      <c r="AI684" s="12"/>
      <c r="AJ684" s="12"/>
      <c r="AK684" s="12"/>
      <c r="AL684" s="12"/>
      <c r="AM684" s="44"/>
      <c r="AN684" s="45"/>
      <c r="AO684" s="12"/>
      <c r="AP684" s="12"/>
      <c r="AQ684" s="12"/>
      <c r="AR684" s="12"/>
      <c r="AS684" s="44"/>
      <c r="AT684" s="45"/>
      <c r="AU684" s="12"/>
      <c r="AV684" s="12"/>
      <c r="AW684" s="12"/>
      <c r="AX684" s="12"/>
      <c r="AY684" s="44"/>
      <c r="AZ684" s="45"/>
      <c r="BA684" s="12"/>
      <c r="BB684" s="12"/>
      <c r="BC684" s="12"/>
      <c r="BD684" s="12"/>
      <c r="BE684" s="44"/>
      <c r="BF684" s="45"/>
      <c r="BG684" s="12"/>
      <c r="BH684" s="12"/>
      <c r="BI684" s="12"/>
      <c r="BJ684" s="12"/>
      <c r="BK684" s="44"/>
      <c r="BL684" s="45"/>
      <c r="BM684" s="12"/>
      <c r="BN684" s="12"/>
      <c r="BO684" s="12"/>
      <c r="BP684" s="12"/>
      <c r="BQ684" s="48"/>
      <c r="BR684" s="49"/>
      <c r="BS684" s="13"/>
      <c r="BT684" s="12"/>
      <c r="BV684" s="14"/>
      <c r="BW684" s="50"/>
      <c r="BX684" s="54"/>
      <c r="BY684" s="14"/>
      <c r="BZ684" s="14"/>
      <c r="CA684" s="14"/>
      <c r="CB684" s="14"/>
      <c r="CC684" s="14"/>
      <c r="CD684" s="14"/>
      <c r="CE684" s="14"/>
      <c r="CF684" s="15"/>
      <c r="CG684" s="14"/>
      <c r="CH684" s="14"/>
      <c r="CI684" s="50"/>
      <c r="CJ684" s="54"/>
      <c r="CK684" s="14"/>
      <c r="CL684" s="14"/>
      <c r="CM684" s="14"/>
      <c r="CN684" s="14"/>
      <c r="CO684" s="14"/>
      <c r="CP684" s="14"/>
      <c r="CQ684" s="14"/>
      <c r="CR684" s="14"/>
      <c r="CS684" s="14"/>
      <c r="CT684" s="14"/>
      <c r="CU684" s="16"/>
      <c r="CV684" s="14"/>
      <c r="CW684" s="50"/>
      <c r="CX684" s="17"/>
    </row>
    <row r="685" spans="4:102" x14ac:dyDescent="0.25"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43"/>
      <c r="Q685" s="11"/>
      <c r="R685" s="11"/>
      <c r="S685" s="11"/>
      <c r="T685" s="11"/>
      <c r="U685" s="11"/>
      <c r="V685" s="11"/>
      <c r="W685" s="11"/>
      <c r="X685" s="12"/>
      <c r="Y685" s="12"/>
      <c r="Z685" s="12"/>
      <c r="AA685" s="44"/>
      <c r="AB685" s="45"/>
      <c r="AC685" s="12"/>
      <c r="AD685" s="12"/>
      <c r="AE685" s="12"/>
      <c r="AF685" s="12"/>
      <c r="AG685" s="44"/>
      <c r="AH685" s="45"/>
      <c r="AI685" s="12"/>
      <c r="AJ685" s="12"/>
      <c r="AK685" s="12"/>
      <c r="AL685" s="12"/>
      <c r="AM685" s="44"/>
      <c r="AN685" s="45"/>
      <c r="AO685" s="12"/>
      <c r="AP685" s="12"/>
      <c r="AQ685" s="12"/>
      <c r="AR685" s="12"/>
      <c r="AS685" s="44"/>
      <c r="AT685" s="45"/>
      <c r="AU685" s="12"/>
      <c r="AV685" s="12"/>
      <c r="AW685" s="12"/>
      <c r="AX685" s="12"/>
      <c r="AY685" s="44"/>
      <c r="AZ685" s="45"/>
      <c r="BA685" s="12"/>
      <c r="BB685" s="12"/>
      <c r="BC685" s="12"/>
      <c r="BD685" s="12"/>
      <c r="BE685" s="44"/>
      <c r="BF685" s="45"/>
      <c r="BG685" s="12"/>
      <c r="BH685" s="12"/>
      <c r="BI685" s="12"/>
      <c r="BJ685" s="12"/>
      <c r="BK685" s="44"/>
      <c r="BL685" s="45"/>
      <c r="BM685" s="12"/>
      <c r="BN685" s="12"/>
      <c r="BO685" s="12"/>
      <c r="BP685" s="12"/>
      <c r="BQ685" s="48"/>
      <c r="BR685" s="49"/>
      <c r="BS685" s="13"/>
      <c r="BT685" s="12"/>
      <c r="BV685" s="14"/>
      <c r="BW685" s="50"/>
      <c r="BX685" s="54"/>
      <c r="BY685" s="14"/>
      <c r="BZ685" s="14"/>
      <c r="CA685" s="14"/>
      <c r="CB685" s="14"/>
      <c r="CC685" s="14"/>
      <c r="CD685" s="14"/>
      <c r="CE685" s="14"/>
      <c r="CF685" s="15"/>
      <c r="CG685" s="14"/>
      <c r="CH685" s="14"/>
      <c r="CI685" s="50"/>
      <c r="CJ685" s="54"/>
      <c r="CK685" s="14"/>
      <c r="CL685" s="14"/>
      <c r="CM685" s="14"/>
      <c r="CN685" s="14"/>
      <c r="CO685" s="14"/>
      <c r="CP685" s="14"/>
      <c r="CQ685" s="14"/>
      <c r="CR685" s="14"/>
      <c r="CS685" s="14"/>
      <c r="CT685" s="14"/>
      <c r="CU685" s="16"/>
      <c r="CV685" s="14"/>
      <c r="CW685" s="50"/>
      <c r="CX685" s="17"/>
    </row>
    <row r="686" spans="4:102" x14ac:dyDescent="0.25"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43"/>
      <c r="Q686" s="11"/>
      <c r="R686" s="11"/>
      <c r="S686" s="11"/>
      <c r="T686" s="11"/>
      <c r="U686" s="11"/>
      <c r="V686" s="11"/>
      <c r="W686" s="11"/>
      <c r="X686" s="12"/>
      <c r="Y686" s="12"/>
      <c r="Z686" s="12"/>
      <c r="AA686" s="44"/>
      <c r="AB686" s="45"/>
      <c r="AC686" s="12"/>
      <c r="AD686" s="12"/>
      <c r="AE686" s="12"/>
      <c r="AF686" s="12"/>
      <c r="AG686" s="44"/>
      <c r="AH686" s="45"/>
      <c r="AI686" s="12"/>
      <c r="AJ686" s="12"/>
      <c r="AK686" s="12"/>
      <c r="AL686" s="12"/>
      <c r="AM686" s="44"/>
      <c r="AN686" s="45"/>
      <c r="AO686" s="12"/>
      <c r="AP686" s="12"/>
      <c r="AQ686" s="12"/>
      <c r="AR686" s="12"/>
      <c r="AS686" s="44"/>
      <c r="AT686" s="45"/>
      <c r="AU686" s="12"/>
      <c r="AV686" s="12"/>
      <c r="AW686" s="12"/>
      <c r="AX686" s="12"/>
      <c r="AY686" s="44"/>
      <c r="AZ686" s="45"/>
      <c r="BA686" s="12"/>
      <c r="BB686" s="12"/>
      <c r="BC686" s="12"/>
      <c r="BD686" s="12"/>
      <c r="BE686" s="44"/>
      <c r="BF686" s="45"/>
      <c r="BG686" s="12"/>
      <c r="BH686" s="12"/>
      <c r="BI686" s="12"/>
      <c r="BJ686" s="12"/>
      <c r="BK686" s="44"/>
      <c r="BL686" s="45"/>
      <c r="BM686" s="12"/>
      <c r="BN686" s="12"/>
      <c r="BO686" s="12"/>
      <c r="BP686" s="12"/>
      <c r="BQ686" s="48"/>
      <c r="BR686" s="49"/>
      <c r="BS686" s="13"/>
      <c r="BT686" s="12"/>
      <c r="BV686" s="14"/>
      <c r="BW686" s="50"/>
      <c r="BX686" s="54"/>
      <c r="BY686" s="14"/>
      <c r="BZ686" s="14"/>
      <c r="CA686" s="14"/>
      <c r="CB686" s="14"/>
      <c r="CC686" s="14"/>
      <c r="CD686" s="14"/>
      <c r="CE686" s="14"/>
      <c r="CF686" s="15"/>
      <c r="CG686" s="14"/>
      <c r="CH686" s="14"/>
      <c r="CI686" s="50"/>
      <c r="CJ686" s="54"/>
      <c r="CK686" s="14"/>
      <c r="CL686" s="14"/>
      <c r="CM686" s="14"/>
      <c r="CN686" s="14"/>
      <c r="CO686" s="14"/>
      <c r="CP686" s="14"/>
      <c r="CQ686" s="14"/>
      <c r="CR686" s="14"/>
      <c r="CS686" s="14"/>
      <c r="CT686" s="14"/>
      <c r="CU686" s="16"/>
      <c r="CV686" s="14"/>
      <c r="CW686" s="50"/>
      <c r="CX686" s="17"/>
    </row>
    <row r="687" spans="4:102" x14ac:dyDescent="0.25"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43"/>
      <c r="Q687" s="11"/>
      <c r="R687" s="11"/>
      <c r="S687" s="11"/>
      <c r="T687" s="11"/>
      <c r="U687" s="11"/>
      <c r="V687" s="11"/>
      <c r="W687" s="11"/>
      <c r="X687" s="12"/>
      <c r="Y687" s="12"/>
      <c r="Z687" s="12"/>
      <c r="AA687" s="44"/>
      <c r="AB687" s="45"/>
      <c r="AC687" s="12"/>
      <c r="AD687" s="12"/>
      <c r="AE687" s="12"/>
      <c r="AF687" s="12"/>
      <c r="AG687" s="44"/>
      <c r="AH687" s="45"/>
      <c r="AI687" s="12"/>
      <c r="AJ687" s="12"/>
      <c r="AK687" s="12"/>
      <c r="AL687" s="12"/>
      <c r="AM687" s="44"/>
      <c r="AN687" s="45"/>
      <c r="AO687" s="12"/>
      <c r="AP687" s="12"/>
      <c r="AQ687" s="12"/>
      <c r="AR687" s="12"/>
      <c r="AS687" s="44"/>
      <c r="AT687" s="45"/>
      <c r="AU687" s="12"/>
      <c r="AV687" s="12"/>
      <c r="AW687" s="12"/>
      <c r="AX687" s="12"/>
      <c r="AY687" s="44"/>
      <c r="AZ687" s="45"/>
      <c r="BA687" s="12"/>
      <c r="BB687" s="12"/>
      <c r="BC687" s="12"/>
      <c r="BD687" s="12"/>
      <c r="BE687" s="44"/>
      <c r="BF687" s="45"/>
      <c r="BG687" s="12"/>
      <c r="BH687" s="12"/>
      <c r="BI687" s="12"/>
      <c r="BJ687" s="12"/>
      <c r="BK687" s="44"/>
      <c r="BL687" s="45"/>
      <c r="BM687" s="12"/>
      <c r="BN687" s="12"/>
      <c r="BO687" s="12"/>
      <c r="BP687" s="12"/>
      <c r="BQ687" s="48"/>
      <c r="BR687" s="49"/>
      <c r="BS687" s="13"/>
      <c r="BT687" s="12"/>
      <c r="BV687" s="14"/>
      <c r="BW687" s="50"/>
      <c r="BX687" s="54"/>
      <c r="BY687" s="14"/>
      <c r="BZ687" s="14"/>
      <c r="CA687" s="14"/>
      <c r="CB687" s="14"/>
      <c r="CC687" s="14"/>
      <c r="CD687" s="14"/>
      <c r="CE687" s="14"/>
      <c r="CF687" s="15"/>
      <c r="CG687" s="14"/>
      <c r="CH687" s="14"/>
      <c r="CI687" s="50"/>
      <c r="CJ687" s="54"/>
      <c r="CK687" s="14"/>
      <c r="CL687" s="14"/>
      <c r="CM687" s="14"/>
      <c r="CN687" s="14"/>
      <c r="CO687" s="14"/>
      <c r="CP687" s="14"/>
      <c r="CQ687" s="14"/>
      <c r="CR687" s="14"/>
      <c r="CS687" s="14"/>
      <c r="CT687" s="14"/>
      <c r="CU687" s="16"/>
      <c r="CV687" s="14"/>
      <c r="CW687" s="50"/>
      <c r="CX687" s="17"/>
    </row>
    <row r="688" spans="4:102" x14ac:dyDescent="0.25"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43"/>
      <c r="Q688" s="11"/>
      <c r="R688" s="11"/>
      <c r="S688" s="11"/>
      <c r="T688" s="11"/>
      <c r="U688" s="11"/>
      <c r="V688" s="11"/>
      <c r="W688" s="11"/>
      <c r="X688" s="12"/>
      <c r="Y688" s="12"/>
      <c r="Z688" s="12"/>
      <c r="AA688" s="44"/>
      <c r="AB688" s="45"/>
      <c r="AC688" s="12"/>
      <c r="AD688" s="12"/>
      <c r="AE688" s="12"/>
      <c r="AF688" s="12"/>
      <c r="AG688" s="44"/>
      <c r="AH688" s="45"/>
      <c r="AI688" s="12"/>
      <c r="AJ688" s="12"/>
      <c r="AK688" s="12"/>
      <c r="AL688" s="12"/>
      <c r="AM688" s="44"/>
      <c r="AN688" s="45"/>
      <c r="AO688" s="12"/>
      <c r="AP688" s="12"/>
      <c r="AQ688" s="12"/>
      <c r="AR688" s="12"/>
      <c r="AS688" s="44"/>
      <c r="AT688" s="45"/>
      <c r="AU688" s="12"/>
      <c r="AV688" s="12"/>
      <c r="AW688" s="12"/>
      <c r="AX688" s="12"/>
      <c r="AY688" s="44"/>
      <c r="AZ688" s="45"/>
      <c r="BA688" s="12"/>
      <c r="BB688" s="12"/>
      <c r="BC688" s="12"/>
      <c r="BD688" s="12"/>
      <c r="BE688" s="44"/>
      <c r="BF688" s="45"/>
      <c r="BG688" s="12"/>
      <c r="BH688" s="12"/>
      <c r="BI688" s="12"/>
      <c r="BJ688" s="12"/>
      <c r="BK688" s="44"/>
      <c r="BL688" s="45"/>
      <c r="BM688" s="12"/>
      <c r="BN688" s="12"/>
      <c r="BO688" s="12"/>
      <c r="BP688" s="12"/>
      <c r="BQ688" s="48"/>
      <c r="BR688" s="49"/>
      <c r="BS688" s="13"/>
      <c r="BT688" s="12"/>
      <c r="BV688" s="14"/>
      <c r="BW688" s="50"/>
      <c r="BX688" s="54"/>
      <c r="BY688" s="14"/>
      <c r="BZ688" s="14"/>
      <c r="CA688" s="14"/>
      <c r="CB688" s="14"/>
      <c r="CC688" s="14"/>
      <c r="CD688" s="14"/>
      <c r="CE688" s="14"/>
      <c r="CF688" s="15"/>
      <c r="CG688" s="14"/>
      <c r="CH688" s="14"/>
      <c r="CI688" s="50"/>
      <c r="CJ688" s="54"/>
      <c r="CK688" s="14"/>
      <c r="CL688" s="14"/>
      <c r="CM688" s="14"/>
      <c r="CN688" s="14"/>
      <c r="CO688" s="14"/>
      <c r="CP688" s="14"/>
      <c r="CQ688" s="14"/>
      <c r="CR688" s="14"/>
      <c r="CS688" s="14"/>
      <c r="CT688" s="14"/>
      <c r="CU688" s="16"/>
      <c r="CV688" s="14"/>
      <c r="CW688" s="50"/>
      <c r="CX688" s="17"/>
    </row>
    <row r="689" spans="4:102" x14ac:dyDescent="0.25"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43"/>
      <c r="Q689" s="11"/>
      <c r="R689" s="11"/>
      <c r="S689" s="11"/>
      <c r="T689" s="11"/>
      <c r="U689" s="11"/>
      <c r="V689" s="11"/>
      <c r="W689" s="11"/>
      <c r="X689" s="12"/>
      <c r="Y689" s="12"/>
      <c r="Z689" s="12"/>
      <c r="AA689" s="44"/>
      <c r="AB689" s="45"/>
      <c r="AC689" s="12"/>
      <c r="AD689" s="12"/>
      <c r="AE689" s="12"/>
      <c r="AF689" s="12"/>
      <c r="AG689" s="44"/>
      <c r="AH689" s="45"/>
      <c r="AI689" s="12"/>
      <c r="AJ689" s="12"/>
      <c r="AK689" s="12"/>
      <c r="AL689" s="12"/>
      <c r="AM689" s="44"/>
      <c r="AN689" s="45"/>
      <c r="AO689" s="12"/>
      <c r="AP689" s="12"/>
      <c r="AQ689" s="12"/>
      <c r="AR689" s="12"/>
      <c r="AS689" s="44"/>
      <c r="AT689" s="45"/>
      <c r="AU689" s="12"/>
      <c r="AV689" s="12"/>
      <c r="AW689" s="12"/>
      <c r="AX689" s="12"/>
      <c r="AY689" s="44"/>
      <c r="AZ689" s="45"/>
      <c r="BA689" s="12"/>
      <c r="BB689" s="12"/>
      <c r="BC689" s="12"/>
      <c r="BD689" s="12"/>
      <c r="BE689" s="44"/>
      <c r="BF689" s="45"/>
      <c r="BG689" s="12"/>
      <c r="BH689" s="12"/>
      <c r="BI689" s="12"/>
      <c r="BJ689" s="12"/>
      <c r="BK689" s="44"/>
      <c r="BL689" s="45"/>
      <c r="BM689" s="12"/>
      <c r="BN689" s="12"/>
      <c r="BO689" s="12"/>
      <c r="BP689" s="12"/>
      <c r="BQ689" s="48"/>
      <c r="BR689" s="49"/>
      <c r="BS689" s="13"/>
      <c r="BT689" s="12"/>
      <c r="BV689" s="14"/>
      <c r="BW689" s="50"/>
      <c r="BX689" s="54"/>
      <c r="BY689" s="14"/>
      <c r="BZ689" s="14"/>
      <c r="CA689" s="14"/>
      <c r="CB689" s="14"/>
      <c r="CC689" s="14"/>
      <c r="CD689" s="14"/>
      <c r="CE689" s="14"/>
      <c r="CF689" s="15"/>
      <c r="CG689" s="14"/>
      <c r="CH689" s="14"/>
      <c r="CI689" s="50"/>
      <c r="CJ689" s="54"/>
      <c r="CK689" s="14"/>
      <c r="CL689" s="14"/>
      <c r="CM689" s="14"/>
      <c r="CN689" s="14"/>
      <c r="CO689" s="14"/>
      <c r="CP689" s="14"/>
      <c r="CQ689" s="14"/>
      <c r="CR689" s="14"/>
      <c r="CS689" s="14"/>
      <c r="CT689" s="14"/>
      <c r="CU689" s="16"/>
      <c r="CV689" s="14"/>
      <c r="CW689" s="50"/>
      <c r="CX689" s="17"/>
    </row>
    <row r="690" spans="4:102" x14ac:dyDescent="0.25"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43"/>
      <c r="Q690" s="11"/>
      <c r="R690" s="11"/>
      <c r="S690" s="11"/>
      <c r="T690" s="11"/>
      <c r="U690" s="11"/>
      <c r="V690" s="11"/>
      <c r="W690" s="11"/>
      <c r="X690" s="12"/>
      <c r="Y690" s="12"/>
      <c r="Z690" s="12"/>
      <c r="AA690" s="44"/>
      <c r="AB690" s="45"/>
      <c r="AC690" s="12"/>
      <c r="AD690" s="12"/>
      <c r="AE690" s="12"/>
      <c r="AF690" s="12"/>
      <c r="AG690" s="44"/>
      <c r="AH690" s="45"/>
      <c r="AI690" s="12"/>
      <c r="AJ690" s="12"/>
      <c r="AK690" s="12"/>
      <c r="AL690" s="12"/>
      <c r="AM690" s="44"/>
      <c r="AN690" s="45"/>
      <c r="AO690" s="12"/>
      <c r="AP690" s="12"/>
      <c r="AQ690" s="12"/>
      <c r="AR690" s="12"/>
      <c r="AS690" s="44"/>
      <c r="AT690" s="45"/>
      <c r="AU690" s="12"/>
      <c r="AV690" s="12"/>
      <c r="AW690" s="12"/>
      <c r="AX690" s="12"/>
      <c r="AY690" s="44"/>
      <c r="AZ690" s="45"/>
      <c r="BA690" s="12"/>
      <c r="BB690" s="12"/>
      <c r="BC690" s="12"/>
      <c r="BD690" s="12"/>
      <c r="BE690" s="44"/>
      <c r="BF690" s="45"/>
      <c r="BG690" s="12"/>
      <c r="BH690" s="12"/>
      <c r="BI690" s="12"/>
      <c r="BJ690" s="12"/>
      <c r="BK690" s="44"/>
      <c r="BL690" s="45"/>
      <c r="BM690" s="12"/>
      <c r="BN690" s="12"/>
      <c r="BO690" s="12"/>
      <c r="BP690" s="12"/>
      <c r="BQ690" s="48"/>
      <c r="BR690" s="49"/>
      <c r="BS690" s="13"/>
      <c r="BT690" s="12"/>
      <c r="BV690" s="14"/>
      <c r="BW690" s="50"/>
      <c r="BX690" s="54"/>
      <c r="BY690" s="14"/>
      <c r="BZ690" s="14"/>
      <c r="CA690" s="14"/>
      <c r="CB690" s="14"/>
      <c r="CC690" s="14"/>
      <c r="CD690" s="14"/>
      <c r="CE690" s="14"/>
      <c r="CF690" s="15"/>
      <c r="CG690" s="14"/>
      <c r="CH690" s="14"/>
      <c r="CI690" s="50"/>
      <c r="CJ690" s="54"/>
      <c r="CK690" s="14"/>
      <c r="CL690" s="14"/>
      <c r="CM690" s="14"/>
      <c r="CN690" s="14"/>
      <c r="CO690" s="14"/>
      <c r="CP690" s="14"/>
      <c r="CQ690" s="14"/>
      <c r="CR690" s="14"/>
      <c r="CS690" s="14"/>
      <c r="CT690" s="14"/>
      <c r="CU690" s="16"/>
      <c r="CV690" s="14"/>
      <c r="CW690" s="50"/>
      <c r="CX690" s="17"/>
    </row>
    <row r="691" spans="4:102" x14ac:dyDescent="0.25"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43"/>
      <c r="Q691" s="11"/>
      <c r="R691" s="11"/>
      <c r="S691" s="11"/>
      <c r="T691" s="11"/>
      <c r="U691" s="11"/>
      <c r="V691" s="11"/>
      <c r="W691" s="11"/>
      <c r="X691" s="12"/>
      <c r="Y691" s="12"/>
      <c r="Z691" s="12"/>
      <c r="AA691" s="44"/>
      <c r="AB691" s="45"/>
      <c r="AC691" s="12"/>
      <c r="AD691" s="12"/>
      <c r="AE691" s="12"/>
      <c r="AF691" s="12"/>
      <c r="AG691" s="44"/>
      <c r="AH691" s="45"/>
      <c r="AI691" s="12"/>
      <c r="AJ691" s="12"/>
      <c r="AK691" s="12"/>
      <c r="AL691" s="12"/>
      <c r="AM691" s="44"/>
      <c r="AN691" s="45"/>
      <c r="AO691" s="12"/>
      <c r="AP691" s="12"/>
      <c r="AQ691" s="12"/>
      <c r="AR691" s="12"/>
      <c r="AS691" s="44"/>
      <c r="AT691" s="45"/>
      <c r="AU691" s="12"/>
      <c r="AV691" s="12"/>
      <c r="AW691" s="12"/>
      <c r="AX691" s="12"/>
      <c r="AY691" s="44"/>
      <c r="AZ691" s="45"/>
      <c r="BA691" s="12"/>
      <c r="BB691" s="12"/>
      <c r="BC691" s="12"/>
      <c r="BD691" s="12"/>
      <c r="BE691" s="44"/>
      <c r="BF691" s="45"/>
      <c r="BG691" s="12"/>
      <c r="BH691" s="12"/>
      <c r="BI691" s="12"/>
      <c r="BJ691" s="12"/>
      <c r="BK691" s="44"/>
      <c r="BL691" s="45"/>
      <c r="BM691" s="12"/>
      <c r="BN691" s="12"/>
      <c r="BO691" s="12"/>
      <c r="BP691" s="12"/>
      <c r="BQ691" s="48"/>
      <c r="BR691" s="49"/>
      <c r="BS691" s="13"/>
      <c r="BT691" s="12"/>
      <c r="BV691" s="14"/>
      <c r="BW691" s="50"/>
      <c r="BX691" s="54"/>
      <c r="BY691" s="14"/>
      <c r="BZ691" s="14"/>
      <c r="CA691" s="14"/>
      <c r="CB691" s="14"/>
      <c r="CC691" s="14"/>
      <c r="CD691" s="14"/>
      <c r="CE691" s="14"/>
      <c r="CF691" s="15"/>
      <c r="CG691" s="14"/>
      <c r="CH691" s="14"/>
      <c r="CI691" s="50"/>
      <c r="CJ691" s="54"/>
      <c r="CK691" s="14"/>
      <c r="CL691" s="14"/>
      <c r="CM691" s="14"/>
      <c r="CN691" s="14"/>
      <c r="CO691" s="14"/>
      <c r="CP691" s="14"/>
      <c r="CQ691" s="14"/>
      <c r="CR691" s="14"/>
      <c r="CS691" s="14"/>
      <c r="CT691" s="14"/>
      <c r="CU691" s="16"/>
      <c r="CV691" s="14"/>
      <c r="CW691" s="50"/>
      <c r="CX691" s="17"/>
    </row>
    <row r="692" spans="4:102" x14ac:dyDescent="0.25"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43"/>
      <c r="Q692" s="11"/>
      <c r="R692" s="11"/>
      <c r="S692" s="11"/>
      <c r="T692" s="11"/>
      <c r="U692" s="11"/>
      <c r="V692" s="11"/>
      <c r="W692" s="11"/>
      <c r="X692" s="12"/>
      <c r="Y692" s="12"/>
      <c r="Z692" s="12"/>
      <c r="AA692" s="44"/>
      <c r="AB692" s="45"/>
      <c r="AC692" s="12"/>
      <c r="AD692" s="12"/>
      <c r="AE692" s="12"/>
      <c r="AF692" s="12"/>
      <c r="AG692" s="44"/>
      <c r="AH692" s="45"/>
      <c r="AI692" s="12"/>
      <c r="AJ692" s="12"/>
      <c r="AK692" s="12"/>
      <c r="AL692" s="12"/>
      <c r="AM692" s="44"/>
      <c r="AN692" s="45"/>
      <c r="AO692" s="12"/>
      <c r="AP692" s="12"/>
      <c r="AQ692" s="12"/>
      <c r="AR692" s="12"/>
      <c r="AS692" s="44"/>
      <c r="AT692" s="45"/>
      <c r="AU692" s="12"/>
      <c r="AV692" s="12"/>
      <c r="AW692" s="12"/>
      <c r="AX692" s="12"/>
      <c r="AY692" s="44"/>
      <c r="AZ692" s="45"/>
      <c r="BA692" s="12"/>
      <c r="BB692" s="12"/>
      <c r="BC692" s="12"/>
      <c r="BD692" s="12"/>
      <c r="BE692" s="44"/>
      <c r="BF692" s="45"/>
      <c r="BG692" s="12"/>
      <c r="BH692" s="12"/>
      <c r="BI692" s="12"/>
      <c r="BJ692" s="12"/>
      <c r="BK692" s="44"/>
      <c r="BL692" s="45"/>
      <c r="BM692" s="12"/>
      <c r="BN692" s="12"/>
      <c r="BO692" s="12"/>
      <c r="BP692" s="12"/>
      <c r="BQ692" s="48"/>
      <c r="BR692" s="49"/>
      <c r="BS692" s="13"/>
      <c r="BT692" s="12"/>
      <c r="BV692" s="14"/>
      <c r="BW692" s="50"/>
      <c r="BX692" s="54"/>
      <c r="BY692" s="14"/>
      <c r="BZ692" s="14"/>
      <c r="CA692" s="14"/>
      <c r="CB692" s="14"/>
      <c r="CC692" s="14"/>
      <c r="CD692" s="14"/>
      <c r="CE692" s="14"/>
      <c r="CF692" s="15"/>
      <c r="CG692" s="14"/>
      <c r="CH692" s="14"/>
      <c r="CI692" s="50"/>
      <c r="CJ692" s="54"/>
      <c r="CK692" s="14"/>
      <c r="CL692" s="14"/>
      <c r="CM692" s="14"/>
      <c r="CN692" s="14"/>
      <c r="CO692" s="14"/>
      <c r="CP692" s="14"/>
      <c r="CQ692" s="14"/>
      <c r="CR692" s="14"/>
      <c r="CS692" s="14"/>
      <c r="CT692" s="14"/>
      <c r="CU692" s="16"/>
      <c r="CV692" s="14"/>
      <c r="CW692" s="50"/>
      <c r="CX692" s="17"/>
    </row>
    <row r="693" spans="4:102" x14ac:dyDescent="0.25"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43"/>
      <c r="Q693" s="11"/>
      <c r="R693" s="11"/>
      <c r="S693" s="11"/>
      <c r="T693" s="11"/>
      <c r="U693" s="11"/>
      <c r="V693" s="11"/>
      <c r="W693" s="11"/>
      <c r="X693" s="12"/>
      <c r="Y693" s="12"/>
      <c r="Z693" s="12"/>
      <c r="AA693" s="44"/>
      <c r="AB693" s="45"/>
      <c r="AC693" s="12"/>
      <c r="AD693" s="12"/>
      <c r="AE693" s="12"/>
      <c r="AF693" s="12"/>
      <c r="AG693" s="44"/>
      <c r="AH693" s="45"/>
      <c r="AI693" s="12"/>
      <c r="AJ693" s="12"/>
      <c r="AK693" s="12"/>
      <c r="AL693" s="12"/>
      <c r="AM693" s="44"/>
      <c r="AN693" s="45"/>
      <c r="AO693" s="12"/>
      <c r="AP693" s="12"/>
      <c r="AQ693" s="12"/>
      <c r="AR693" s="12"/>
      <c r="AS693" s="44"/>
      <c r="AT693" s="45"/>
      <c r="AU693" s="12"/>
      <c r="AV693" s="12"/>
      <c r="AW693" s="12"/>
      <c r="AX693" s="12"/>
      <c r="AY693" s="44"/>
      <c r="AZ693" s="45"/>
      <c r="BA693" s="12"/>
      <c r="BB693" s="12"/>
      <c r="BC693" s="12"/>
      <c r="BD693" s="12"/>
      <c r="BE693" s="44"/>
      <c r="BF693" s="45"/>
      <c r="BG693" s="12"/>
      <c r="BH693" s="12"/>
      <c r="BI693" s="12"/>
      <c r="BJ693" s="12"/>
      <c r="BK693" s="44"/>
      <c r="BL693" s="45"/>
      <c r="BM693" s="12"/>
      <c r="BN693" s="12"/>
      <c r="BO693" s="12"/>
      <c r="BP693" s="12"/>
      <c r="BQ693" s="48"/>
      <c r="BR693" s="49"/>
      <c r="BS693" s="13"/>
      <c r="BT693" s="12"/>
      <c r="BV693" s="14"/>
      <c r="BW693" s="50"/>
      <c r="BX693" s="54"/>
      <c r="BY693" s="14"/>
      <c r="BZ693" s="14"/>
      <c r="CA693" s="14"/>
      <c r="CB693" s="14"/>
      <c r="CC693" s="14"/>
      <c r="CD693" s="14"/>
      <c r="CE693" s="14"/>
      <c r="CF693" s="15"/>
      <c r="CG693" s="14"/>
      <c r="CH693" s="14"/>
      <c r="CI693" s="50"/>
      <c r="CJ693" s="54"/>
      <c r="CK693" s="14"/>
      <c r="CL693" s="14"/>
      <c r="CM693" s="14"/>
      <c r="CN693" s="14"/>
      <c r="CO693" s="14"/>
      <c r="CP693" s="14"/>
      <c r="CQ693" s="14"/>
      <c r="CR693" s="14"/>
      <c r="CS693" s="14"/>
      <c r="CT693" s="14"/>
      <c r="CU693" s="16"/>
      <c r="CV693" s="14"/>
      <c r="CW693" s="50"/>
      <c r="CX693" s="17"/>
    </row>
    <row r="694" spans="4:102" x14ac:dyDescent="0.25"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43"/>
      <c r="Q694" s="11"/>
      <c r="R694" s="11"/>
      <c r="S694" s="11"/>
      <c r="T694" s="11"/>
      <c r="U694" s="11"/>
      <c r="V694" s="11"/>
      <c r="W694" s="11"/>
      <c r="X694" s="12"/>
      <c r="Y694" s="12"/>
      <c r="Z694" s="12"/>
      <c r="AA694" s="44"/>
      <c r="AB694" s="45"/>
      <c r="AC694" s="12"/>
      <c r="AD694" s="12"/>
      <c r="AE694" s="12"/>
      <c r="AF694" s="12"/>
      <c r="AG694" s="44"/>
      <c r="AH694" s="45"/>
      <c r="AI694" s="12"/>
      <c r="AJ694" s="12"/>
      <c r="AK694" s="12"/>
      <c r="AL694" s="12"/>
      <c r="AM694" s="44"/>
      <c r="AN694" s="45"/>
      <c r="AO694" s="12"/>
      <c r="AP694" s="12"/>
      <c r="AQ694" s="12"/>
      <c r="AR694" s="12"/>
      <c r="AS694" s="44"/>
      <c r="AT694" s="45"/>
      <c r="AU694" s="12"/>
      <c r="AV694" s="12"/>
      <c r="AW694" s="12"/>
      <c r="AX694" s="12"/>
      <c r="AY694" s="44"/>
      <c r="AZ694" s="45"/>
      <c r="BA694" s="12"/>
      <c r="BB694" s="12"/>
      <c r="BC694" s="12"/>
      <c r="BD694" s="12"/>
      <c r="BE694" s="44"/>
      <c r="BF694" s="45"/>
      <c r="BG694" s="12"/>
      <c r="BH694" s="12"/>
      <c r="BI694" s="12"/>
      <c r="BJ694" s="12"/>
      <c r="BK694" s="44"/>
      <c r="BL694" s="45"/>
      <c r="BM694" s="12"/>
      <c r="BN694" s="12"/>
      <c r="BO694" s="12"/>
      <c r="BP694" s="12"/>
      <c r="BQ694" s="48"/>
      <c r="BR694" s="49"/>
      <c r="BS694" s="13"/>
      <c r="BT694" s="12"/>
      <c r="BV694" s="14"/>
      <c r="BW694" s="50"/>
      <c r="BX694" s="54"/>
      <c r="BY694" s="14"/>
      <c r="BZ694" s="14"/>
      <c r="CA694" s="14"/>
      <c r="CB694" s="14"/>
      <c r="CC694" s="14"/>
      <c r="CD694" s="14"/>
      <c r="CE694" s="14"/>
      <c r="CF694" s="15"/>
      <c r="CG694" s="14"/>
      <c r="CH694" s="14"/>
      <c r="CI694" s="50"/>
      <c r="CJ694" s="54"/>
      <c r="CK694" s="14"/>
      <c r="CL694" s="14"/>
      <c r="CM694" s="14"/>
      <c r="CN694" s="14"/>
      <c r="CO694" s="14"/>
      <c r="CP694" s="14"/>
      <c r="CQ694" s="14"/>
      <c r="CR694" s="14"/>
      <c r="CS694" s="14"/>
      <c r="CT694" s="14"/>
      <c r="CU694" s="16"/>
      <c r="CV694" s="14"/>
      <c r="CW694" s="50"/>
      <c r="CX694" s="17"/>
    </row>
    <row r="695" spans="4:102" x14ac:dyDescent="0.25"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43"/>
      <c r="Q695" s="11"/>
      <c r="R695" s="11"/>
      <c r="S695" s="11"/>
      <c r="T695" s="11"/>
      <c r="U695" s="11"/>
      <c r="V695" s="11"/>
      <c r="W695" s="11"/>
      <c r="X695" s="12"/>
      <c r="Y695" s="12"/>
      <c r="Z695" s="12"/>
      <c r="AA695" s="44"/>
      <c r="AB695" s="45"/>
      <c r="AC695" s="12"/>
      <c r="AD695" s="12"/>
      <c r="AE695" s="12"/>
      <c r="AF695" s="12"/>
      <c r="AG695" s="44"/>
      <c r="AH695" s="45"/>
      <c r="AI695" s="12"/>
      <c r="AJ695" s="12"/>
      <c r="AK695" s="12"/>
      <c r="AL695" s="12"/>
      <c r="AM695" s="44"/>
      <c r="AN695" s="45"/>
      <c r="AO695" s="12"/>
      <c r="AP695" s="12"/>
      <c r="AQ695" s="12"/>
      <c r="AR695" s="12"/>
      <c r="AS695" s="44"/>
      <c r="AT695" s="45"/>
      <c r="AU695" s="12"/>
      <c r="AV695" s="12"/>
      <c r="AW695" s="12"/>
      <c r="AX695" s="12"/>
      <c r="AY695" s="44"/>
      <c r="AZ695" s="45"/>
      <c r="BA695" s="12"/>
      <c r="BB695" s="12"/>
      <c r="BC695" s="12"/>
      <c r="BD695" s="12"/>
      <c r="BE695" s="44"/>
      <c r="BF695" s="45"/>
      <c r="BG695" s="12"/>
      <c r="BH695" s="12"/>
      <c r="BI695" s="12"/>
      <c r="BJ695" s="12"/>
      <c r="BK695" s="44"/>
      <c r="BL695" s="45"/>
      <c r="BM695" s="12"/>
      <c r="BN695" s="12"/>
      <c r="BO695" s="12"/>
      <c r="BP695" s="12"/>
      <c r="BQ695" s="48"/>
      <c r="BR695" s="49"/>
      <c r="BS695" s="13"/>
      <c r="BT695" s="12"/>
      <c r="BV695" s="14"/>
      <c r="BW695" s="50"/>
      <c r="BX695" s="54"/>
      <c r="BY695" s="14"/>
      <c r="BZ695" s="14"/>
      <c r="CA695" s="14"/>
      <c r="CB695" s="14"/>
      <c r="CC695" s="14"/>
      <c r="CD695" s="14"/>
      <c r="CE695" s="14"/>
      <c r="CF695" s="15"/>
      <c r="CG695" s="14"/>
      <c r="CH695" s="14"/>
      <c r="CI695" s="50"/>
      <c r="CJ695" s="54"/>
      <c r="CK695" s="14"/>
      <c r="CL695" s="14"/>
      <c r="CM695" s="14"/>
      <c r="CN695" s="14"/>
      <c r="CO695" s="14"/>
      <c r="CP695" s="14"/>
      <c r="CQ695" s="14"/>
      <c r="CR695" s="14"/>
      <c r="CS695" s="14"/>
      <c r="CT695" s="14"/>
      <c r="CU695" s="16"/>
      <c r="CV695" s="14"/>
      <c r="CW695" s="50"/>
      <c r="CX695" s="17"/>
    </row>
    <row r="696" spans="4:102" x14ac:dyDescent="0.25"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43"/>
      <c r="Q696" s="11"/>
      <c r="R696" s="11"/>
      <c r="S696" s="11"/>
      <c r="T696" s="11"/>
      <c r="U696" s="11"/>
      <c r="V696" s="11"/>
      <c r="W696" s="11"/>
      <c r="X696" s="12"/>
      <c r="Y696" s="12"/>
      <c r="Z696" s="12"/>
      <c r="AA696" s="44"/>
      <c r="AB696" s="45"/>
      <c r="AC696" s="12"/>
      <c r="AD696" s="12"/>
      <c r="AE696" s="12"/>
      <c r="AF696" s="12"/>
      <c r="AG696" s="44"/>
      <c r="AH696" s="45"/>
      <c r="AI696" s="12"/>
      <c r="AJ696" s="12"/>
      <c r="AK696" s="12"/>
      <c r="AL696" s="12"/>
      <c r="AM696" s="44"/>
      <c r="AN696" s="45"/>
      <c r="AO696" s="12"/>
      <c r="AP696" s="12"/>
      <c r="AQ696" s="12"/>
      <c r="AR696" s="12"/>
      <c r="AS696" s="44"/>
      <c r="AT696" s="45"/>
      <c r="AU696" s="12"/>
      <c r="AV696" s="12"/>
      <c r="AW696" s="12"/>
      <c r="AX696" s="12"/>
      <c r="AY696" s="44"/>
      <c r="AZ696" s="45"/>
      <c r="BA696" s="12"/>
      <c r="BB696" s="12"/>
      <c r="BC696" s="12"/>
      <c r="BD696" s="12"/>
      <c r="BE696" s="44"/>
      <c r="BF696" s="45"/>
      <c r="BG696" s="12"/>
      <c r="BH696" s="12"/>
      <c r="BI696" s="12"/>
      <c r="BJ696" s="12"/>
      <c r="BK696" s="44"/>
      <c r="BL696" s="45"/>
      <c r="BM696" s="12"/>
      <c r="BN696" s="12"/>
      <c r="BO696" s="12"/>
      <c r="BP696" s="12"/>
      <c r="BQ696" s="48"/>
      <c r="BR696" s="49"/>
      <c r="BS696" s="13"/>
      <c r="BT696" s="12"/>
      <c r="BV696" s="14"/>
      <c r="BW696" s="50"/>
      <c r="BX696" s="54"/>
      <c r="BY696" s="14"/>
      <c r="BZ696" s="14"/>
      <c r="CA696" s="14"/>
      <c r="CB696" s="14"/>
      <c r="CC696" s="14"/>
      <c r="CD696" s="14"/>
      <c r="CE696" s="14"/>
      <c r="CF696" s="15"/>
      <c r="CG696" s="14"/>
      <c r="CH696" s="14"/>
      <c r="CI696" s="50"/>
      <c r="CJ696" s="54"/>
      <c r="CK696" s="14"/>
      <c r="CL696" s="14"/>
      <c r="CM696" s="14"/>
      <c r="CN696" s="14"/>
      <c r="CO696" s="14"/>
      <c r="CP696" s="14"/>
      <c r="CQ696" s="14"/>
      <c r="CR696" s="14"/>
      <c r="CS696" s="14"/>
      <c r="CT696" s="14"/>
      <c r="CU696" s="16"/>
      <c r="CV696" s="14"/>
      <c r="CW696" s="50"/>
      <c r="CX696" s="17"/>
    </row>
    <row r="697" spans="4:102" x14ac:dyDescent="0.25"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43"/>
      <c r="Q697" s="11"/>
      <c r="R697" s="11"/>
      <c r="S697" s="11"/>
      <c r="T697" s="11"/>
      <c r="U697" s="11"/>
      <c r="V697" s="11"/>
      <c r="W697" s="11"/>
      <c r="X697" s="12"/>
      <c r="Y697" s="12"/>
      <c r="Z697" s="12"/>
      <c r="AA697" s="44"/>
      <c r="AB697" s="45"/>
      <c r="AC697" s="12"/>
      <c r="AD697" s="12"/>
      <c r="AE697" s="12"/>
      <c r="AF697" s="12"/>
      <c r="AG697" s="44"/>
      <c r="AH697" s="45"/>
      <c r="AI697" s="12"/>
      <c r="AJ697" s="12"/>
      <c r="AK697" s="12"/>
      <c r="AL697" s="12"/>
      <c r="AM697" s="44"/>
      <c r="AN697" s="45"/>
      <c r="AO697" s="12"/>
      <c r="AP697" s="12"/>
      <c r="AQ697" s="12"/>
      <c r="AR697" s="12"/>
      <c r="AS697" s="44"/>
      <c r="AT697" s="45"/>
      <c r="AU697" s="12"/>
      <c r="AV697" s="12"/>
      <c r="AW697" s="12"/>
      <c r="AX697" s="12"/>
      <c r="AY697" s="44"/>
      <c r="AZ697" s="45"/>
      <c r="BA697" s="12"/>
      <c r="BB697" s="12"/>
      <c r="BC697" s="12"/>
      <c r="BD697" s="12"/>
      <c r="BE697" s="44"/>
      <c r="BF697" s="45"/>
      <c r="BG697" s="12"/>
      <c r="BH697" s="12"/>
      <c r="BI697" s="12"/>
      <c r="BJ697" s="12"/>
      <c r="BK697" s="44"/>
      <c r="BL697" s="45"/>
      <c r="BM697" s="12"/>
      <c r="BN697" s="12"/>
      <c r="BO697" s="12"/>
      <c r="BP697" s="12"/>
      <c r="BQ697" s="48"/>
      <c r="BR697" s="49"/>
      <c r="BS697" s="13"/>
      <c r="BT697" s="12"/>
      <c r="BV697" s="14"/>
      <c r="BW697" s="50"/>
      <c r="BX697" s="54"/>
      <c r="BY697" s="14"/>
      <c r="BZ697" s="14"/>
      <c r="CA697" s="14"/>
      <c r="CB697" s="14"/>
      <c r="CC697" s="14"/>
      <c r="CD697" s="14"/>
      <c r="CE697" s="14"/>
      <c r="CF697" s="15"/>
      <c r="CG697" s="14"/>
      <c r="CH697" s="14"/>
      <c r="CI697" s="50"/>
      <c r="CJ697" s="54"/>
      <c r="CK697" s="14"/>
      <c r="CL697" s="14"/>
      <c r="CM697" s="14"/>
      <c r="CN697" s="14"/>
      <c r="CO697" s="14"/>
      <c r="CP697" s="14"/>
      <c r="CQ697" s="14"/>
      <c r="CR697" s="14"/>
      <c r="CS697" s="14"/>
      <c r="CT697" s="14"/>
      <c r="CU697" s="16"/>
      <c r="CV697" s="14"/>
      <c r="CW697" s="50"/>
      <c r="CX697" s="17"/>
    </row>
    <row r="698" spans="4:102" x14ac:dyDescent="0.25"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43"/>
      <c r="Q698" s="11"/>
      <c r="R698" s="11"/>
      <c r="S698" s="11"/>
      <c r="T698" s="11"/>
      <c r="U698" s="11"/>
      <c r="V698" s="11"/>
      <c r="W698" s="11"/>
      <c r="X698" s="12"/>
      <c r="Y698" s="12"/>
      <c r="Z698" s="12"/>
      <c r="AA698" s="44"/>
      <c r="AB698" s="45"/>
      <c r="AC698" s="12"/>
      <c r="AD698" s="12"/>
      <c r="AE698" s="12"/>
      <c r="AF698" s="12"/>
      <c r="AG698" s="44"/>
      <c r="AH698" s="45"/>
      <c r="AI698" s="12"/>
      <c r="AJ698" s="12"/>
      <c r="AK698" s="12"/>
      <c r="AL698" s="12"/>
      <c r="AM698" s="44"/>
      <c r="AN698" s="45"/>
      <c r="AO698" s="12"/>
      <c r="AP698" s="12"/>
      <c r="AQ698" s="12"/>
      <c r="AR698" s="12"/>
      <c r="AS698" s="44"/>
      <c r="AT698" s="45"/>
      <c r="AU698" s="12"/>
      <c r="AV698" s="12"/>
      <c r="AW698" s="12"/>
      <c r="AX698" s="12"/>
      <c r="AY698" s="44"/>
      <c r="AZ698" s="45"/>
      <c r="BA698" s="12"/>
      <c r="BB698" s="12"/>
      <c r="BC698" s="12"/>
      <c r="BD698" s="12"/>
      <c r="BE698" s="44"/>
      <c r="BF698" s="45"/>
      <c r="BG698" s="12"/>
      <c r="BH698" s="12"/>
      <c r="BI698" s="12"/>
      <c r="BJ698" s="12"/>
      <c r="BK698" s="44"/>
      <c r="BL698" s="45"/>
      <c r="BM698" s="12"/>
      <c r="BN698" s="12"/>
      <c r="BO698" s="12"/>
      <c r="BP698" s="12"/>
      <c r="BQ698" s="48"/>
      <c r="BR698" s="49"/>
      <c r="BS698" s="13"/>
      <c r="BT698" s="12"/>
      <c r="BV698" s="14"/>
      <c r="BW698" s="50"/>
      <c r="BX698" s="54"/>
      <c r="BY698" s="14"/>
      <c r="BZ698" s="14"/>
      <c r="CA698" s="14"/>
      <c r="CB698" s="14"/>
      <c r="CC698" s="14"/>
      <c r="CD698" s="14"/>
      <c r="CE698" s="14"/>
      <c r="CF698" s="15"/>
      <c r="CG698" s="14"/>
      <c r="CH698" s="14"/>
      <c r="CI698" s="50"/>
      <c r="CJ698" s="54"/>
      <c r="CK698" s="14"/>
      <c r="CL698" s="14"/>
      <c r="CM698" s="14"/>
      <c r="CN698" s="14"/>
      <c r="CO698" s="14"/>
      <c r="CP698" s="14"/>
      <c r="CQ698" s="14"/>
      <c r="CR698" s="14"/>
      <c r="CS698" s="14"/>
      <c r="CT698" s="14"/>
      <c r="CU698" s="16"/>
      <c r="CV698" s="14"/>
      <c r="CW698" s="50"/>
      <c r="CX698" s="17"/>
    </row>
    <row r="699" spans="4:102" x14ac:dyDescent="0.25"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43"/>
      <c r="Q699" s="11"/>
      <c r="R699" s="11"/>
      <c r="S699" s="11"/>
      <c r="T699" s="11"/>
      <c r="U699" s="11"/>
      <c r="V699" s="11"/>
      <c r="W699" s="11"/>
      <c r="X699" s="12"/>
      <c r="Y699" s="12"/>
      <c r="Z699" s="12"/>
      <c r="AA699" s="44"/>
      <c r="AB699" s="45"/>
      <c r="AC699" s="12"/>
      <c r="AD699" s="12"/>
      <c r="AE699" s="12"/>
      <c r="AF699" s="12"/>
      <c r="AG699" s="44"/>
      <c r="AH699" s="45"/>
      <c r="AI699" s="12"/>
      <c r="AJ699" s="12"/>
      <c r="AK699" s="12"/>
      <c r="AL699" s="12"/>
      <c r="AM699" s="44"/>
      <c r="AN699" s="45"/>
      <c r="AO699" s="12"/>
      <c r="AP699" s="12"/>
      <c r="AQ699" s="12"/>
      <c r="AR699" s="12"/>
      <c r="AS699" s="44"/>
      <c r="AT699" s="45"/>
      <c r="AU699" s="12"/>
      <c r="AV699" s="12"/>
      <c r="AW699" s="12"/>
      <c r="AX699" s="12"/>
      <c r="AY699" s="44"/>
      <c r="AZ699" s="45"/>
      <c r="BA699" s="12"/>
      <c r="BB699" s="12"/>
      <c r="BC699" s="12"/>
      <c r="BD699" s="12"/>
      <c r="BE699" s="44"/>
      <c r="BF699" s="45"/>
      <c r="BG699" s="12"/>
      <c r="BH699" s="12"/>
      <c r="BI699" s="12"/>
      <c r="BJ699" s="12"/>
      <c r="BK699" s="44"/>
      <c r="BL699" s="45"/>
      <c r="BM699" s="12"/>
      <c r="BN699" s="12"/>
      <c r="BO699" s="12"/>
      <c r="BP699" s="12"/>
      <c r="BQ699" s="48"/>
      <c r="BR699" s="49"/>
      <c r="BS699" s="13"/>
      <c r="BT699" s="12"/>
      <c r="BV699" s="14"/>
      <c r="BW699" s="50"/>
      <c r="BX699" s="54"/>
      <c r="BY699" s="14"/>
      <c r="BZ699" s="14"/>
      <c r="CA699" s="14"/>
      <c r="CB699" s="14"/>
      <c r="CC699" s="14"/>
      <c r="CD699" s="14"/>
      <c r="CE699" s="14"/>
      <c r="CF699" s="15"/>
      <c r="CG699" s="14"/>
      <c r="CH699" s="14"/>
      <c r="CI699" s="50"/>
      <c r="CJ699" s="54"/>
      <c r="CK699" s="14"/>
      <c r="CL699" s="14"/>
      <c r="CM699" s="14"/>
      <c r="CN699" s="14"/>
      <c r="CO699" s="14"/>
      <c r="CP699" s="14"/>
      <c r="CQ699" s="14"/>
      <c r="CR699" s="14"/>
      <c r="CS699" s="14"/>
      <c r="CT699" s="14"/>
      <c r="CU699" s="16"/>
      <c r="CV699" s="14"/>
      <c r="CW699" s="50"/>
      <c r="CX699" s="17"/>
    </row>
    <row r="700" spans="4:102" x14ac:dyDescent="0.25"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43"/>
      <c r="Q700" s="11"/>
      <c r="R700" s="11"/>
      <c r="S700" s="11"/>
      <c r="T700" s="11"/>
      <c r="U700" s="11"/>
      <c r="V700" s="11"/>
      <c r="W700" s="11"/>
      <c r="X700" s="12"/>
      <c r="Y700" s="12"/>
      <c r="Z700" s="12"/>
      <c r="AA700" s="44"/>
      <c r="AB700" s="45"/>
      <c r="AC700" s="12"/>
      <c r="AD700" s="12"/>
      <c r="AE700" s="12"/>
      <c r="AF700" s="12"/>
      <c r="AG700" s="44"/>
      <c r="AH700" s="45"/>
      <c r="AI700" s="12"/>
      <c r="AJ700" s="12"/>
      <c r="AK700" s="12"/>
      <c r="AL700" s="12"/>
      <c r="AM700" s="44"/>
      <c r="AN700" s="45"/>
      <c r="AO700" s="12"/>
      <c r="AP700" s="12"/>
      <c r="AQ700" s="12"/>
      <c r="AR700" s="12"/>
      <c r="AS700" s="44"/>
      <c r="AT700" s="45"/>
      <c r="AU700" s="12"/>
      <c r="AV700" s="12"/>
      <c r="AW700" s="12"/>
      <c r="AX700" s="12"/>
      <c r="AY700" s="44"/>
      <c r="AZ700" s="45"/>
      <c r="BA700" s="12"/>
      <c r="BB700" s="12"/>
      <c r="BC700" s="12"/>
      <c r="BD700" s="12"/>
      <c r="BE700" s="44"/>
      <c r="BF700" s="45"/>
      <c r="BG700" s="12"/>
      <c r="BH700" s="12"/>
      <c r="BI700" s="12"/>
      <c r="BJ700" s="12"/>
      <c r="BK700" s="44"/>
      <c r="BL700" s="45"/>
      <c r="BM700" s="12"/>
      <c r="BN700" s="12"/>
      <c r="BO700" s="12"/>
      <c r="BP700" s="12"/>
      <c r="BQ700" s="48"/>
      <c r="BR700" s="49"/>
      <c r="BS700" s="13"/>
      <c r="BT700" s="12"/>
      <c r="BV700" s="14"/>
      <c r="BW700" s="50"/>
      <c r="BX700" s="54"/>
      <c r="BY700" s="14"/>
      <c r="BZ700" s="14"/>
      <c r="CA700" s="14"/>
      <c r="CB700" s="14"/>
      <c r="CC700" s="14"/>
      <c r="CD700" s="14"/>
      <c r="CE700" s="14"/>
      <c r="CF700" s="15"/>
      <c r="CG700" s="14"/>
      <c r="CH700" s="14"/>
      <c r="CI700" s="50"/>
      <c r="CJ700" s="54"/>
      <c r="CK700" s="14"/>
      <c r="CL700" s="14"/>
      <c r="CM700" s="14"/>
      <c r="CN700" s="14"/>
      <c r="CO700" s="14"/>
      <c r="CP700" s="14"/>
      <c r="CQ700" s="14"/>
      <c r="CR700" s="14"/>
      <c r="CS700" s="14"/>
      <c r="CT700" s="14"/>
      <c r="CU700" s="16"/>
      <c r="CV700" s="14"/>
      <c r="CW700" s="50"/>
      <c r="CX700" s="17"/>
    </row>
    <row r="701" spans="4:102" x14ac:dyDescent="0.25"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43"/>
      <c r="Q701" s="11"/>
      <c r="R701" s="11"/>
      <c r="S701" s="11"/>
      <c r="T701" s="11"/>
      <c r="U701" s="11"/>
      <c r="V701" s="11"/>
      <c r="W701" s="11"/>
      <c r="X701" s="12"/>
      <c r="Y701" s="12"/>
      <c r="Z701" s="12"/>
      <c r="AA701" s="44"/>
      <c r="AB701" s="45"/>
      <c r="AC701" s="12"/>
      <c r="AD701" s="12"/>
      <c r="AE701" s="12"/>
      <c r="AF701" s="12"/>
      <c r="AG701" s="44"/>
      <c r="AH701" s="45"/>
      <c r="AI701" s="12"/>
      <c r="AJ701" s="12"/>
      <c r="AK701" s="12"/>
      <c r="AL701" s="12"/>
      <c r="AM701" s="44"/>
      <c r="AN701" s="45"/>
      <c r="AO701" s="12"/>
      <c r="AP701" s="12"/>
      <c r="AQ701" s="12"/>
      <c r="AR701" s="12"/>
      <c r="AS701" s="44"/>
      <c r="AT701" s="45"/>
      <c r="AU701" s="12"/>
      <c r="AV701" s="12"/>
      <c r="AW701" s="12"/>
      <c r="AX701" s="12"/>
      <c r="AY701" s="44"/>
      <c r="AZ701" s="45"/>
      <c r="BA701" s="12"/>
      <c r="BB701" s="12"/>
      <c r="BC701" s="12"/>
      <c r="BD701" s="12"/>
      <c r="BE701" s="44"/>
      <c r="BF701" s="45"/>
      <c r="BG701" s="12"/>
      <c r="BH701" s="12"/>
      <c r="BI701" s="12"/>
      <c r="BJ701" s="12"/>
      <c r="BK701" s="44"/>
      <c r="BL701" s="45"/>
      <c r="BM701" s="12"/>
      <c r="BN701" s="12"/>
      <c r="BO701" s="12"/>
      <c r="BP701" s="12"/>
      <c r="BQ701" s="48"/>
      <c r="BR701" s="49"/>
      <c r="BS701" s="13"/>
      <c r="BT701" s="12"/>
      <c r="BV701" s="14"/>
      <c r="BW701" s="50"/>
      <c r="BX701" s="54"/>
      <c r="BY701" s="14"/>
      <c r="BZ701" s="14"/>
      <c r="CA701" s="14"/>
      <c r="CB701" s="14"/>
      <c r="CC701" s="14"/>
      <c r="CD701" s="14"/>
      <c r="CE701" s="14"/>
      <c r="CF701" s="15"/>
      <c r="CG701" s="14"/>
      <c r="CH701" s="14"/>
      <c r="CI701" s="50"/>
      <c r="CJ701" s="54"/>
      <c r="CK701" s="14"/>
      <c r="CL701" s="14"/>
      <c r="CM701" s="14"/>
      <c r="CN701" s="14"/>
      <c r="CO701" s="14"/>
      <c r="CP701" s="14"/>
      <c r="CQ701" s="14"/>
      <c r="CR701" s="14"/>
      <c r="CS701" s="14"/>
      <c r="CT701" s="14"/>
      <c r="CU701" s="16"/>
      <c r="CV701" s="14"/>
      <c r="CW701" s="50"/>
      <c r="CX701" s="17"/>
    </row>
    <row r="702" spans="4:102" x14ac:dyDescent="0.25"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43"/>
      <c r="Q702" s="11"/>
      <c r="R702" s="11"/>
      <c r="S702" s="11"/>
      <c r="T702" s="11"/>
      <c r="U702" s="11"/>
      <c r="V702" s="11"/>
      <c r="W702" s="11"/>
      <c r="X702" s="12"/>
      <c r="Y702" s="12"/>
      <c r="Z702" s="12"/>
      <c r="AA702" s="44"/>
      <c r="AB702" s="45"/>
      <c r="AC702" s="12"/>
      <c r="AD702" s="12"/>
      <c r="AE702" s="12"/>
      <c r="AF702" s="12"/>
      <c r="AG702" s="44"/>
      <c r="AH702" s="45"/>
      <c r="AI702" s="12"/>
      <c r="AJ702" s="12"/>
      <c r="AK702" s="12"/>
      <c r="AL702" s="12"/>
      <c r="AM702" s="44"/>
      <c r="AN702" s="45"/>
      <c r="AO702" s="12"/>
      <c r="AP702" s="12"/>
      <c r="AQ702" s="12"/>
      <c r="AR702" s="12"/>
      <c r="AS702" s="44"/>
      <c r="AT702" s="45"/>
      <c r="AU702" s="12"/>
      <c r="AV702" s="12"/>
      <c r="AW702" s="12"/>
      <c r="AX702" s="12"/>
      <c r="AY702" s="44"/>
      <c r="AZ702" s="45"/>
      <c r="BA702" s="12"/>
      <c r="BB702" s="12"/>
      <c r="BC702" s="12"/>
      <c r="BD702" s="12"/>
      <c r="BE702" s="44"/>
      <c r="BF702" s="45"/>
      <c r="BG702" s="12"/>
      <c r="BH702" s="12"/>
      <c r="BI702" s="12"/>
      <c r="BJ702" s="12"/>
      <c r="BK702" s="44"/>
      <c r="BL702" s="45"/>
      <c r="BM702" s="12"/>
      <c r="BN702" s="12"/>
      <c r="BO702" s="12"/>
      <c r="BP702" s="12"/>
      <c r="BQ702" s="48"/>
      <c r="BR702" s="49"/>
      <c r="BS702" s="13"/>
      <c r="BT702" s="12"/>
      <c r="BV702" s="14"/>
      <c r="BW702" s="50"/>
      <c r="BX702" s="54"/>
      <c r="BY702" s="14"/>
      <c r="BZ702" s="14"/>
      <c r="CA702" s="14"/>
      <c r="CB702" s="14"/>
      <c r="CC702" s="14"/>
      <c r="CD702" s="14"/>
      <c r="CE702" s="14"/>
      <c r="CF702" s="15"/>
      <c r="CG702" s="14"/>
      <c r="CH702" s="14"/>
      <c r="CI702" s="50"/>
      <c r="CJ702" s="54"/>
      <c r="CK702" s="14"/>
      <c r="CL702" s="14"/>
      <c r="CM702" s="14"/>
      <c r="CN702" s="14"/>
      <c r="CO702" s="14"/>
      <c r="CP702" s="14"/>
      <c r="CQ702" s="14"/>
      <c r="CR702" s="14"/>
      <c r="CS702" s="14"/>
      <c r="CT702" s="14"/>
      <c r="CU702" s="16"/>
      <c r="CV702" s="14"/>
      <c r="CW702" s="50"/>
      <c r="CX702" s="17"/>
    </row>
    <row r="703" spans="4:102" x14ac:dyDescent="0.25"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43"/>
      <c r="Q703" s="11"/>
      <c r="R703" s="11"/>
      <c r="S703" s="11"/>
      <c r="T703" s="11"/>
      <c r="U703" s="11"/>
      <c r="V703" s="11"/>
      <c r="W703" s="11"/>
      <c r="X703" s="12"/>
      <c r="Y703" s="12"/>
      <c r="Z703" s="12"/>
      <c r="AA703" s="44"/>
      <c r="AB703" s="45"/>
      <c r="AC703" s="12"/>
      <c r="AD703" s="12"/>
      <c r="AE703" s="12"/>
      <c r="AF703" s="12"/>
      <c r="AG703" s="44"/>
      <c r="AH703" s="45"/>
      <c r="AI703" s="12"/>
      <c r="AJ703" s="12"/>
      <c r="AK703" s="12"/>
      <c r="AL703" s="12"/>
      <c r="AM703" s="44"/>
      <c r="AN703" s="45"/>
      <c r="AO703" s="12"/>
      <c r="AP703" s="12"/>
      <c r="AQ703" s="12"/>
      <c r="AR703" s="12"/>
      <c r="AS703" s="44"/>
      <c r="AT703" s="45"/>
      <c r="AU703" s="12"/>
      <c r="AV703" s="12"/>
      <c r="AW703" s="12"/>
      <c r="AX703" s="12"/>
      <c r="AY703" s="44"/>
      <c r="AZ703" s="45"/>
      <c r="BA703" s="12"/>
      <c r="BB703" s="12"/>
      <c r="BC703" s="12"/>
      <c r="BD703" s="12"/>
      <c r="BE703" s="44"/>
      <c r="BF703" s="45"/>
      <c r="BG703" s="12"/>
      <c r="BH703" s="12"/>
      <c r="BI703" s="12"/>
      <c r="BJ703" s="12"/>
      <c r="BK703" s="44"/>
      <c r="BL703" s="45"/>
      <c r="BM703" s="12"/>
      <c r="BN703" s="12"/>
      <c r="BO703" s="12"/>
      <c r="BP703" s="12"/>
      <c r="BQ703" s="48"/>
      <c r="BR703" s="49"/>
      <c r="BS703" s="13"/>
      <c r="BT703" s="12"/>
      <c r="BV703" s="14"/>
      <c r="BW703" s="50"/>
      <c r="BX703" s="54"/>
      <c r="BY703" s="14"/>
      <c r="BZ703" s="14"/>
      <c r="CA703" s="14"/>
      <c r="CB703" s="14"/>
      <c r="CC703" s="14"/>
      <c r="CD703" s="14"/>
      <c r="CE703" s="14"/>
      <c r="CF703" s="15"/>
      <c r="CG703" s="14"/>
      <c r="CH703" s="14"/>
      <c r="CI703" s="50"/>
      <c r="CJ703" s="54"/>
      <c r="CK703" s="14"/>
      <c r="CL703" s="14"/>
      <c r="CM703" s="14"/>
      <c r="CN703" s="14"/>
      <c r="CO703" s="14"/>
      <c r="CP703" s="14"/>
      <c r="CQ703" s="14"/>
      <c r="CR703" s="14"/>
      <c r="CS703" s="14"/>
      <c r="CT703" s="14"/>
      <c r="CU703" s="16"/>
      <c r="CV703" s="14"/>
      <c r="CW703" s="50"/>
      <c r="CX703" s="17"/>
    </row>
    <row r="704" spans="4:102" x14ac:dyDescent="0.25"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43"/>
      <c r="Q704" s="11"/>
      <c r="R704" s="11"/>
      <c r="S704" s="11"/>
      <c r="T704" s="11"/>
      <c r="U704" s="11"/>
      <c r="V704" s="11"/>
      <c r="W704" s="11"/>
      <c r="X704" s="12"/>
      <c r="Y704" s="12"/>
      <c r="Z704" s="12"/>
      <c r="AA704" s="44"/>
      <c r="AB704" s="45"/>
      <c r="AC704" s="12"/>
      <c r="AD704" s="12"/>
      <c r="AE704" s="12"/>
      <c r="AF704" s="12"/>
      <c r="AG704" s="44"/>
      <c r="AH704" s="45"/>
      <c r="AI704" s="12"/>
      <c r="AJ704" s="12"/>
      <c r="AK704" s="12"/>
      <c r="AL704" s="12"/>
      <c r="AM704" s="44"/>
      <c r="AN704" s="45"/>
      <c r="AO704" s="12"/>
      <c r="AP704" s="12"/>
      <c r="AQ704" s="12"/>
      <c r="AR704" s="12"/>
      <c r="AS704" s="44"/>
      <c r="AT704" s="45"/>
      <c r="AU704" s="12"/>
      <c r="AV704" s="12"/>
      <c r="AW704" s="12"/>
      <c r="AX704" s="12"/>
      <c r="AY704" s="44"/>
      <c r="AZ704" s="45"/>
      <c r="BA704" s="12"/>
      <c r="BB704" s="12"/>
      <c r="BC704" s="12"/>
      <c r="BD704" s="12"/>
      <c r="BE704" s="44"/>
      <c r="BF704" s="45"/>
      <c r="BG704" s="12"/>
      <c r="BH704" s="12"/>
      <c r="BI704" s="12"/>
      <c r="BJ704" s="12"/>
      <c r="BK704" s="44"/>
      <c r="BL704" s="45"/>
      <c r="BM704" s="12"/>
      <c r="BN704" s="12"/>
      <c r="BO704" s="12"/>
      <c r="BP704" s="12"/>
      <c r="BQ704" s="48"/>
      <c r="BR704" s="49"/>
      <c r="BS704" s="13"/>
      <c r="BT704" s="12"/>
      <c r="BV704" s="14"/>
      <c r="BW704" s="50"/>
      <c r="BX704" s="54"/>
      <c r="BY704" s="14"/>
      <c r="BZ704" s="14"/>
      <c r="CA704" s="14"/>
      <c r="CB704" s="14"/>
      <c r="CC704" s="14"/>
      <c r="CD704" s="14"/>
      <c r="CE704" s="14"/>
      <c r="CF704" s="15"/>
      <c r="CG704" s="14"/>
      <c r="CH704" s="14"/>
      <c r="CI704" s="50"/>
      <c r="CJ704" s="54"/>
      <c r="CK704" s="14"/>
      <c r="CL704" s="14"/>
      <c r="CM704" s="14"/>
      <c r="CN704" s="14"/>
      <c r="CO704" s="14"/>
      <c r="CP704" s="14"/>
      <c r="CQ704" s="14"/>
      <c r="CR704" s="14"/>
      <c r="CS704" s="14"/>
      <c r="CT704" s="14"/>
      <c r="CU704" s="16"/>
      <c r="CV704" s="14"/>
      <c r="CW704" s="50"/>
      <c r="CX704" s="17"/>
    </row>
    <row r="705" spans="4:102" x14ac:dyDescent="0.25"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43"/>
      <c r="Q705" s="11"/>
      <c r="R705" s="11"/>
      <c r="S705" s="11"/>
      <c r="T705" s="11"/>
      <c r="U705" s="11"/>
      <c r="V705" s="11"/>
      <c r="W705" s="11"/>
      <c r="X705" s="12"/>
      <c r="Y705" s="12"/>
      <c r="Z705" s="12"/>
      <c r="AA705" s="44"/>
      <c r="AB705" s="45"/>
      <c r="AC705" s="12"/>
      <c r="AD705" s="12"/>
      <c r="AE705" s="12"/>
      <c r="AF705" s="12"/>
      <c r="AG705" s="44"/>
      <c r="AH705" s="45"/>
      <c r="AI705" s="12"/>
      <c r="AJ705" s="12"/>
      <c r="AK705" s="12"/>
      <c r="AL705" s="12"/>
      <c r="AM705" s="44"/>
      <c r="AN705" s="45"/>
      <c r="AO705" s="12"/>
      <c r="AP705" s="12"/>
      <c r="AQ705" s="12"/>
      <c r="AR705" s="12"/>
      <c r="AS705" s="44"/>
      <c r="AT705" s="45"/>
      <c r="AU705" s="12"/>
      <c r="AV705" s="12"/>
      <c r="AW705" s="12"/>
      <c r="AX705" s="12"/>
      <c r="AY705" s="44"/>
      <c r="AZ705" s="45"/>
      <c r="BA705" s="12"/>
      <c r="BB705" s="12"/>
      <c r="BC705" s="12"/>
      <c r="BD705" s="12"/>
      <c r="BE705" s="44"/>
      <c r="BF705" s="45"/>
      <c r="BG705" s="12"/>
      <c r="BH705" s="12"/>
      <c r="BI705" s="12"/>
      <c r="BJ705" s="12"/>
      <c r="BK705" s="44"/>
      <c r="BL705" s="45"/>
      <c r="BM705" s="12"/>
      <c r="BN705" s="12"/>
      <c r="BO705" s="12"/>
      <c r="BP705" s="12"/>
      <c r="BQ705" s="48"/>
      <c r="BR705" s="49"/>
      <c r="BS705" s="13"/>
      <c r="BT705" s="12"/>
      <c r="BV705" s="14"/>
      <c r="BW705" s="50"/>
      <c r="BX705" s="54"/>
      <c r="BY705" s="14"/>
      <c r="BZ705" s="14"/>
      <c r="CA705" s="14"/>
      <c r="CB705" s="14"/>
      <c r="CC705" s="14"/>
      <c r="CD705" s="14"/>
      <c r="CE705" s="14"/>
      <c r="CF705" s="15"/>
      <c r="CG705" s="14"/>
      <c r="CH705" s="14"/>
      <c r="CI705" s="50"/>
      <c r="CJ705" s="54"/>
      <c r="CK705" s="14"/>
      <c r="CL705" s="14"/>
      <c r="CM705" s="14"/>
      <c r="CN705" s="14"/>
      <c r="CO705" s="14"/>
      <c r="CP705" s="14"/>
      <c r="CQ705" s="14"/>
      <c r="CR705" s="14"/>
      <c r="CS705" s="14"/>
      <c r="CT705" s="14"/>
      <c r="CU705" s="16"/>
      <c r="CV705" s="14"/>
      <c r="CW705" s="50"/>
      <c r="CX705" s="17"/>
    </row>
    <row r="706" spans="4:102" x14ac:dyDescent="0.25"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43"/>
      <c r="Q706" s="11"/>
      <c r="R706" s="11"/>
      <c r="S706" s="11"/>
      <c r="T706" s="11"/>
      <c r="U706" s="11"/>
      <c r="V706" s="11"/>
      <c r="W706" s="11"/>
      <c r="X706" s="12"/>
      <c r="Y706" s="12"/>
      <c r="Z706" s="12"/>
      <c r="AA706" s="44"/>
      <c r="AB706" s="45"/>
      <c r="AC706" s="12"/>
      <c r="AD706" s="12"/>
      <c r="AE706" s="12"/>
      <c r="AF706" s="12"/>
      <c r="AG706" s="44"/>
      <c r="AH706" s="45"/>
      <c r="AI706" s="12"/>
      <c r="AJ706" s="12"/>
      <c r="AK706" s="12"/>
      <c r="AL706" s="12"/>
      <c r="AM706" s="44"/>
      <c r="AN706" s="45"/>
      <c r="AO706" s="12"/>
      <c r="AP706" s="12"/>
      <c r="AQ706" s="12"/>
      <c r="AR706" s="12"/>
      <c r="AS706" s="44"/>
      <c r="AT706" s="45"/>
      <c r="AU706" s="12"/>
      <c r="AV706" s="12"/>
      <c r="AW706" s="12"/>
      <c r="AX706" s="12"/>
      <c r="AY706" s="44"/>
      <c r="AZ706" s="45"/>
      <c r="BA706" s="12"/>
      <c r="BB706" s="12"/>
      <c r="BC706" s="12"/>
      <c r="BD706" s="12"/>
      <c r="BE706" s="44"/>
      <c r="BF706" s="45"/>
      <c r="BG706" s="12"/>
      <c r="BH706" s="12"/>
      <c r="BI706" s="12"/>
      <c r="BJ706" s="12"/>
      <c r="BK706" s="44"/>
      <c r="BL706" s="45"/>
      <c r="BM706" s="12"/>
      <c r="BN706" s="12"/>
      <c r="BO706" s="12"/>
      <c r="BP706" s="12"/>
      <c r="BQ706" s="48"/>
      <c r="BR706" s="49"/>
      <c r="BS706" s="13"/>
      <c r="BT706" s="12"/>
      <c r="BV706" s="14"/>
      <c r="BW706" s="50"/>
      <c r="BX706" s="54"/>
      <c r="BY706" s="14"/>
      <c r="BZ706" s="14"/>
      <c r="CA706" s="14"/>
      <c r="CB706" s="14"/>
      <c r="CC706" s="14"/>
      <c r="CD706" s="14"/>
      <c r="CE706" s="14"/>
      <c r="CF706" s="15"/>
      <c r="CG706" s="14"/>
      <c r="CH706" s="14"/>
      <c r="CI706" s="50"/>
      <c r="CJ706" s="54"/>
      <c r="CK706" s="14"/>
      <c r="CL706" s="14"/>
      <c r="CM706" s="14"/>
      <c r="CN706" s="14"/>
      <c r="CO706" s="14"/>
      <c r="CP706" s="14"/>
      <c r="CQ706" s="14"/>
      <c r="CR706" s="14"/>
      <c r="CS706" s="14"/>
      <c r="CT706" s="14"/>
      <c r="CU706" s="16"/>
      <c r="CV706" s="14"/>
      <c r="CW706" s="50"/>
      <c r="CX706" s="17"/>
    </row>
    <row r="707" spans="4:102" x14ac:dyDescent="0.25"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43"/>
      <c r="Q707" s="11"/>
      <c r="R707" s="11"/>
      <c r="S707" s="11"/>
      <c r="T707" s="11"/>
      <c r="U707" s="11"/>
      <c r="V707" s="11"/>
      <c r="W707" s="11"/>
      <c r="X707" s="12"/>
      <c r="Y707" s="12"/>
      <c r="Z707" s="12"/>
      <c r="AA707" s="44"/>
      <c r="AB707" s="45"/>
      <c r="AC707" s="12"/>
      <c r="AD707" s="12"/>
      <c r="AE707" s="12"/>
      <c r="AF707" s="12"/>
      <c r="AG707" s="44"/>
      <c r="AH707" s="45"/>
      <c r="AI707" s="12"/>
      <c r="AJ707" s="12"/>
      <c r="AK707" s="12"/>
      <c r="AL707" s="12"/>
      <c r="AM707" s="44"/>
      <c r="AN707" s="45"/>
      <c r="AO707" s="12"/>
      <c r="AP707" s="12"/>
      <c r="AQ707" s="12"/>
      <c r="AR707" s="12"/>
      <c r="AS707" s="44"/>
      <c r="AT707" s="45"/>
      <c r="AU707" s="12"/>
      <c r="AV707" s="12"/>
      <c r="AW707" s="12"/>
      <c r="AX707" s="12"/>
      <c r="AY707" s="44"/>
      <c r="AZ707" s="45"/>
      <c r="BA707" s="12"/>
      <c r="BB707" s="12"/>
      <c r="BC707" s="12"/>
      <c r="BD707" s="12"/>
      <c r="BE707" s="44"/>
      <c r="BF707" s="45"/>
      <c r="BG707" s="12"/>
      <c r="BH707" s="12"/>
      <c r="BI707" s="12"/>
      <c r="BJ707" s="12"/>
      <c r="BK707" s="44"/>
      <c r="BL707" s="45"/>
      <c r="BM707" s="12"/>
      <c r="BN707" s="12"/>
      <c r="BO707" s="12"/>
      <c r="BP707" s="12"/>
      <c r="BQ707" s="48"/>
      <c r="BR707" s="49"/>
      <c r="BS707" s="13"/>
      <c r="BT707" s="12"/>
      <c r="BV707" s="14"/>
      <c r="BW707" s="50"/>
      <c r="BX707" s="54"/>
      <c r="BY707" s="14"/>
      <c r="BZ707" s="14"/>
      <c r="CA707" s="14"/>
      <c r="CB707" s="14"/>
      <c r="CC707" s="14"/>
      <c r="CD707" s="14"/>
      <c r="CE707" s="14"/>
      <c r="CF707" s="15"/>
      <c r="CG707" s="14"/>
      <c r="CH707" s="14"/>
      <c r="CI707" s="50"/>
      <c r="CJ707" s="54"/>
      <c r="CK707" s="14"/>
      <c r="CL707" s="14"/>
      <c r="CM707" s="14"/>
      <c r="CN707" s="14"/>
      <c r="CO707" s="14"/>
      <c r="CP707" s="14"/>
      <c r="CQ707" s="14"/>
      <c r="CR707" s="14"/>
      <c r="CS707" s="14"/>
      <c r="CT707" s="14"/>
      <c r="CU707" s="16"/>
      <c r="CV707" s="14"/>
      <c r="CW707" s="50"/>
      <c r="CX707" s="17"/>
    </row>
    <row r="708" spans="4:102" x14ac:dyDescent="0.25"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43"/>
      <c r="Q708" s="11"/>
      <c r="R708" s="11"/>
      <c r="S708" s="11"/>
      <c r="T708" s="11"/>
      <c r="U708" s="11"/>
      <c r="V708" s="11"/>
      <c r="W708" s="11"/>
      <c r="X708" s="12"/>
      <c r="Y708" s="12"/>
      <c r="Z708" s="12"/>
      <c r="AA708" s="44"/>
      <c r="AB708" s="45"/>
      <c r="AC708" s="12"/>
      <c r="AD708" s="12"/>
      <c r="AE708" s="12"/>
      <c r="AF708" s="12"/>
      <c r="AG708" s="44"/>
      <c r="AH708" s="45"/>
      <c r="AI708" s="12"/>
      <c r="AJ708" s="12"/>
      <c r="AK708" s="12"/>
      <c r="AL708" s="12"/>
      <c r="AM708" s="44"/>
      <c r="AN708" s="45"/>
      <c r="AO708" s="12"/>
      <c r="AP708" s="12"/>
      <c r="AQ708" s="12"/>
      <c r="AR708" s="12"/>
      <c r="AS708" s="44"/>
      <c r="AT708" s="45"/>
      <c r="AU708" s="12"/>
      <c r="AV708" s="12"/>
      <c r="AW708" s="12"/>
      <c r="AX708" s="12"/>
      <c r="AY708" s="44"/>
      <c r="AZ708" s="45"/>
      <c r="BA708" s="12"/>
      <c r="BB708" s="12"/>
      <c r="BC708" s="12"/>
      <c r="BD708" s="12"/>
      <c r="BE708" s="44"/>
      <c r="BF708" s="45"/>
      <c r="BG708" s="12"/>
      <c r="BH708" s="12"/>
      <c r="BI708" s="12"/>
      <c r="BJ708" s="12"/>
      <c r="BK708" s="44"/>
      <c r="BL708" s="45"/>
      <c r="BM708" s="12"/>
      <c r="BN708" s="12"/>
      <c r="BO708" s="12"/>
      <c r="BP708" s="12"/>
      <c r="BQ708" s="48"/>
      <c r="BR708" s="49"/>
      <c r="BS708" s="13"/>
      <c r="BT708" s="12"/>
      <c r="BV708" s="14"/>
      <c r="BW708" s="50"/>
      <c r="BX708" s="54"/>
      <c r="BY708" s="14"/>
      <c r="BZ708" s="14"/>
      <c r="CA708" s="14"/>
      <c r="CB708" s="14"/>
      <c r="CC708" s="14"/>
      <c r="CD708" s="14"/>
      <c r="CE708" s="14"/>
      <c r="CF708" s="15"/>
      <c r="CG708" s="14"/>
      <c r="CH708" s="14"/>
      <c r="CI708" s="50"/>
      <c r="CJ708" s="54"/>
      <c r="CK708" s="14"/>
      <c r="CL708" s="14"/>
      <c r="CM708" s="14"/>
      <c r="CN708" s="14"/>
      <c r="CO708" s="14"/>
      <c r="CP708" s="14"/>
      <c r="CQ708" s="14"/>
      <c r="CR708" s="14"/>
      <c r="CS708" s="14"/>
      <c r="CT708" s="14"/>
      <c r="CU708" s="16"/>
      <c r="CV708" s="14"/>
      <c r="CW708" s="50"/>
      <c r="CX708" s="17"/>
    </row>
    <row r="709" spans="4:102" x14ac:dyDescent="0.25"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43"/>
      <c r="Q709" s="11"/>
      <c r="R709" s="11"/>
      <c r="S709" s="11"/>
      <c r="T709" s="11"/>
      <c r="U709" s="11"/>
      <c r="V709" s="11"/>
      <c r="W709" s="11"/>
      <c r="X709" s="12"/>
      <c r="Y709" s="12"/>
      <c r="Z709" s="12"/>
      <c r="AA709" s="44"/>
      <c r="AB709" s="45"/>
      <c r="AC709" s="12"/>
      <c r="AD709" s="12"/>
      <c r="AE709" s="12"/>
      <c r="AF709" s="12"/>
      <c r="AG709" s="44"/>
      <c r="AH709" s="45"/>
      <c r="AI709" s="12"/>
      <c r="AJ709" s="12"/>
      <c r="AK709" s="12"/>
      <c r="AL709" s="12"/>
      <c r="AM709" s="44"/>
      <c r="AN709" s="45"/>
      <c r="AO709" s="12"/>
      <c r="AP709" s="12"/>
      <c r="AQ709" s="12"/>
      <c r="AR709" s="12"/>
      <c r="AS709" s="44"/>
      <c r="AT709" s="45"/>
      <c r="AU709" s="12"/>
      <c r="AV709" s="12"/>
      <c r="AW709" s="12"/>
      <c r="AX709" s="12"/>
      <c r="AY709" s="44"/>
      <c r="AZ709" s="45"/>
      <c r="BA709" s="12"/>
      <c r="BB709" s="12"/>
      <c r="BC709" s="12"/>
      <c r="BD709" s="12"/>
      <c r="BE709" s="44"/>
      <c r="BF709" s="45"/>
      <c r="BG709" s="12"/>
      <c r="BH709" s="12"/>
      <c r="BI709" s="12"/>
      <c r="BJ709" s="12"/>
      <c r="BK709" s="44"/>
      <c r="BL709" s="45"/>
      <c r="BM709" s="12"/>
      <c r="BN709" s="12"/>
      <c r="BO709" s="12"/>
      <c r="BP709" s="12"/>
      <c r="BQ709" s="48"/>
      <c r="BR709" s="49"/>
      <c r="BS709" s="13"/>
      <c r="BT709" s="12"/>
      <c r="BV709" s="14"/>
      <c r="BW709" s="50"/>
      <c r="BX709" s="54"/>
      <c r="BY709" s="14"/>
      <c r="BZ709" s="14"/>
      <c r="CA709" s="14"/>
      <c r="CB709" s="14"/>
      <c r="CC709" s="14"/>
      <c r="CD709" s="14"/>
      <c r="CE709" s="14"/>
      <c r="CF709" s="15"/>
      <c r="CG709" s="14"/>
      <c r="CH709" s="14"/>
      <c r="CI709" s="50"/>
      <c r="CJ709" s="54"/>
      <c r="CK709" s="14"/>
      <c r="CL709" s="14"/>
      <c r="CM709" s="14"/>
      <c r="CN709" s="14"/>
      <c r="CO709" s="14"/>
      <c r="CP709" s="14"/>
      <c r="CQ709" s="14"/>
      <c r="CR709" s="14"/>
      <c r="CS709" s="14"/>
      <c r="CT709" s="14"/>
      <c r="CU709" s="16"/>
      <c r="CV709" s="14"/>
      <c r="CW709" s="50"/>
      <c r="CX709" s="17"/>
    </row>
    <row r="710" spans="4:102" x14ac:dyDescent="0.25"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43"/>
      <c r="Q710" s="11"/>
      <c r="R710" s="11"/>
      <c r="S710" s="11"/>
      <c r="T710" s="11"/>
      <c r="U710" s="11"/>
      <c r="V710" s="11"/>
      <c r="W710" s="11"/>
      <c r="X710" s="12"/>
      <c r="Y710" s="12"/>
      <c r="Z710" s="12"/>
      <c r="AA710" s="44"/>
      <c r="AB710" s="45"/>
      <c r="AC710" s="12"/>
      <c r="AD710" s="12"/>
      <c r="AE710" s="12"/>
      <c r="AF710" s="12"/>
      <c r="AG710" s="44"/>
      <c r="AH710" s="45"/>
      <c r="AI710" s="12"/>
      <c r="AJ710" s="12"/>
      <c r="AK710" s="12"/>
      <c r="AL710" s="12"/>
      <c r="AM710" s="44"/>
      <c r="AN710" s="45"/>
      <c r="AO710" s="12"/>
      <c r="AP710" s="12"/>
      <c r="AQ710" s="12"/>
      <c r="AR710" s="12"/>
      <c r="AS710" s="44"/>
      <c r="AT710" s="45"/>
      <c r="AU710" s="12"/>
      <c r="AV710" s="12"/>
      <c r="AW710" s="12"/>
      <c r="AX710" s="12"/>
      <c r="AY710" s="44"/>
      <c r="AZ710" s="45"/>
      <c r="BA710" s="12"/>
      <c r="BB710" s="12"/>
      <c r="BC710" s="12"/>
      <c r="BD710" s="12"/>
      <c r="BE710" s="44"/>
      <c r="BF710" s="45"/>
      <c r="BG710" s="12"/>
      <c r="BH710" s="12"/>
      <c r="BI710" s="12"/>
      <c r="BJ710" s="12"/>
      <c r="BK710" s="44"/>
      <c r="BL710" s="45"/>
      <c r="BM710" s="12"/>
      <c r="BN710" s="12"/>
      <c r="BO710" s="12"/>
      <c r="BP710" s="12"/>
      <c r="BQ710" s="48"/>
      <c r="BR710" s="49"/>
      <c r="BS710" s="13"/>
      <c r="BT710" s="12"/>
      <c r="BV710" s="14"/>
      <c r="BW710" s="50"/>
      <c r="BX710" s="54"/>
      <c r="BY710" s="14"/>
      <c r="BZ710" s="14"/>
      <c r="CA710" s="14"/>
      <c r="CB710" s="14"/>
      <c r="CC710" s="14"/>
      <c r="CD710" s="14"/>
      <c r="CE710" s="14"/>
      <c r="CF710" s="15"/>
      <c r="CG710" s="14"/>
      <c r="CH710" s="14"/>
      <c r="CI710" s="50"/>
      <c r="CJ710" s="54"/>
      <c r="CK710" s="14"/>
      <c r="CL710" s="14"/>
      <c r="CM710" s="14"/>
      <c r="CN710" s="14"/>
      <c r="CO710" s="14"/>
      <c r="CP710" s="14"/>
      <c r="CQ710" s="14"/>
      <c r="CR710" s="14"/>
      <c r="CS710" s="14"/>
      <c r="CT710" s="14"/>
      <c r="CU710" s="16"/>
      <c r="CV710" s="14"/>
      <c r="CW710" s="50"/>
      <c r="CX710" s="17"/>
    </row>
    <row r="711" spans="4:102" x14ac:dyDescent="0.25"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43"/>
      <c r="Q711" s="11"/>
      <c r="R711" s="11"/>
      <c r="S711" s="11"/>
      <c r="T711" s="11"/>
      <c r="U711" s="11"/>
      <c r="V711" s="11"/>
      <c r="W711" s="11"/>
      <c r="X711" s="12"/>
      <c r="Y711" s="12"/>
      <c r="Z711" s="12"/>
      <c r="AA711" s="44"/>
      <c r="AB711" s="45"/>
      <c r="AC711" s="12"/>
      <c r="AD711" s="12"/>
      <c r="AE711" s="12"/>
      <c r="AF711" s="12"/>
      <c r="AG711" s="44"/>
      <c r="AH711" s="45"/>
      <c r="AI711" s="12"/>
      <c r="AJ711" s="12"/>
      <c r="AK711" s="12"/>
      <c r="AL711" s="12"/>
      <c r="AM711" s="44"/>
      <c r="AN711" s="45"/>
      <c r="AO711" s="12"/>
      <c r="AP711" s="12"/>
      <c r="AQ711" s="12"/>
      <c r="AR711" s="12"/>
      <c r="AS711" s="44"/>
      <c r="AT711" s="45"/>
      <c r="AU711" s="12"/>
      <c r="AV711" s="12"/>
      <c r="AW711" s="12"/>
      <c r="AX711" s="12"/>
      <c r="AY711" s="44"/>
      <c r="AZ711" s="45"/>
      <c r="BA711" s="12"/>
      <c r="BB711" s="12"/>
      <c r="BC711" s="12"/>
      <c r="BD711" s="12"/>
      <c r="BE711" s="44"/>
      <c r="BF711" s="45"/>
      <c r="BG711" s="12"/>
      <c r="BH711" s="12"/>
      <c r="BI711" s="12"/>
      <c r="BJ711" s="12"/>
      <c r="BK711" s="44"/>
      <c r="BL711" s="45"/>
      <c r="BM711" s="12"/>
      <c r="BN711" s="12"/>
      <c r="BO711" s="12"/>
      <c r="BP711" s="12"/>
      <c r="BQ711" s="48"/>
      <c r="BR711" s="49"/>
      <c r="BS711" s="13"/>
      <c r="BT711" s="12"/>
      <c r="BV711" s="14"/>
      <c r="BW711" s="50"/>
      <c r="BX711" s="54"/>
      <c r="BY711" s="14"/>
      <c r="BZ711" s="14"/>
      <c r="CA711" s="14"/>
      <c r="CB711" s="14"/>
      <c r="CC711" s="14"/>
      <c r="CD711" s="14"/>
      <c r="CE711" s="14"/>
      <c r="CF711" s="15"/>
      <c r="CG711" s="14"/>
      <c r="CH711" s="14"/>
      <c r="CI711" s="50"/>
      <c r="CJ711" s="54"/>
      <c r="CK711" s="14"/>
      <c r="CL711" s="14"/>
      <c r="CM711" s="14"/>
      <c r="CN711" s="14"/>
      <c r="CO711" s="14"/>
      <c r="CP711" s="14"/>
      <c r="CQ711" s="14"/>
      <c r="CR711" s="14"/>
      <c r="CS711" s="14"/>
      <c r="CT711" s="14"/>
      <c r="CU711" s="16"/>
      <c r="CV711" s="14"/>
      <c r="CW711" s="50"/>
      <c r="CX711" s="17"/>
    </row>
    <row r="712" spans="4:102" x14ac:dyDescent="0.25"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43"/>
      <c r="Q712" s="11"/>
      <c r="R712" s="11"/>
      <c r="S712" s="11"/>
      <c r="T712" s="11"/>
      <c r="U712" s="11"/>
      <c r="V712" s="11"/>
      <c r="W712" s="11"/>
      <c r="X712" s="12"/>
      <c r="Y712" s="12"/>
      <c r="Z712" s="12"/>
      <c r="AA712" s="44"/>
      <c r="AB712" s="45"/>
      <c r="AC712" s="12"/>
      <c r="AD712" s="12"/>
      <c r="AE712" s="12"/>
      <c r="AF712" s="12"/>
      <c r="AG712" s="44"/>
      <c r="AH712" s="45"/>
      <c r="AI712" s="12"/>
      <c r="AJ712" s="12"/>
      <c r="AK712" s="12"/>
      <c r="AL712" s="12"/>
      <c r="AM712" s="44"/>
      <c r="AN712" s="45"/>
      <c r="AO712" s="12"/>
      <c r="AP712" s="12"/>
      <c r="AQ712" s="12"/>
      <c r="AR712" s="12"/>
      <c r="AS712" s="44"/>
      <c r="AT712" s="45"/>
      <c r="AU712" s="12"/>
      <c r="AV712" s="12"/>
      <c r="AW712" s="12"/>
      <c r="AX712" s="12"/>
      <c r="AY712" s="44"/>
      <c r="AZ712" s="45"/>
      <c r="BA712" s="12"/>
      <c r="BB712" s="12"/>
      <c r="BC712" s="12"/>
      <c r="BD712" s="12"/>
      <c r="BE712" s="44"/>
      <c r="BF712" s="45"/>
      <c r="BG712" s="12"/>
      <c r="BH712" s="12"/>
      <c r="BI712" s="12"/>
      <c r="BJ712" s="12"/>
      <c r="BK712" s="44"/>
      <c r="BL712" s="45"/>
      <c r="BM712" s="12"/>
      <c r="BN712" s="12"/>
      <c r="BO712" s="12"/>
      <c r="BP712" s="12"/>
      <c r="BQ712" s="48"/>
      <c r="BR712" s="49"/>
      <c r="BS712" s="13"/>
      <c r="BT712" s="12"/>
      <c r="BV712" s="14"/>
      <c r="BW712" s="50"/>
      <c r="BX712" s="54"/>
      <c r="BY712" s="14"/>
      <c r="BZ712" s="14"/>
      <c r="CA712" s="14"/>
      <c r="CB712" s="14"/>
      <c r="CC712" s="14"/>
      <c r="CD712" s="14"/>
      <c r="CE712" s="14"/>
      <c r="CF712" s="15"/>
      <c r="CG712" s="14"/>
      <c r="CH712" s="14"/>
      <c r="CI712" s="50"/>
      <c r="CJ712" s="54"/>
      <c r="CK712" s="14"/>
      <c r="CL712" s="14"/>
      <c r="CM712" s="14"/>
      <c r="CN712" s="14"/>
      <c r="CO712" s="14"/>
      <c r="CP712" s="14"/>
      <c r="CQ712" s="14"/>
      <c r="CR712" s="14"/>
      <c r="CS712" s="14"/>
      <c r="CT712" s="14"/>
      <c r="CU712" s="16"/>
      <c r="CV712" s="14"/>
      <c r="CW712" s="50"/>
      <c r="CX712" s="17"/>
    </row>
    <row r="713" spans="4:102" x14ac:dyDescent="0.25"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43"/>
      <c r="Q713" s="11"/>
      <c r="R713" s="11"/>
      <c r="S713" s="11"/>
      <c r="T713" s="11"/>
      <c r="U713" s="11"/>
      <c r="V713" s="11"/>
      <c r="W713" s="11"/>
      <c r="X713" s="12"/>
      <c r="Y713" s="12"/>
      <c r="Z713" s="12"/>
      <c r="AA713" s="44"/>
      <c r="AB713" s="45"/>
      <c r="AC713" s="12"/>
      <c r="AD713" s="12"/>
      <c r="AE713" s="12"/>
      <c r="AF713" s="12"/>
      <c r="AG713" s="44"/>
      <c r="AH713" s="45"/>
      <c r="AI713" s="12"/>
      <c r="AJ713" s="12"/>
      <c r="AK713" s="12"/>
      <c r="AL713" s="12"/>
      <c r="AM713" s="44"/>
      <c r="AN713" s="45"/>
      <c r="AO713" s="12"/>
      <c r="AP713" s="12"/>
      <c r="AQ713" s="12"/>
      <c r="AR713" s="12"/>
      <c r="AS713" s="44"/>
      <c r="AT713" s="45"/>
      <c r="AU713" s="12"/>
      <c r="AV713" s="12"/>
      <c r="AW713" s="12"/>
      <c r="AX713" s="12"/>
      <c r="AY713" s="44"/>
      <c r="AZ713" s="45"/>
      <c r="BA713" s="12"/>
      <c r="BB713" s="12"/>
      <c r="BC713" s="12"/>
      <c r="BD713" s="12"/>
      <c r="BE713" s="44"/>
      <c r="BF713" s="45"/>
      <c r="BG713" s="12"/>
      <c r="BH713" s="12"/>
      <c r="BI713" s="12"/>
      <c r="BJ713" s="12"/>
      <c r="BK713" s="44"/>
      <c r="BL713" s="45"/>
      <c r="BM713" s="12"/>
      <c r="BN713" s="12"/>
      <c r="BO713" s="12"/>
      <c r="BP713" s="12"/>
      <c r="BQ713" s="48"/>
      <c r="BR713" s="49"/>
      <c r="BS713" s="13"/>
      <c r="BT713" s="12"/>
      <c r="BV713" s="14"/>
      <c r="BW713" s="50"/>
      <c r="BX713" s="54"/>
      <c r="BY713" s="14"/>
      <c r="BZ713" s="14"/>
      <c r="CA713" s="14"/>
      <c r="CB713" s="14"/>
      <c r="CC713" s="14"/>
      <c r="CD713" s="14"/>
      <c r="CE713" s="14"/>
      <c r="CF713" s="15"/>
      <c r="CG713" s="14"/>
      <c r="CH713" s="14"/>
      <c r="CI713" s="50"/>
      <c r="CJ713" s="54"/>
      <c r="CK713" s="14"/>
      <c r="CL713" s="14"/>
      <c r="CM713" s="14"/>
      <c r="CN713" s="14"/>
      <c r="CO713" s="14"/>
      <c r="CP713" s="14"/>
      <c r="CQ713" s="14"/>
      <c r="CR713" s="14"/>
      <c r="CS713" s="14"/>
      <c r="CT713" s="14"/>
      <c r="CU713" s="16"/>
      <c r="CV713" s="14"/>
      <c r="CW713" s="50"/>
      <c r="CX713" s="17"/>
    </row>
    <row r="714" spans="4:102" x14ac:dyDescent="0.25"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43"/>
      <c r="Q714" s="11"/>
      <c r="R714" s="11"/>
      <c r="S714" s="11"/>
      <c r="T714" s="11"/>
      <c r="U714" s="11"/>
      <c r="V714" s="11"/>
      <c r="W714" s="11"/>
      <c r="X714" s="12"/>
      <c r="Y714" s="12"/>
      <c r="Z714" s="12"/>
      <c r="AA714" s="44"/>
      <c r="AB714" s="45"/>
      <c r="AC714" s="12"/>
      <c r="AD714" s="12"/>
      <c r="AE714" s="12"/>
      <c r="AF714" s="12"/>
      <c r="AG714" s="44"/>
      <c r="AH714" s="45"/>
      <c r="AI714" s="12"/>
      <c r="AJ714" s="12"/>
      <c r="AK714" s="12"/>
      <c r="AL714" s="12"/>
      <c r="AM714" s="44"/>
      <c r="AN714" s="45"/>
      <c r="AO714" s="12"/>
      <c r="AP714" s="12"/>
      <c r="AQ714" s="12"/>
      <c r="AR714" s="12"/>
      <c r="AS714" s="44"/>
      <c r="AT714" s="45"/>
      <c r="AU714" s="12"/>
      <c r="AV714" s="12"/>
      <c r="AW714" s="12"/>
      <c r="AX714" s="12"/>
      <c r="AY714" s="44"/>
      <c r="AZ714" s="45"/>
      <c r="BA714" s="12"/>
      <c r="BB714" s="12"/>
      <c r="BC714" s="12"/>
      <c r="BD714" s="12"/>
      <c r="BE714" s="44"/>
      <c r="BF714" s="45"/>
      <c r="BG714" s="12"/>
      <c r="BH714" s="12"/>
      <c r="BI714" s="12"/>
      <c r="BJ714" s="12"/>
      <c r="BK714" s="44"/>
      <c r="BL714" s="45"/>
      <c r="BM714" s="12"/>
      <c r="BN714" s="12"/>
      <c r="BO714" s="12"/>
      <c r="BP714" s="12"/>
      <c r="BQ714" s="48"/>
      <c r="BR714" s="49"/>
      <c r="BS714" s="13"/>
      <c r="BT714" s="12"/>
      <c r="BV714" s="14"/>
      <c r="BW714" s="50"/>
      <c r="BX714" s="54"/>
      <c r="BY714" s="14"/>
      <c r="BZ714" s="14"/>
      <c r="CA714" s="14"/>
      <c r="CB714" s="14"/>
      <c r="CC714" s="14"/>
      <c r="CD714" s="14"/>
      <c r="CE714" s="14"/>
      <c r="CF714" s="15"/>
      <c r="CG714" s="14"/>
      <c r="CH714" s="14"/>
      <c r="CI714" s="50"/>
      <c r="CJ714" s="54"/>
      <c r="CK714" s="14"/>
      <c r="CL714" s="14"/>
      <c r="CM714" s="14"/>
      <c r="CN714" s="14"/>
      <c r="CO714" s="14"/>
      <c r="CP714" s="14"/>
      <c r="CQ714" s="14"/>
      <c r="CR714" s="14"/>
      <c r="CS714" s="14"/>
      <c r="CT714" s="14"/>
      <c r="CU714" s="16"/>
      <c r="CV714" s="14"/>
      <c r="CW714" s="50"/>
      <c r="CX714" s="17"/>
    </row>
    <row r="715" spans="4:102" x14ac:dyDescent="0.25"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43"/>
      <c r="Q715" s="11"/>
      <c r="R715" s="11"/>
      <c r="S715" s="11"/>
      <c r="T715" s="11"/>
      <c r="U715" s="11"/>
      <c r="V715" s="11"/>
      <c r="W715" s="11"/>
      <c r="X715" s="12"/>
      <c r="Y715" s="12"/>
      <c r="Z715" s="12"/>
      <c r="AA715" s="44"/>
      <c r="AB715" s="45"/>
      <c r="AC715" s="12"/>
      <c r="AD715" s="12"/>
      <c r="AE715" s="12"/>
      <c r="AF715" s="12"/>
      <c r="AG715" s="44"/>
      <c r="AH715" s="45"/>
      <c r="AI715" s="12"/>
      <c r="AJ715" s="12"/>
      <c r="AK715" s="12"/>
      <c r="AL715" s="12"/>
      <c r="AM715" s="44"/>
      <c r="AN715" s="45"/>
      <c r="AO715" s="12"/>
      <c r="AP715" s="12"/>
      <c r="AQ715" s="12"/>
      <c r="AR715" s="12"/>
      <c r="AS715" s="44"/>
      <c r="AT715" s="45"/>
      <c r="AU715" s="12"/>
      <c r="AV715" s="12"/>
      <c r="AW715" s="12"/>
      <c r="AX715" s="12"/>
      <c r="AY715" s="44"/>
      <c r="AZ715" s="45"/>
      <c r="BA715" s="12"/>
      <c r="BB715" s="12"/>
      <c r="BC715" s="12"/>
      <c r="BD715" s="12"/>
      <c r="BE715" s="44"/>
      <c r="BF715" s="45"/>
      <c r="BG715" s="12"/>
      <c r="BH715" s="12"/>
      <c r="BI715" s="12"/>
      <c r="BJ715" s="12"/>
      <c r="BK715" s="44"/>
      <c r="BL715" s="45"/>
      <c r="BM715" s="12"/>
      <c r="BN715" s="12"/>
      <c r="BO715" s="12"/>
      <c r="BP715" s="12"/>
      <c r="BQ715" s="48"/>
      <c r="BR715" s="49"/>
      <c r="BS715" s="13"/>
      <c r="BT715" s="12"/>
      <c r="BV715" s="14"/>
      <c r="BW715" s="50"/>
      <c r="BX715" s="54"/>
      <c r="BY715" s="14"/>
      <c r="BZ715" s="14"/>
      <c r="CA715" s="14"/>
      <c r="CB715" s="14"/>
      <c r="CC715" s="14"/>
      <c r="CD715" s="14"/>
      <c r="CE715" s="14"/>
      <c r="CF715" s="15"/>
      <c r="CG715" s="14"/>
      <c r="CH715" s="14"/>
      <c r="CI715" s="50"/>
      <c r="CJ715" s="54"/>
      <c r="CK715" s="14"/>
      <c r="CL715" s="14"/>
      <c r="CM715" s="14"/>
      <c r="CN715" s="14"/>
      <c r="CO715" s="14"/>
      <c r="CP715" s="14"/>
      <c r="CQ715" s="14"/>
      <c r="CR715" s="14"/>
      <c r="CS715" s="14"/>
      <c r="CT715" s="14"/>
      <c r="CU715" s="16"/>
      <c r="CV715" s="14"/>
      <c r="CW715" s="50"/>
      <c r="CX715" s="17"/>
    </row>
    <row r="716" spans="4:102" x14ac:dyDescent="0.25"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43"/>
      <c r="Q716" s="11"/>
      <c r="R716" s="11"/>
      <c r="S716" s="11"/>
      <c r="T716" s="11"/>
      <c r="U716" s="11"/>
      <c r="V716" s="11"/>
      <c r="W716" s="11"/>
      <c r="X716" s="12"/>
      <c r="Y716" s="12"/>
      <c r="Z716" s="12"/>
      <c r="AA716" s="44"/>
      <c r="AB716" s="45"/>
      <c r="AC716" s="12"/>
      <c r="AD716" s="12"/>
      <c r="AE716" s="12"/>
      <c r="AF716" s="12"/>
      <c r="AG716" s="44"/>
      <c r="AH716" s="45"/>
      <c r="AI716" s="12"/>
      <c r="AJ716" s="12"/>
      <c r="AK716" s="12"/>
      <c r="AL716" s="12"/>
      <c r="AM716" s="44"/>
      <c r="AN716" s="45"/>
      <c r="AO716" s="12"/>
      <c r="AP716" s="12"/>
      <c r="AQ716" s="12"/>
      <c r="AR716" s="12"/>
      <c r="AS716" s="44"/>
      <c r="AT716" s="45"/>
      <c r="AU716" s="12"/>
      <c r="AV716" s="12"/>
      <c r="AW716" s="12"/>
      <c r="AX716" s="12"/>
      <c r="AY716" s="44"/>
      <c r="AZ716" s="45"/>
      <c r="BA716" s="12"/>
      <c r="BB716" s="12"/>
      <c r="BC716" s="12"/>
      <c r="BD716" s="12"/>
      <c r="BE716" s="44"/>
      <c r="BF716" s="45"/>
      <c r="BG716" s="12"/>
      <c r="BH716" s="12"/>
      <c r="BI716" s="12"/>
      <c r="BJ716" s="12"/>
      <c r="BK716" s="44"/>
      <c r="BL716" s="45"/>
      <c r="BM716" s="12"/>
      <c r="BN716" s="12"/>
      <c r="BO716" s="12"/>
      <c r="BP716" s="12"/>
      <c r="BQ716" s="48"/>
      <c r="BR716" s="49"/>
      <c r="BS716" s="13"/>
      <c r="BT716" s="12"/>
      <c r="BV716" s="14"/>
      <c r="BW716" s="50"/>
      <c r="BX716" s="54"/>
      <c r="BY716" s="14"/>
      <c r="BZ716" s="14"/>
      <c r="CA716" s="14"/>
      <c r="CB716" s="14"/>
      <c r="CC716" s="14"/>
      <c r="CD716" s="14"/>
      <c r="CE716" s="14"/>
      <c r="CF716" s="15"/>
      <c r="CG716" s="14"/>
      <c r="CH716" s="14"/>
      <c r="CI716" s="50"/>
      <c r="CJ716" s="54"/>
      <c r="CK716" s="14"/>
      <c r="CL716" s="14"/>
      <c r="CM716" s="14"/>
      <c r="CN716" s="14"/>
      <c r="CO716" s="14"/>
      <c r="CP716" s="14"/>
      <c r="CQ716" s="14"/>
      <c r="CR716" s="14"/>
      <c r="CS716" s="14"/>
      <c r="CT716" s="14"/>
      <c r="CU716" s="16"/>
      <c r="CV716" s="14"/>
      <c r="CW716" s="50"/>
      <c r="CX716" s="17"/>
    </row>
    <row r="717" spans="4:102" x14ac:dyDescent="0.25"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43"/>
      <c r="Q717" s="11"/>
      <c r="R717" s="11"/>
      <c r="S717" s="11"/>
      <c r="T717" s="11"/>
      <c r="U717" s="11"/>
      <c r="V717" s="11"/>
      <c r="W717" s="11"/>
      <c r="X717" s="12"/>
      <c r="Y717" s="12"/>
      <c r="Z717" s="12"/>
      <c r="AA717" s="44"/>
      <c r="AB717" s="45"/>
      <c r="AC717" s="12"/>
      <c r="AD717" s="12"/>
      <c r="AE717" s="12"/>
      <c r="AF717" s="12"/>
      <c r="AG717" s="44"/>
      <c r="AH717" s="45"/>
      <c r="AI717" s="12"/>
      <c r="AJ717" s="12"/>
      <c r="AK717" s="12"/>
      <c r="AL717" s="12"/>
      <c r="AM717" s="44"/>
      <c r="AN717" s="45"/>
      <c r="AO717" s="12"/>
      <c r="AP717" s="12"/>
      <c r="AQ717" s="12"/>
      <c r="AR717" s="12"/>
      <c r="AS717" s="44"/>
      <c r="AT717" s="45"/>
      <c r="AU717" s="12"/>
      <c r="AV717" s="12"/>
      <c r="AW717" s="12"/>
      <c r="AX717" s="12"/>
      <c r="AY717" s="44"/>
      <c r="AZ717" s="45"/>
      <c r="BA717" s="12"/>
      <c r="BB717" s="12"/>
      <c r="BC717" s="12"/>
      <c r="BD717" s="12"/>
      <c r="BE717" s="44"/>
      <c r="BF717" s="45"/>
      <c r="BG717" s="12"/>
      <c r="BH717" s="12"/>
      <c r="BI717" s="12"/>
      <c r="BJ717" s="12"/>
      <c r="BK717" s="44"/>
      <c r="BL717" s="45"/>
      <c r="BM717" s="12"/>
      <c r="BN717" s="12"/>
      <c r="BO717" s="12"/>
      <c r="BP717" s="12"/>
      <c r="BQ717" s="48"/>
      <c r="BR717" s="49"/>
      <c r="BS717" s="13"/>
      <c r="BT717" s="12"/>
      <c r="BV717" s="14"/>
      <c r="BW717" s="50"/>
      <c r="BX717" s="54"/>
      <c r="BY717" s="14"/>
      <c r="BZ717" s="14"/>
      <c r="CA717" s="14"/>
      <c r="CB717" s="14"/>
      <c r="CC717" s="14"/>
      <c r="CD717" s="14"/>
      <c r="CE717" s="14"/>
      <c r="CF717" s="15"/>
      <c r="CG717" s="14"/>
      <c r="CH717" s="14"/>
      <c r="CI717" s="50"/>
      <c r="CJ717" s="54"/>
      <c r="CK717" s="14"/>
      <c r="CL717" s="14"/>
      <c r="CM717" s="14"/>
      <c r="CN717" s="14"/>
      <c r="CO717" s="14"/>
      <c r="CP717" s="14"/>
      <c r="CQ717" s="14"/>
      <c r="CR717" s="14"/>
      <c r="CS717" s="14"/>
      <c r="CT717" s="14"/>
      <c r="CU717" s="16"/>
      <c r="CV717" s="14"/>
      <c r="CW717" s="50"/>
      <c r="CX717" s="17"/>
    </row>
    <row r="718" spans="4:102" x14ac:dyDescent="0.25"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43"/>
      <c r="Q718" s="11"/>
      <c r="R718" s="11"/>
      <c r="S718" s="11"/>
      <c r="T718" s="11"/>
      <c r="U718" s="11"/>
      <c r="V718" s="11"/>
      <c r="W718" s="11"/>
      <c r="X718" s="12"/>
      <c r="Y718" s="12"/>
      <c r="Z718" s="12"/>
      <c r="AA718" s="44"/>
      <c r="AB718" s="45"/>
      <c r="AC718" s="12"/>
      <c r="AD718" s="12"/>
      <c r="AE718" s="12"/>
      <c r="AF718" s="12"/>
      <c r="AG718" s="44"/>
      <c r="AH718" s="45"/>
      <c r="AI718" s="12"/>
      <c r="AJ718" s="12"/>
      <c r="AK718" s="12"/>
      <c r="AL718" s="12"/>
      <c r="AM718" s="44"/>
      <c r="AN718" s="45"/>
      <c r="AO718" s="12"/>
      <c r="AP718" s="12"/>
      <c r="AQ718" s="12"/>
      <c r="AR718" s="12"/>
      <c r="AS718" s="44"/>
      <c r="AT718" s="45"/>
      <c r="AU718" s="12"/>
      <c r="AV718" s="12"/>
      <c r="AW718" s="12"/>
      <c r="AX718" s="12"/>
      <c r="AY718" s="44"/>
      <c r="AZ718" s="45"/>
      <c r="BA718" s="12"/>
      <c r="BB718" s="12"/>
      <c r="BC718" s="12"/>
      <c r="BD718" s="12"/>
      <c r="BE718" s="44"/>
      <c r="BF718" s="45"/>
      <c r="BG718" s="12"/>
      <c r="BH718" s="12"/>
      <c r="BI718" s="12"/>
      <c r="BJ718" s="12"/>
      <c r="BK718" s="44"/>
      <c r="BL718" s="45"/>
      <c r="BM718" s="12"/>
      <c r="BN718" s="12"/>
      <c r="BO718" s="12"/>
      <c r="BP718" s="12"/>
      <c r="BQ718" s="48"/>
      <c r="BR718" s="49"/>
      <c r="BS718" s="13"/>
      <c r="BT718" s="12"/>
      <c r="BV718" s="14"/>
      <c r="BW718" s="50"/>
      <c r="BX718" s="54"/>
      <c r="BY718" s="14"/>
      <c r="BZ718" s="14"/>
      <c r="CA718" s="14"/>
      <c r="CB718" s="14"/>
      <c r="CC718" s="14"/>
      <c r="CD718" s="14"/>
      <c r="CE718" s="14"/>
      <c r="CF718" s="15"/>
      <c r="CG718" s="14"/>
      <c r="CH718" s="14"/>
      <c r="CI718" s="50"/>
      <c r="CJ718" s="54"/>
      <c r="CK718" s="14"/>
      <c r="CL718" s="14"/>
      <c r="CM718" s="14"/>
      <c r="CN718" s="14"/>
      <c r="CO718" s="14"/>
      <c r="CP718" s="14"/>
      <c r="CQ718" s="14"/>
      <c r="CR718" s="14"/>
      <c r="CS718" s="14"/>
      <c r="CT718" s="14"/>
      <c r="CU718" s="16"/>
      <c r="CV718" s="14"/>
      <c r="CW718" s="50"/>
      <c r="CX718" s="17"/>
    </row>
    <row r="719" spans="4:102" x14ac:dyDescent="0.25"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43"/>
      <c r="Q719" s="11"/>
      <c r="R719" s="11"/>
      <c r="S719" s="11"/>
      <c r="T719" s="11"/>
      <c r="U719" s="11"/>
      <c r="V719" s="11"/>
      <c r="W719" s="11"/>
      <c r="X719" s="12"/>
      <c r="Y719" s="12"/>
      <c r="Z719" s="12"/>
      <c r="AA719" s="44"/>
      <c r="AB719" s="45"/>
      <c r="AC719" s="12"/>
      <c r="AD719" s="12"/>
      <c r="AE719" s="12"/>
      <c r="AF719" s="12"/>
      <c r="AG719" s="44"/>
      <c r="AH719" s="45"/>
      <c r="AI719" s="12"/>
      <c r="AJ719" s="12"/>
      <c r="AK719" s="12"/>
      <c r="AL719" s="12"/>
      <c r="AM719" s="44"/>
      <c r="AN719" s="45"/>
      <c r="AO719" s="12"/>
      <c r="AP719" s="12"/>
      <c r="AQ719" s="12"/>
      <c r="AR719" s="12"/>
      <c r="AS719" s="44"/>
      <c r="AT719" s="45"/>
      <c r="AU719" s="12"/>
      <c r="AV719" s="12"/>
      <c r="AW719" s="12"/>
      <c r="AX719" s="12"/>
      <c r="AY719" s="44"/>
      <c r="AZ719" s="45"/>
      <c r="BA719" s="12"/>
      <c r="BB719" s="12"/>
      <c r="BC719" s="12"/>
      <c r="BD719" s="12"/>
      <c r="BE719" s="44"/>
      <c r="BF719" s="45"/>
      <c r="BG719" s="12"/>
      <c r="BH719" s="12"/>
      <c r="BI719" s="12"/>
      <c r="BJ719" s="12"/>
      <c r="BK719" s="44"/>
      <c r="BL719" s="45"/>
      <c r="BM719" s="12"/>
      <c r="BN719" s="12"/>
      <c r="BO719" s="12"/>
      <c r="BP719" s="12"/>
      <c r="BQ719" s="48"/>
      <c r="BR719" s="49"/>
      <c r="BS719" s="13"/>
      <c r="BT719" s="12"/>
      <c r="BV719" s="14"/>
      <c r="BW719" s="50"/>
      <c r="BX719" s="54"/>
      <c r="BY719" s="14"/>
      <c r="BZ719" s="14"/>
      <c r="CA719" s="14"/>
      <c r="CB719" s="14"/>
      <c r="CC719" s="14"/>
      <c r="CD719" s="14"/>
      <c r="CE719" s="14"/>
      <c r="CF719" s="15"/>
      <c r="CG719" s="14"/>
      <c r="CH719" s="14"/>
      <c r="CI719" s="50"/>
      <c r="CJ719" s="54"/>
      <c r="CK719" s="14"/>
      <c r="CL719" s="14"/>
      <c r="CM719" s="14"/>
      <c r="CN719" s="14"/>
      <c r="CO719" s="14"/>
      <c r="CP719" s="14"/>
      <c r="CQ719" s="14"/>
      <c r="CR719" s="14"/>
      <c r="CS719" s="14"/>
      <c r="CT719" s="14"/>
      <c r="CU719" s="16"/>
      <c r="CV719" s="14"/>
      <c r="CW719" s="50"/>
      <c r="CX719" s="17"/>
    </row>
    <row r="720" spans="4:102" x14ac:dyDescent="0.25"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43"/>
      <c r="Q720" s="11"/>
      <c r="R720" s="11"/>
      <c r="S720" s="11"/>
      <c r="T720" s="11"/>
      <c r="U720" s="11"/>
      <c r="V720" s="11"/>
      <c r="W720" s="11"/>
      <c r="X720" s="12"/>
      <c r="Y720" s="12"/>
      <c r="Z720" s="12"/>
      <c r="AA720" s="44"/>
      <c r="AB720" s="45"/>
      <c r="AC720" s="12"/>
      <c r="AD720" s="12"/>
      <c r="AE720" s="12"/>
      <c r="AF720" s="12"/>
      <c r="AG720" s="44"/>
      <c r="AH720" s="45"/>
      <c r="AI720" s="12"/>
      <c r="AJ720" s="12"/>
      <c r="AK720" s="12"/>
      <c r="AL720" s="12"/>
      <c r="AM720" s="44"/>
      <c r="AN720" s="45"/>
      <c r="AO720" s="12"/>
      <c r="AP720" s="12"/>
      <c r="AQ720" s="12"/>
      <c r="AR720" s="12"/>
      <c r="AS720" s="44"/>
      <c r="AT720" s="45"/>
      <c r="AU720" s="12"/>
      <c r="AV720" s="12"/>
      <c r="AW720" s="12"/>
      <c r="AX720" s="12"/>
      <c r="AY720" s="44"/>
      <c r="AZ720" s="45"/>
      <c r="BA720" s="12"/>
      <c r="BB720" s="12"/>
      <c r="BC720" s="12"/>
      <c r="BD720" s="12"/>
      <c r="BE720" s="44"/>
      <c r="BF720" s="45"/>
      <c r="BG720" s="12"/>
      <c r="BH720" s="12"/>
      <c r="BI720" s="12"/>
      <c r="BJ720" s="12"/>
      <c r="BK720" s="44"/>
      <c r="BL720" s="45"/>
      <c r="BM720" s="12"/>
      <c r="BN720" s="12"/>
      <c r="BO720" s="12"/>
      <c r="BP720" s="12"/>
      <c r="BQ720" s="48"/>
      <c r="BR720" s="49"/>
      <c r="BS720" s="13"/>
      <c r="BT720" s="12"/>
      <c r="BV720" s="14"/>
      <c r="BW720" s="50"/>
      <c r="BX720" s="54"/>
      <c r="BY720" s="14"/>
      <c r="BZ720" s="14"/>
      <c r="CA720" s="14"/>
      <c r="CB720" s="14"/>
      <c r="CC720" s="14"/>
      <c r="CD720" s="14"/>
      <c r="CE720" s="14"/>
      <c r="CF720" s="15"/>
      <c r="CG720" s="14"/>
      <c r="CH720" s="14"/>
      <c r="CI720" s="50"/>
      <c r="CJ720" s="54"/>
      <c r="CK720" s="14"/>
      <c r="CL720" s="14"/>
      <c r="CM720" s="14"/>
      <c r="CN720" s="14"/>
      <c r="CO720" s="14"/>
      <c r="CP720" s="14"/>
      <c r="CQ720" s="14"/>
      <c r="CR720" s="14"/>
      <c r="CS720" s="14"/>
      <c r="CT720" s="14"/>
      <c r="CU720" s="16"/>
      <c r="CV720" s="14"/>
      <c r="CW720" s="50"/>
      <c r="CX720" s="17"/>
    </row>
    <row r="721" spans="4:102" x14ac:dyDescent="0.25"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43"/>
      <c r="Q721" s="11"/>
      <c r="R721" s="11"/>
      <c r="S721" s="11"/>
      <c r="T721" s="11"/>
      <c r="U721" s="11"/>
      <c r="V721" s="11"/>
      <c r="W721" s="11"/>
      <c r="X721" s="12"/>
      <c r="Y721" s="12"/>
      <c r="Z721" s="12"/>
      <c r="AA721" s="44"/>
      <c r="AB721" s="45"/>
      <c r="AC721" s="12"/>
      <c r="AD721" s="12"/>
      <c r="AE721" s="12"/>
      <c r="AF721" s="12"/>
      <c r="AG721" s="44"/>
      <c r="AH721" s="45"/>
      <c r="AI721" s="12"/>
      <c r="AJ721" s="12"/>
      <c r="AK721" s="12"/>
      <c r="AL721" s="12"/>
      <c r="AM721" s="44"/>
      <c r="AN721" s="45"/>
      <c r="AO721" s="12"/>
      <c r="AP721" s="12"/>
      <c r="AQ721" s="12"/>
      <c r="AR721" s="12"/>
      <c r="AS721" s="44"/>
      <c r="AT721" s="45"/>
      <c r="AU721" s="12"/>
      <c r="AV721" s="12"/>
      <c r="AW721" s="12"/>
      <c r="AX721" s="12"/>
      <c r="AY721" s="44"/>
      <c r="AZ721" s="45"/>
      <c r="BA721" s="12"/>
      <c r="BB721" s="12"/>
      <c r="BC721" s="12"/>
      <c r="BD721" s="12"/>
      <c r="BE721" s="44"/>
      <c r="BF721" s="45"/>
      <c r="BG721" s="12"/>
      <c r="BH721" s="12"/>
      <c r="BI721" s="12"/>
      <c r="BJ721" s="12"/>
      <c r="BK721" s="44"/>
      <c r="BL721" s="45"/>
      <c r="BM721" s="12"/>
      <c r="BN721" s="12"/>
      <c r="BO721" s="12"/>
      <c r="BP721" s="12"/>
      <c r="BQ721" s="48"/>
      <c r="BR721" s="49"/>
      <c r="BS721" s="13"/>
      <c r="BT721" s="12"/>
      <c r="BV721" s="14"/>
      <c r="BW721" s="50"/>
      <c r="BX721" s="54"/>
      <c r="BY721" s="14"/>
      <c r="BZ721" s="14"/>
      <c r="CA721" s="14"/>
      <c r="CB721" s="14"/>
      <c r="CC721" s="14"/>
      <c r="CD721" s="14"/>
      <c r="CE721" s="14"/>
      <c r="CF721" s="15"/>
      <c r="CG721" s="14"/>
      <c r="CH721" s="14"/>
      <c r="CI721" s="50"/>
      <c r="CJ721" s="54"/>
      <c r="CK721" s="14"/>
      <c r="CL721" s="14"/>
      <c r="CM721" s="14"/>
      <c r="CN721" s="14"/>
      <c r="CO721" s="14"/>
      <c r="CP721" s="14"/>
      <c r="CQ721" s="14"/>
      <c r="CR721" s="14"/>
      <c r="CS721" s="14"/>
      <c r="CT721" s="14"/>
      <c r="CU721" s="16"/>
      <c r="CV721" s="14"/>
      <c r="CW721" s="50"/>
      <c r="CX721" s="17"/>
    </row>
    <row r="722" spans="4:102" x14ac:dyDescent="0.25"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43"/>
      <c r="Q722" s="11"/>
      <c r="R722" s="11"/>
      <c r="S722" s="11"/>
      <c r="T722" s="11"/>
      <c r="U722" s="11"/>
      <c r="V722" s="11"/>
      <c r="W722" s="11"/>
      <c r="X722" s="12"/>
      <c r="Y722" s="12"/>
      <c r="Z722" s="12"/>
      <c r="AA722" s="44"/>
      <c r="AB722" s="45"/>
      <c r="AC722" s="12"/>
      <c r="AD722" s="12"/>
      <c r="AE722" s="12"/>
      <c r="AF722" s="12"/>
      <c r="AG722" s="44"/>
      <c r="AH722" s="45"/>
      <c r="AI722" s="12"/>
      <c r="AJ722" s="12"/>
      <c r="AK722" s="12"/>
      <c r="AL722" s="12"/>
      <c r="AM722" s="44"/>
      <c r="AN722" s="45"/>
      <c r="AO722" s="12"/>
      <c r="AP722" s="12"/>
      <c r="AQ722" s="12"/>
      <c r="AR722" s="12"/>
      <c r="AS722" s="44"/>
      <c r="AT722" s="45"/>
      <c r="AU722" s="12"/>
      <c r="AV722" s="12"/>
      <c r="AW722" s="12"/>
      <c r="AX722" s="12"/>
      <c r="AY722" s="44"/>
      <c r="AZ722" s="45"/>
      <c r="BA722" s="12"/>
      <c r="BB722" s="12"/>
      <c r="BC722" s="12"/>
      <c r="BD722" s="12"/>
      <c r="BE722" s="44"/>
      <c r="BF722" s="45"/>
      <c r="BG722" s="12"/>
      <c r="BH722" s="12"/>
      <c r="BI722" s="12"/>
      <c r="BJ722" s="12"/>
      <c r="BK722" s="44"/>
      <c r="BL722" s="45"/>
      <c r="BM722" s="12"/>
      <c r="BN722" s="12"/>
      <c r="BO722" s="12"/>
      <c r="BP722" s="12"/>
      <c r="BQ722" s="48"/>
      <c r="BR722" s="49"/>
      <c r="BS722" s="13"/>
      <c r="BT722" s="12"/>
      <c r="BV722" s="14"/>
      <c r="BW722" s="50"/>
      <c r="BX722" s="54"/>
      <c r="BY722" s="14"/>
      <c r="BZ722" s="14"/>
      <c r="CA722" s="14"/>
      <c r="CB722" s="14"/>
      <c r="CC722" s="14"/>
      <c r="CD722" s="14"/>
      <c r="CE722" s="14"/>
      <c r="CF722" s="15"/>
      <c r="CG722" s="14"/>
      <c r="CH722" s="14"/>
      <c r="CI722" s="50"/>
      <c r="CJ722" s="54"/>
      <c r="CK722" s="14"/>
      <c r="CL722" s="14"/>
      <c r="CM722" s="14"/>
      <c r="CN722" s="14"/>
      <c r="CO722" s="14"/>
      <c r="CP722" s="14"/>
      <c r="CQ722" s="14"/>
      <c r="CR722" s="14"/>
      <c r="CS722" s="14"/>
      <c r="CT722" s="14"/>
      <c r="CU722" s="16"/>
      <c r="CV722" s="14"/>
      <c r="CW722" s="50"/>
      <c r="CX722" s="17"/>
    </row>
    <row r="723" spans="4:102" x14ac:dyDescent="0.25"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43"/>
      <c r="Q723" s="11"/>
      <c r="R723" s="11"/>
      <c r="S723" s="11"/>
      <c r="T723" s="11"/>
      <c r="U723" s="11"/>
      <c r="V723" s="11"/>
      <c r="W723" s="11"/>
      <c r="X723" s="12"/>
      <c r="Y723" s="12"/>
      <c r="Z723" s="12"/>
      <c r="AA723" s="44"/>
      <c r="AB723" s="45"/>
      <c r="AC723" s="12"/>
      <c r="AD723" s="12"/>
      <c r="AE723" s="12"/>
      <c r="AF723" s="12"/>
      <c r="AG723" s="44"/>
      <c r="AH723" s="45"/>
      <c r="AI723" s="12"/>
      <c r="AJ723" s="12"/>
      <c r="AK723" s="12"/>
      <c r="AL723" s="12"/>
      <c r="AM723" s="44"/>
      <c r="AN723" s="45"/>
      <c r="AO723" s="12"/>
      <c r="AP723" s="12"/>
      <c r="AQ723" s="12"/>
      <c r="AR723" s="12"/>
      <c r="AS723" s="44"/>
      <c r="AT723" s="45"/>
      <c r="AU723" s="12"/>
      <c r="AV723" s="12"/>
      <c r="AW723" s="12"/>
      <c r="AX723" s="12"/>
      <c r="AY723" s="44"/>
      <c r="AZ723" s="45"/>
      <c r="BA723" s="12"/>
      <c r="BB723" s="12"/>
      <c r="BC723" s="12"/>
      <c r="BD723" s="12"/>
      <c r="BE723" s="44"/>
      <c r="BF723" s="45"/>
      <c r="BG723" s="12"/>
      <c r="BH723" s="12"/>
      <c r="BI723" s="12"/>
      <c r="BJ723" s="12"/>
      <c r="BK723" s="44"/>
      <c r="BL723" s="45"/>
      <c r="BM723" s="12"/>
      <c r="BN723" s="12"/>
      <c r="BO723" s="12"/>
      <c r="BP723" s="12"/>
      <c r="BQ723" s="48"/>
      <c r="BR723" s="49"/>
      <c r="BS723" s="13"/>
      <c r="BT723" s="12"/>
      <c r="BV723" s="14"/>
      <c r="BW723" s="50"/>
      <c r="BX723" s="54"/>
      <c r="BY723" s="14"/>
      <c r="BZ723" s="14"/>
      <c r="CA723" s="14"/>
      <c r="CB723" s="14"/>
      <c r="CC723" s="14"/>
      <c r="CD723" s="14"/>
      <c r="CE723" s="14"/>
      <c r="CF723" s="15"/>
      <c r="CG723" s="14"/>
      <c r="CH723" s="14"/>
      <c r="CI723" s="50"/>
      <c r="CJ723" s="54"/>
      <c r="CK723" s="14"/>
      <c r="CL723" s="14"/>
      <c r="CM723" s="14"/>
      <c r="CN723" s="14"/>
      <c r="CO723" s="14"/>
      <c r="CP723" s="14"/>
      <c r="CQ723" s="14"/>
      <c r="CR723" s="14"/>
      <c r="CS723" s="14"/>
      <c r="CT723" s="14"/>
      <c r="CU723" s="16"/>
      <c r="CV723" s="14"/>
      <c r="CW723" s="50"/>
      <c r="CX723" s="17"/>
    </row>
    <row r="724" spans="4:102" x14ac:dyDescent="0.25"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43"/>
      <c r="Q724" s="11"/>
      <c r="R724" s="11"/>
      <c r="S724" s="11"/>
      <c r="T724" s="11"/>
      <c r="U724" s="11"/>
      <c r="V724" s="11"/>
      <c r="W724" s="11"/>
      <c r="X724" s="12"/>
      <c r="Y724" s="12"/>
      <c r="Z724" s="12"/>
      <c r="AA724" s="44"/>
      <c r="AB724" s="45"/>
      <c r="AC724" s="12"/>
      <c r="AD724" s="12"/>
      <c r="AE724" s="12"/>
      <c r="AF724" s="12"/>
      <c r="AG724" s="44"/>
      <c r="AH724" s="45"/>
      <c r="AI724" s="12"/>
      <c r="AJ724" s="12"/>
      <c r="AK724" s="12"/>
      <c r="AL724" s="12"/>
      <c r="AM724" s="44"/>
      <c r="AN724" s="45"/>
      <c r="AO724" s="12"/>
      <c r="AP724" s="12"/>
      <c r="AQ724" s="12"/>
      <c r="AR724" s="12"/>
      <c r="AS724" s="44"/>
      <c r="AT724" s="45"/>
      <c r="AU724" s="12"/>
      <c r="AV724" s="12"/>
      <c r="AW724" s="12"/>
      <c r="AX724" s="12"/>
      <c r="AY724" s="44"/>
      <c r="AZ724" s="45"/>
      <c r="BA724" s="12"/>
      <c r="BB724" s="12"/>
      <c r="BC724" s="12"/>
      <c r="BD724" s="12"/>
      <c r="BE724" s="44"/>
      <c r="BF724" s="45"/>
      <c r="BG724" s="12"/>
      <c r="BH724" s="12"/>
      <c r="BI724" s="12"/>
      <c r="BJ724" s="12"/>
      <c r="BK724" s="44"/>
      <c r="BL724" s="45"/>
      <c r="BM724" s="12"/>
      <c r="BN724" s="12"/>
      <c r="BO724" s="12"/>
      <c r="BP724" s="12"/>
      <c r="BQ724" s="48"/>
      <c r="BR724" s="49"/>
      <c r="BS724" s="13"/>
      <c r="BT724" s="12"/>
      <c r="BV724" s="14"/>
      <c r="BW724" s="50"/>
      <c r="BX724" s="54"/>
      <c r="BY724" s="14"/>
      <c r="BZ724" s="14"/>
      <c r="CA724" s="14"/>
      <c r="CB724" s="14"/>
      <c r="CC724" s="14"/>
      <c r="CD724" s="14"/>
      <c r="CE724" s="14"/>
      <c r="CF724" s="15"/>
      <c r="CG724" s="14"/>
      <c r="CH724" s="14"/>
      <c r="CI724" s="50"/>
      <c r="CJ724" s="54"/>
      <c r="CK724" s="14"/>
      <c r="CL724" s="14"/>
      <c r="CM724" s="14"/>
      <c r="CN724" s="14"/>
      <c r="CO724" s="14"/>
      <c r="CP724" s="14"/>
      <c r="CQ724" s="14"/>
      <c r="CR724" s="14"/>
      <c r="CS724" s="14"/>
      <c r="CT724" s="14"/>
      <c r="CU724" s="16"/>
      <c r="CV724" s="14"/>
      <c r="CW724" s="50"/>
      <c r="CX724" s="17"/>
    </row>
    <row r="725" spans="4:102" x14ac:dyDescent="0.25"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43"/>
      <c r="Q725" s="11"/>
      <c r="R725" s="11"/>
      <c r="S725" s="11"/>
      <c r="T725" s="11"/>
      <c r="U725" s="11"/>
      <c r="V725" s="11"/>
      <c r="W725" s="11"/>
      <c r="X725" s="12"/>
      <c r="Y725" s="12"/>
      <c r="Z725" s="12"/>
      <c r="AA725" s="44"/>
      <c r="AB725" s="45"/>
      <c r="AC725" s="12"/>
      <c r="AD725" s="12"/>
      <c r="AE725" s="12"/>
      <c r="AF725" s="12"/>
      <c r="AG725" s="44"/>
      <c r="AH725" s="45"/>
      <c r="AI725" s="12"/>
      <c r="AJ725" s="12"/>
      <c r="AK725" s="12"/>
      <c r="AL725" s="12"/>
      <c r="AM725" s="44"/>
      <c r="AN725" s="45"/>
      <c r="AO725" s="12"/>
      <c r="AP725" s="12"/>
      <c r="AQ725" s="12"/>
      <c r="AR725" s="12"/>
      <c r="AS725" s="44"/>
      <c r="AT725" s="45"/>
      <c r="AU725" s="12"/>
      <c r="AV725" s="12"/>
      <c r="AW725" s="12"/>
      <c r="AX725" s="12"/>
      <c r="AY725" s="44"/>
      <c r="AZ725" s="45"/>
      <c r="BA725" s="12"/>
      <c r="BB725" s="12"/>
      <c r="BC725" s="12"/>
      <c r="BD725" s="12"/>
      <c r="BE725" s="44"/>
      <c r="BF725" s="45"/>
      <c r="BG725" s="12"/>
      <c r="BH725" s="12"/>
      <c r="BI725" s="12"/>
      <c r="BJ725" s="12"/>
      <c r="BK725" s="44"/>
      <c r="BL725" s="45"/>
      <c r="BM725" s="12"/>
      <c r="BN725" s="12"/>
      <c r="BO725" s="12"/>
      <c r="BP725" s="12"/>
      <c r="BQ725" s="48"/>
      <c r="BR725" s="49"/>
      <c r="BS725" s="13"/>
      <c r="BT725" s="12"/>
      <c r="BV725" s="14"/>
      <c r="BW725" s="50"/>
      <c r="BX725" s="54"/>
      <c r="BY725" s="14"/>
      <c r="BZ725" s="14"/>
      <c r="CA725" s="14"/>
      <c r="CB725" s="14"/>
      <c r="CC725" s="14"/>
      <c r="CD725" s="14"/>
      <c r="CE725" s="14"/>
      <c r="CF725" s="15"/>
      <c r="CG725" s="14"/>
      <c r="CH725" s="14"/>
      <c r="CI725" s="50"/>
      <c r="CJ725" s="54"/>
      <c r="CK725" s="14"/>
      <c r="CL725" s="14"/>
      <c r="CM725" s="14"/>
      <c r="CN725" s="14"/>
      <c r="CO725" s="14"/>
      <c r="CP725" s="14"/>
      <c r="CQ725" s="14"/>
      <c r="CR725" s="14"/>
      <c r="CS725" s="14"/>
      <c r="CT725" s="14"/>
      <c r="CU725" s="16"/>
      <c r="CV725" s="14"/>
      <c r="CW725" s="50"/>
      <c r="CX725" s="17"/>
    </row>
    <row r="726" spans="4:102" x14ac:dyDescent="0.25"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43"/>
      <c r="Q726" s="11"/>
      <c r="R726" s="11"/>
      <c r="S726" s="11"/>
      <c r="T726" s="11"/>
      <c r="U726" s="11"/>
      <c r="V726" s="11"/>
      <c r="W726" s="11"/>
      <c r="X726" s="12"/>
      <c r="Y726" s="12"/>
      <c r="Z726" s="12"/>
      <c r="AA726" s="44"/>
      <c r="AB726" s="45"/>
      <c r="AC726" s="12"/>
      <c r="AD726" s="12"/>
      <c r="AE726" s="12"/>
      <c r="AF726" s="12"/>
      <c r="AG726" s="44"/>
      <c r="AH726" s="45"/>
      <c r="AI726" s="12"/>
      <c r="AJ726" s="12"/>
      <c r="AK726" s="12"/>
      <c r="AL726" s="12"/>
      <c r="AM726" s="44"/>
      <c r="AN726" s="45"/>
      <c r="AO726" s="12"/>
      <c r="AP726" s="12"/>
      <c r="AQ726" s="12"/>
      <c r="AR726" s="12"/>
      <c r="AS726" s="44"/>
      <c r="AT726" s="45"/>
      <c r="AU726" s="12"/>
      <c r="AV726" s="12"/>
      <c r="AW726" s="12"/>
      <c r="AX726" s="12"/>
      <c r="AY726" s="44"/>
      <c r="AZ726" s="45"/>
      <c r="BA726" s="12"/>
      <c r="BB726" s="12"/>
      <c r="BC726" s="12"/>
      <c r="BD726" s="12"/>
      <c r="BE726" s="44"/>
      <c r="BF726" s="45"/>
      <c r="BG726" s="12"/>
      <c r="BH726" s="12"/>
      <c r="BI726" s="12"/>
      <c r="BJ726" s="12"/>
      <c r="BK726" s="44"/>
      <c r="BL726" s="45"/>
      <c r="BM726" s="12"/>
      <c r="BN726" s="12"/>
      <c r="BO726" s="12"/>
      <c r="BP726" s="12"/>
      <c r="BQ726" s="48"/>
      <c r="BR726" s="49"/>
      <c r="BS726" s="13"/>
      <c r="BT726" s="12"/>
      <c r="BV726" s="14"/>
      <c r="BW726" s="50"/>
      <c r="BX726" s="54"/>
      <c r="BY726" s="14"/>
      <c r="BZ726" s="14"/>
      <c r="CA726" s="14"/>
      <c r="CB726" s="14"/>
      <c r="CC726" s="14"/>
      <c r="CD726" s="14"/>
      <c r="CE726" s="14"/>
      <c r="CF726" s="15"/>
      <c r="CG726" s="14"/>
      <c r="CH726" s="14"/>
      <c r="CI726" s="50"/>
      <c r="CJ726" s="54"/>
      <c r="CK726" s="14"/>
      <c r="CL726" s="14"/>
      <c r="CM726" s="14"/>
      <c r="CN726" s="14"/>
      <c r="CO726" s="14"/>
      <c r="CP726" s="14"/>
      <c r="CQ726" s="14"/>
      <c r="CR726" s="14"/>
      <c r="CS726" s="14"/>
      <c r="CT726" s="14"/>
      <c r="CU726" s="16"/>
      <c r="CV726" s="14"/>
      <c r="CW726" s="50"/>
      <c r="CX726" s="17"/>
    </row>
    <row r="727" spans="4:102" x14ac:dyDescent="0.25"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43"/>
      <c r="Q727" s="11"/>
      <c r="R727" s="11"/>
      <c r="S727" s="11"/>
      <c r="T727" s="11"/>
      <c r="U727" s="11"/>
      <c r="V727" s="11"/>
      <c r="W727" s="11"/>
      <c r="X727" s="12"/>
      <c r="Y727" s="12"/>
      <c r="Z727" s="12"/>
      <c r="AA727" s="44"/>
      <c r="AB727" s="45"/>
      <c r="AC727" s="12"/>
      <c r="AD727" s="12"/>
      <c r="AE727" s="12"/>
      <c r="AF727" s="12"/>
      <c r="AG727" s="44"/>
      <c r="AH727" s="45"/>
      <c r="AI727" s="12"/>
      <c r="AJ727" s="12"/>
      <c r="AK727" s="12"/>
      <c r="AL727" s="12"/>
      <c r="AM727" s="44"/>
      <c r="AN727" s="45"/>
      <c r="AO727" s="12"/>
      <c r="AP727" s="12"/>
      <c r="AQ727" s="12"/>
      <c r="AR727" s="12"/>
      <c r="AS727" s="44"/>
      <c r="AT727" s="45"/>
      <c r="AU727" s="12"/>
      <c r="AV727" s="12"/>
      <c r="AW727" s="12"/>
      <c r="AX727" s="12"/>
      <c r="AY727" s="44"/>
      <c r="AZ727" s="45"/>
      <c r="BA727" s="12"/>
      <c r="BB727" s="12"/>
      <c r="BC727" s="12"/>
      <c r="BD727" s="12"/>
      <c r="BE727" s="44"/>
      <c r="BF727" s="45"/>
      <c r="BG727" s="12"/>
      <c r="BH727" s="12"/>
      <c r="BI727" s="12"/>
      <c r="BJ727" s="12"/>
      <c r="BK727" s="44"/>
      <c r="BL727" s="45"/>
      <c r="BM727" s="12"/>
      <c r="BN727" s="12"/>
      <c r="BO727" s="12"/>
      <c r="BP727" s="12"/>
      <c r="BQ727" s="48"/>
      <c r="BR727" s="49"/>
      <c r="BS727" s="13"/>
      <c r="BT727" s="12"/>
      <c r="BV727" s="14"/>
      <c r="BW727" s="50"/>
      <c r="BX727" s="54"/>
      <c r="BY727" s="14"/>
      <c r="BZ727" s="14"/>
      <c r="CA727" s="14"/>
      <c r="CB727" s="14"/>
      <c r="CC727" s="14"/>
      <c r="CD727" s="14"/>
      <c r="CE727" s="14"/>
      <c r="CF727" s="15"/>
      <c r="CG727" s="14"/>
      <c r="CH727" s="14"/>
      <c r="CI727" s="50"/>
      <c r="CJ727" s="54"/>
      <c r="CK727" s="14"/>
      <c r="CL727" s="14"/>
      <c r="CM727" s="14"/>
      <c r="CN727" s="14"/>
      <c r="CO727" s="14"/>
      <c r="CP727" s="14"/>
      <c r="CQ727" s="14"/>
      <c r="CR727" s="14"/>
      <c r="CS727" s="14"/>
      <c r="CT727" s="14"/>
      <c r="CU727" s="16"/>
      <c r="CV727" s="14"/>
      <c r="CW727" s="50"/>
      <c r="CX727" s="17"/>
    </row>
    <row r="728" spans="4:102" x14ac:dyDescent="0.25"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43"/>
      <c r="Q728" s="11"/>
      <c r="R728" s="11"/>
      <c r="S728" s="11"/>
      <c r="T728" s="11"/>
      <c r="U728" s="11"/>
      <c r="V728" s="11"/>
      <c r="W728" s="11"/>
      <c r="X728" s="12"/>
      <c r="Y728" s="12"/>
      <c r="Z728" s="12"/>
      <c r="AA728" s="44"/>
      <c r="AB728" s="45"/>
      <c r="AC728" s="12"/>
      <c r="AD728" s="12"/>
      <c r="AE728" s="12"/>
      <c r="AF728" s="12"/>
      <c r="AG728" s="44"/>
      <c r="AH728" s="45"/>
      <c r="AI728" s="12"/>
      <c r="AJ728" s="12"/>
      <c r="AK728" s="12"/>
      <c r="AL728" s="12"/>
      <c r="AM728" s="44"/>
      <c r="AN728" s="45"/>
      <c r="AO728" s="12"/>
      <c r="AP728" s="12"/>
      <c r="AQ728" s="12"/>
      <c r="AR728" s="12"/>
      <c r="AS728" s="44"/>
      <c r="AT728" s="45"/>
      <c r="AU728" s="12"/>
      <c r="AV728" s="12"/>
      <c r="AW728" s="12"/>
      <c r="AX728" s="12"/>
      <c r="AY728" s="44"/>
      <c r="AZ728" s="45"/>
      <c r="BA728" s="12"/>
      <c r="BB728" s="12"/>
      <c r="BC728" s="12"/>
      <c r="BD728" s="12"/>
      <c r="BE728" s="44"/>
      <c r="BF728" s="45"/>
      <c r="BG728" s="12"/>
      <c r="BH728" s="12"/>
      <c r="BI728" s="12"/>
      <c r="BJ728" s="12"/>
      <c r="BK728" s="44"/>
      <c r="BL728" s="45"/>
      <c r="BM728" s="12"/>
      <c r="BN728" s="12"/>
      <c r="BO728" s="12"/>
      <c r="BP728" s="12"/>
      <c r="BQ728" s="48"/>
      <c r="BR728" s="49"/>
      <c r="BS728" s="13"/>
      <c r="BT728" s="12"/>
      <c r="BV728" s="14"/>
      <c r="BW728" s="50"/>
      <c r="BX728" s="54"/>
      <c r="BY728" s="14"/>
      <c r="BZ728" s="14"/>
      <c r="CA728" s="14"/>
      <c r="CB728" s="14"/>
      <c r="CC728" s="14"/>
      <c r="CD728" s="14"/>
      <c r="CE728" s="14"/>
      <c r="CF728" s="15"/>
      <c r="CG728" s="14"/>
      <c r="CH728" s="14"/>
      <c r="CI728" s="50"/>
      <c r="CJ728" s="54"/>
      <c r="CK728" s="14"/>
      <c r="CL728" s="14"/>
      <c r="CM728" s="14"/>
      <c r="CN728" s="14"/>
      <c r="CO728" s="14"/>
      <c r="CP728" s="14"/>
      <c r="CQ728" s="14"/>
      <c r="CR728" s="14"/>
      <c r="CS728" s="14"/>
      <c r="CT728" s="14"/>
      <c r="CU728" s="16"/>
      <c r="CV728" s="14"/>
      <c r="CW728" s="50"/>
      <c r="CX728" s="17"/>
    </row>
    <row r="729" spans="4:102" x14ac:dyDescent="0.25"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43"/>
      <c r="Q729" s="11"/>
      <c r="R729" s="11"/>
      <c r="S729" s="11"/>
      <c r="T729" s="11"/>
      <c r="U729" s="11"/>
      <c r="V729" s="11"/>
      <c r="W729" s="11"/>
      <c r="X729" s="12"/>
      <c r="Y729" s="12"/>
      <c r="Z729" s="12"/>
      <c r="AA729" s="44"/>
      <c r="AB729" s="45"/>
      <c r="AC729" s="12"/>
      <c r="AD729" s="12"/>
      <c r="AE729" s="12"/>
      <c r="AF729" s="12"/>
      <c r="AG729" s="44"/>
      <c r="AH729" s="45"/>
      <c r="AI729" s="12"/>
      <c r="AJ729" s="12"/>
      <c r="AK729" s="12"/>
      <c r="AL729" s="12"/>
      <c r="AM729" s="44"/>
      <c r="AN729" s="45"/>
      <c r="AO729" s="12"/>
      <c r="AP729" s="12"/>
      <c r="AQ729" s="12"/>
      <c r="AR729" s="12"/>
      <c r="AS729" s="44"/>
      <c r="AT729" s="45"/>
      <c r="AU729" s="12"/>
      <c r="AV729" s="12"/>
      <c r="AW729" s="12"/>
      <c r="AX729" s="12"/>
      <c r="AY729" s="44"/>
      <c r="AZ729" s="45"/>
      <c r="BA729" s="12"/>
      <c r="BB729" s="12"/>
      <c r="BC729" s="12"/>
      <c r="BD729" s="12"/>
      <c r="BE729" s="44"/>
      <c r="BF729" s="45"/>
      <c r="BG729" s="12"/>
      <c r="BH729" s="12"/>
      <c r="BI729" s="12"/>
      <c r="BJ729" s="12"/>
      <c r="BK729" s="44"/>
      <c r="BL729" s="45"/>
      <c r="BM729" s="12"/>
      <c r="BN729" s="12"/>
      <c r="BO729" s="12"/>
      <c r="BP729" s="12"/>
      <c r="BQ729" s="48"/>
      <c r="BR729" s="49"/>
      <c r="BS729" s="13"/>
      <c r="BT729" s="12"/>
      <c r="BV729" s="14"/>
      <c r="BW729" s="50"/>
      <c r="BX729" s="54"/>
      <c r="BY729" s="14"/>
      <c r="BZ729" s="14"/>
      <c r="CA729" s="14"/>
      <c r="CB729" s="14"/>
      <c r="CC729" s="14"/>
      <c r="CD729" s="14"/>
      <c r="CE729" s="14"/>
      <c r="CF729" s="15"/>
      <c r="CG729" s="14"/>
      <c r="CH729" s="14"/>
      <c r="CI729" s="50"/>
      <c r="CJ729" s="54"/>
      <c r="CK729" s="14"/>
      <c r="CL729" s="14"/>
      <c r="CM729" s="14"/>
      <c r="CN729" s="14"/>
      <c r="CO729" s="14"/>
      <c r="CP729" s="14"/>
      <c r="CQ729" s="14"/>
      <c r="CR729" s="14"/>
      <c r="CS729" s="14"/>
      <c r="CT729" s="14"/>
      <c r="CU729" s="16"/>
      <c r="CV729" s="14"/>
      <c r="CW729" s="50"/>
      <c r="CX729" s="17"/>
    </row>
    <row r="730" spans="4:102" x14ac:dyDescent="0.25"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43"/>
      <c r="Q730" s="11"/>
      <c r="R730" s="11"/>
      <c r="S730" s="11"/>
      <c r="T730" s="11"/>
      <c r="U730" s="11"/>
      <c r="V730" s="11"/>
      <c r="W730" s="11"/>
      <c r="X730" s="12"/>
      <c r="Y730" s="12"/>
      <c r="Z730" s="12"/>
      <c r="AA730" s="44"/>
      <c r="AB730" s="45"/>
      <c r="AC730" s="12"/>
      <c r="AD730" s="12"/>
      <c r="AE730" s="12"/>
      <c r="AF730" s="12"/>
      <c r="AG730" s="44"/>
      <c r="AH730" s="45"/>
      <c r="AI730" s="12"/>
      <c r="AJ730" s="12"/>
      <c r="AK730" s="12"/>
      <c r="AL730" s="12"/>
      <c r="AM730" s="44"/>
      <c r="AN730" s="45"/>
      <c r="AO730" s="12"/>
      <c r="AP730" s="12"/>
      <c r="AQ730" s="12"/>
      <c r="AR730" s="12"/>
      <c r="AS730" s="44"/>
      <c r="AT730" s="45"/>
      <c r="AU730" s="12"/>
      <c r="AV730" s="12"/>
      <c r="AW730" s="12"/>
      <c r="AX730" s="12"/>
      <c r="AY730" s="44"/>
      <c r="AZ730" s="45"/>
      <c r="BA730" s="12"/>
      <c r="BB730" s="12"/>
      <c r="BC730" s="12"/>
      <c r="BD730" s="12"/>
      <c r="BE730" s="44"/>
      <c r="BF730" s="45"/>
      <c r="BG730" s="12"/>
      <c r="BH730" s="12"/>
      <c r="BI730" s="12"/>
      <c r="BJ730" s="12"/>
      <c r="BK730" s="44"/>
      <c r="BL730" s="45"/>
      <c r="BM730" s="12"/>
      <c r="BN730" s="12"/>
      <c r="BO730" s="12"/>
      <c r="BP730" s="12"/>
      <c r="BQ730" s="48"/>
      <c r="BR730" s="49"/>
      <c r="BS730" s="13"/>
      <c r="BT730" s="12"/>
      <c r="BV730" s="14"/>
      <c r="BW730" s="50"/>
      <c r="BX730" s="54"/>
      <c r="BY730" s="14"/>
      <c r="BZ730" s="14"/>
      <c r="CA730" s="14"/>
      <c r="CB730" s="14"/>
      <c r="CC730" s="14"/>
      <c r="CD730" s="14"/>
      <c r="CE730" s="14"/>
      <c r="CF730" s="15"/>
      <c r="CG730" s="14"/>
      <c r="CH730" s="14"/>
      <c r="CI730" s="50"/>
      <c r="CJ730" s="54"/>
      <c r="CK730" s="14"/>
      <c r="CL730" s="14"/>
      <c r="CM730" s="14"/>
      <c r="CN730" s="14"/>
      <c r="CO730" s="14"/>
      <c r="CP730" s="14"/>
      <c r="CQ730" s="14"/>
      <c r="CR730" s="14"/>
      <c r="CS730" s="14"/>
      <c r="CT730" s="14"/>
      <c r="CU730" s="16"/>
      <c r="CV730" s="14"/>
      <c r="CW730" s="50"/>
      <c r="CX730" s="17"/>
    </row>
    <row r="731" spans="4:102" x14ac:dyDescent="0.25"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43"/>
      <c r="Q731" s="11"/>
      <c r="R731" s="11"/>
      <c r="S731" s="11"/>
      <c r="T731" s="11"/>
      <c r="U731" s="11"/>
      <c r="V731" s="11"/>
      <c r="W731" s="11"/>
      <c r="X731" s="12"/>
      <c r="Y731" s="12"/>
      <c r="Z731" s="12"/>
      <c r="AA731" s="44"/>
      <c r="AB731" s="45"/>
      <c r="AC731" s="12"/>
      <c r="AD731" s="12"/>
      <c r="AE731" s="12"/>
      <c r="AF731" s="12"/>
      <c r="AG731" s="44"/>
      <c r="AH731" s="45"/>
      <c r="AI731" s="12"/>
      <c r="AJ731" s="12"/>
      <c r="AK731" s="12"/>
      <c r="AL731" s="12"/>
      <c r="AM731" s="44"/>
      <c r="AN731" s="45"/>
      <c r="AO731" s="12"/>
      <c r="AP731" s="12"/>
      <c r="AQ731" s="12"/>
      <c r="AR731" s="12"/>
      <c r="AS731" s="44"/>
      <c r="AT731" s="45"/>
      <c r="AU731" s="12"/>
      <c r="AV731" s="12"/>
      <c r="AW731" s="12"/>
      <c r="AX731" s="12"/>
      <c r="AY731" s="44"/>
      <c r="AZ731" s="45"/>
      <c r="BA731" s="12"/>
      <c r="BB731" s="12"/>
      <c r="BC731" s="12"/>
      <c r="BD731" s="12"/>
      <c r="BE731" s="44"/>
      <c r="BF731" s="45"/>
      <c r="BG731" s="12"/>
      <c r="BH731" s="12"/>
      <c r="BI731" s="12"/>
      <c r="BJ731" s="12"/>
      <c r="BK731" s="44"/>
      <c r="BL731" s="45"/>
      <c r="BM731" s="12"/>
      <c r="BN731" s="12"/>
      <c r="BO731" s="12"/>
      <c r="BP731" s="12"/>
      <c r="BQ731" s="48"/>
      <c r="BR731" s="49"/>
      <c r="BS731" s="13"/>
      <c r="BT731" s="12"/>
      <c r="BV731" s="14"/>
      <c r="BW731" s="50"/>
      <c r="BX731" s="54"/>
      <c r="BY731" s="14"/>
      <c r="BZ731" s="14"/>
      <c r="CA731" s="14"/>
      <c r="CB731" s="14"/>
      <c r="CC731" s="14"/>
      <c r="CD731" s="14"/>
      <c r="CE731" s="14"/>
      <c r="CF731" s="15"/>
      <c r="CG731" s="14"/>
      <c r="CH731" s="14"/>
      <c r="CI731" s="50"/>
      <c r="CJ731" s="54"/>
      <c r="CK731" s="14"/>
      <c r="CL731" s="14"/>
      <c r="CM731" s="14"/>
      <c r="CN731" s="14"/>
      <c r="CO731" s="14"/>
      <c r="CP731" s="14"/>
      <c r="CQ731" s="14"/>
      <c r="CR731" s="14"/>
      <c r="CS731" s="14"/>
      <c r="CT731" s="14"/>
      <c r="CU731" s="16"/>
      <c r="CV731" s="14"/>
      <c r="CW731" s="50"/>
      <c r="CX731" s="17"/>
    </row>
    <row r="732" spans="4:102" x14ac:dyDescent="0.25"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43"/>
      <c r="Q732" s="11"/>
      <c r="R732" s="11"/>
      <c r="S732" s="11"/>
      <c r="T732" s="11"/>
      <c r="U732" s="11"/>
      <c r="V732" s="11"/>
      <c r="W732" s="11"/>
      <c r="X732" s="12"/>
      <c r="Y732" s="12"/>
      <c r="Z732" s="12"/>
      <c r="AA732" s="44"/>
      <c r="AB732" s="45"/>
      <c r="AC732" s="12"/>
      <c r="AD732" s="12"/>
      <c r="AE732" s="12"/>
      <c r="AF732" s="12"/>
      <c r="AG732" s="44"/>
      <c r="AH732" s="45"/>
      <c r="AI732" s="12"/>
      <c r="AJ732" s="12"/>
      <c r="AK732" s="12"/>
      <c r="AL732" s="12"/>
      <c r="AM732" s="44"/>
      <c r="AN732" s="45"/>
      <c r="AO732" s="12"/>
      <c r="AP732" s="12"/>
      <c r="AQ732" s="12"/>
      <c r="AR732" s="12"/>
      <c r="AS732" s="44"/>
      <c r="AT732" s="45"/>
      <c r="AU732" s="12"/>
      <c r="AV732" s="12"/>
      <c r="AW732" s="12"/>
      <c r="AX732" s="12"/>
      <c r="AY732" s="44"/>
      <c r="AZ732" s="45"/>
      <c r="BA732" s="12"/>
      <c r="BB732" s="12"/>
      <c r="BC732" s="12"/>
      <c r="BD732" s="12"/>
      <c r="BE732" s="44"/>
      <c r="BF732" s="45"/>
      <c r="BG732" s="12"/>
      <c r="BH732" s="12"/>
      <c r="BI732" s="12"/>
      <c r="BJ732" s="12"/>
      <c r="BK732" s="44"/>
      <c r="BL732" s="45"/>
      <c r="BM732" s="12"/>
      <c r="BN732" s="12"/>
      <c r="BO732" s="12"/>
      <c r="BP732" s="12"/>
      <c r="BQ732" s="48"/>
      <c r="BR732" s="49"/>
      <c r="BS732" s="13"/>
      <c r="BT732" s="12"/>
      <c r="BV732" s="14"/>
      <c r="BW732" s="50"/>
      <c r="BX732" s="54"/>
      <c r="BY732" s="14"/>
      <c r="BZ732" s="14"/>
      <c r="CA732" s="14"/>
      <c r="CB732" s="14"/>
      <c r="CC732" s="14"/>
      <c r="CD732" s="14"/>
      <c r="CE732" s="14"/>
      <c r="CF732" s="15"/>
      <c r="CG732" s="14"/>
      <c r="CH732" s="14"/>
      <c r="CI732" s="50"/>
      <c r="CJ732" s="54"/>
      <c r="CK732" s="14"/>
      <c r="CL732" s="14"/>
      <c r="CM732" s="14"/>
      <c r="CN732" s="14"/>
      <c r="CO732" s="14"/>
      <c r="CP732" s="14"/>
      <c r="CQ732" s="14"/>
      <c r="CR732" s="14"/>
      <c r="CS732" s="14"/>
      <c r="CT732" s="14"/>
      <c r="CU732" s="16"/>
      <c r="CV732" s="14"/>
      <c r="CW732" s="50"/>
      <c r="CX732" s="17"/>
    </row>
    <row r="733" spans="4:102" x14ac:dyDescent="0.25"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43"/>
      <c r="Q733" s="11"/>
      <c r="R733" s="11"/>
      <c r="S733" s="11"/>
      <c r="T733" s="11"/>
      <c r="U733" s="11"/>
      <c r="V733" s="11"/>
      <c r="W733" s="11"/>
      <c r="X733" s="12"/>
      <c r="Y733" s="12"/>
      <c r="Z733" s="12"/>
      <c r="AA733" s="44"/>
      <c r="AB733" s="45"/>
      <c r="AC733" s="12"/>
      <c r="AD733" s="12"/>
      <c r="AE733" s="12"/>
      <c r="AF733" s="12"/>
      <c r="AG733" s="44"/>
      <c r="AH733" s="45"/>
      <c r="AI733" s="12"/>
      <c r="AJ733" s="12"/>
      <c r="AK733" s="12"/>
      <c r="AL733" s="12"/>
      <c r="AM733" s="44"/>
      <c r="AN733" s="45"/>
      <c r="AO733" s="12"/>
      <c r="AP733" s="12"/>
      <c r="AQ733" s="12"/>
      <c r="AR733" s="12"/>
      <c r="AS733" s="44"/>
      <c r="AT733" s="45"/>
      <c r="AU733" s="12"/>
      <c r="AV733" s="12"/>
      <c r="AW733" s="12"/>
      <c r="AX733" s="12"/>
      <c r="AY733" s="44"/>
      <c r="AZ733" s="45"/>
      <c r="BA733" s="12"/>
      <c r="BB733" s="12"/>
      <c r="BC733" s="12"/>
      <c r="BD733" s="12"/>
      <c r="BE733" s="44"/>
      <c r="BF733" s="45"/>
      <c r="BG733" s="12"/>
      <c r="BH733" s="12"/>
      <c r="BI733" s="12"/>
      <c r="BJ733" s="12"/>
      <c r="BK733" s="44"/>
      <c r="BL733" s="45"/>
      <c r="BM733" s="12"/>
      <c r="BN733" s="12"/>
      <c r="BO733" s="12"/>
      <c r="BP733" s="12"/>
      <c r="BQ733" s="48"/>
      <c r="BR733" s="49"/>
      <c r="BS733" s="13"/>
      <c r="BT733" s="12"/>
      <c r="BV733" s="14"/>
      <c r="BW733" s="50"/>
      <c r="BX733" s="54"/>
      <c r="BY733" s="14"/>
      <c r="BZ733" s="14"/>
      <c r="CA733" s="14"/>
      <c r="CB733" s="14"/>
      <c r="CC733" s="14"/>
      <c r="CD733" s="14"/>
      <c r="CE733" s="14"/>
      <c r="CF733" s="15"/>
      <c r="CG733" s="14"/>
      <c r="CH733" s="14"/>
      <c r="CI733" s="50"/>
      <c r="CJ733" s="54"/>
      <c r="CK733" s="14"/>
      <c r="CL733" s="14"/>
      <c r="CM733" s="14"/>
      <c r="CN733" s="14"/>
      <c r="CO733" s="14"/>
      <c r="CP733" s="14"/>
      <c r="CQ733" s="14"/>
      <c r="CR733" s="14"/>
      <c r="CS733" s="14"/>
      <c r="CT733" s="14"/>
      <c r="CU733" s="16"/>
      <c r="CV733" s="14"/>
      <c r="CW733" s="50"/>
      <c r="CX733" s="17"/>
    </row>
    <row r="734" spans="4:102" x14ac:dyDescent="0.25"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43"/>
      <c r="Q734" s="11"/>
      <c r="R734" s="11"/>
      <c r="S734" s="11"/>
      <c r="T734" s="11"/>
      <c r="U734" s="11"/>
      <c r="V734" s="11"/>
      <c r="W734" s="11"/>
      <c r="X734" s="12"/>
      <c r="Y734" s="12"/>
      <c r="Z734" s="12"/>
      <c r="AA734" s="44"/>
      <c r="AB734" s="45"/>
      <c r="AC734" s="12"/>
      <c r="AD734" s="12"/>
      <c r="AE734" s="12"/>
      <c r="AF734" s="12"/>
      <c r="AG734" s="44"/>
      <c r="AH734" s="45"/>
      <c r="AI734" s="12"/>
      <c r="AJ734" s="12"/>
      <c r="AK734" s="12"/>
      <c r="AL734" s="12"/>
      <c r="AM734" s="44"/>
      <c r="AN734" s="45"/>
      <c r="AO734" s="12"/>
      <c r="AP734" s="12"/>
      <c r="AQ734" s="12"/>
      <c r="AR734" s="12"/>
      <c r="AS734" s="44"/>
      <c r="AT734" s="45"/>
      <c r="AU734" s="12"/>
      <c r="AV734" s="12"/>
      <c r="AW734" s="12"/>
      <c r="AX734" s="12"/>
      <c r="AY734" s="44"/>
      <c r="AZ734" s="45"/>
      <c r="BA734" s="12"/>
      <c r="BB734" s="12"/>
      <c r="BC734" s="12"/>
      <c r="BD734" s="12"/>
      <c r="BE734" s="44"/>
      <c r="BF734" s="45"/>
      <c r="BG734" s="12"/>
      <c r="BH734" s="12"/>
      <c r="BI734" s="12"/>
      <c r="BJ734" s="12"/>
      <c r="BK734" s="44"/>
      <c r="BL734" s="45"/>
      <c r="BM734" s="12"/>
      <c r="BN734" s="12"/>
      <c r="BO734" s="12"/>
      <c r="BP734" s="12"/>
      <c r="BQ734" s="48"/>
      <c r="BR734" s="49"/>
      <c r="BS734" s="13"/>
      <c r="BT734" s="12"/>
      <c r="BV734" s="14"/>
      <c r="BW734" s="50"/>
      <c r="BX734" s="54"/>
      <c r="BY734" s="14"/>
      <c r="BZ734" s="14"/>
      <c r="CA734" s="14"/>
      <c r="CB734" s="14"/>
      <c r="CC734" s="14"/>
      <c r="CD734" s="14"/>
      <c r="CE734" s="14"/>
      <c r="CF734" s="15"/>
      <c r="CG734" s="14"/>
      <c r="CH734" s="14"/>
      <c r="CI734" s="50"/>
      <c r="CJ734" s="54"/>
      <c r="CK734" s="14"/>
      <c r="CL734" s="14"/>
      <c r="CM734" s="14"/>
      <c r="CN734" s="14"/>
      <c r="CO734" s="14"/>
      <c r="CP734" s="14"/>
      <c r="CQ734" s="14"/>
      <c r="CR734" s="14"/>
      <c r="CS734" s="14"/>
      <c r="CT734" s="14"/>
      <c r="CU734" s="16"/>
      <c r="CV734" s="14"/>
      <c r="CW734" s="50"/>
      <c r="CX734" s="17"/>
    </row>
    <row r="735" spans="4:102" x14ac:dyDescent="0.25"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43"/>
      <c r="Q735" s="11"/>
      <c r="R735" s="11"/>
      <c r="S735" s="11"/>
      <c r="T735" s="11"/>
      <c r="U735" s="11"/>
      <c r="V735" s="11"/>
      <c r="W735" s="11"/>
      <c r="X735" s="12"/>
      <c r="Y735" s="12"/>
      <c r="Z735" s="12"/>
      <c r="AA735" s="44"/>
      <c r="AB735" s="45"/>
      <c r="AC735" s="12"/>
      <c r="AD735" s="12"/>
      <c r="AE735" s="12"/>
      <c r="AF735" s="12"/>
      <c r="AG735" s="44"/>
      <c r="AH735" s="45"/>
      <c r="AI735" s="12"/>
      <c r="AJ735" s="12"/>
      <c r="AK735" s="12"/>
      <c r="AL735" s="12"/>
      <c r="AM735" s="44"/>
      <c r="AN735" s="45"/>
      <c r="AO735" s="12"/>
      <c r="AP735" s="12"/>
      <c r="AQ735" s="12"/>
      <c r="AR735" s="12"/>
      <c r="AS735" s="44"/>
      <c r="AT735" s="45"/>
      <c r="AU735" s="12"/>
      <c r="AV735" s="12"/>
      <c r="AW735" s="12"/>
      <c r="AX735" s="12"/>
      <c r="AY735" s="44"/>
      <c r="AZ735" s="45"/>
      <c r="BA735" s="12"/>
      <c r="BB735" s="12"/>
      <c r="BC735" s="12"/>
      <c r="BD735" s="12"/>
      <c r="BE735" s="44"/>
      <c r="BF735" s="45"/>
      <c r="BG735" s="12"/>
      <c r="BH735" s="12"/>
      <c r="BI735" s="12"/>
      <c r="BJ735" s="12"/>
      <c r="BK735" s="44"/>
      <c r="BL735" s="45"/>
      <c r="BM735" s="12"/>
      <c r="BN735" s="12"/>
      <c r="BO735" s="12"/>
      <c r="BP735" s="12"/>
      <c r="BQ735" s="48"/>
      <c r="BR735" s="49"/>
      <c r="BS735" s="13"/>
      <c r="BT735" s="12"/>
      <c r="BV735" s="14"/>
      <c r="BW735" s="50"/>
      <c r="BX735" s="54"/>
      <c r="BY735" s="14"/>
      <c r="BZ735" s="14"/>
      <c r="CA735" s="14"/>
      <c r="CB735" s="14"/>
      <c r="CC735" s="14"/>
      <c r="CD735" s="14"/>
      <c r="CE735" s="14"/>
      <c r="CF735" s="15"/>
      <c r="CG735" s="14"/>
      <c r="CH735" s="14"/>
      <c r="CI735" s="50"/>
      <c r="CJ735" s="54"/>
      <c r="CK735" s="14"/>
      <c r="CL735" s="14"/>
      <c r="CM735" s="14"/>
      <c r="CN735" s="14"/>
      <c r="CO735" s="14"/>
      <c r="CP735" s="14"/>
      <c r="CQ735" s="14"/>
      <c r="CR735" s="14"/>
      <c r="CS735" s="14"/>
      <c r="CT735" s="14"/>
      <c r="CU735" s="16"/>
      <c r="CV735" s="14"/>
      <c r="CW735" s="50"/>
      <c r="CX735" s="17"/>
    </row>
    <row r="736" spans="4:102" x14ac:dyDescent="0.25"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43"/>
      <c r="Q736" s="11"/>
      <c r="R736" s="11"/>
      <c r="S736" s="11"/>
      <c r="T736" s="11"/>
      <c r="U736" s="11"/>
      <c r="V736" s="11"/>
      <c r="W736" s="11"/>
      <c r="X736" s="12"/>
      <c r="Y736" s="12"/>
      <c r="Z736" s="12"/>
      <c r="AA736" s="44"/>
      <c r="AB736" s="45"/>
      <c r="AC736" s="12"/>
      <c r="AD736" s="12"/>
      <c r="AE736" s="12"/>
      <c r="AF736" s="12"/>
      <c r="AG736" s="44"/>
      <c r="AH736" s="45"/>
      <c r="AI736" s="12"/>
      <c r="AJ736" s="12"/>
      <c r="AK736" s="12"/>
      <c r="AL736" s="12"/>
      <c r="AM736" s="44"/>
      <c r="AN736" s="45"/>
      <c r="AO736" s="12"/>
      <c r="AP736" s="12"/>
      <c r="AQ736" s="12"/>
      <c r="AR736" s="12"/>
      <c r="AS736" s="44"/>
      <c r="AT736" s="45"/>
      <c r="AU736" s="12"/>
      <c r="AV736" s="12"/>
      <c r="AW736" s="12"/>
      <c r="AX736" s="12"/>
      <c r="AY736" s="44"/>
      <c r="AZ736" s="45"/>
      <c r="BA736" s="12"/>
      <c r="BB736" s="12"/>
      <c r="BC736" s="12"/>
      <c r="BD736" s="12"/>
      <c r="BE736" s="44"/>
      <c r="BF736" s="45"/>
      <c r="BG736" s="12"/>
      <c r="BH736" s="12"/>
      <c r="BI736" s="12"/>
      <c r="BJ736" s="12"/>
      <c r="BK736" s="44"/>
      <c r="BL736" s="45"/>
      <c r="BM736" s="12"/>
      <c r="BN736" s="12"/>
      <c r="BO736" s="12"/>
      <c r="BP736" s="12"/>
      <c r="BQ736" s="48"/>
      <c r="BR736" s="49"/>
      <c r="BS736" s="13"/>
      <c r="BT736" s="12"/>
      <c r="BV736" s="14"/>
      <c r="BW736" s="50"/>
      <c r="BX736" s="54"/>
      <c r="BY736" s="14"/>
      <c r="BZ736" s="14"/>
      <c r="CA736" s="14"/>
      <c r="CB736" s="14"/>
      <c r="CC736" s="14"/>
      <c r="CD736" s="14"/>
      <c r="CE736" s="14"/>
      <c r="CF736" s="15"/>
      <c r="CG736" s="14"/>
      <c r="CH736" s="14"/>
      <c r="CI736" s="50"/>
      <c r="CJ736" s="54"/>
      <c r="CK736" s="14"/>
      <c r="CL736" s="14"/>
      <c r="CM736" s="14"/>
      <c r="CN736" s="14"/>
      <c r="CO736" s="14"/>
      <c r="CP736" s="14"/>
      <c r="CQ736" s="14"/>
      <c r="CR736" s="14"/>
      <c r="CS736" s="14"/>
      <c r="CT736" s="14"/>
      <c r="CU736" s="16"/>
      <c r="CV736" s="14"/>
      <c r="CW736" s="50"/>
      <c r="CX736" s="17"/>
    </row>
    <row r="737" spans="4:102" x14ac:dyDescent="0.25"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43"/>
      <c r="Q737" s="11"/>
      <c r="R737" s="11"/>
      <c r="S737" s="11"/>
      <c r="T737" s="11"/>
      <c r="U737" s="11"/>
      <c r="V737" s="11"/>
      <c r="W737" s="11"/>
      <c r="X737" s="12"/>
      <c r="Y737" s="12"/>
      <c r="Z737" s="12"/>
      <c r="AA737" s="44"/>
      <c r="AB737" s="45"/>
      <c r="AC737" s="12"/>
      <c r="AD737" s="12"/>
      <c r="AE737" s="12"/>
      <c r="AF737" s="12"/>
      <c r="AG737" s="44"/>
      <c r="AH737" s="45"/>
      <c r="AI737" s="12"/>
      <c r="AJ737" s="12"/>
      <c r="AK737" s="12"/>
      <c r="AL737" s="12"/>
      <c r="AM737" s="44"/>
      <c r="AN737" s="45"/>
      <c r="AO737" s="12"/>
      <c r="AP737" s="12"/>
      <c r="AQ737" s="12"/>
      <c r="AR737" s="12"/>
      <c r="AS737" s="44"/>
      <c r="AT737" s="45"/>
      <c r="AU737" s="12"/>
      <c r="AV737" s="12"/>
      <c r="AW737" s="12"/>
      <c r="AX737" s="12"/>
      <c r="AY737" s="44"/>
      <c r="AZ737" s="45"/>
      <c r="BA737" s="12"/>
      <c r="BB737" s="12"/>
      <c r="BC737" s="12"/>
      <c r="BD737" s="12"/>
      <c r="BE737" s="44"/>
      <c r="BF737" s="45"/>
      <c r="BG737" s="12"/>
      <c r="BH737" s="12"/>
      <c r="BI737" s="12"/>
      <c r="BJ737" s="12"/>
      <c r="BK737" s="44"/>
      <c r="BL737" s="45"/>
      <c r="BM737" s="12"/>
      <c r="BN737" s="12"/>
      <c r="BO737" s="12"/>
      <c r="BP737" s="12"/>
      <c r="BQ737" s="48"/>
      <c r="BR737" s="49"/>
      <c r="BS737" s="13"/>
      <c r="BT737" s="12"/>
      <c r="BV737" s="14"/>
      <c r="BW737" s="50"/>
      <c r="BX737" s="54"/>
      <c r="BY737" s="14"/>
      <c r="BZ737" s="14"/>
      <c r="CA737" s="14"/>
      <c r="CB737" s="14"/>
      <c r="CC737" s="14"/>
      <c r="CD737" s="14"/>
      <c r="CE737" s="14"/>
      <c r="CF737" s="15"/>
      <c r="CG737" s="14"/>
      <c r="CH737" s="14"/>
      <c r="CI737" s="50"/>
      <c r="CJ737" s="54"/>
      <c r="CK737" s="14"/>
      <c r="CL737" s="14"/>
      <c r="CM737" s="14"/>
      <c r="CN737" s="14"/>
      <c r="CO737" s="14"/>
      <c r="CP737" s="14"/>
      <c r="CQ737" s="14"/>
      <c r="CR737" s="14"/>
      <c r="CS737" s="14"/>
      <c r="CT737" s="14"/>
      <c r="CU737" s="16"/>
      <c r="CV737" s="14"/>
      <c r="CW737" s="50"/>
      <c r="CX737" s="17"/>
    </row>
    <row r="738" spans="4:102" x14ac:dyDescent="0.25"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43"/>
      <c r="Q738" s="11"/>
      <c r="R738" s="11"/>
      <c r="S738" s="11"/>
      <c r="T738" s="11"/>
      <c r="U738" s="11"/>
      <c r="V738" s="11"/>
      <c r="W738" s="11"/>
      <c r="X738" s="12"/>
      <c r="Y738" s="12"/>
      <c r="Z738" s="12"/>
      <c r="AA738" s="44"/>
      <c r="AB738" s="45"/>
      <c r="AC738" s="12"/>
      <c r="AD738" s="12"/>
      <c r="AE738" s="12"/>
      <c r="AF738" s="12"/>
      <c r="AG738" s="44"/>
      <c r="AH738" s="45"/>
      <c r="AI738" s="12"/>
      <c r="AJ738" s="12"/>
      <c r="AK738" s="12"/>
      <c r="AL738" s="12"/>
      <c r="AM738" s="44"/>
      <c r="AN738" s="45"/>
      <c r="AO738" s="12"/>
      <c r="AP738" s="12"/>
      <c r="AQ738" s="12"/>
      <c r="AR738" s="12"/>
      <c r="AS738" s="44"/>
      <c r="AT738" s="45"/>
      <c r="AU738" s="12"/>
      <c r="AV738" s="12"/>
      <c r="AW738" s="12"/>
      <c r="AX738" s="12"/>
      <c r="AY738" s="44"/>
      <c r="AZ738" s="45"/>
      <c r="BA738" s="12"/>
      <c r="BB738" s="12"/>
      <c r="BC738" s="12"/>
      <c r="BD738" s="12"/>
      <c r="BE738" s="44"/>
      <c r="BF738" s="45"/>
      <c r="BG738" s="12"/>
      <c r="BH738" s="12"/>
      <c r="BI738" s="12"/>
      <c r="BJ738" s="12"/>
      <c r="BK738" s="44"/>
      <c r="BL738" s="45"/>
      <c r="BM738" s="12"/>
      <c r="BN738" s="12"/>
      <c r="BO738" s="12"/>
      <c r="BP738" s="12"/>
      <c r="BQ738" s="48"/>
      <c r="BR738" s="49"/>
      <c r="BS738" s="13"/>
      <c r="BT738" s="12"/>
      <c r="BV738" s="14"/>
      <c r="BW738" s="50"/>
      <c r="BX738" s="54"/>
      <c r="BY738" s="14"/>
      <c r="BZ738" s="14"/>
      <c r="CA738" s="14"/>
      <c r="CB738" s="14"/>
      <c r="CC738" s="14"/>
      <c r="CD738" s="14"/>
      <c r="CE738" s="14"/>
      <c r="CF738" s="15"/>
      <c r="CG738" s="14"/>
      <c r="CH738" s="14"/>
      <c r="CI738" s="50"/>
      <c r="CJ738" s="54"/>
      <c r="CK738" s="14"/>
      <c r="CL738" s="14"/>
      <c r="CM738" s="14"/>
      <c r="CN738" s="14"/>
      <c r="CO738" s="14"/>
      <c r="CP738" s="14"/>
      <c r="CQ738" s="14"/>
      <c r="CR738" s="14"/>
      <c r="CS738" s="14"/>
      <c r="CT738" s="14"/>
      <c r="CU738" s="16"/>
      <c r="CV738" s="14"/>
      <c r="CW738" s="50"/>
      <c r="CX738" s="17"/>
    </row>
    <row r="739" spans="4:102" x14ac:dyDescent="0.25"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43"/>
      <c r="Q739" s="11"/>
      <c r="R739" s="11"/>
      <c r="S739" s="11"/>
      <c r="T739" s="11"/>
      <c r="U739" s="11"/>
      <c r="V739" s="11"/>
      <c r="W739" s="11"/>
      <c r="X739" s="12"/>
      <c r="Y739" s="12"/>
      <c r="Z739" s="12"/>
      <c r="AA739" s="44"/>
      <c r="AB739" s="45"/>
      <c r="AC739" s="12"/>
      <c r="AD739" s="12"/>
      <c r="AE739" s="12"/>
      <c r="AF739" s="12"/>
      <c r="AG739" s="44"/>
      <c r="AH739" s="45"/>
      <c r="AI739" s="12"/>
      <c r="AJ739" s="12"/>
      <c r="AK739" s="12"/>
      <c r="AL739" s="12"/>
      <c r="AM739" s="44"/>
      <c r="AN739" s="45"/>
      <c r="AO739" s="12"/>
      <c r="AP739" s="12"/>
      <c r="AQ739" s="12"/>
      <c r="AR739" s="12"/>
      <c r="AS739" s="44"/>
      <c r="AT739" s="45"/>
      <c r="AU739" s="12"/>
      <c r="AV739" s="12"/>
      <c r="AW739" s="12"/>
      <c r="AX739" s="12"/>
      <c r="AY739" s="44"/>
      <c r="AZ739" s="45"/>
      <c r="BA739" s="12"/>
      <c r="BB739" s="12"/>
      <c r="BC739" s="12"/>
      <c r="BD739" s="12"/>
      <c r="BE739" s="44"/>
      <c r="BF739" s="45"/>
      <c r="BG739" s="12"/>
      <c r="BH739" s="12"/>
      <c r="BI739" s="12"/>
      <c r="BJ739" s="12"/>
      <c r="BK739" s="44"/>
      <c r="BL739" s="45"/>
      <c r="BM739" s="12"/>
      <c r="BN739" s="12"/>
      <c r="BO739" s="12"/>
      <c r="BP739" s="12"/>
      <c r="BQ739" s="48"/>
      <c r="BR739" s="49"/>
      <c r="BS739" s="13"/>
      <c r="BT739" s="12"/>
      <c r="BV739" s="14"/>
      <c r="BW739" s="50"/>
      <c r="BX739" s="54"/>
      <c r="BY739" s="14"/>
      <c r="BZ739" s="14"/>
      <c r="CA739" s="14"/>
      <c r="CB739" s="14"/>
      <c r="CC739" s="14"/>
      <c r="CD739" s="14"/>
      <c r="CE739" s="14"/>
      <c r="CF739" s="15"/>
      <c r="CG739" s="14"/>
      <c r="CH739" s="14"/>
      <c r="CI739" s="50"/>
      <c r="CJ739" s="54"/>
      <c r="CK739" s="14"/>
      <c r="CL739" s="14"/>
      <c r="CM739" s="14"/>
      <c r="CN739" s="14"/>
      <c r="CO739" s="14"/>
      <c r="CP739" s="14"/>
      <c r="CQ739" s="14"/>
      <c r="CR739" s="14"/>
      <c r="CS739" s="14"/>
      <c r="CT739" s="14"/>
      <c r="CU739" s="16"/>
      <c r="CV739" s="14"/>
      <c r="CW739" s="50"/>
      <c r="CX739" s="17"/>
    </row>
    <row r="740" spans="4:102" x14ac:dyDescent="0.25"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43"/>
      <c r="Q740" s="11"/>
      <c r="R740" s="11"/>
      <c r="S740" s="11"/>
      <c r="T740" s="11"/>
      <c r="U740" s="11"/>
      <c r="V740" s="11"/>
      <c r="W740" s="11"/>
      <c r="X740" s="12"/>
      <c r="Y740" s="12"/>
      <c r="Z740" s="12"/>
      <c r="AA740" s="44"/>
      <c r="AB740" s="45"/>
      <c r="AC740" s="12"/>
      <c r="AD740" s="12"/>
      <c r="AE740" s="12"/>
      <c r="AF740" s="12"/>
      <c r="AG740" s="44"/>
      <c r="AH740" s="45"/>
      <c r="AI740" s="12"/>
      <c r="AJ740" s="12"/>
      <c r="AK740" s="12"/>
      <c r="AL740" s="12"/>
      <c r="AM740" s="44"/>
      <c r="AN740" s="45"/>
      <c r="AO740" s="12"/>
      <c r="AP740" s="12"/>
      <c r="AQ740" s="12"/>
      <c r="AR740" s="12"/>
      <c r="AS740" s="44"/>
      <c r="AT740" s="45"/>
      <c r="AU740" s="12"/>
      <c r="AV740" s="12"/>
      <c r="AW740" s="12"/>
      <c r="AX740" s="12"/>
      <c r="AY740" s="44"/>
      <c r="AZ740" s="45"/>
      <c r="BA740" s="12"/>
      <c r="BB740" s="12"/>
      <c r="BC740" s="12"/>
      <c r="BD740" s="12"/>
      <c r="BE740" s="44"/>
      <c r="BF740" s="45"/>
      <c r="BG740" s="12"/>
      <c r="BH740" s="12"/>
      <c r="BI740" s="12"/>
      <c r="BJ740" s="12"/>
      <c r="BK740" s="44"/>
      <c r="BL740" s="45"/>
      <c r="BM740" s="12"/>
      <c r="BN740" s="12"/>
      <c r="BO740" s="12"/>
      <c r="BP740" s="12"/>
      <c r="BQ740" s="48"/>
      <c r="BR740" s="49"/>
      <c r="BS740" s="13"/>
      <c r="BT740" s="12"/>
      <c r="BV740" s="14"/>
      <c r="BW740" s="50"/>
      <c r="BX740" s="54"/>
      <c r="BY740" s="14"/>
      <c r="BZ740" s="14"/>
      <c r="CA740" s="14"/>
      <c r="CB740" s="14"/>
      <c r="CC740" s="14"/>
      <c r="CD740" s="14"/>
      <c r="CE740" s="14"/>
      <c r="CF740" s="15"/>
      <c r="CG740" s="14"/>
      <c r="CH740" s="14"/>
      <c r="CI740" s="50"/>
      <c r="CJ740" s="54"/>
      <c r="CK740" s="14"/>
      <c r="CL740" s="14"/>
      <c r="CM740" s="14"/>
      <c r="CN740" s="14"/>
      <c r="CO740" s="14"/>
      <c r="CP740" s="14"/>
      <c r="CQ740" s="14"/>
      <c r="CR740" s="14"/>
      <c r="CS740" s="14"/>
      <c r="CT740" s="14"/>
      <c r="CU740" s="16"/>
      <c r="CV740" s="14"/>
      <c r="CW740" s="50"/>
      <c r="CX740" s="17"/>
    </row>
    <row r="741" spans="4:102" x14ac:dyDescent="0.25"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43"/>
      <c r="Q741" s="11"/>
      <c r="R741" s="11"/>
      <c r="S741" s="11"/>
      <c r="T741" s="11"/>
      <c r="U741" s="11"/>
      <c r="V741" s="11"/>
      <c r="W741" s="11"/>
      <c r="X741" s="12"/>
      <c r="Y741" s="12"/>
      <c r="Z741" s="12"/>
      <c r="AA741" s="44"/>
      <c r="AB741" s="45"/>
      <c r="AC741" s="12"/>
      <c r="AD741" s="12"/>
      <c r="AE741" s="12"/>
      <c r="AF741" s="12"/>
      <c r="AG741" s="44"/>
      <c r="AH741" s="45"/>
      <c r="AI741" s="12"/>
      <c r="AJ741" s="12"/>
      <c r="AK741" s="12"/>
      <c r="AL741" s="12"/>
      <c r="AM741" s="44"/>
      <c r="AN741" s="45"/>
      <c r="AO741" s="12"/>
      <c r="AP741" s="12"/>
      <c r="AQ741" s="12"/>
      <c r="AR741" s="12"/>
      <c r="AS741" s="44"/>
      <c r="AT741" s="45"/>
      <c r="AU741" s="12"/>
      <c r="AV741" s="12"/>
      <c r="AW741" s="12"/>
      <c r="AX741" s="12"/>
      <c r="AY741" s="44"/>
      <c r="AZ741" s="45"/>
      <c r="BA741" s="12"/>
      <c r="BB741" s="12"/>
      <c r="BC741" s="12"/>
      <c r="BD741" s="12"/>
      <c r="BE741" s="44"/>
      <c r="BF741" s="45"/>
      <c r="BG741" s="12"/>
      <c r="BH741" s="12"/>
      <c r="BI741" s="12"/>
      <c r="BJ741" s="12"/>
      <c r="BK741" s="44"/>
      <c r="BL741" s="45"/>
      <c r="BM741" s="12"/>
      <c r="BN741" s="12"/>
      <c r="BO741" s="12"/>
      <c r="BP741" s="12"/>
      <c r="BQ741" s="48"/>
      <c r="BR741" s="49"/>
      <c r="BS741" s="13"/>
      <c r="BT741" s="12"/>
      <c r="BV741" s="14"/>
      <c r="BW741" s="50"/>
      <c r="BX741" s="54"/>
      <c r="BY741" s="14"/>
      <c r="BZ741" s="14"/>
      <c r="CA741" s="14"/>
      <c r="CB741" s="14"/>
      <c r="CC741" s="14"/>
      <c r="CD741" s="14"/>
      <c r="CE741" s="14"/>
      <c r="CF741" s="15"/>
      <c r="CG741" s="14"/>
      <c r="CH741" s="14"/>
      <c r="CI741" s="50"/>
      <c r="CJ741" s="54"/>
      <c r="CK741" s="14"/>
      <c r="CL741" s="14"/>
      <c r="CM741" s="14"/>
      <c r="CN741" s="14"/>
      <c r="CO741" s="14"/>
      <c r="CP741" s="14"/>
      <c r="CQ741" s="14"/>
      <c r="CR741" s="14"/>
      <c r="CS741" s="14"/>
      <c r="CT741" s="14"/>
      <c r="CU741" s="16"/>
      <c r="CV741" s="14"/>
      <c r="CW741" s="50"/>
      <c r="CX741" s="17"/>
    </row>
    <row r="742" spans="4:102" x14ac:dyDescent="0.25"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43"/>
      <c r="Q742" s="11"/>
      <c r="R742" s="11"/>
      <c r="S742" s="11"/>
      <c r="T742" s="11"/>
      <c r="U742" s="11"/>
      <c r="V742" s="11"/>
      <c r="W742" s="11"/>
      <c r="X742" s="12"/>
      <c r="Y742" s="12"/>
      <c r="Z742" s="12"/>
      <c r="AA742" s="44"/>
      <c r="AB742" s="45"/>
      <c r="AC742" s="12"/>
      <c r="AD742" s="12"/>
      <c r="AE742" s="12"/>
      <c r="AF742" s="12"/>
      <c r="AG742" s="44"/>
      <c r="AH742" s="45"/>
      <c r="AI742" s="12"/>
      <c r="AJ742" s="12"/>
      <c r="AK742" s="12"/>
      <c r="AL742" s="12"/>
      <c r="AM742" s="44"/>
      <c r="AN742" s="45"/>
      <c r="AO742" s="12"/>
      <c r="AP742" s="12"/>
      <c r="AQ742" s="12"/>
      <c r="AR742" s="12"/>
      <c r="AS742" s="44"/>
      <c r="AT742" s="45"/>
      <c r="AU742" s="12"/>
      <c r="AV742" s="12"/>
      <c r="AW742" s="12"/>
      <c r="AX742" s="12"/>
      <c r="AY742" s="44"/>
      <c r="AZ742" s="45"/>
      <c r="BA742" s="12"/>
      <c r="BB742" s="12"/>
      <c r="BC742" s="12"/>
      <c r="BD742" s="12"/>
      <c r="BE742" s="44"/>
      <c r="BF742" s="45"/>
      <c r="BG742" s="12"/>
      <c r="BH742" s="12"/>
      <c r="BI742" s="12"/>
      <c r="BJ742" s="12"/>
      <c r="BK742" s="44"/>
      <c r="BL742" s="45"/>
      <c r="BM742" s="12"/>
      <c r="BN742" s="12"/>
      <c r="BO742" s="12"/>
      <c r="BP742" s="12"/>
      <c r="BQ742" s="48"/>
      <c r="BR742" s="49"/>
      <c r="BS742" s="13"/>
      <c r="BT742" s="12"/>
      <c r="BV742" s="14"/>
      <c r="BW742" s="50"/>
      <c r="BX742" s="54"/>
      <c r="BY742" s="14"/>
      <c r="BZ742" s="14"/>
      <c r="CA742" s="14"/>
      <c r="CB742" s="14"/>
      <c r="CC742" s="14"/>
      <c r="CD742" s="14"/>
      <c r="CE742" s="14"/>
      <c r="CF742" s="15"/>
      <c r="CG742" s="14"/>
      <c r="CH742" s="14"/>
      <c r="CI742" s="50"/>
      <c r="CJ742" s="54"/>
      <c r="CK742" s="14"/>
      <c r="CL742" s="14"/>
      <c r="CM742" s="14"/>
      <c r="CN742" s="14"/>
      <c r="CO742" s="14"/>
      <c r="CP742" s="14"/>
      <c r="CQ742" s="14"/>
      <c r="CR742" s="14"/>
      <c r="CS742" s="14"/>
      <c r="CT742" s="14"/>
      <c r="CU742" s="16"/>
      <c r="CV742" s="14"/>
      <c r="CW742" s="50"/>
      <c r="CX742" s="17"/>
    </row>
    <row r="743" spans="4:102" x14ac:dyDescent="0.25"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43"/>
      <c r="Q743" s="11"/>
      <c r="R743" s="11"/>
      <c r="S743" s="11"/>
      <c r="T743" s="11"/>
      <c r="U743" s="11"/>
      <c r="V743" s="11"/>
      <c r="W743" s="11"/>
      <c r="X743" s="12"/>
      <c r="Y743" s="12"/>
      <c r="Z743" s="12"/>
      <c r="AA743" s="44"/>
      <c r="AB743" s="45"/>
      <c r="AC743" s="12"/>
      <c r="AD743" s="12"/>
      <c r="AE743" s="12"/>
      <c r="AF743" s="12"/>
      <c r="AG743" s="44"/>
      <c r="AH743" s="45"/>
      <c r="AI743" s="12"/>
      <c r="AJ743" s="12"/>
      <c r="AK743" s="12"/>
      <c r="AL743" s="12"/>
      <c r="AM743" s="44"/>
      <c r="AN743" s="45"/>
      <c r="AO743" s="12"/>
      <c r="AP743" s="12"/>
      <c r="AQ743" s="12"/>
      <c r="AR743" s="12"/>
      <c r="AS743" s="44"/>
      <c r="AT743" s="45"/>
      <c r="AU743" s="12"/>
      <c r="AV743" s="12"/>
      <c r="AW743" s="12"/>
      <c r="AX743" s="12"/>
      <c r="AY743" s="44"/>
      <c r="AZ743" s="45"/>
      <c r="BA743" s="12"/>
      <c r="BB743" s="12"/>
      <c r="BC743" s="12"/>
      <c r="BD743" s="12"/>
      <c r="BE743" s="44"/>
      <c r="BF743" s="45"/>
      <c r="BG743" s="12"/>
      <c r="BH743" s="12"/>
      <c r="BI743" s="12"/>
      <c r="BJ743" s="12"/>
      <c r="BK743" s="44"/>
      <c r="BL743" s="45"/>
      <c r="BM743" s="12"/>
      <c r="BN743" s="12"/>
      <c r="BO743" s="12"/>
      <c r="BP743" s="12"/>
      <c r="BQ743" s="48"/>
      <c r="BR743" s="49"/>
      <c r="BS743" s="13"/>
      <c r="BT743" s="12"/>
      <c r="BV743" s="14"/>
      <c r="BW743" s="50"/>
      <c r="BX743" s="54"/>
      <c r="BY743" s="14"/>
      <c r="BZ743" s="14"/>
      <c r="CA743" s="14"/>
      <c r="CB743" s="14"/>
      <c r="CC743" s="14"/>
      <c r="CD743" s="14"/>
      <c r="CE743" s="14"/>
      <c r="CF743" s="15"/>
      <c r="CG743" s="14"/>
      <c r="CH743" s="14"/>
      <c r="CI743" s="50"/>
      <c r="CJ743" s="54"/>
      <c r="CK743" s="14"/>
      <c r="CL743" s="14"/>
      <c r="CM743" s="14"/>
      <c r="CN743" s="14"/>
      <c r="CO743" s="14"/>
      <c r="CP743" s="14"/>
      <c r="CQ743" s="14"/>
      <c r="CR743" s="14"/>
      <c r="CS743" s="14"/>
      <c r="CT743" s="14"/>
      <c r="CU743" s="16"/>
      <c r="CV743" s="14"/>
      <c r="CW743" s="50"/>
      <c r="CX743" s="17"/>
    </row>
    <row r="744" spans="4:102" x14ac:dyDescent="0.25"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43"/>
      <c r="Q744" s="11"/>
      <c r="R744" s="11"/>
      <c r="S744" s="11"/>
      <c r="T744" s="11"/>
      <c r="U744" s="11"/>
      <c r="V744" s="11"/>
      <c r="W744" s="11"/>
      <c r="X744" s="12"/>
      <c r="Y744" s="12"/>
      <c r="Z744" s="12"/>
      <c r="AA744" s="44"/>
      <c r="AB744" s="45"/>
      <c r="AC744" s="12"/>
      <c r="AD744" s="12"/>
      <c r="AE744" s="12"/>
      <c r="AF744" s="12"/>
      <c r="AG744" s="44"/>
      <c r="AH744" s="45"/>
      <c r="AI744" s="12"/>
      <c r="AJ744" s="12"/>
      <c r="AK744" s="12"/>
      <c r="AL744" s="12"/>
      <c r="AM744" s="44"/>
      <c r="AN744" s="45"/>
      <c r="AO744" s="12"/>
      <c r="AP744" s="12"/>
      <c r="AQ744" s="12"/>
      <c r="AR744" s="12"/>
      <c r="AS744" s="44"/>
      <c r="AT744" s="45"/>
      <c r="AU744" s="12"/>
      <c r="AV744" s="12"/>
      <c r="AW744" s="12"/>
      <c r="AX744" s="12"/>
      <c r="AY744" s="44"/>
      <c r="AZ744" s="45"/>
      <c r="BA744" s="12"/>
      <c r="BB744" s="12"/>
      <c r="BC744" s="12"/>
      <c r="BD744" s="12"/>
      <c r="BE744" s="44"/>
      <c r="BF744" s="45"/>
      <c r="BG744" s="12"/>
      <c r="BH744" s="12"/>
      <c r="BI744" s="12"/>
      <c r="BJ744" s="12"/>
      <c r="BK744" s="44"/>
      <c r="BL744" s="45"/>
      <c r="BM744" s="12"/>
      <c r="BN744" s="12"/>
      <c r="BO744" s="12"/>
      <c r="BP744" s="12"/>
      <c r="BQ744" s="48"/>
      <c r="BR744" s="49"/>
      <c r="BS744" s="13"/>
      <c r="BT744" s="12"/>
      <c r="BV744" s="14"/>
      <c r="BW744" s="50"/>
      <c r="BX744" s="54"/>
      <c r="BY744" s="14"/>
      <c r="BZ744" s="14"/>
      <c r="CA744" s="14"/>
      <c r="CB744" s="14"/>
      <c r="CC744" s="14"/>
      <c r="CD744" s="14"/>
      <c r="CE744" s="14"/>
      <c r="CF744" s="15"/>
      <c r="CG744" s="14"/>
      <c r="CH744" s="14"/>
      <c r="CI744" s="50"/>
      <c r="CJ744" s="54"/>
      <c r="CK744" s="14"/>
      <c r="CL744" s="14"/>
      <c r="CM744" s="14"/>
      <c r="CN744" s="14"/>
      <c r="CO744" s="14"/>
      <c r="CP744" s="14"/>
      <c r="CQ744" s="14"/>
      <c r="CR744" s="14"/>
      <c r="CS744" s="14"/>
      <c r="CT744" s="14"/>
      <c r="CU744" s="16"/>
      <c r="CV744" s="14"/>
      <c r="CW744" s="50"/>
      <c r="CX744" s="17"/>
    </row>
    <row r="745" spans="4:102" x14ac:dyDescent="0.25"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43"/>
      <c r="Q745" s="11"/>
      <c r="R745" s="11"/>
      <c r="S745" s="11"/>
      <c r="T745" s="11"/>
      <c r="U745" s="11"/>
      <c r="V745" s="11"/>
      <c r="W745" s="11"/>
      <c r="X745" s="12"/>
      <c r="Y745" s="12"/>
      <c r="Z745" s="12"/>
      <c r="AA745" s="44"/>
      <c r="AB745" s="45"/>
      <c r="AC745" s="12"/>
      <c r="AD745" s="12"/>
      <c r="AE745" s="12"/>
      <c r="AF745" s="12"/>
      <c r="AG745" s="44"/>
      <c r="AH745" s="45"/>
      <c r="AI745" s="12"/>
      <c r="AJ745" s="12"/>
      <c r="AK745" s="12"/>
      <c r="AL745" s="12"/>
      <c r="AM745" s="44"/>
      <c r="AN745" s="45"/>
      <c r="AO745" s="12"/>
      <c r="AP745" s="12"/>
      <c r="AQ745" s="12"/>
      <c r="AR745" s="12"/>
      <c r="AS745" s="44"/>
      <c r="AT745" s="45"/>
      <c r="AU745" s="12"/>
      <c r="AV745" s="12"/>
      <c r="AW745" s="12"/>
      <c r="AX745" s="12"/>
      <c r="AY745" s="44"/>
      <c r="AZ745" s="45"/>
      <c r="BA745" s="12"/>
      <c r="BB745" s="12"/>
      <c r="BC745" s="12"/>
      <c r="BD745" s="12"/>
      <c r="BE745" s="44"/>
      <c r="BF745" s="45"/>
      <c r="BG745" s="12"/>
      <c r="BH745" s="12"/>
      <c r="BI745" s="12"/>
      <c r="BJ745" s="12"/>
      <c r="BK745" s="44"/>
      <c r="BL745" s="45"/>
      <c r="BM745" s="12"/>
      <c r="BN745" s="12"/>
      <c r="BO745" s="12"/>
      <c r="BP745" s="12"/>
      <c r="BQ745" s="48"/>
      <c r="BR745" s="49"/>
      <c r="BS745" s="13"/>
      <c r="BT745" s="12"/>
      <c r="BV745" s="14"/>
      <c r="BW745" s="50"/>
      <c r="BX745" s="54"/>
      <c r="BY745" s="14"/>
      <c r="BZ745" s="14"/>
      <c r="CA745" s="14"/>
      <c r="CB745" s="14"/>
      <c r="CC745" s="14"/>
      <c r="CD745" s="14"/>
      <c r="CE745" s="14"/>
      <c r="CF745" s="15"/>
      <c r="CG745" s="14"/>
      <c r="CH745" s="14"/>
      <c r="CI745" s="50"/>
      <c r="CJ745" s="54"/>
      <c r="CK745" s="14"/>
      <c r="CL745" s="14"/>
      <c r="CM745" s="14"/>
      <c r="CN745" s="14"/>
      <c r="CO745" s="14"/>
      <c r="CP745" s="14"/>
      <c r="CQ745" s="14"/>
      <c r="CR745" s="14"/>
      <c r="CS745" s="14"/>
      <c r="CT745" s="14"/>
      <c r="CU745" s="16"/>
      <c r="CV745" s="14"/>
      <c r="CW745" s="50"/>
      <c r="CX745" s="17"/>
    </row>
    <row r="746" spans="4:102" x14ac:dyDescent="0.25"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43"/>
      <c r="Q746" s="11"/>
      <c r="R746" s="11"/>
      <c r="S746" s="11"/>
      <c r="T746" s="11"/>
      <c r="U746" s="11"/>
      <c r="V746" s="11"/>
      <c r="W746" s="11"/>
      <c r="X746" s="12"/>
      <c r="Y746" s="12"/>
      <c r="Z746" s="12"/>
      <c r="AA746" s="44"/>
      <c r="AB746" s="45"/>
      <c r="AC746" s="12"/>
      <c r="AD746" s="12"/>
      <c r="AE746" s="12"/>
      <c r="AF746" s="12"/>
      <c r="AG746" s="44"/>
      <c r="AH746" s="45"/>
      <c r="AI746" s="12"/>
      <c r="AJ746" s="12"/>
      <c r="AK746" s="12"/>
      <c r="AL746" s="12"/>
      <c r="AM746" s="44"/>
      <c r="AN746" s="45"/>
      <c r="AO746" s="12"/>
      <c r="AP746" s="12"/>
      <c r="AQ746" s="12"/>
      <c r="AR746" s="12"/>
      <c r="AS746" s="44"/>
      <c r="AT746" s="45"/>
      <c r="AU746" s="12"/>
      <c r="AV746" s="12"/>
      <c r="AW746" s="12"/>
      <c r="AX746" s="12"/>
      <c r="AY746" s="44"/>
      <c r="AZ746" s="45"/>
      <c r="BA746" s="12"/>
      <c r="BB746" s="12"/>
      <c r="BC746" s="12"/>
      <c r="BD746" s="12"/>
      <c r="BE746" s="44"/>
      <c r="BF746" s="45"/>
      <c r="BG746" s="12"/>
      <c r="BH746" s="12"/>
      <c r="BI746" s="12"/>
      <c r="BJ746" s="12"/>
      <c r="BK746" s="44"/>
      <c r="BL746" s="45"/>
      <c r="BM746" s="12"/>
      <c r="BN746" s="12"/>
      <c r="BO746" s="12"/>
      <c r="BP746" s="12"/>
      <c r="BQ746" s="48"/>
      <c r="BR746" s="49"/>
      <c r="BS746" s="13"/>
      <c r="BT746" s="12"/>
      <c r="BV746" s="14"/>
      <c r="BW746" s="50"/>
      <c r="BX746" s="54"/>
      <c r="BY746" s="14"/>
      <c r="BZ746" s="14"/>
      <c r="CA746" s="14"/>
      <c r="CB746" s="14"/>
      <c r="CC746" s="14"/>
      <c r="CD746" s="14"/>
      <c r="CE746" s="14"/>
      <c r="CF746" s="15"/>
      <c r="CG746" s="14"/>
      <c r="CH746" s="14"/>
      <c r="CI746" s="50"/>
      <c r="CJ746" s="54"/>
      <c r="CK746" s="14"/>
      <c r="CL746" s="14"/>
      <c r="CM746" s="14"/>
      <c r="CN746" s="14"/>
      <c r="CO746" s="14"/>
      <c r="CP746" s="14"/>
      <c r="CQ746" s="14"/>
      <c r="CR746" s="14"/>
      <c r="CS746" s="14"/>
      <c r="CT746" s="14"/>
      <c r="CU746" s="16"/>
      <c r="CV746" s="14"/>
      <c r="CW746" s="50"/>
      <c r="CX746" s="17"/>
    </row>
    <row r="747" spans="4:102" x14ac:dyDescent="0.25"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43"/>
      <c r="Q747" s="11"/>
      <c r="R747" s="11"/>
      <c r="S747" s="11"/>
      <c r="T747" s="11"/>
      <c r="U747" s="11"/>
      <c r="V747" s="11"/>
      <c r="W747" s="11"/>
      <c r="X747" s="12"/>
      <c r="Y747" s="12"/>
      <c r="Z747" s="12"/>
      <c r="AA747" s="44"/>
      <c r="AB747" s="45"/>
      <c r="AC747" s="12"/>
      <c r="AD747" s="12"/>
      <c r="AE747" s="12"/>
      <c r="AF747" s="12"/>
      <c r="AG747" s="44"/>
      <c r="AH747" s="45"/>
      <c r="AI747" s="12"/>
      <c r="AJ747" s="12"/>
      <c r="AK747" s="12"/>
      <c r="AL747" s="12"/>
      <c r="AM747" s="44"/>
      <c r="AN747" s="45"/>
      <c r="AO747" s="12"/>
      <c r="AP747" s="12"/>
      <c r="AQ747" s="12"/>
      <c r="AR747" s="12"/>
      <c r="AS747" s="44"/>
      <c r="AT747" s="45"/>
      <c r="AU747" s="12"/>
      <c r="AV747" s="12"/>
      <c r="AW747" s="12"/>
      <c r="AX747" s="12"/>
      <c r="AY747" s="44"/>
      <c r="AZ747" s="45"/>
      <c r="BA747" s="12"/>
      <c r="BB747" s="12"/>
      <c r="BC747" s="12"/>
      <c r="BD747" s="12"/>
      <c r="BE747" s="44"/>
      <c r="BF747" s="45"/>
      <c r="BG747" s="12"/>
      <c r="BH747" s="12"/>
      <c r="BI747" s="12"/>
      <c r="BJ747" s="12"/>
      <c r="BK747" s="44"/>
      <c r="BL747" s="45"/>
      <c r="BM747" s="12"/>
      <c r="BN747" s="12"/>
      <c r="BO747" s="12"/>
      <c r="BP747" s="12"/>
      <c r="BQ747" s="48"/>
      <c r="BR747" s="49"/>
      <c r="BS747" s="13"/>
      <c r="BT747" s="12"/>
      <c r="BV747" s="14"/>
      <c r="BW747" s="50"/>
      <c r="BX747" s="54"/>
      <c r="BY747" s="14"/>
      <c r="BZ747" s="14"/>
      <c r="CA747" s="14"/>
      <c r="CB747" s="14"/>
      <c r="CC747" s="14"/>
      <c r="CD747" s="14"/>
      <c r="CE747" s="14"/>
      <c r="CF747" s="15"/>
      <c r="CG747" s="14"/>
      <c r="CH747" s="14"/>
      <c r="CI747" s="50"/>
      <c r="CJ747" s="54"/>
      <c r="CK747" s="14"/>
      <c r="CL747" s="14"/>
      <c r="CM747" s="14"/>
      <c r="CN747" s="14"/>
      <c r="CO747" s="14"/>
      <c r="CP747" s="14"/>
      <c r="CQ747" s="14"/>
      <c r="CR747" s="14"/>
      <c r="CS747" s="14"/>
      <c r="CT747" s="14"/>
      <c r="CU747" s="16"/>
      <c r="CV747" s="14"/>
      <c r="CW747" s="50"/>
      <c r="CX747" s="17"/>
    </row>
    <row r="748" spans="4:102" x14ac:dyDescent="0.25"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43"/>
      <c r="Q748" s="11"/>
      <c r="R748" s="11"/>
      <c r="S748" s="11"/>
      <c r="T748" s="11"/>
      <c r="U748" s="11"/>
      <c r="V748" s="11"/>
      <c r="W748" s="11"/>
      <c r="X748" s="12"/>
      <c r="Y748" s="12"/>
      <c r="Z748" s="12"/>
      <c r="AA748" s="44"/>
      <c r="AB748" s="45"/>
      <c r="AC748" s="12"/>
      <c r="AD748" s="12"/>
      <c r="AE748" s="12"/>
      <c r="AF748" s="12"/>
      <c r="AG748" s="44"/>
      <c r="AH748" s="45"/>
      <c r="AI748" s="12"/>
      <c r="AJ748" s="12"/>
      <c r="AK748" s="12"/>
      <c r="AL748" s="12"/>
      <c r="AM748" s="44"/>
      <c r="AN748" s="45"/>
      <c r="AO748" s="12"/>
      <c r="AP748" s="12"/>
      <c r="AQ748" s="12"/>
      <c r="AR748" s="12"/>
      <c r="AS748" s="44"/>
      <c r="AT748" s="45"/>
      <c r="AU748" s="12"/>
      <c r="AV748" s="12"/>
      <c r="AW748" s="12"/>
      <c r="AX748" s="12"/>
      <c r="AY748" s="44"/>
      <c r="AZ748" s="45"/>
      <c r="BA748" s="12"/>
      <c r="BB748" s="12"/>
      <c r="BC748" s="12"/>
      <c r="BD748" s="12"/>
      <c r="BE748" s="44"/>
      <c r="BF748" s="45"/>
      <c r="BG748" s="12"/>
      <c r="BH748" s="12"/>
      <c r="BI748" s="12"/>
      <c r="BJ748" s="12"/>
      <c r="BK748" s="44"/>
      <c r="BL748" s="45"/>
      <c r="BM748" s="12"/>
      <c r="BN748" s="12"/>
      <c r="BO748" s="12"/>
      <c r="BP748" s="12"/>
      <c r="BQ748" s="48"/>
      <c r="BR748" s="49"/>
      <c r="BS748" s="13"/>
      <c r="BT748" s="12"/>
      <c r="BV748" s="14"/>
      <c r="BW748" s="50"/>
      <c r="BX748" s="54"/>
      <c r="BY748" s="14"/>
      <c r="BZ748" s="14"/>
      <c r="CA748" s="14"/>
      <c r="CB748" s="14"/>
      <c r="CC748" s="14"/>
      <c r="CD748" s="14"/>
      <c r="CE748" s="14"/>
      <c r="CF748" s="15"/>
      <c r="CG748" s="14"/>
      <c r="CH748" s="14"/>
      <c r="CI748" s="50"/>
      <c r="CJ748" s="54"/>
      <c r="CK748" s="14"/>
      <c r="CL748" s="14"/>
      <c r="CM748" s="14"/>
      <c r="CN748" s="14"/>
      <c r="CO748" s="14"/>
      <c r="CP748" s="14"/>
      <c r="CQ748" s="14"/>
      <c r="CR748" s="14"/>
      <c r="CS748" s="14"/>
      <c r="CT748" s="14"/>
      <c r="CU748" s="16"/>
      <c r="CV748" s="14"/>
      <c r="CW748" s="50"/>
      <c r="CX748" s="17"/>
    </row>
    <row r="749" spans="4:102" x14ac:dyDescent="0.25"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43"/>
      <c r="Q749" s="11"/>
      <c r="R749" s="11"/>
      <c r="S749" s="11"/>
      <c r="T749" s="11"/>
      <c r="U749" s="11"/>
      <c r="V749" s="11"/>
      <c r="W749" s="11"/>
      <c r="X749" s="12"/>
      <c r="Y749" s="12"/>
      <c r="Z749" s="12"/>
      <c r="AA749" s="44"/>
      <c r="AB749" s="45"/>
      <c r="AC749" s="12"/>
      <c r="AD749" s="12"/>
      <c r="AE749" s="12"/>
      <c r="AF749" s="12"/>
      <c r="AG749" s="44"/>
      <c r="AH749" s="45"/>
      <c r="AI749" s="12"/>
      <c r="AJ749" s="12"/>
      <c r="AK749" s="12"/>
      <c r="AL749" s="12"/>
      <c r="AM749" s="44"/>
      <c r="AN749" s="45"/>
      <c r="AO749" s="12"/>
      <c r="AP749" s="12"/>
      <c r="AQ749" s="12"/>
      <c r="AR749" s="12"/>
      <c r="AS749" s="44"/>
      <c r="AT749" s="45"/>
      <c r="AU749" s="12"/>
      <c r="AV749" s="12"/>
      <c r="AW749" s="12"/>
      <c r="AX749" s="12"/>
      <c r="AY749" s="44"/>
      <c r="AZ749" s="45"/>
      <c r="BA749" s="12"/>
      <c r="BB749" s="12"/>
      <c r="BC749" s="12"/>
      <c r="BD749" s="12"/>
      <c r="BE749" s="44"/>
      <c r="BF749" s="45"/>
      <c r="BG749" s="12"/>
      <c r="BH749" s="12"/>
      <c r="BI749" s="12"/>
      <c r="BJ749" s="12"/>
      <c r="BK749" s="44"/>
      <c r="BL749" s="45"/>
      <c r="BM749" s="12"/>
      <c r="BN749" s="12"/>
      <c r="BO749" s="12"/>
      <c r="BP749" s="12"/>
      <c r="BQ749" s="48"/>
      <c r="BR749" s="49"/>
      <c r="BS749" s="13"/>
      <c r="BT749" s="12"/>
      <c r="BV749" s="14"/>
      <c r="BW749" s="50"/>
      <c r="BX749" s="54"/>
      <c r="BY749" s="14"/>
      <c r="BZ749" s="14"/>
      <c r="CA749" s="14"/>
      <c r="CB749" s="14"/>
      <c r="CC749" s="14"/>
      <c r="CD749" s="14"/>
      <c r="CE749" s="14"/>
      <c r="CF749" s="15"/>
      <c r="CG749" s="14"/>
      <c r="CH749" s="14"/>
      <c r="CI749" s="50"/>
      <c r="CJ749" s="54"/>
      <c r="CK749" s="14"/>
      <c r="CL749" s="14"/>
      <c r="CM749" s="14"/>
      <c r="CN749" s="14"/>
      <c r="CO749" s="14"/>
      <c r="CP749" s="14"/>
      <c r="CQ749" s="14"/>
      <c r="CR749" s="14"/>
      <c r="CS749" s="14"/>
      <c r="CT749" s="14"/>
      <c r="CU749" s="16"/>
      <c r="CV749" s="14"/>
      <c r="CW749" s="50"/>
      <c r="CX749" s="17"/>
    </row>
    <row r="750" spans="4:102" x14ac:dyDescent="0.25"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43"/>
      <c r="Q750" s="11"/>
      <c r="R750" s="11"/>
      <c r="S750" s="11"/>
      <c r="T750" s="11"/>
      <c r="U750" s="11"/>
      <c r="V750" s="11"/>
      <c r="W750" s="11"/>
      <c r="X750" s="12"/>
      <c r="Y750" s="12"/>
      <c r="Z750" s="12"/>
      <c r="AA750" s="44"/>
      <c r="AB750" s="45"/>
      <c r="AC750" s="12"/>
      <c r="AD750" s="12"/>
      <c r="AE750" s="12"/>
      <c r="AF750" s="12"/>
      <c r="AG750" s="44"/>
      <c r="AH750" s="45"/>
      <c r="AI750" s="12"/>
      <c r="AJ750" s="12"/>
      <c r="AK750" s="12"/>
      <c r="AL750" s="12"/>
      <c r="AM750" s="44"/>
      <c r="AN750" s="45"/>
      <c r="AO750" s="12"/>
      <c r="AP750" s="12"/>
      <c r="AQ750" s="12"/>
      <c r="AR750" s="12"/>
      <c r="AS750" s="44"/>
      <c r="AT750" s="45"/>
      <c r="AU750" s="12"/>
      <c r="AV750" s="12"/>
      <c r="AW750" s="12"/>
      <c r="AX750" s="12"/>
      <c r="AY750" s="44"/>
      <c r="AZ750" s="45"/>
      <c r="BA750" s="12"/>
      <c r="BB750" s="12"/>
      <c r="BC750" s="12"/>
      <c r="BD750" s="12"/>
      <c r="BE750" s="44"/>
      <c r="BF750" s="45"/>
      <c r="BG750" s="12"/>
      <c r="BH750" s="12"/>
      <c r="BI750" s="12"/>
      <c r="BJ750" s="12"/>
      <c r="BK750" s="44"/>
      <c r="BL750" s="45"/>
      <c r="BM750" s="12"/>
      <c r="BN750" s="12"/>
      <c r="BO750" s="12"/>
      <c r="BP750" s="12"/>
      <c r="BQ750" s="48"/>
      <c r="BR750" s="49"/>
      <c r="BS750" s="13"/>
      <c r="BT750" s="12"/>
      <c r="BV750" s="14"/>
      <c r="BW750" s="50"/>
      <c r="BX750" s="54"/>
      <c r="BY750" s="14"/>
      <c r="BZ750" s="14"/>
      <c r="CA750" s="14"/>
      <c r="CB750" s="14"/>
      <c r="CC750" s="14"/>
      <c r="CD750" s="14"/>
      <c r="CE750" s="14"/>
      <c r="CF750" s="15"/>
      <c r="CG750" s="14"/>
      <c r="CH750" s="14"/>
      <c r="CI750" s="50"/>
      <c r="CJ750" s="54"/>
      <c r="CK750" s="14"/>
      <c r="CL750" s="14"/>
      <c r="CM750" s="14"/>
      <c r="CN750" s="14"/>
      <c r="CO750" s="14"/>
      <c r="CP750" s="14"/>
      <c r="CQ750" s="14"/>
      <c r="CR750" s="14"/>
      <c r="CS750" s="14"/>
      <c r="CT750" s="14"/>
      <c r="CU750" s="16"/>
      <c r="CV750" s="14"/>
      <c r="CW750" s="50"/>
      <c r="CX750" s="17"/>
    </row>
    <row r="751" spans="4:102" x14ac:dyDescent="0.25"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43"/>
      <c r="Q751" s="11"/>
      <c r="R751" s="11"/>
      <c r="S751" s="11"/>
      <c r="T751" s="11"/>
      <c r="U751" s="11"/>
      <c r="V751" s="11"/>
      <c r="W751" s="11"/>
      <c r="X751" s="12"/>
      <c r="Y751" s="12"/>
      <c r="Z751" s="12"/>
      <c r="AA751" s="44"/>
      <c r="AB751" s="45"/>
      <c r="AC751" s="12"/>
      <c r="AD751" s="12"/>
      <c r="AE751" s="12"/>
      <c r="AF751" s="12"/>
      <c r="AG751" s="44"/>
      <c r="AH751" s="45"/>
      <c r="AI751" s="12"/>
      <c r="AJ751" s="12"/>
      <c r="AK751" s="12"/>
      <c r="AL751" s="12"/>
      <c r="AM751" s="44"/>
      <c r="AN751" s="45"/>
      <c r="AO751" s="12"/>
      <c r="AP751" s="12"/>
      <c r="AQ751" s="12"/>
      <c r="AR751" s="12"/>
      <c r="AS751" s="44"/>
      <c r="AT751" s="45"/>
      <c r="AU751" s="12"/>
      <c r="AV751" s="12"/>
      <c r="AW751" s="12"/>
      <c r="AX751" s="12"/>
      <c r="AY751" s="44"/>
      <c r="AZ751" s="45"/>
      <c r="BA751" s="12"/>
      <c r="BB751" s="12"/>
      <c r="BC751" s="12"/>
      <c r="BD751" s="12"/>
      <c r="BE751" s="44"/>
      <c r="BF751" s="45"/>
      <c r="BG751" s="12"/>
      <c r="BH751" s="12"/>
      <c r="BI751" s="12"/>
      <c r="BJ751" s="12"/>
      <c r="BK751" s="44"/>
      <c r="BL751" s="45"/>
      <c r="BM751" s="12"/>
      <c r="BN751" s="12"/>
      <c r="BO751" s="12"/>
      <c r="BP751" s="12"/>
      <c r="BQ751" s="48"/>
      <c r="BR751" s="49"/>
      <c r="BS751" s="13"/>
      <c r="BT751" s="12"/>
      <c r="BV751" s="14"/>
      <c r="BW751" s="50"/>
      <c r="BX751" s="54"/>
      <c r="BY751" s="14"/>
      <c r="BZ751" s="14"/>
      <c r="CA751" s="14"/>
      <c r="CB751" s="14"/>
      <c r="CC751" s="14"/>
      <c r="CD751" s="14"/>
      <c r="CE751" s="14"/>
      <c r="CF751" s="15"/>
      <c r="CG751" s="14"/>
      <c r="CH751" s="14"/>
      <c r="CI751" s="50"/>
      <c r="CJ751" s="54"/>
      <c r="CK751" s="14"/>
      <c r="CL751" s="14"/>
      <c r="CM751" s="14"/>
      <c r="CN751" s="14"/>
      <c r="CO751" s="14"/>
      <c r="CP751" s="14"/>
      <c r="CQ751" s="14"/>
      <c r="CR751" s="14"/>
      <c r="CS751" s="14"/>
      <c r="CT751" s="14"/>
      <c r="CU751" s="16"/>
      <c r="CV751" s="14"/>
      <c r="CW751" s="50"/>
      <c r="CX751" s="17"/>
    </row>
    <row r="752" spans="4:102" x14ac:dyDescent="0.25"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43"/>
      <c r="Q752" s="11"/>
      <c r="R752" s="11"/>
      <c r="S752" s="11"/>
      <c r="T752" s="11"/>
      <c r="U752" s="11"/>
      <c r="V752" s="11"/>
      <c r="W752" s="11"/>
      <c r="X752" s="12"/>
      <c r="Y752" s="12"/>
      <c r="Z752" s="12"/>
      <c r="AA752" s="44"/>
      <c r="AB752" s="45"/>
      <c r="AC752" s="12"/>
      <c r="AD752" s="12"/>
      <c r="AE752" s="12"/>
      <c r="AF752" s="12"/>
      <c r="AG752" s="44"/>
      <c r="AH752" s="45"/>
      <c r="AI752" s="12"/>
      <c r="AJ752" s="12"/>
      <c r="AK752" s="12"/>
      <c r="AL752" s="12"/>
      <c r="AM752" s="44"/>
      <c r="AN752" s="45"/>
      <c r="AO752" s="12"/>
      <c r="AP752" s="12"/>
      <c r="AQ752" s="12"/>
      <c r="AR752" s="12"/>
      <c r="AS752" s="44"/>
      <c r="AT752" s="45"/>
      <c r="AU752" s="12"/>
      <c r="AV752" s="12"/>
      <c r="AW752" s="12"/>
      <c r="AX752" s="12"/>
      <c r="AY752" s="44"/>
      <c r="AZ752" s="45"/>
      <c r="BA752" s="12"/>
      <c r="BB752" s="12"/>
      <c r="BC752" s="12"/>
      <c r="BD752" s="12"/>
      <c r="BE752" s="44"/>
      <c r="BF752" s="45"/>
      <c r="BG752" s="12"/>
      <c r="BH752" s="12"/>
      <c r="BI752" s="12"/>
      <c r="BJ752" s="12"/>
      <c r="BK752" s="44"/>
      <c r="BL752" s="45"/>
      <c r="BM752" s="12"/>
      <c r="BN752" s="12"/>
      <c r="BO752" s="12"/>
      <c r="BP752" s="12"/>
      <c r="BQ752" s="48"/>
      <c r="BR752" s="49"/>
      <c r="BS752" s="13"/>
      <c r="BT752" s="12"/>
      <c r="BV752" s="14"/>
      <c r="BW752" s="50"/>
      <c r="BX752" s="54"/>
      <c r="BY752" s="14"/>
      <c r="BZ752" s="14"/>
      <c r="CA752" s="14"/>
      <c r="CB752" s="14"/>
      <c r="CC752" s="14"/>
      <c r="CD752" s="14"/>
      <c r="CE752" s="14"/>
      <c r="CF752" s="15"/>
      <c r="CG752" s="14"/>
      <c r="CH752" s="14"/>
      <c r="CI752" s="50"/>
      <c r="CJ752" s="54"/>
      <c r="CK752" s="14"/>
      <c r="CL752" s="14"/>
      <c r="CM752" s="14"/>
      <c r="CN752" s="14"/>
      <c r="CO752" s="14"/>
      <c r="CP752" s="14"/>
      <c r="CQ752" s="14"/>
      <c r="CR752" s="14"/>
      <c r="CS752" s="14"/>
      <c r="CT752" s="14"/>
      <c r="CU752" s="16"/>
      <c r="CV752" s="14"/>
      <c r="CW752" s="50"/>
      <c r="CX752" s="17"/>
    </row>
    <row r="753" spans="4:102" x14ac:dyDescent="0.25"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43"/>
      <c r="Q753" s="11"/>
      <c r="R753" s="11"/>
      <c r="S753" s="11"/>
      <c r="T753" s="11"/>
      <c r="U753" s="11"/>
      <c r="V753" s="11"/>
      <c r="W753" s="11"/>
      <c r="X753" s="12"/>
      <c r="Y753" s="12"/>
      <c r="Z753" s="12"/>
      <c r="AA753" s="44"/>
      <c r="AB753" s="45"/>
      <c r="AC753" s="12"/>
      <c r="AD753" s="12"/>
      <c r="AE753" s="12"/>
      <c r="AF753" s="12"/>
      <c r="AG753" s="44"/>
      <c r="AH753" s="45"/>
      <c r="AI753" s="12"/>
      <c r="AJ753" s="12"/>
      <c r="AK753" s="12"/>
      <c r="AL753" s="12"/>
      <c r="AM753" s="44"/>
      <c r="AN753" s="45"/>
      <c r="AO753" s="12"/>
      <c r="AP753" s="12"/>
      <c r="AQ753" s="12"/>
      <c r="AR753" s="12"/>
      <c r="AS753" s="44"/>
      <c r="AT753" s="45"/>
      <c r="AU753" s="12"/>
      <c r="AV753" s="12"/>
      <c r="AW753" s="12"/>
      <c r="AX753" s="12"/>
      <c r="AY753" s="44"/>
      <c r="AZ753" s="45"/>
      <c r="BA753" s="12"/>
      <c r="BB753" s="12"/>
      <c r="BC753" s="12"/>
      <c r="BD753" s="12"/>
      <c r="BE753" s="44"/>
      <c r="BF753" s="45"/>
      <c r="BG753" s="12"/>
      <c r="BH753" s="12"/>
      <c r="BI753" s="12"/>
      <c r="BJ753" s="12"/>
      <c r="BK753" s="44"/>
      <c r="BL753" s="45"/>
      <c r="BM753" s="12"/>
      <c r="BN753" s="12"/>
      <c r="BO753" s="12"/>
      <c r="BP753" s="12"/>
      <c r="BQ753" s="48"/>
      <c r="BR753" s="49"/>
      <c r="BS753" s="13"/>
      <c r="BT753" s="12"/>
      <c r="BV753" s="14"/>
      <c r="BW753" s="50"/>
      <c r="BX753" s="54"/>
      <c r="BY753" s="14"/>
      <c r="BZ753" s="14"/>
      <c r="CA753" s="14"/>
      <c r="CB753" s="14"/>
      <c r="CC753" s="14"/>
      <c r="CD753" s="14"/>
      <c r="CE753" s="14"/>
      <c r="CF753" s="15"/>
      <c r="CG753" s="14"/>
      <c r="CH753" s="14"/>
      <c r="CI753" s="50"/>
      <c r="CJ753" s="54"/>
      <c r="CK753" s="14"/>
      <c r="CL753" s="14"/>
      <c r="CM753" s="14"/>
      <c r="CN753" s="14"/>
      <c r="CO753" s="14"/>
      <c r="CP753" s="14"/>
      <c r="CQ753" s="14"/>
      <c r="CR753" s="14"/>
      <c r="CS753" s="14"/>
      <c r="CT753" s="14"/>
      <c r="CU753" s="16"/>
      <c r="CV753" s="14"/>
      <c r="CW753" s="50"/>
      <c r="CX753" s="17"/>
    </row>
    <row r="754" spans="4:102" x14ac:dyDescent="0.25"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43"/>
      <c r="Q754" s="11"/>
      <c r="R754" s="11"/>
      <c r="S754" s="11"/>
      <c r="T754" s="11"/>
      <c r="U754" s="11"/>
      <c r="V754" s="11"/>
      <c r="W754" s="11"/>
      <c r="X754" s="12"/>
      <c r="Y754" s="12"/>
      <c r="Z754" s="12"/>
      <c r="AA754" s="44"/>
      <c r="AB754" s="45"/>
      <c r="AC754" s="12"/>
      <c r="AD754" s="12"/>
      <c r="AE754" s="12"/>
      <c r="AF754" s="12"/>
      <c r="AG754" s="44"/>
      <c r="AH754" s="45"/>
      <c r="AI754" s="12"/>
      <c r="AJ754" s="12"/>
      <c r="AK754" s="12"/>
      <c r="AL754" s="12"/>
      <c r="AM754" s="44"/>
      <c r="AN754" s="45"/>
      <c r="AO754" s="12"/>
      <c r="AP754" s="12"/>
      <c r="AQ754" s="12"/>
      <c r="AR754" s="12"/>
      <c r="AS754" s="44"/>
      <c r="AT754" s="45"/>
      <c r="AU754" s="12"/>
      <c r="AV754" s="12"/>
      <c r="AW754" s="12"/>
      <c r="AX754" s="12"/>
      <c r="AY754" s="44"/>
      <c r="AZ754" s="45"/>
      <c r="BA754" s="12"/>
      <c r="BB754" s="12"/>
      <c r="BC754" s="12"/>
      <c r="BD754" s="12"/>
      <c r="BE754" s="44"/>
      <c r="BF754" s="45"/>
      <c r="BG754" s="12"/>
      <c r="BH754" s="12"/>
      <c r="BI754" s="12"/>
      <c r="BJ754" s="12"/>
      <c r="BK754" s="44"/>
      <c r="BL754" s="45"/>
      <c r="BM754" s="12"/>
      <c r="BN754" s="12"/>
      <c r="BO754" s="12"/>
      <c r="BP754" s="12"/>
      <c r="BQ754" s="48"/>
      <c r="BR754" s="49"/>
      <c r="BS754" s="13"/>
      <c r="BT754" s="12"/>
      <c r="BV754" s="14"/>
      <c r="BW754" s="50"/>
      <c r="BX754" s="54"/>
      <c r="BY754" s="14"/>
      <c r="BZ754" s="14"/>
      <c r="CA754" s="14"/>
      <c r="CB754" s="14"/>
      <c r="CC754" s="14"/>
      <c r="CD754" s="14"/>
      <c r="CE754" s="14"/>
      <c r="CF754" s="15"/>
      <c r="CG754" s="14"/>
      <c r="CH754" s="14"/>
      <c r="CI754" s="50"/>
      <c r="CJ754" s="54"/>
      <c r="CK754" s="14"/>
      <c r="CL754" s="14"/>
      <c r="CM754" s="14"/>
      <c r="CN754" s="14"/>
      <c r="CO754" s="14"/>
      <c r="CP754" s="14"/>
      <c r="CQ754" s="14"/>
      <c r="CR754" s="14"/>
      <c r="CS754" s="14"/>
      <c r="CT754" s="14"/>
      <c r="CU754" s="16"/>
      <c r="CV754" s="14"/>
      <c r="CW754" s="50"/>
      <c r="CX754" s="17"/>
    </row>
    <row r="755" spans="4:102" x14ac:dyDescent="0.25"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43"/>
      <c r="Q755" s="11"/>
      <c r="R755" s="11"/>
      <c r="S755" s="11"/>
      <c r="T755" s="11"/>
      <c r="U755" s="11"/>
      <c r="V755" s="11"/>
      <c r="W755" s="11"/>
      <c r="X755" s="12"/>
      <c r="Y755" s="12"/>
      <c r="Z755" s="12"/>
      <c r="AA755" s="44"/>
      <c r="AB755" s="45"/>
      <c r="AC755" s="12"/>
      <c r="AD755" s="12"/>
      <c r="AE755" s="12"/>
      <c r="AF755" s="12"/>
      <c r="AG755" s="44"/>
      <c r="AH755" s="45"/>
      <c r="AI755" s="12"/>
      <c r="AJ755" s="12"/>
      <c r="AK755" s="12"/>
      <c r="AL755" s="12"/>
      <c r="AM755" s="44"/>
      <c r="AN755" s="45"/>
      <c r="AO755" s="12"/>
      <c r="AP755" s="12"/>
      <c r="AQ755" s="12"/>
      <c r="AR755" s="12"/>
      <c r="AS755" s="44"/>
      <c r="AT755" s="45"/>
      <c r="AU755" s="12"/>
      <c r="AV755" s="12"/>
      <c r="AW755" s="12"/>
      <c r="AX755" s="12"/>
      <c r="AY755" s="44"/>
      <c r="AZ755" s="45"/>
      <c r="BA755" s="12"/>
      <c r="BB755" s="12"/>
      <c r="BC755" s="12"/>
      <c r="BD755" s="12"/>
      <c r="BE755" s="44"/>
      <c r="BF755" s="45"/>
      <c r="BG755" s="12"/>
      <c r="BH755" s="12"/>
      <c r="BI755" s="12"/>
      <c r="BJ755" s="12"/>
      <c r="BK755" s="44"/>
      <c r="BL755" s="45"/>
      <c r="BM755" s="12"/>
      <c r="BN755" s="12"/>
      <c r="BO755" s="12"/>
      <c r="BP755" s="12"/>
      <c r="BQ755" s="48"/>
      <c r="BR755" s="49"/>
      <c r="BS755" s="13"/>
      <c r="BT755" s="12"/>
      <c r="BV755" s="14"/>
      <c r="BW755" s="50"/>
      <c r="BX755" s="54"/>
      <c r="BY755" s="14"/>
      <c r="BZ755" s="14"/>
      <c r="CA755" s="14"/>
      <c r="CB755" s="14"/>
      <c r="CC755" s="14"/>
      <c r="CD755" s="14"/>
      <c r="CE755" s="14"/>
      <c r="CF755" s="15"/>
      <c r="CG755" s="14"/>
      <c r="CH755" s="14"/>
      <c r="CI755" s="50"/>
      <c r="CJ755" s="54"/>
      <c r="CK755" s="14"/>
      <c r="CL755" s="14"/>
      <c r="CM755" s="14"/>
      <c r="CN755" s="14"/>
      <c r="CO755" s="14"/>
      <c r="CP755" s="14"/>
      <c r="CQ755" s="14"/>
      <c r="CR755" s="14"/>
      <c r="CS755" s="14"/>
      <c r="CT755" s="14"/>
      <c r="CU755" s="16"/>
      <c r="CV755" s="14"/>
      <c r="CW755" s="50"/>
      <c r="CX755" s="17"/>
    </row>
    <row r="756" spans="4:102" x14ac:dyDescent="0.25"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43"/>
      <c r="Q756" s="11"/>
      <c r="R756" s="11"/>
      <c r="S756" s="11"/>
      <c r="T756" s="11"/>
      <c r="U756" s="11"/>
      <c r="V756" s="11"/>
      <c r="W756" s="11"/>
      <c r="X756" s="12"/>
      <c r="Y756" s="12"/>
      <c r="Z756" s="12"/>
      <c r="AA756" s="44"/>
      <c r="AB756" s="45"/>
      <c r="AC756" s="12"/>
      <c r="AD756" s="12"/>
      <c r="AE756" s="12"/>
      <c r="AF756" s="12"/>
      <c r="AG756" s="44"/>
      <c r="AH756" s="45"/>
      <c r="AI756" s="12"/>
      <c r="AJ756" s="12"/>
      <c r="AK756" s="12"/>
      <c r="AL756" s="12"/>
      <c r="AM756" s="44"/>
      <c r="AN756" s="45"/>
      <c r="AO756" s="12"/>
      <c r="AP756" s="12"/>
      <c r="AQ756" s="12"/>
      <c r="AR756" s="12"/>
      <c r="AS756" s="44"/>
      <c r="AT756" s="45"/>
      <c r="AU756" s="12"/>
      <c r="AV756" s="12"/>
      <c r="AW756" s="12"/>
      <c r="AX756" s="12"/>
      <c r="AY756" s="44"/>
      <c r="AZ756" s="45"/>
      <c r="BA756" s="12"/>
      <c r="BB756" s="12"/>
      <c r="BC756" s="12"/>
      <c r="BD756" s="12"/>
      <c r="BE756" s="44"/>
      <c r="BF756" s="45"/>
      <c r="BG756" s="12"/>
      <c r="BH756" s="12"/>
      <c r="BI756" s="12"/>
      <c r="BJ756" s="12"/>
      <c r="BK756" s="44"/>
      <c r="BL756" s="45"/>
      <c r="BM756" s="12"/>
      <c r="BN756" s="12"/>
      <c r="BO756" s="12"/>
      <c r="BP756" s="12"/>
      <c r="BQ756" s="48"/>
      <c r="BR756" s="49"/>
      <c r="BS756" s="13"/>
      <c r="BT756" s="12"/>
      <c r="BV756" s="14"/>
      <c r="BW756" s="50"/>
      <c r="BX756" s="54"/>
      <c r="BY756" s="14"/>
      <c r="BZ756" s="14"/>
      <c r="CA756" s="14"/>
      <c r="CB756" s="14"/>
      <c r="CC756" s="14"/>
      <c r="CD756" s="14"/>
      <c r="CE756" s="14"/>
      <c r="CF756" s="15"/>
      <c r="CG756" s="14"/>
      <c r="CH756" s="14"/>
      <c r="CI756" s="50"/>
      <c r="CJ756" s="54"/>
      <c r="CK756" s="14"/>
      <c r="CL756" s="14"/>
      <c r="CM756" s="14"/>
      <c r="CN756" s="14"/>
      <c r="CO756" s="14"/>
      <c r="CP756" s="14"/>
      <c r="CQ756" s="14"/>
      <c r="CR756" s="14"/>
      <c r="CS756" s="14"/>
      <c r="CT756" s="14"/>
      <c r="CU756" s="16"/>
      <c r="CV756" s="14"/>
      <c r="CW756" s="50"/>
      <c r="CX756" s="17"/>
    </row>
    <row r="757" spans="4:102" x14ac:dyDescent="0.25"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43"/>
      <c r="Q757" s="11"/>
      <c r="R757" s="11"/>
      <c r="S757" s="11"/>
      <c r="T757" s="11"/>
      <c r="U757" s="11"/>
      <c r="V757" s="11"/>
      <c r="W757" s="11"/>
      <c r="X757" s="12"/>
      <c r="Y757" s="12"/>
      <c r="Z757" s="12"/>
      <c r="AA757" s="44"/>
      <c r="AB757" s="45"/>
      <c r="AC757" s="12"/>
      <c r="AD757" s="12"/>
      <c r="AE757" s="12"/>
      <c r="AF757" s="12"/>
      <c r="AG757" s="44"/>
      <c r="AH757" s="45"/>
      <c r="AI757" s="12"/>
      <c r="AJ757" s="12"/>
      <c r="AK757" s="12"/>
      <c r="AL757" s="12"/>
      <c r="AM757" s="44"/>
      <c r="AN757" s="45"/>
      <c r="AO757" s="12"/>
      <c r="AP757" s="12"/>
      <c r="AQ757" s="12"/>
      <c r="AR757" s="12"/>
      <c r="AS757" s="44"/>
      <c r="AT757" s="45"/>
      <c r="AU757" s="12"/>
      <c r="AV757" s="12"/>
      <c r="AW757" s="12"/>
      <c r="AX757" s="12"/>
      <c r="AY757" s="44"/>
      <c r="AZ757" s="45"/>
      <c r="BA757" s="12"/>
      <c r="BB757" s="12"/>
      <c r="BC757" s="12"/>
      <c r="BD757" s="12"/>
      <c r="BE757" s="44"/>
      <c r="BF757" s="45"/>
      <c r="BG757" s="12"/>
      <c r="BH757" s="12"/>
      <c r="BI757" s="12"/>
      <c r="BJ757" s="12"/>
      <c r="BK757" s="44"/>
      <c r="BL757" s="45"/>
      <c r="BM757" s="12"/>
      <c r="BN757" s="12"/>
      <c r="BO757" s="12"/>
      <c r="BP757" s="12"/>
      <c r="BQ757" s="48"/>
      <c r="BR757" s="49"/>
      <c r="BS757" s="13"/>
      <c r="BT757" s="12"/>
      <c r="BV757" s="14"/>
      <c r="BW757" s="50"/>
      <c r="BX757" s="54"/>
      <c r="BY757" s="14"/>
      <c r="BZ757" s="14"/>
      <c r="CA757" s="14"/>
      <c r="CB757" s="14"/>
      <c r="CC757" s="14"/>
      <c r="CD757" s="14"/>
      <c r="CE757" s="14"/>
      <c r="CF757" s="15"/>
      <c r="CG757" s="14"/>
      <c r="CH757" s="14"/>
      <c r="CI757" s="50"/>
      <c r="CJ757" s="54"/>
      <c r="CK757" s="14"/>
      <c r="CL757" s="14"/>
      <c r="CM757" s="14"/>
      <c r="CN757" s="14"/>
      <c r="CO757" s="14"/>
      <c r="CP757" s="14"/>
      <c r="CQ757" s="14"/>
      <c r="CR757" s="14"/>
      <c r="CS757" s="14"/>
      <c r="CT757" s="14"/>
      <c r="CU757" s="16"/>
      <c r="CV757" s="14"/>
      <c r="CW757" s="50"/>
      <c r="CX757" s="17"/>
    </row>
    <row r="758" spans="4:102" x14ac:dyDescent="0.25"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43"/>
      <c r="Q758" s="11"/>
      <c r="R758" s="11"/>
      <c r="S758" s="11"/>
      <c r="T758" s="11"/>
      <c r="U758" s="11"/>
      <c r="V758" s="11"/>
      <c r="W758" s="11"/>
      <c r="X758" s="12"/>
      <c r="Y758" s="12"/>
      <c r="Z758" s="12"/>
      <c r="AA758" s="44"/>
      <c r="AB758" s="45"/>
      <c r="AC758" s="12"/>
      <c r="AD758" s="12"/>
      <c r="AE758" s="12"/>
      <c r="AF758" s="12"/>
      <c r="AG758" s="44"/>
      <c r="AH758" s="45"/>
      <c r="AI758" s="12"/>
      <c r="AJ758" s="12"/>
      <c r="AK758" s="12"/>
      <c r="AL758" s="12"/>
      <c r="AM758" s="44"/>
      <c r="AN758" s="45"/>
      <c r="AO758" s="12"/>
      <c r="AP758" s="12"/>
      <c r="AQ758" s="12"/>
      <c r="AR758" s="12"/>
      <c r="AS758" s="44"/>
      <c r="AT758" s="45"/>
      <c r="AU758" s="12"/>
      <c r="AV758" s="12"/>
      <c r="AW758" s="12"/>
      <c r="AX758" s="12"/>
      <c r="AY758" s="44"/>
      <c r="AZ758" s="45"/>
      <c r="BA758" s="12"/>
      <c r="BB758" s="12"/>
      <c r="BC758" s="12"/>
      <c r="BD758" s="12"/>
      <c r="BE758" s="44"/>
      <c r="BF758" s="45"/>
      <c r="BG758" s="12"/>
      <c r="BH758" s="12"/>
      <c r="BI758" s="12"/>
      <c r="BJ758" s="12"/>
      <c r="BK758" s="44"/>
      <c r="BL758" s="45"/>
      <c r="BM758" s="12"/>
      <c r="BN758" s="12"/>
      <c r="BO758" s="12"/>
      <c r="BP758" s="12"/>
      <c r="BQ758" s="48"/>
      <c r="BR758" s="49"/>
      <c r="BS758" s="13"/>
      <c r="BT758" s="12"/>
      <c r="BV758" s="14"/>
      <c r="BW758" s="50"/>
      <c r="BX758" s="54"/>
      <c r="BY758" s="14"/>
      <c r="BZ758" s="14"/>
      <c r="CA758" s="14"/>
      <c r="CB758" s="14"/>
      <c r="CC758" s="14"/>
      <c r="CD758" s="14"/>
      <c r="CE758" s="14"/>
      <c r="CF758" s="15"/>
      <c r="CG758" s="14"/>
      <c r="CH758" s="14"/>
      <c r="CI758" s="50"/>
      <c r="CJ758" s="54"/>
      <c r="CK758" s="14"/>
      <c r="CL758" s="14"/>
      <c r="CM758" s="14"/>
      <c r="CN758" s="14"/>
      <c r="CO758" s="14"/>
      <c r="CP758" s="14"/>
      <c r="CQ758" s="14"/>
      <c r="CR758" s="14"/>
      <c r="CS758" s="14"/>
      <c r="CT758" s="14"/>
      <c r="CU758" s="16"/>
      <c r="CV758" s="14"/>
      <c r="CW758" s="50"/>
      <c r="CX758" s="17"/>
    </row>
    <row r="759" spans="4:102" x14ac:dyDescent="0.25"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43"/>
      <c r="Q759" s="11"/>
      <c r="R759" s="11"/>
      <c r="S759" s="11"/>
      <c r="T759" s="11"/>
      <c r="U759" s="11"/>
      <c r="V759" s="11"/>
      <c r="W759" s="11"/>
      <c r="X759" s="12"/>
      <c r="Y759" s="12"/>
      <c r="Z759" s="12"/>
      <c r="AA759" s="44"/>
      <c r="AB759" s="45"/>
      <c r="AC759" s="12"/>
      <c r="AD759" s="12"/>
      <c r="AE759" s="12"/>
      <c r="AF759" s="12"/>
      <c r="AG759" s="44"/>
      <c r="AH759" s="45"/>
      <c r="AI759" s="12"/>
      <c r="AJ759" s="12"/>
      <c r="AK759" s="12"/>
      <c r="AL759" s="12"/>
      <c r="AM759" s="44"/>
      <c r="AN759" s="45"/>
      <c r="AO759" s="12"/>
      <c r="AP759" s="12"/>
      <c r="AQ759" s="12"/>
      <c r="AR759" s="12"/>
      <c r="AS759" s="44"/>
      <c r="AT759" s="45"/>
      <c r="AU759" s="12"/>
      <c r="AV759" s="12"/>
      <c r="AW759" s="12"/>
      <c r="AX759" s="12"/>
      <c r="AY759" s="44"/>
      <c r="AZ759" s="45"/>
      <c r="BA759" s="12"/>
      <c r="BB759" s="12"/>
      <c r="BC759" s="12"/>
      <c r="BD759" s="12"/>
      <c r="BE759" s="44"/>
      <c r="BF759" s="45"/>
      <c r="BG759" s="12"/>
      <c r="BH759" s="12"/>
      <c r="BI759" s="12"/>
      <c r="BJ759" s="12"/>
      <c r="BK759" s="44"/>
      <c r="BL759" s="45"/>
      <c r="BM759" s="12"/>
      <c r="BN759" s="12"/>
      <c r="BO759" s="12"/>
      <c r="BP759" s="12"/>
      <c r="BQ759" s="48"/>
      <c r="BR759" s="49"/>
      <c r="BS759" s="13"/>
      <c r="BT759" s="12"/>
      <c r="BV759" s="14"/>
      <c r="BW759" s="50"/>
      <c r="BX759" s="54"/>
      <c r="BY759" s="14"/>
      <c r="BZ759" s="14"/>
      <c r="CA759" s="14"/>
      <c r="CB759" s="14"/>
      <c r="CC759" s="14"/>
      <c r="CD759" s="14"/>
      <c r="CE759" s="14"/>
      <c r="CF759" s="15"/>
      <c r="CG759" s="14"/>
      <c r="CH759" s="14"/>
      <c r="CI759" s="50"/>
      <c r="CJ759" s="54"/>
      <c r="CK759" s="14"/>
      <c r="CL759" s="14"/>
      <c r="CM759" s="14"/>
      <c r="CN759" s="14"/>
      <c r="CO759" s="14"/>
      <c r="CP759" s="14"/>
      <c r="CQ759" s="14"/>
      <c r="CR759" s="14"/>
      <c r="CS759" s="14"/>
      <c r="CT759" s="14"/>
      <c r="CU759" s="16"/>
      <c r="CV759" s="14"/>
      <c r="CW759" s="50"/>
      <c r="CX759" s="17"/>
    </row>
    <row r="760" spans="4:102" x14ac:dyDescent="0.25"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43"/>
      <c r="Q760" s="11"/>
      <c r="R760" s="11"/>
      <c r="S760" s="11"/>
      <c r="T760" s="11"/>
      <c r="U760" s="11"/>
      <c r="V760" s="11"/>
      <c r="W760" s="11"/>
      <c r="X760" s="12"/>
      <c r="Y760" s="12"/>
      <c r="Z760" s="12"/>
      <c r="AA760" s="44"/>
      <c r="AB760" s="45"/>
      <c r="AC760" s="12"/>
      <c r="AD760" s="12"/>
      <c r="AE760" s="12"/>
      <c r="AF760" s="12"/>
      <c r="AG760" s="44"/>
      <c r="AH760" s="45"/>
      <c r="AI760" s="12"/>
      <c r="AJ760" s="12"/>
      <c r="AK760" s="12"/>
      <c r="AL760" s="12"/>
      <c r="AM760" s="44"/>
      <c r="AN760" s="45"/>
      <c r="AO760" s="12"/>
      <c r="AP760" s="12"/>
      <c r="AQ760" s="12"/>
      <c r="AR760" s="12"/>
      <c r="AS760" s="44"/>
      <c r="AT760" s="45"/>
      <c r="AU760" s="12"/>
      <c r="AV760" s="12"/>
      <c r="AW760" s="12"/>
      <c r="AX760" s="12"/>
      <c r="AY760" s="44"/>
      <c r="AZ760" s="45"/>
      <c r="BA760" s="12"/>
      <c r="BB760" s="12"/>
      <c r="BC760" s="12"/>
      <c r="BD760" s="12"/>
      <c r="BE760" s="44"/>
      <c r="BF760" s="45"/>
      <c r="BG760" s="12"/>
      <c r="BH760" s="12"/>
      <c r="BI760" s="12"/>
      <c r="BJ760" s="12"/>
      <c r="BK760" s="44"/>
      <c r="BL760" s="45"/>
      <c r="BM760" s="12"/>
      <c r="BN760" s="12"/>
      <c r="BO760" s="12"/>
      <c r="BP760" s="12"/>
      <c r="BQ760" s="48"/>
      <c r="BR760" s="49"/>
      <c r="BS760" s="13"/>
      <c r="BT760" s="12"/>
      <c r="BV760" s="14"/>
      <c r="BW760" s="50"/>
      <c r="BX760" s="54"/>
      <c r="BY760" s="14"/>
      <c r="BZ760" s="14"/>
      <c r="CA760" s="14"/>
      <c r="CB760" s="14"/>
      <c r="CC760" s="14"/>
      <c r="CD760" s="14"/>
      <c r="CE760" s="14"/>
      <c r="CF760" s="15"/>
      <c r="CG760" s="14"/>
      <c r="CH760" s="14"/>
      <c r="CI760" s="50"/>
      <c r="CJ760" s="54"/>
      <c r="CK760" s="14"/>
      <c r="CL760" s="14"/>
      <c r="CM760" s="14"/>
      <c r="CN760" s="14"/>
      <c r="CO760" s="14"/>
      <c r="CP760" s="14"/>
      <c r="CQ760" s="14"/>
      <c r="CR760" s="14"/>
      <c r="CS760" s="14"/>
      <c r="CT760" s="14"/>
      <c r="CU760" s="16"/>
      <c r="CV760" s="14"/>
      <c r="CW760" s="50"/>
      <c r="CX760" s="17"/>
    </row>
    <row r="761" spans="4:102" x14ac:dyDescent="0.25"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43"/>
      <c r="Q761" s="11"/>
      <c r="R761" s="11"/>
      <c r="S761" s="11"/>
      <c r="T761" s="11"/>
      <c r="U761" s="11"/>
      <c r="V761" s="11"/>
      <c r="W761" s="11"/>
      <c r="X761" s="12"/>
      <c r="Y761" s="12"/>
      <c r="Z761" s="12"/>
      <c r="AA761" s="44"/>
      <c r="AB761" s="45"/>
      <c r="AC761" s="12"/>
      <c r="AD761" s="12"/>
      <c r="AE761" s="12"/>
      <c r="AF761" s="12"/>
      <c r="AG761" s="44"/>
      <c r="AH761" s="45"/>
      <c r="AI761" s="12"/>
      <c r="AJ761" s="12"/>
      <c r="AK761" s="12"/>
      <c r="AL761" s="12"/>
      <c r="AM761" s="44"/>
      <c r="AN761" s="45"/>
      <c r="AO761" s="12"/>
      <c r="AP761" s="12"/>
      <c r="AQ761" s="12"/>
      <c r="AR761" s="12"/>
      <c r="AS761" s="44"/>
      <c r="AT761" s="45"/>
      <c r="AU761" s="12"/>
      <c r="AV761" s="12"/>
      <c r="AW761" s="12"/>
      <c r="AX761" s="12"/>
      <c r="AY761" s="44"/>
      <c r="AZ761" s="45"/>
      <c r="BA761" s="12"/>
      <c r="BB761" s="12"/>
      <c r="BC761" s="12"/>
      <c r="BD761" s="12"/>
      <c r="BE761" s="44"/>
      <c r="BF761" s="45"/>
      <c r="BG761" s="12"/>
      <c r="BH761" s="12"/>
      <c r="BI761" s="12"/>
      <c r="BJ761" s="12"/>
      <c r="BK761" s="44"/>
      <c r="BL761" s="45"/>
      <c r="BM761" s="12"/>
      <c r="BN761" s="12"/>
      <c r="BO761" s="12"/>
      <c r="BP761" s="12"/>
      <c r="BQ761" s="48"/>
      <c r="BR761" s="49"/>
      <c r="BS761" s="13"/>
      <c r="BT761" s="12"/>
      <c r="BV761" s="14"/>
      <c r="BW761" s="50"/>
      <c r="BX761" s="54"/>
      <c r="BY761" s="14"/>
      <c r="BZ761" s="14"/>
      <c r="CA761" s="14"/>
      <c r="CB761" s="14"/>
      <c r="CC761" s="14"/>
      <c r="CD761" s="14"/>
      <c r="CE761" s="14"/>
      <c r="CF761" s="15"/>
      <c r="CG761" s="14"/>
      <c r="CH761" s="14"/>
      <c r="CI761" s="50"/>
      <c r="CJ761" s="54"/>
      <c r="CK761" s="14"/>
      <c r="CL761" s="14"/>
      <c r="CM761" s="14"/>
      <c r="CN761" s="14"/>
      <c r="CO761" s="14"/>
      <c r="CP761" s="14"/>
      <c r="CQ761" s="14"/>
      <c r="CR761" s="14"/>
      <c r="CS761" s="14"/>
      <c r="CT761" s="14"/>
      <c r="CU761" s="16"/>
      <c r="CV761" s="14"/>
      <c r="CW761" s="50"/>
      <c r="CX761" s="17"/>
    </row>
    <row r="762" spans="4:102" x14ac:dyDescent="0.25"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43"/>
      <c r="Q762" s="11"/>
      <c r="R762" s="11"/>
      <c r="S762" s="11"/>
      <c r="T762" s="11"/>
      <c r="U762" s="11"/>
      <c r="V762" s="11"/>
      <c r="W762" s="11"/>
      <c r="X762" s="12"/>
      <c r="Y762" s="12"/>
      <c r="Z762" s="12"/>
      <c r="AA762" s="44"/>
      <c r="AB762" s="45"/>
      <c r="AC762" s="12"/>
      <c r="AD762" s="12"/>
      <c r="AE762" s="12"/>
      <c r="AF762" s="12"/>
      <c r="AG762" s="44"/>
      <c r="AH762" s="45"/>
      <c r="AI762" s="12"/>
      <c r="AJ762" s="12"/>
      <c r="AK762" s="12"/>
      <c r="AL762" s="12"/>
      <c r="AM762" s="44"/>
      <c r="AN762" s="45"/>
      <c r="AO762" s="12"/>
      <c r="AP762" s="12"/>
      <c r="AQ762" s="12"/>
      <c r="AR762" s="12"/>
      <c r="AS762" s="44"/>
      <c r="AT762" s="45"/>
      <c r="AU762" s="12"/>
      <c r="AV762" s="12"/>
      <c r="AW762" s="12"/>
      <c r="AX762" s="12"/>
      <c r="AY762" s="44"/>
      <c r="AZ762" s="45"/>
      <c r="BA762" s="12"/>
      <c r="BB762" s="12"/>
      <c r="BC762" s="12"/>
      <c r="BD762" s="12"/>
      <c r="BE762" s="44"/>
      <c r="BF762" s="45"/>
      <c r="BG762" s="12"/>
      <c r="BH762" s="12"/>
      <c r="BI762" s="12"/>
      <c r="BJ762" s="12"/>
      <c r="BK762" s="44"/>
      <c r="BL762" s="45"/>
      <c r="BM762" s="12"/>
      <c r="BN762" s="12"/>
      <c r="BO762" s="12"/>
      <c r="BP762" s="12"/>
      <c r="BQ762" s="48"/>
      <c r="BR762" s="49"/>
      <c r="BS762" s="13"/>
      <c r="BT762" s="12"/>
      <c r="BV762" s="14"/>
      <c r="BW762" s="50"/>
      <c r="BX762" s="54"/>
      <c r="BY762" s="14"/>
      <c r="BZ762" s="14"/>
      <c r="CA762" s="14"/>
      <c r="CB762" s="14"/>
      <c r="CC762" s="14"/>
      <c r="CD762" s="14"/>
      <c r="CE762" s="14"/>
      <c r="CF762" s="15"/>
      <c r="CG762" s="14"/>
      <c r="CH762" s="14"/>
      <c r="CI762" s="50"/>
      <c r="CJ762" s="54"/>
      <c r="CK762" s="14"/>
      <c r="CL762" s="14"/>
      <c r="CM762" s="14"/>
      <c r="CN762" s="14"/>
      <c r="CO762" s="14"/>
      <c r="CP762" s="14"/>
      <c r="CQ762" s="14"/>
      <c r="CR762" s="14"/>
      <c r="CS762" s="14"/>
      <c r="CT762" s="14"/>
      <c r="CU762" s="16"/>
      <c r="CV762" s="14"/>
      <c r="CW762" s="50"/>
      <c r="CX762" s="17"/>
    </row>
    <row r="763" spans="4:102" x14ac:dyDescent="0.25"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43"/>
      <c r="Q763" s="11"/>
      <c r="R763" s="11"/>
      <c r="S763" s="11"/>
      <c r="T763" s="11"/>
      <c r="U763" s="11"/>
      <c r="V763" s="11"/>
      <c r="W763" s="11"/>
      <c r="X763" s="12"/>
      <c r="Y763" s="12"/>
      <c r="Z763" s="12"/>
      <c r="AA763" s="44"/>
      <c r="AB763" s="45"/>
      <c r="AC763" s="12"/>
      <c r="AD763" s="12"/>
      <c r="AE763" s="12"/>
      <c r="AF763" s="12"/>
      <c r="AG763" s="44"/>
      <c r="AH763" s="45"/>
      <c r="AI763" s="12"/>
      <c r="AJ763" s="12"/>
      <c r="AK763" s="12"/>
      <c r="AL763" s="12"/>
      <c r="AM763" s="44"/>
      <c r="AN763" s="45"/>
      <c r="AO763" s="12"/>
      <c r="AP763" s="12"/>
      <c r="AQ763" s="12"/>
      <c r="AR763" s="12"/>
      <c r="AS763" s="44"/>
      <c r="AT763" s="45"/>
      <c r="AU763" s="12"/>
      <c r="AV763" s="12"/>
      <c r="AW763" s="12"/>
      <c r="AX763" s="12"/>
      <c r="AY763" s="44"/>
      <c r="AZ763" s="45"/>
      <c r="BA763" s="12"/>
      <c r="BB763" s="12"/>
      <c r="BC763" s="12"/>
      <c r="BD763" s="12"/>
      <c r="BE763" s="44"/>
      <c r="BF763" s="45"/>
      <c r="BG763" s="12"/>
      <c r="BH763" s="12"/>
      <c r="BI763" s="12"/>
      <c r="BJ763" s="12"/>
      <c r="BK763" s="44"/>
      <c r="BL763" s="45"/>
      <c r="BM763" s="12"/>
      <c r="BN763" s="12"/>
      <c r="BO763" s="12"/>
      <c r="BP763" s="12"/>
      <c r="BQ763" s="48"/>
      <c r="BR763" s="49"/>
      <c r="BS763" s="13"/>
      <c r="BT763" s="12"/>
      <c r="BV763" s="14"/>
      <c r="BW763" s="50"/>
      <c r="BX763" s="54"/>
      <c r="BY763" s="14"/>
      <c r="BZ763" s="14"/>
      <c r="CA763" s="14"/>
      <c r="CB763" s="14"/>
      <c r="CC763" s="14"/>
      <c r="CD763" s="14"/>
      <c r="CE763" s="14"/>
      <c r="CF763" s="15"/>
      <c r="CG763" s="14"/>
      <c r="CH763" s="14"/>
      <c r="CI763" s="50"/>
      <c r="CJ763" s="54"/>
      <c r="CK763" s="14"/>
      <c r="CL763" s="14"/>
      <c r="CM763" s="14"/>
      <c r="CN763" s="14"/>
      <c r="CO763" s="14"/>
      <c r="CP763" s="14"/>
      <c r="CQ763" s="14"/>
      <c r="CR763" s="14"/>
      <c r="CS763" s="14"/>
      <c r="CT763" s="14"/>
      <c r="CU763" s="16"/>
      <c r="CV763" s="14"/>
      <c r="CW763" s="50"/>
      <c r="CX763" s="17"/>
    </row>
    <row r="764" spans="4:102" x14ac:dyDescent="0.25"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43"/>
      <c r="Q764" s="11"/>
      <c r="R764" s="11"/>
      <c r="S764" s="11"/>
      <c r="T764" s="11"/>
      <c r="U764" s="11"/>
      <c r="V764" s="11"/>
      <c r="W764" s="11"/>
      <c r="X764" s="12"/>
      <c r="Y764" s="12"/>
      <c r="Z764" s="12"/>
      <c r="AA764" s="44"/>
      <c r="AB764" s="45"/>
      <c r="AC764" s="12"/>
      <c r="AD764" s="12"/>
      <c r="AE764" s="12"/>
      <c r="AF764" s="12"/>
      <c r="AG764" s="44"/>
      <c r="AH764" s="45"/>
      <c r="AI764" s="12"/>
      <c r="AJ764" s="12"/>
      <c r="AK764" s="12"/>
      <c r="AL764" s="12"/>
      <c r="AM764" s="44"/>
      <c r="AN764" s="45"/>
      <c r="AO764" s="12"/>
      <c r="AP764" s="12"/>
      <c r="AQ764" s="12"/>
      <c r="AR764" s="12"/>
      <c r="AS764" s="44"/>
      <c r="AT764" s="45"/>
      <c r="AU764" s="12"/>
      <c r="AV764" s="12"/>
      <c r="AW764" s="12"/>
      <c r="AX764" s="12"/>
      <c r="AY764" s="44"/>
      <c r="AZ764" s="45"/>
      <c r="BA764" s="12"/>
      <c r="BB764" s="12"/>
      <c r="BC764" s="12"/>
      <c r="BD764" s="12"/>
      <c r="BE764" s="44"/>
      <c r="BF764" s="45"/>
      <c r="BG764" s="12"/>
      <c r="BH764" s="12"/>
      <c r="BI764" s="12"/>
      <c r="BJ764" s="12"/>
      <c r="BK764" s="44"/>
      <c r="BL764" s="45"/>
      <c r="BM764" s="12"/>
      <c r="BN764" s="12"/>
      <c r="BO764" s="12"/>
      <c r="BP764" s="12"/>
      <c r="BQ764" s="48"/>
      <c r="BR764" s="49"/>
      <c r="BS764" s="13"/>
      <c r="BT764" s="12"/>
      <c r="BV764" s="14"/>
      <c r="BW764" s="50"/>
      <c r="BX764" s="54"/>
      <c r="BY764" s="14"/>
      <c r="BZ764" s="14"/>
      <c r="CA764" s="14"/>
      <c r="CB764" s="14"/>
      <c r="CC764" s="14"/>
      <c r="CD764" s="14"/>
      <c r="CE764" s="14"/>
      <c r="CF764" s="15"/>
      <c r="CG764" s="14"/>
      <c r="CH764" s="14"/>
      <c r="CI764" s="50"/>
      <c r="CJ764" s="54"/>
      <c r="CK764" s="14"/>
      <c r="CL764" s="14"/>
      <c r="CM764" s="14"/>
      <c r="CN764" s="14"/>
      <c r="CO764" s="14"/>
      <c r="CP764" s="14"/>
      <c r="CQ764" s="14"/>
      <c r="CR764" s="14"/>
      <c r="CS764" s="14"/>
      <c r="CT764" s="14"/>
      <c r="CU764" s="16"/>
      <c r="CV764" s="14"/>
      <c r="CW764" s="50"/>
      <c r="CX764" s="17"/>
    </row>
    <row r="765" spans="4:102" x14ac:dyDescent="0.25"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43"/>
      <c r="Q765" s="11"/>
      <c r="R765" s="11"/>
      <c r="S765" s="11"/>
      <c r="T765" s="11"/>
      <c r="U765" s="11"/>
      <c r="V765" s="11"/>
      <c r="W765" s="11"/>
      <c r="X765" s="12"/>
      <c r="Y765" s="12"/>
      <c r="Z765" s="12"/>
      <c r="AA765" s="44"/>
      <c r="AB765" s="45"/>
      <c r="AC765" s="12"/>
      <c r="AD765" s="12"/>
      <c r="AE765" s="12"/>
      <c r="AF765" s="12"/>
      <c r="AG765" s="44"/>
      <c r="AH765" s="45"/>
      <c r="AI765" s="12"/>
      <c r="AJ765" s="12"/>
      <c r="AK765" s="12"/>
      <c r="AL765" s="12"/>
      <c r="AM765" s="44"/>
      <c r="AN765" s="45"/>
      <c r="AO765" s="12"/>
      <c r="AP765" s="12"/>
      <c r="AQ765" s="12"/>
      <c r="AR765" s="12"/>
      <c r="AS765" s="44"/>
      <c r="AT765" s="45"/>
      <c r="AU765" s="12"/>
      <c r="AV765" s="12"/>
      <c r="AW765" s="12"/>
      <c r="AX765" s="12"/>
      <c r="AY765" s="44"/>
      <c r="AZ765" s="45"/>
      <c r="BA765" s="12"/>
      <c r="BB765" s="12"/>
      <c r="BC765" s="12"/>
      <c r="BD765" s="12"/>
      <c r="BE765" s="44"/>
      <c r="BF765" s="45"/>
      <c r="BG765" s="12"/>
      <c r="BH765" s="12"/>
      <c r="BI765" s="12"/>
      <c r="BJ765" s="12"/>
      <c r="BK765" s="44"/>
      <c r="BL765" s="45"/>
      <c r="BM765" s="12"/>
      <c r="BN765" s="12"/>
      <c r="BO765" s="12"/>
      <c r="BP765" s="12"/>
      <c r="BQ765" s="48"/>
      <c r="BR765" s="49"/>
      <c r="BS765" s="13"/>
      <c r="BT765" s="12"/>
      <c r="BV765" s="14"/>
      <c r="BW765" s="50"/>
      <c r="BX765" s="54"/>
      <c r="BY765" s="14"/>
      <c r="BZ765" s="14"/>
      <c r="CA765" s="14"/>
      <c r="CB765" s="14"/>
      <c r="CC765" s="14"/>
      <c r="CD765" s="14"/>
      <c r="CE765" s="14"/>
      <c r="CF765" s="15"/>
      <c r="CG765" s="14"/>
      <c r="CH765" s="14"/>
      <c r="CI765" s="50"/>
      <c r="CJ765" s="54"/>
      <c r="CK765" s="14"/>
      <c r="CL765" s="14"/>
      <c r="CM765" s="14"/>
      <c r="CN765" s="14"/>
      <c r="CO765" s="14"/>
      <c r="CP765" s="14"/>
      <c r="CQ765" s="14"/>
      <c r="CR765" s="14"/>
      <c r="CS765" s="14"/>
      <c r="CT765" s="14"/>
      <c r="CU765" s="16"/>
      <c r="CV765" s="14"/>
      <c r="CW765" s="50"/>
      <c r="CX765" s="17"/>
    </row>
    <row r="766" spans="4:102" x14ac:dyDescent="0.25"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43"/>
      <c r="Q766" s="11"/>
      <c r="R766" s="11"/>
      <c r="S766" s="11"/>
      <c r="T766" s="11"/>
      <c r="U766" s="11"/>
      <c r="V766" s="11"/>
      <c r="W766" s="11"/>
      <c r="X766" s="12"/>
      <c r="Y766" s="12"/>
      <c r="Z766" s="12"/>
      <c r="AA766" s="44"/>
      <c r="AB766" s="45"/>
      <c r="AC766" s="12"/>
      <c r="AD766" s="12"/>
      <c r="AE766" s="12"/>
      <c r="AF766" s="12"/>
      <c r="AG766" s="44"/>
      <c r="AH766" s="45"/>
      <c r="AI766" s="12"/>
      <c r="AJ766" s="12"/>
      <c r="AK766" s="12"/>
      <c r="AL766" s="12"/>
      <c r="AM766" s="44"/>
      <c r="AN766" s="45"/>
      <c r="AO766" s="12"/>
      <c r="AP766" s="12"/>
      <c r="AQ766" s="12"/>
      <c r="AR766" s="12"/>
      <c r="AS766" s="44"/>
      <c r="AT766" s="45"/>
      <c r="AU766" s="12"/>
      <c r="AV766" s="12"/>
      <c r="AW766" s="12"/>
      <c r="AX766" s="12"/>
      <c r="AY766" s="44"/>
      <c r="AZ766" s="45"/>
      <c r="BA766" s="12"/>
      <c r="BB766" s="12"/>
      <c r="BC766" s="12"/>
      <c r="BD766" s="12"/>
      <c r="BE766" s="44"/>
      <c r="BF766" s="45"/>
      <c r="BG766" s="12"/>
      <c r="BH766" s="12"/>
      <c r="BI766" s="12"/>
      <c r="BJ766" s="12"/>
      <c r="BK766" s="44"/>
      <c r="BL766" s="45"/>
      <c r="BM766" s="12"/>
      <c r="BN766" s="12"/>
      <c r="BO766" s="12"/>
      <c r="BP766" s="12"/>
      <c r="BQ766" s="48"/>
      <c r="BR766" s="49"/>
      <c r="BS766" s="13"/>
      <c r="BT766" s="12"/>
      <c r="BV766" s="14"/>
      <c r="BW766" s="50"/>
      <c r="BX766" s="54"/>
      <c r="BY766" s="14"/>
      <c r="BZ766" s="14"/>
      <c r="CA766" s="14"/>
      <c r="CB766" s="14"/>
      <c r="CC766" s="14"/>
      <c r="CD766" s="14"/>
      <c r="CE766" s="14"/>
      <c r="CF766" s="15"/>
      <c r="CG766" s="14"/>
      <c r="CH766" s="14"/>
      <c r="CI766" s="50"/>
      <c r="CJ766" s="54"/>
      <c r="CK766" s="14"/>
      <c r="CL766" s="14"/>
      <c r="CM766" s="14"/>
      <c r="CN766" s="14"/>
      <c r="CO766" s="14"/>
      <c r="CP766" s="14"/>
      <c r="CQ766" s="14"/>
      <c r="CR766" s="14"/>
      <c r="CS766" s="14"/>
      <c r="CT766" s="14"/>
      <c r="CU766" s="16"/>
      <c r="CV766" s="14"/>
      <c r="CW766" s="50"/>
      <c r="CX766" s="17"/>
    </row>
    <row r="767" spans="4:102" x14ac:dyDescent="0.25"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43"/>
      <c r="Q767" s="11"/>
      <c r="R767" s="11"/>
      <c r="S767" s="11"/>
      <c r="T767" s="11"/>
      <c r="U767" s="11"/>
      <c r="V767" s="11"/>
      <c r="W767" s="11"/>
      <c r="X767" s="12"/>
      <c r="Y767" s="12"/>
      <c r="Z767" s="12"/>
      <c r="AA767" s="44"/>
      <c r="AB767" s="45"/>
      <c r="AC767" s="12"/>
      <c r="AD767" s="12"/>
      <c r="AE767" s="12"/>
      <c r="AF767" s="12"/>
      <c r="AG767" s="44"/>
      <c r="AH767" s="45"/>
      <c r="AI767" s="12"/>
      <c r="AJ767" s="12"/>
      <c r="AK767" s="12"/>
      <c r="AL767" s="12"/>
      <c r="AM767" s="44"/>
      <c r="AN767" s="45"/>
      <c r="AO767" s="12"/>
      <c r="AP767" s="12"/>
      <c r="AQ767" s="12"/>
      <c r="AR767" s="12"/>
      <c r="AS767" s="44"/>
      <c r="AT767" s="45"/>
      <c r="AU767" s="12"/>
      <c r="AV767" s="12"/>
      <c r="AW767" s="12"/>
      <c r="AX767" s="12"/>
      <c r="AY767" s="44"/>
      <c r="AZ767" s="45"/>
      <c r="BA767" s="12"/>
      <c r="BB767" s="12"/>
      <c r="BC767" s="12"/>
      <c r="BD767" s="12"/>
      <c r="BE767" s="44"/>
      <c r="BF767" s="45"/>
      <c r="BG767" s="12"/>
      <c r="BH767" s="12"/>
      <c r="BI767" s="12"/>
      <c r="BJ767" s="12"/>
      <c r="BK767" s="44"/>
      <c r="BL767" s="45"/>
      <c r="BM767" s="12"/>
      <c r="BN767" s="12"/>
      <c r="BO767" s="12"/>
      <c r="BP767" s="12"/>
      <c r="BQ767" s="48"/>
      <c r="BR767" s="49"/>
      <c r="BS767" s="13"/>
      <c r="BT767" s="12"/>
      <c r="BV767" s="14"/>
      <c r="BW767" s="50"/>
      <c r="BX767" s="54"/>
      <c r="BY767" s="14"/>
      <c r="BZ767" s="14"/>
      <c r="CA767" s="14"/>
      <c r="CB767" s="14"/>
      <c r="CC767" s="14"/>
      <c r="CD767" s="14"/>
      <c r="CE767" s="14"/>
      <c r="CF767" s="15"/>
      <c r="CG767" s="14"/>
      <c r="CH767" s="14"/>
      <c r="CI767" s="50"/>
      <c r="CJ767" s="54"/>
      <c r="CK767" s="14"/>
      <c r="CL767" s="14"/>
      <c r="CM767" s="14"/>
      <c r="CN767" s="14"/>
      <c r="CO767" s="14"/>
      <c r="CP767" s="14"/>
      <c r="CQ767" s="14"/>
      <c r="CR767" s="14"/>
      <c r="CS767" s="14"/>
      <c r="CT767" s="14"/>
      <c r="CU767" s="16"/>
      <c r="CV767" s="14"/>
      <c r="CW767" s="50"/>
      <c r="CX767" s="17"/>
    </row>
    <row r="768" spans="4:102" x14ac:dyDescent="0.25"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43"/>
      <c r="Q768" s="11"/>
      <c r="R768" s="11"/>
      <c r="S768" s="11"/>
      <c r="T768" s="11"/>
      <c r="U768" s="11"/>
      <c r="V768" s="11"/>
      <c r="W768" s="11"/>
      <c r="X768" s="12"/>
      <c r="Y768" s="12"/>
      <c r="Z768" s="12"/>
      <c r="AA768" s="44"/>
      <c r="AB768" s="45"/>
      <c r="AC768" s="12"/>
      <c r="AD768" s="12"/>
      <c r="AE768" s="12"/>
      <c r="AF768" s="12"/>
      <c r="AG768" s="44"/>
      <c r="AH768" s="45"/>
      <c r="AI768" s="12"/>
      <c r="AJ768" s="12"/>
      <c r="AK768" s="12"/>
      <c r="AL768" s="12"/>
      <c r="AM768" s="44"/>
      <c r="AN768" s="45"/>
      <c r="AO768" s="12"/>
      <c r="AP768" s="12"/>
      <c r="AQ768" s="12"/>
      <c r="AR768" s="12"/>
      <c r="AS768" s="44"/>
      <c r="AT768" s="45"/>
      <c r="AU768" s="12"/>
      <c r="AV768" s="12"/>
      <c r="AW768" s="12"/>
      <c r="AX768" s="12"/>
      <c r="AY768" s="44"/>
      <c r="AZ768" s="45"/>
      <c r="BA768" s="12"/>
      <c r="BB768" s="12"/>
      <c r="BC768" s="12"/>
      <c r="BD768" s="12"/>
      <c r="BE768" s="44"/>
      <c r="BF768" s="45"/>
      <c r="BG768" s="12"/>
      <c r="BH768" s="12"/>
      <c r="BI768" s="12"/>
      <c r="BJ768" s="12"/>
      <c r="BK768" s="44"/>
      <c r="BL768" s="45"/>
      <c r="BM768" s="12"/>
      <c r="BN768" s="12"/>
      <c r="BO768" s="12"/>
      <c r="BP768" s="12"/>
      <c r="BQ768" s="48"/>
      <c r="BR768" s="49"/>
      <c r="BS768" s="13"/>
      <c r="BT768" s="12"/>
      <c r="BV768" s="14"/>
      <c r="BW768" s="50"/>
      <c r="BX768" s="54"/>
      <c r="BY768" s="14"/>
      <c r="BZ768" s="14"/>
      <c r="CA768" s="14"/>
      <c r="CB768" s="14"/>
      <c r="CC768" s="14"/>
      <c r="CD768" s="14"/>
      <c r="CE768" s="14"/>
      <c r="CF768" s="15"/>
      <c r="CG768" s="14"/>
      <c r="CH768" s="14"/>
      <c r="CI768" s="50"/>
      <c r="CJ768" s="54"/>
      <c r="CK768" s="14"/>
      <c r="CL768" s="14"/>
      <c r="CM768" s="14"/>
      <c r="CN768" s="14"/>
      <c r="CO768" s="14"/>
      <c r="CP768" s="14"/>
      <c r="CQ768" s="14"/>
      <c r="CR768" s="14"/>
      <c r="CS768" s="14"/>
      <c r="CT768" s="14"/>
      <c r="CU768" s="16"/>
      <c r="CV768" s="14"/>
      <c r="CW768" s="50"/>
      <c r="CX768" s="17"/>
    </row>
    <row r="769" spans="4:102" x14ac:dyDescent="0.25"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43"/>
      <c r="Q769" s="11"/>
      <c r="R769" s="11"/>
      <c r="S769" s="11"/>
      <c r="T769" s="11"/>
      <c r="U769" s="11"/>
      <c r="V769" s="11"/>
      <c r="W769" s="11"/>
      <c r="X769" s="12"/>
      <c r="Y769" s="12"/>
      <c r="Z769" s="12"/>
      <c r="AA769" s="44"/>
      <c r="AB769" s="45"/>
      <c r="AC769" s="12"/>
      <c r="AD769" s="12"/>
      <c r="AE769" s="12"/>
      <c r="AF769" s="12"/>
      <c r="AG769" s="44"/>
      <c r="AH769" s="45"/>
      <c r="AI769" s="12"/>
      <c r="AJ769" s="12"/>
      <c r="AK769" s="12"/>
      <c r="AL769" s="12"/>
      <c r="AM769" s="44"/>
      <c r="AN769" s="45"/>
      <c r="AO769" s="12"/>
      <c r="AP769" s="12"/>
      <c r="AQ769" s="12"/>
      <c r="AR769" s="12"/>
      <c r="AS769" s="44"/>
      <c r="AT769" s="45"/>
      <c r="AU769" s="12"/>
      <c r="AV769" s="12"/>
      <c r="AW769" s="12"/>
      <c r="AX769" s="12"/>
      <c r="AY769" s="44"/>
      <c r="AZ769" s="45"/>
      <c r="BA769" s="12"/>
      <c r="BB769" s="12"/>
      <c r="BC769" s="12"/>
      <c r="BD769" s="12"/>
      <c r="BE769" s="44"/>
      <c r="BF769" s="45"/>
      <c r="BG769" s="12"/>
      <c r="BH769" s="12"/>
      <c r="BI769" s="12"/>
      <c r="BJ769" s="12"/>
      <c r="BK769" s="44"/>
      <c r="BL769" s="45"/>
      <c r="BM769" s="12"/>
      <c r="BN769" s="12"/>
      <c r="BO769" s="12"/>
      <c r="BP769" s="12"/>
      <c r="BQ769" s="48"/>
      <c r="BR769" s="49"/>
      <c r="BS769" s="13"/>
      <c r="BT769" s="12"/>
      <c r="BV769" s="14"/>
      <c r="BW769" s="50"/>
      <c r="BX769" s="54"/>
      <c r="BY769" s="14"/>
      <c r="BZ769" s="14"/>
      <c r="CA769" s="14"/>
      <c r="CB769" s="14"/>
      <c r="CC769" s="14"/>
      <c r="CD769" s="14"/>
      <c r="CE769" s="14"/>
      <c r="CF769" s="15"/>
      <c r="CG769" s="14"/>
      <c r="CH769" s="14"/>
      <c r="CI769" s="50"/>
      <c r="CJ769" s="54"/>
      <c r="CK769" s="14"/>
      <c r="CL769" s="14"/>
      <c r="CM769" s="14"/>
      <c r="CN769" s="14"/>
      <c r="CO769" s="14"/>
      <c r="CP769" s="14"/>
      <c r="CQ769" s="14"/>
      <c r="CR769" s="14"/>
      <c r="CS769" s="14"/>
      <c r="CT769" s="14"/>
      <c r="CU769" s="16"/>
      <c r="CV769" s="14"/>
      <c r="CW769" s="50"/>
      <c r="CX769" s="17"/>
    </row>
    <row r="770" spans="4:102" x14ac:dyDescent="0.25"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43"/>
      <c r="Q770" s="11"/>
      <c r="R770" s="11"/>
      <c r="S770" s="11"/>
      <c r="T770" s="11"/>
      <c r="U770" s="11"/>
      <c r="V770" s="11"/>
      <c r="W770" s="11"/>
      <c r="X770" s="12"/>
      <c r="Y770" s="12"/>
      <c r="Z770" s="12"/>
      <c r="AA770" s="44"/>
      <c r="AB770" s="45"/>
      <c r="AC770" s="12"/>
      <c r="AD770" s="12"/>
      <c r="AE770" s="12"/>
      <c r="AF770" s="12"/>
      <c r="AG770" s="44"/>
      <c r="AH770" s="45"/>
      <c r="AI770" s="12"/>
      <c r="AJ770" s="12"/>
      <c r="AK770" s="12"/>
      <c r="AL770" s="12"/>
      <c r="AM770" s="44"/>
      <c r="AN770" s="45"/>
      <c r="AO770" s="12"/>
      <c r="AP770" s="12"/>
      <c r="AQ770" s="12"/>
      <c r="AR770" s="12"/>
      <c r="AS770" s="44"/>
      <c r="AT770" s="45"/>
      <c r="AU770" s="12"/>
      <c r="AV770" s="12"/>
      <c r="AW770" s="12"/>
      <c r="AX770" s="12"/>
      <c r="AY770" s="44"/>
      <c r="AZ770" s="45"/>
      <c r="BA770" s="12"/>
      <c r="BB770" s="12"/>
      <c r="BC770" s="12"/>
      <c r="BD770" s="12"/>
      <c r="BE770" s="44"/>
      <c r="BF770" s="45"/>
      <c r="BG770" s="12"/>
      <c r="BH770" s="12"/>
      <c r="BI770" s="12"/>
      <c r="BJ770" s="12"/>
      <c r="BK770" s="44"/>
      <c r="BL770" s="45"/>
      <c r="BM770" s="12"/>
      <c r="BN770" s="12"/>
      <c r="BO770" s="12"/>
      <c r="BP770" s="12"/>
      <c r="BQ770" s="48"/>
      <c r="BR770" s="49"/>
      <c r="BS770" s="13"/>
      <c r="BT770" s="12"/>
      <c r="BV770" s="14"/>
      <c r="BW770" s="50"/>
      <c r="BX770" s="54"/>
      <c r="BY770" s="14"/>
      <c r="BZ770" s="14"/>
      <c r="CA770" s="14"/>
      <c r="CB770" s="14"/>
      <c r="CC770" s="14"/>
      <c r="CD770" s="14"/>
      <c r="CE770" s="14"/>
      <c r="CF770" s="15"/>
      <c r="CG770" s="14"/>
      <c r="CH770" s="14"/>
      <c r="CI770" s="50"/>
      <c r="CJ770" s="54"/>
      <c r="CK770" s="14"/>
      <c r="CL770" s="14"/>
      <c r="CM770" s="14"/>
      <c r="CN770" s="14"/>
      <c r="CO770" s="14"/>
      <c r="CP770" s="14"/>
      <c r="CQ770" s="14"/>
      <c r="CR770" s="14"/>
      <c r="CS770" s="14"/>
      <c r="CT770" s="14"/>
      <c r="CU770" s="16"/>
      <c r="CV770" s="14"/>
      <c r="CW770" s="50"/>
      <c r="CX770" s="17"/>
    </row>
    <row r="771" spans="4:102" x14ac:dyDescent="0.25"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43"/>
      <c r="Q771" s="11"/>
      <c r="R771" s="11"/>
      <c r="S771" s="11"/>
      <c r="T771" s="11"/>
      <c r="U771" s="11"/>
      <c r="V771" s="11"/>
      <c r="W771" s="11"/>
      <c r="X771" s="12"/>
      <c r="Y771" s="12"/>
      <c r="Z771" s="12"/>
      <c r="AA771" s="44"/>
      <c r="AB771" s="45"/>
      <c r="AC771" s="12"/>
      <c r="AD771" s="12"/>
      <c r="AE771" s="12"/>
      <c r="AF771" s="12"/>
      <c r="AG771" s="44"/>
      <c r="AH771" s="45"/>
      <c r="AI771" s="12"/>
      <c r="AJ771" s="12"/>
      <c r="AK771" s="12"/>
      <c r="AL771" s="12"/>
      <c r="AM771" s="44"/>
      <c r="AN771" s="45"/>
      <c r="AO771" s="12"/>
      <c r="AP771" s="12"/>
      <c r="AQ771" s="12"/>
      <c r="AR771" s="12"/>
      <c r="AS771" s="44"/>
      <c r="AT771" s="45"/>
      <c r="AU771" s="12"/>
      <c r="AV771" s="12"/>
      <c r="AW771" s="12"/>
      <c r="AX771" s="12"/>
      <c r="AY771" s="44"/>
      <c r="AZ771" s="45"/>
      <c r="BA771" s="12"/>
      <c r="BB771" s="12"/>
      <c r="BC771" s="12"/>
      <c r="BD771" s="12"/>
      <c r="BE771" s="44"/>
      <c r="BF771" s="45"/>
      <c r="BG771" s="12"/>
      <c r="BH771" s="12"/>
      <c r="BI771" s="12"/>
      <c r="BJ771" s="12"/>
      <c r="BK771" s="44"/>
      <c r="BL771" s="45"/>
      <c r="BM771" s="12"/>
      <c r="BN771" s="12"/>
      <c r="BO771" s="12"/>
      <c r="BP771" s="12"/>
      <c r="BQ771" s="48"/>
      <c r="BR771" s="49"/>
      <c r="BS771" s="13"/>
      <c r="BT771" s="12"/>
      <c r="BV771" s="14"/>
      <c r="BW771" s="50"/>
      <c r="BX771" s="54"/>
      <c r="BY771" s="14"/>
      <c r="BZ771" s="14"/>
      <c r="CA771" s="14"/>
      <c r="CB771" s="14"/>
      <c r="CC771" s="14"/>
      <c r="CD771" s="14"/>
      <c r="CE771" s="14"/>
      <c r="CF771" s="15"/>
      <c r="CG771" s="14"/>
      <c r="CH771" s="14"/>
      <c r="CI771" s="50"/>
      <c r="CJ771" s="54"/>
      <c r="CK771" s="14"/>
      <c r="CL771" s="14"/>
      <c r="CM771" s="14"/>
      <c r="CN771" s="14"/>
      <c r="CO771" s="14"/>
      <c r="CP771" s="14"/>
      <c r="CQ771" s="14"/>
      <c r="CR771" s="14"/>
      <c r="CS771" s="14"/>
      <c r="CT771" s="14"/>
      <c r="CU771" s="16"/>
      <c r="CV771" s="14"/>
      <c r="CW771" s="50"/>
      <c r="CX771" s="17"/>
    </row>
    <row r="772" spans="4:102" x14ac:dyDescent="0.25"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43"/>
      <c r="Q772" s="11"/>
      <c r="R772" s="11"/>
      <c r="S772" s="11"/>
      <c r="T772" s="11"/>
      <c r="U772" s="11"/>
      <c r="V772" s="11"/>
      <c r="W772" s="11"/>
      <c r="X772" s="12"/>
      <c r="Y772" s="12"/>
      <c r="Z772" s="12"/>
      <c r="AA772" s="44"/>
      <c r="AB772" s="45"/>
      <c r="AC772" s="12"/>
      <c r="AD772" s="12"/>
      <c r="AE772" s="12"/>
      <c r="AF772" s="12"/>
      <c r="AG772" s="44"/>
      <c r="AH772" s="45"/>
      <c r="AI772" s="12"/>
      <c r="AJ772" s="12"/>
      <c r="AK772" s="12"/>
      <c r="AL772" s="12"/>
      <c r="AM772" s="44"/>
      <c r="AN772" s="45"/>
      <c r="AO772" s="12"/>
      <c r="AP772" s="12"/>
      <c r="AQ772" s="12"/>
      <c r="AR772" s="12"/>
      <c r="AS772" s="44"/>
      <c r="AT772" s="45"/>
      <c r="AU772" s="12"/>
      <c r="AV772" s="12"/>
      <c r="AW772" s="12"/>
      <c r="AX772" s="12"/>
      <c r="AY772" s="44"/>
      <c r="AZ772" s="45"/>
      <c r="BA772" s="12"/>
      <c r="BB772" s="12"/>
      <c r="BC772" s="12"/>
      <c r="BD772" s="12"/>
      <c r="BE772" s="44"/>
      <c r="BF772" s="45"/>
      <c r="BG772" s="12"/>
      <c r="BH772" s="12"/>
      <c r="BI772" s="12"/>
      <c r="BJ772" s="12"/>
      <c r="BK772" s="44"/>
      <c r="BL772" s="45"/>
      <c r="BM772" s="12"/>
      <c r="BN772" s="12"/>
      <c r="BO772" s="12"/>
      <c r="BP772" s="12"/>
      <c r="BQ772" s="48"/>
      <c r="BR772" s="49"/>
      <c r="BS772" s="13"/>
      <c r="BT772" s="12"/>
      <c r="BV772" s="14"/>
      <c r="BW772" s="50"/>
      <c r="BX772" s="54"/>
      <c r="BY772" s="14"/>
      <c r="BZ772" s="14"/>
      <c r="CA772" s="14"/>
      <c r="CB772" s="14"/>
      <c r="CC772" s="14"/>
      <c r="CD772" s="14"/>
      <c r="CE772" s="14"/>
      <c r="CF772" s="15"/>
      <c r="CG772" s="14"/>
      <c r="CH772" s="14"/>
      <c r="CI772" s="50"/>
      <c r="CJ772" s="54"/>
      <c r="CK772" s="14"/>
      <c r="CL772" s="14"/>
      <c r="CM772" s="14"/>
      <c r="CN772" s="14"/>
      <c r="CO772" s="14"/>
      <c r="CP772" s="14"/>
      <c r="CQ772" s="14"/>
      <c r="CR772" s="14"/>
      <c r="CS772" s="14"/>
      <c r="CT772" s="14"/>
      <c r="CU772" s="16"/>
      <c r="CV772" s="14"/>
      <c r="CW772" s="50"/>
      <c r="CX772" s="17"/>
    </row>
    <row r="773" spans="4:102" x14ac:dyDescent="0.25"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43"/>
      <c r="Q773" s="11"/>
      <c r="R773" s="11"/>
      <c r="S773" s="11"/>
      <c r="T773" s="11"/>
      <c r="U773" s="11"/>
      <c r="V773" s="11"/>
      <c r="W773" s="11"/>
      <c r="X773" s="12"/>
      <c r="Y773" s="12"/>
      <c r="Z773" s="12"/>
      <c r="AA773" s="44"/>
      <c r="AB773" s="45"/>
      <c r="AC773" s="12"/>
      <c r="AD773" s="12"/>
      <c r="AE773" s="12"/>
      <c r="AF773" s="12"/>
      <c r="AG773" s="44"/>
      <c r="AH773" s="45"/>
      <c r="AI773" s="12"/>
      <c r="AJ773" s="12"/>
      <c r="AK773" s="12"/>
      <c r="AL773" s="12"/>
      <c r="AM773" s="44"/>
      <c r="AN773" s="45"/>
      <c r="AO773" s="12"/>
      <c r="AP773" s="12"/>
      <c r="AQ773" s="12"/>
      <c r="AR773" s="12"/>
      <c r="AS773" s="44"/>
      <c r="AT773" s="45"/>
      <c r="AU773" s="12"/>
      <c r="AV773" s="12"/>
      <c r="AW773" s="12"/>
      <c r="AX773" s="12"/>
      <c r="AY773" s="44"/>
      <c r="AZ773" s="45"/>
      <c r="BA773" s="12"/>
      <c r="BB773" s="12"/>
      <c r="BC773" s="12"/>
      <c r="BD773" s="12"/>
      <c r="BE773" s="44"/>
      <c r="BF773" s="45"/>
      <c r="BG773" s="12"/>
      <c r="BH773" s="12"/>
      <c r="BI773" s="12"/>
      <c r="BJ773" s="12"/>
      <c r="BK773" s="44"/>
      <c r="BL773" s="45"/>
      <c r="BM773" s="12"/>
      <c r="BN773" s="12"/>
      <c r="BO773" s="12"/>
      <c r="BP773" s="12"/>
      <c r="BQ773" s="48"/>
      <c r="BR773" s="49"/>
      <c r="BS773" s="13"/>
      <c r="BT773" s="12"/>
      <c r="BV773" s="14"/>
      <c r="BW773" s="50"/>
      <c r="BX773" s="54"/>
      <c r="BY773" s="14"/>
      <c r="BZ773" s="14"/>
      <c r="CA773" s="14"/>
      <c r="CB773" s="14"/>
      <c r="CC773" s="14"/>
      <c r="CD773" s="14"/>
      <c r="CE773" s="14"/>
      <c r="CF773" s="15"/>
      <c r="CG773" s="14"/>
      <c r="CH773" s="14"/>
      <c r="CI773" s="50"/>
      <c r="CJ773" s="54"/>
      <c r="CK773" s="14"/>
      <c r="CL773" s="14"/>
      <c r="CM773" s="14"/>
      <c r="CN773" s="14"/>
      <c r="CO773" s="14"/>
      <c r="CP773" s="14"/>
      <c r="CQ773" s="14"/>
      <c r="CR773" s="14"/>
      <c r="CS773" s="14"/>
      <c r="CT773" s="14"/>
      <c r="CU773" s="16"/>
      <c r="CV773" s="14"/>
      <c r="CW773" s="50"/>
      <c r="CX773" s="17"/>
    </row>
    <row r="774" spans="4:102" x14ac:dyDescent="0.25"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43"/>
      <c r="Q774" s="11"/>
      <c r="R774" s="11"/>
      <c r="S774" s="11"/>
      <c r="T774" s="11"/>
      <c r="U774" s="11"/>
      <c r="V774" s="11"/>
      <c r="W774" s="11"/>
      <c r="X774" s="12"/>
      <c r="Y774" s="12"/>
      <c r="Z774" s="12"/>
      <c r="AA774" s="44"/>
      <c r="AB774" s="45"/>
      <c r="AC774" s="12"/>
      <c r="AD774" s="12"/>
      <c r="AE774" s="12"/>
      <c r="AF774" s="12"/>
      <c r="AG774" s="44"/>
      <c r="AH774" s="45"/>
      <c r="AI774" s="12"/>
      <c r="AJ774" s="12"/>
      <c r="AK774" s="12"/>
      <c r="AL774" s="12"/>
      <c r="AM774" s="44"/>
      <c r="AN774" s="45"/>
      <c r="AO774" s="12"/>
      <c r="AP774" s="12"/>
      <c r="AQ774" s="12"/>
      <c r="AR774" s="12"/>
      <c r="AS774" s="44"/>
      <c r="AT774" s="45"/>
      <c r="AU774" s="12"/>
      <c r="AV774" s="12"/>
      <c r="AW774" s="12"/>
      <c r="AX774" s="12"/>
      <c r="AY774" s="44"/>
      <c r="AZ774" s="45"/>
      <c r="BA774" s="12"/>
      <c r="BB774" s="12"/>
      <c r="BC774" s="12"/>
      <c r="BD774" s="12"/>
      <c r="BE774" s="44"/>
      <c r="BF774" s="45"/>
      <c r="BG774" s="12"/>
      <c r="BH774" s="12"/>
      <c r="BI774" s="12"/>
      <c r="BJ774" s="12"/>
      <c r="BK774" s="44"/>
      <c r="BL774" s="45"/>
      <c r="BM774" s="12"/>
      <c r="BN774" s="12"/>
      <c r="BO774" s="12"/>
      <c r="BP774" s="12"/>
      <c r="BQ774" s="48"/>
      <c r="BR774" s="49"/>
      <c r="BS774" s="13"/>
      <c r="BT774" s="12"/>
      <c r="BV774" s="14"/>
      <c r="BW774" s="50"/>
      <c r="BX774" s="54"/>
      <c r="BY774" s="14"/>
      <c r="BZ774" s="14"/>
      <c r="CA774" s="14"/>
      <c r="CB774" s="14"/>
      <c r="CC774" s="14"/>
      <c r="CD774" s="14"/>
      <c r="CE774" s="14"/>
      <c r="CF774" s="15"/>
      <c r="CG774" s="14"/>
      <c r="CH774" s="14"/>
      <c r="CI774" s="50"/>
      <c r="CJ774" s="54"/>
      <c r="CK774" s="14"/>
      <c r="CL774" s="14"/>
      <c r="CM774" s="14"/>
      <c r="CN774" s="14"/>
      <c r="CO774" s="14"/>
      <c r="CP774" s="14"/>
      <c r="CQ774" s="14"/>
      <c r="CR774" s="14"/>
      <c r="CS774" s="14"/>
      <c r="CT774" s="14"/>
      <c r="CU774" s="16"/>
      <c r="CV774" s="14"/>
      <c r="CW774" s="50"/>
      <c r="CX774" s="17"/>
    </row>
    <row r="775" spans="4:102" x14ac:dyDescent="0.25"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43"/>
      <c r="Q775" s="11"/>
      <c r="R775" s="11"/>
      <c r="S775" s="11"/>
      <c r="T775" s="11"/>
      <c r="U775" s="11"/>
      <c r="V775" s="11"/>
      <c r="W775" s="11"/>
      <c r="X775" s="12"/>
      <c r="Y775" s="12"/>
      <c r="Z775" s="12"/>
      <c r="AA775" s="44"/>
      <c r="AB775" s="45"/>
      <c r="AC775" s="12"/>
      <c r="AD775" s="12"/>
      <c r="AE775" s="12"/>
      <c r="AF775" s="12"/>
      <c r="AG775" s="44"/>
      <c r="AH775" s="45"/>
      <c r="AI775" s="12"/>
      <c r="AJ775" s="12"/>
      <c r="AK775" s="12"/>
      <c r="AL775" s="12"/>
      <c r="AM775" s="44"/>
      <c r="AN775" s="45"/>
      <c r="AO775" s="12"/>
      <c r="AP775" s="12"/>
      <c r="AQ775" s="12"/>
      <c r="AR775" s="12"/>
      <c r="AS775" s="44"/>
      <c r="AT775" s="45"/>
      <c r="AU775" s="12"/>
      <c r="AV775" s="12"/>
      <c r="AW775" s="12"/>
      <c r="AX775" s="12"/>
      <c r="AY775" s="44"/>
      <c r="AZ775" s="45"/>
      <c r="BA775" s="12"/>
      <c r="BB775" s="12"/>
      <c r="BC775" s="12"/>
      <c r="BD775" s="12"/>
      <c r="BE775" s="44"/>
      <c r="BF775" s="45"/>
      <c r="BG775" s="12"/>
      <c r="BH775" s="12"/>
      <c r="BI775" s="12"/>
      <c r="BJ775" s="12"/>
      <c r="BK775" s="44"/>
      <c r="BL775" s="45"/>
      <c r="BM775" s="12"/>
      <c r="BN775" s="12"/>
      <c r="BO775" s="12"/>
      <c r="BP775" s="12"/>
      <c r="BQ775" s="48"/>
      <c r="BR775" s="49"/>
      <c r="BS775" s="13"/>
      <c r="BT775" s="12"/>
      <c r="BV775" s="14"/>
      <c r="BW775" s="50"/>
      <c r="BX775" s="54"/>
      <c r="BY775" s="14"/>
      <c r="BZ775" s="14"/>
      <c r="CA775" s="14"/>
      <c r="CB775" s="14"/>
      <c r="CC775" s="14"/>
      <c r="CD775" s="14"/>
      <c r="CE775" s="14"/>
      <c r="CF775" s="15"/>
      <c r="CG775" s="14"/>
      <c r="CH775" s="14"/>
      <c r="CI775" s="50"/>
      <c r="CJ775" s="54"/>
      <c r="CK775" s="14"/>
      <c r="CL775" s="14"/>
      <c r="CM775" s="14"/>
      <c r="CN775" s="14"/>
      <c r="CO775" s="14"/>
      <c r="CP775" s="14"/>
      <c r="CQ775" s="14"/>
      <c r="CR775" s="14"/>
      <c r="CS775" s="14"/>
      <c r="CT775" s="14"/>
      <c r="CU775" s="16"/>
      <c r="CV775" s="14"/>
      <c r="CW775" s="50"/>
      <c r="CX775" s="17"/>
    </row>
    <row r="776" spans="4:102" x14ac:dyDescent="0.25"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43"/>
      <c r="Q776" s="11"/>
      <c r="R776" s="11"/>
      <c r="S776" s="11"/>
      <c r="T776" s="11"/>
      <c r="U776" s="11"/>
      <c r="V776" s="11"/>
      <c r="W776" s="11"/>
      <c r="X776" s="12"/>
      <c r="Y776" s="12"/>
      <c r="Z776" s="12"/>
      <c r="AA776" s="44"/>
      <c r="AB776" s="45"/>
      <c r="AC776" s="12"/>
      <c r="AD776" s="12"/>
      <c r="AE776" s="12"/>
      <c r="AF776" s="12"/>
      <c r="AG776" s="44"/>
      <c r="AH776" s="45"/>
      <c r="AI776" s="12"/>
      <c r="AJ776" s="12"/>
      <c r="AK776" s="12"/>
      <c r="AL776" s="12"/>
      <c r="AM776" s="44"/>
      <c r="AN776" s="45"/>
      <c r="AO776" s="12"/>
      <c r="AP776" s="12"/>
      <c r="AQ776" s="12"/>
      <c r="AR776" s="12"/>
      <c r="AS776" s="44"/>
      <c r="AT776" s="45"/>
      <c r="AU776" s="12"/>
      <c r="AV776" s="12"/>
      <c r="AW776" s="12"/>
      <c r="AX776" s="12"/>
      <c r="AY776" s="44"/>
      <c r="AZ776" s="45"/>
      <c r="BA776" s="12"/>
      <c r="BB776" s="12"/>
      <c r="BC776" s="12"/>
      <c r="BD776" s="12"/>
      <c r="BE776" s="44"/>
      <c r="BF776" s="45"/>
      <c r="BG776" s="12"/>
      <c r="BH776" s="12"/>
      <c r="BI776" s="12"/>
      <c r="BJ776" s="12"/>
      <c r="BK776" s="44"/>
      <c r="BL776" s="45"/>
      <c r="BM776" s="12"/>
      <c r="BN776" s="12"/>
      <c r="BO776" s="12"/>
      <c r="BP776" s="12"/>
      <c r="BQ776" s="48"/>
      <c r="BR776" s="49"/>
      <c r="BS776" s="13"/>
      <c r="BT776" s="12"/>
      <c r="BV776" s="14"/>
      <c r="BW776" s="50"/>
      <c r="BX776" s="54"/>
      <c r="BY776" s="14"/>
      <c r="BZ776" s="14"/>
      <c r="CA776" s="14"/>
      <c r="CB776" s="14"/>
      <c r="CC776" s="14"/>
      <c r="CD776" s="14"/>
      <c r="CE776" s="14"/>
      <c r="CF776" s="15"/>
      <c r="CG776" s="14"/>
      <c r="CH776" s="14"/>
      <c r="CI776" s="50"/>
      <c r="CJ776" s="54"/>
      <c r="CK776" s="14"/>
      <c r="CL776" s="14"/>
      <c r="CM776" s="14"/>
      <c r="CN776" s="14"/>
      <c r="CO776" s="14"/>
      <c r="CP776" s="14"/>
      <c r="CQ776" s="14"/>
      <c r="CR776" s="14"/>
      <c r="CS776" s="14"/>
      <c r="CT776" s="14"/>
      <c r="CU776" s="16"/>
      <c r="CV776" s="14"/>
      <c r="CW776" s="50"/>
      <c r="CX776" s="17"/>
    </row>
    <row r="777" spans="4:102" x14ac:dyDescent="0.25"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43"/>
      <c r="Q777" s="11"/>
      <c r="R777" s="11"/>
      <c r="S777" s="11"/>
      <c r="T777" s="11"/>
      <c r="U777" s="11"/>
      <c r="V777" s="11"/>
      <c r="W777" s="11"/>
      <c r="X777" s="12"/>
      <c r="Y777" s="12"/>
      <c r="Z777" s="12"/>
      <c r="AA777" s="44"/>
      <c r="AB777" s="45"/>
      <c r="AC777" s="12"/>
      <c r="AD777" s="12"/>
      <c r="AE777" s="12"/>
      <c r="AF777" s="12"/>
      <c r="AG777" s="44"/>
      <c r="AH777" s="45"/>
      <c r="AI777" s="12"/>
      <c r="AJ777" s="12"/>
      <c r="AK777" s="12"/>
      <c r="AL777" s="12"/>
      <c r="AM777" s="44"/>
      <c r="AN777" s="45"/>
      <c r="AO777" s="12"/>
      <c r="AP777" s="12"/>
      <c r="AQ777" s="12"/>
      <c r="AR777" s="12"/>
      <c r="AS777" s="44"/>
      <c r="AT777" s="45"/>
      <c r="AU777" s="12"/>
      <c r="AV777" s="12"/>
      <c r="AW777" s="12"/>
      <c r="AX777" s="12"/>
      <c r="AY777" s="44"/>
      <c r="AZ777" s="45"/>
      <c r="BA777" s="12"/>
      <c r="BB777" s="12"/>
      <c r="BC777" s="12"/>
      <c r="BD777" s="12"/>
      <c r="BE777" s="44"/>
      <c r="BF777" s="45"/>
      <c r="BG777" s="12"/>
      <c r="BH777" s="12"/>
      <c r="BI777" s="12"/>
      <c r="BJ777" s="12"/>
      <c r="BK777" s="44"/>
      <c r="BL777" s="45"/>
      <c r="BM777" s="12"/>
      <c r="BN777" s="12"/>
      <c r="BO777" s="12"/>
      <c r="BP777" s="12"/>
      <c r="BQ777" s="48"/>
      <c r="BR777" s="49"/>
      <c r="BS777" s="13"/>
      <c r="BT777" s="12"/>
      <c r="BV777" s="14"/>
      <c r="BW777" s="50"/>
      <c r="BX777" s="54"/>
      <c r="BY777" s="14"/>
      <c r="BZ777" s="14"/>
      <c r="CA777" s="14"/>
      <c r="CB777" s="14"/>
      <c r="CC777" s="14"/>
      <c r="CD777" s="14"/>
      <c r="CE777" s="14"/>
      <c r="CF777" s="15"/>
      <c r="CG777" s="14"/>
      <c r="CH777" s="14"/>
      <c r="CI777" s="50"/>
      <c r="CJ777" s="54"/>
      <c r="CK777" s="14"/>
      <c r="CL777" s="14"/>
      <c r="CM777" s="14"/>
      <c r="CN777" s="14"/>
      <c r="CO777" s="14"/>
      <c r="CP777" s="14"/>
      <c r="CQ777" s="14"/>
      <c r="CR777" s="14"/>
      <c r="CS777" s="14"/>
      <c r="CT777" s="14"/>
      <c r="CU777" s="16"/>
      <c r="CV777" s="14"/>
      <c r="CW777" s="50"/>
      <c r="CX777" s="17"/>
    </row>
    <row r="778" spans="4:102" x14ac:dyDescent="0.25"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43"/>
      <c r="Q778" s="11"/>
      <c r="R778" s="11"/>
      <c r="S778" s="11"/>
      <c r="T778" s="11"/>
      <c r="U778" s="11"/>
      <c r="V778" s="11"/>
      <c r="W778" s="11"/>
      <c r="X778" s="12"/>
      <c r="Y778" s="12"/>
      <c r="Z778" s="12"/>
      <c r="AA778" s="44"/>
      <c r="AB778" s="45"/>
      <c r="AC778" s="12"/>
      <c r="AD778" s="12"/>
      <c r="AE778" s="12"/>
      <c r="AF778" s="12"/>
      <c r="AG778" s="44"/>
      <c r="AH778" s="45"/>
      <c r="AI778" s="12"/>
      <c r="AJ778" s="12"/>
      <c r="AK778" s="12"/>
      <c r="AL778" s="12"/>
      <c r="AM778" s="44"/>
      <c r="AN778" s="45"/>
      <c r="AO778" s="12"/>
      <c r="AP778" s="12"/>
      <c r="AQ778" s="12"/>
      <c r="AR778" s="12"/>
      <c r="AS778" s="44"/>
      <c r="AT778" s="45"/>
      <c r="AU778" s="12"/>
      <c r="AV778" s="12"/>
      <c r="AW778" s="12"/>
      <c r="AX778" s="12"/>
      <c r="AY778" s="44"/>
      <c r="AZ778" s="45"/>
      <c r="BA778" s="12"/>
      <c r="BB778" s="12"/>
      <c r="BC778" s="12"/>
      <c r="BD778" s="12"/>
      <c r="BE778" s="44"/>
      <c r="BF778" s="45"/>
      <c r="BG778" s="12"/>
      <c r="BH778" s="12"/>
      <c r="BI778" s="12"/>
      <c r="BJ778" s="12"/>
      <c r="BK778" s="44"/>
      <c r="BL778" s="45"/>
      <c r="BM778" s="12"/>
      <c r="BN778" s="12"/>
      <c r="BO778" s="12"/>
      <c r="BP778" s="12"/>
      <c r="BQ778" s="48"/>
      <c r="BR778" s="49"/>
      <c r="BS778" s="13"/>
      <c r="BT778" s="12"/>
      <c r="BV778" s="14"/>
      <c r="BW778" s="50"/>
      <c r="BX778" s="54"/>
      <c r="BY778" s="14"/>
      <c r="BZ778" s="14"/>
      <c r="CA778" s="14"/>
      <c r="CB778" s="14"/>
      <c r="CC778" s="14"/>
      <c r="CD778" s="14"/>
      <c r="CE778" s="14"/>
      <c r="CF778" s="15"/>
      <c r="CG778" s="14"/>
      <c r="CH778" s="14"/>
      <c r="CI778" s="50"/>
      <c r="CJ778" s="54"/>
      <c r="CK778" s="14"/>
      <c r="CL778" s="14"/>
      <c r="CM778" s="14"/>
      <c r="CN778" s="14"/>
      <c r="CO778" s="14"/>
      <c r="CP778" s="14"/>
      <c r="CQ778" s="14"/>
      <c r="CR778" s="14"/>
      <c r="CS778" s="14"/>
      <c r="CT778" s="14"/>
      <c r="CU778" s="16"/>
      <c r="CV778" s="14"/>
      <c r="CW778" s="50"/>
      <c r="CX778" s="17"/>
    </row>
    <row r="779" spans="4:102" x14ac:dyDescent="0.25"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43"/>
      <c r="Q779" s="11"/>
      <c r="R779" s="11"/>
      <c r="S779" s="11"/>
      <c r="T779" s="11"/>
      <c r="U779" s="11"/>
      <c r="V779" s="11"/>
      <c r="W779" s="11"/>
      <c r="X779" s="12"/>
      <c r="Y779" s="12"/>
      <c r="Z779" s="12"/>
      <c r="AA779" s="44"/>
      <c r="AB779" s="45"/>
      <c r="AC779" s="12"/>
      <c r="AD779" s="12"/>
      <c r="AE779" s="12"/>
      <c r="AF779" s="12"/>
      <c r="AG779" s="44"/>
      <c r="AH779" s="45"/>
      <c r="AI779" s="12"/>
      <c r="AJ779" s="12"/>
      <c r="AK779" s="12"/>
      <c r="AL779" s="12"/>
      <c r="AM779" s="44"/>
      <c r="AN779" s="45"/>
      <c r="AO779" s="12"/>
      <c r="AP779" s="12"/>
      <c r="AQ779" s="12"/>
      <c r="AR779" s="12"/>
      <c r="AS779" s="44"/>
      <c r="AT779" s="45"/>
      <c r="AU779" s="12"/>
      <c r="AV779" s="12"/>
      <c r="AW779" s="12"/>
      <c r="AX779" s="12"/>
      <c r="AY779" s="44"/>
      <c r="AZ779" s="45"/>
      <c r="BA779" s="12"/>
      <c r="BB779" s="12"/>
      <c r="BC779" s="12"/>
      <c r="BD779" s="12"/>
      <c r="BE779" s="44"/>
      <c r="BF779" s="45"/>
      <c r="BG779" s="12"/>
      <c r="BH779" s="12"/>
      <c r="BI779" s="12"/>
      <c r="BJ779" s="12"/>
      <c r="BK779" s="44"/>
      <c r="BL779" s="45"/>
      <c r="BM779" s="12"/>
      <c r="BN779" s="12"/>
      <c r="BO779" s="12"/>
      <c r="BP779" s="12"/>
      <c r="BQ779" s="48"/>
      <c r="BR779" s="49"/>
      <c r="BS779" s="13"/>
      <c r="BT779" s="12"/>
      <c r="BV779" s="14"/>
      <c r="BW779" s="50"/>
      <c r="BX779" s="54"/>
      <c r="BY779" s="14"/>
      <c r="BZ779" s="14"/>
      <c r="CA779" s="14"/>
      <c r="CB779" s="14"/>
      <c r="CC779" s="14"/>
      <c r="CD779" s="14"/>
      <c r="CE779" s="14"/>
      <c r="CF779" s="15"/>
      <c r="CG779" s="14"/>
      <c r="CH779" s="14"/>
      <c r="CI779" s="50"/>
      <c r="CJ779" s="54"/>
      <c r="CK779" s="14"/>
      <c r="CL779" s="14"/>
      <c r="CM779" s="14"/>
      <c r="CN779" s="14"/>
      <c r="CO779" s="14"/>
      <c r="CP779" s="14"/>
      <c r="CQ779" s="14"/>
      <c r="CR779" s="14"/>
      <c r="CS779" s="14"/>
      <c r="CT779" s="14"/>
      <c r="CU779" s="16"/>
      <c r="CV779" s="14"/>
      <c r="CW779" s="50"/>
      <c r="CX779" s="17"/>
    </row>
    <row r="780" spans="4:102" x14ac:dyDescent="0.25"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43"/>
      <c r="Q780" s="11"/>
      <c r="R780" s="11"/>
      <c r="S780" s="11"/>
      <c r="T780" s="11"/>
      <c r="U780" s="11"/>
      <c r="V780" s="11"/>
      <c r="W780" s="11"/>
      <c r="X780" s="12"/>
      <c r="Y780" s="12"/>
      <c r="Z780" s="12"/>
      <c r="AA780" s="44"/>
      <c r="AB780" s="45"/>
      <c r="AC780" s="12"/>
      <c r="AD780" s="12"/>
      <c r="AE780" s="12"/>
      <c r="AF780" s="12"/>
      <c r="AG780" s="44"/>
      <c r="AH780" s="45"/>
      <c r="AI780" s="12"/>
      <c r="AJ780" s="12"/>
      <c r="AK780" s="12"/>
      <c r="AL780" s="12"/>
      <c r="AM780" s="44"/>
      <c r="AN780" s="45"/>
      <c r="AO780" s="12"/>
      <c r="AP780" s="12"/>
      <c r="AQ780" s="12"/>
      <c r="AR780" s="12"/>
      <c r="AS780" s="44"/>
      <c r="AT780" s="45"/>
      <c r="AU780" s="12"/>
      <c r="AV780" s="12"/>
      <c r="AW780" s="12"/>
      <c r="AX780" s="12"/>
      <c r="AY780" s="44"/>
      <c r="AZ780" s="45"/>
      <c r="BA780" s="12"/>
      <c r="BB780" s="12"/>
      <c r="BC780" s="12"/>
      <c r="BD780" s="12"/>
      <c r="BE780" s="44"/>
      <c r="BF780" s="45"/>
      <c r="BG780" s="12"/>
      <c r="BH780" s="12"/>
      <c r="BI780" s="12"/>
      <c r="BJ780" s="12"/>
      <c r="BK780" s="44"/>
      <c r="BL780" s="45"/>
      <c r="BM780" s="12"/>
      <c r="BN780" s="12"/>
      <c r="BO780" s="12"/>
      <c r="BP780" s="12"/>
      <c r="BQ780" s="48"/>
      <c r="BR780" s="49"/>
      <c r="BS780" s="13"/>
      <c r="BT780" s="12"/>
      <c r="BV780" s="14"/>
      <c r="BW780" s="50"/>
      <c r="BX780" s="54"/>
      <c r="BY780" s="14"/>
      <c r="BZ780" s="14"/>
      <c r="CA780" s="14"/>
      <c r="CB780" s="14"/>
      <c r="CC780" s="14"/>
      <c r="CD780" s="14"/>
      <c r="CE780" s="14"/>
      <c r="CF780" s="15"/>
      <c r="CG780" s="14"/>
      <c r="CH780" s="14"/>
      <c r="CI780" s="50"/>
      <c r="CJ780" s="54"/>
      <c r="CK780" s="14"/>
      <c r="CL780" s="14"/>
      <c r="CM780" s="14"/>
      <c r="CN780" s="14"/>
      <c r="CO780" s="14"/>
      <c r="CP780" s="14"/>
      <c r="CQ780" s="14"/>
      <c r="CR780" s="14"/>
      <c r="CS780" s="14"/>
      <c r="CT780" s="14"/>
      <c r="CU780" s="16"/>
      <c r="CV780" s="14"/>
      <c r="CW780" s="50"/>
      <c r="CX780" s="17"/>
    </row>
    <row r="781" spans="4:102" x14ac:dyDescent="0.25"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43"/>
      <c r="Q781" s="11"/>
      <c r="R781" s="11"/>
      <c r="S781" s="11"/>
      <c r="T781" s="11"/>
      <c r="U781" s="11"/>
      <c r="V781" s="11"/>
      <c r="W781" s="11"/>
      <c r="X781" s="12"/>
      <c r="Y781" s="12"/>
      <c r="Z781" s="12"/>
      <c r="AA781" s="44"/>
      <c r="AB781" s="45"/>
      <c r="AC781" s="12"/>
      <c r="AD781" s="12"/>
      <c r="AE781" s="12"/>
      <c r="AF781" s="12"/>
      <c r="AG781" s="44"/>
      <c r="AH781" s="45"/>
      <c r="AI781" s="12"/>
      <c r="AJ781" s="12"/>
      <c r="AK781" s="12"/>
      <c r="AL781" s="12"/>
      <c r="AM781" s="44"/>
      <c r="AN781" s="45"/>
      <c r="AO781" s="12"/>
      <c r="AP781" s="12"/>
      <c r="AQ781" s="12"/>
      <c r="AR781" s="12"/>
      <c r="AS781" s="44"/>
      <c r="AT781" s="45"/>
      <c r="AU781" s="12"/>
      <c r="AV781" s="12"/>
      <c r="AW781" s="12"/>
      <c r="AX781" s="12"/>
      <c r="AY781" s="44"/>
      <c r="AZ781" s="45"/>
      <c r="BA781" s="12"/>
      <c r="BB781" s="12"/>
      <c r="BC781" s="12"/>
      <c r="BD781" s="12"/>
      <c r="BE781" s="44"/>
      <c r="BF781" s="45"/>
      <c r="BG781" s="12"/>
      <c r="BH781" s="12"/>
      <c r="BI781" s="12"/>
      <c r="BJ781" s="12"/>
      <c r="BK781" s="44"/>
      <c r="BL781" s="45"/>
      <c r="BM781" s="12"/>
      <c r="BN781" s="12"/>
      <c r="BO781" s="12"/>
      <c r="BP781" s="12"/>
      <c r="BQ781" s="48"/>
      <c r="BR781" s="49"/>
      <c r="BS781" s="13"/>
      <c r="BT781" s="12"/>
      <c r="BV781" s="14"/>
      <c r="BW781" s="50"/>
      <c r="BX781" s="54"/>
      <c r="BY781" s="14"/>
      <c r="BZ781" s="14"/>
      <c r="CA781" s="14"/>
      <c r="CB781" s="14"/>
      <c r="CC781" s="14"/>
      <c r="CD781" s="14"/>
      <c r="CE781" s="14"/>
      <c r="CF781" s="15"/>
      <c r="CG781" s="14"/>
      <c r="CH781" s="14"/>
      <c r="CI781" s="50"/>
      <c r="CJ781" s="54"/>
      <c r="CK781" s="14"/>
      <c r="CL781" s="14"/>
      <c r="CM781" s="14"/>
      <c r="CN781" s="14"/>
      <c r="CO781" s="14"/>
      <c r="CP781" s="14"/>
      <c r="CQ781" s="14"/>
      <c r="CR781" s="14"/>
      <c r="CS781" s="14"/>
      <c r="CT781" s="14"/>
      <c r="CU781" s="16"/>
      <c r="CV781" s="14"/>
      <c r="CW781" s="50"/>
      <c r="CX781" s="17"/>
    </row>
    <row r="782" spans="4:102" x14ac:dyDescent="0.25"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43"/>
      <c r="Q782" s="11"/>
      <c r="R782" s="11"/>
      <c r="S782" s="11"/>
      <c r="T782" s="11"/>
      <c r="U782" s="11"/>
      <c r="V782" s="11"/>
      <c r="W782" s="11"/>
      <c r="X782" s="12"/>
      <c r="Y782" s="12"/>
      <c r="Z782" s="12"/>
      <c r="AA782" s="44"/>
      <c r="AB782" s="45"/>
      <c r="AC782" s="12"/>
      <c r="AD782" s="12"/>
      <c r="AE782" s="12"/>
      <c r="AF782" s="12"/>
      <c r="AG782" s="44"/>
      <c r="AH782" s="45"/>
      <c r="AI782" s="12"/>
      <c r="AJ782" s="12"/>
      <c r="AK782" s="12"/>
      <c r="AL782" s="12"/>
      <c r="AM782" s="44"/>
      <c r="AN782" s="45"/>
      <c r="AO782" s="12"/>
      <c r="AP782" s="12"/>
      <c r="AQ782" s="12"/>
      <c r="AR782" s="12"/>
      <c r="AS782" s="44"/>
      <c r="AT782" s="45"/>
      <c r="AU782" s="12"/>
      <c r="AV782" s="12"/>
      <c r="AW782" s="12"/>
      <c r="AX782" s="12"/>
      <c r="AY782" s="44"/>
      <c r="AZ782" s="45"/>
      <c r="BA782" s="12"/>
      <c r="BB782" s="12"/>
      <c r="BC782" s="12"/>
      <c r="BD782" s="12"/>
      <c r="BE782" s="44"/>
      <c r="BF782" s="45"/>
      <c r="BG782" s="12"/>
      <c r="BH782" s="12"/>
      <c r="BI782" s="12"/>
      <c r="BJ782" s="12"/>
      <c r="BK782" s="44"/>
      <c r="BL782" s="45"/>
      <c r="BM782" s="12"/>
      <c r="BN782" s="12"/>
      <c r="BO782" s="12"/>
      <c r="BP782" s="12"/>
      <c r="BQ782" s="48"/>
      <c r="BR782" s="49"/>
      <c r="BS782" s="13"/>
      <c r="BT782" s="12"/>
      <c r="BV782" s="14"/>
      <c r="BW782" s="50"/>
      <c r="BX782" s="54"/>
      <c r="BY782" s="14"/>
      <c r="BZ782" s="14"/>
      <c r="CA782" s="14"/>
      <c r="CB782" s="14"/>
      <c r="CC782" s="14"/>
      <c r="CD782" s="14"/>
      <c r="CE782" s="14"/>
      <c r="CF782" s="15"/>
      <c r="CG782" s="14"/>
      <c r="CH782" s="14"/>
      <c r="CI782" s="50"/>
      <c r="CJ782" s="54"/>
      <c r="CK782" s="14"/>
      <c r="CL782" s="14"/>
      <c r="CM782" s="14"/>
      <c r="CN782" s="14"/>
      <c r="CO782" s="14"/>
      <c r="CP782" s="14"/>
      <c r="CQ782" s="14"/>
      <c r="CR782" s="14"/>
      <c r="CS782" s="14"/>
      <c r="CT782" s="14"/>
      <c r="CU782" s="16"/>
      <c r="CV782" s="14"/>
      <c r="CW782" s="50"/>
      <c r="CX782" s="17"/>
    </row>
    <row r="783" spans="4:102" x14ac:dyDescent="0.25"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43"/>
      <c r="Q783" s="11"/>
      <c r="R783" s="11"/>
      <c r="S783" s="11"/>
      <c r="T783" s="11"/>
      <c r="U783" s="11"/>
      <c r="V783" s="11"/>
      <c r="W783" s="11"/>
      <c r="X783" s="12"/>
      <c r="Y783" s="12"/>
      <c r="Z783" s="12"/>
      <c r="AA783" s="44"/>
      <c r="AB783" s="45"/>
      <c r="AC783" s="12"/>
      <c r="AD783" s="12"/>
      <c r="AE783" s="12"/>
      <c r="AF783" s="12"/>
      <c r="AG783" s="44"/>
      <c r="AH783" s="45"/>
      <c r="AI783" s="12"/>
      <c r="AJ783" s="12"/>
      <c r="AK783" s="12"/>
      <c r="AL783" s="12"/>
      <c r="AM783" s="44"/>
      <c r="AN783" s="45"/>
      <c r="AO783" s="12"/>
      <c r="AP783" s="12"/>
      <c r="AQ783" s="12"/>
      <c r="AR783" s="12"/>
      <c r="AS783" s="44"/>
      <c r="AT783" s="45"/>
      <c r="AU783" s="12"/>
      <c r="AV783" s="12"/>
      <c r="AW783" s="12"/>
      <c r="AX783" s="12"/>
      <c r="AY783" s="44"/>
      <c r="AZ783" s="45"/>
      <c r="BA783" s="12"/>
      <c r="BB783" s="12"/>
      <c r="BC783" s="12"/>
      <c r="BD783" s="12"/>
      <c r="BE783" s="44"/>
      <c r="BF783" s="45"/>
      <c r="BG783" s="12"/>
      <c r="BH783" s="12"/>
      <c r="BI783" s="12"/>
      <c r="BJ783" s="12"/>
      <c r="BK783" s="44"/>
      <c r="BL783" s="45"/>
      <c r="BM783" s="12"/>
      <c r="BN783" s="12"/>
      <c r="BO783" s="12"/>
      <c r="BP783" s="12"/>
      <c r="BQ783" s="48"/>
      <c r="BR783" s="49"/>
      <c r="BS783" s="13"/>
      <c r="BT783" s="12"/>
      <c r="BV783" s="14"/>
      <c r="BW783" s="50"/>
      <c r="BX783" s="54"/>
      <c r="BY783" s="14"/>
      <c r="BZ783" s="14"/>
      <c r="CA783" s="14"/>
      <c r="CB783" s="14"/>
      <c r="CC783" s="14"/>
      <c r="CD783" s="14"/>
      <c r="CE783" s="14"/>
      <c r="CF783" s="15"/>
      <c r="CG783" s="14"/>
      <c r="CH783" s="14"/>
      <c r="CI783" s="50"/>
      <c r="CJ783" s="54"/>
      <c r="CK783" s="14"/>
      <c r="CL783" s="14"/>
      <c r="CM783" s="14"/>
      <c r="CN783" s="14"/>
      <c r="CO783" s="14"/>
      <c r="CP783" s="14"/>
      <c r="CQ783" s="14"/>
      <c r="CR783" s="14"/>
      <c r="CS783" s="14"/>
      <c r="CT783" s="14"/>
      <c r="CU783" s="16"/>
      <c r="CV783" s="14"/>
      <c r="CW783" s="50"/>
      <c r="CX783" s="17"/>
    </row>
    <row r="784" spans="4:102" x14ac:dyDescent="0.25"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43"/>
      <c r="Q784" s="11"/>
      <c r="R784" s="11"/>
      <c r="S784" s="11"/>
      <c r="T784" s="11"/>
      <c r="U784" s="11"/>
      <c r="V784" s="11"/>
      <c r="W784" s="11"/>
      <c r="X784" s="12"/>
      <c r="Y784" s="12"/>
      <c r="Z784" s="12"/>
      <c r="AA784" s="44"/>
      <c r="AB784" s="45"/>
      <c r="AC784" s="12"/>
      <c r="AD784" s="12"/>
      <c r="AE784" s="12"/>
      <c r="AF784" s="12"/>
      <c r="AG784" s="44"/>
      <c r="AH784" s="45"/>
      <c r="AI784" s="12"/>
      <c r="AJ784" s="12"/>
      <c r="AK784" s="12"/>
      <c r="AL784" s="12"/>
      <c r="AM784" s="44"/>
      <c r="AN784" s="45"/>
      <c r="AO784" s="12"/>
      <c r="AP784" s="12"/>
      <c r="AQ784" s="12"/>
      <c r="AR784" s="12"/>
      <c r="AS784" s="44"/>
      <c r="AT784" s="45"/>
      <c r="AU784" s="12"/>
      <c r="AV784" s="12"/>
      <c r="AW784" s="12"/>
      <c r="AX784" s="12"/>
      <c r="AY784" s="44"/>
      <c r="AZ784" s="45"/>
      <c r="BA784" s="12"/>
      <c r="BB784" s="12"/>
      <c r="BC784" s="12"/>
      <c r="BD784" s="12"/>
      <c r="BE784" s="44"/>
      <c r="BF784" s="45"/>
      <c r="BG784" s="12"/>
      <c r="BH784" s="12"/>
      <c r="BI784" s="12"/>
      <c r="BJ784" s="12"/>
      <c r="BK784" s="44"/>
      <c r="BL784" s="45"/>
      <c r="BM784" s="12"/>
      <c r="BN784" s="12"/>
      <c r="BO784" s="12"/>
      <c r="BP784" s="12"/>
      <c r="BQ784" s="48"/>
      <c r="BR784" s="49"/>
      <c r="BS784" s="13"/>
      <c r="BT784" s="12"/>
      <c r="BV784" s="14"/>
      <c r="BW784" s="50"/>
      <c r="BX784" s="54"/>
      <c r="BY784" s="14"/>
      <c r="BZ784" s="14"/>
      <c r="CA784" s="14"/>
      <c r="CB784" s="14"/>
      <c r="CC784" s="14"/>
      <c r="CD784" s="14"/>
      <c r="CE784" s="14"/>
      <c r="CF784" s="15"/>
      <c r="CG784" s="14"/>
      <c r="CH784" s="14"/>
      <c r="CI784" s="50"/>
      <c r="CJ784" s="54"/>
      <c r="CK784" s="14"/>
      <c r="CL784" s="14"/>
      <c r="CM784" s="14"/>
      <c r="CN784" s="14"/>
      <c r="CO784" s="14"/>
      <c r="CP784" s="14"/>
      <c r="CQ784" s="14"/>
      <c r="CR784" s="14"/>
      <c r="CS784" s="14"/>
      <c r="CT784" s="14"/>
      <c r="CU784" s="16"/>
      <c r="CV784" s="14"/>
      <c r="CW784" s="50"/>
      <c r="CX784" s="17"/>
    </row>
    <row r="785" spans="4:102" x14ac:dyDescent="0.25"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43"/>
      <c r="Q785" s="11"/>
      <c r="R785" s="11"/>
      <c r="S785" s="11"/>
      <c r="T785" s="11"/>
      <c r="U785" s="11"/>
      <c r="V785" s="11"/>
      <c r="W785" s="11"/>
      <c r="X785" s="12"/>
      <c r="Y785" s="12"/>
      <c r="Z785" s="12"/>
      <c r="AA785" s="44"/>
      <c r="AB785" s="45"/>
      <c r="AC785" s="12"/>
      <c r="AD785" s="12"/>
      <c r="AE785" s="12"/>
      <c r="AF785" s="12"/>
      <c r="AG785" s="44"/>
      <c r="AH785" s="45"/>
      <c r="AI785" s="12"/>
      <c r="AJ785" s="12"/>
      <c r="AK785" s="12"/>
      <c r="AL785" s="12"/>
      <c r="AM785" s="44"/>
      <c r="AN785" s="45"/>
      <c r="AO785" s="12"/>
      <c r="AP785" s="12"/>
      <c r="AQ785" s="12"/>
      <c r="AR785" s="12"/>
      <c r="AS785" s="44"/>
      <c r="AT785" s="45"/>
      <c r="AU785" s="12"/>
      <c r="AV785" s="12"/>
      <c r="AW785" s="12"/>
      <c r="AX785" s="12"/>
      <c r="AY785" s="44"/>
      <c r="AZ785" s="45"/>
      <c r="BA785" s="12"/>
      <c r="BB785" s="12"/>
      <c r="BC785" s="12"/>
      <c r="BD785" s="12"/>
      <c r="BE785" s="44"/>
      <c r="BF785" s="45"/>
      <c r="BG785" s="12"/>
      <c r="BH785" s="12"/>
      <c r="BI785" s="12"/>
      <c r="BJ785" s="12"/>
      <c r="BK785" s="44"/>
      <c r="BL785" s="45"/>
      <c r="BM785" s="12"/>
      <c r="BN785" s="12"/>
      <c r="BO785" s="12"/>
      <c r="BP785" s="12"/>
      <c r="BQ785" s="48"/>
      <c r="BR785" s="49"/>
      <c r="BS785" s="13"/>
      <c r="BT785" s="12"/>
      <c r="BV785" s="14"/>
      <c r="BW785" s="50"/>
      <c r="BX785" s="54"/>
      <c r="BY785" s="14"/>
      <c r="BZ785" s="14"/>
      <c r="CA785" s="14"/>
      <c r="CB785" s="14"/>
      <c r="CC785" s="14"/>
      <c r="CD785" s="14"/>
      <c r="CE785" s="14"/>
      <c r="CF785" s="15"/>
      <c r="CG785" s="14"/>
      <c r="CH785" s="14"/>
      <c r="CI785" s="50"/>
      <c r="CJ785" s="54"/>
      <c r="CK785" s="14"/>
      <c r="CL785" s="14"/>
      <c r="CM785" s="14"/>
      <c r="CN785" s="14"/>
      <c r="CO785" s="14"/>
      <c r="CP785" s="14"/>
      <c r="CQ785" s="14"/>
      <c r="CR785" s="14"/>
      <c r="CS785" s="14"/>
      <c r="CT785" s="14"/>
      <c r="CU785" s="16"/>
      <c r="CV785" s="14"/>
      <c r="CW785" s="50"/>
      <c r="CX785" s="17"/>
    </row>
    <row r="786" spans="4:102" x14ac:dyDescent="0.25"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43"/>
      <c r="Q786" s="11"/>
      <c r="R786" s="11"/>
      <c r="S786" s="11"/>
      <c r="T786" s="11"/>
      <c r="U786" s="11"/>
      <c r="V786" s="11"/>
      <c r="W786" s="11"/>
      <c r="X786" s="12"/>
      <c r="Y786" s="12"/>
      <c r="Z786" s="12"/>
      <c r="AA786" s="44"/>
      <c r="AB786" s="45"/>
      <c r="AC786" s="12"/>
      <c r="AD786" s="12"/>
      <c r="AE786" s="12"/>
      <c r="AF786" s="12"/>
      <c r="AG786" s="44"/>
      <c r="AH786" s="45"/>
      <c r="AI786" s="12"/>
      <c r="AJ786" s="12"/>
      <c r="AK786" s="12"/>
      <c r="AL786" s="12"/>
      <c r="AM786" s="44"/>
      <c r="AN786" s="45"/>
      <c r="AO786" s="12"/>
      <c r="AP786" s="12"/>
      <c r="AQ786" s="12"/>
      <c r="AR786" s="12"/>
      <c r="AS786" s="44"/>
      <c r="AT786" s="45"/>
      <c r="AU786" s="12"/>
      <c r="AV786" s="12"/>
      <c r="AW786" s="12"/>
      <c r="AX786" s="12"/>
      <c r="AY786" s="44"/>
      <c r="AZ786" s="45"/>
      <c r="BA786" s="12"/>
      <c r="BB786" s="12"/>
      <c r="BC786" s="12"/>
      <c r="BD786" s="12"/>
      <c r="BE786" s="44"/>
      <c r="BF786" s="45"/>
      <c r="BG786" s="12"/>
      <c r="BH786" s="12"/>
      <c r="BI786" s="12"/>
      <c r="BJ786" s="12"/>
      <c r="BK786" s="44"/>
      <c r="BL786" s="45"/>
      <c r="BM786" s="12"/>
      <c r="BN786" s="12"/>
      <c r="BO786" s="12"/>
      <c r="BP786" s="12"/>
      <c r="BQ786" s="48"/>
      <c r="BR786" s="49"/>
      <c r="BS786" s="13"/>
      <c r="BT786" s="12"/>
      <c r="BV786" s="14"/>
      <c r="BW786" s="50"/>
      <c r="BX786" s="54"/>
      <c r="BY786" s="14"/>
      <c r="BZ786" s="14"/>
      <c r="CA786" s="14"/>
      <c r="CB786" s="14"/>
      <c r="CC786" s="14"/>
      <c r="CD786" s="14"/>
      <c r="CE786" s="14"/>
      <c r="CF786" s="15"/>
      <c r="CG786" s="14"/>
      <c r="CH786" s="14"/>
      <c r="CI786" s="50"/>
      <c r="CJ786" s="54"/>
      <c r="CK786" s="14"/>
      <c r="CL786" s="14"/>
      <c r="CM786" s="14"/>
      <c r="CN786" s="14"/>
      <c r="CO786" s="14"/>
      <c r="CP786" s="14"/>
      <c r="CQ786" s="14"/>
      <c r="CR786" s="14"/>
      <c r="CS786" s="14"/>
      <c r="CT786" s="14"/>
      <c r="CU786" s="16"/>
      <c r="CV786" s="14"/>
      <c r="CW786" s="50"/>
      <c r="CX786" s="17"/>
    </row>
    <row r="787" spans="4:102" x14ac:dyDescent="0.25"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43"/>
      <c r="Q787" s="11"/>
      <c r="R787" s="11"/>
      <c r="S787" s="11"/>
      <c r="T787" s="11"/>
      <c r="U787" s="11"/>
      <c r="V787" s="11"/>
      <c r="W787" s="11"/>
      <c r="X787" s="12"/>
      <c r="Y787" s="12"/>
      <c r="Z787" s="12"/>
      <c r="AA787" s="44"/>
      <c r="AB787" s="45"/>
      <c r="AC787" s="12"/>
      <c r="AD787" s="12"/>
      <c r="AE787" s="12"/>
      <c r="AF787" s="12"/>
      <c r="AG787" s="44"/>
      <c r="AH787" s="45"/>
      <c r="AI787" s="12"/>
      <c r="AJ787" s="12"/>
      <c r="AK787" s="12"/>
      <c r="AL787" s="12"/>
      <c r="AM787" s="44"/>
      <c r="AN787" s="45"/>
      <c r="AO787" s="12"/>
      <c r="AP787" s="12"/>
      <c r="AQ787" s="12"/>
      <c r="AR787" s="12"/>
      <c r="AS787" s="44"/>
      <c r="AT787" s="45"/>
      <c r="AU787" s="12"/>
      <c r="AV787" s="12"/>
      <c r="AW787" s="12"/>
      <c r="AX787" s="12"/>
      <c r="AY787" s="44"/>
      <c r="AZ787" s="45"/>
      <c r="BA787" s="12"/>
      <c r="BB787" s="12"/>
      <c r="BC787" s="12"/>
      <c r="BD787" s="12"/>
      <c r="BE787" s="44"/>
      <c r="BF787" s="45"/>
      <c r="BG787" s="12"/>
      <c r="BH787" s="12"/>
      <c r="BI787" s="12"/>
      <c r="BJ787" s="12"/>
      <c r="BK787" s="44"/>
      <c r="BL787" s="45"/>
      <c r="BM787" s="12"/>
      <c r="BN787" s="12"/>
      <c r="BO787" s="12"/>
      <c r="BP787" s="12"/>
      <c r="BQ787" s="48"/>
      <c r="BR787" s="49"/>
      <c r="BS787" s="13"/>
      <c r="BT787" s="12"/>
      <c r="BV787" s="14"/>
      <c r="BW787" s="50"/>
      <c r="BX787" s="54"/>
      <c r="BY787" s="14"/>
      <c r="BZ787" s="14"/>
      <c r="CA787" s="14"/>
      <c r="CB787" s="14"/>
      <c r="CC787" s="14"/>
      <c r="CD787" s="14"/>
      <c r="CE787" s="14"/>
      <c r="CF787" s="15"/>
      <c r="CG787" s="14"/>
      <c r="CH787" s="14"/>
      <c r="CI787" s="50"/>
      <c r="CJ787" s="54"/>
      <c r="CK787" s="14"/>
      <c r="CL787" s="14"/>
      <c r="CM787" s="14"/>
      <c r="CN787" s="14"/>
      <c r="CO787" s="14"/>
      <c r="CP787" s="14"/>
      <c r="CQ787" s="14"/>
      <c r="CR787" s="14"/>
      <c r="CS787" s="14"/>
      <c r="CT787" s="14"/>
      <c r="CU787" s="16"/>
      <c r="CV787" s="14"/>
      <c r="CW787" s="50"/>
      <c r="CX787" s="17"/>
    </row>
    <row r="788" spans="4:102" x14ac:dyDescent="0.25"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43"/>
      <c r="Q788" s="11"/>
      <c r="R788" s="11"/>
      <c r="S788" s="11"/>
      <c r="T788" s="11"/>
      <c r="U788" s="11"/>
      <c r="V788" s="11"/>
      <c r="W788" s="11"/>
      <c r="X788" s="12"/>
      <c r="Y788" s="12"/>
      <c r="Z788" s="12"/>
      <c r="AA788" s="44"/>
      <c r="AB788" s="45"/>
      <c r="AC788" s="12"/>
      <c r="AD788" s="12"/>
      <c r="AE788" s="12"/>
      <c r="AF788" s="12"/>
      <c r="AG788" s="44"/>
      <c r="AH788" s="45"/>
      <c r="AI788" s="12"/>
      <c r="AJ788" s="12"/>
      <c r="AK788" s="12"/>
      <c r="AL788" s="12"/>
      <c r="AM788" s="44"/>
      <c r="AN788" s="45"/>
      <c r="AO788" s="12"/>
      <c r="AP788" s="12"/>
      <c r="AQ788" s="12"/>
      <c r="AR788" s="12"/>
      <c r="AS788" s="44"/>
      <c r="AT788" s="45"/>
      <c r="AU788" s="12"/>
      <c r="AV788" s="12"/>
      <c r="AW788" s="12"/>
      <c r="AX788" s="12"/>
      <c r="AY788" s="44"/>
      <c r="AZ788" s="45"/>
      <c r="BA788" s="12"/>
      <c r="BB788" s="12"/>
      <c r="BC788" s="12"/>
      <c r="BD788" s="12"/>
      <c r="BE788" s="44"/>
      <c r="BF788" s="45"/>
      <c r="BG788" s="12"/>
      <c r="BH788" s="12"/>
      <c r="BI788" s="12"/>
      <c r="BJ788" s="12"/>
      <c r="BK788" s="44"/>
      <c r="BL788" s="45"/>
      <c r="BM788" s="12"/>
      <c r="BN788" s="12"/>
      <c r="BO788" s="12"/>
      <c r="BP788" s="12"/>
      <c r="BQ788" s="48"/>
      <c r="BR788" s="49"/>
      <c r="BS788" s="13"/>
      <c r="BT788" s="12"/>
      <c r="BV788" s="14"/>
      <c r="BW788" s="50"/>
      <c r="BX788" s="54"/>
      <c r="BY788" s="14"/>
      <c r="BZ788" s="14"/>
      <c r="CA788" s="14"/>
      <c r="CB788" s="14"/>
      <c r="CC788" s="14"/>
      <c r="CD788" s="14"/>
      <c r="CE788" s="14"/>
      <c r="CF788" s="15"/>
      <c r="CG788" s="14"/>
      <c r="CH788" s="14"/>
      <c r="CI788" s="50"/>
      <c r="CJ788" s="54"/>
      <c r="CK788" s="14"/>
      <c r="CL788" s="14"/>
      <c r="CM788" s="14"/>
      <c r="CN788" s="14"/>
      <c r="CO788" s="14"/>
      <c r="CP788" s="14"/>
      <c r="CQ788" s="14"/>
      <c r="CR788" s="14"/>
      <c r="CS788" s="14"/>
      <c r="CT788" s="14"/>
      <c r="CU788" s="16"/>
      <c r="CV788" s="14"/>
      <c r="CW788" s="50"/>
      <c r="CX788" s="17"/>
    </row>
    <row r="789" spans="4:102" x14ac:dyDescent="0.25"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43"/>
      <c r="Q789" s="11"/>
      <c r="R789" s="11"/>
      <c r="S789" s="11"/>
      <c r="T789" s="11"/>
      <c r="U789" s="11"/>
      <c r="V789" s="11"/>
      <c r="W789" s="11"/>
      <c r="X789" s="12"/>
      <c r="Y789" s="12"/>
      <c r="Z789" s="12"/>
      <c r="AA789" s="44"/>
      <c r="AB789" s="45"/>
      <c r="AC789" s="12"/>
      <c r="AD789" s="12"/>
      <c r="AE789" s="12"/>
      <c r="AF789" s="12"/>
      <c r="AG789" s="44"/>
      <c r="AH789" s="45"/>
      <c r="AI789" s="12"/>
      <c r="AJ789" s="12"/>
      <c r="AK789" s="12"/>
      <c r="AL789" s="12"/>
      <c r="AM789" s="44"/>
      <c r="AN789" s="45"/>
      <c r="AO789" s="12"/>
      <c r="AP789" s="12"/>
      <c r="AQ789" s="12"/>
      <c r="AR789" s="12"/>
      <c r="AS789" s="44"/>
      <c r="AT789" s="45"/>
      <c r="AU789" s="12"/>
      <c r="AV789" s="12"/>
      <c r="AW789" s="12"/>
      <c r="AX789" s="12"/>
      <c r="AY789" s="44"/>
      <c r="AZ789" s="45"/>
      <c r="BA789" s="12"/>
      <c r="BB789" s="12"/>
      <c r="BC789" s="12"/>
      <c r="BD789" s="12"/>
      <c r="BE789" s="44"/>
      <c r="BF789" s="45"/>
      <c r="BG789" s="12"/>
      <c r="BH789" s="12"/>
      <c r="BI789" s="12"/>
      <c r="BJ789" s="12"/>
      <c r="BK789" s="44"/>
      <c r="BL789" s="45"/>
      <c r="BM789" s="12"/>
      <c r="BN789" s="12"/>
      <c r="BO789" s="12"/>
      <c r="BP789" s="12"/>
      <c r="BQ789" s="48"/>
      <c r="BR789" s="49"/>
      <c r="BS789" s="13"/>
      <c r="BT789" s="12"/>
      <c r="BV789" s="14"/>
      <c r="BW789" s="50"/>
      <c r="BX789" s="54"/>
      <c r="BY789" s="14"/>
      <c r="BZ789" s="14"/>
      <c r="CA789" s="14"/>
      <c r="CB789" s="14"/>
      <c r="CC789" s="14"/>
      <c r="CD789" s="14"/>
      <c r="CE789" s="14"/>
      <c r="CF789" s="15"/>
      <c r="CG789" s="14"/>
      <c r="CH789" s="14"/>
      <c r="CI789" s="50"/>
      <c r="CJ789" s="54"/>
      <c r="CK789" s="14"/>
      <c r="CL789" s="14"/>
      <c r="CM789" s="14"/>
      <c r="CN789" s="14"/>
      <c r="CO789" s="14"/>
      <c r="CP789" s="14"/>
      <c r="CQ789" s="14"/>
      <c r="CR789" s="14"/>
      <c r="CS789" s="14"/>
      <c r="CT789" s="14"/>
      <c r="CU789" s="16"/>
      <c r="CV789" s="14"/>
      <c r="CW789" s="50"/>
      <c r="CX789" s="17"/>
    </row>
    <row r="790" spans="4:102" x14ac:dyDescent="0.25"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43"/>
      <c r="Q790" s="11"/>
      <c r="R790" s="11"/>
      <c r="S790" s="11"/>
      <c r="T790" s="11"/>
      <c r="U790" s="11"/>
      <c r="V790" s="11"/>
      <c r="W790" s="11"/>
      <c r="X790" s="12"/>
      <c r="Y790" s="12"/>
      <c r="Z790" s="12"/>
      <c r="AA790" s="44"/>
      <c r="AB790" s="45"/>
      <c r="AC790" s="12"/>
      <c r="AD790" s="12"/>
      <c r="AE790" s="12"/>
      <c r="AF790" s="12"/>
      <c r="AG790" s="44"/>
      <c r="AH790" s="45"/>
      <c r="AI790" s="12"/>
      <c r="AJ790" s="12"/>
      <c r="AK790" s="12"/>
      <c r="AL790" s="12"/>
      <c r="AM790" s="44"/>
      <c r="AN790" s="45"/>
      <c r="AO790" s="12"/>
      <c r="AP790" s="12"/>
      <c r="AQ790" s="12"/>
      <c r="AR790" s="12"/>
      <c r="AS790" s="44"/>
      <c r="AT790" s="45"/>
      <c r="AU790" s="12"/>
      <c r="AV790" s="12"/>
      <c r="AW790" s="12"/>
      <c r="AX790" s="12"/>
      <c r="AY790" s="44"/>
      <c r="AZ790" s="45"/>
      <c r="BA790" s="12"/>
      <c r="BB790" s="12"/>
      <c r="BC790" s="12"/>
      <c r="BD790" s="12"/>
      <c r="BE790" s="44"/>
      <c r="BF790" s="45"/>
      <c r="BG790" s="12"/>
      <c r="BH790" s="12"/>
      <c r="BI790" s="12"/>
      <c r="BJ790" s="12"/>
      <c r="BK790" s="44"/>
      <c r="BL790" s="45"/>
      <c r="BM790" s="12"/>
      <c r="BN790" s="12"/>
      <c r="BO790" s="12"/>
      <c r="BP790" s="12"/>
      <c r="BQ790" s="48"/>
      <c r="BR790" s="49"/>
      <c r="BS790" s="13"/>
      <c r="BT790" s="12"/>
      <c r="BV790" s="14"/>
      <c r="BW790" s="50"/>
      <c r="BX790" s="54"/>
      <c r="BY790" s="14"/>
      <c r="BZ790" s="14"/>
      <c r="CA790" s="14"/>
      <c r="CB790" s="14"/>
      <c r="CC790" s="14"/>
      <c r="CD790" s="14"/>
      <c r="CE790" s="14"/>
      <c r="CF790" s="15"/>
      <c r="CG790" s="14"/>
      <c r="CH790" s="14"/>
      <c r="CI790" s="50"/>
      <c r="CJ790" s="54"/>
      <c r="CK790" s="14"/>
      <c r="CL790" s="14"/>
      <c r="CM790" s="14"/>
      <c r="CN790" s="14"/>
      <c r="CO790" s="14"/>
      <c r="CP790" s="14"/>
      <c r="CQ790" s="14"/>
      <c r="CR790" s="14"/>
      <c r="CS790" s="14"/>
      <c r="CT790" s="14"/>
      <c r="CU790" s="16"/>
      <c r="CV790" s="14"/>
      <c r="CW790" s="50"/>
      <c r="CX790" s="17"/>
    </row>
    <row r="791" spans="4:102" x14ac:dyDescent="0.25"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43"/>
      <c r="Q791" s="11"/>
      <c r="R791" s="11"/>
      <c r="S791" s="11"/>
      <c r="T791" s="11"/>
      <c r="U791" s="11"/>
      <c r="V791" s="11"/>
      <c r="W791" s="11"/>
      <c r="X791" s="12"/>
      <c r="Y791" s="12"/>
      <c r="Z791" s="12"/>
      <c r="AA791" s="44"/>
      <c r="AB791" s="45"/>
      <c r="AC791" s="12"/>
      <c r="AD791" s="12"/>
      <c r="AE791" s="12"/>
      <c r="AF791" s="12"/>
      <c r="AG791" s="44"/>
      <c r="AH791" s="45"/>
      <c r="AI791" s="12"/>
      <c r="AJ791" s="12"/>
      <c r="AK791" s="12"/>
      <c r="AL791" s="12"/>
      <c r="AM791" s="44"/>
      <c r="AN791" s="45"/>
      <c r="AO791" s="12"/>
      <c r="AP791" s="12"/>
      <c r="AQ791" s="12"/>
      <c r="AR791" s="12"/>
      <c r="AS791" s="44"/>
      <c r="AT791" s="45"/>
      <c r="AU791" s="12"/>
      <c r="AV791" s="12"/>
      <c r="AW791" s="12"/>
      <c r="AX791" s="12"/>
      <c r="AY791" s="44"/>
      <c r="AZ791" s="45"/>
      <c r="BA791" s="12"/>
      <c r="BB791" s="12"/>
      <c r="BC791" s="12"/>
      <c r="BD791" s="12"/>
      <c r="BE791" s="44"/>
      <c r="BF791" s="45"/>
      <c r="BG791" s="12"/>
      <c r="BH791" s="12"/>
      <c r="BI791" s="12"/>
      <c r="BJ791" s="12"/>
      <c r="BK791" s="44"/>
      <c r="BL791" s="45"/>
      <c r="BM791" s="12"/>
      <c r="BN791" s="12"/>
      <c r="BO791" s="12"/>
      <c r="BP791" s="12"/>
      <c r="BQ791" s="48"/>
      <c r="BR791" s="49"/>
      <c r="BS791" s="13"/>
      <c r="BT791" s="12"/>
      <c r="BV791" s="14"/>
      <c r="BW791" s="50"/>
      <c r="BX791" s="54"/>
      <c r="BY791" s="14"/>
      <c r="BZ791" s="14"/>
      <c r="CA791" s="14"/>
      <c r="CB791" s="14"/>
      <c r="CC791" s="14"/>
      <c r="CD791" s="14"/>
      <c r="CE791" s="14"/>
      <c r="CF791" s="15"/>
      <c r="CG791" s="14"/>
      <c r="CH791" s="14"/>
      <c r="CI791" s="50"/>
      <c r="CJ791" s="54"/>
      <c r="CK791" s="14"/>
      <c r="CL791" s="14"/>
      <c r="CM791" s="14"/>
      <c r="CN791" s="14"/>
      <c r="CO791" s="14"/>
      <c r="CP791" s="14"/>
      <c r="CQ791" s="14"/>
      <c r="CR791" s="14"/>
      <c r="CS791" s="14"/>
      <c r="CT791" s="14"/>
      <c r="CU791" s="16"/>
      <c r="CV791" s="14"/>
      <c r="CW791" s="50"/>
      <c r="CX791" s="17"/>
    </row>
    <row r="792" spans="4:102" x14ac:dyDescent="0.25"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43"/>
      <c r="Q792" s="11"/>
      <c r="R792" s="11"/>
      <c r="S792" s="11"/>
      <c r="T792" s="11"/>
      <c r="U792" s="11"/>
      <c r="V792" s="11"/>
      <c r="W792" s="11"/>
      <c r="X792" s="12"/>
      <c r="Y792" s="12"/>
      <c r="Z792" s="12"/>
      <c r="AA792" s="44"/>
      <c r="AB792" s="45"/>
      <c r="AC792" s="12"/>
      <c r="AD792" s="12"/>
      <c r="AE792" s="12"/>
      <c r="AF792" s="12"/>
      <c r="AG792" s="44"/>
      <c r="AH792" s="45"/>
      <c r="AI792" s="12"/>
      <c r="AJ792" s="12"/>
      <c r="AK792" s="12"/>
      <c r="AL792" s="12"/>
      <c r="AM792" s="44"/>
      <c r="AN792" s="45"/>
      <c r="AO792" s="12"/>
      <c r="AP792" s="12"/>
      <c r="AQ792" s="12"/>
      <c r="AR792" s="12"/>
      <c r="AS792" s="44"/>
      <c r="AT792" s="45"/>
      <c r="AU792" s="12"/>
      <c r="AV792" s="12"/>
      <c r="AW792" s="12"/>
      <c r="AX792" s="12"/>
      <c r="AY792" s="44"/>
      <c r="AZ792" s="45"/>
      <c r="BA792" s="12"/>
      <c r="BB792" s="12"/>
      <c r="BC792" s="12"/>
      <c r="BD792" s="12"/>
      <c r="BE792" s="44"/>
      <c r="BF792" s="45"/>
      <c r="BG792" s="12"/>
      <c r="BH792" s="12"/>
      <c r="BI792" s="12"/>
      <c r="BJ792" s="12"/>
      <c r="BK792" s="44"/>
      <c r="BL792" s="45"/>
      <c r="BM792" s="12"/>
      <c r="BN792" s="12"/>
      <c r="BO792" s="12"/>
      <c r="BP792" s="12"/>
      <c r="BQ792" s="48"/>
      <c r="BR792" s="49"/>
      <c r="BS792" s="13"/>
      <c r="BT792" s="12"/>
      <c r="BV792" s="14"/>
      <c r="BW792" s="50"/>
      <c r="BX792" s="54"/>
      <c r="BY792" s="14"/>
      <c r="BZ792" s="14"/>
      <c r="CA792" s="14"/>
      <c r="CB792" s="14"/>
      <c r="CC792" s="14"/>
      <c r="CD792" s="14"/>
      <c r="CE792" s="14"/>
      <c r="CF792" s="15"/>
      <c r="CG792" s="14"/>
      <c r="CH792" s="14"/>
      <c r="CI792" s="50"/>
      <c r="CJ792" s="54"/>
      <c r="CK792" s="14"/>
      <c r="CL792" s="14"/>
      <c r="CM792" s="14"/>
      <c r="CN792" s="14"/>
      <c r="CO792" s="14"/>
      <c r="CP792" s="14"/>
      <c r="CQ792" s="14"/>
      <c r="CR792" s="14"/>
      <c r="CS792" s="14"/>
      <c r="CT792" s="14"/>
      <c r="CU792" s="16"/>
      <c r="CV792" s="14"/>
      <c r="CW792" s="50"/>
      <c r="CX792" s="17"/>
    </row>
    <row r="793" spans="4:102" x14ac:dyDescent="0.25"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43"/>
      <c r="Q793" s="11"/>
      <c r="R793" s="11"/>
      <c r="S793" s="11"/>
      <c r="T793" s="11"/>
      <c r="U793" s="11"/>
      <c r="V793" s="11"/>
      <c r="W793" s="11"/>
      <c r="X793" s="12"/>
      <c r="Y793" s="12"/>
      <c r="Z793" s="12"/>
      <c r="AA793" s="44"/>
      <c r="AB793" s="45"/>
      <c r="AC793" s="12"/>
      <c r="AD793" s="12"/>
      <c r="AE793" s="12"/>
      <c r="AF793" s="12"/>
      <c r="AG793" s="44"/>
      <c r="AH793" s="45"/>
      <c r="AI793" s="12"/>
      <c r="AJ793" s="12"/>
      <c r="AK793" s="12"/>
      <c r="AL793" s="12"/>
      <c r="AM793" s="44"/>
      <c r="AN793" s="45"/>
      <c r="AO793" s="12"/>
      <c r="AP793" s="12"/>
      <c r="AQ793" s="12"/>
      <c r="AR793" s="12"/>
      <c r="AS793" s="44"/>
      <c r="AT793" s="45"/>
      <c r="AU793" s="12"/>
      <c r="AV793" s="12"/>
      <c r="AW793" s="12"/>
      <c r="AX793" s="12"/>
      <c r="AY793" s="44"/>
      <c r="AZ793" s="45"/>
      <c r="BA793" s="12"/>
      <c r="BB793" s="12"/>
      <c r="BC793" s="12"/>
      <c r="BD793" s="12"/>
      <c r="BE793" s="44"/>
      <c r="BF793" s="45"/>
      <c r="BG793" s="12"/>
      <c r="BH793" s="12"/>
      <c r="BI793" s="12"/>
      <c r="BJ793" s="12"/>
      <c r="BK793" s="44"/>
      <c r="BL793" s="45"/>
      <c r="BM793" s="12"/>
      <c r="BN793" s="12"/>
      <c r="BO793" s="12"/>
      <c r="BP793" s="12"/>
      <c r="BQ793" s="48"/>
      <c r="BR793" s="49"/>
      <c r="BS793" s="13"/>
      <c r="BT793" s="12"/>
      <c r="BV793" s="14"/>
      <c r="BW793" s="50"/>
      <c r="BX793" s="54"/>
      <c r="BY793" s="14"/>
      <c r="BZ793" s="14"/>
      <c r="CA793" s="14"/>
      <c r="CB793" s="14"/>
      <c r="CC793" s="14"/>
      <c r="CD793" s="14"/>
      <c r="CE793" s="14"/>
      <c r="CF793" s="15"/>
      <c r="CG793" s="14"/>
      <c r="CH793" s="14"/>
      <c r="CI793" s="50"/>
      <c r="CJ793" s="54"/>
      <c r="CK793" s="14"/>
      <c r="CL793" s="14"/>
      <c r="CM793" s="14"/>
      <c r="CN793" s="14"/>
      <c r="CO793" s="14"/>
      <c r="CP793" s="14"/>
      <c r="CQ793" s="14"/>
      <c r="CR793" s="14"/>
      <c r="CS793" s="14"/>
      <c r="CT793" s="14"/>
      <c r="CU793" s="16"/>
      <c r="CV793" s="14"/>
      <c r="CW793" s="50"/>
      <c r="CX793" s="17"/>
    </row>
    <row r="794" spans="4:102" x14ac:dyDescent="0.25"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43"/>
      <c r="Q794" s="11"/>
      <c r="R794" s="11"/>
      <c r="S794" s="11"/>
      <c r="T794" s="11"/>
      <c r="U794" s="11"/>
      <c r="V794" s="11"/>
      <c r="W794" s="11"/>
      <c r="X794" s="12"/>
      <c r="Y794" s="12"/>
      <c r="Z794" s="12"/>
      <c r="AA794" s="44"/>
      <c r="AB794" s="45"/>
      <c r="AC794" s="12"/>
      <c r="AD794" s="12"/>
      <c r="AE794" s="12"/>
      <c r="AF794" s="12"/>
      <c r="AG794" s="44"/>
      <c r="AH794" s="45"/>
      <c r="AI794" s="12"/>
      <c r="AJ794" s="12"/>
      <c r="AK794" s="12"/>
      <c r="AL794" s="12"/>
      <c r="AM794" s="44"/>
      <c r="AN794" s="45"/>
      <c r="AO794" s="12"/>
      <c r="AP794" s="12"/>
      <c r="AQ794" s="12"/>
      <c r="AR794" s="12"/>
      <c r="AS794" s="44"/>
      <c r="AT794" s="45"/>
      <c r="AU794" s="12"/>
      <c r="AV794" s="12"/>
      <c r="AW794" s="12"/>
      <c r="AX794" s="12"/>
      <c r="AY794" s="44"/>
      <c r="AZ794" s="45"/>
      <c r="BA794" s="12"/>
      <c r="BB794" s="12"/>
      <c r="BC794" s="12"/>
      <c r="BD794" s="12"/>
      <c r="BE794" s="44"/>
      <c r="BF794" s="45"/>
      <c r="BG794" s="12"/>
      <c r="BH794" s="12"/>
      <c r="BI794" s="12"/>
      <c r="BJ794" s="12"/>
      <c r="BK794" s="44"/>
      <c r="BL794" s="45"/>
      <c r="BM794" s="12"/>
      <c r="BN794" s="12"/>
      <c r="BO794" s="12"/>
      <c r="BP794" s="12"/>
      <c r="BQ794" s="48"/>
      <c r="BR794" s="49"/>
      <c r="BS794" s="13"/>
      <c r="BT794" s="12"/>
      <c r="BV794" s="14"/>
      <c r="BW794" s="50"/>
      <c r="BX794" s="54"/>
      <c r="BY794" s="14"/>
      <c r="BZ794" s="14"/>
      <c r="CA794" s="14"/>
      <c r="CB794" s="14"/>
      <c r="CC794" s="14"/>
      <c r="CD794" s="14"/>
      <c r="CE794" s="14"/>
      <c r="CF794" s="15"/>
      <c r="CG794" s="14"/>
      <c r="CH794" s="14"/>
      <c r="CI794" s="50"/>
      <c r="CJ794" s="54"/>
      <c r="CK794" s="14"/>
      <c r="CL794" s="14"/>
      <c r="CM794" s="14"/>
      <c r="CN794" s="14"/>
      <c r="CO794" s="14"/>
      <c r="CP794" s="14"/>
      <c r="CQ794" s="14"/>
      <c r="CR794" s="14"/>
      <c r="CS794" s="14"/>
      <c r="CT794" s="14"/>
      <c r="CU794" s="16"/>
      <c r="CV794" s="14"/>
      <c r="CW794" s="50"/>
      <c r="CX794" s="17"/>
    </row>
    <row r="795" spans="4:102" x14ac:dyDescent="0.25"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43"/>
      <c r="Q795" s="11"/>
      <c r="R795" s="11"/>
      <c r="S795" s="11"/>
      <c r="T795" s="11"/>
      <c r="U795" s="11"/>
      <c r="V795" s="11"/>
      <c r="W795" s="11"/>
      <c r="X795" s="12"/>
      <c r="Y795" s="12"/>
      <c r="Z795" s="12"/>
      <c r="AA795" s="44"/>
      <c r="AB795" s="45"/>
      <c r="AC795" s="12"/>
      <c r="AD795" s="12"/>
      <c r="AE795" s="12"/>
      <c r="AF795" s="12"/>
      <c r="AG795" s="44"/>
      <c r="AH795" s="45"/>
      <c r="AI795" s="12"/>
      <c r="AJ795" s="12"/>
      <c r="AK795" s="12"/>
      <c r="AL795" s="12"/>
      <c r="AM795" s="44"/>
      <c r="AN795" s="45"/>
      <c r="AO795" s="12"/>
      <c r="AP795" s="12"/>
      <c r="AQ795" s="12"/>
      <c r="AR795" s="12"/>
      <c r="AS795" s="44"/>
      <c r="AT795" s="45"/>
      <c r="AU795" s="12"/>
      <c r="AV795" s="12"/>
      <c r="AW795" s="12"/>
      <c r="AX795" s="12"/>
      <c r="AY795" s="44"/>
      <c r="AZ795" s="45"/>
      <c r="BA795" s="12"/>
      <c r="BB795" s="12"/>
      <c r="BC795" s="12"/>
      <c r="BD795" s="12"/>
      <c r="BE795" s="44"/>
      <c r="BF795" s="45"/>
      <c r="BG795" s="12"/>
      <c r="BH795" s="12"/>
      <c r="BI795" s="12"/>
      <c r="BJ795" s="12"/>
      <c r="BK795" s="44"/>
      <c r="BL795" s="45"/>
      <c r="BM795" s="12"/>
      <c r="BN795" s="12"/>
      <c r="BO795" s="12"/>
      <c r="BP795" s="12"/>
      <c r="BQ795" s="48"/>
      <c r="BR795" s="49"/>
      <c r="BS795" s="13"/>
      <c r="BT795" s="12"/>
      <c r="BV795" s="14"/>
      <c r="BW795" s="50"/>
      <c r="BX795" s="54"/>
      <c r="BY795" s="14"/>
      <c r="BZ795" s="14"/>
      <c r="CA795" s="14"/>
      <c r="CB795" s="14"/>
      <c r="CC795" s="14"/>
      <c r="CD795" s="14"/>
      <c r="CE795" s="14"/>
      <c r="CF795" s="15"/>
      <c r="CG795" s="14"/>
      <c r="CH795" s="14"/>
      <c r="CI795" s="50"/>
      <c r="CJ795" s="54"/>
      <c r="CK795" s="14"/>
      <c r="CL795" s="14"/>
      <c r="CM795" s="14"/>
      <c r="CN795" s="14"/>
      <c r="CO795" s="14"/>
      <c r="CP795" s="14"/>
      <c r="CQ795" s="14"/>
      <c r="CR795" s="14"/>
      <c r="CS795" s="14"/>
      <c r="CT795" s="14"/>
      <c r="CU795" s="16"/>
      <c r="CV795" s="14"/>
      <c r="CW795" s="50"/>
      <c r="CX795" s="17"/>
    </row>
    <row r="796" spans="4:102" x14ac:dyDescent="0.25"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43"/>
      <c r="Q796" s="11"/>
      <c r="R796" s="11"/>
      <c r="S796" s="11"/>
      <c r="T796" s="11"/>
      <c r="U796" s="11"/>
      <c r="V796" s="11"/>
      <c r="W796" s="11"/>
      <c r="X796" s="12"/>
      <c r="Y796" s="12"/>
      <c r="Z796" s="12"/>
      <c r="AA796" s="44"/>
      <c r="AB796" s="45"/>
      <c r="AC796" s="12"/>
      <c r="AD796" s="12"/>
      <c r="AE796" s="12"/>
      <c r="AF796" s="12"/>
      <c r="AG796" s="44"/>
      <c r="AH796" s="45"/>
      <c r="AI796" s="12"/>
      <c r="AJ796" s="12"/>
      <c r="AK796" s="12"/>
      <c r="AL796" s="12"/>
      <c r="AM796" s="44"/>
      <c r="AN796" s="45"/>
      <c r="AO796" s="12"/>
      <c r="AP796" s="12"/>
      <c r="AQ796" s="12"/>
      <c r="AR796" s="12"/>
      <c r="AS796" s="44"/>
      <c r="AT796" s="45"/>
      <c r="AU796" s="12"/>
      <c r="AV796" s="12"/>
      <c r="AW796" s="12"/>
      <c r="AX796" s="12"/>
      <c r="AY796" s="44"/>
      <c r="AZ796" s="45"/>
      <c r="BA796" s="12"/>
      <c r="BB796" s="12"/>
      <c r="BC796" s="12"/>
      <c r="BD796" s="12"/>
      <c r="BE796" s="44"/>
      <c r="BF796" s="45"/>
      <c r="BG796" s="12"/>
      <c r="BH796" s="12"/>
      <c r="BI796" s="12"/>
      <c r="BJ796" s="12"/>
      <c r="BK796" s="44"/>
      <c r="BL796" s="45"/>
      <c r="BM796" s="12"/>
      <c r="BN796" s="12"/>
      <c r="BO796" s="12"/>
      <c r="BP796" s="12"/>
      <c r="BQ796" s="48"/>
      <c r="BR796" s="49"/>
      <c r="BS796" s="13"/>
      <c r="BT796" s="12"/>
      <c r="BV796" s="14"/>
      <c r="BW796" s="50"/>
      <c r="BX796" s="54"/>
      <c r="BY796" s="14"/>
      <c r="BZ796" s="14"/>
      <c r="CA796" s="14"/>
      <c r="CB796" s="14"/>
      <c r="CC796" s="14"/>
      <c r="CD796" s="14"/>
      <c r="CE796" s="14"/>
      <c r="CF796" s="15"/>
      <c r="CG796" s="14"/>
      <c r="CH796" s="14"/>
      <c r="CI796" s="50"/>
      <c r="CJ796" s="54"/>
      <c r="CK796" s="14"/>
      <c r="CL796" s="14"/>
      <c r="CM796" s="14"/>
      <c r="CN796" s="14"/>
      <c r="CO796" s="14"/>
      <c r="CP796" s="14"/>
      <c r="CQ796" s="14"/>
      <c r="CR796" s="14"/>
      <c r="CS796" s="14"/>
      <c r="CT796" s="14"/>
      <c r="CU796" s="16"/>
      <c r="CV796" s="14"/>
      <c r="CW796" s="50"/>
      <c r="CX796" s="17"/>
    </row>
    <row r="797" spans="4:102" x14ac:dyDescent="0.25"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43"/>
      <c r="Q797" s="11"/>
      <c r="R797" s="11"/>
      <c r="S797" s="11"/>
      <c r="T797" s="11"/>
      <c r="U797" s="11"/>
      <c r="V797" s="11"/>
      <c r="W797" s="11"/>
      <c r="X797" s="12"/>
      <c r="Y797" s="12"/>
      <c r="Z797" s="12"/>
      <c r="AA797" s="44"/>
      <c r="AB797" s="45"/>
      <c r="AC797" s="12"/>
      <c r="AD797" s="12"/>
      <c r="AE797" s="12"/>
      <c r="AF797" s="12"/>
      <c r="AG797" s="44"/>
      <c r="AH797" s="45"/>
      <c r="AI797" s="12"/>
      <c r="AJ797" s="12"/>
      <c r="AK797" s="12"/>
      <c r="AL797" s="12"/>
      <c r="AM797" s="44"/>
      <c r="AN797" s="45"/>
      <c r="AO797" s="12"/>
      <c r="AP797" s="12"/>
      <c r="AQ797" s="12"/>
      <c r="AR797" s="12"/>
      <c r="AS797" s="44"/>
      <c r="AT797" s="45"/>
      <c r="AU797" s="12"/>
      <c r="AV797" s="12"/>
      <c r="AW797" s="12"/>
      <c r="AX797" s="12"/>
      <c r="AY797" s="44"/>
      <c r="AZ797" s="45"/>
      <c r="BA797" s="12"/>
      <c r="BB797" s="12"/>
      <c r="BC797" s="12"/>
      <c r="BD797" s="12"/>
      <c r="BE797" s="44"/>
      <c r="BF797" s="45"/>
      <c r="BG797" s="12"/>
      <c r="BH797" s="12"/>
      <c r="BI797" s="12"/>
      <c r="BJ797" s="12"/>
      <c r="BK797" s="44"/>
      <c r="BL797" s="45"/>
      <c r="BM797" s="12"/>
      <c r="BN797" s="12"/>
      <c r="BO797" s="12"/>
      <c r="BP797" s="12"/>
      <c r="BQ797" s="48"/>
      <c r="BR797" s="49"/>
      <c r="BS797" s="13"/>
      <c r="BT797" s="12"/>
      <c r="BV797" s="14"/>
      <c r="BW797" s="50"/>
      <c r="BX797" s="54"/>
      <c r="BY797" s="14"/>
      <c r="BZ797" s="14"/>
      <c r="CA797" s="14"/>
      <c r="CB797" s="14"/>
      <c r="CC797" s="14"/>
      <c r="CD797" s="14"/>
      <c r="CE797" s="14"/>
      <c r="CF797" s="15"/>
      <c r="CG797" s="14"/>
      <c r="CH797" s="14"/>
      <c r="CI797" s="50"/>
      <c r="CJ797" s="54"/>
      <c r="CK797" s="14"/>
      <c r="CL797" s="14"/>
      <c r="CM797" s="14"/>
      <c r="CN797" s="14"/>
      <c r="CO797" s="14"/>
      <c r="CP797" s="14"/>
      <c r="CQ797" s="14"/>
      <c r="CR797" s="14"/>
      <c r="CS797" s="14"/>
      <c r="CT797" s="14"/>
      <c r="CU797" s="16"/>
      <c r="CV797" s="14"/>
      <c r="CW797" s="50"/>
      <c r="CX797" s="17"/>
    </row>
    <row r="798" spans="4:102" x14ac:dyDescent="0.25"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43"/>
      <c r="Q798" s="11"/>
      <c r="R798" s="11"/>
      <c r="S798" s="11"/>
      <c r="T798" s="11"/>
      <c r="U798" s="11"/>
      <c r="V798" s="11"/>
      <c r="W798" s="11"/>
      <c r="X798" s="12"/>
      <c r="Y798" s="12"/>
      <c r="Z798" s="12"/>
      <c r="AA798" s="44"/>
      <c r="AB798" s="45"/>
      <c r="AC798" s="12"/>
      <c r="AD798" s="12"/>
      <c r="AE798" s="12"/>
      <c r="AF798" s="12"/>
      <c r="AG798" s="44"/>
      <c r="AH798" s="45"/>
      <c r="AI798" s="12"/>
      <c r="AJ798" s="12"/>
      <c r="AK798" s="12"/>
      <c r="AL798" s="12"/>
      <c r="AM798" s="44"/>
      <c r="AN798" s="45"/>
      <c r="AO798" s="12"/>
      <c r="AP798" s="12"/>
      <c r="AQ798" s="12"/>
      <c r="AR798" s="12"/>
      <c r="AS798" s="44"/>
      <c r="AT798" s="45"/>
      <c r="AU798" s="12"/>
      <c r="AV798" s="12"/>
      <c r="AW798" s="12"/>
      <c r="AX798" s="12"/>
      <c r="AY798" s="44"/>
      <c r="AZ798" s="45"/>
      <c r="BA798" s="12"/>
      <c r="BB798" s="12"/>
      <c r="BC798" s="12"/>
      <c r="BD798" s="12"/>
      <c r="BE798" s="44"/>
      <c r="BF798" s="45"/>
      <c r="BG798" s="12"/>
      <c r="BH798" s="12"/>
      <c r="BI798" s="12"/>
      <c r="BJ798" s="12"/>
      <c r="BK798" s="44"/>
      <c r="BL798" s="45"/>
      <c r="BM798" s="12"/>
      <c r="BN798" s="12"/>
      <c r="BO798" s="12"/>
      <c r="BP798" s="12"/>
      <c r="BQ798" s="48"/>
      <c r="BR798" s="49"/>
      <c r="BS798" s="13"/>
      <c r="BT798" s="12"/>
      <c r="BV798" s="14"/>
      <c r="BW798" s="50"/>
      <c r="BX798" s="54"/>
      <c r="BY798" s="14"/>
      <c r="BZ798" s="14"/>
      <c r="CA798" s="14"/>
      <c r="CB798" s="14"/>
      <c r="CC798" s="14"/>
      <c r="CD798" s="14"/>
      <c r="CE798" s="14"/>
      <c r="CF798" s="15"/>
      <c r="CG798" s="14"/>
      <c r="CH798" s="14"/>
      <c r="CI798" s="50"/>
      <c r="CJ798" s="54"/>
      <c r="CK798" s="14"/>
      <c r="CL798" s="14"/>
      <c r="CM798" s="14"/>
      <c r="CN798" s="14"/>
      <c r="CO798" s="14"/>
      <c r="CP798" s="14"/>
      <c r="CQ798" s="14"/>
      <c r="CR798" s="14"/>
      <c r="CS798" s="14"/>
      <c r="CT798" s="14"/>
      <c r="CU798" s="16"/>
      <c r="CV798" s="14"/>
      <c r="CW798" s="50"/>
      <c r="CX798" s="17"/>
    </row>
    <row r="799" spans="4:102" x14ac:dyDescent="0.25"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43"/>
      <c r="Q799" s="11"/>
      <c r="R799" s="11"/>
      <c r="S799" s="11"/>
      <c r="T799" s="11"/>
      <c r="U799" s="11"/>
      <c r="V799" s="11"/>
      <c r="W799" s="11"/>
      <c r="X799" s="12"/>
      <c r="Y799" s="12"/>
      <c r="Z799" s="12"/>
      <c r="AA799" s="44"/>
      <c r="AB799" s="45"/>
      <c r="AC799" s="12"/>
      <c r="AD799" s="12"/>
      <c r="AE799" s="12"/>
      <c r="AF799" s="12"/>
      <c r="AG799" s="44"/>
      <c r="AH799" s="45"/>
      <c r="AI799" s="12"/>
      <c r="AJ799" s="12"/>
      <c r="AK799" s="12"/>
      <c r="AL799" s="12"/>
      <c r="AM799" s="44"/>
      <c r="AN799" s="45"/>
      <c r="AO799" s="12"/>
      <c r="AP799" s="12"/>
      <c r="AQ799" s="12"/>
      <c r="AR799" s="12"/>
      <c r="AS799" s="44"/>
      <c r="AT799" s="45"/>
      <c r="AU799" s="12"/>
      <c r="AV799" s="12"/>
      <c r="AW799" s="12"/>
      <c r="AX799" s="12"/>
      <c r="AY799" s="44"/>
      <c r="AZ799" s="45"/>
      <c r="BA799" s="12"/>
      <c r="BB799" s="12"/>
      <c r="BC799" s="12"/>
      <c r="BD799" s="12"/>
      <c r="BE799" s="44"/>
      <c r="BF799" s="45"/>
      <c r="BG799" s="12"/>
      <c r="BH799" s="12"/>
      <c r="BI799" s="12"/>
      <c r="BJ799" s="12"/>
      <c r="BK799" s="44"/>
      <c r="BL799" s="45"/>
      <c r="BM799" s="12"/>
      <c r="BN799" s="12"/>
      <c r="BO799" s="12"/>
      <c r="BP799" s="12"/>
      <c r="BQ799" s="48"/>
      <c r="BR799" s="49"/>
      <c r="BS799" s="13"/>
      <c r="BT799" s="12"/>
      <c r="BV799" s="14"/>
      <c r="BW799" s="50"/>
      <c r="BX799" s="54"/>
      <c r="BY799" s="14"/>
      <c r="BZ799" s="14"/>
      <c r="CA799" s="14"/>
      <c r="CB799" s="14"/>
      <c r="CC799" s="14"/>
      <c r="CD799" s="14"/>
      <c r="CE799" s="14"/>
      <c r="CF799" s="15"/>
      <c r="CG799" s="14"/>
      <c r="CH799" s="14"/>
      <c r="CI799" s="50"/>
      <c r="CJ799" s="54"/>
      <c r="CK799" s="14"/>
      <c r="CL799" s="14"/>
      <c r="CM799" s="14"/>
      <c r="CN799" s="14"/>
      <c r="CO799" s="14"/>
      <c r="CP799" s="14"/>
      <c r="CQ799" s="14"/>
      <c r="CR799" s="14"/>
      <c r="CS799" s="14"/>
      <c r="CT799" s="14"/>
      <c r="CU799" s="16"/>
      <c r="CV799" s="14"/>
      <c r="CW799" s="50"/>
      <c r="CX799" s="17"/>
    </row>
    <row r="800" spans="4:102" x14ac:dyDescent="0.25"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43"/>
      <c r="Q800" s="11"/>
      <c r="R800" s="11"/>
      <c r="S800" s="11"/>
      <c r="T800" s="11"/>
      <c r="U800" s="11"/>
      <c r="V800" s="11"/>
      <c r="W800" s="11"/>
      <c r="X800" s="12"/>
      <c r="Y800" s="12"/>
      <c r="Z800" s="12"/>
      <c r="AA800" s="44"/>
      <c r="AB800" s="45"/>
      <c r="AC800" s="12"/>
      <c r="AD800" s="12"/>
      <c r="AE800" s="12"/>
      <c r="AF800" s="12"/>
      <c r="AG800" s="44"/>
      <c r="AH800" s="45"/>
      <c r="AI800" s="12"/>
      <c r="AJ800" s="12"/>
      <c r="AK800" s="12"/>
      <c r="AL800" s="12"/>
      <c r="AM800" s="44"/>
      <c r="AN800" s="45"/>
      <c r="AO800" s="12"/>
      <c r="AP800" s="12"/>
      <c r="AQ800" s="12"/>
      <c r="AR800" s="12"/>
      <c r="AS800" s="44"/>
      <c r="AT800" s="45"/>
      <c r="AU800" s="12"/>
      <c r="AV800" s="12"/>
      <c r="AW800" s="12"/>
      <c r="AX800" s="12"/>
      <c r="AY800" s="44"/>
      <c r="AZ800" s="45"/>
      <c r="BA800" s="12"/>
      <c r="BB800" s="12"/>
      <c r="BC800" s="12"/>
      <c r="BD800" s="12"/>
      <c r="BE800" s="44"/>
      <c r="BF800" s="45"/>
      <c r="BG800" s="12"/>
      <c r="BH800" s="12"/>
      <c r="BI800" s="12"/>
      <c r="BJ800" s="12"/>
      <c r="BK800" s="44"/>
      <c r="BL800" s="45"/>
      <c r="BM800" s="12"/>
      <c r="BN800" s="12"/>
      <c r="BO800" s="12"/>
      <c r="BP800" s="12"/>
      <c r="BQ800" s="48"/>
      <c r="BR800" s="49"/>
      <c r="BS800" s="13"/>
      <c r="BT800" s="12"/>
      <c r="BV800" s="14"/>
      <c r="BW800" s="50"/>
      <c r="BX800" s="54"/>
      <c r="BY800" s="14"/>
      <c r="BZ800" s="14"/>
      <c r="CA800" s="14"/>
      <c r="CB800" s="14"/>
      <c r="CC800" s="14"/>
      <c r="CD800" s="14"/>
      <c r="CE800" s="14"/>
      <c r="CF800" s="15"/>
      <c r="CG800" s="14"/>
      <c r="CH800" s="14"/>
      <c r="CI800" s="50"/>
      <c r="CJ800" s="54"/>
      <c r="CK800" s="14"/>
      <c r="CL800" s="14"/>
      <c r="CM800" s="14"/>
      <c r="CN800" s="14"/>
      <c r="CO800" s="14"/>
      <c r="CP800" s="14"/>
      <c r="CQ800" s="14"/>
      <c r="CR800" s="14"/>
      <c r="CS800" s="14"/>
      <c r="CT800" s="14"/>
      <c r="CU800" s="16"/>
      <c r="CV800" s="14"/>
      <c r="CW800" s="50"/>
      <c r="CX800" s="17"/>
    </row>
    <row r="801" spans="4:102" x14ac:dyDescent="0.25"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43"/>
      <c r="Q801" s="11"/>
      <c r="R801" s="11"/>
      <c r="S801" s="11"/>
      <c r="T801" s="11"/>
      <c r="U801" s="11"/>
      <c r="V801" s="11"/>
      <c r="W801" s="11"/>
      <c r="X801" s="12"/>
      <c r="Y801" s="12"/>
      <c r="Z801" s="12"/>
      <c r="AA801" s="44"/>
      <c r="AB801" s="45"/>
      <c r="AC801" s="12"/>
      <c r="AD801" s="12"/>
      <c r="AE801" s="12"/>
      <c r="AF801" s="12"/>
      <c r="AG801" s="44"/>
      <c r="AH801" s="45"/>
      <c r="AI801" s="12"/>
      <c r="AJ801" s="12"/>
      <c r="AK801" s="12"/>
      <c r="AL801" s="12"/>
      <c r="AM801" s="44"/>
      <c r="AN801" s="45"/>
      <c r="AO801" s="12"/>
      <c r="AP801" s="12"/>
      <c r="AQ801" s="12"/>
      <c r="AR801" s="12"/>
      <c r="AS801" s="44"/>
      <c r="AT801" s="45"/>
      <c r="AU801" s="12"/>
      <c r="AV801" s="12"/>
      <c r="AW801" s="12"/>
      <c r="AX801" s="12"/>
      <c r="AY801" s="44"/>
      <c r="AZ801" s="45"/>
      <c r="BA801" s="12"/>
      <c r="BB801" s="12"/>
      <c r="BC801" s="12"/>
      <c r="BD801" s="12"/>
      <c r="BE801" s="44"/>
      <c r="BF801" s="45"/>
      <c r="BG801" s="12"/>
      <c r="BH801" s="12"/>
      <c r="BI801" s="12"/>
      <c r="BJ801" s="12"/>
      <c r="BK801" s="44"/>
      <c r="BL801" s="45"/>
      <c r="BM801" s="12"/>
      <c r="BN801" s="12"/>
      <c r="BO801" s="12"/>
      <c r="BP801" s="12"/>
      <c r="BQ801" s="48"/>
      <c r="BR801" s="49"/>
      <c r="BS801" s="13"/>
      <c r="BT801" s="12"/>
      <c r="BV801" s="14"/>
      <c r="BW801" s="50"/>
      <c r="BX801" s="54"/>
      <c r="BY801" s="14"/>
      <c r="BZ801" s="14"/>
      <c r="CA801" s="14"/>
      <c r="CB801" s="14"/>
      <c r="CC801" s="14"/>
      <c r="CD801" s="14"/>
      <c r="CE801" s="14"/>
      <c r="CF801" s="15"/>
      <c r="CG801" s="14"/>
      <c r="CH801" s="14"/>
      <c r="CI801" s="50"/>
      <c r="CJ801" s="54"/>
      <c r="CK801" s="14"/>
      <c r="CL801" s="14"/>
      <c r="CM801" s="14"/>
      <c r="CN801" s="14"/>
      <c r="CO801" s="14"/>
      <c r="CP801" s="14"/>
      <c r="CQ801" s="14"/>
      <c r="CR801" s="14"/>
      <c r="CS801" s="14"/>
      <c r="CT801" s="14"/>
      <c r="CU801" s="16"/>
      <c r="CV801" s="14"/>
      <c r="CW801" s="50"/>
      <c r="CX801" s="17"/>
    </row>
    <row r="802" spans="4:102" x14ac:dyDescent="0.25"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43"/>
      <c r="Q802" s="11"/>
      <c r="R802" s="11"/>
      <c r="S802" s="11"/>
      <c r="T802" s="11"/>
      <c r="U802" s="11"/>
      <c r="V802" s="11"/>
      <c r="W802" s="11"/>
      <c r="X802" s="12"/>
      <c r="Y802" s="12"/>
      <c r="Z802" s="12"/>
      <c r="AA802" s="44"/>
      <c r="AB802" s="45"/>
      <c r="AC802" s="12"/>
      <c r="AD802" s="12"/>
      <c r="AE802" s="12"/>
      <c r="AF802" s="12"/>
      <c r="AG802" s="44"/>
      <c r="AH802" s="45"/>
      <c r="AI802" s="12"/>
      <c r="AJ802" s="12"/>
      <c r="AK802" s="12"/>
      <c r="AL802" s="12"/>
      <c r="AM802" s="44"/>
      <c r="AN802" s="45"/>
      <c r="AO802" s="12"/>
      <c r="AP802" s="12"/>
      <c r="AQ802" s="12"/>
      <c r="AR802" s="12"/>
      <c r="AS802" s="44"/>
      <c r="AT802" s="45"/>
      <c r="AU802" s="12"/>
      <c r="AV802" s="12"/>
      <c r="AW802" s="12"/>
      <c r="AX802" s="12"/>
      <c r="AY802" s="44"/>
      <c r="AZ802" s="45"/>
      <c r="BA802" s="12"/>
      <c r="BB802" s="12"/>
      <c r="BC802" s="12"/>
      <c r="BD802" s="12"/>
      <c r="BE802" s="44"/>
      <c r="BF802" s="45"/>
      <c r="BG802" s="12"/>
      <c r="BH802" s="12"/>
      <c r="BI802" s="12"/>
      <c r="BJ802" s="12"/>
      <c r="BK802" s="44"/>
      <c r="BL802" s="45"/>
      <c r="BM802" s="12"/>
      <c r="BN802" s="12"/>
      <c r="BO802" s="12"/>
      <c r="BP802" s="12"/>
      <c r="BQ802" s="48"/>
      <c r="BR802" s="49"/>
      <c r="BS802" s="13"/>
      <c r="BT802" s="12"/>
      <c r="BV802" s="14"/>
      <c r="BW802" s="50"/>
      <c r="BX802" s="54"/>
      <c r="BY802" s="14"/>
      <c r="BZ802" s="14"/>
      <c r="CA802" s="14"/>
      <c r="CB802" s="14"/>
      <c r="CC802" s="14"/>
      <c r="CD802" s="14"/>
      <c r="CE802" s="14"/>
      <c r="CF802" s="15"/>
      <c r="CG802" s="14"/>
      <c r="CH802" s="14"/>
      <c r="CI802" s="50"/>
      <c r="CJ802" s="54"/>
      <c r="CK802" s="14"/>
      <c r="CL802" s="14"/>
      <c r="CM802" s="14"/>
      <c r="CN802" s="14"/>
      <c r="CO802" s="14"/>
      <c r="CP802" s="14"/>
      <c r="CQ802" s="14"/>
      <c r="CR802" s="14"/>
      <c r="CS802" s="14"/>
      <c r="CT802" s="14"/>
      <c r="CU802" s="16"/>
      <c r="CV802" s="14"/>
      <c r="CW802" s="50"/>
      <c r="CX802" s="17"/>
    </row>
    <row r="803" spans="4:102" x14ac:dyDescent="0.25"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43"/>
      <c r="Q803" s="11"/>
      <c r="R803" s="11"/>
      <c r="S803" s="11"/>
      <c r="T803" s="11"/>
      <c r="U803" s="11"/>
      <c r="V803" s="11"/>
      <c r="W803" s="11"/>
      <c r="X803" s="12"/>
      <c r="Y803" s="12"/>
      <c r="Z803" s="12"/>
      <c r="AA803" s="44"/>
      <c r="AB803" s="45"/>
      <c r="AC803" s="12"/>
      <c r="AD803" s="12"/>
      <c r="AE803" s="12"/>
      <c r="AF803" s="12"/>
      <c r="AG803" s="44"/>
      <c r="AH803" s="45"/>
      <c r="AI803" s="12"/>
      <c r="AJ803" s="12"/>
      <c r="AK803" s="12"/>
      <c r="AL803" s="12"/>
      <c r="AM803" s="44"/>
      <c r="AN803" s="45"/>
      <c r="AO803" s="12"/>
      <c r="AP803" s="12"/>
      <c r="AQ803" s="12"/>
      <c r="AR803" s="12"/>
      <c r="AS803" s="44"/>
      <c r="AT803" s="45"/>
      <c r="AU803" s="12"/>
      <c r="AV803" s="12"/>
      <c r="AW803" s="12"/>
      <c r="AX803" s="12"/>
      <c r="AY803" s="44"/>
      <c r="AZ803" s="45"/>
      <c r="BA803" s="12"/>
      <c r="BB803" s="12"/>
      <c r="BC803" s="12"/>
      <c r="BD803" s="12"/>
      <c r="BE803" s="44"/>
      <c r="BF803" s="45"/>
      <c r="BG803" s="12"/>
      <c r="BH803" s="12"/>
      <c r="BI803" s="12"/>
      <c r="BJ803" s="12"/>
      <c r="BK803" s="44"/>
      <c r="BL803" s="45"/>
      <c r="BM803" s="12"/>
      <c r="BN803" s="12"/>
      <c r="BO803" s="12"/>
      <c r="BP803" s="12"/>
      <c r="BQ803" s="48"/>
      <c r="BR803" s="49"/>
      <c r="BS803" s="13"/>
      <c r="BT803" s="12"/>
      <c r="BV803" s="14"/>
      <c r="BW803" s="50"/>
      <c r="BX803" s="54"/>
      <c r="BY803" s="14"/>
      <c r="BZ803" s="14"/>
      <c r="CA803" s="14"/>
      <c r="CB803" s="14"/>
      <c r="CC803" s="14"/>
      <c r="CD803" s="14"/>
      <c r="CE803" s="14"/>
      <c r="CF803" s="15"/>
      <c r="CG803" s="14"/>
      <c r="CH803" s="14"/>
      <c r="CI803" s="50"/>
      <c r="CJ803" s="54"/>
      <c r="CK803" s="14"/>
      <c r="CL803" s="14"/>
      <c r="CM803" s="14"/>
      <c r="CN803" s="14"/>
      <c r="CO803" s="14"/>
      <c r="CP803" s="14"/>
      <c r="CQ803" s="14"/>
      <c r="CR803" s="14"/>
      <c r="CS803" s="14"/>
      <c r="CT803" s="14"/>
      <c r="CU803" s="16"/>
      <c r="CV803" s="14"/>
      <c r="CW803" s="50"/>
      <c r="CX803" s="17"/>
    </row>
    <row r="804" spans="4:102" x14ac:dyDescent="0.25"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43"/>
      <c r="Q804" s="11"/>
      <c r="R804" s="11"/>
      <c r="S804" s="11"/>
      <c r="T804" s="11"/>
      <c r="U804" s="11"/>
      <c r="V804" s="11"/>
      <c r="W804" s="11"/>
      <c r="X804" s="12"/>
      <c r="Y804" s="12"/>
      <c r="Z804" s="12"/>
      <c r="AA804" s="44"/>
      <c r="AB804" s="45"/>
      <c r="AC804" s="12"/>
      <c r="AD804" s="12"/>
      <c r="AE804" s="12"/>
      <c r="AF804" s="12"/>
      <c r="AG804" s="44"/>
      <c r="AH804" s="45"/>
      <c r="AI804" s="12"/>
      <c r="AJ804" s="12"/>
      <c r="AK804" s="12"/>
      <c r="AL804" s="12"/>
      <c r="AM804" s="44"/>
      <c r="AN804" s="45"/>
      <c r="AO804" s="12"/>
      <c r="AP804" s="12"/>
      <c r="AQ804" s="12"/>
      <c r="AR804" s="12"/>
      <c r="AS804" s="44"/>
      <c r="AT804" s="45"/>
      <c r="AU804" s="12"/>
      <c r="AV804" s="12"/>
      <c r="AW804" s="12"/>
      <c r="AX804" s="12"/>
      <c r="AY804" s="44"/>
      <c r="AZ804" s="45"/>
      <c r="BA804" s="12"/>
      <c r="BB804" s="12"/>
      <c r="BC804" s="12"/>
      <c r="BD804" s="12"/>
      <c r="BE804" s="44"/>
      <c r="BF804" s="45"/>
      <c r="BG804" s="12"/>
      <c r="BH804" s="12"/>
      <c r="BI804" s="12"/>
      <c r="BJ804" s="12"/>
      <c r="BK804" s="44"/>
      <c r="BL804" s="45"/>
      <c r="BM804" s="12"/>
      <c r="BN804" s="12"/>
      <c r="BO804" s="12"/>
      <c r="BP804" s="12"/>
      <c r="BQ804" s="48"/>
      <c r="BR804" s="49"/>
      <c r="BS804" s="13"/>
      <c r="BT804" s="12"/>
      <c r="BV804" s="14"/>
      <c r="BW804" s="50"/>
      <c r="BX804" s="54"/>
      <c r="BY804" s="14"/>
      <c r="BZ804" s="14"/>
      <c r="CA804" s="14"/>
      <c r="CB804" s="14"/>
      <c r="CC804" s="14"/>
      <c r="CD804" s="14"/>
      <c r="CE804" s="14"/>
      <c r="CF804" s="15"/>
      <c r="CG804" s="14"/>
      <c r="CH804" s="14"/>
      <c r="CI804" s="50"/>
      <c r="CJ804" s="54"/>
      <c r="CK804" s="14"/>
      <c r="CL804" s="14"/>
      <c r="CM804" s="14"/>
      <c r="CN804" s="14"/>
      <c r="CO804" s="14"/>
      <c r="CP804" s="14"/>
      <c r="CQ804" s="14"/>
      <c r="CR804" s="14"/>
      <c r="CS804" s="14"/>
      <c r="CT804" s="14"/>
      <c r="CU804" s="16"/>
      <c r="CV804" s="14"/>
      <c r="CW804" s="50"/>
      <c r="CX804" s="17"/>
    </row>
    <row r="805" spans="4:102" x14ac:dyDescent="0.25"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43"/>
      <c r="Q805" s="11"/>
      <c r="R805" s="11"/>
      <c r="S805" s="11"/>
      <c r="T805" s="11"/>
      <c r="U805" s="11"/>
      <c r="V805" s="11"/>
      <c r="W805" s="11"/>
      <c r="X805" s="12"/>
      <c r="Y805" s="12"/>
      <c r="Z805" s="12"/>
      <c r="AA805" s="44"/>
      <c r="AB805" s="45"/>
      <c r="AC805" s="12"/>
      <c r="AD805" s="12"/>
      <c r="AE805" s="12"/>
      <c r="AF805" s="12"/>
      <c r="AG805" s="44"/>
      <c r="AH805" s="45"/>
      <c r="AI805" s="12"/>
      <c r="AJ805" s="12"/>
      <c r="AK805" s="12"/>
      <c r="AL805" s="12"/>
      <c r="AM805" s="44"/>
      <c r="AN805" s="45"/>
      <c r="AO805" s="12"/>
      <c r="AP805" s="12"/>
      <c r="AQ805" s="12"/>
      <c r="AR805" s="12"/>
      <c r="AS805" s="44"/>
      <c r="AT805" s="45"/>
      <c r="AU805" s="12"/>
      <c r="AV805" s="12"/>
      <c r="AW805" s="12"/>
      <c r="AX805" s="12"/>
      <c r="AY805" s="44"/>
      <c r="AZ805" s="45"/>
      <c r="BA805" s="12"/>
      <c r="BB805" s="12"/>
      <c r="BC805" s="12"/>
      <c r="BD805" s="12"/>
      <c r="BE805" s="44"/>
      <c r="BF805" s="45"/>
      <c r="BG805" s="12"/>
      <c r="BH805" s="12"/>
      <c r="BI805" s="12"/>
      <c r="BJ805" s="12"/>
      <c r="BK805" s="44"/>
      <c r="BL805" s="45"/>
      <c r="BM805" s="12"/>
      <c r="BN805" s="12"/>
      <c r="BO805" s="12"/>
      <c r="BP805" s="12"/>
      <c r="BQ805" s="48"/>
      <c r="BR805" s="49"/>
      <c r="BS805" s="13"/>
      <c r="BT805" s="12"/>
      <c r="BV805" s="14"/>
      <c r="BW805" s="50"/>
      <c r="BX805" s="54"/>
      <c r="BY805" s="14"/>
      <c r="BZ805" s="14"/>
      <c r="CA805" s="14"/>
      <c r="CB805" s="14"/>
      <c r="CC805" s="14"/>
      <c r="CD805" s="14"/>
      <c r="CE805" s="14"/>
      <c r="CF805" s="15"/>
      <c r="CG805" s="14"/>
      <c r="CH805" s="14"/>
      <c r="CI805" s="50"/>
      <c r="CJ805" s="54"/>
      <c r="CK805" s="14"/>
      <c r="CL805" s="14"/>
      <c r="CM805" s="14"/>
      <c r="CN805" s="14"/>
      <c r="CO805" s="14"/>
      <c r="CP805" s="14"/>
      <c r="CQ805" s="14"/>
      <c r="CR805" s="14"/>
      <c r="CS805" s="14"/>
      <c r="CT805" s="14"/>
      <c r="CU805" s="16"/>
      <c r="CV805" s="14"/>
      <c r="CW805" s="50"/>
      <c r="CX805" s="17"/>
    </row>
    <row r="806" spans="4:102" x14ac:dyDescent="0.25"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43"/>
      <c r="Q806" s="11"/>
      <c r="R806" s="11"/>
      <c r="S806" s="11"/>
      <c r="T806" s="11"/>
      <c r="U806" s="11"/>
      <c r="V806" s="11"/>
      <c r="W806" s="11"/>
      <c r="X806" s="12"/>
      <c r="Y806" s="12"/>
      <c r="Z806" s="12"/>
      <c r="AA806" s="44"/>
      <c r="AB806" s="45"/>
      <c r="AC806" s="12"/>
      <c r="AD806" s="12"/>
      <c r="AE806" s="12"/>
      <c r="AF806" s="12"/>
      <c r="AG806" s="44"/>
      <c r="AH806" s="45"/>
      <c r="AI806" s="12"/>
      <c r="AJ806" s="12"/>
      <c r="AK806" s="12"/>
      <c r="AL806" s="12"/>
      <c r="AM806" s="44"/>
      <c r="AN806" s="45"/>
      <c r="AO806" s="12"/>
      <c r="AP806" s="12"/>
      <c r="AQ806" s="12"/>
      <c r="AR806" s="12"/>
      <c r="AS806" s="44"/>
      <c r="AT806" s="45"/>
      <c r="AU806" s="12"/>
      <c r="AV806" s="12"/>
      <c r="AW806" s="12"/>
      <c r="AX806" s="12"/>
      <c r="AY806" s="44"/>
      <c r="AZ806" s="45"/>
      <c r="BA806" s="12"/>
      <c r="BB806" s="12"/>
      <c r="BC806" s="12"/>
      <c r="BD806" s="12"/>
      <c r="BE806" s="44"/>
      <c r="BF806" s="45"/>
      <c r="BG806" s="12"/>
      <c r="BH806" s="12"/>
      <c r="BI806" s="12"/>
      <c r="BJ806" s="12"/>
      <c r="BK806" s="44"/>
      <c r="BL806" s="45"/>
      <c r="BM806" s="12"/>
      <c r="BN806" s="12"/>
      <c r="BO806" s="12"/>
      <c r="BP806" s="12"/>
      <c r="BQ806" s="48"/>
      <c r="BR806" s="49"/>
      <c r="BS806" s="13"/>
      <c r="BT806" s="12"/>
      <c r="BV806" s="14"/>
      <c r="BW806" s="50"/>
      <c r="BX806" s="54"/>
      <c r="BY806" s="14"/>
      <c r="BZ806" s="14"/>
      <c r="CA806" s="14"/>
      <c r="CB806" s="14"/>
      <c r="CC806" s="14"/>
      <c r="CD806" s="14"/>
      <c r="CE806" s="14"/>
      <c r="CF806" s="15"/>
      <c r="CG806" s="14"/>
      <c r="CH806" s="14"/>
      <c r="CI806" s="50"/>
      <c r="CJ806" s="54"/>
      <c r="CK806" s="14"/>
      <c r="CL806" s="14"/>
      <c r="CM806" s="14"/>
      <c r="CN806" s="14"/>
      <c r="CO806" s="14"/>
      <c r="CP806" s="14"/>
      <c r="CQ806" s="14"/>
      <c r="CR806" s="14"/>
      <c r="CS806" s="14"/>
      <c r="CT806" s="14"/>
      <c r="CU806" s="16"/>
      <c r="CV806" s="14"/>
      <c r="CW806" s="50"/>
      <c r="CX806" s="17"/>
    </row>
    <row r="807" spans="4:102" x14ac:dyDescent="0.25"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43"/>
      <c r="Q807" s="11"/>
      <c r="R807" s="11"/>
      <c r="S807" s="11"/>
      <c r="T807" s="11"/>
      <c r="U807" s="11"/>
      <c r="V807" s="11"/>
      <c r="W807" s="11"/>
      <c r="X807" s="12"/>
      <c r="Y807" s="12"/>
      <c r="Z807" s="12"/>
      <c r="AA807" s="44"/>
      <c r="AB807" s="45"/>
      <c r="AC807" s="12"/>
      <c r="AD807" s="12"/>
      <c r="AE807" s="12"/>
      <c r="AF807" s="12"/>
      <c r="AG807" s="44"/>
      <c r="AH807" s="45"/>
      <c r="AI807" s="12"/>
      <c r="AJ807" s="12"/>
      <c r="AK807" s="12"/>
      <c r="AL807" s="12"/>
      <c r="AM807" s="44"/>
      <c r="AN807" s="45"/>
      <c r="AO807" s="12"/>
      <c r="AP807" s="12"/>
      <c r="AQ807" s="12"/>
      <c r="AR807" s="12"/>
      <c r="AS807" s="44"/>
      <c r="AT807" s="45"/>
      <c r="AU807" s="12"/>
      <c r="AV807" s="12"/>
      <c r="AW807" s="12"/>
      <c r="AX807" s="12"/>
      <c r="AY807" s="44"/>
      <c r="AZ807" s="45"/>
      <c r="BA807" s="12"/>
      <c r="BB807" s="12"/>
      <c r="BC807" s="12"/>
      <c r="BD807" s="12"/>
      <c r="BE807" s="44"/>
      <c r="BF807" s="45"/>
      <c r="BG807" s="12"/>
      <c r="BH807" s="12"/>
      <c r="BI807" s="12"/>
      <c r="BJ807" s="12"/>
      <c r="BK807" s="44"/>
      <c r="BL807" s="45"/>
      <c r="BM807" s="12"/>
      <c r="BN807" s="12"/>
      <c r="BO807" s="12"/>
      <c r="BP807" s="12"/>
      <c r="BQ807" s="48"/>
      <c r="BR807" s="49"/>
      <c r="BS807" s="13"/>
      <c r="BT807" s="12"/>
      <c r="BV807" s="14"/>
      <c r="BW807" s="50"/>
      <c r="BX807" s="54"/>
      <c r="BY807" s="14"/>
      <c r="BZ807" s="14"/>
      <c r="CA807" s="14"/>
      <c r="CB807" s="14"/>
      <c r="CC807" s="14"/>
      <c r="CD807" s="14"/>
      <c r="CE807" s="14"/>
      <c r="CF807" s="15"/>
      <c r="CG807" s="14"/>
      <c r="CH807" s="14"/>
      <c r="CI807" s="50"/>
      <c r="CJ807" s="54"/>
      <c r="CK807" s="14"/>
      <c r="CL807" s="14"/>
      <c r="CM807" s="14"/>
      <c r="CN807" s="14"/>
      <c r="CO807" s="14"/>
      <c r="CP807" s="14"/>
      <c r="CQ807" s="14"/>
      <c r="CR807" s="14"/>
      <c r="CS807" s="14"/>
      <c r="CT807" s="14"/>
      <c r="CU807" s="16"/>
      <c r="CV807" s="14"/>
      <c r="CW807" s="50"/>
      <c r="CX807" s="17"/>
    </row>
    <row r="808" spans="4:102" x14ac:dyDescent="0.25"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43"/>
      <c r="Q808" s="11"/>
      <c r="R808" s="11"/>
      <c r="S808" s="11"/>
      <c r="T808" s="11"/>
      <c r="U808" s="11"/>
      <c r="V808" s="11"/>
      <c r="W808" s="11"/>
      <c r="X808" s="12"/>
      <c r="Y808" s="12"/>
      <c r="Z808" s="12"/>
      <c r="AA808" s="44"/>
      <c r="AB808" s="45"/>
      <c r="AC808" s="12"/>
      <c r="AD808" s="12"/>
      <c r="AE808" s="12"/>
      <c r="AF808" s="12"/>
      <c r="AG808" s="44"/>
      <c r="AH808" s="45"/>
      <c r="AI808" s="12"/>
      <c r="AJ808" s="12"/>
      <c r="AK808" s="12"/>
      <c r="AL808" s="12"/>
      <c r="AM808" s="44"/>
      <c r="AN808" s="45"/>
      <c r="AO808" s="12"/>
      <c r="AP808" s="12"/>
      <c r="AQ808" s="12"/>
      <c r="AR808" s="12"/>
      <c r="AS808" s="44"/>
      <c r="AT808" s="45"/>
      <c r="AU808" s="12"/>
      <c r="AV808" s="12"/>
      <c r="AW808" s="12"/>
      <c r="AX808" s="12"/>
      <c r="AY808" s="44"/>
      <c r="AZ808" s="45"/>
      <c r="BA808" s="12"/>
      <c r="BB808" s="12"/>
      <c r="BC808" s="12"/>
      <c r="BD808" s="12"/>
      <c r="BE808" s="44"/>
      <c r="BF808" s="45"/>
      <c r="BG808" s="12"/>
      <c r="BH808" s="12"/>
      <c r="BI808" s="12"/>
      <c r="BJ808" s="12"/>
      <c r="BK808" s="44"/>
      <c r="BL808" s="45"/>
      <c r="BM808" s="12"/>
      <c r="BN808" s="12"/>
      <c r="BO808" s="12"/>
      <c r="BP808" s="12"/>
      <c r="BQ808" s="48"/>
      <c r="BR808" s="49"/>
      <c r="BS808" s="13"/>
      <c r="BT808" s="12"/>
      <c r="BV808" s="14"/>
      <c r="BW808" s="50"/>
      <c r="BX808" s="54"/>
      <c r="BY808" s="14"/>
      <c r="BZ808" s="14"/>
      <c r="CA808" s="14"/>
      <c r="CB808" s="14"/>
      <c r="CC808" s="14"/>
      <c r="CD808" s="14"/>
      <c r="CE808" s="14"/>
      <c r="CF808" s="15"/>
      <c r="CG808" s="14"/>
      <c r="CH808" s="14"/>
      <c r="CI808" s="50"/>
      <c r="CJ808" s="54"/>
      <c r="CK808" s="14"/>
      <c r="CL808" s="14"/>
      <c r="CM808" s="14"/>
      <c r="CN808" s="14"/>
      <c r="CO808" s="14"/>
      <c r="CP808" s="14"/>
      <c r="CQ808" s="14"/>
      <c r="CR808" s="14"/>
      <c r="CS808" s="14"/>
      <c r="CT808" s="14"/>
      <c r="CU808" s="16"/>
      <c r="CV808" s="14"/>
      <c r="CW808" s="50"/>
      <c r="CX808" s="17"/>
    </row>
    <row r="809" spans="4:102" x14ac:dyDescent="0.25"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43"/>
      <c r="Q809" s="11"/>
      <c r="R809" s="11"/>
      <c r="S809" s="11"/>
      <c r="T809" s="11"/>
      <c r="U809" s="11"/>
      <c r="V809" s="11"/>
      <c r="W809" s="11"/>
      <c r="X809" s="12"/>
      <c r="Y809" s="12"/>
      <c r="Z809" s="12"/>
      <c r="AA809" s="44"/>
      <c r="AB809" s="45"/>
      <c r="AC809" s="12"/>
      <c r="AD809" s="12"/>
      <c r="AE809" s="12"/>
      <c r="AF809" s="12"/>
      <c r="AG809" s="44"/>
      <c r="AH809" s="45"/>
      <c r="AI809" s="12"/>
      <c r="AJ809" s="12"/>
      <c r="AK809" s="12"/>
      <c r="AL809" s="12"/>
      <c r="AM809" s="44"/>
      <c r="AN809" s="45"/>
      <c r="AO809" s="12"/>
      <c r="AP809" s="12"/>
      <c r="AQ809" s="12"/>
      <c r="AR809" s="12"/>
      <c r="AS809" s="44"/>
      <c r="AT809" s="45"/>
      <c r="AU809" s="12"/>
      <c r="AV809" s="12"/>
      <c r="AW809" s="12"/>
      <c r="AX809" s="12"/>
      <c r="AY809" s="44"/>
      <c r="AZ809" s="45"/>
      <c r="BA809" s="12"/>
      <c r="BB809" s="12"/>
      <c r="BC809" s="12"/>
      <c r="BD809" s="12"/>
      <c r="BE809" s="44"/>
      <c r="BF809" s="45"/>
      <c r="BG809" s="12"/>
      <c r="BH809" s="12"/>
      <c r="BI809" s="12"/>
      <c r="BJ809" s="12"/>
      <c r="BK809" s="44"/>
      <c r="BL809" s="45"/>
      <c r="BM809" s="12"/>
      <c r="BN809" s="12"/>
      <c r="BO809" s="12"/>
      <c r="BP809" s="12"/>
      <c r="BQ809" s="48"/>
      <c r="BR809" s="49"/>
      <c r="BS809" s="13"/>
      <c r="BT809" s="12"/>
      <c r="BV809" s="14"/>
      <c r="BW809" s="50"/>
      <c r="BX809" s="54"/>
      <c r="BY809" s="14"/>
      <c r="BZ809" s="14"/>
      <c r="CA809" s="14"/>
      <c r="CB809" s="14"/>
      <c r="CC809" s="14"/>
      <c r="CD809" s="14"/>
      <c r="CE809" s="14"/>
      <c r="CF809" s="15"/>
      <c r="CG809" s="14"/>
      <c r="CH809" s="14"/>
      <c r="CI809" s="50"/>
      <c r="CJ809" s="54"/>
      <c r="CK809" s="14"/>
      <c r="CL809" s="14"/>
      <c r="CM809" s="14"/>
      <c r="CN809" s="14"/>
      <c r="CO809" s="14"/>
      <c r="CP809" s="14"/>
      <c r="CQ809" s="14"/>
      <c r="CR809" s="14"/>
      <c r="CS809" s="14"/>
      <c r="CT809" s="14"/>
      <c r="CU809" s="16"/>
      <c r="CV809" s="14"/>
      <c r="CW809" s="50"/>
      <c r="CX809" s="17"/>
    </row>
    <row r="810" spans="4:102" x14ac:dyDescent="0.25"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43"/>
      <c r="Q810" s="11"/>
      <c r="R810" s="11"/>
      <c r="S810" s="11"/>
      <c r="T810" s="11"/>
      <c r="U810" s="11"/>
      <c r="V810" s="11"/>
      <c r="W810" s="11"/>
      <c r="X810" s="12"/>
      <c r="Y810" s="12"/>
      <c r="Z810" s="12"/>
      <c r="AA810" s="44"/>
      <c r="AB810" s="45"/>
      <c r="AC810" s="12"/>
      <c r="AD810" s="12"/>
      <c r="AE810" s="12"/>
      <c r="AF810" s="12"/>
      <c r="AG810" s="44"/>
      <c r="AH810" s="45"/>
      <c r="AI810" s="12"/>
      <c r="AJ810" s="12"/>
      <c r="AK810" s="12"/>
      <c r="AL810" s="12"/>
      <c r="AM810" s="44"/>
      <c r="AN810" s="45"/>
      <c r="AO810" s="12"/>
      <c r="AP810" s="12"/>
      <c r="AQ810" s="12"/>
      <c r="AR810" s="12"/>
      <c r="AS810" s="44"/>
      <c r="AT810" s="45"/>
      <c r="AU810" s="12"/>
      <c r="AV810" s="12"/>
      <c r="AW810" s="12"/>
      <c r="AX810" s="12"/>
      <c r="AY810" s="44"/>
      <c r="AZ810" s="45"/>
      <c r="BA810" s="12"/>
      <c r="BB810" s="12"/>
      <c r="BC810" s="12"/>
      <c r="BD810" s="12"/>
      <c r="BE810" s="44"/>
      <c r="BF810" s="45"/>
      <c r="BG810" s="12"/>
      <c r="BH810" s="12"/>
      <c r="BI810" s="12"/>
      <c r="BJ810" s="12"/>
      <c r="BK810" s="44"/>
      <c r="BL810" s="45"/>
      <c r="BM810" s="12"/>
      <c r="BN810" s="12"/>
      <c r="BO810" s="12"/>
      <c r="BP810" s="12"/>
      <c r="BQ810" s="48"/>
      <c r="BR810" s="49"/>
      <c r="BS810" s="13"/>
      <c r="BT810" s="12"/>
      <c r="BV810" s="14"/>
      <c r="BW810" s="50"/>
      <c r="BX810" s="54"/>
      <c r="BY810" s="14"/>
      <c r="BZ810" s="14"/>
      <c r="CA810" s="14"/>
      <c r="CB810" s="14"/>
      <c r="CC810" s="14"/>
      <c r="CD810" s="14"/>
      <c r="CE810" s="14"/>
      <c r="CF810" s="15"/>
      <c r="CG810" s="14"/>
      <c r="CH810" s="14"/>
      <c r="CI810" s="50"/>
      <c r="CJ810" s="54"/>
      <c r="CK810" s="14"/>
      <c r="CL810" s="14"/>
      <c r="CM810" s="14"/>
      <c r="CN810" s="14"/>
      <c r="CO810" s="14"/>
      <c r="CP810" s="14"/>
      <c r="CQ810" s="14"/>
      <c r="CR810" s="14"/>
      <c r="CS810" s="14"/>
      <c r="CT810" s="14"/>
      <c r="CU810" s="16"/>
      <c r="CV810" s="14"/>
      <c r="CW810" s="50"/>
      <c r="CX810" s="17"/>
    </row>
    <row r="811" spans="4:102" x14ac:dyDescent="0.25"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43"/>
      <c r="Q811" s="11"/>
      <c r="R811" s="11"/>
      <c r="S811" s="11"/>
      <c r="T811" s="11"/>
      <c r="U811" s="11"/>
      <c r="V811" s="11"/>
      <c r="W811" s="11"/>
      <c r="X811" s="12"/>
      <c r="Y811" s="12"/>
      <c r="Z811" s="12"/>
      <c r="AA811" s="44"/>
      <c r="AB811" s="45"/>
      <c r="AC811" s="12"/>
      <c r="AD811" s="12"/>
      <c r="AE811" s="12"/>
      <c r="AF811" s="12"/>
      <c r="AG811" s="44"/>
      <c r="AH811" s="45"/>
      <c r="AI811" s="12"/>
      <c r="AJ811" s="12"/>
      <c r="AK811" s="12"/>
      <c r="AL811" s="12"/>
      <c r="AM811" s="44"/>
      <c r="AN811" s="45"/>
      <c r="AO811" s="12"/>
      <c r="AP811" s="12"/>
      <c r="AQ811" s="12"/>
      <c r="AR811" s="12"/>
      <c r="AS811" s="44"/>
      <c r="AT811" s="45"/>
      <c r="AU811" s="12"/>
      <c r="AV811" s="12"/>
      <c r="AW811" s="12"/>
      <c r="AX811" s="12"/>
      <c r="AY811" s="44"/>
      <c r="AZ811" s="45"/>
      <c r="BA811" s="12"/>
      <c r="BB811" s="12"/>
      <c r="BC811" s="12"/>
      <c r="BD811" s="12"/>
      <c r="BE811" s="44"/>
      <c r="BF811" s="45"/>
      <c r="BG811" s="12"/>
      <c r="BH811" s="12"/>
      <c r="BI811" s="12"/>
      <c r="BJ811" s="12"/>
      <c r="BK811" s="44"/>
      <c r="BL811" s="45"/>
      <c r="BM811" s="12"/>
      <c r="BN811" s="12"/>
      <c r="BO811" s="12"/>
      <c r="BP811" s="12"/>
      <c r="BQ811" s="48"/>
      <c r="BR811" s="49"/>
      <c r="BS811" s="13"/>
      <c r="BT811" s="12"/>
      <c r="BV811" s="14"/>
      <c r="BW811" s="50"/>
      <c r="BX811" s="54"/>
      <c r="BY811" s="14"/>
      <c r="BZ811" s="14"/>
      <c r="CA811" s="14"/>
      <c r="CB811" s="14"/>
      <c r="CC811" s="14"/>
      <c r="CD811" s="14"/>
      <c r="CE811" s="14"/>
      <c r="CF811" s="15"/>
      <c r="CG811" s="14"/>
      <c r="CH811" s="14"/>
      <c r="CI811" s="50"/>
      <c r="CJ811" s="54"/>
      <c r="CK811" s="14"/>
      <c r="CL811" s="14"/>
      <c r="CM811" s="14"/>
      <c r="CN811" s="14"/>
      <c r="CO811" s="14"/>
      <c r="CP811" s="14"/>
      <c r="CQ811" s="14"/>
      <c r="CR811" s="14"/>
      <c r="CS811" s="14"/>
      <c r="CT811" s="14"/>
      <c r="CU811" s="16"/>
      <c r="CV811" s="14"/>
      <c r="CW811" s="50"/>
      <c r="CX811" s="17"/>
    </row>
    <row r="812" spans="4:102" x14ac:dyDescent="0.25"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43"/>
      <c r="Q812" s="11"/>
      <c r="R812" s="11"/>
      <c r="S812" s="11"/>
      <c r="T812" s="11"/>
      <c r="U812" s="11"/>
      <c r="V812" s="11"/>
      <c r="W812" s="11"/>
      <c r="X812" s="12"/>
      <c r="Y812" s="12"/>
      <c r="Z812" s="12"/>
      <c r="AA812" s="44"/>
      <c r="AB812" s="45"/>
      <c r="AC812" s="12"/>
      <c r="AD812" s="12"/>
      <c r="AE812" s="12"/>
      <c r="AF812" s="12"/>
      <c r="AG812" s="44"/>
      <c r="AH812" s="45"/>
      <c r="AI812" s="12"/>
      <c r="AJ812" s="12"/>
      <c r="AK812" s="12"/>
      <c r="AL812" s="12"/>
      <c r="AM812" s="44"/>
      <c r="AN812" s="45"/>
      <c r="AO812" s="12"/>
      <c r="AP812" s="12"/>
      <c r="AQ812" s="12"/>
      <c r="AR812" s="12"/>
      <c r="AS812" s="44"/>
      <c r="AT812" s="45"/>
      <c r="AU812" s="12"/>
      <c r="AV812" s="12"/>
      <c r="AW812" s="12"/>
      <c r="AX812" s="12"/>
      <c r="AY812" s="44"/>
      <c r="AZ812" s="45"/>
      <c r="BA812" s="12"/>
      <c r="BB812" s="12"/>
      <c r="BC812" s="12"/>
      <c r="BD812" s="12"/>
      <c r="BE812" s="44"/>
      <c r="BF812" s="45"/>
      <c r="BG812" s="12"/>
      <c r="BH812" s="12"/>
      <c r="BI812" s="12"/>
      <c r="BJ812" s="12"/>
      <c r="BK812" s="44"/>
      <c r="BL812" s="45"/>
      <c r="BM812" s="12"/>
      <c r="BN812" s="12"/>
      <c r="BO812" s="12"/>
      <c r="BP812" s="12"/>
      <c r="BQ812" s="48"/>
      <c r="BR812" s="49"/>
      <c r="BS812" s="13"/>
      <c r="BT812" s="12"/>
      <c r="BV812" s="14"/>
      <c r="BW812" s="50"/>
      <c r="BX812" s="54"/>
      <c r="BY812" s="14"/>
      <c r="BZ812" s="14"/>
      <c r="CA812" s="14"/>
      <c r="CB812" s="14"/>
      <c r="CC812" s="14"/>
      <c r="CD812" s="14"/>
      <c r="CE812" s="14"/>
      <c r="CF812" s="15"/>
      <c r="CG812" s="14"/>
      <c r="CH812" s="14"/>
      <c r="CI812" s="50"/>
      <c r="CJ812" s="54"/>
      <c r="CK812" s="14"/>
      <c r="CL812" s="14"/>
      <c r="CM812" s="14"/>
      <c r="CN812" s="14"/>
      <c r="CO812" s="14"/>
      <c r="CP812" s="14"/>
      <c r="CQ812" s="14"/>
      <c r="CR812" s="14"/>
      <c r="CS812" s="14"/>
      <c r="CT812" s="14"/>
      <c r="CU812" s="16"/>
      <c r="CV812" s="14"/>
      <c r="CW812" s="50"/>
      <c r="CX812" s="17"/>
    </row>
    <row r="813" spans="4:102" x14ac:dyDescent="0.25"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43"/>
      <c r="Q813" s="11"/>
      <c r="R813" s="11"/>
      <c r="S813" s="11"/>
      <c r="T813" s="11"/>
      <c r="U813" s="11"/>
      <c r="V813" s="11"/>
      <c r="W813" s="11"/>
      <c r="X813" s="12"/>
      <c r="Y813" s="12"/>
      <c r="Z813" s="12"/>
      <c r="AA813" s="44"/>
      <c r="AB813" s="45"/>
      <c r="AC813" s="12"/>
      <c r="AD813" s="12"/>
      <c r="AE813" s="12"/>
      <c r="AF813" s="12"/>
      <c r="AG813" s="44"/>
      <c r="AH813" s="45"/>
      <c r="AI813" s="12"/>
      <c r="AJ813" s="12"/>
      <c r="AK813" s="12"/>
      <c r="AL813" s="12"/>
      <c r="AM813" s="44"/>
      <c r="AN813" s="45"/>
      <c r="AO813" s="12"/>
      <c r="AP813" s="12"/>
      <c r="AQ813" s="12"/>
      <c r="AR813" s="12"/>
      <c r="AS813" s="44"/>
      <c r="AT813" s="45"/>
      <c r="AU813" s="12"/>
      <c r="AV813" s="12"/>
      <c r="AW813" s="12"/>
      <c r="AX813" s="12"/>
      <c r="AY813" s="44"/>
      <c r="AZ813" s="45"/>
      <c r="BA813" s="12"/>
      <c r="BB813" s="12"/>
      <c r="BC813" s="12"/>
      <c r="BD813" s="12"/>
      <c r="BE813" s="44"/>
      <c r="BF813" s="45"/>
      <c r="BG813" s="12"/>
      <c r="BH813" s="12"/>
      <c r="BI813" s="12"/>
      <c r="BJ813" s="12"/>
      <c r="BK813" s="44"/>
      <c r="BL813" s="45"/>
      <c r="BM813" s="12"/>
      <c r="BN813" s="12"/>
      <c r="BO813" s="12"/>
      <c r="BP813" s="12"/>
      <c r="BQ813" s="48"/>
      <c r="BR813" s="49"/>
      <c r="BS813" s="13"/>
      <c r="BT813" s="12"/>
      <c r="BV813" s="14"/>
      <c r="BW813" s="50"/>
      <c r="BX813" s="54"/>
      <c r="BY813" s="14"/>
      <c r="BZ813" s="14"/>
      <c r="CA813" s="14"/>
      <c r="CB813" s="14"/>
      <c r="CC813" s="14"/>
      <c r="CD813" s="14"/>
      <c r="CE813" s="14"/>
      <c r="CF813" s="15"/>
      <c r="CG813" s="14"/>
      <c r="CH813" s="14"/>
      <c r="CI813" s="50"/>
      <c r="CJ813" s="54"/>
      <c r="CK813" s="14"/>
      <c r="CL813" s="14"/>
      <c r="CM813" s="14"/>
      <c r="CN813" s="14"/>
      <c r="CO813" s="14"/>
      <c r="CP813" s="14"/>
      <c r="CQ813" s="14"/>
      <c r="CR813" s="14"/>
      <c r="CS813" s="14"/>
      <c r="CT813" s="14"/>
      <c r="CU813" s="16"/>
      <c r="CV813" s="14"/>
      <c r="CW813" s="50"/>
      <c r="CX813" s="17"/>
    </row>
    <row r="814" spans="4:102" x14ac:dyDescent="0.25"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43"/>
      <c r="Q814" s="11"/>
      <c r="R814" s="11"/>
      <c r="S814" s="11"/>
      <c r="T814" s="11"/>
      <c r="U814" s="11"/>
      <c r="V814" s="11"/>
      <c r="W814" s="11"/>
      <c r="X814" s="12"/>
      <c r="Y814" s="12"/>
      <c r="Z814" s="12"/>
      <c r="AA814" s="44"/>
      <c r="AB814" s="45"/>
      <c r="AC814" s="12"/>
      <c r="AD814" s="12"/>
      <c r="AE814" s="12"/>
      <c r="AF814" s="12"/>
      <c r="AG814" s="44"/>
      <c r="AH814" s="45"/>
      <c r="AI814" s="12"/>
      <c r="AJ814" s="12"/>
      <c r="AK814" s="12"/>
      <c r="AL814" s="12"/>
      <c r="AM814" s="44"/>
      <c r="AN814" s="45"/>
      <c r="AO814" s="12"/>
      <c r="AP814" s="12"/>
      <c r="AQ814" s="12"/>
      <c r="AR814" s="12"/>
      <c r="AS814" s="44"/>
      <c r="AT814" s="45"/>
      <c r="AU814" s="12"/>
      <c r="AV814" s="12"/>
      <c r="AW814" s="12"/>
      <c r="AX814" s="12"/>
      <c r="AY814" s="44"/>
      <c r="AZ814" s="45"/>
      <c r="BA814" s="12"/>
      <c r="BB814" s="12"/>
      <c r="BC814" s="12"/>
      <c r="BD814" s="12"/>
      <c r="BE814" s="44"/>
      <c r="BF814" s="45"/>
      <c r="BG814" s="12"/>
      <c r="BH814" s="12"/>
      <c r="BI814" s="12"/>
      <c r="BJ814" s="12"/>
      <c r="BK814" s="44"/>
      <c r="BL814" s="45"/>
      <c r="BM814" s="12"/>
      <c r="BN814" s="12"/>
      <c r="BO814" s="12"/>
      <c r="BP814" s="12"/>
      <c r="BQ814" s="48"/>
      <c r="BR814" s="49"/>
      <c r="BS814" s="13"/>
      <c r="BT814" s="12"/>
      <c r="BV814" s="14"/>
      <c r="BW814" s="50"/>
      <c r="BX814" s="54"/>
      <c r="BY814" s="14"/>
      <c r="BZ814" s="14"/>
      <c r="CA814" s="14"/>
      <c r="CB814" s="14"/>
      <c r="CC814" s="14"/>
      <c r="CD814" s="14"/>
      <c r="CE814" s="14"/>
      <c r="CF814" s="15"/>
      <c r="CG814" s="14"/>
      <c r="CH814" s="14"/>
      <c r="CI814" s="50"/>
      <c r="CJ814" s="54"/>
      <c r="CK814" s="14"/>
      <c r="CL814" s="14"/>
      <c r="CM814" s="14"/>
      <c r="CN814" s="14"/>
      <c r="CO814" s="14"/>
      <c r="CP814" s="14"/>
      <c r="CQ814" s="14"/>
      <c r="CR814" s="14"/>
      <c r="CS814" s="14"/>
      <c r="CT814" s="14"/>
      <c r="CU814" s="16"/>
      <c r="CV814" s="14"/>
      <c r="CW814" s="50"/>
      <c r="CX814" s="17"/>
    </row>
    <row r="815" spans="4:102" x14ac:dyDescent="0.25"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43"/>
      <c r="Q815" s="11"/>
      <c r="R815" s="11"/>
      <c r="S815" s="11"/>
      <c r="T815" s="11"/>
      <c r="U815" s="11"/>
      <c r="V815" s="11"/>
      <c r="W815" s="11"/>
      <c r="X815" s="12"/>
      <c r="Y815" s="12"/>
      <c r="Z815" s="12"/>
      <c r="AA815" s="44"/>
      <c r="AB815" s="45"/>
      <c r="AC815" s="12"/>
      <c r="AD815" s="12"/>
      <c r="AE815" s="12"/>
      <c r="AF815" s="12"/>
      <c r="AG815" s="44"/>
      <c r="AH815" s="45"/>
      <c r="AI815" s="12"/>
      <c r="AJ815" s="12"/>
      <c r="AK815" s="12"/>
      <c r="AL815" s="12"/>
      <c r="AM815" s="44"/>
      <c r="AN815" s="45"/>
      <c r="AO815" s="12"/>
      <c r="AP815" s="12"/>
      <c r="AQ815" s="12"/>
      <c r="AR815" s="12"/>
      <c r="AS815" s="44"/>
      <c r="AT815" s="45"/>
      <c r="AU815" s="12"/>
      <c r="AV815" s="12"/>
      <c r="AW815" s="12"/>
      <c r="AX815" s="12"/>
      <c r="AY815" s="44"/>
      <c r="AZ815" s="45"/>
      <c r="BA815" s="12"/>
      <c r="BB815" s="12"/>
      <c r="BC815" s="12"/>
      <c r="BD815" s="12"/>
      <c r="BE815" s="44"/>
      <c r="BF815" s="45"/>
      <c r="BG815" s="12"/>
      <c r="BH815" s="12"/>
      <c r="BI815" s="12"/>
      <c r="BJ815" s="12"/>
      <c r="BK815" s="44"/>
      <c r="BL815" s="45"/>
      <c r="BM815" s="12"/>
      <c r="BN815" s="12"/>
      <c r="BO815" s="12"/>
      <c r="BP815" s="12"/>
      <c r="BQ815" s="48"/>
      <c r="BR815" s="49"/>
      <c r="BS815" s="13"/>
      <c r="BT815" s="12"/>
      <c r="BV815" s="14"/>
      <c r="BW815" s="50"/>
      <c r="BX815" s="54"/>
      <c r="BY815" s="14"/>
      <c r="BZ815" s="14"/>
      <c r="CA815" s="14"/>
      <c r="CB815" s="14"/>
      <c r="CC815" s="14"/>
      <c r="CD815" s="14"/>
      <c r="CE815" s="14"/>
      <c r="CF815" s="15"/>
      <c r="CG815" s="14"/>
      <c r="CH815" s="14"/>
      <c r="CI815" s="50"/>
      <c r="CJ815" s="54"/>
      <c r="CK815" s="14"/>
      <c r="CL815" s="14"/>
      <c r="CM815" s="14"/>
      <c r="CN815" s="14"/>
      <c r="CO815" s="14"/>
      <c r="CP815" s="14"/>
      <c r="CQ815" s="14"/>
      <c r="CR815" s="14"/>
      <c r="CS815" s="14"/>
      <c r="CT815" s="14"/>
      <c r="CU815" s="16"/>
      <c r="CV815" s="14"/>
      <c r="CW815" s="50"/>
      <c r="CX815" s="17"/>
    </row>
    <row r="816" spans="4:102" x14ac:dyDescent="0.25"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43"/>
      <c r="Q816" s="11"/>
      <c r="R816" s="11"/>
      <c r="S816" s="11"/>
      <c r="T816" s="11"/>
      <c r="U816" s="11"/>
      <c r="V816" s="11"/>
      <c r="W816" s="11"/>
      <c r="X816" s="12"/>
      <c r="Y816" s="12"/>
      <c r="Z816" s="12"/>
      <c r="AA816" s="44"/>
      <c r="AB816" s="45"/>
      <c r="AC816" s="12"/>
      <c r="AD816" s="12"/>
      <c r="AE816" s="12"/>
      <c r="AF816" s="12"/>
      <c r="AG816" s="44"/>
      <c r="AH816" s="45"/>
      <c r="AI816" s="12"/>
      <c r="AJ816" s="12"/>
      <c r="AK816" s="12"/>
      <c r="AL816" s="12"/>
      <c r="AM816" s="44"/>
      <c r="AN816" s="45"/>
      <c r="AO816" s="12"/>
      <c r="AP816" s="12"/>
      <c r="AQ816" s="12"/>
      <c r="AR816" s="12"/>
      <c r="AS816" s="44"/>
      <c r="AT816" s="45"/>
      <c r="AU816" s="12"/>
      <c r="AV816" s="12"/>
      <c r="AW816" s="12"/>
      <c r="AX816" s="12"/>
      <c r="AY816" s="44"/>
      <c r="AZ816" s="45"/>
      <c r="BA816" s="12"/>
      <c r="BB816" s="12"/>
      <c r="BC816" s="12"/>
      <c r="BD816" s="12"/>
      <c r="BE816" s="44"/>
      <c r="BF816" s="45"/>
      <c r="BG816" s="12"/>
      <c r="BH816" s="12"/>
      <c r="BI816" s="12"/>
      <c r="BJ816" s="12"/>
      <c r="BK816" s="44"/>
      <c r="BL816" s="45"/>
      <c r="BM816" s="12"/>
      <c r="BN816" s="12"/>
      <c r="BO816" s="12"/>
      <c r="BP816" s="12"/>
      <c r="BQ816" s="48"/>
      <c r="BR816" s="49"/>
      <c r="BS816" s="13"/>
      <c r="BT816" s="12"/>
      <c r="BV816" s="14"/>
      <c r="BW816" s="50"/>
      <c r="BX816" s="54"/>
      <c r="BY816" s="14"/>
      <c r="BZ816" s="14"/>
      <c r="CA816" s="14"/>
      <c r="CB816" s="14"/>
      <c r="CC816" s="14"/>
      <c r="CD816" s="14"/>
      <c r="CE816" s="14"/>
      <c r="CF816" s="15"/>
      <c r="CG816" s="14"/>
      <c r="CH816" s="14"/>
      <c r="CI816" s="50"/>
      <c r="CJ816" s="54"/>
      <c r="CK816" s="14"/>
      <c r="CL816" s="14"/>
      <c r="CM816" s="14"/>
      <c r="CN816" s="14"/>
      <c r="CO816" s="14"/>
      <c r="CP816" s="14"/>
      <c r="CQ816" s="14"/>
      <c r="CR816" s="14"/>
      <c r="CS816" s="14"/>
      <c r="CT816" s="14"/>
      <c r="CU816" s="16"/>
      <c r="CV816" s="14"/>
      <c r="CW816" s="50"/>
      <c r="CX816" s="17"/>
    </row>
    <row r="817" spans="4:102" x14ac:dyDescent="0.25"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43"/>
      <c r="Q817" s="11"/>
      <c r="R817" s="11"/>
      <c r="S817" s="11"/>
      <c r="T817" s="11"/>
      <c r="U817" s="11"/>
      <c r="V817" s="11"/>
      <c r="W817" s="11"/>
      <c r="X817" s="12"/>
      <c r="Y817" s="12"/>
      <c r="Z817" s="12"/>
      <c r="AA817" s="44"/>
      <c r="AB817" s="45"/>
      <c r="AC817" s="12"/>
      <c r="AD817" s="12"/>
      <c r="AE817" s="12"/>
      <c r="AF817" s="12"/>
      <c r="AG817" s="44"/>
      <c r="AH817" s="45"/>
      <c r="AI817" s="12"/>
      <c r="AJ817" s="12"/>
      <c r="AK817" s="12"/>
      <c r="AL817" s="12"/>
      <c r="AM817" s="44"/>
      <c r="AN817" s="45"/>
      <c r="AO817" s="12"/>
      <c r="AP817" s="12"/>
      <c r="AQ817" s="12"/>
      <c r="AR817" s="12"/>
      <c r="AS817" s="44"/>
      <c r="AT817" s="45"/>
      <c r="AU817" s="12"/>
      <c r="AV817" s="12"/>
      <c r="AW817" s="12"/>
      <c r="AX817" s="12"/>
      <c r="AY817" s="44"/>
      <c r="AZ817" s="45"/>
      <c r="BA817" s="12"/>
      <c r="BB817" s="12"/>
      <c r="BC817" s="12"/>
      <c r="BD817" s="12"/>
      <c r="BE817" s="44"/>
      <c r="BF817" s="45"/>
      <c r="BG817" s="12"/>
      <c r="BH817" s="12"/>
      <c r="BI817" s="12"/>
      <c r="BJ817" s="12"/>
      <c r="BK817" s="44"/>
      <c r="BL817" s="45"/>
      <c r="BM817" s="12"/>
      <c r="BN817" s="12"/>
      <c r="BO817" s="12"/>
      <c r="BP817" s="12"/>
      <c r="BQ817" s="48"/>
      <c r="BR817" s="49"/>
      <c r="BS817" s="13"/>
      <c r="BT817" s="12"/>
      <c r="BV817" s="14"/>
      <c r="BW817" s="50"/>
      <c r="BX817" s="54"/>
      <c r="BY817" s="14"/>
      <c r="BZ817" s="14"/>
      <c r="CA817" s="14"/>
      <c r="CB817" s="14"/>
      <c r="CC817" s="14"/>
      <c r="CD817" s="14"/>
      <c r="CE817" s="14"/>
      <c r="CF817" s="15"/>
      <c r="CG817" s="14"/>
      <c r="CH817" s="14"/>
      <c r="CI817" s="50"/>
      <c r="CJ817" s="54"/>
      <c r="CK817" s="14"/>
      <c r="CL817" s="14"/>
      <c r="CM817" s="14"/>
      <c r="CN817" s="14"/>
      <c r="CO817" s="14"/>
      <c r="CP817" s="14"/>
      <c r="CQ817" s="14"/>
      <c r="CR817" s="14"/>
      <c r="CS817" s="14"/>
      <c r="CT817" s="14"/>
      <c r="CU817" s="16"/>
      <c r="CV817" s="14"/>
      <c r="CW817" s="50"/>
      <c r="CX817" s="17"/>
    </row>
    <row r="818" spans="4:102" x14ac:dyDescent="0.25"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43"/>
      <c r="Q818" s="11"/>
      <c r="R818" s="11"/>
      <c r="S818" s="11"/>
      <c r="T818" s="11"/>
      <c r="U818" s="11"/>
      <c r="V818" s="11"/>
      <c r="W818" s="11"/>
      <c r="X818" s="12"/>
      <c r="Y818" s="12"/>
      <c r="Z818" s="12"/>
      <c r="AA818" s="44"/>
      <c r="AB818" s="45"/>
      <c r="AC818" s="12"/>
      <c r="AD818" s="12"/>
      <c r="AE818" s="12"/>
      <c r="AF818" s="12"/>
      <c r="AG818" s="44"/>
      <c r="AH818" s="45"/>
      <c r="AI818" s="12"/>
      <c r="AJ818" s="12"/>
      <c r="AK818" s="12"/>
      <c r="AL818" s="12"/>
      <c r="AM818" s="44"/>
      <c r="AN818" s="45"/>
      <c r="AO818" s="12"/>
      <c r="AP818" s="12"/>
      <c r="AQ818" s="12"/>
      <c r="AR818" s="12"/>
      <c r="AS818" s="44"/>
      <c r="AT818" s="45"/>
      <c r="AU818" s="12"/>
      <c r="AV818" s="12"/>
      <c r="AW818" s="12"/>
      <c r="AX818" s="12"/>
      <c r="AY818" s="44"/>
      <c r="AZ818" s="45"/>
      <c r="BA818" s="12"/>
      <c r="BB818" s="12"/>
      <c r="BC818" s="12"/>
      <c r="BD818" s="12"/>
      <c r="BE818" s="44"/>
      <c r="BF818" s="45"/>
      <c r="BG818" s="12"/>
      <c r="BH818" s="12"/>
      <c r="BI818" s="12"/>
      <c r="BJ818" s="12"/>
      <c r="BK818" s="44"/>
      <c r="BL818" s="45"/>
      <c r="BM818" s="12"/>
      <c r="BN818" s="12"/>
      <c r="BO818" s="12"/>
      <c r="BP818" s="12"/>
      <c r="BQ818" s="48"/>
      <c r="BR818" s="49"/>
      <c r="BS818" s="13"/>
      <c r="BT818" s="12"/>
      <c r="BV818" s="14"/>
      <c r="BW818" s="50"/>
      <c r="BX818" s="54"/>
      <c r="BY818" s="14"/>
      <c r="BZ818" s="14"/>
      <c r="CA818" s="14"/>
      <c r="CB818" s="14"/>
      <c r="CC818" s="14"/>
      <c r="CD818" s="14"/>
      <c r="CE818" s="14"/>
      <c r="CF818" s="15"/>
      <c r="CG818" s="14"/>
      <c r="CH818" s="14"/>
      <c r="CI818" s="50"/>
      <c r="CJ818" s="54"/>
      <c r="CK818" s="14"/>
      <c r="CL818" s="14"/>
      <c r="CM818" s="14"/>
      <c r="CN818" s="14"/>
      <c r="CO818" s="14"/>
      <c r="CP818" s="14"/>
      <c r="CQ818" s="14"/>
      <c r="CR818" s="14"/>
      <c r="CS818" s="14"/>
      <c r="CT818" s="14"/>
      <c r="CU818" s="16"/>
      <c r="CV818" s="14"/>
      <c r="CW818" s="50"/>
      <c r="CX818" s="17"/>
    </row>
    <row r="819" spans="4:102" x14ac:dyDescent="0.25"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43"/>
      <c r="Q819" s="11"/>
      <c r="R819" s="11"/>
      <c r="S819" s="11"/>
      <c r="T819" s="11"/>
      <c r="U819" s="11"/>
      <c r="V819" s="11"/>
      <c r="W819" s="11"/>
      <c r="X819" s="12"/>
      <c r="Y819" s="12"/>
      <c r="Z819" s="12"/>
      <c r="AA819" s="44"/>
      <c r="AB819" s="45"/>
      <c r="AC819" s="12"/>
      <c r="AD819" s="12"/>
      <c r="AE819" s="12"/>
      <c r="AF819" s="12"/>
      <c r="AG819" s="44"/>
      <c r="AH819" s="45"/>
      <c r="AI819" s="12"/>
      <c r="AJ819" s="12"/>
      <c r="AK819" s="12"/>
      <c r="AL819" s="12"/>
      <c r="AM819" s="44"/>
      <c r="AN819" s="45"/>
      <c r="AO819" s="12"/>
      <c r="AP819" s="12"/>
      <c r="AQ819" s="12"/>
      <c r="AR819" s="12"/>
      <c r="AS819" s="44"/>
      <c r="AT819" s="45"/>
      <c r="AU819" s="12"/>
      <c r="AV819" s="12"/>
      <c r="AW819" s="12"/>
      <c r="AX819" s="12"/>
      <c r="AY819" s="44"/>
      <c r="AZ819" s="45"/>
      <c r="BA819" s="12"/>
      <c r="BB819" s="12"/>
      <c r="BC819" s="12"/>
      <c r="BD819" s="12"/>
      <c r="BE819" s="44"/>
      <c r="BF819" s="45"/>
      <c r="BG819" s="12"/>
      <c r="BH819" s="12"/>
      <c r="BI819" s="12"/>
      <c r="BJ819" s="12"/>
      <c r="BK819" s="44"/>
      <c r="BL819" s="45"/>
      <c r="BM819" s="12"/>
      <c r="BN819" s="12"/>
      <c r="BO819" s="12"/>
      <c r="BP819" s="12"/>
      <c r="BQ819" s="48"/>
      <c r="BR819" s="49"/>
      <c r="BS819" s="13"/>
      <c r="BT819" s="12"/>
      <c r="BV819" s="14"/>
      <c r="BW819" s="50"/>
      <c r="BX819" s="54"/>
      <c r="BY819" s="14"/>
      <c r="BZ819" s="14"/>
      <c r="CA819" s="14"/>
      <c r="CB819" s="14"/>
      <c r="CC819" s="14"/>
      <c r="CD819" s="14"/>
      <c r="CE819" s="14"/>
      <c r="CF819" s="15"/>
      <c r="CG819" s="14"/>
      <c r="CH819" s="14"/>
      <c r="CI819" s="50"/>
      <c r="CJ819" s="54"/>
      <c r="CK819" s="14"/>
      <c r="CL819" s="14"/>
      <c r="CM819" s="14"/>
      <c r="CN819" s="14"/>
      <c r="CO819" s="14"/>
      <c r="CP819" s="14"/>
      <c r="CQ819" s="14"/>
      <c r="CR819" s="14"/>
      <c r="CS819" s="14"/>
      <c r="CT819" s="14"/>
      <c r="CU819" s="16"/>
      <c r="CV819" s="14"/>
      <c r="CW819" s="50"/>
      <c r="CX819" s="17"/>
    </row>
    <row r="820" spans="4:102" x14ac:dyDescent="0.25"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43"/>
      <c r="Q820" s="11"/>
      <c r="R820" s="11"/>
      <c r="S820" s="11"/>
      <c r="T820" s="11"/>
      <c r="U820" s="11"/>
      <c r="V820" s="11"/>
      <c r="W820" s="11"/>
      <c r="X820" s="12"/>
      <c r="Y820" s="12"/>
      <c r="Z820" s="12"/>
      <c r="AA820" s="44"/>
      <c r="AB820" s="45"/>
      <c r="AC820" s="12"/>
      <c r="AD820" s="12"/>
      <c r="AE820" s="12"/>
      <c r="AF820" s="12"/>
      <c r="AG820" s="44"/>
      <c r="AH820" s="45"/>
      <c r="AI820" s="12"/>
      <c r="AJ820" s="12"/>
      <c r="AK820" s="12"/>
      <c r="AL820" s="12"/>
      <c r="AM820" s="44"/>
      <c r="AN820" s="45"/>
      <c r="AO820" s="12"/>
      <c r="AP820" s="12"/>
      <c r="AQ820" s="12"/>
      <c r="AR820" s="12"/>
      <c r="AS820" s="44"/>
      <c r="AT820" s="45"/>
      <c r="AU820" s="12"/>
      <c r="AV820" s="12"/>
      <c r="AW820" s="12"/>
      <c r="AX820" s="12"/>
      <c r="AY820" s="44"/>
      <c r="AZ820" s="45"/>
      <c r="BA820" s="12"/>
      <c r="BB820" s="12"/>
      <c r="BC820" s="12"/>
      <c r="BD820" s="12"/>
      <c r="BE820" s="44"/>
      <c r="BF820" s="45"/>
      <c r="BG820" s="12"/>
      <c r="BH820" s="12"/>
      <c r="BI820" s="12"/>
      <c r="BJ820" s="12"/>
      <c r="BK820" s="44"/>
      <c r="BL820" s="45"/>
      <c r="BM820" s="12"/>
      <c r="BN820" s="12"/>
      <c r="BO820" s="12"/>
      <c r="BP820" s="12"/>
      <c r="BQ820" s="48"/>
      <c r="BR820" s="49"/>
      <c r="BS820" s="13"/>
      <c r="BT820" s="12"/>
      <c r="BV820" s="14"/>
      <c r="BW820" s="50"/>
      <c r="BX820" s="54"/>
      <c r="BY820" s="14"/>
      <c r="BZ820" s="14"/>
      <c r="CA820" s="14"/>
      <c r="CB820" s="14"/>
      <c r="CC820" s="14"/>
      <c r="CD820" s="14"/>
      <c r="CE820" s="14"/>
      <c r="CF820" s="15"/>
      <c r="CG820" s="14"/>
      <c r="CH820" s="14"/>
      <c r="CI820" s="50"/>
      <c r="CJ820" s="54"/>
      <c r="CK820" s="14"/>
      <c r="CL820" s="14"/>
      <c r="CM820" s="14"/>
      <c r="CN820" s="14"/>
      <c r="CO820" s="14"/>
      <c r="CP820" s="14"/>
      <c r="CQ820" s="14"/>
      <c r="CR820" s="14"/>
      <c r="CS820" s="14"/>
      <c r="CT820" s="14"/>
      <c r="CU820" s="16"/>
      <c r="CV820" s="14"/>
      <c r="CW820" s="50"/>
      <c r="CX820" s="17"/>
    </row>
    <row r="821" spans="4:102" x14ac:dyDescent="0.25"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43"/>
      <c r="Q821" s="11"/>
      <c r="R821" s="11"/>
      <c r="S821" s="11"/>
      <c r="T821" s="11"/>
      <c r="U821" s="11"/>
      <c r="V821" s="11"/>
      <c r="W821" s="11"/>
      <c r="X821" s="12"/>
      <c r="Y821" s="12"/>
      <c r="Z821" s="12"/>
      <c r="AA821" s="44"/>
      <c r="AB821" s="45"/>
      <c r="AC821" s="12"/>
      <c r="AD821" s="12"/>
      <c r="AE821" s="12"/>
      <c r="AF821" s="12"/>
      <c r="AG821" s="44"/>
      <c r="AH821" s="45"/>
      <c r="AI821" s="12"/>
      <c r="AJ821" s="12"/>
      <c r="AK821" s="12"/>
      <c r="AL821" s="12"/>
      <c r="AM821" s="44"/>
      <c r="AN821" s="45"/>
      <c r="AO821" s="12"/>
      <c r="AP821" s="12"/>
      <c r="AQ821" s="12"/>
      <c r="AR821" s="12"/>
      <c r="AS821" s="44"/>
      <c r="AT821" s="45"/>
      <c r="AU821" s="12"/>
      <c r="AV821" s="12"/>
      <c r="AW821" s="12"/>
      <c r="AX821" s="12"/>
      <c r="AY821" s="44"/>
      <c r="AZ821" s="45"/>
      <c r="BA821" s="12"/>
      <c r="BB821" s="12"/>
      <c r="BC821" s="12"/>
      <c r="BD821" s="12"/>
      <c r="BE821" s="44"/>
      <c r="BF821" s="45"/>
      <c r="BG821" s="12"/>
      <c r="BH821" s="12"/>
      <c r="BI821" s="12"/>
      <c r="BJ821" s="12"/>
      <c r="BK821" s="44"/>
      <c r="BL821" s="45"/>
      <c r="BM821" s="12"/>
      <c r="BN821" s="12"/>
      <c r="BO821" s="12"/>
      <c r="BP821" s="12"/>
      <c r="BQ821" s="48"/>
      <c r="BR821" s="49"/>
      <c r="BS821" s="13"/>
      <c r="BT821" s="12"/>
      <c r="BV821" s="14"/>
      <c r="BW821" s="50"/>
      <c r="BX821" s="54"/>
      <c r="BY821" s="14"/>
      <c r="BZ821" s="14"/>
      <c r="CA821" s="14"/>
      <c r="CB821" s="14"/>
      <c r="CC821" s="14"/>
      <c r="CD821" s="14"/>
      <c r="CE821" s="14"/>
      <c r="CF821" s="15"/>
      <c r="CG821" s="14"/>
      <c r="CH821" s="14"/>
      <c r="CI821" s="50"/>
      <c r="CJ821" s="54"/>
      <c r="CK821" s="14"/>
      <c r="CL821" s="14"/>
      <c r="CM821" s="14"/>
      <c r="CN821" s="14"/>
      <c r="CO821" s="14"/>
      <c r="CP821" s="14"/>
      <c r="CQ821" s="14"/>
      <c r="CR821" s="14"/>
      <c r="CS821" s="14"/>
      <c r="CT821" s="14"/>
      <c r="CU821" s="16"/>
      <c r="CV821" s="14"/>
      <c r="CW821" s="50"/>
      <c r="CX821" s="17"/>
    </row>
    <row r="822" spans="4:102" x14ac:dyDescent="0.25"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43"/>
      <c r="Q822" s="11"/>
      <c r="R822" s="11"/>
      <c r="S822" s="11"/>
      <c r="T822" s="11"/>
      <c r="U822" s="11"/>
      <c r="V822" s="11"/>
      <c r="W822" s="11"/>
      <c r="X822" s="12"/>
      <c r="Y822" s="12"/>
      <c r="Z822" s="12"/>
      <c r="AA822" s="44"/>
      <c r="AB822" s="45"/>
      <c r="AC822" s="12"/>
      <c r="AD822" s="12"/>
      <c r="AE822" s="12"/>
      <c r="AF822" s="12"/>
      <c r="AG822" s="44"/>
      <c r="AH822" s="45"/>
      <c r="AI822" s="12"/>
      <c r="AJ822" s="12"/>
      <c r="AK822" s="12"/>
      <c r="AL822" s="12"/>
      <c r="AM822" s="44"/>
      <c r="AN822" s="45"/>
      <c r="AO822" s="12"/>
      <c r="AP822" s="12"/>
      <c r="AQ822" s="12"/>
      <c r="AR822" s="12"/>
      <c r="AS822" s="44"/>
      <c r="AT822" s="45"/>
      <c r="AU822" s="12"/>
      <c r="AV822" s="12"/>
      <c r="AW822" s="12"/>
      <c r="AX822" s="12"/>
      <c r="AY822" s="44"/>
      <c r="AZ822" s="45"/>
      <c r="BA822" s="12"/>
      <c r="BB822" s="12"/>
      <c r="BC822" s="12"/>
      <c r="BD822" s="12"/>
      <c r="BE822" s="44"/>
      <c r="BF822" s="45"/>
      <c r="BG822" s="12"/>
      <c r="BH822" s="12"/>
      <c r="BI822" s="12"/>
      <c r="BJ822" s="12"/>
      <c r="BK822" s="44"/>
      <c r="BL822" s="45"/>
      <c r="BM822" s="12"/>
      <c r="BN822" s="12"/>
      <c r="BO822" s="12"/>
      <c r="BP822" s="12"/>
      <c r="BQ822" s="48"/>
      <c r="BR822" s="49"/>
      <c r="BS822" s="13"/>
      <c r="BT822" s="12"/>
      <c r="BV822" s="14"/>
      <c r="BW822" s="50"/>
      <c r="BX822" s="54"/>
      <c r="BY822" s="14"/>
      <c r="BZ822" s="14"/>
      <c r="CA822" s="14"/>
      <c r="CB822" s="14"/>
      <c r="CC822" s="14"/>
      <c r="CD822" s="14"/>
      <c r="CE822" s="14"/>
      <c r="CF822" s="15"/>
      <c r="CG822" s="14"/>
      <c r="CH822" s="14"/>
      <c r="CI822" s="50"/>
      <c r="CJ822" s="54"/>
      <c r="CK822" s="14"/>
      <c r="CL822" s="14"/>
      <c r="CM822" s="14"/>
      <c r="CN822" s="14"/>
      <c r="CO822" s="14"/>
      <c r="CP822" s="14"/>
      <c r="CQ822" s="14"/>
      <c r="CR822" s="14"/>
      <c r="CS822" s="14"/>
      <c r="CT822" s="14"/>
      <c r="CU822" s="16"/>
      <c r="CV822" s="14"/>
      <c r="CW822" s="50"/>
      <c r="CX822" s="17"/>
    </row>
    <row r="823" spans="4:102" x14ac:dyDescent="0.25"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43"/>
      <c r="Q823" s="11"/>
      <c r="R823" s="11"/>
      <c r="S823" s="11"/>
      <c r="T823" s="11"/>
      <c r="U823" s="11"/>
      <c r="V823" s="11"/>
      <c r="W823" s="11"/>
      <c r="X823" s="12"/>
      <c r="Y823" s="12"/>
      <c r="Z823" s="12"/>
      <c r="AA823" s="44"/>
      <c r="AB823" s="45"/>
      <c r="AC823" s="12"/>
      <c r="AD823" s="12"/>
      <c r="AE823" s="12"/>
      <c r="AF823" s="12"/>
      <c r="AG823" s="44"/>
      <c r="AH823" s="45"/>
      <c r="AI823" s="12"/>
      <c r="AJ823" s="12"/>
      <c r="AK823" s="12"/>
      <c r="AL823" s="12"/>
      <c r="AM823" s="44"/>
      <c r="AN823" s="45"/>
      <c r="AO823" s="12"/>
      <c r="AP823" s="12"/>
      <c r="AQ823" s="12"/>
      <c r="AR823" s="12"/>
      <c r="AS823" s="44"/>
      <c r="AT823" s="45"/>
      <c r="AU823" s="12"/>
      <c r="AV823" s="12"/>
      <c r="AW823" s="12"/>
      <c r="AX823" s="12"/>
      <c r="AY823" s="44"/>
      <c r="AZ823" s="45"/>
      <c r="BA823" s="12"/>
      <c r="BB823" s="12"/>
      <c r="BC823" s="12"/>
      <c r="BD823" s="12"/>
      <c r="BE823" s="44"/>
      <c r="BF823" s="45"/>
      <c r="BG823" s="12"/>
      <c r="BH823" s="12"/>
      <c r="BI823" s="12"/>
      <c r="BJ823" s="12"/>
      <c r="BK823" s="44"/>
      <c r="BL823" s="45"/>
      <c r="BM823" s="12"/>
      <c r="BN823" s="12"/>
      <c r="BO823" s="12"/>
      <c r="BP823" s="12"/>
      <c r="BQ823" s="48"/>
      <c r="BR823" s="49"/>
      <c r="BS823" s="13"/>
      <c r="BT823" s="12"/>
      <c r="BV823" s="14"/>
      <c r="BW823" s="50"/>
      <c r="BX823" s="54"/>
      <c r="BY823" s="14"/>
      <c r="BZ823" s="14"/>
      <c r="CA823" s="14"/>
      <c r="CB823" s="14"/>
      <c r="CC823" s="14"/>
      <c r="CD823" s="14"/>
      <c r="CE823" s="14"/>
      <c r="CF823" s="15"/>
      <c r="CG823" s="14"/>
      <c r="CH823" s="14"/>
      <c r="CI823" s="50"/>
      <c r="CJ823" s="54"/>
      <c r="CK823" s="14"/>
      <c r="CL823" s="14"/>
      <c r="CM823" s="14"/>
      <c r="CN823" s="14"/>
      <c r="CO823" s="14"/>
      <c r="CP823" s="14"/>
      <c r="CQ823" s="14"/>
      <c r="CR823" s="14"/>
      <c r="CS823" s="14"/>
      <c r="CT823" s="14"/>
      <c r="CU823" s="16"/>
      <c r="CV823" s="14"/>
      <c r="CW823" s="50"/>
      <c r="CX823" s="17"/>
    </row>
    <row r="824" spans="4:102" x14ac:dyDescent="0.25"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43"/>
      <c r="Q824" s="11"/>
      <c r="R824" s="11"/>
      <c r="S824" s="11"/>
      <c r="T824" s="11"/>
      <c r="U824" s="11"/>
      <c r="V824" s="11"/>
      <c r="W824" s="11"/>
      <c r="X824" s="12"/>
      <c r="Y824" s="12"/>
      <c r="Z824" s="12"/>
      <c r="AA824" s="44"/>
      <c r="AB824" s="45"/>
      <c r="AC824" s="12"/>
      <c r="AD824" s="12"/>
      <c r="AE824" s="12"/>
      <c r="AF824" s="12"/>
      <c r="AG824" s="44"/>
      <c r="AH824" s="45"/>
      <c r="AI824" s="12"/>
      <c r="AJ824" s="12"/>
      <c r="AK824" s="12"/>
      <c r="AL824" s="12"/>
      <c r="AM824" s="44"/>
      <c r="AN824" s="45"/>
      <c r="AO824" s="12"/>
      <c r="AP824" s="12"/>
      <c r="AQ824" s="12"/>
      <c r="AR824" s="12"/>
      <c r="AS824" s="44"/>
      <c r="AT824" s="45"/>
      <c r="AU824" s="12"/>
      <c r="AV824" s="12"/>
      <c r="AW824" s="12"/>
      <c r="AX824" s="12"/>
      <c r="AY824" s="44"/>
      <c r="AZ824" s="45"/>
      <c r="BA824" s="12"/>
      <c r="BB824" s="12"/>
      <c r="BC824" s="12"/>
      <c r="BD824" s="12"/>
      <c r="BE824" s="44"/>
      <c r="BF824" s="45"/>
      <c r="BG824" s="12"/>
      <c r="BH824" s="12"/>
      <c r="BI824" s="12"/>
      <c r="BJ824" s="12"/>
      <c r="BK824" s="44"/>
      <c r="BL824" s="45"/>
      <c r="BM824" s="12"/>
      <c r="BN824" s="12"/>
      <c r="BO824" s="12"/>
      <c r="BP824" s="12"/>
      <c r="BQ824" s="48"/>
      <c r="BR824" s="49"/>
      <c r="BS824" s="13"/>
      <c r="BT824" s="12"/>
      <c r="BV824" s="14"/>
      <c r="BW824" s="50"/>
      <c r="BX824" s="54"/>
      <c r="BY824" s="14"/>
      <c r="BZ824" s="14"/>
      <c r="CA824" s="14"/>
      <c r="CB824" s="14"/>
      <c r="CC824" s="14"/>
      <c r="CD824" s="14"/>
      <c r="CE824" s="14"/>
      <c r="CF824" s="15"/>
      <c r="CG824" s="14"/>
      <c r="CH824" s="14"/>
      <c r="CI824" s="50"/>
      <c r="CJ824" s="54"/>
      <c r="CK824" s="14"/>
      <c r="CL824" s="14"/>
      <c r="CM824" s="14"/>
      <c r="CN824" s="14"/>
      <c r="CO824" s="14"/>
      <c r="CP824" s="14"/>
      <c r="CQ824" s="14"/>
      <c r="CR824" s="14"/>
      <c r="CS824" s="14"/>
      <c r="CT824" s="14"/>
      <c r="CU824" s="16"/>
      <c r="CV824" s="14"/>
      <c r="CW824" s="50"/>
      <c r="CX824" s="17"/>
    </row>
    <row r="825" spans="4:102" x14ac:dyDescent="0.25"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43"/>
      <c r="Q825" s="11"/>
      <c r="R825" s="11"/>
      <c r="S825" s="11"/>
      <c r="T825" s="11"/>
      <c r="U825" s="11"/>
      <c r="V825" s="11"/>
      <c r="W825" s="11"/>
      <c r="X825" s="12"/>
      <c r="Y825" s="12"/>
      <c r="Z825" s="12"/>
      <c r="AA825" s="44"/>
      <c r="AB825" s="45"/>
      <c r="AC825" s="12"/>
      <c r="AD825" s="12"/>
      <c r="AE825" s="12"/>
      <c r="AF825" s="12"/>
      <c r="AG825" s="44"/>
      <c r="AH825" s="45"/>
      <c r="AI825" s="12"/>
      <c r="AJ825" s="12"/>
      <c r="AK825" s="12"/>
      <c r="AL825" s="12"/>
      <c r="AM825" s="44"/>
      <c r="AN825" s="45"/>
      <c r="AO825" s="12"/>
      <c r="AP825" s="12"/>
      <c r="AQ825" s="12"/>
      <c r="AR825" s="12"/>
      <c r="AS825" s="44"/>
      <c r="AT825" s="45"/>
      <c r="AU825" s="12"/>
      <c r="AV825" s="12"/>
      <c r="AW825" s="12"/>
      <c r="AX825" s="12"/>
      <c r="AY825" s="44"/>
      <c r="AZ825" s="45"/>
      <c r="BA825" s="12"/>
      <c r="BB825" s="12"/>
      <c r="BC825" s="12"/>
      <c r="BD825" s="12"/>
      <c r="BE825" s="44"/>
      <c r="BF825" s="45"/>
      <c r="BG825" s="12"/>
      <c r="BH825" s="12"/>
      <c r="BI825" s="12"/>
      <c r="BJ825" s="12"/>
      <c r="BK825" s="44"/>
      <c r="BL825" s="45"/>
      <c r="BM825" s="12"/>
      <c r="BN825" s="12"/>
      <c r="BO825" s="12"/>
      <c r="BP825" s="12"/>
      <c r="BQ825" s="48"/>
      <c r="BR825" s="49"/>
      <c r="BS825" s="13"/>
      <c r="BT825" s="12"/>
      <c r="BV825" s="14"/>
      <c r="BW825" s="50"/>
      <c r="BX825" s="54"/>
      <c r="BY825" s="14"/>
      <c r="BZ825" s="14"/>
      <c r="CA825" s="14"/>
      <c r="CB825" s="14"/>
      <c r="CC825" s="14"/>
      <c r="CD825" s="14"/>
      <c r="CE825" s="14"/>
      <c r="CF825" s="15"/>
      <c r="CG825" s="14"/>
      <c r="CH825" s="14"/>
      <c r="CI825" s="50"/>
      <c r="CJ825" s="54"/>
      <c r="CK825" s="14"/>
      <c r="CL825" s="14"/>
      <c r="CM825" s="14"/>
      <c r="CN825" s="14"/>
      <c r="CO825" s="14"/>
      <c r="CP825" s="14"/>
      <c r="CQ825" s="14"/>
      <c r="CR825" s="14"/>
      <c r="CS825" s="14"/>
      <c r="CT825" s="14"/>
      <c r="CU825" s="16"/>
      <c r="CV825" s="14"/>
      <c r="CW825" s="50"/>
      <c r="CX825" s="17"/>
    </row>
    <row r="826" spans="4:102" x14ac:dyDescent="0.25"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43"/>
      <c r="Q826" s="11"/>
      <c r="R826" s="11"/>
      <c r="S826" s="11"/>
      <c r="T826" s="11"/>
      <c r="U826" s="11"/>
      <c r="V826" s="11"/>
      <c r="W826" s="11"/>
      <c r="X826" s="12"/>
      <c r="Y826" s="12"/>
      <c r="Z826" s="12"/>
      <c r="AA826" s="44"/>
      <c r="AB826" s="45"/>
      <c r="AC826" s="12"/>
      <c r="AD826" s="12"/>
      <c r="AE826" s="12"/>
      <c r="AF826" s="12"/>
      <c r="AG826" s="44"/>
      <c r="AH826" s="45"/>
      <c r="AI826" s="12"/>
      <c r="AJ826" s="12"/>
      <c r="AK826" s="12"/>
      <c r="AL826" s="12"/>
      <c r="AM826" s="44"/>
      <c r="AN826" s="45"/>
      <c r="AO826" s="12"/>
      <c r="AP826" s="12"/>
      <c r="AQ826" s="12"/>
      <c r="AR826" s="12"/>
      <c r="AS826" s="44"/>
      <c r="AT826" s="45"/>
      <c r="AU826" s="12"/>
      <c r="AV826" s="12"/>
      <c r="AW826" s="12"/>
      <c r="AX826" s="12"/>
      <c r="AY826" s="44"/>
      <c r="AZ826" s="45"/>
      <c r="BA826" s="12"/>
      <c r="BB826" s="12"/>
      <c r="BC826" s="12"/>
      <c r="BD826" s="12"/>
      <c r="BE826" s="44"/>
      <c r="BF826" s="45"/>
      <c r="BG826" s="12"/>
      <c r="BH826" s="12"/>
      <c r="BI826" s="12"/>
      <c r="BJ826" s="12"/>
      <c r="BK826" s="44"/>
      <c r="BL826" s="45"/>
      <c r="BM826" s="12"/>
      <c r="BN826" s="12"/>
      <c r="BO826" s="12"/>
      <c r="BP826" s="12"/>
      <c r="BQ826" s="48"/>
      <c r="BR826" s="49"/>
      <c r="BS826" s="13"/>
      <c r="BT826" s="12"/>
      <c r="BV826" s="14"/>
      <c r="BW826" s="50"/>
      <c r="BX826" s="54"/>
      <c r="BY826" s="14"/>
      <c r="BZ826" s="14"/>
      <c r="CA826" s="14"/>
      <c r="CB826" s="14"/>
      <c r="CC826" s="14"/>
      <c r="CD826" s="14"/>
      <c r="CE826" s="14"/>
      <c r="CF826" s="15"/>
      <c r="CG826" s="14"/>
      <c r="CH826" s="14"/>
      <c r="CI826" s="50"/>
      <c r="CJ826" s="54"/>
      <c r="CK826" s="14"/>
      <c r="CL826" s="14"/>
      <c r="CM826" s="14"/>
      <c r="CN826" s="14"/>
      <c r="CO826" s="14"/>
      <c r="CP826" s="14"/>
      <c r="CQ826" s="14"/>
      <c r="CR826" s="14"/>
      <c r="CS826" s="14"/>
      <c r="CT826" s="14"/>
      <c r="CU826" s="16"/>
      <c r="CV826" s="14"/>
      <c r="CW826" s="50"/>
      <c r="CX826" s="17"/>
    </row>
    <row r="827" spans="4:102" x14ac:dyDescent="0.25"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43"/>
      <c r="Q827" s="11"/>
      <c r="R827" s="11"/>
      <c r="S827" s="11"/>
      <c r="T827" s="11"/>
      <c r="U827" s="11"/>
      <c r="V827" s="11"/>
      <c r="W827" s="11"/>
      <c r="X827" s="12"/>
      <c r="Y827" s="12"/>
      <c r="Z827" s="12"/>
      <c r="AA827" s="44"/>
      <c r="AB827" s="45"/>
      <c r="AC827" s="12"/>
      <c r="AD827" s="12"/>
      <c r="AE827" s="12"/>
      <c r="AF827" s="12"/>
      <c r="AG827" s="44"/>
      <c r="AH827" s="45"/>
      <c r="AI827" s="12"/>
      <c r="AJ827" s="12"/>
      <c r="AK827" s="12"/>
      <c r="AL827" s="12"/>
      <c r="AM827" s="44"/>
      <c r="AN827" s="45"/>
      <c r="AO827" s="12"/>
      <c r="AP827" s="12"/>
      <c r="AQ827" s="12"/>
      <c r="AR827" s="12"/>
      <c r="AS827" s="44"/>
      <c r="AT827" s="45"/>
      <c r="AU827" s="12"/>
      <c r="AV827" s="12"/>
      <c r="AW827" s="12"/>
      <c r="AX827" s="12"/>
      <c r="AY827" s="44"/>
      <c r="AZ827" s="45"/>
      <c r="BA827" s="12"/>
      <c r="BB827" s="12"/>
      <c r="BC827" s="12"/>
      <c r="BD827" s="12"/>
      <c r="BE827" s="44"/>
      <c r="BF827" s="45"/>
      <c r="BG827" s="12"/>
      <c r="BH827" s="12"/>
      <c r="BI827" s="12"/>
      <c r="BJ827" s="12"/>
      <c r="BK827" s="44"/>
      <c r="BL827" s="45"/>
      <c r="BM827" s="12"/>
      <c r="BN827" s="12"/>
      <c r="BO827" s="12"/>
      <c r="BP827" s="12"/>
      <c r="BQ827" s="48"/>
      <c r="BR827" s="49"/>
      <c r="BS827" s="13"/>
      <c r="BT827" s="12"/>
      <c r="BV827" s="14"/>
      <c r="BW827" s="50"/>
      <c r="BX827" s="54"/>
      <c r="BY827" s="14"/>
      <c r="BZ827" s="14"/>
      <c r="CA827" s="14"/>
      <c r="CB827" s="14"/>
      <c r="CC827" s="14"/>
      <c r="CD827" s="14"/>
      <c r="CE827" s="14"/>
      <c r="CF827" s="15"/>
      <c r="CG827" s="14"/>
      <c r="CH827" s="14"/>
      <c r="CI827" s="50"/>
      <c r="CJ827" s="54"/>
      <c r="CK827" s="14"/>
      <c r="CL827" s="14"/>
      <c r="CM827" s="14"/>
      <c r="CN827" s="14"/>
      <c r="CO827" s="14"/>
      <c r="CP827" s="14"/>
      <c r="CQ827" s="14"/>
      <c r="CR827" s="14"/>
      <c r="CS827" s="14"/>
      <c r="CT827" s="14"/>
      <c r="CU827" s="16"/>
      <c r="CV827" s="14"/>
      <c r="CW827" s="50"/>
      <c r="CX827" s="17"/>
    </row>
    <row r="828" spans="4:102" x14ac:dyDescent="0.25"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43"/>
      <c r="Q828" s="11"/>
      <c r="R828" s="11"/>
      <c r="S828" s="11"/>
      <c r="T828" s="11"/>
      <c r="U828" s="11"/>
      <c r="V828" s="11"/>
      <c r="W828" s="11"/>
      <c r="X828" s="12"/>
      <c r="Y828" s="12"/>
      <c r="Z828" s="12"/>
      <c r="AA828" s="44"/>
      <c r="AB828" s="45"/>
      <c r="AC828" s="12"/>
      <c r="AD828" s="12"/>
      <c r="AE828" s="12"/>
      <c r="AF828" s="12"/>
      <c r="AG828" s="44"/>
      <c r="AH828" s="45"/>
      <c r="AI828" s="12"/>
      <c r="AJ828" s="12"/>
      <c r="AK828" s="12"/>
      <c r="AL828" s="12"/>
      <c r="AM828" s="44"/>
      <c r="AN828" s="45"/>
      <c r="AO828" s="12"/>
      <c r="AP828" s="12"/>
      <c r="AQ828" s="12"/>
      <c r="AR828" s="12"/>
      <c r="AS828" s="44"/>
      <c r="AT828" s="45"/>
      <c r="AU828" s="12"/>
      <c r="AV828" s="12"/>
      <c r="AW828" s="12"/>
      <c r="AX828" s="12"/>
      <c r="AY828" s="44"/>
      <c r="AZ828" s="45"/>
      <c r="BA828" s="12"/>
      <c r="BB828" s="12"/>
      <c r="BC828" s="12"/>
      <c r="BD828" s="12"/>
      <c r="BE828" s="44"/>
      <c r="BF828" s="45"/>
      <c r="BG828" s="12"/>
      <c r="BH828" s="12"/>
      <c r="BI828" s="12"/>
      <c r="BJ828" s="12"/>
      <c r="BK828" s="44"/>
      <c r="BL828" s="45"/>
      <c r="BM828" s="12"/>
      <c r="BN828" s="12"/>
      <c r="BO828" s="12"/>
      <c r="BP828" s="12"/>
      <c r="BQ828" s="48"/>
      <c r="BR828" s="49"/>
      <c r="BS828" s="13"/>
      <c r="BT828" s="12"/>
      <c r="BV828" s="14"/>
      <c r="BW828" s="50"/>
      <c r="BX828" s="54"/>
      <c r="BY828" s="14"/>
      <c r="BZ828" s="14"/>
      <c r="CA828" s="14"/>
      <c r="CB828" s="14"/>
      <c r="CC828" s="14"/>
      <c r="CD828" s="14"/>
      <c r="CE828" s="14"/>
      <c r="CF828" s="15"/>
      <c r="CG828" s="14"/>
      <c r="CH828" s="14"/>
      <c r="CI828" s="50"/>
      <c r="CJ828" s="54"/>
      <c r="CK828" s="14"/>
      <c r="CL828" s="14"/>
      <c r="CM828" s="14"/>
      <c r="CN828" s="14"/>
      <c r="CO828" s="14"/>
      <c r="CP828" s="14"/>
      <c r="CQ828" s="14"/>
      <c r="CR828" s="14"/>
      <c r="CS828" s="14"/>
      <c r="CT828" s="14"/>
      <c r="CU828" s="16"/>
      <c r="CV828" s="14"/>
      <c r="CW828" s="50"/>
      <c r="CX828" s="17"/>
    </row>
    <row r="829" spans="4:102" x14ac:dyDescent="0.25"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43"/>
      <c r="Q829" s="11"/>
      <c r="R829" s="11"/>
      <c r="S829" s="11"/>
      <c r="T829" s="11"/>
      <c r="U829" s="11"/>
      <c r="V829" s="11"/>
      <c r="W829" s="11"/>
      <c r="X829" s="12"/>
      <c r="Y829" s="12"/>
      <c r="Z829" s="12"/>
      <c r="AA829" s="44"/>
      <c r="AB829" s="45"/>
      <c r="AC829" s="12"/>
      <c r="AD829" s="12"/>
      <c r="AE829" s="12"/>
      <c r="AF829" s="12"/>
      <c r="AG829" s="44"/>
      <c r="AH829" s="45"/>
      <c r="AI829" s="12"/>
      <c r="AJ829" s="12"/>
      <c r="AK829" s="12"/>
      <c r="AL829" s="12"/>
      <c r="AM829" s="44"/>
      <c r="AN829" s="45"/>
      <c r="AO829" s="12"/>
      <c r="AP829" s="12"/>
      <c r="AQ829" s="12"/>
      <c r="AR829" s="12"/>
      <c r="AS829" s="44"/>
      <c r="AT829" s="45"/>
      <c r="AU829" s="12"/>
      <c r="AV829" s="12"/>
      <c r="AW829" s="12"/>
      <c r="AX829" s="12"/>
      <c r="AY829" s="44"/>
      <c r="AZ829" s="45"/>
      <c r="BA829" s="12"/>
      <c r="BB829" s="12"/>
      <c r="BC829" s="12"/>
      <c r="BD829" s="12"/>
      <c r="BE829" s="44"/>
      <c r="BF829" s="45"/>
      <c r="BG829" s="12"/>
      <c r="BH829" s="12"/>
      <c r="BI829" s="12"/>
      <c r="BJ829" s="12"/>
      <c r="BK829" s="44"/>
      <c r="BL829" s="45"/>
      <c r="BM829" s="12"/>
      <c r="BN829" s="12"/>
      <c r="BO829" s="12"/>
      <c r="BP829" s="12"/>
      <c r="BQ829" s="48"/>
      <c r="BR829" s="49"/>
      <c r="BS829" s="13"/>
      <c r="BT829" s="12"/>
      <c r="BV829" s="14"/>
      <c r="BW829" s="50"/>
      <c r="BX829" s="54"/>
      <c r="BY829" s="14"/>
      <c r="BZ829" s="14"/>
      <c r="CA829" s="14"/>
      <c r="CB829" s="14"/>
      <c r="CC829" s="14"/>
      <c r="CD829" s="14"/>
      <c r="CE829" s="14"/>
      <c r="CF829" s="15"/>
      <c r="CG829" s="14"/>
      <c r="CH829" s="14"/>
      <c r="CI829" s="50"/>
      <c r="CJ829" s="54"/>
      <c r="CK829" s="14"/>
      <c r="CL829" s="14"/>
      <c r="CM829" s="14"/>
      <c r="CN829" s="14"/>
      <c r="CO829" s="14"/>
      <c r="CP829" s="14"/>
      <c r="CQ829" s="14"/>
      <c r="CR829" s="14"/>
      <c r="CS829" s="14"/>
      <c r="CT829" s="14"/>
      <c r="CU829" s="16"/>
      <c r="CV829" s="14"/>
      <c r="CW829" s="50"/>
      <c r="CX829" s="17"/>
    </row>
    <row r="830" spans="4:102" x14ac:dyDescent="0.25"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43"/>
      <c r="Q830" s="11"/>
      <c r="R830" s="11"/>
      <c r="S830" s="11"/>
      <c r="T830" s="11"/>
      <c r="U830" s="11"/>
      <c r="V830" s="11"/>
      <c r="W830" s="11"/>
      <c r="X830" s="12"/>
      <c r="Y830" s="12"/>
      <c r="Z830" s="12"/>
      <c r="AA830" s="44"/>
      <c r="AB830" s="45"/>
      <c r="AC830" s="12"/>
      <c r="AD830" s="12"/>
      <c r="AE830" s="12"/>
      <c r="AF830" s="12"/>
      <c r="AG830" s="44"/>
      <c r="AH830" s="45"/>
      <c r="AI830" s="12"/>
      <c r="AJ830" s="12"/>
      <c r="AK830" s="12"/>
      <c r="AL830" s="12"/>
      <c r="AM830" s="44"/>
      <c r="AN830" s="45"/>
      <c r="AO830" s="12"/>
      <c r="AP830" s="12"/>
      <c r="AQ830" s="12"/>
      <c r="AR830" s="12"/>
      <c r="AS830" s="44"/>
      <c r="AT830" s="45"/>
      <c r="AU830" s="12"/>
      <c r="AV830" s="12"/>
      <c r="AW830" s="12"/>
      <c r="AX830" s="12"/>
      <c r="AY830" s="44"/>
      <c r="AZ830" s="45"/>
      <c r="BA830" s="12"/>
      <c r="BB830" s="12"/>
      <c r="BC830" s="12"/>
      <c r="BD830" s="12"/>
      <c r="BE830" s="44"/>
      <c r="BF830" s="45"/>
      <c r="BG830" s="12"/>
      <c r="BH830" s="12"/>
      <c r="BI830" s="12"/>
      <c r="BJ830" s="12"/>
      <c r="BK830" s="44"/>
      <c r="BL830" s="45"/>
      <c r="BM830" s="12"/>
      <c r="BN830" s="12"/>
      <c r="BO830" s="12"/>
      <c r="BP830" s="12"/>
      <c r="BQ830" s="48"/>
      <c r="BR830" s="49"/>
      <c r="BS830" s="13"/>
      <c r="BT830" s="12"/>
      <c r="BV830" s="14"/>
      <c r="BW830" s="50"/>
      <c r="BX830" s="54"/>
      <c r="BY830" s="14"/>
      <c r="BZ830" s="14"/>
      <c r="CA830" s="14"/>
      <c r="CB830" s="14"/>
      <c r="CC830" s="14"/>
      <c r="CD830" s="14"/>
      <c r="CE830" s="14"/>
      <c r="CF830" s="15"/>
      <c r="CG830" s="14"/>
      <c r="CH830" s="14"/>
      <c r="CI830" s="50"/>
      <c r="CJ830" s="54"/>
      <c r="CK830" s="14"/>
      <c r="CL830" s="14"/>
      <c r="CM830" s="14"/>
      <c r="CN830" s="14"/>
      <c r="CO830" s="14"/>
      <c r="CP830" s="14"/>
      <c r="CQ830" s="14"/>
      <c r="CR830" s="14"/>
      <c r="CS830" s="14"/>
      <c r="CT830" s="14"/>
      <c r="CU830" s="16"/>
      <c r="CV830" s="14"/>
      <c r="CW830" s="50"/>
      <c r="CX830" s="17"/>
    </row>
    <row r="831" spans="4:102" x14ac:dyDescent="0.25"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43"/>
      <c r="Q831" s="11"/>
      <c r="R831" s="11"/>
      <c r="S831" s="11"/>
      <c r="T831" s="11"/>
      <c r="U831" s="11"/>
      <c r="V831" s="11"/>
      <c r="W831" s="11"/>
      <c r="X831" s="12"/>
      <c r="Y831" s="12"/>
      <c r="Z831" s="12"/>
      <c r="AA831" s="44"/>
      <c r="AB831" s="45"/>
      <c r="AC831" s="12"/>
      <c r="AD831" s="12"/>
      <c r="AE831" s="12"/>
      <c r="AF831" s="12"/>
      <c r="AG831" s="44"/>
      <c r="AH831" s="45"/>
      <c r="AI831" s="12"/>
      <c r="AJ831" s="12"/>
      <c r="AK831" s="12"/>
      <c r="AL831" s="12"/>
      <c r="AM831" s="44"/>
      <c r="AN831" s="45"/>
      <c r="AO831" s="12"/>
      <c r="AP831" s="12"/>
      <c r="AQ831" s="12"/>
      <c r="AR831" s="12"/>
      <c r="AS831" s="44"/>
      <c r="AT831" s="45"/>
      <c r="AU831" s="12"/>
      <c r="AV831" s="12"/>
      <c r="AW831" s="12"/>
      <c r="AX831" s="12"/>
      <c r="AY831" s="44"/>
      <c r="AZ831" s="45"/>
      <c r="BA831" s="12"/>
      <c r="BB831" s="12"/>
      <c r="BC831" s="12"/>
      <c r="BD831" s="12"/>
      <c r="BE831" s="44"/>
      <c r="BF831" s="45"/>
      <c r="BG831" s="12"/>
      <c r="BH831" s="12"/>
      <c r="BI831" s="12"/>
      <c r="BJ831" s="12"/>
      <c r="BK831" s="44"/>
      <c r="BL831" s="45"/>
      <c r="BM831" s="12"/>
      <c r="BN831" s="12"/>
      <c r="BO831" s="12"/>
      <c r="BP831" s="12"/>
      <c r="BQ831" s="48"/>
      <c r="BR831" s="49"/>
      <c r="BS831" s="13"/>
      <c r="BT831" s="12"/>
      <c r="BV831" s="14"/>
      <c r="BW831" s="50"/>
      <c r="BX831" s="54"/>
      <c r="BY831" s="14"/>
      <c r="BZ831" s="14"/>
      <c r="CA831" s="14"/>
      <c r="CB831" s="14"/>
      <c r="CC831" s="14"/>
      <c r="CD831" s="14"/>
      <c r="CE831" s="14"/>
      <c r="CF831" s="15"/>
      <c r="CG831" s="14"/>
      <c r="CH831" s="14"/>
      <c r="CI831" s="50"/>
      <c r="CJ831" s="54"/>
      <c r="CK831" s="14"/>
      <c r="CL831" s="14"/>
      <c r="CM831" s="14"/>
      <c r="CN831" s="14"/>
      <c r="CO831" s="14"/>
      <c r="CP831" s="14"/>
      <c r="CQ831" s="14"/>
      <c r="CR831" s="14"/>
      <c r="CS831" s="14"/>
      <c r="CT831" s="14"/>
      <c r="CU831" s="16"/>
      <c r="CV831" s="14"/>
      <c r="CW831" s="50"/>
      <c r="CX831" s="17"/>
    </row>
    <row r="832" spans="4:102" x14ac:dyDescent="0.25"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43"/>
      <c r="Q832" s="11"/>
      <c r="R832" s="11"/>
      <c r="S832" s="11"/>
      <c r="T832" s="11"/>
      <c r="U832" s="11"/>
      <c r="V832" s="11"/>
      <c r="W832" s="11"/>
      <c r="X832" s="12"/>
      <c r="Y832" s="12"/>
      <c r="Z832" s="12"/>
      <c r="AA832" s="44"/>
      <c r="AB832" s="45"/>
      <c r="AC832" s="12"/>
      <c r="AD832" s="12"/>
      <c r="AE832" s="12"/>
      <c r="AF832" s="12"/>
      <c r="AG832" s="44"/>
      <c r="AH832" s="45"/>
      <c r="AI832" s="12"/>
      <c r="AJ832" s="12"/>
      <c r="AK832" s="12"/>
      <c r="AL832" s="12"/>
      <c r="AM832" s="44"/>
      <c r="AN832" s="45"/>
      <c r="AO832" s="12"/>
      <c r="AP832" s="12"/>
      <c r="AQ832" s="12"/>
      <c r="AR832" s="12"/>
      <c r="AS832" s="44"/>
      <c r="AT832" s="45"/>
      <c r="AU832" s="12"/>
      <c r="AV832" s="12"/>
      <c r="AW832" s="12"/>
      <c r="AX832" s="12"/>
      <c r="AY832" s="44"/>
      <c r="AZ832" s="45"/>
      <c r="BA832" s="12"/>
      <c r="BB832" s="12"/>
      <c r="BC832" s="12"/>
      <c r="BD832" s="12"/>
      <c r="BE832" s="44"/>
      <c r="BF832" s="45"/>
      <c r="BG832" s="12"/>
      <c r="BH832" s="12"/>
      <c r="BI832" s="12"/>
      <c r="BJ832" s="12"/>
      <c r="BK832" s="44"/>
      <c r="BL832" s="45"/>
      <c r="BM832" s="12"/>
      <c r="BN832" s="12"/>
      <c r="BO832" s="12"/>
      <c r="BP832" s="12"/>
      <c r="BQ832" s="48"/>
      <c r="BR832" s="49"/>
      <c r="BS832" s="13"/>
      <c r="BT832" s="12"/>
      <c r="BV832" s="14"/>
      <c r="BW832" s="50"/>
      <c r="BX832" s="54"/>
      <c r="BY832" s="14"/>
      <c r="BZ832" s="14"/>
      <c r="CA832" s="14"/>
      <c r="CB832" s="14"/>
      <c r="CC832" s="14"/>
      <c r="CD832" s="14"/>
      <c r="CE832" s="14"/>
      <c r="CF832" s="15"/>
      <c r="CG832" s="14"/>
      <c r="CH832" s="14"/>
      <c r="CI832" s="50"/>
      <c r="CJ832" s="54"/>
      <c r="CK832" s="14"/>
      <c r="CL832" s="14"/>
      <c r="CM832" s="14"/>
      <c r="CN832" s="14"/>
      <c r="CO832" s="14"/>
      <c r="CP832" s="14"/>
      <c r="CQ832" s="14"/>
      <c r="CR832" s="14"/>
      <c r="CS832" s="14"/>
      <c r="CT832" s="14"/>
      <c r="CU832" s="16"/>
      <c r="CV832" s="14"/>
      <c r="CW832" s="50"/>
      <c r="CX832" s="17"/>
    </row>
    <row r="833" spans="4:102" x14ac:dyDescent="0.25"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43"/>
      <c r="Q833" s="11"/>
      <c r="R833" s="11"/>
      <c r="S833" s="11"/>
      <c r="T833" s="11"/>
      <c r="U833" s="11"/>
      <c r="V833" s="11"/>
      <c r="W833" s="11"/>
      <c r="X833" s="12"/>
      <c r="Y833" s="12"/>
      <c r="Z833" s="12"/>
      <c r="AA833" s="44"/>
      <c r="AB833" s="45"/>
      <c r="AC833" s="12"/>
      <c r="AD833" s="12"/>
      <c r="AE833" s="12"/>
      <c r="AF833" s="12"/>
      <c r="AG833" s="44"/>
      <c r="AH833" s="45"/>
      <c r="AI833" s="12"/>
      <c r="AJ833" s="12"/>
      <c r="AK833" s="12"/>
      <c r="AL833" s="12"/>
      <c r="AM833" s="44"/>
      <c r="AN833" s="45"/>
      <c r="AO833" s="12"/>
      <c r="AP833" s="12"/>
      <c r="AQ833" s="12"/>
      <c r="AR833" s="12"/>
      <c r="AS833" s="44"/>
      <c r="AT833" s="45"/>
      <c r="AU833" s="12"/>
      <c r="AV833" s="12"/>
      <c r="AW833" s="12"/>
      <c r="AX833" s="12"/>
      <c r="AY833" s="44"/>
      <c r="AZ833" s="45"/>
      <c r="BA833" s="12"/>
      <c r="BB833" s="12"/>
      <c r="BC833" s="12"/>
      <c r="BD833" s="12"/>
      <c r="BE833" s="44"/>
      <c r="BF833" s="45"/>
      <c r="BG833" s="12"/>
      <c r="BH833" s="12"/>
      <c r="BI833" s="12"/>
      <c r="BJ833" s="12"/>
      <c r="BK833" s="44"/>
      <c r="BL833" s="45"/>
      <c r="BM833" s="12"/>
      <c r="BN833" s="12"/>
      <c r="BO833" s="12"/>
      <c r="BP833" s="12"/>
      <c r="BQ833" s="48"/>
      <c r="BR833" s="49"/>
      <c r="BS833" s="13"/>
      <c r="BT833" s="12"/>
      <c r="BV833" s="14"/>
      <c r="BW833" s="50"/>
      <c r="BX833" s="54"/>
      <c r="BY833" s="14"/>
      <c r="BZ833" s="14"/>
      <c r="CA833" s="14"/>
      <c r="CB833" s="14"/>
      <c r="CC833" s="14"/>
      <c r="CD833" s="14"/>
      <c r="CE833" s="14"/>
      <c r="CF833" s="15"/>
      <c r="CG833" s="14"/>
      <c r="CH833" s="14"/>
      <c r="CI833" s="50"/>
      <c r="CJ833" s="54"/>
      <c r="CK833" s="14"/>
      <c r="CL833" s="14"/>
      <c r="CM833" s="14"/>
      <c r="CN833" s="14"/>
      <c r="CO833" s="14"/>
      <c r="CP833" s="14"/>
      <c r="CQ833" s="14"/>
      <c r="CR833" s="14"/>
      <c r="CS833" s="14"/>
      <c r="CT833" s="14"/>
      <c r="CU833" s="16"/>
      <c r="CV833" s="14"/>
      <c r="CW833" s="50"/>
      <c r="CX833" s="17"/>
    </row>
    <row r="834" spans="4:102" x14ac:dyDescent="0.25"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43"/>
      <c r="Q834" s="11"/>
      <c r="R834" s="11"/>
      <c r="S834" s="11"/>
      <c r="T834" s="11"/>
      <c r="U834" s="11"/>
      <c r="V834" s="11"/>
      <c r="W834" s="11"/>
      <c r="X834" s="12"/>
      <c r="Y834" s="12"/>
      <c r="Z834" s="12"/>
      <c r="AA834" s="44"/>
      <c r="AB834" s="45"/>
      <c r="AC834" s="12"/>
      <c r="AD834" s="12"/>
      <c r="AE834" s="12"/>
      <c r="AF834" s="12"/>
      <c r="AG834" s="44"/>
      <c r="AH834" s="45"/>
      <c r="AI834" s="12"/>
      <c r="AJ834" s="12"/>
      <c r="AK834" s="12"/>
      <c r="AL834" s="12"/>
      <c r="AM834" s="44"/>
      <c r="AN834" s="45"/>
      <c r="AO834" s="12"/>
      <c r="AP834" s="12"/>
      <c r="AQ834" s="12"/>
      <c r="AR834" s="12"/>
      <c r="AS834" s="44"/>
      <c r="AT834" s="45"/>
      <c r="AU834" s="12"/>
      <c r="AV834" s="12"/>
      <c r="AW834" s="12"/>
      <c r="AX834" s="12"/>
      <c r="AY834" s="44"/>
      <c r="AZ834" s="45"/>
      <c r="BA834" s="12"/>
      <c r="BB834" s="12"/>
      <c r="BC834" s="12"/>
      <c r="BD834" s="12"/>
      <c r="BE834" s="44"/>
      <c r="BF834" s="45"/>
      <c r="BG834" s="12"/>
      <c r="BH834" s="12"/>
      <c r="BI834" s="12"/>
      <c r="BJ834" s="12"/>
      <c r="BK834" s="44"/>
      <c r="BL834" s="45"/>
      <c r="BM834" s="12"/>
      <c r="BN834" s="12"/>
      <c r="BO834" s="12"/>
      <c r="BP834" s="12"/>
      <c r="BQ834" s="48"/>
      <c r="BR834" s="49"/>
      <c r="BS834" s="13"/>
      <c r="BT834" s="12"/>
      <c r="BV834" s="14"/>
      <c r="BW834" s="50"/>
      <c r="BX834" s="54"/>
      <c r="BY834" s="14"/>
      <c r="BZ834" s="14"/>
      <c r="CA834" s="14"/>
      <c r="CB834" s="14"/>
      <c r="CC834" s="14"/>
      <c r="CD834" s="14"/>
      <c r="CE834" s="14"/>
      <c r="CF834" s="15"/>
      <c r="CG834" s="14"/>
      <c r="CH834" s="14"/>
      <c r="CI834" s="50"/>
      <c r="CJ834" s="54"/>
      <c r="CK834" s="14"/>
      <c r="CL834" s="14"/>
      <c r="CM834" s="14"/>
      <c r="CN834" s="14"/>
      <c r="CO834" s="14"/>
      <c r="CP834" s="14"/>
      <c r="CQ834" s="14"/>
      <c r="CR834" s="14"/>
      <c r="CS834" s="14"/>
      <c r="CT834" s="14"/>
      <c r="CU834" s="16"/>
      <c r="CV834" s="14"/>
      <c r="CW834" s="50"/>
      <c r="CX834" s="17"/>
    </row>
    <row r="835" spans="4:102" x14ac:dyDescent="0.25"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43"/>
      <c r="Q835" s="11"/>
      <c r="R835" s="11"/>
      <c r="S835" s="11"/>
      <c r="T835" s="11"/>
      <c r="U835" s="11"/>
      <c r="V835" s="11"/>
      <c r="W835" s="11"/>
      <c r="X835" s="12"/>
      <c r="Y835" s="12"/>
      <c r="Z835" s="12"/>
      <c r="AA835" s="44"/>
      <c r="AB835" s="45"/>
      <c r="AC835" s="12"/>
      <c r="AD835" s="12"/>
      <c r="AE835" s="12"/>
      <c r="AF835" s="12"/>
      <c r="AG835" s="44"/>
      <c r="AH835" s="45"/>
      <c r="AI835" s="12"/>
      <c r="AJ835" s="12"/>
      <c r="AK835" s="12"/>
      <c r="AL835" s="12"/>
      <c r="AM835" s="44"/>
      <c r="AN835" s="45"/>
      <c r="AO835" s="12"/>
      <c r="AP835" s="12"/>
      <c r="AQ835" s="12"/>
      <c r="AR835" s="12"/>
      <c r="AS835" s="44"/>
      <c r="AT835" s="45"/>
      <c r="AU835" s="12"/>
      <c r="AV835" s="12"/>
      <c r="AW835" s="12"/>
      <c r="AX835" s="12"/>
      <c r="AY835" s="44"/>
      <c r="AZ835" s="45"/>
      <c r="BA835" s="12"/>
      <c r="BB835" s="12"/>
      <c r="BC835" s="12"/>
      <c r="BD835" s="12"/>
      <c r="BE835" s="44"/>
      <c r="BF835" s="45"/>
      <c r="BG835" s="12"/>
      <c r="BH835" s="12"/>
      <c r="BI835" s="12"/>
      <c r="BJ835" s="12"/>
      <c r="BK835" s="44"/>
      <c r="BL835" s="45"/>
      <c r="BM835" s="12"/>
      <c r="BN835" s="12"/>
      <c r="BO835" s="12"/>
      <c r="BP835" s="12"/>
      <c r="BQ835" s="48"/>
      <c r="BR835" s="49"/>
      <c r="BS835" s="13"/>
      <c r="BT835" s="12"/>
      <c r="BV835" s="14"/>
      <c r="BW835" s="50"/>
      <c r="BX835" s="54"/>
      <c r="BY835" s="14"/>
      <c r="BZ835" s="14"/>
      <c r="CA835" s="14"/>
      <c r="CB835" s="14"/>
      <c r="CC835" s="14"/>
      <c r="CD835" s="14"/>
      <c r="CE835" s="14"/>
      <c r="CF835" s="15"/>
      <c r="CG835" s="14"/>
      <c r="CH835" s="14"/>
      <c r="CI835" s="50"/>
      <c r="CJ835" s="54"/>
      <c r="CK835" s="14"/>
      <c r="CL835" s="14"/>
      <c r="CM835" s="14"/>
      <c r="CN835" s="14"/>
      <c r="CO835" s="14"/>
      <c r="CP835" s="14"/>
      <c r="CQ835" s="14"/>
      <c r="CR835" s="14"/>
      <c r="CS835" s="14"/>
      <c r="CT835" s="14"/>
      <c r="CU835" s="16"/>
      <c r="CV835" s="14"/>
      <c r="CW835" s="50"/>
      <c r="CX835" s="17"/>
    </row>
    <row r="836" spans="4:102" x14ac:dyDescent="0.25"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43"/>
      <c r="Q836" s="11"/>
      <c r="R836" s="11"/>
      <c r="S836" s="11"/>
      <c r="T836" s="11"/>
      <c r="U836" s="11"/>
      <c r="V836" s="11"/>
      <c r="W836" s="11"/>
      <c r="X836" s="12"/>
      <c r="Y836" s="12"/>
      <c r="Z836" s="12"/>
      <c r="AA836" s="44"/>
      <c r="AB836" s="45"/>
      <c r="AC836" s="12"/>
      <c r="AD836" s="12"/>
      <c r="AE836" s="12"/>
      <c r="AF836" s="12"/>
      <c r="AG836" s="44"/>
      <c r="AH836" s="45"/>
      <c r="AI836" s="12"/>
      <c r="AJ836" s="12"/>
      <c r="AK836" s="12"/>
      <c r="AL836" s="12"/>
      <c r="AM836" s="44"/>
      <c r="AN836" s="45"/>
      <c r="AO836" s="12"/>
      <c r="AP836" s="12"/>
      <c r="AQ836" s="12"/>
      <c r="AR836" s="12"/>
      <c r="AS836" s="44"/>
      <c r="AT836" s="45"/>
      <c r="AU836" s="12"/>
      <c r="AV836" s="12"/>
      <c r="AW836" s="12"/>
      <c r="AX836" s="12"/>
      <c r="AY836" s="44"/>
      <c r="AZ836" s="45"/>
      <c r="BA836" s="12"/>
      <c r="BB836" s="12"/>
      <c r="BC836" s="12"/>
      <c r="BD836" s="12"/>
      <c r="BE836" s="44"/>
      <c r="BF836" s="45"/>
      <c r="BG836" s="12"/>
      <c r="BH836" s="12"/>
      <c r="BI836" s="12"/>
      <c r="BJ836" s="12"/>
      <c r="BK836" s="44"/>
      <c r="BL836" s="45"/>
      <c r="BM836" s="12"/>
      <c r="BN836" s="12"/>
      <c r="BO836" s="12"/>
      <c r="BP836" s="12"/>
      <c r="BQ836" s="48"/>
      <c r="BR836" s="49"/>
      <c r="BS836" s="13"/>
      <c r="BT836" s="12"/>
      <c r="BV836" s="14"/>
      <c r="BW836" s="50"/>
      <c r="BX836" s="54"/>
      <c r="BY836" s="14"/>
      <c r="BZ836" s="14"/>
      <c r="CA836" s="14"/>
      <c r="CB836" s="14"/>
      <c r="CC836" s="14"/>
      <c r="CD836" s="14"/>
      <c r="CE836" s="14"/>
      <c r="CF836" s="15"/>
      <c r="CG836" s="14"/>
      <c r="CH836" s="14"/>
      <c r="CI836" s="50"/>
      <c r="CJ836" s="54"/>
      <c r="CK836" s="14"/>
      <c r="CL836" s="14"/>
      <c r="CM836" s="14"/>
      <c r="CN836" s="14"/>
      <c r="CO836" s="14"/>
      <c r="CP836" s="14"/>
      <c r="CQ836" s="14"/>
      <c r="CR836" s="14"/>
      <c r="CS836" s="14"/>
      <c r="CT836" s="14"/>
      <c r="CU836" s="16"/>
      <c r="CV836" s="14"/>
      <c r="CW836" s="50"/>
      <c r="CX836" s="17"/>
    </row>
    <row r="837" spans="4:102" x14ac:dyDescent="0.25"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43"/>
      <c r="Q837" s="11"/>
      <c r="R837" s="11"/>
      <c r="S837" s="11"/>
      <c r="T837" s="11"/>
      <c r="U837" s="11"/>
      <c r="V837" s="11"/>
      <c r="W837" s="11"/>
      <c r="X837" s="12"/>
      <c r="Y837" s="12"/>
      <c r="Z837" s="12"/>
      <c r="AA837" s="44"/>
      <c r="AB837" s="45"/>
      <c r="AC837" s="12"/>
      <c r="AD837" s="12"/>
      <c r="AE837" s="12"/>
      <c r="AF837" s="12"/>
      <c r="AG837" s="44"/>
      <c r="AH837" s="45"/>
      <c r="AI837" s="12"/>
      <c r="AJ837" s="12"/>
      <c r="AK837" s="12"/>
      <c r="AL837" s="12"/>
      <c r="AM837" s="44"/>
      <c r="AN837" s="45"/>
      <c r="AO837" s="12"/>
      <c r="AP837" s="12"/>
      <c r="AQ837" s="12"/>
      <c r="AR837" s="12"/>
      <c r="AS837" s="44"/>
      <c r="AT837" s="45"/>
      <c r="AU837" s="12"/>
      <c r="AV837" s="12"/>
      <c r="AW837" s="12"/>
      <c r="AX837" s="12"/>
      <c r="AY837" s="44"/>
      <c r="AZ837" s="45"/>
      <c r="BA837" s="12"/>
      <c r="BB837" s="12"/>
      <c r="BC837" s="12"/>
      <c r="BD837" s="12"/>
      <c r="BE837" s="44"/>
      <c r="BF837" s="45"/>
      <c r="BG837" s="12"/>
      <c r="BH837" s="12"/>
      <c r="BI837" s="12"/>
      <c r="BJ837" s="12"/>
      <c r="BK837" s="44"/>
      <c r="BL837" s="45"/>
      <c r="BM837" s="12"/>
      <c r="BN837" s="12"/>
      <c r="BO837" s="12"/>
      <c r="BP837" s="12"/>
      <c r="BQ837" s="48"/>
      <c r="BR837" s="49"/>
      <c r="BS837" s="13"/>
      <c r="BT837" s="12"/>
      <c r="BV837" s="14"/>
      <c r="BW837" s="50"/>
      <c r="BX837" s="54"/>
      <c r="BY837" s="14"/>
      <c r="BZ837" s="14"/>
      <c r="CA837" s="14"/>
      <c r="CB837" s="14"/>
      <c r="CC837" s="14"/>
      <c r="CD837" s="14"/>
      <c r="CE837" s="14"/>
      <c r="CF837" s="15"/>
      <c r="CG837" s="14"/>
      <c r="CH837" s="14"/>
      <c r="CI837" s="50"/>
      <c r="CJ837" s="54"/>
      <c r="CK837" s="14"/>
      <c r="CL837" s="14"/>
      <c r="CM837" s="14"/>
      <c r="CN837" s="14"/>
      <c r="CO837" s="14"/>
      <c r="CP837" s="14"/>
      <c r="CQ837" s="14"/>
      <c r="CR837" s="14"/>
      <c r="CS837" s="14"/>
      <c r="CT837" s="14"/>
      <c r="CU837" s="16"/>
      <c r="CV837" s="14"/>
      <c r="CW837" s="50"/>
      <c r="CX837" s="17"/>
    </row>
    <row r="838" spans="4:102" x14ac:dyDescent="0.25"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43"/>
      <c r="Q838" s="11"/>
      <c r="R838" s="11"/>
      <c r="S838" s="11"/>
      <c r="T838" s="11"/>
      <c r="U838" s="11"/>
      <c r="V838" s="11"/>
      <c r="W838" s="11"/>
      <c r="X838" s="12"/>
      <c r="Y838" s="12"/>
      <c r="Z838" s="12"/>
      <c r="AA838" s="44"/>
      <c r="AB838" s="45"/>
      <c r="AC838" s="12"/>
      <c r="AD838" s="12"/>
      <c r="AE838" s="12"/>
      <c r="AF838" s="12"/>
      <c r="AG838" s="44"/>
      <c r="AH838" s="45"/>
      <c r="AI838" s="12"/>
      <c r="AJ838" s="12"/>
      <c r="AK838" s="12"/>
      <c r="AL838" s="12"/>
      <c r="AM838" s="44"/>
      <c r="AN838" s="45"/>
      <c r="AO838" s="12"/>
      <c r="AP838" s="12"/>
      <c r="AQ838" s="12"/>
      <c r="AR838" s="12"/>
      <c r="AS838" s="44"/>
      <c r="AT838" s="45"/>
      <c r="AU838" s="12"/>
      <c r="AV838" s="12"/>
      <c r="AW838" s="12"/>
      <c r="AX838" s="12"/>
      <c r="AY838" s="44"/>
      <c r="AZ838" s="45"/>
      <c r="BA838" s="12"/>
      <c r="BB838" s="12"/>
      <c r="BC838" s="12"/>
      <c r="BD838" s="12"/>
      <c r="BE838" s="44"/>
      <c r="BF838" s="45"/>
      <c r="BG838" s="12"/>
      <c r="BH838" s="12"/>
      <c r="BI838" s="12"/>
      <c r="BJ838" s="12"/>
      <c r="BK838" s="44"/>
      <c r="BL838" s="45"/>
      <c r="BM838" s="12"/>
      <c r="BN838" s="12"/>
      <c r="BO838" s="12"/>
      <c r="BP838" s="12"/>
      <c r="BQ838" s="48"/>
      <c r="BR838" s="49"/>
      <c r="BS838" s="13"/>
      <c r="BT838" s="12"/>
      <c r="BV838" s="14"/>
      <c r="BW838" s="50"/>
      <c r="BX838" s="54"/>
      <c r="BY838" s="14"/>
      <c r="BZ838" s="14"/>
      <c r="CA838" s="14"/>
      <c r="CB838" s="14"/>
      <c r="CC838" s="14"/>
      <c r="CD838" s="14"/>
      <c r="CE838" s="14"/>
      <c r="CF838" s="15"/>
      <c r="CG838" s="14"/>
      <c r="CH838" s="14"/>
      <c r="CI838" s="50"/>
      <c r="CJ838" s="54"/>
      <c r="CK838" s="14"/>
      <c r="CL838" s="14"/>
      <c r="CM838" s="14"/>
      <c r="CN838" s="14"/>
      <c r="CO838" s="14"/>
      <c r="CP838" s="14"/>
      <c r="CQ838" s="14"/>
      <c r="CR838" s="14"/>
      <c r="CS838" s="14"/>
      <c r="CT838" s="14"/>
      <c r="CU838" s="16"/>
      <c r="CV838" s="14"/>
      <c r="CW838" s="50"/>
      <c r="CX838" s="17"/>
    </row>
    <row r="839" spans="4:102" x14ac:dyDescent="0.25"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43"/>
      <c r="Q839" s="11"/>
      <c r="R839" s="11"/>
      <c r="S839" s="11"/>
      <c r="T839" s="11"/>
      <c r="U839" s="11"/>
      <c r="V839" s="11"/>
      <c r="W839" s="11"/>
      <c r="X839" s="12"/>
      <c r="Y839" s="12"/>
      <c r="Z839" s="12"/>
      <c r="AA839" s="44"/>
      <c r="AB839" s="45"/>
      <c r="AC839" s="12"/>
      <c r="AD839" s="12"/>
      <c r="AE839" s="12"/>
      <c r="AF839" s="12"/>
      <c r="AG839" s="44"/>
      <c r="AH839" s="45"/>
      <c r="AI839" s="12"/>
      <c r="AJ839" s="12"/>
      <c r="AK839" s="12"/>
      <c r="AL839" s="12"/>
      <c r="AM839" s="44"/>
      <c r="AN839" s="45"/>
      <c r="AO839" s="12"/>
      <c r="AP839" s="12"/>
      <c r="AQ839" s="12"/>
      <c r="AR839" s="12"/>
      <c r="AS839" s="44"/>
      <c r="AT839" s="45"/>
      <c r="AU839" s="12"/>
      <c r="AV839" s="12"/>
      <c r="AW839" s="12"/>
      <c r="AX839" s="12"/>
      <c r="AY839" s="44"/>
      <c r="AZ839" s="45"/>
      <c r="BA839" s="12"/>
      <c r="BB839" s="12"/>
      <c r="BC839" s="12"/>
      <c r="BD839" s="12"/>
      <c r="BE839" s="44"/>
      <c r="BF839" s="45"/>
      <c r="BG839" s="12"/>
      <c r="BH839" s="12"/>
      <c r="BI839" s="12"/>
      <c r="BJ839" s="12"/>
      <c r="BK839" s="44"/>
      <c r="BL839" s="45"/>
      <c r="BM839" s="12"/>
      <c r="BN839" s="12"/>
      <c r="BO839" s="12"/>
      <c r="BP839" s="12"/>
      <c r="BQ839" s="48"/>
      <c r="BR839" s="49"/>
      <c r="BS839" s="13"/>
      <c r="BT839" s="12"/>
      <c r="BV839" s="14"/>
      <c r="BW839" s="50"/>
      <c r="BX839" s="54"/>
      <c r="BY839" s="14"/>
      <c r="BZ839" s="14"/>
      <c r="CA839" s="14"/>
      <c r="CB839" s="14"/>
      <c r="CC839" s="14"/>
      <c r="CD839" s="14"/>
      <c r="CE839" s="14"/>
      <c r="CF839" s="15"/>
      <c r="CG839" s="14"/>
      <c r="CH839" s="14"/>
      <c r="CI839" s="50"/>
      <c r="CJ839" s="54"/>
      <c r="CK839" s="14"/>
      <c r="CL839" s="14"/>
      <c r="CM839" s="14"/>
      <c r="CN839" s="14"/>
      <c r="CO839" s="14"/>
      <c r="CP839" s="14"/>
      <c r="CQ839" s="14"/>
      <c r="CR839" s="14"/>
      <c r="CS839" s="14"/>
      <c r="CT839" s="14"/>
      <c r="CU839" s="16"/>
      <c r="CV839" s="14"/>
      <c r="CW839" s="50"/>
      <c r="CX839" s="17"/>
    </row>
    <row r="840" spans="4:102" x14ac:dyDescent="0.25"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43"/>
      <c r="Q840" s="11"/>
      <c r="R840" s="11"/>
      <c r="S840" s="11"/>
      <c r="T840" s="11"/>
      <c r="U840" s="11"/>
      <c r="V840" s="11"/>
      <c r="W840" s="11"/>
      <c r="X840" s="12"/>
      <c r="Y840" s="12"/>
      <c r="Z840" s="12"/>
      <c r="AA840" s="44"/>
      <c r="AB840" s="45"/>
      <c r="AC840" s="12"/>
      <c r="AD840" s="12"/>
      <c r="AE840" s="12"/>
      <c r="AF840" s="12"/>
      <c r="AG840" s="44"/>
      <c r="AH840" s="45"/>
      <c r="AI840" s="12"/>
      <c r="AJ840" s="12"/>
      <c r="AK840" s="12"/>
      <c r="AL840" s="12"/>
      <c r="AM840" s="44"/>
      <c r="AN840" s="45"/>
      <c r="AO840" s="12"/>
      <c r="AP840" s="12"/>
      <c r="AQ840" s="12"/>
      <c r="AR840" s="12"/>
      <c r="AS840" s="44"/>
      <c r="AT840" s="45"/>
      <c r="AU840" s="12"/>
      <c r="AV840" s="12"/>
      <c r="AW840" s="12"/>
      <c r="AX840" s="12"/>
      <c r="AY840" s="44"/>
      <c r="AZ840" s="45"/>
      <c r="BA840" s="12"/>
      <c r="BB840" s="12"/>
      <c r="BC840" s="12"/>
      <c r="BD840" s="12"/>
      <c r="BE840" s="44"/>
      <c r="BF840" s="45"/>
      <c r="BG840" s="12"/>
      <c r="BH840" s="12"/>
      <c r="BI840" s="12"/>
      <c r="BJ840" s="12"/>
      <c r="BK840" s="44"/>
      <c r="BL840" s="45"/>
      <c r="BM840" s="12"/>
      <c r="BN840" s="12"/>
      <c r="BO840" s="12"/>
      <c r="BP840" s="12"/>
      <c r="BQ840" s="48"/>
      <c r="BR840" s="49"/>
      <c r="BS840" s="13"/>
      <c r="BT840" s="12"/>
      <c r="BV840" s="14"/>
      <c r="BW840" s="50"/>
      <c r="BX840" s="54"/>
      <c r="BY840" s="14"/>
      <c r="BZ840" s="14"/>
      <c r="CA840" s="14"/>
      <c r="CB840" s="14"/>
      <c r="CC840" s="14"/>
      <c r="CD840" s="14"/>
      <c r="CE840" s="14"/>
      <c r="CF840" s="15"/>
      <c r="CG840" s="14"/>
      <c r="CH840" s="14"/>
      <c r="CI840" s="50"/>
      <c r="CJ840" s="54"/>
      <c r="CK840" s="14"/>
      <c r="CL840" s="14"/>
      <c r="CM840" s="14"/>
      <c r="CN840" s="14"/>
      <c r="CO840" s="14"/>
      <c r="CP840" s="14"/>
      <c r="CQ840" s="14"/>
      <c r="CR840" s="14"/>
      <c r="CS840" s="14"/>
      <c r="CT840" s="14"/>
      <c r="CU840" s="16"/>
      <c r="CV840" s="14"/>
      <c r="CW840" s="50"/>
      <c r="CX840" s="17"/>
    </row>
    <row r="841" spans="4:102" x14ac:dyDescent="0.25"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43"/>
      <c r="Q841" s="11"/>
      <c r="R841" s="11"/>
      <c r="S841" s="11"/>
      <c r="T841" s="11"/>
      <c r="U841" s="11"/>
      <c r="V841" s="11"/>
      <c r="W841" s="11"/>
      <c r="X841" s="12"/>
      <c r="Y841" s="12"/>
      <c r="Z841" s="12"/>
      <c r="AA841" s="44"/>
      <c r="AB841" s="45"/>
      <c r="AC841" s="12"/>
      <c r="AD841" s="12"/>
      <c r="AE841" s="12"/>
      <c r="AF841" s="12"/>
      <c r="AG841" s="44"/>
      <c r="AH841" s="45"/>
      <c r="AI841" s="12"/>
      <c r="AJ841" s="12"/>
      <c r="AK841" s="12"/>
      <c r="AL841" s="12"/>
      <c r="AM841" s="44"/>
      <c r="AN841" s="45"/>
      <c r="AO841" s="12"/>
      <c r="AP841" s="12"/>
      <c r="AQ841" s="12"/>
      <c r="AR841" s="12"/>
      <c r="AS841" s="44"/>
      <c r="AT841" s="45"/>
      <c r="AU841" s="12"/>
      <c r="AV841" s="12"/>
      <c r="AW841" s="12"/>
      <c r="AX841" s="12"/>
      <c r="AY841" s="44"/>
      <c r="AZ841" s="45"/>
      <c r="BA841" s="12"/>
      <c r="BB841" s="12"/>
      <c r="BC841" s="12"/>
      <c r="BD841" s="12"/>
      <c r="BE841" s="44"/>
      <c r="BF841" s="45"/>
      <c r="BG841" s="12"/>
      <c r="BH841" s="12"/>
      <c r="BI841" s="12"/>
      <c r="BJ841" s="12"/>
      <c r="BK841" s="44"/>
      <c r="BL841" s="45"/>
      <c r="BM841" s="12"/>
      <c r="BN841" s="12"/>
      <c r="BO841" s="12"/>
      <c r="BP841" s="12"/>
      <c r="BQ841" s="48"/>
      <c r="BR841" s="49"/>
      <c r="BS841" s="13"/>
      <c r="BT841" s="12"/>
      <c r="BV841" s="14"/>
      <c r="BW841" s="50"/>
      <c r="BX841" s="54"/>
      <c r="BY841" s="14"/>
      <c r="BZ841" s="14"/>
      <c r="CA841" s="14"/>
      <c r="CB841" s="14"/>
      <c r="CC841" s="14"/>
      <c r="CD841" s="14"/>
      <c r="CE841" s="14"/>
      <c r="CF841" s="15"/>
      <c r="CG841" s="14"/>
      <c r="CH841" s="14"/>
      <c r="CI841" s="50"/>
      <c r="CJ841" s="54"/>
      <c r="CK841" s="14"/>
      <c r="CL841" s="14"/>
      <c r="CM841" s="14"/>
      <c r="CN841" s="14"/>
      <c r="CO841" s="14"/>
      <c r="CP841" s="14"/>
      <c r="CQ841" s="14"/>
      <c r="CR841" s="14"/>
      <c r="CS841" s="14"/>
      <c r="CT841" s="14"/>
      <c r="CU841" s="16"/>
      <c r="CV841" s="14"/>
      <c r="CW841" s="50"/>
      <c r="CX841" s="17"/>
    </row>
    <row r="842" spans="4:102" x14ac:dyDescent="0.25"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43"/>
      <c r="Q842" s="11"/>
      <c r="R842" s="11"/>
      <c r="S842" s="11"/>
      <c r="T842" s="11"/>
      <c r="U842" s="11"/>
      <c r="V842" s="11"/>
      <c r="W842" s="11"/>
      <c r="X842" s="12"/>
      <c r="Y842" s="12"/>
      <c r="Z842" s="12"/>
      <c r="AA842" s="44"/>
      <c r="AB842" s="45"/>
      <c r="AC842" s="12"/>
      <c r="AD842" s="12"/>
      <c r="AE842" s="12"/>
      <c r="AF842" s="12"/>
      <c r="AG842" s="44"/>
      <c r="AH842" s="45"/>
      <c r="AI842" s="12"/>
      <c r="AJ842" s="12"/>
      <c r="AK842" s="12"/>
      <c r="AL842" s="12"/>
      <c r="AM842" s="44"/>
      <c r="AN842" s="45"/>
      <c r="AO842" s="12"/>
      <c r="AP842" s="12"/>
      <c r="AQ842" s="12"/>
      <c r="AR842" s="12"/>
      <c r="AS842" s="44"/>
      <c r="AT842" s="45"/>
      <c r="AU842" s="12"/>
      <c r="AV842" s="12"/>
      <c r="AW842" s="12"/>
      <c r="AX842" s="12"/>
      <c r="AY842" s="44"/>
      <c r="AZ842" s="45"/>
      <c r="BA842" s="12"/>
      <c r="BB842" s="12"/>
      <c r="BC842" s="12"/>
      <c r="BD842" s="12"/>
      <c r="BE842" s="44"/>
      <c r="BF842" s="45"/>
      <c r="BG842" s="12"/>
      <c r="BH842" s="12"/>
      <c r="BI842" s="12"/>
      <c r="BJ842" s="12"/>
      <c r="BK842" s="44"/>
      <c r="BL842" s="45"/>
      <c r="BM842" s="12"/>
      <c r="BN842" s="12"/>
      <c r="BO842" s="12"/>
      <c r="BP842" s="12"/>
      <c r="BQ842" s="48"/>
      <c r="BR842" s="49"/>
      <c r="BS842" s="13"/>
      <c r="BT842" s="12"/>
      <c r="BV842" s="14"/>
      <c r="BW842" s="50"/>
      <c r="BX842" s="54"/>
      <c r="BY842" s="14"/>
      <c r="BZ842" s="14"/>
      <c r="CA842" s="14"/>
      <c r="CB842" s="14"/>
      <c r="CC842" s="14"/>
      <c r="CD842" s="14"/>
      <c r="CE842" s="14"/>
      <c r="CF842" s="15"/>
      <c r="CG842" s="14"/>
      <c r="CH842" s="14"/>
      <c r="CI842" s="50"/>
      <c r="CJ842" s="54"/>
      <c r="CK842" s="14"/>
      <c r="CL842" s="14"/>
      <c r="CM842" s="14"/>
      <c r="CN842" s="14"/>
      <c r="CO842" s="14"/>
      <c r="CP842" s="14"/>
      <c r="CQ842" s="14"/>
      <c r="CR842" s="14"/>
      <c r="CS842" s="14"/>
      <c r="CT842" s="14"/>
      <c r="CU842" s="16"/>
      <c r="CV842" s="14"/>
      <c r="CW842" s="50"/>
      <c r="CX842" s="17"/>
    </row>
    <row r="843" spans="4:102" x14ac:dyDescent="0.25"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43"/>
      <c r="Q843" s="11"/>
      <c r="R843" s="11"/>
      <c r="S843" s="11"/>
      <c r="T843" s="11"/>
      <c r="U843" s="11"/>
      <c r="V843" s="11"/>
      <c r="W843" s="11"/>
      <c r="X843" s="12"/>
      <c r="Y843" s="12"/>
      <c r="Z843" s="12"/>
      <c r="AA843" s="44"/>
      <c r="AB843" s="45"/>
      <c r="AC843" s="12"/>
      <c r="AD843" s="12"/>
      <c r="AE843" s="12"/>
      <c r="AF843" s="12"/>
      <c r="AG843" s="44"/>
      <c r="AH843" s="45"/>
      <c r="AI843" s="12"/>
      <c r="AJ843" s="12"/>
      <c r="AK843" s="12"/>
      <c r="AL843" s="12"/>
      <c r="AM843" s="44"/>
      <c r="AN843" s="45"/>
      <c r="AO843" s="12"/>
      <c r="AP843" s="12"/>
      <c r="AQ843" s="12"/>
      <c r="AR843" s="12"/>
      <c r="AS843" s="44"/>
      <c r="AT843" s="45"/>
      <c r="AU843" s="12"/>
      <c r="AV843" s="12"/>
      <c r="AW843" s="12"/>
      <c r="AX843" s="12"/>
      <c r="AY843" s="44"/>
      <c r="AZ843" s="45"/>
      <c r="BA843" s="12"/>
      <c r="BB843" s="12"/>
      <c r="BC843" s="12"/>
      <c r="BD843" s="12"/>
      <c r="BE843" s="44"/>
      <c r="BF843" s="45"/>
      <c r="BG843" s="12"/>
      <c r="BH843" s="12"/>
      <c r="BI843" s="12"/>
      <c r="BJ843" s="12"/>
      <c r="BK843" s="44"/>
      <c r="BL843" s="45"/>
      <c r="BM843" s="12"/>
      <c r="BN843" s="12"/>
      <c r="BO843" s="12"/>
      <c r="BP843" s="12"/>
      <c r="BQ843" s="48"/>
      <c r="BR843" s="49"/>
      <c r="BS843" s="13"/>
      <c r="BT843" s="12"/>
      <c r="BV843" s="14"/>
      <c r="BW843" s="50"/>
      <c r="BX843" s="54"/>
      <c r="BY843" s="14"/>
      <c r="BZ843" s="14"/>
      <c r="CA843" s="14"/>
      <c r="CB843" s="14"/>
      <c r="CC843" s="14"/>
      <c r="CD843" s="14"/>
      <c r="CE843" s="14"/>
      <c r="CF843" s="15"/>
      <c r="CG843" s="14"/>
      <c r="CH843" s="14"/>
      <c r="CI843" s="50"/>
      <c r="CJ843" s="54"/>
      <c r="CK843" s="14"/>
      <c r="CL843" s="14"/>
      <c r="CM843" s="14"/>
      <c r="CN843" s="14"/>
      <c r="CO843" s="14"/>
      <c r="CP843" s="14"/>
      <c r="CQ843" s="14"/>
      <c r="CR843" s="14"/>
      <c r="CS843" s="14"/>
      <c r="CT843" s="14"/>
      <c r="CU843" s="16"/>
      <c r="CV843" s="14"/>
      <c r="CW843" s="50"/>
      <c r="CX843" s="17"/>
    </row>
    <row r="844" spans="4:102" x14ac:dyDescent="0.25"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43"/>
      <c r="Q844" s="11"/>
      <c r="R844" s="11"/>
      <c r="S844" s="11"/>
      <c r="T844" s="11"/>
      <c r="U844" s="11"/>
      <c r="V844" s="11"/>
      <c r="W844" s="11"/>
      <c r="X844" s="12"/>
      <c r="Y844" s="12"/>
      <c r="Z844" s="12"/>
      <c r="AA844" s="44"/>
      <c r="AB844" s="45"/>
      <c r="AC844" s="12"/>
      <c r="AD844" s="12"/>
      <c r="AE844" s="12"/>
      <c r="AF844" s="12"/>
      <c r="AG844" s="44"/>
      <c r="AH844" s="45"/>
      <c r="AI844" s="12"/>
      <c r="AJ844" s="12"/>
      <c r="AK844" s="12"/>
      <c r="AL844" s="12"/>
      <c r="AM844" s="44"/>
      <c r="AN844" s="45"/>
      <c r="AO844" s="12"/>
      <c r="AP844" s="12"/>
      <c r="AQ844" s="12"/>
      <c r="AR844" s="12"/>
      <c r="AS844" s="44"/>
      <c r="AT844" s="45"/>
      <c r="AU844" s="12"/>
      <c r="AV844" s="12"/>
      <c r="AW844" s="12"/>
      <c r="AX844" s="12"/>
      <c r="AY844" s="44"/>
      <c r="AZ844" s="45"/>
      <c r="BA844" s="12"/>
      <c r="BB844" s="12"/>
      <c r="BC844" s="12"/>
      <c r="BD844" s="12"/>
      <c r="BE844" s="44"/>
      <c r="BF844" s="45"/>
      <c r="BG844" s="12"/>
      <c r="BH844" s="12"/>
      <c r="BI844" s="12"/>
      <c r="BJ844" s="12"/>
      <c r="BK844" s="44"/>
      <c r="BL844" s="45"/>
      <c r="BM844" s="12"/>
      <c r="BN844" s="12"/>
      <c r="BO844" s="12"/>
      <c r="BP844" s="12"/>
      <c r="BQ844" s="48"/>
      <c r="BR844" s="49"/>
      <c r="BS844" s="13"/>
      <c r="BT844" s="12"/>
      <c r="BV844" s="14"/>
      <c r="BW844" s="50"/>
      <c r="BX844" s="54"/>
      <c r="BY844" s="14"/>
      <c r="BZ844" s="14"/>
      <c r="CA844" s="14"/>
      <c r="CB844" s="14"/>
      <c r="CC844" s="14"/>
      <c r="CD844" s="14"/>
      <c r="CE844" s="14"/>
      <c r="CF844" s="15"/>
      <c r="CG844" s="14"/>
      <c r="CH844" s="14"/>
      <c r="CI844" s="50"/>
      <c r="CJ844" s="54"/>
      <c r="CK844" s="14"/>
      <c r="CL844" s="14"/>
      <c r="CM844" s="14"/>
      <c r="CN844" s="14"/>
      <c r="CO844" s="14"/>
      <c r="CP844" s="14"/>
      <c r="CQ844" s="14"/>
      <c r="CR844" s="14"/>
      <c r="CS844" s="14"/>
      <c r="CT844" s="14"/>
      <c r="CU844" s="16"/>
      <c r="CV844" s="14"/>
      <c r="CW844" s="50"/>
      <c r="CX844" s="17"/>
    </row>
    <row r="845" spans="4:102" x14ac:dyDescent="0.25"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43"/>
      <c r="Q845" s="11"/>
      <c r="R845" s="11"/>
      <c r="S845" s="11"/>
      <c r="T845" s="11"/>
      <c r="U845" s="11"/>
      <c r="V845" s="11"/>
      <c r="W845" s="11"/>
      <c r="X845" s="12"/>
      <c r="Y845" s="12"/>
      <c r="Z845" s="12"/>
      <c r="AA845" s="44"/>
      <c r="AB845" s="45"/>
      <c r="AC845" s="12"/>
      <c r="AD845" s="12"/>
      <c r="AE845" s="12"/>
      <c r="AF845" s="12"/>
      <c r="AG845" s="44"/>
      <c r="AH845" s="45"/>
      <c r="AI845" s="12"/>
      <c r="AJ845" s="12"/>
      <c r="AK845" s="12"/>
      <c r="AL845" s="12"/>
      <c r="AM845" s="44"/>
      <c r="AN845" s="45"/>
      <c r="AO845" s="12"/>
      <c r="AP845" s="12"/>
      <c r="AQ845" s="12"/>
      <c r="AR845" s="12"/>
      <c r="AS845" s="44"/>
      <c r="AT845" s="45"/>
      <c r="AU845" s="12"/>
      <c r="AV845" s="12"/>
      <c r="AW845" s="12"/>
      <c r="AX845" s="12"/>
      <c r="AY845" s="44"/>
      <c r="AZ845" s="45"/>
      <c r="BA845" s="12"/>
      <c r="BB845" s="12"/>
      <c r="BC845" s="12"/>
      <c r="BD845" s="12"/>
      <c r="BE845" s="44"/>
      <c r="BF845" s="45"/>
      <c r="BG845" s="12"/>
      <c r="BH845" s="12"/>
      <c r="BI845" s="12"/>
      <c r="BJ845" s="12"/>
      <c r="BK845" s="44"/>
      <c r="BL845" s="45"/>
      <c r="BM845" s="12"/>
      <c r="BN845" s="12"/>
      <c r="BO845" s="12"/>
      <c r="BP845" s="12"/>
      <c r="BQ845" s="48"/>
      <c r="BR845" s="49"/>
      <c r="BS845" s="13"/>
      <c r="BT845" s="12"/>
      <c r="BV845" s="14"/>
      <c r="BW845" s="50"/>
      <c r="BX845" s="54"/>
      <c r="BY845" s="14"/>
      <c r="BZ845" s="14"/>
      <c r="CA845" s="14"/>
      <c r="CB845" s="14"/>
      <c r="CC845" s="14"/>
      <c r="CD845" s="14"/>
      <c r="CE845" s="14"/>
      <c r="CF845" s="15"/>
      <c r="CG845" s="14"/>
      <c r="CH845" s="14"/>
      <c r="CI845" s="50"/>
      <c r="CJ845" s="54"/>
      <c r="CK845" s="14"/>
      <c r="CL845" s="14"/>
      <c r="CM845" s="14"/>
      <c r="CN845" s="14"/>
      <c r="CO845" s="14"/>
      <c r="CP845" s="14"/>
      <c r="CQ845" s="14"/>
      <c r="CR845" s="14"/>
      <c r="CS845" s="14"/>
      <c r="CT845" s="14"/>
      <c r="CU845" s="16"/>
      <c r="CV845" s="14"/>
      <c r="CW845" s="50"/>
      <c r="CX845" s="17"/>
    </row>
    <row r="846" spans="4:102" x14ac:dyDescent="0.25"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43"/>
      <c r="Q846" s="11"/>
      <c r="R846" s="11"/>
      <c r="S846" s="11"/>
      <c r="T846" s="11"/>
      <c r="U846" s="11"/>
      <c r="V846" s="11"/>
      <c r="W846" s="11"/>
      <c r="X846" s="12"/>
      <c r="Y846" s="12"/>
      <c r="Z846" s="12"/>
      <c r="AA846" s="44"/>
      <c r="AB846" s="45"/>
      <c r="AC846" s="12"/>
      <c r="AD846" s="12"/>
      <c r="AE846" s="12"/>
      <c r="AF846" s="12"/>
      <c r="AG846" s="44"/>
      <c r="AH846" s="45"/>
      <c r="AI846" s="12"/>
      <c r="AJ846" s="12"/>
      <c r="AK846" s="12"/>
      <c r="AL846" s="12"/>
      <c r="AM846" s="44"/>
      <c r="AN846" s="45"/>
      <c r="AO846" s="12"/>
      <c r="AP846" s="12"/>
      <c r="AQ846" s="12"/>
      <c r="AR846" s="12"/>
      <c r="AS846" s="44"/>
      <c r="AT846" s="45"/>
      <c r="AU846" s="12"/>
      <c r="AV846" s="12"/>
      <c r="AW846" s="12"/>
      <c r="AX846" s="12"/>
      <c r="AY846" s="44"/>
      <c r="AZ846" s="45"/>
      <c r="BA846" s="12"/>
      <c r="BB846" s="12"/>
      <c r="BC846" s="12"/>
      <c r="BD846" s="12"/>
      <c r="BE846" s="44"/>
      <c r="BF846" s="45"/>
      <c r="BG846" s="12"/>
      <c r="BH846" s="12"/>
      <c r="BI846" s="12"/>
      <c r="BJ846" s="12"/>
      <c r="BK846" s="44"/>
      <c r="BL846" s="45"/>
      <c r="BM846" s="12"/>
      <c r="BN846" s="12"/>
      <c r="BO846" s="12"/>
      <c r="BP846" s="12"/>
      <c r="BQ846" s="48"/>
      <c r="BR846" s="49"/>
      <c r="BS846" s="13"/>
      <c r="BT846" s="12"/>
      <c r="BV846" s="14"/>
      <c r="BW846" s="50"/>
      <c r="BX846" s="54"/>
      <c r="BY846" s="14"/>
      <c r="BZ846" s="14"/>
      <c r="CA846" s="14"/>
      <c r="CB846" s="14"/>
      <c r="CC846" s="14"/>
      <c r="CD846" s="14"/>
      <c r="CE846" s="14"/>
      <c r="CF846" s="15"/>
      <c r="CG846" s="14"/>
      <c r="CH846" s="14"/>
      <c r="CI846" s="50"/>
      <c r="CJ846" s="54"/>
      <c r="CK846" s="14"/>
      <c r="CL846" s="14"/>
      <c r="CM846" s="14"/>
      <c r="CN846" s="14"/>
      <c r="CO846" s="14"/>
      <c r="CP846" s="14"/>
      <c r="CQ846" s="14"/>
      <c r="CR846" s="14"/>
      <c r="CS846" s="14"/>
      <c r="CT846" s="14"/>
      <c r="CU846" s="16"/>
      <c r="CV846" s="14"/>
      <c r="CW846" s="50"/>
      <c r="CX846" s="17"/>
    </row>
    <row r="847" spans="4:102" x14ac:dyDescent="0.25"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43"/>
      <c r="Q847" s="11"/>
      <c r="R847" s="11"/>
      <c r="S847" s="11"/>
      <c r="T847" s="11"/>
      <c r="U847" s="11"/>
      <c r="V847" s="11"/>
      <c r="W847" s="11"/>
      <c r="X847" s="12"/>
      <c r="Y847" s="12"/>
      <c r="Z847" s="12"/>
      <c r="AA847" s="44"/>
      <c r="AB847" s="45"/>
      <c r="AC847" s="12"/>
      <c r="AD847" s="12"/>
      <c r="AE847" s="12"/>
      <c r="AF847" s="12"/>
      <c r="AG847" s="44"/>
      <c r="AH847" s="45"/>
      <c r="AI847" s="12"/>
      <c r="AJ847" s="12"/>
      <c r="AK847" s="12"/>
      <c r="AL847" s="12"/>
      <c r="AM847" s="44"/>
      <c r="AN847" s="45"/>
      <c r="AO847" s="12"/>
      <c r="AP847" s="12"/>
      <c r="AQ847" s="12"/>
      <c r="AR847" s="12"/>
      <c r="AS847" s="44"/>
      <c r="AT847" s="45"/>
      <c r="AU847" s="12"/>
      <c r="AV847" s="12"/>
      <c r="AW847" s="12"/>
      <c r="AX847" s="12"/>
      <c r="AY847" s="44"/>
      <c r="AZ847" s="45"/>
      <c r="BA847" s="12"/>
      <c r="BB847" s="12"/>
      <c r="BC847" s="12"/>
      <c r="BD847" s="12"/>
      <c r="BE847" s="44"/>
      <c r="BF847" s="45"/>
      <c r="BG847" s="12"/>
      <c r="BH847" s="12"/>
      <c r="BI847" s="12"/>
      <c r="BJ847" s="12"/>
      <c r="BK847" s="44"/>
      <c r="BL847" s="45"/>
      <c r="BM847" s="12"/>
      <c r="BN847" s="12"/>
      <c r="BO847" s="12"/>
      <c r="BP847" s="12"/>
      <c r="BQ847" s="48"/>
      <c r="BR847" s="49"/>
      <c r="BS847" s="13"/>
      <c r="BT847" s="12"/>
      <c r="BV847" s="14"/>
      <c r="BW847" s="50"/>
      <c r="BX847" s="54"/>
      <c r="BY847" s="14"/>
      <c r="BZ847" s="14"/>
      <c r="CA847" s="14"/>
      <c r="CB847" s="14"/>
      <c r="CC847" s="14"/>
      <c r="CD847" s="14"/>
      <c r="CE847" s="14"/>
      <c r="CF847" s="15"/>
      <c r="CG847" s="14"/>
      <c r="CH847" s="14"/>
      <c r="CI847" s="50"/>
      <c r="CJ847" s="54"/>
      <c r="CK847" s="14"/>
      <c r="CL847" s="14"/>
      <c r="CM847" s="14"/>
      <c r="CN847" s="14"/>
      <c r="CO847" s="14"/>
      <c r="CP847" s="14"/>
      <c r="CQ847" s="14"/>
      <c r="CR847" s="14"/>
      <c r="CS847" s="14"/>
      <c r="CT847" s="14"/>
      <c r="CU847" s="16"/>
      <c r="CV847" s="14"/>
      <c r="CW847" s="50"/>
      <c r="CX847" s="17"/>
    </row>
    <row r="848" spans="4:102" x14ac:dyDescent="0.25"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43"/>
      <c r="Q848" s="11"/>
      <c r="R848" s="11"/>
      <c r="S848" s="11"/>
      <c r="T848" s="11"/>
      <c r="U848" s="11"/>
      <c r="V848" s="11"/>
      <c r="W848" s="11"/>
      <c r="X848" s="12"/>
      <c r="Y848" s="12"/>
      <c r="Z848" s="12"/>
      <c r="AA848" s="44"/>
      <c r="AB848" s="45"/>
      <c r="AC848" s="12"/>
      <c r="AD848" s="12"/>
      <c r="AE848" s="12"/>
      <c r="AF848" s="12"/>
      <c r="AG848" s="44"/>
      <c r="AH848" s="45"/>
      <c r="AI848" s="12"/>
      <c r="AJ848" s="12"/>
      <c r="AK848" s="12"/>
      <c r="AL848" s="12"/>
      <c r="AM848" s="44"/>
      <c r="AN848" s="45"/>
      <c r="AO848" s="12"/>
      <c r="AP848" s="12"/>
      <c r="AQ848" s="12"/>
      <c r="AR848" s="12"/>
      <c r="AS848" s="44"/>
      <c r="AT848" s="45"/>
      <c r="AU848" s="12"/>
      <c r="AV848" s="12"/>
      <c r="AW848" s="12"/>
      <c r="AX848" s="12"/>
      <c r="AY848" s="44"/>
      <c r="AZ848" s="45"/>
      <c r="BA848" s="12"/>
      <c r="BB848" s="12"/>
      <c r="BC848" s="12"/>
      <c r="BD848" s="12"/>
      <c r="BE848" s="44"/>
      <c r="BF848" s="45"/>
      <c r="BG848" s="12"/>
      <c r="BH848" s="12"/>
      <c r="BI848" s="12"/>
      <c r="BJ848" s="12"/>
      <c r="BK848" s="44"/>
      <c r="BL848" s="45"/>
      <c r="BM848" s="12"/>
      <c r="BN848" s="12"/>
      <c r="BO848" s="12"/>
      <c r="BP848" s="12"/>
      <c r="BQ848" s="48"/>
      <c r="BR848" s="49"/>
      <c r="BS848" s="13"/>
      <c r="BT848" s="12"/>
      <c r="BV848" s="14"/>
      <c r="BW848" s="50"/>
      <c r="BX848" s="54"/>
      <c r="BY848" s="14"/>
      <c r="BZ848" s="14"/>
      <c r="CA848" s="14"/>
      <c r="CB848" s="14"/>
      <c r="CC848" s="14"/>
      <c r="CD848" s="14"/>
      <c r="CE848" s="14"/>
      <c r="CF848" s="15"/>
      <c r="CG848" s="14"/>
      <c r="CH848" s="14"/>
      <c r="CI848" s="50"/>
      <c r="CJ848" s="54"/>
      <c r="CK848" s="14"/>
      <c r="CL848" s="14"/>
      <c r="CM848" s="14"/>
      <c r="CN848" s="14"/>
      <c r="CO848" s="14"/>
      <c r="CP848" s="14"/>
      <c r="CQ848" s="14"/>
      <c r="CR848" s="14"/>
      <c r="CS848" s="14"/>
      <c r="CT848" s="14"/>
      <c r="CU848" s="16"/>
      <c r="CV848" s="14"/>
      <c r="CW848" s="50"/>
      <c r="CX848" s="17"/>
    </row>
    <row r="849" spans="4:102" x14ac:dyDescent="0.25"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43"/>
      <c r="Q849" s="11"/>
      <c r="R849" s="11"/>
      <c r="S849" s="11"/>
      <c r="T849" s="11"/>
      <c r="U849" s="11"/>
      <c r="V849" s="11"/>
      <c r="W849" s="11"/>
      <c r="X849" s="12"/>
      <c r="Y849" s="12"/>
      <c r="Z849" s="12"/>
      <c r="AA849" s="44"/>
      <c r="AB849" s="45"/>
      <c r="AC849" s="12"/>
      <c r="AD849" s="12"/>
      <c r="AE849" s="12"/>
      <c r="AF849" s="12"/>
      <c r="AG849" s="44"/>
      <c r="AH849" s="45"/>
      <c r="AI849" s="12"/>
      <c r="AJ849" s="12"/>
      <c r="AK849" s="12"/>
      <c r="AL849" s="12"/>
      <c r="AM849" s="44"/>
      <c r="AN849" s="45"/>
      <c r="AO849" s="12"/>
      <c r="AP849" s="12"/>
      <c r="AQ849" s="12"/>
      <c r="AR849" s="12"/>
      <c r="AS849" s="44"/>
      <c r="AT849" s="45"/>
      <c r="AU849" s="12"/>
      <c r="AV849" s="12"/>
      <c r="AW849" s="12"/>
      <c r="AX849" s="12"/>
      <c r="AY849" s="44"/>
      <c r="AZ849" s="45"/>
      <c r="BA849" s="12"/>
      <c r="BB849" s="12"/>
      <c r="BC849" s="12"/>
      <c r="BD849" s="12"/>
      <c r="BE849" s="44"/>
      <c r="BF849" s="45"/>
      <c r="BG849" s="12"/>
      <c r="BH849" s="12"/>
      <c r="BI849" s="12"/>
      <c r="BJ849" s="12"/>
      <c r="BK849" s="44"/>
      <c r="BL849" s="45"/>
      <c r="BM849" s="12"/>
      <c r="BN849" s="12"/>
      <c r="BO849" s="12"/>
      <c r="BP849" s="12"/>
      <c r="BQ849" s="48"/>
      <c r="BR849" s="49"/>
      <c r="BS849" s="13"/>
      <c r="BT849" s="12"/>
      <c r="BV849" s="14"/>
      <c r="BW849" s="50"/>
      <c r="BX849" s="54"/>
      <c r="BY849" s="14"/>
      <c r="BZ849" s="14"/>
      <c r="CA849" s="14"/>
      <c r="CB849" s="14"/>
      <c r="CC849" s="14"/>
      <c r="CD849" s="14"/>
      <c r="CE849" s="14"/>
      <c r="CF849" s="15"/>
      <c r="CG849" s="14"/>
      <c r="CH849" s="14"/>
      <c r="CI849" s="50"/>
      <c r="CJ849" s="54"/>
      <c r="CK849" s="14"/>
      <c r="CL849" s="14"/>
      <c r="CM849" s="14"/>
      <c r="CN849" s="14"/>
      <c r="CO849" s="14"/>
      <c r="CP849" s="14"/>
      <c r="CQ849" s="14"/>
      <c r="CR849" s="14"/>
      <c r="CS849" s="14"/>
      <c r="CT849" s="14"/>
      <c r="CU849" s="16"/>
      <c r="CV849" s="14"/>
      <c r="CW849" s="50"/>
      <c r="CX849" s="17"/>
    </row>
    <row r="850" spans="4:102" x14ac:dyDescent="0.25"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43"/>
      <c r="Q850" s="11"/>
      <c r="R850" s="11"/>
      <c r="S850" s="11"/>
      <c r="T850" s="11"/>
      <c r="U850" s="11"/>
      <c r="V850" s="11"/>
      <c r="W850" s="11"/>
      <c r="X850" s="12"/>
      <c r="Y850" s="12"/>
      <c r="Z850" s="12"/>
      <c r="AA850" s="44"/>
      <c r="AB850" s="45"/>
      <c r="AC850" s="12"/>
      <c r="AD850" s="12"/>
      <c r="AE850" s="12"/>
      <c r="AF850" s="12"/>
      <c r="AG850" s="44"/>
      <c r="AH850" s="45"/>
      <c r="AI850" s="12"/>
      <c r="AJ850" s="12"/>
      <c r="AK850" s="12"/>
      <c r="AL850" s="12"/>
      <c r="AM850" s="44"/>
      <c r="AN850" s="45"/>
      <c r="AO850" s="12"/>
      <c r="AP850" s="12"/>
      <c r="AQ850" s="12"/>
      <c r="AR850" s="12"/>
      <c r="AS850" s="44"/>
      <c r="AT850" s="45"/>
      <c r="AU850" s="12"/>
      <c r="AV850" s="12"/>
      <c r="AW850" s="12"/>
      <c r="AX850" s="12"/>
      <c r="AY850" s="44"/>
      <c r="AZ850" s="45"/>
      <c r="BA850" s="12"/>
      <c r="BB850" s="12"/>
      <c r="BC850" s="12"/>
      <c r="BD850" s="12"/>
      <c r="BE850" s="44"/>
      <c r="BF850" s="45"/>
      <c r="BG850" s="12"/>
      <c r="BH850" s="12"/>
      <c r="BI850" s="12"/>
      <c r="BJ850" s="12"/>
      <c r="BK850" s="44"/>
      <c r="BL850" s="45"/>
      <c r="BM850" s="12"/>
      <c r="BN850" s="12"/>
      <c r="BO850" s="12"/>
      <c r="BP850" s="12"/>
      <c r="BQ850" s="48"/>
      <c r="BR850" s="49"/>
      <c r="BS850" s="13"/>
      <c r="BT850" s="12"/>
      <c r="BV850" s="14"/>
      <c r="BW850" s="50"/>
      <c r="BX850" s="54"/>
      <c r="BY850" s="14"/>
      <c r="BZ850" s="14"/>
      <c r="CA850" s="14"/>
      <c r="CB850" s="14"/>
      <c r="CC850" s="14"/>
      <c r="CD850" s="14"/>
      <c r="CE850" s="14"/>
      <c r="CF850" s="15"/>
      <c r="CG850" s="14"/>
      <c r="CH850" s="14"/>
      <c r="CI850" s="50"/>
      <c r="CJ850" s="54"/>
      <c r="CK850" s="14"/>
      <c r="CL850" s="14"/>
      <c r="CM850" s="14"/>
      <c r="CN850" s="14"/>
      <c r="CO850" s="14"/>
      <c r="CP850" s="14"/>
      <c r="CQ850" s="14"/>
      <c r="CR850" s="14"/>
      <c r="CS850" s="14"/>
      <c r="CT850" s="14"/>
      <c r="CU850" s="16"/>
      <c r="CV850" s="14"/>
      <c r="CW850" s="50"/>
      <c r="CX850" s="17"/>
    </row>
    <row r="851" spans="4:102" x14ac:dyDescent="0.25"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43"/>
      <c r="Q851" s="11"/>
      <c r="R851" s="11"/>
      <c r="S851" s="11"/>
      <c r="T851" s="11"/>
      <c r="U851" s="11"/>
      <c r="V851" s="11"/>
      <c r="W851" s="11"/>
      <c r="X851" s="12"/>
      <c r="Y851" s="12"/>
      <c r="Z851" s="12"/>
      <c r="AA851" s="44"/>
      <c r="AB851" s="45"/>
      <c r="AC851" s="12"/>
      <c r="AD851" s="12"/>
      <c r="AE851" s="12"/>
      <c r="AF851" s="12"/>
      <c r="AG851" s="44"/>
      <c r="AH851" s="45"/>
      <c r="AI851" s="12"/>
      <c r="AJ851" s="12"/>
      <c r="AK851" s="12"/>
      <c r="AL851" s="12"/>
      <c r="AM851" s="44"/>
      <c r="AN851" s="45"/>
      <c r="AO851" s="12"/>
      <c r="AP851" s="12"/>
      <c r="AQ851" s="12"/>
      <c r="AR851" s="12"/>
      <c r="AS851" s="44"/>
      <c r="AT851" s="45"/>
      <c r="AU851" s="12"/>
      <c r="AV851" s="12"/>
      <c r="AW851" s="12"/>
      <c r="AX851" s="12"/>
      <c r="AY851" s="44"/>
      <c r="AZ851" s="45"/>
      <c r="BA851" s="12"/>
      <c r="BB851" s="12"/>
      <c r="BC851" s="12"/>
      <c r="BD851" s="12"/>
      <c r="BE851" s="44"/>
      <c r="BF851" s="45"/>
      <c r="BG851" s="12"/>
      <c r="BH851" s="12"/>
      <c r="BI851" s="12"/>
      <c r="BJ851" s="12"/>
      <c r="BK851" s="44"/>
      <c r="BL851" s="45"/>
      <c r="BM851" s="12"/>
      <c r="BN851" s="12"/>
      <c r="BO851" s="12"/>
      <c r="BP851" s="12"/>
      <c r="BQ851" s="48"/>
      <c r="BR851" s="49"/>
      <c r="BS851" s="13"/>
      <c r="BT851" s="12"/>
      <c r="BV851" s="14"/>
      <c r="BW851" s="50"/>
      <c r="BX851" s="54"/>
      <c r="BY851" s="14"/>
      <c r="BZ851" s="14"/>
      <c r="CA851" s="14"/>
      <c r="CB851" s="14"/>
      <c r="CC851" s="14"/>
      <c r="CD851" s="14"/>
      <c r="CE851" s="14"/>
      <c r="CF851" s="15"/>
      <c r="CG851" s="14"/>
      <c r="CH851" s="14"/>
      <c r="CI851" s="50"/>
      <c r="CJ851" s="54"/>
      <c r="CK851" s="14"/>
      <c r="CL851" s="14"/>
      <c r="CM851" s="14"/>
      <c r="CN851" s="14"/>
      <c r="CO851" s="14"/>
      <c r="CP851" s="14"/>
      <c r="CQ851" s="14"/>
      <c r="CR851" s="14"/>
      <c r="CS851" s="14"/>
      <c r="CT851" s="14"/>
      <c r="CU851" s="16"/>
      <c r="CV851" s="14"/>
      <c r="CW851" s="50"/>
      <c r="CX851" s="17"/>
    </row>
    <row r="852" spans="4:102" x14ac:dyDescent="0.25"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43"/>
      <c r="Q852" s="11"/>
      <c r="R852" s="11"/>
      <c r="S852" s="11"/>
      <c r="T852" s="11"/>
      <c r="U852" s="11"/>
      <c r="V852" s="11"/>
      <c r="W852" s="11"/>
      <c r="X852" s="12"/>
      <c r="Y852" s="12"/>
      <c r="Z852" s="12"/>
      <c r="AA852" s="44"/>
      <c r="AB852" s="45"/>
      <c r="AC852" s="12"/>
      <c r="AD852" s="12"/>
      <c r="AE852" s="12"/>
      <c r="AF852" s="12"/>
      <c r="AG852" s="44"/>
      <c r="AH852" s="45"/>
      <c r="AI852" s="12"/>
      <c r="AJ852" s="12"/>
      <c r="AK852" s="12"/>
      <c r="AL852" s="12"/>
      <c r="AM852" s="44"/>
      <c r="AN852" s="45"/>
      <c r="AO852" s="12"/>
      <c r="AP852" s="12"/>
      <c r="AQ852" s="12"/>
      <c r="AR852" s="12"/>
      <c r="AS852" s="44"/>
      <c r="AT852" s="45"/>
      <c r="AU852" s="12"/>
      <c r="AV852" s="12"/>
      <c r="AW852" s="12"/>
      <c r="AX852" s="12"/>
      <c r="AY852" s="44"/>
      <c r="AZ852" s="45"/>
      <c r="BA852" s="12"/>
      <c r="BB852" s="12"/>
      <c r="BC852" s="12"/>
      <c r="BD852" s="12"/>
      <c r="BE852" s="44"/>
      <c r="BF852" s="45"/>
      <c r="BG852" s="12"/>
      <c r="BH852" s="12"/>
      <c r="BI852" s="12"/>
      <c r="BJ852" s="12"/>
      <c r="BK852" s="44"/>
      <c r="BL852" s="45"/>
      <c r="BM852" s="12"/>
      <c r="BN852" s="12"/>
      <c r="BO852" s="12"/>
      <c r="BP852" s="12"/>
      <c r="BQ852" s="48"/>
      <c r="BR852" s="49"/>
      <c r="BS852" s="13"/>
      <c r="BT852" s="12"/>
      <c r="BV852" s="14"/>
      <c r="BW852" s="50"/>
      <c r="BX852" s="54"/>
      <c r="BY852" s="14"/>
      <c r="BZ852" s="14"/>
      <c r="CA852" s="14"/>
      <c r="CB852" s="14"/>
      <c r="CC852" s="14"/>
      <c r="CD852" s="14"/>
      <c r="CE852" s="14"/>
      <c r="CF852" s="15"/>
      <c r="CG852" s="14"/>
      <c r="CH852" s="14"/>
      <c r="CI852" s="50"/>
      <c r="CJ852" s="54"/>
      <c r="CK852" s="14"/>
      <c r="CL852" s="14"/>
      <c r="CM852" s="14"/>
      <c r="CN852" s="14"/>
      <c r="CO852" s="14"/>
      <c r="CP852" s="14"/>
      <c r="CQ852" s="14"/>
      <c r="CR852" s="14"/>
      <c r="CS852" s="14"/>
      <c r="CT852" s="14"/>
      <c r="CU852" s="16"/>
      <c r="CV852" s="14"/>
      <c r="CW852" s="50"/>
      <c r="CX852" s="17"/>
    </row>
    <row r="853" spans="4:102" x14ac:dyDescent="0.25"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43"/>
      <c r="Q853" s="11"/>
      <c r="R853" s="11"/>
      <c r="S853" s="11"/>
      <c r="T853" s="11"/>
      <c r="U853" s="11"/>
      <c r="V853" s="11"/>
      <c r="W853" s="11"/>
      <c r="X853" s="12"/>
      <c r="Y853" s="12"/>
      <c r="Z853" s="12"/>
      <c r="AA853" s="44"/>
      <c r="AB853" s="45"/>
      <c r="AC853" s="12"/>
      <c r="AD853" s="12"/>
      <c r="AE853" s="12"/>
      <c r="AF853" s="12"/>
      <c r="AG853" s="44"/>
      <c r="AH853" s="45"/>
      <c r="AI853" s="12"/>
      <c r="AJ853" s="12"/>
      <c r="AK853" s="12"/>
      <c r="AL853" s="12"/>
      <c r="AM853" s="44"/>
      <c r="AN853" s="45"/>
      <c r="AO853" s="12"/>
      <c r="AP853" s="12"/>
      <c r="AQ853" s="12"/>
      <c r="AR853" s="12"/>
      <c r="AS853" s="44"/>
      <c r="AT853" s="45"/>
      <c r="AU853" s="12"/>
      <c r="AV853" s="12"/>
      <c r="AW853" s="12"/>
      <c r="AX853" s="12"/>
      <c r="AY853" s="44"/>
      <c r="AZ853" s="45"/>
      <c r="BA853" s="12"/>
      <c r="BB853" s="12"/>
      <c r="BC853" s="12"/>
      <c r="BD853" s="12"/>
      <c r="BE853" s="44"/>
      <c r="BF853" s="45"/>
      <c r="BG853" s="12"/>
      <c r="BH853" s="12"/>
      <c r="BI853" s="12"/>
      <c r="BJ853" s="12"/>
      <c r="BK853" s="44"/>
      <c r="BL853" s="45"/>
      <c r="BM853" s="12"/>
      <c r="BN853" s="12"/>
      <c r="BO853" s="12"/>
      <c r="BP853" s="12"/>
      <c r="BQ853" s="48"/>
      <c r="BR853" s="49"/>
      <c r="BS853" s="13"/>
      <c r="BT853" s="12"/>
      <c r="BV853" s="14"/>
      <c r="BW853" s="50"/>
      <c r="BX853" s="54"/>
      <c r="BY853" s="14"/>
      <c r="BZ853" s="14"/>
      <c r="CA853" s="14"/>
      <c r="CB853" s="14"/>
      <c r="CC853" s="14"/>
      <c r="CD853" s="14"/>
      <c r="CE853" s="14"/>
      <c r="CF853" s="15"/>
      <c r="CG853" s="14"/>
      <c r="CH853" s="14"/>
      <c r="CI853" s="50"/>
      <c r="CJ853" s="54"/>
      <c r="CK853" s="14"/>
      <c r="CL853" s="14"/>
      <c r="CM853" s="14"/>
      <c r="CN853" s="14"/>
      <c r="CO853" s="14"/>
      <c r="CP853" s="14"/>
      <c r="CQ853" s="14"/>
      <c r="CR853" s="14"/>
      <c r="CS853" s="14"/>
      <c r="CT853" s="14"/>
      <c r="CU853" s="16"/>
      <c r="CV853" s="14"/>
      <c r="CW853" s="50"/>
      <c r="CX853" s="17"/>
    </row>
    <row r="854" spans="4:102" x14ac:dyDescent="0.25"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43"/>
      <c r="Q854" s="11"/>
      <c r="R854" s="11"/>
      <c r="S854" s="11"/>
      <c r="T854" s="11"/>
      <c r="U854" s="11"/>
      <c r="V854" s="11"/>
      <c r="W854" s="11"/>
      <c r="X854" s="12"/>
      <c r="Y854" s="12"/>
      <c r="Z854" s="12"/>
      <c r="AA854" s="44"/>
      <c r="AB854" s="45"/>
      <c r="AC854" s="12"/>
      <c r="AD854" s="12"/>
      <c r="AE854" s="12"/>
      <c r="AF854" s="12"/>
      <c r="AG854" s="44"/>
      <c r="AH854" s="45"/>
      <c r="AI854" s="12"/>
      <c r="AJ854" s="12"/>
      <c r="AK854" s="12"/>
      <c r="AL854" s="12"/>
      <c r="AM854" s="44"/>
      <c r="AN854" s="45"/>
      <c r="AO854" s="12"/>
      <c r="AP854" s="12"/>
      <c r="AQ854" s="12"/>
      <c r="AR854" s="12"/>
      <c r="AS854" s="44"/>
      <c r="AT854" s="45"/>
      <c r="AU854" s="12"/>
      <c r="AV854" s="12"/>
      <c r="AW854" s="12"/>
      <c r="AX854" s="12"/>
      <c r="AY854" s="44"/>
      <c r="AZ854" s="45"/>
      <c r="BA854" s="12"/>
      <c r="BB854" s="12"/>
      <c r="BC854" s="12"/>
      <c r="BD854" s="12"/>
      <c r="BE854" s="44"/>
      <c r="BF854" s="45"/>
      <c r="BG854" s="12"/>
      <c r="BH854" s="12"/>
      <c r="BI854" s="12"/>
      <c r="BJ854" s="12"/>
      <c r="BK854" s="44"/>
      <c r="BL854" s="45"/>
      <c r="BM854" s="12"/>
      <c r="BN854" s="12"/>
      <c r="BO854" s="12"/>
      <c r="BP854" s="12"/>
      <c r="BQ854" s="48"/>
      <c r="BR854" s="49"/>
      <c r="BS854" s="13"/>
      <c r="BT854" s="12"/>
      <c r="BV854" s="14"/>
      <c r="BW854" s="50"/>
      <c r="BX854" s="54"/>
      <c r="BY854" s="14"/>
      <c r="BZ854" s="14"/>
      <c r="CA854" s="14"/>
      <c r="CB854" s="14"/>
      <c r="CC854" s="14"/>
      <c r="CD854" s="14"/>
      <c r="CE854" s="14"/>
      <c r="CF854" s="15"/>
      <c r="CG854" s="14"/>
      <c r="CH854" s="14"/>
      <c r="CI854" s="50"/>
      <c r="CJ854" s="54"/>
      <c r="CK854" s="14"/>
      <c r="CL854" s="14"/>
      <c r="CM854" s="14"/>
      <c r="CN854" s="14"/>
      <c r="CO854" s="14"/>
      <c r="CP854" s="14"/>
      <c r="CQ854" s="14"/>
      <c r="CR854" s="14"/>
      <c r="CS854" s="14"/>
      <c r="CT854" s="14"/>
      <c r="CU854" s="16"/>
      <c r="CV854" s="14"/>
      <c r="CW854" s="50"/>
      <c r="CX854" s="17"/>
    </row>
    <row r="855" spans="4:102" x14ac:dyDescent="0.25"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43"/>
      <c r="Q855" s="11"/>
      <c r="R855" s="11"/>
      <c r="S855" s="11"/>
      <c r="T855" s="11"/>
      <c r="U855" s="11"/>
      <c r="V855" s="11"/>
      <c r="W855" s="11"/>
      <c r="X855" s="12"/>
      <c r="Y855" s="12"/>
      <c r="Z855" s="12"/>
      <c r="AA855" s="44"/>
      <c r="AB855" s="45"/>
      <c r="AC855" s="12"/>
      <c r="AD855" s="12"/>
      <c r="AE855" s="12"/>
      <c r="AF855" s="12"/>
      <c r="AG855" s="44"/>
      <c r="AH855" s="45"/>
      <c r="AI855" s="12"/>
      <c r="AJ855" s="12"/>
      <c r="AK855" s="12"/>
      <c r="AL855" s="12"/>
      <c r="AM855" s="44"/>
      <c r="AN855" s="45"/>
      <c r="AO855" s="12"/>
      <c r="AP855" s="12"/>
      <c r="AQ855" s="12"/>
      <c r="AR855" s="12"/>
      <c r="AS855" s="44"/>
      <c r="AT855" s="45"/>
      <c r="AU855" s="12"/>
      <c r="AV855" s="12"/>
      <c r="AW855" s="12"/>
      <c r="AX855" s="12"/>
      <c r="AY855" s="44"/>
      <c r="AZ855" s="45"/>
      <c r="BA855" s="12"/>
      <c r="BB855" s="12"/>
      <c r="BC855" s="12"/>
      <c r="BD855" s="12"/>
      <c r="BE855" s="44"/>
      <c r="BF855" s="45"/>
      <c r="BG855" s="12"/>
      <c r="BH855" s="12"/>
      <c r="BI855" s="12"/>
      <c r="BJ855" s="12"/>
      <c r="BK855" s="44"/>
      <c r="BL855" s="45"/>
      <c r="BM855" s="12"/>
      <c r="BN855" s="12"/>
      <c r="BO855" s="12"/>
      <c r="BP855" s="12"/>
      <c r="BQ855" s="48"/>
      <c r="BR855" s="49"/>
      <c r="BS855" s="13"/>
      <c r="BT855" s="12"/>
      <c r="BV855" s="14"/>
      <c r="BW855" s="50"/>
      <c r="BX855" s="54"/>
      <c r="BY855" s="14"/>
      <c r="BZ855" s="14"/>
      <c r="CA855" s="14"/>
      <c r="CB855" s="14"/>
      <c r="CC855" s="14"/>
      <c r="CD855" s="14"/>
      <c r="CE855" s="14"/>
      <c r="CF855" s="15"/>
      <c r="CG855" s="14"/>
      <c r="CH855" s="14"/>
      <c r="CI855" s="50"/>
      <c r="CJ855" s="54"/>
      <c r="CK855" s="14"/>
      <c r="CL855" s="14"/>
      <c r="CM855" s="14"/>
      <c r="CN855" s="14"/>
      <c r="CO855" s="14"/>
      <c r="CP855" s="14"/>
      <c r="CQ855" s="14"/>
      <c r="CR855" s="14"/>
      <c r="CS855" s="14"/>
      <c r="CT855" s="14"/>
      <c r="CU855" s="16"/>
      <c r="CV855" s="14"/>
      <c r="CW855" s="50"/>
      <c r="CX855" s="17"/>
    </row>
    <row r="856" spans="4:102" x14ac:dyDescent="0.25"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43"/>
      <c r="Q856" s="11"/>
      <c r="R856" s="11"/>
      <c r="S856" s="11"/>
      <c r="T856" s="11"/>
      <c r="U856" s="11"/>
      <c r="V856" s="11"/>
      <c r="W856" s="11"/>
      <c r="X856" s="12"/>
      <c r="Y856" s="12"/>
      <c r="Z856" s="12"/>
      <c r="AA856" s="44"/>
      <c r="AB856" s="45"/>
      <c r="AC856" s="12"/>
      <c r="AD856" s="12"/>
      <c r="AE856" s="12"/>
      <c r="AF856" s="12"/>
      <c r="AG856" s="44"/>
      <c r="AH856" s="45"/>
      <c r="AI856" s="12"/>
      <c r="AJ856" s="12"/>
      <c r="AK856" s="12"/>
      <c r="AL856" s="12"/>
      <c r="AM856" s="44"/>
      <c r="AN856" s="45"/>
      <c r="AO856" s="12"/>
      <c r="AP856" s="12"/>
      <c r="AQ856" s="12"/>
      <c r="AR856" s="12"/>
      <c r="AS856" s="44"/>
      <c r="AT856" s="45"/>
      <c r="AU856" s="12"/>
      <c r="AV856" s="12"/>
      <c r="AW856" s="12"/>
      <c r="AX856" s="12"/>
      <c r="AY856" s="44"/>
      <c r="AZ856" s="45"/>
      <c r="BA856" s="12"/>
      <c r="BB856" s="12"/>
      <c r="BC856" s="12"/>
      <c r="BD856" s="12"/>
      <c r="BE856" s="44"/>
      <c r="BF856" s="45"/>
      <c r="BG856" s="12"/>
      <c r="BH856" s="12"/>
      <c r="BI856" s="12"/>
      <c r="BJ856" s="12"/>
      <c r="BK856" s="44"/>
      <c r="BL856" s="45"/>
      <c r="BM856" s="12"/>
      <c r="BN856" s="12"/>
      <c r="BO856" s="12"/>
      <c r="BP856" s="12"/>
      <c r="BQ856" s="48"/>
      <c r="BR856" s="49"/>
      <c r="BS856" s="13"/>
      <c r="BT856" s="12"/>
      <c r="BV856" s="14"/>
      <c r="BW856" s="50"/>
      <c r="BX856" s="54"/>
      <c r="BY856" s="14"/>
      <c r="BZ856" s="14"/>
      <c r="CA856" s="14"/>
      <c r="CB856" s="14"/>
      <c r="CC856" s="14"/>
      <c r="CD856" s="14"/>
      <c r="CE856" s="14"/>
      <c r="CF856" s="15"/>
      <c r="CG856" s="14"/>
      <c r="CH856" s="14"/>
      <c r="CI856" s="50"/>
      <c r="CJ856" s="54"/>
      <c r="CK856" s="14"/>
      <c r="CL856" s="14"/>
      <c r="CM856" s="14"/>
      <c r="CN856" s="14"/>
      <c r="CO856" s="14"/>
      <c r="CP856" s="14"/>
      <c r="CQ856" s="14"/>
      <c r="CR856" s="14"/>
      <c r="CS856" s="14"/>
      <c r="CT856" s="14"/>
      <c r="CU856" s="16"/>
      <c r="CV856" s="14"/>
      <c r="CW856" s="50"/>
      <c r="CX856" s="17"/>
    </row>
    <row r="857" spans="4:102" x14ac:dyDescent="0.25"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43"/>
      <c r="Q857" s="11"/>
      <c r="R857" s="11"/>
      <c r="S857" s="11"/>
      <c r="T857" s="11"/>
      <c r="U857" s="11"/>
      <c r="V857" s="11"/>
      <c r="W857" s="11"/>
      <c r="X857" s="12"/>
      <c r="Y857" s="12"/>
      <c r="Z857" s="12"/>
      <c r="AA857" s="44"/>
      <c r="AB857" s="45"/>
      <c r="AC857" s="12"/>
      <c r="AD857" s="12"/>
      <c r="AE857" s="12"/>
      <c r="AF857" s="12"/>
      <c r="AG857" s="44"/>
      <c r="AH857" s="45"/>
      <c r="AI857" s="12"/>
      <c r="AJ857" s="12"/>
      <c r="AK857" s="12"/>
      <c r="AL857" s="12"/>
      <c r="AM857" s="44"/>
      <c r="AN857" s="45"/>
      <c r="AO857" s="12"/>
      <c r="AP857" s="12"/>
      <c r="AQ857" s="12"/>
      <c r="AR857" s="12"/>
      <c r="AS857" s="44"/>
      <c r="AT857" s="45"/>
      <c r="AU857" s="12"/>
      <c r="AV857" s="12"/>
      <c r="AW857" s="12"/>
      <c r="AX857" s="12"/>
      <c r="AY857" s="44"/>
      <c r="AZ857" s="45"/>
      <c r="BA857" s="12"/>
      <c r="BB857" s="12"/>
      <c r="BC857" s="12"/>
      <c r="BD857" s="12"/>
      <c r="BE857" s="44"/>
      <c r="BF857" s="45"/>
      <c r="BG857" s="12"/>
      <c r="BH857" s="12"/>
      <c r="BI857" s="12"/>
      <c r="BJ857" s="12"/>
      <c r="BK857" s="44"/>
      <c r="BL857" s="45"/>
      <c r="BM857" s="12"/>
      <c r="BN857" s="12"/>
      <c r="BO857" s="12"/>
      <c r="BP857" s="12"/>
      <c r="BQ857" s="48"/>
      <c r="BR857" s="49"/>
      <c r="BS857" s="13"/>
      <c r="BT857" s="12"/>
      <c r="BV857" s="14"/>
      <c r="BW857" s="50"/>
      <c r="BX857" s="54"/>
      <c r="BY857" s="14"/>
      <c r="BZ857" s="14"/>
      <c r="CA857" s="14"/>
      <c r="CB857" s="14"/>
      <c r="CC857" s="14"/>
      <c r="CD857" s="14"/>
      <c r="CE857" s="14"/>
      <c r="CF857" s="15"/>
      <c r="CG857" s="14"/>
      <c r="CH857" s="14"/>
      <c r="CI857" s="50"/>
      <c r="CJ857" s="54"/>
      <c r="CK857" s="14"/>
      <c r="CL857" s="14"/>
      <c r="CM857" s="14"/>
      <c r="CN857" s="14"/>
      <c r="CO857" s="14"/>
      <c r="CP857" s="14"/>
      <c r="CQ857" s="14"/>
      <c r="CR857" s="14"/>
      <c r="CS857" s="14"/>
      <c r="CT857" s="14"/>
      <c r="CU857" s="16"/>
      <c r="CV857" s="14"/>
      <c r="CW857" s="50"/>
      <c r="CX857" s="17"/>
    </row>
    <row r="858" spans="4:102" x14ac:dyDescent="0.25"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43"/>
      <c r="Q858" s="11"/>
      <c r="R858" s="11"/>
      <c r="S858" s="11"/>
      <c r="T858" s="11"/>
      <c r="U858" s="11"/>
      <c r="V858" s="11"/>
      <c r="W858" s="11"/>
      <c r="X858" s="12"/>
      <c r="Y858" s="12"/>
      <c r="Z858" s="12"/>
      <c r="AA858" s="44"/>
      <c r="AB858" s="45"/>
      <c r="AC858" s="12"/>
      <c r="AD858" s="12"/>
      <c r="AE858" s="12"/>
      <c r="AF858" s="12"/>
      <c r="AG858" s="44"/>
      <c r="AH858" s="45"/>
      <c r="AI858" s="12"/>
      <c r="AJ858" s="12"/>
      <c r="AK858" s="12"/>
      <c r="AL858" s="12"/>
      <c r="AM858" s="44"/>
      <c r="AN858" s="45"/>
      <c r="AO858" s="12"/>
      <c r="AP858" s="12"/>
      <c r="AQ858" s="12"/>
      <c r="AR858" s="12"/>
      <c r="AS858" s="44"/>
      <c r="AT858" s="45"/>
      <c r="AU858" s="12"/>
      <c r="AV858" s="12"/>
      <c r="AW858" s="12"/>
      <c r="AX858" s="12"/>
      <c r="AY858" s="44"/>
      <c r="AZ858" s="45"/>
      <c r="BA858" s="12"/>
      <c r="BB858" s="12"/>
      <c r="BC858" s="12"/>
      <c r="BD858" s="12"/>
      <c r="BE858" s="44"/>
      <c r="BF858" s="45"/>
      <c r="BG858" s="12"/>
      <c r="BH858" s="12"/>
      <c r="BI858" s="12"/>
      <c r="BJ858" s="12"/>
      <c r="BK858" s="44"/>
      <c r="BL858" s="45"/>
      <c r="BM858" s="12"/>
      <c r="BN858" s="12"/>
      <c r="BO858" s="12"/>
      <c r="BP858" s="12"/>
      <c r="BQ858" s="48"/>
      <c r="BR858" s="49"/>
      <c r="BS858" s="13"/>
      <c r="BT858" s="12"/>
      <c r="BV858" s="14"/>
      <c r="BW858" s="50"/>
      <c r="BX858" s="54"/>
      <c r="BY858" s="14"/>
      <c r="BZ858" s="14"/>
      <c r="CA858" s="14"/>
      <c r="CB858" s="14"/>
      <c r="CC858" s="14"/>
      <c r="CD858" s="14"/>
      <c r="CE858" s="14"/>
      <c r="CF858" s="15"/>
      <c r="CG858" s="14"/>
      <c r="CH858" s="14"/>
      <c r="CI858" s="50"/>
      <c r="CJ858" s="54"/>
      <c r="CK858" s="14"/>
      <c r="CL858" s="14"/>
      <c r="CM858" s="14"/>
      <c r="CN858" s="14"/>
      <c r="CO858" s="14"/>
      <c r="CP858" s="14"/>
      <c r="CQ858" s="14"/>
      <c r="CR858" s="14"/>
      <c r="CS858" s="14"/>
      <c r="CT858" s="14"/>
      <c r="CU858" s="16"/>
      <c r="CV858" s="14"/>
      <c r="CW858" s="50"/>
      <c r="CX858" s="17"/>
    </row>
    <row r="859" spans="4:102" x14ac:dyDescent="0.25"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43"/>
      <c r="Q859" s="11"/>
      <c r="R859" s="11"/>
      <c r="S859" s="11"/>
      <c r="T859" s="11"/>
      <c r="U859" s="11"/>
      <c r="V859" s="11"/>
      <c r="W859" s="11"/>
      <c r="X859" s="12"/>
      <c r="Y859" s="12"/>
      <c r="Z859" s="12"/>
      <c r="AA859" s="44"/>
      <c r="AB859" s="45"/>
      <c r="AC859" s="12"/>
      <c r="AD859" s="12"/>
      <c r="AE859" s="12"/>
      <c r="AF859" s="12"/>
      <c r="AG859" s="44"/>
      <c r="AH859" s="45"/>
      <c r="AI859" s="12"/>
      <c r="AJ859" s="12"/>
      <c r="AK859" s="12"/>
      <c r="AL859" s="12"/>
      <c r="AM859" s="44"/>
      <c r="AN859" s="45"/>
      <c r="AO859" s="12"/>
      <c r="AP859" s="12"/>
      <c r="AQ859" s="12"/>
      <c r="AR859" s="12"/>
      <c r="AS859" s="44"/>
      <c r="AT859" s="45"/>
      <c r="AU859" s="12"/>
      <c r="AV859" s="12"/>
      <c r="AW859" s="12"/>
      <c r="AX859" s="12"/>
      <c r="AY859" s="44"/>
      <c r="AZ859" s="45"/>
      <c r="BA859" s="12"/>
      <c r="BB859" s="12"/>
      <c r="BC859" s="12"/>
      <c r="BD859" s="12"/>
      <c r="BE859" s="44"/>
      <c r="BF859" s="45"/>
      <c r="BG859" s="12"/>
      <c r="BH859" s="12"/>
      <c r="BI859" s="12"/>
      <c r="BJ859" s="12"/>
      <c r="BK859" s="44"/>
      <c r="BL859" s="45"/>
      <c r="BM859" s="12"/>
      <c r="BN859" s="12"/>
      <c r="BO859" s="12"/>
      <c r="BP859" s="12"/>
      <c r="BQ859" s="48"/>
      <c r="BR859" s="49"/>
      <c r="BS859" s="13"/>
      <c r="BT859" s="12"/>
      <c r="BV859" s="14"/>
      <c r="BW859" s="50"/>
      <c r="BX859" s="54"/>
      <c r="BY859" s="14"/>
      <c r="BZ859" s="14"/>
      <c r="CA859" s="14"/>
      <c r="CB859" s="14"/>
      <c r="CC859" s="14"/>
      <c r="CD859" s="14"/>
      <c r="CE859" s="14"/>
      <c r="CF859" s="15"/>
      <c r="CG859" s="14"/>
      <c r="CH859" s="14"/>
      <c r="CI859" s="50"/>
      <c r="CJ859" s="54"/>
      <c r="CK859" s="14"/>
      <c r="CL859" s="14"/>
      <c r="CM859" s="14"/>
      <c r="CN859" s="14"/>
      <c r="CO859" s="14"/>
      <c r="CP859" s="14"/>
      <c r="CQ859" s="14"/>
      <c r="CR859" s="14"/>
      <c r="CS859" s="14"/>
      <c r="CT859" s="14"/>
      <c r="CU859" s="16"/>
      <c r="CV859" s="14"/>
      <c r="CW859" s="50"/>
      <c r="CX859" s="17"/>
    </row>
    <row r="860" spans="4:102" x14ac:dyDescent="0.25"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43"/>
      <c r="Q860" s="11"/>
      <c r="R860" s="11"/>
      <c r="S860" s="11"/>
      <c r="T860" s="11"/>
      <c r="U860" s="11"/>
      <c r="V860" s="11"/>
      <c r="W860" s="11"/>
      <c r="X860" s="12"/>
      <c r="Y860" s="12"/>
      <c r="Z860" s="12"/>
      <c r="AA860" s="44"/>
      <c r="AB860" s="45"/>
      <c r="AC860" s="12"/>
      <c r="AD860" s="12"/>
      <c r="AE860" s="12"/>
      <c r="AF860" s="12"/>
      <c r="AG860" s="44"/>
      <c r="AH860" s="45"/>
      <c r="AI860" s="12"/>
      <c r="AJ860" s="12"/>
      <c r="AK860" s="12"/>
      <c r="AL860" s="12"/>
      <c r="AM860" s="44"/>
      <c r="AN860" s="45"/>
      <c r="AO860" s="12"/>
      <c r="AP860" s="12"/>
      <c r="AQ860" s="12"/>
      <c r="AR860" s="12"/>
      <c r="AS860" s="44"/>
      <c r="AT860" s="45"/>
      <c r="AU860" s="12"/>
      <c r="AV860" s="12"/>
      <c r="AW860" s="12"/>
      <c r="AX860" s="12"/>
      <c r="AY860" s="44"/>
      <c r="AZ860" s="45"/>
      <c r="BA860" s="12"/>
      <c r="BB860" s="12"/>
      <c r="BC860" s="12"/>
      <c r="BD860" s="12"/>
      <c r="BE860" s="44"/>
      <c r="BF860" s="45"/>
      <c r="BG860" s="12"/>
      <c r="BH860" s="12"/>
      <c r="BI860" s="12"/>
      <c r="BJ860" s="12"/>
      <c r="BK860" s="44"/>
      <c r="BL860" s="45"/>
      <c r="BM860" s="12"/>
      <c r="BN860" s="12"/>
      <c r="BO860" s="12"/>
      <c r="BP860" s="12"/>
      <c r="BQ860" s="48"/>
      <c r="BR860" s="49"/>
      <c r="BS860" s="13"/>
      <c r="BT860" s="12"/>
      <c r="BV860" s="14"/>
      <c r="BW860" s="50"/>
      <c r="BX860" s="54"/>
      <c r="BY860" s="14"/>
      <c r="BZ860" s="14"/>
      <c r="CA860" s="14"/>
      <c r="CB860" s="14"/>
      <c r="CC860" s="14"/>
      <c r="CD860" s="14"/>
      <c r="CE860" s="14"/>
      <c r="CF860" s="15"/>
      <c r="CG860" s="14"/>
      <c r="CH860" s="14"/>
      <c r="CI860" s="50"/>
      <c r="CJ860" s="54"/>
      <c r="CK860" s="14"/>
      <c r="CL860" s="14"/>
      <c r="CM860" s="14"/>
      <c r="CN860" s="14"/>
      <c r="CO860" s="14"/>
      <c r="CP860" s="14"/>
      <c r="CQ860" s="14"/>
      <c r="CR860" s="14"/>
      <c r="CS860" s="14"/>
      <c r="CT860" s="14"/>
      <c r="CU860" s="16"/>
      <c r="CV860" s="14"/>
      <c r="CW860" s="50"/>
      <c r="CX860" s="17"/>
    </row>
    <row r="861" spans="4:102" x14ac:dyDescent="0.25"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43"/>
      <c r="Q861" s="11"/>
      <c r="R861" s="11"/>
      <c r="S861" s="11"/>
      <c r="T861" s="11"/>
      <c r="U861" s="11"/>
      <c r="V861" s="11"/>
      <c r="W861" s="11"/>
      <c r="X861" s="12"/>
      <c r="Y861" s="12"/>
      <c r="Z861" s="12"/>
      <c r="AA861" s="44"/>
      <c r="AB861" s="45"/>
      <c r="AC861" s="12"/>
      <c r="AD861" s="12"/>
      <c r="AE861" s="12"/>
      <c r="AF861" s="12"/>
      <c r="AG861" s="44"/>
      <c r="AH861" s="45"/>
      <c r="AI861" s="12"/>
      <c r="AJ861" s="12"/>
      <c r="AK861" s="12"/>
      <c r="AL861" s="12"/>
      <c r="AM861" s="44"/>
      <c r="AN861" s="45"/>
      <c r="AO861" s="12"/>
      <c r="AP861" s="12"/>
      <c r="AQ861" s="12"/>
      <c r="AR861" s="12"/>
      <c r="AS861" s="44"/>
      <c r="AT861" s="45"/>
      <c r="AU861" s="12"/>
      <c r="AV861" s="12"/>
      <c r="AW861" s="12"/>
      <c r="AX861" s="12"/>
      <c r="AY861" s="44"/>
      <c r="AZ861" s="45"/>
      <c r="BA861" s="12"/>
      <c r="BB861" s="12"/>
      <c r="BC861" s="12"/>
      <c r="BD861" s="12"/>
      <c r="BE861" s="44"/>
      <c r="BF861" s="45"/>
      <c r="BG861" s="12"/>
      <c r="BH861" s="12"/>
      <c r="BI861" s="12"/>
      <c r="BJ861" s="12"/>
      <c r="BK861" s="44"/>
      <c r="BL861" s="45"/>
      <c r="BM861" s="12"/>
      <c r="BN861" s="12"/>
      <c r="BO861" s="12"/>
      <c r="BP861" s="12"/>
      <c r="BQ861" s="48"/>
      <c r="BR861" s="49"/>
      <c r="BS861" s="13"/>
      <c r="BT861" s="12"/>
      <c r="BV861" s="14"/>
      <c r="BW861" s="50"/>
      <c r="BX861" s="54"/>
      <c r="BY861" s="14"/>
      <c r="BZ861" s="14"/>
      <c r="CA861" s="14"/>
      <c r="CB861" s="14"/>
      <c r="CC861" s="14"/>
      <c r="CD861" s="14"/>
      <c r="CE861" s="14"/>
      <c r="CF861" s="15"/>
      <c r="CG861" s="14"/>
      <c r="CH861" s="14"/>
      <c r="CI861" s="50"/>
      <c r="CJ861" s="54"/>
      <c r="CK861" s="14"/>
      <c r="CL861" s="14"/>
      <c r="CM861" s="14"/>
      <c r="CN861" s="14"/>
      <c r="CO861" s="14"/>
      <c r="CP861" s="14"/>
      <c r="CQ861" s="14"/>
      <c r="CR861" s="14"/>
      <c r="CS861" s="14"/>
      <c r="CT861" s="14"/>
      <c r="CU861" s="16"/>
      <c r="CV861" s="14"/>
      <c r="CW861" s="50"/>
      <c r="CX861" s="17"/>
    </row>
    <row r="862" spans="4:102" x14ac:dyDescent="0.25"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43"/>
      <c r="Q862" s="11"/>
      <c r="R862" s="11"/>
      <c r="S862" s="11"/>
      <c r="T862" s="11"/>
      <c r="U862" s="11"/>
      <c r="V862" s="11"/>
      <c r="W862" s="11"/>
      <c r="X862" s="12"/>
      <c r="Y862" s="12"/>
      <c r="Z862" s="12"/>
      <c r="AA862" s="44"/>
      <c r="AB862" s="45"/>
      <c r="AC862" s="12"/>
      <c r="AD862" s="12"/>
      <c r="AE862" s="12"/>
      <c r="AF862" s="12"/>
      <c r="AG862" s="44"/>
      <c r="AH862" s="45"/>
      <c r="AI862" s="12"/>
      <c r="AJ862" s="12"/>
      <c r="AK862" s="12"/>
      <c r="AL862" s="12"/>
      <c r="AM862" s="44"/>
      <c r="AN862" s="45"/>
      <c r="AO862" s="12"/>
      <c r="AP862" s="12"/>
      <c r="AQ862" s="12"/>
      <c r="AR862" s="12"/>
      <c r="AS862" s="44"/>
      <c r="AT862" s="45"/>
      <c r="AU862" s="12"/>
      <c r="AV862" s="12"/>
      <c r="AW862" s="12"/>
      <c r="AX862" s="12"/>
      <c r="AY862" s="44"/>
      <c r="AZ862" s="45"/>
      <c r="BA862" s="12"/>
      <c r="BB862" s="12"/>
      <c r="BC862" s="12"/>
      <c r="BD862" s="12"/>
      <c r="BE862" s="44"/>
      <c r="BF862" s="45"/>
      <c r="BG862" s="12"/>
      <c r="BH862" s="12"/>
      <c r="BI862" s="12"/>
      <c r="BJ862" s="12"/>
      <c r="BK862" s="44"/>
      <c r="BL862" s="45"/>
      <c r="BM862" s="12"/>
      <c r="BN862" s="12"/>
      <c r="BO862" s="12"/>
      <c r="BP862" s="12"/>
      <c r="BQ862" s="48"/>
      <c r="BR862" s="49"/>
      <c r="BS862" s="13"/>
      <c r="BT862" s="12"/>
      <c r="BV862" s="14"/>
      <c r="BW862" s="50"/>
      <c r="BX862" s="54"/>
      <c r="BY862" s="14"/>
      <c r="BZ862" s="14"/>
      <c r="CA862" s="14"/>
      <c r="CB862" s="14"/>
      <c r="CC862" s="14"/>
      <c r="CD862" s="14"/>
      <c r="CE862" s="14"/>
      <c r="CF862" s="15"/>
      <c r="CG862" s="14"/>
      <c r="CH862" s="14"/>
      <c r="CI862" s="50"/>
      <c r="CJ862" s="54"/>
      <c r="CK862" s="14"/>
      <c r="CL862" s="14"/>
      <c r="CM862" s="14"/>
      <c r="CN862" s="14"/>
      <c r="CO862" s="14"/>
      <c r="CP862" s="14"/>
      <c r="CQ862" s="14"/>
      <c r="CR862" s="14"/>
      <c r="CS862" s="14"/>
      <c r="CT862" s="14"/>
      <c r="CU862" s="16"/>
      <c r="CV862" s="14"/>
      <c r="CW862" s="50"/>
      <c r="CX862" s="17"/>
    </row>
    <row r="863" spans="4:102" x14ac:dyDescent="0.25"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43"/>
      <c r="Q863" s="11"/>
      <c r="R863" s="11"/>
      <c r="S863" s="11"/>
      <c r="T863" s="11"/>
      <c r="U863" s="11"/>
      <c r="V863" s="11"/>
      <c r="W863" s="11"/>
      <c r="X863" s="12"/>
      <c r="Y863" s="12"/>
      <c r="Z863" s="12"/>
      <c r="AA863" s="44"/>
      <c r="AB863" s="45"/>
      <c r="AC863" s="12"/>
      <c r="AD863" s="12"/>
      <c r="AE863" s="12"/>
      <c r="AF863" s="12"/>
      <c r="AG863" s="44"/>
      <c r="AH863" s="45"/>
      <c r="AI863" s="12"/>
      <c r="AJ863" s="12"/>
      <c r="AK863" s="12"/>
      <c r="AL863" s="12"/>
      <c r="AM863" s="44"/>
      <c r="AN863" s="45"/>
      <c r="AO863" s="12"/>
      <c r="AP863" s="12"/>
      <c r="AQ863" s="12"/>
      <c r="AR863" s="12"/>
      <c r="AS863" s="44"/>
      <c r="AT863" s="45"/>
      <c r="AU863" s="12"/>
      <c r="AV863" s="12"/>
      <c r="AW863" s="12"/>
      <c r="AX863" s="12"/>
      <c r="AY863" s="44"/>
      <c r="AZ863" s="45"/>
      <c r="BA863" s="12"/>
      <c r="BB863" s="12"/>
      <c r="BC863" s="12"/>
      <c r="BD863" s="12"/>
      <c r="BE863" s="44"/>
      <c r="BF863" s="45"/>
      <c r="BG863" s="12"/>
      <c r="BH863" s="12"/>
      <c r="BI863" s="12"/>
      <c r="BJ863" s="12"/>
      <c r="BK863" s="44"/>
      <c r="BL863" s="45"/>
      <c r="BM863" s="12"/>
      <c r="BN863" s="12"/>
      <c r="BO863" s="12"/>
      <c r="BP863" s="12"/>
      <c r="BQ863" s="48"/>
      <c r="BR863" s="49"/>
      <c r="BS863" s="13"/>
      <c r="BT863" s="12"/>
      <c r="BV863" s="14"/>
      <c r="BW863" s="50"/>
      <c r="BX863" s="54"/>
      <c r="BY863" s="14"/>
      <c r="BZ863" s="14"/>
      <c r="CA863" s="14"/>
      <c r="CB863" s="14"/>
      <c r="CC863" s="14"/>
      <c r="CD863" s="14"/>
      <c r="CE863" s="14"/>
      <c r="CF863" s="15"/>
      <c r="CG863" s="14"/>
      <c r="CH863" s="14"/>
      <c r="CI863" s="50"/>
      <c r="CJ863" s="54"/>
      <c r="CK863" s="14"/>
      <c r="CL863" s="14"/>
      <c r="CM863" s="14"/>
      <c r="CN863" s="14"/>
      <c r="CO863" s="14"/>
      <c r="CP863" s="14"/>
      <c r="CQ863" s="14"/>
      <c r="CR863" s="14"/>
      <c r="CS863" s="14"/>
      <c r="CT863" s="14"/>
      <c r="CU863" s="16"/>
      <c r="CV863" s="14"/>
      <c r="CW863" s="50"/>
      <c r="CX863" s="17"/>
    </row>
    <row r="864" spans="4:102" x14ac:dyDescent="0.25"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43"/>
      <c r="Q864" s="11"/>
      <c r="R864" s="11"/>
      <c r="S864" s="11"/>
      <c r="T864" s="11"/>
      <c r="U864" s="11"/>
      <c r="V864" s="11"/>
      <c r="W864" s="11"/>
      <c r="X864" s="12"/>
      <c r="Y864" s="12"/>
      <c r="Z864" s="12"/>
      <c r="AA864" s="44"/>
      <c r="AB864" s="45"/>
      <c r="AC864" s="12"/>
      <c r="AD864" s="12"/>
      <c r="AE864" s="12"/>
      <c r="AF864" s="12"/>
      <c r="AG864" s="44"/>
      <c r="AH864" s="45"/>
      <c r="AI864" s="12"/>
      <c r="AJ864" s="12"/>
      <c r="AK864" s="12"/>
      <c r="AL864" s="12"/>
      <c r="AM864" s="44"/>
      <c r="AN864" s="45"/>
      <c r="AO864" s="12"/>
      <c r="AP864" s="12"/>
      <c r="AQ864" s="12"/>
      <c r="AR864" s="12"/>
      <c r="AS864" s="44"/>
      <c r="AT864" s="45"/>
      <c r="AU864" s="12"/>
      <c r="AV864" s="12"/>
      <c r="AW864" s="12"/>
      <c r="AX864" s="12"/>
      <c r="AY864" s="44"/>
      <c r="AZ864" s="45"/>
      <c r="BA864" s="12"/>
      <c r="BB864" s="12"/>
      <c r="BC864" s="12"/>
      <c r="BD864" s="12"/>
      <c r="BE864" s="44"/>
      <c r="BF864" s="45"/>
      <c r="BG864" s="12"/>
      <c r="BH864" s="12"/>
      <c r="BI864" s="12"/>
      <c r="BJ864" s="12"/>
      <c r="BK864" s="44"/>
      <c r="BL864" s="45"/>
      <c r="BM864" s="12"/>
      <c r="BN864" s="12"/>
      <c r="BO864" s="12"/>
      <c r="BP864" s="12"/>
      <c r="BQ864" s="48"/>
      <c r="BR864" s="49"/>
      <c r="BS864" s="13"/>
      <c r="BT864" s="12"/>
      <c r="BV864" s="14"/>
      <c r="BW864" s="50"/>
      <c r="BX864" s="54"/>
      <c r="BY864" s="14"/>
      <c r="BZ864" s="14"/>
      <c r="CA864" s="14"/>
      <c r="CB864" s="14"/>
      <c r="CC864" s="14"/>
      <c r="CD864" s="14"/>
      <c r="CE864" s="14"/>
      <c r="CF864" s="15"/>
      <c r="CG864" s="14"/>
      <c r="CH864" s="14"/>
      <c r="CI864" s="50"/>
      <c r="CJ864" s="54"/>
      <c r="CK864" s="14"/>
      <c r="CL864" s="14"/>
      <c r="CM864" s="14"/>
      <c r="CN864" s="14"/>
      <c r="CO864" s="14"/>
      <c r="CP864" s="14"/>
      <c r="CQ864" s="14"/>
      <c r="CR864" s="14"/>
      <c r="CS864" s="14"/>
      <c r="CT864" s="14"/>
      <c r="CU864" s="16"/>
      <c r="CV864" s="14"/>
      <c r="CW864" s="50"/>
      <c r="CX864" s="17"/>
    </row>
    <row r="865" spans="4:102" x14ac:dyDescent="0.25"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43"/>
      <c r="Q865" s="11"/>
      <c r="R865" s="11"/>
      <c r="S865" s="11"/>
      <c r="T865" s="11"/>
      <c r="U865" s="11"/>
      <c r="V865" s="11"/>
      <c r="W865" s="11"/>
      <c r="X865" s="12"/>
      <c r="Y865" s="12"/>
      <c r="Z865" s="12"/>
      <c r="AA865" s="44"/>
      <c r="AB865" s="45"/>
      <c r="AC865" s="12"/>
      <c r="AD865" s="12"/>
      <c r="AE865" s="12"/>
      <c r="AF865" s="12"/>
      <c r="AG865" s="44"/>
      <c r="AH865" s="45"/>
      <c r="AI865" s="12"/>
      <c r="AJ865" s="12"/>
      <c r="AK865" s="12"/>
      <c r="AL865" s="12"/>
      <c r="AM865" s="44"/>
      <c r="AN865" s="45"/>
      <c r="AO865" s="12"/>
      <c r="AP865" s="12"/>
      <c r="AQ865" s="12"/>
      <c r="AR865" s="12"/>
      <c r="AS865" s="44"/>
      <c r="AT865" s="45"/>
      <c r="AU865" s="12"/>
      <c r="AV865" s="12"/>
      <c r="AW865" s="12"/>
      <c r="AX865" s="12"/>
      <c r="AY865" s="44"/>
      <c r="AZ865" s="45"/>
      <c r="BA865" s="12"/>
      <c r="BB865" s="12"/>
      <c r="BC865" s="12"/>
      <c r="BD865" s="12"/>
      <c r="BE865" s="44"/>
      <c r="BF865" s="45"/>
      <c r="BG865" s="12"/>
      <c r="BH865" s="12"/>
      <c r="BI865" s="12"/>
      <c r="BJ865" s="12"/>
      <c r="BK865" s="44"/>
      <c r="BL865" s="45"/>
      <c r="BM865" s="12"/>
      <c r="BN865" s="12"/>
      <c r="BO865" s="12"/>
      <c r="BP865" s="12"/>
      <c r="BQ865" s="48"/>
      <c r="BR865" s="49"/>
      <c r="BS865" s="13"/>
      <c r="BT865" s="12"/>
      <c r="BV865" s="14"/>
      <c r="BW865" s="50"/>
      <c r="BX865" s="54"/>
      <c r="BY865" s="14"/>
      <c r="BZ865" s="14"/>
      <c r="CA865" s="14"/>
      <c r="CB865" s="14"/>
      <c r="CC865" s="14"/>
      <c r="CD865" s="14"/>
      <c r="CE865" s="14"/>
      <c r="CF865" s="15"/>
      <c r="CG865" s="14"/>
      <c r="CH865" s="14"/>
      <c r="CI865" s="50"/>
      <c r="CJ865" s="54"/>
      <c r="CK865" s="14"/>
      <c r="CL865" s="14"/>
      <c r="CM865" s="14"/>
      <c r="CN865" s="14"/>
      <c r="CO865" s="14"/>
      <c r="CP865" s="14"/>
      <c r="CQ865" s="14"/>
      <c r="CR865" s="14"/>
      <c r="CS865" s="14"/>
      <c r="CT865" s="14"/>
      <c r="CU865" s="16"/>
      <c r="CV865" s="14"/>
      <c r="CW865" s="50"/>
      <c r="CX865" s="17"/>
    </row>
    <row r="866" spans="4:102" x14ac:dyDescent="0.25"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43"/>
      <c r="Q866" s="11"/>
      <c r="R866" s="11"/>
      <c r="S866" s="11"/>
      <c r="T866" s="11"/>
      <c r="U866" s="11"/>
      <c r="V866" s="11"/>
      <c r="W866" s="11"/>
      <c r="X866" s="12"/>
      <c r="Y866" s="12"/>
      <c r="Z866" s="12"/>
      <c r="AA866" s="44"/>
      <c r="AB866" s="45"/>
      <c r="AC866" s="12"/>
      <c r="AD866" s="12"/>
      <c r="AE866" s="12"/>
      <c r="AF866" s="12"/>
      <c r="AG866" s="44"/>
      <c r="AH866" s="45"/>
      <c r="AI866" s="12"/>
      <c r="AJ866" s="12"/>
      <c r="AK866" s="12"/>
      <c r="AL866" s="12"/>
      <c r="AM866" s="44"/>
      <c r="AN866" s="45"/>
      <c r="AO866" s="12"/>
      <c r="AP866" s="12"/>
      <c r="AQ866" s="12"/>
      <c r="AR866" s="12"/>
      <c r="AS866" s="44"/>
      <c r="AT866" s="45"/>
      <c r="AU866" s="12"/>
      <c r="AV866" s="12"/>
      <c r="AW866" s="12"/>
      <c r="AX866" s="12"/>
      <c r="AY866" s="44"/>
      <c r="AZ866" s="45"/>
      <c r="BA866" s="12"/>
      <c r="BB866" s="12"/>
      <c r="BC866" s="12"/>
      <c r="BD866" s="12"/>
      <c r="BE866" s="44"/>
      <c r="BF866" s="45"/>
      <c r="BG866" s="12"/>
      <c r="BH866" s="12"/>
      <c r="BI866" s="12"/>
      <c r="BJ866" s="12"/>
      <c r="BK866" s="44"/>
      <c r="BL866" s="45"/>
      <c r="BM866" s="12"/>
      <c r="BN866" s="12"/>
      <c r="BO866" s="12"/>
      <c r="BP866" s="12"/>
      <c r="BQ866" s="48"/>
      <c r="BR866" s="49"/>
      <c r="BS866" s="13"/>
      <c r="BT866" s="12"/>
      <c r="BV866" s="14"/>
      <c r="BW866" s="50"/>
      <c r="BX866" s="54"/>
      <c r="BY866" s="14"/>
      <c r="BZ866" s="14"/>
      <c r="CA866" s="14"/>
      <c r="CB866" s="14"/>
      <c r="CC866" s="14"/>
      <c r="CD866" s="14"/>
      <c r="CE866" s="14"/>
      <c r="CF866" s="15"/>
      <c r="CG866" s="14"/>
      <c r="CH866" s="14"/>
      <c r="CI866" s="50"/>
      <c r="CJ866" s="54"/>
      <c r="CK866" s="14"/>
      <c r="CL866" s="14"/>
      <c r="CM866" s="14"/>
      <c r="CN866" s="14"/>
      <c r="CO866" s="14"/>
      <c r="CP866" s="14"/>
      <c r="CQ866" s="14"/>
      <c r="CR866" s="14"/>
      <c r="CS866" s="14"/>
      <c r="CT866" s="14"/>
      <c r="CU866" s="16"/>
      <c r="CV866" s="14"/>
      <c r="CW866" s="50"/>
      <c r="CX866" s="17"/>
    </row>
    <row r="867" spans="4:102" x14ac:dyDescent="0.25"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43"/>
      <c r="Q867" s="11"/>
      <c r="R867" s="11"/>
      <c r="S867" s="11"/>
      <c r="T867" s="11"/>
      <c r="U867" s="11"/>
      <c r="V867" s="11"/>
      <c r="W867" s="11"/>
      <c r="X867" s="12"/>
      <c r="Y867" s="12"/>
      <c r="Z867" s="12"/>
      <c r="AA867" s="44"/>
      <c r="AB867" s="45"/>
      <c r="AC867" s="12"/>
      <c r="AD867" s="12"/>
      <c r="AE867" s="12"/>
      <c r="AF867" s="12"/>
      <c r="AG867" s="44"/>
      <c r="AH867" s="45"/>
      <c r="AI867" s="12"/>
      <c r="AJ867" s="12"/>
      <c r="AK867" s="12"/>
      <c r="AL867" s="12"/>
      <c r="AM867" s="44"/>
      <c r="AN867" s="45"/>
      <c r="AO867" s="12"/>
      <c r="AP867" s="12"/>
      <c r="AQ867" s="12"/>
      <c r="AR867" s="12"/>
      <c r="AS867" s="44"/>
      <c r="AT867" s="45"/>
      <c r="AU867" s="12"/>
      <c r="AV867" s="12"/>
      <c r="AW867" s="12"/>
      <c r="AX867" s="12"/>
      <c r="AY867" s="44"/>
      <c r="AZ867" s="45"/>
      <c r="BA867" s="12"/>
      <c r="BB867" s="12"/>
      <c r="BC867" s="12"/>
      <c r="BD867" s="12"/>
      <c r="BE867" s="44"/>
      <c r="BF867" s="45"/>
      <c r="BG867" s="12"/>
      <c r="BH867" s="12"/>
      <c r="BI867" s="12"/>
      <c r="BJ867" s="12"/>
      <c r="BK867" s="44"/>
      <c r="BL867" s="45"/>
      <c r="BM867" s="12"/>
      <c r="BN867" s="12"/>
      <c r="BO867" s="12"/>
      <c r="BP867" s="12"/>
      <c r="BQ867" s="48"/>
      <c r="BR867" s="49"/>
      <c r="BS867" s="13"/>
      <c r="BT867" s="12"/>
      <c r="BV867" s="14"/>
      <c r="BW867" s="50"/>
      <c r="BX867" s="54"/>
      <c r="BY867" s="14"/>
      <c r="BZ867" s="14"/>
      <c r="CA867" s="14"/>
      <c r="CB867" s="14"/>
      <c r="CC867" s="14"/>
      <c r="CD867" s="14"/>
      <c r="CE867" s="14"/>
      <c r="CF867" s="15"/>
      <c r="CG867" s="14"/>
      <c r="CH867" s="14"/>
      <c r="CI867" s="50"/>
      <c r="CJ867" s="54"/>
      <c r="CK867" s="14"/>
      <c r="CL867" s="14"/>
      <c r="CM867" s="14"/>
      <c r="CN867" s="14"/>
      <c r="CO867" s="14"/>
      <c r="CP867" s="14"/>
      <c r="CQ867" s="14"/>
      <c r="CR867" s="14"/>
      <c r="CS867" s="14"/>
      <c r="CT867" s="14"/>
      <c r="CU867" s="16"/>
      <c r="CV867" s="14"/>
      <c r="CW867" s="50"/>
      <c r="CX867" s="17"/>
    </row>
    <row r="868" spans="4:102" x14ac:dyDescent="0.25"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43"/>
      <c r="Q868" s="11"/>
      <c r="R868" s="11"/>
      <c r="S868" s="11"/>
      <c r="T868" s="11"/>
      <c r="U868" s="11"/>
      <c r="V868" s="11"/>
      <c r="W868" s="11"/>
      <c r="X868" s="12"/>
      <c r="Y868" s="12"/>
      <c r="Z868" s="12"/>
      <c r="AA868" s="44"/>
      <c r="AB868" s="45"/>
      <c r="AC868" s="12"/>
      <c r="AD868" s="12"/>
      <c r="AE868" s="12"/>
      <c r="AF868" s="12"/>
      <c r="AG868" s="44"/>
      <c r="AH868" s="45"/>
      <c r="AI868" s="12"/>
      <c r="AJ868" s="12"/>
      <c r="AK868" s="12"/>
      <c r="AL868" s="12"/>
      <c r="AM868" s="44"/>
      <c r="AN868" s="45"/>
      <c r="AO868" s="12"/>
      <c r="AP868" s="12"/>
      <c r="AQ868" s="12"/>
      <c r="AR868" s="12"/>
      <c r="AS868" s="44"/>
      <c r="AT868" s="45"/>
      <c r="AU868" s="12"/>
      <c r="AV868" s="12"/>
      <c r="AW868" s="12"/>
      <c r="AX868" s="12"/>
      <c r="AY868" s="44"/>
      <c r="AZ868" s="45"/>
      <c r="BA868" s="12"/>
      <c r="BB868" s="12"/>
      <c r="BC868" s="12"/>
      <c r="BD868" s="12"/>
      <c r="BE868" s="44"/>
      <c r="BF868" s="45"/>
      <c r="BG868" s="12"/>
      <c r="BH868" s="12"/>
      <c r="BI868" s="12"/>
      <c r="BJ868" s="12"/>
      <c r="BK868" s="44"/>
      <c r="BL868" s="45"/>
      <c r="BM868" s="12"/>
      <c r="BN868" s="12"/>
      <c r="BO868" s="12"/>
      <c r="BP868" s="12"/>
      <c r="BQ868" s="48"/>
      <c r="BR868" s="49"/>
      <c r="BS868" s="13"/>
      <c r="BT868" s="12"/>
      <c r="BV868" s="14"/>
      <c r="BW868" s="50"/>
      <c r="BX868" s="54"/>
      <c r="BY868" s="14"/>
      <c r="BZ868" s="14"/>
      <c r="CA868" s="14"/>
      <c r="CB868" s="14"/>
      <c r="CC868" s="14"/>
      <c r="CD868" s="14"/>
      <c r="CE868" s="14"/>
      <c r="CF868" s="15"/>
      <c r="CG868" s="14"/>
      <c r="CH868" s="14"/>
      <c r="CI868" s="50"/>
      <c r="CJ868" s="54"/>
      <c r="CK868" s="14"/>
      <c r="CL868" s="14"/>
      <c r="CM868" s="14"/>
      <c r="CN868" s="14"/>
      <c r="CO868" s="14"/>
      <c r="CP868" s="14"/>
      <c r="CQ868" s="14"/>
      <c r="CR868" s="14"/>
      <c r="CS868" s="14"/>
      <c r="CT868" s="14"/>
      <c r="CU868" s="16"/>
      <c r="CV868" s="14"/>
      <c r="CW868" s="50"/>
      <c r="CX868" s="17"/>
    </row>
    <row r="869" spans="4:102" x14ac:dyDescent="0.25"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43"/>
      <c r="Q869" s="11"/>
      <c r="R869" s="11"/>
      <c r="S869" s="11"/>
      <c r="T869" s="11"/>
      <c r="U869" s="11"/>
      <c r="V869" s="11"/>
      <c r="W869" s="11"/>
      <c r="X869" s="12"/>
      <c r="Y869" s="12"/>
      <c r="Z869" s="12"/>
      <c r="AA869" s="44"/>
      <c r="AB869" s="45"/>
      <c r="AC869" s="12"/>
      <c r="AD869" s="12"/>
      <c r="AE869" s="12"/>
      <c r="AF869" s="12"/>
      <c r="AG869" s="44"/>
      <c r="AH869" s="45"/>
      <c r="AI869" s="12"/>
      <c r="AJ869" s="12"/>
      <c r="AK869" s="12"/>
      <c r="AL869" s="12"/>
      <c r="AM869" s="44"/>
      <c r="AN869" s="45"/>
      <c r="AO869" s="12"/>
      <c r="AP869" s="12"/>
      <c r="AQ869" s="12"/>
      <c r="AR869" s="12"/>
      <c r="AS869" s="44"/>
      <c r="AT869" s="45"/>
      <c r="AU869" s="12"/>
      <c r="AV869" s="12"/>
      <c r="AW869" s="12"/>
      <c r="AX869" s="12"/>
      <c r="AY869" s="44"/>
      <c r="AZ869" s="45"/>
      <c r="BA869" s="12"/>
      <c r="BB869" s="12"/>
      <c r="BC869" s="12"/>
      <c r="BD869" s="12"/>
      <c r="BE869" s="44"/>
      <c r="BF869" s="45"/>
      <c r="BG869" s="12"/>
      <c r="BH869" s="12"/>
      <c r="BI869" s="12"/>
      <c r="BJ869" s="12"/>
      <c r="BK869" s="44"/>
      <c r="BL869" s="45"/>
      <c r="BM869" s="12"/>
      <c r="BN869" s="12"/>
      <c r="BO869" s="12"/>
      <c r="BP869" s="12"/>
      <c r="BQ869" s="48"/>
      <c r="BR869" s="49"/>
      <c r="BS869" s="13"/>
      <c r="BT869" s="12"/>
      <c r="BV869" s="14"/>
      <c r="BW869" s="50"/>
      <c r="BX869" s="54"/>
      <c r="BY869" s="14"/>
      <c r="BZ869" s="14"/>
      <c r="CA869" s="14"/>
      <c r="CB869" s="14"/>
      <c r="CC869" s="14"/>
      <c r="CD869" s="14"/>
      <c r="CE869" s="14"/>
      <c r="CF869" s="15"/>
      <c r="CG869" s="14"/>
      <c r="CH869" s="14"/>
      <c r="CI869" s="50"/>
      <c r="CJ869" s="54"/>
      <c r="CK869" s="14"/>
      <c r="CL869" s="14"/>
      <c r="CM869" s="14"/>
      <c r="CN869" s="14"/>
      <c r="CO869" s="14"/>
      <c r="CP869" s="14"/>
      <c r="CQ869" s="14"/>
      <c r="CR869" s="14"/>
      <c r="CS869" s="14"/>
      <c r="CT869" s="14"/>
      <c r="CU869" s="16"/>
      <c r="CV869" s="14"/>
      <c r="CW869" s="50"/>
      <c r="CX869" s="17"/>
    </row>
    <row r="870" spans="4:102" x14ac:dyDescent="0.25"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43"/>
      <c r="Q870" s="11"/>
      <c r="R870" s="11"/>
      <c r="S870" s="11"/>
      <c r="T870" s="11"/>
      <c r="U870" s="11"/>
      <c r="V870" s="11"/>
      <c r="W870" s="11"/>
      <c r="X870" s="12"/>
      <c r="Y870" s="12"/>
      <c r="Z870" s="12"/>
      <c r="AA870" s="44"/>
      <c r="AB870" s="45"/>
      <c r="AC870" s="12"/>
      <c r="AD870" s="12"/>
      <c r="AE870" s="12"/>
      <c r="AF870" s="12"/>
      <c r="AG870" s="44"/>
      <c r="AH870" s="45"/>
      <c r="AI870" s="12"/>
      <c r="AJ870" s="12"/>
      <c r="AK870" s="12"/>
      <c r="AL870" s="12"/>
      <c r="AM870" s="44"/>
      <c r="AN870" s="45"/>
      <c r="AO870" s="12"/>
      <c r="AP870" s="12"/>
      <c r="AQ870" s="12"/>
      <c r="AR870" s="12"/>
      <c r="AS870" s="44"/>
      <c r="AT870" s="45"/>
      <c r="AU870" s="12"/>
      <c r="AV870" s="12"/>
      <c r="AW870" s="12"/>
      <c r="AX870" s="12"/>
      <c r="AY870" s="44"/>
      <c r="AZ870" s="45"/>
      <c r="BA870" s="12"/>
      <c r="BB870" s="12"/>
      <c r="BC870" s="12"/>
      <c r="BD870" s="12"/>
      <c r="BE870" s="44"/>
      <c r="BF870" s="45"/>
      <c r="BG870" s="12"/>
      <c r="BH870" s="12"/>
      <c r="BI870" s="12"/>
      <c r="BJ870" s="12"/>
      <c r="BK870" s="44"/>
      <c r="BL870" s="45"/>
      <c r="BM870" s="12"/>
      <c r="BN870" s="12"/>
      <c r="BO870" s="12"/>
      <c r="BP870" s="12"/>
      <c r="BQ870" s="48"/>
      <c r="BR870" s="49"/>
      <c r="BS870" s="13"/>
      <c r="BT870" s="12"/>
      <c r="BV870" s="14"/>
      <c r="BW870" s="50"/>
      <c r="BX870" s="54"/>
      <c r="BY870" s="14"/>
      <c r="BZ870" s="14"/>
      <c r="CA870" s="14"/>
      <c r="CB870" s="14"/>
      <c r="CC870" s="14"/>
      <c r="CD870" s="14"/>
      <c r="CE870" s="14"/>
      <c r="CF870" s="15"/>
      <c r="CG870" s="14"/>
      <c r="CH870" s="14"/>
      <c r="CI870" s="50"/>
      <c r="CJ870" s="54"/>
      <c r="CK870" s="14"/>
      <c r="CL870" s="14"/>
      <c r="CM870" s="14"/>
      <c r="CN870" s="14"/>
      <c r="CO870" s="14"/>
      <c r="CP870" s="14"/>
      <c r="CQ870" s="14"/>
      <c r="CR870" s="14"/>
      <c r="CS870" s="14"/>
      <c r="CT870" s="14"/>
      <c r="CU870" s="16"/>
      <c r="CV870" s="14"/>
      <c r="CW870" s="50"/>
      <c r="CX870" s="17"/>
    </row>
    <row r="871" spans="4:102" x14ac:dyDescent="0.25"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43"/>
      <c r="Q871" s="11"/>
      <c r="R871" s="11"/>
      <c r="S871" s="11"/>
      <c r="T871" s="11"/>
      <c r="U871" s="11"/>
      <c r="V871" s="11"/>
      <c r="W871" s="11"/>
      <c r="X871" s="12"/>
      <c r="Y871" s="12"/>
      <c r="Z871" s="12"/>
      <c r="AA871" s="44"/>
      <c r="AB871" s="45"/>
      <c r="AC871" s="12"/>
      <c r="AD871" s="12"/>
      <c r="AE871" s="12"/>
      <c r="AF871" s="12"/>
      <c r="AG871" s="44"/>
      <c r="AH871" s="45"/>
      <c r="AI871" s="12"/>
      <c r="AJ871" s="12"/>
      <c r="AK871" s="12"/>
      <c r="AL871" s="12"/>
      <c r="AM871" s="44"/>
      <c r="AN871" s="45"/>
      <c r="AO871" s="12"/>
      <c r="AP871" s="12"/>
      <c r="AQ871" s="12"/>
      <c r="AR871" s="12"/>
      <c r="AS871" s="44"/>
      <c r="AT871" s="45"/>
      <c r="AU871" s="12"/>
      <c r="AV871" s="12"/>
      <c r="AW871" s="12"/>
      <c r="AX871" s="12"/>
      <c r="AY871" s="44"/>
      <c r="AZ871" s="45"/>
      <c r="BA871" s="12"/>
      <c r="BB871" s="12"/>
      <c r="BC871" s="12"/>
      <c r="BD871" s="12"/>
      <c r="BE871" s="44"/>
      <c r="BF871" s="45"/>
      <c r="BG871" s="12"/>
      <c r="BH871" s="12"/>
      <c r="BI871" s="12"/>
      <c r="BJ871" s="12"/>
      <c r="BK871" s="44"/>
      <c r="BL871" s="45"/>
      <c r="BM871" s="12"/>
      <c r="BN871" s="12"/>
      <c r="BO871" s="12"/>
      <c r="BP871" s="12"/>
      <c r="BQ871" s="48"/>
      <c r="BR871" s="49"/>
      <c r="BS871" s="13"/>
      <c r="BT871" s="12"/>
      <c r="BV871" s="14"/>
      <c r="BW871" s="50"/>
      <c r="BX871" s="54"/>
      <c r="BY871" s="14"/>
      <c r="BZ871" s="14"/>
      <c r="CA871" s="14"/>
      <c r="CB871" s="14"/>
      <c r="CC871" s="14"/>
      <c r="CD871" s="14"/>
      <c r="CE871" s="14"/>
      <c r="CF871" s="15"/>
      <c r="CG871" s="14"/>
      <c r="CH871" s="14"/>
      <c r="CI871" s="50"/>
      <c r="CJ871" s="54"/>
      <c r="CK871" s="14"/>
      <c r="CL871" s="14"/>
      <c r="CM871" s="14"/>
      <c r="CN871" s="14"/>
      <c r="CO871" s="14"/>
      <c r="CP871" s="14"/>
      <c r="CQ871" s="14"/>
      <c r="CR871" s="14"/>
      <c r="CS871" s="14"/>
      <c r="CT871" s="14"/>
      <c r="CU871" s="16"/>
      <c r="CV871" s="14"/>
      <c r="CW871" s="50"/>
      <c r="CX871" s="17"/>
    </row>
    <row r="872" spans="4:102" x14ac:dyDescent="0.25"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43"/>
      <c r="Q872" s="11"/>
      <c r="R872" s="11"/>
      <c r="S872" s="11"/>
      <c r="T872" s="11"/>
      <c r="U872" s="11"/>
      <c r="V872" s="11"/>
      <c r="W872" s="11"/>
      <c r="X872" s="12"/>
      <c r="Y872" s="12"/>
      <c r="Z872" s="12"/>
      <c r="AA872" s="44"/>
      <c r="AB872" s="45"/>
      <c r="AC872" s="12"/>
      <c r="AD872" s="12"/>
      <c r="AE872" s="12"/>
      <c r="AF872" s="12"/>
      <c r="AG872" s="44"/>
      <c r="AH872" s="45"/>
      <c r="AI872" s="12"/>
      <c r="AJ872" s="12"/>
      <c r="AK872" s="12"/>
      <c r="AL872" s="12"/>
      <c r="AM872" s="44"/>
      <c r="AN872" s="45"/>
      <c r="AO872" s="12"/>
      <c r="AP872" s="12"/>
      <c r="AQ872" s="12"/>
      <c r="AR872" s="12"/>
      <c r="AS872" s="44"/>
      <c r="AT872" s="45"/>
      <c r="AU872" s="12"/>
      <c r="AV872" s="12"/>
      <c r="AW872" s="12"/>
      <c r="AX872" s="12"/>
      <c r="AY872" s="44"/>
      <c r="AZ872" s="45"/>
      <c r="BA872" s="12"/>
      <c r="BB872" s="12"/>
      <c r="BC872" s="12"/>
      <c r="BD872" s="12"/>
      <c r="BE872" s="44"/>
      <c r="BF872" s="45"/>
      <c r="BG872" s="12"/>
      <c r="BH872" s="12"/>
      <c r="BI872" s="12"/>
      <c r="BJ872" s="12"/>
      <c r="BK872" s="44"/>
      <c r="BL872" s="45"/>
      <c r="BM872" s="12"/>
      <c r="BN872" s="12"/>
      <c r="BO872" s="12"/>
      <c r="BP872" s="12"/>
      <c r="BQ872" s="48"/>
      <c r="BR872" s="49"/>
      <c r="BS872" s="13"/>
      <c r="BT872" s="12"/>
      <c r="BV872" s="14"/>
      <c r="BW872" s="50"/>
      <c r="BX872" s="54"/>
      <c r="BY872" s="14"/>
      <c r="BZ872" s="14"/>
      <c r="CA872" s="14"/>
      <c r="CB872" s="14"/>
      <c r="CC872" s="14"/>
      <c r="CD872" s="14"/>
      <c r="CE872" s="14"/>
      <c r="CF872" s="15"/>
      <c r="CG872" s="14"/>
      <c r="CH872" s="14"/>
      <c r="CI872" s="50"/>
      <c r="CJ872" s="54"/>
      <c r="CK872" s="14"/>
      <c r="CL872" s="14"/>
      <c r="CM872" s="14"/>
      <c r="CN872" s="14"/>
      <c r="CO872" s="14"/>
      <c r="CP872" s="14"/>
      <c r="CQ872" s="14"/>
      <c r="CR872" s="14"/>
      <c r="CS872" s="14"/>
      <c r="CT872" s="14"/>
      <c r="CU872" s="16"/>
      <c r="CV872" s="14"/>
      <c r="CW872" s="50"/>
      <c r="CX872" s="17"/>
    </row>
    <row r="873" spans="4:102" x14ac:dyDescent="0.25"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43"/>
      <c r="Q873" s="11"/>
      <c r="R873" s="11"/>
      <c r="S873" s="11"/>
      <c r="T873" s="11"/>
      <c r="U873" s="11"/>
      <c r="V873" s="11"/>
      <c r="W873" s="11"/>
      <c r="X873" s="12"/>
      <c r="Y873" s="12"/>
      <c r="Z873" s="12"/>
      <c r="AA873" s="44"/>
      <c r="AB873" s="45"/>
      <c r="AC873" s="12"/>
      <c r="AD873" s="12"/>
      <c r="AE873" s="12"/>
      <c r="AF873" s="12"/>
      <c r="AG873" s="44"/>
      <c r="AH873" s="45"/>
      <c r="AI873" s="12"/>
      <c r="AJ873" s="12"/>
      <c r="AK873" s="12"/>
      <c r="AL873" s="12"/>
      <c r="AM873" s="44"/>
      <c r="AN873" s="45"/>
      <c r="AO873" s="12"/>
      <c r="AP873" s="12"/>
      <c r="AQ873" s="12"/>
      <c r="AR873" s="12"/>
      <c r="AS873" s="44"/>
      <c r="AT873" s="45"/>
      <c r="AU873" s="12"/>
      <c r="AV873" s="12"/>
      <c r="AW873" s="12"/>
      <c r="AX873" s="12"/>
      <c r="AY873" s="44"/>
      <c r="AZ873" s="45"/>
      <c r="BA873" s="12"/>
      <c r="BB873" s="12"/>
      <c r="BC873" s="12"/>
      <c r="BD873" s="12"/>
      <c r="BE873" s="44"/>
      <c r="BF873" s="45"/>
      <c r="BG873" s="12"/>
      <c r="BH873" s="12"/>
      <c r="BI873" s="12"/>
      <c r="BJ873" s="12"/>
      <c r="BK873" s="44"/>
      <c r="BL873" s="45"/>
      <c r="BM873" s="12"/>
      <c r="BN873" s="12"/>
      <c r="BO873" s="12"/>
      <c r="BP873" s="12"/>
      <c r="BQ873" s="48"/>
      <c r="BR873" s="49"/>
      <c r="BS873" s="13"/>
      <c r="BT873" s="12"/>
      <c r="BV873" s="14"/>
      <c r="BW873" s="50"/>
      <c r="BX873" s="54"/>
      <c r="BY873" s="14"/>
      <c r="BZ873" s="14"/>
      <c r="CA873" s="14"/>
      <c r="CB873" s="14"/>
      <c r="CC873" s="14"/>
      <c r="CD873" s="14"/>
      <c r="CE873" s="14"/>
      <c r="CF873" s="15"/>
      <c r="CG873" s="14"/>
      <c r="CH873" s="14"/>
      <c r="CI873" s="50"/>
      <c r="CJ873" s="54"/>
      <c r="CK873" s="14"/>
      <c r="CL873" s="14"/>
      <c r="CM873" s="14"/>
      <c r="CN873" s="14"/>
      <c r="CO873" s="14"/>
      <c r="CP873" s="14"/>
      <c r="CQ873" s="14"/>
      <c r="CR873" s="14"/>
      <c r="CS873" s="14"/>
      <c r="CT873" s="14"/>
      <c r="CU873" s="16"/>
      <c r="CV873" s="14"/>
      <c r="CW873" s="50"/>
      <c r="CX873" s="17"/>
    </row>
    <row r="874" spans="4:102" x14ac:dyDescent="0.25"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43"/>
      <c r="Q874" s="11"/>
      <c r="R874" s="11"/>
      <c r="S874" s="11"/>
      <c r="T874" s="11"/>
      <c r="U874" s="11"/>
      <c r="V874" s="11"/>
      <c r="W874" s="11"/>
      <c r="X874" s="12"/>
      <c r="Y874" s="12"/>
      <c r="Z874" s="12"/>
      <c r="AA874" s="44"/>
      <c r="AB874" s="45"/>
      <c r="AC874" s="12"/>
      <c r="AD874" s="12"/>
      <c r="AE874" s="12"/>
      <c r="AF874" s="12"/>
      <c r="AG874" s="44"/>
      <c r="AH874" s="45"/>
      <c r="AI874" s="12"/>
      <c r="AJ874" s="12"/>
      <c r="AK874" s="12"/>
      <c r="AL874" s="12"/>
      <c r="AM874" s="44"/>
      <c r="AN874" s="45"/>
      <c r="AO874" s="12"/>
      <c r="AP874" s="12"/>
      <c r="AQ874" s="12"/>
      <c r="AR874" s="12"/>
      <c r="AS874" s="44"/>
      <c r="AT874" s="45"/>
      <c r="AU874" s="12"/>
      <c r="AV874" s="12"/>
      <c r="AW874" s="12"/>
      <c r="AX874" s="12"/>
      <c r="AY874" s="44"/>
      <c r="AZ874" s="45"/>
      <c r="BA874" s="12"/>
      <c r="BB874" s="12"/>
      <c r="BC874" s="12"/>
      <c r="BD874" s="12"/>
      <c r="BE874" s="44"/>
      <c r="BF874" s="45"/>
      <c r="BG874" s="12"/>
      <c r="BH874" s="12"/>
      <c r="BI874" s="12"/>
      <c r="BJ874" s="12"/>
      <c r="BK874" s="44"/>
      <c r="BL874" s="45"/>
      <c r="BM874" s="12"/>
      <c r="BN874" s="12"/>
      <c r="BO874" s="12"/>
      <c r="BP874" s="12"/>
      <c r="BQ874" s="48"/>
      <c r="BR874" s="49"/>
      <c r="BS874" s="13"/>
      <c r="BT874" s="12"/>
      <c r="BV874" s="14"/>
      <c r="BW874" s="50"/>
      <c r="BX874" s="54"/>
      <c r="BY874" s="14"/>
      <c r="BZ874" s="14"/>
      <c r="CA874" s="14"/>
      <c r="CB874" s="14"/>
      <c r="CC874" s="14"/>
      <c r="CD874" s="14"/>
      <c r="CE874" s="14"/>
      <c r="CF874" s="15"/>
      <c r="CG874" s="14"/>
      <c r="CH874" s="14"/>
      <c r="CI874" s="50"/>
      <c r="CJ874" s="54"/>
      <c r="CK874" s="14"/>
      <c r="CL874" s="14"/>
      <c r="CM874" s="14"/>
      <c r="CN874" s="14"/>
      <c r="CO874" s="14"/>
      <c r="CP874" s="14"/>
      <c r="CQ874" s="14"/>
      <c r="CR874" s="14"/>
      <c r="CS874" s="14"/>
      <c r="CT874" s="14"/>
      <c r="CU874" s="16"/>
      <c r="CV874" s="14"/>
      <c r="CW874" s="50"/>
      <c r="CX874" s="17"/>
    </row>
    <row r="875" spans="4:102" x14ac:dyDescent="0.25"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43"/>
      <c r="Q875" s="11"/>
      <c r="R875" s="11"/>
      <c r="S875" s="11"/>
      <c r="T875" s="11"/>
      <c r="U875" s="11"/>
      <c r="V875" s="11"/>
      <c r="W875" s="11"/>
      <c r="X875" s="12"/>
      <c r="Y875" s="12"/>
      <c r="Z875" s="12"/>
      <c r="AA875" s="44"/>
      <c r="AB875" s="45"/>
      <c r="AC875" s="12"/>
      <c r="AD875" s="12"/>
      <c r="AE875" s="12"/>
      <c r="AF875" s="12"/>
      <c r="AG875" s="44"/>
      <c r="AH875" s="45"/>
      <c r="AI875" s="12"/>
      <c r="AJ875" s="12"/>
      <c r="AK875" s="12"/>
      <c r="AL875" s="12"/>
      <c r="AM875" s="44"/>
      <c r="AN875" s="45"/>
      <c r="AO875" s="12"/>
      <c r="AP875" s="12"/>
      <c r="AQ875" s="12"/>
      <c r="AR875" s="12"/>
      <c r="AS875" s="44"/>
      <c r="AT875" s="45"/>
      <c r="AU875" s="12"/>
      <c r="AV875" s="12"/>
      <c r="AW875" s="12"/>
      <c r="AX875" s="12"/>
      <c r="AY875" s="44"/>
      <c r="AZ875" s="45"/>
      <c r="BA875" s="12"/>
      <c r="BB875" s="12"/>
      <c r="BC875" s="12"/>
      <c r="BD875" s="12"/>
      <c r="BE875" s="44"/>
      <c r="BF875" s="45"/>
      <c r="BG875" s="12"/>
      <c r="BH875" s="12"/>
      <c r="BI875" s="12"/>
      <c r="BJ875" s="12"/>
      <c r="BK875" s="44"/>
      <c r="BL875" s="45"/>
      <c r="BM875" s="12"/>
      <c r="BN875" s="12"/>
      <c r="BO875" s="12"/>
      <c r="BP875" s="12"/>
      <c r="BQ875" s="48"/>
      <c r="BR875" s="49"/>
      <c r="BS875" s="13"/>
      <c r="BT875" s="12"/>
      <c r="BV875" s="14"/>
      <c r="BW875" s="50"/>
      <c r="BX875" s="54"/>
      <c r="BY875" s="14"/>
      <c r="BZ875" s="14"/>
      <c r="CA875" s="14"/>
      <c r="CB875" s="14"/>
      <c r="CC875" s="14"/>
      <c r="CD875" s="14"/>
      <c r="CE875" s="14"/>
      <c r="CF875" s="15"/>
      <c r="CG875" s="14"/>
      <c r="CH875" s="14"/>
      <c r="CI875" s="50"/>
      <c r="CJ875" s="54"/>
      <c r="CK875" s="14"/>
      <c r="CL875" s="14"/>
      <c r="CM875" s="14"/>
      <c r="CN875" s="14"/>
      <c r="CO875" s="14"/>
      <c r="CP875" s="14"/>
      <c r="CQ875" s="14"/>
      <c r="CR875" s="14"/>
      <c r="CS875" s="14"/>
      <c r="CT875" s="14"/>
      <c r="CU875" s="16"/>
      <c r="CV875" s="14"/>
      <c r="CW875" s="50"/>
      <c r="CX875" s="17"/>
    </row>
    <row r="876" spans="4:102" x14ac:dyDescent="0.25"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43"/>
      <c r="Q876" s="11"/>
      <c r="R876" s="11"/>
      <c r="S876" s="11"/>
      <c r="T876" s="11"/>
      <c r="U876" s="11"/>
      <c r="V876" s="11"/>
      <c r="W876" s="11"/>
      <c r="X876" s="12"/>
      <c r="Y876" s="12"/>
      <c r="Z876" s="12"/>
      <c r="AA876" s="44"/>
      <c r="AB876" s="45"/>
      <c r="AC876" s="12"/>
      <c r="AD876" s="12"/>
      <c r="AE876" s="12"/>
      <c r="AF876" s="12"/>
      <c r="AG876" s="44"/>
      <c r="AH876" s="45"/>
      <c r="AI876" s="12"/>
      <c r="AJ876" s="12"/>
      <c r="AK876" s="12"/>
      <c r="AL876" s="12"/>
      <c r="AM876" s="44"/>
      <c r="AN876" s="45"/>
      <c r="AO876" s="12"/>
      <c r="AP876" s="12"/>
      <c r="AQ876" s="12"/>
      <c r="AR876" s="12"/>
      <c r="AS876" s="44"/>
      <c r="AT876" s="45"/>
      <c r="AU876" s="12"/>
      <c r="AV876" s="12"/>
      <c r="AW876" s="12"/>
      <c r="AX876" s="12"/>
      <c r="AY876" s="44"/>
      <c r="AZ876" s="45"/>
      <c r="BA876" s="12"/>
      <c r="BB876" s="12"/>
      <c r="BC876" s="12"/>
      <c r="BD876" s="12"/>
      <c r="BE876" s="44"/>
      <c r="BF876" s="45"/>
      <c r="BG876" s="12"/>
      <c r="BH876" s="12"/>
      <c r="BI876" s="12"/>
      <c r="BJ876" s="12"/>
      <c r="BK876" s="44"/>
      <c r="BL876" s="45"/>
      <c r="BM876" s="12"/>
      <c r="BN876" s="12"/>
      <c r="BO876" s="12"/>
      <c r="BP876" s="12"/>
      <c r="BQ876" s="48"/>
      <c r="BR876" s="49"/>
      <c r="BS876" s="13"/>
      <c r="BT876" s="12"/>
      <c r="BV876" s="14"/>
      <c r="BW876" s="50"/>
      <c r="BX876" s="54"/>
      <c r="BY876" s="14"/>
      <c r="BZ876" s="14"/>
      <c r="CA876" s="14"/>
      <c r="CB876" s="14"/>
      <c r="CC876" s="14"/>
      <c r="CD876" s="14"/>
      <c r="CE876" s="14"/>
      <c r="CF876" s="15"/>
      <c r="CG876" s="14"/>
      <c r="CH876" s="14"/>
      <c r="CI876" s="50"/>
      <c r="CJ876" s="54"/>
      <c r="CK876" s="14"/>
      <c r="CL876" s="14"/>
      <c r="CM876" s="14"/>
      <c r="CN876" s="14"/>
      <c r="CO876" s="14"/>
      <c r="CP876" s="14"/>
      <c r="CQ876" s="14"/>
      <c r="CR876" s="14"/>
      <c r="CS876" s="14"/>
      <c r="CT876" s="14"/>
      <c r="CU876" s="16"/>
      <c r="CV876" s="14"/>
      <c r="CW876" s="50"/>
      <c r="CX876" s="17"/>
    </row>
    <row r="877" spans="4:102" x14ac:dyDescent="0.25"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43"/>
      <c r="Q877" s="11"/>
      <c r="R877" s="11"/>
      <c r="S877" s="11"/>
      <c r="T877" s="11"/>
      <c r="U877" s="11"/>
      <c r="V877" s="11"/>
      <c r="W877" s="11"/>
      <c r="X877" s="12"/>
      <c r="Y877" s="12"/>
      <c r="Z877" s="12"/>
      <c r="AA877" s="44"/>
      <c r="AB877" s="45"/>
      <c r="AC877" s="12"/>
      <c r="AD877" s="12"/>
      <c r="AE877" s="12"/>
      <c r="AF877" s="12"/>
      <c r="AG877" s="44"/>
      <c r="AH877" s="45"/>
      <c r="AI877" s="12"/>
      <c r="AJ877" s="12"/>
      <c r="AK877" s="12"/>
      <c r="AL877" s="12"/>
      <c r="AM877" s="44"/>
      <c r="AN877" s="45"/>
      <c r="AO877" s="12"/>
      <c r="AP877" s="12"/>
      <c r="AQ877" s="12"/>
      <c r="AR877" s="12"/>
      <c r="AS877" s="44"/>
      <c r="AT877" s="45"/>
      <c r="AU877" s="12"/>
      <c r="AV877" s="12"/>
      <c r="AW877" s="12"/>
      <c r="AX877" s="12"/>
      <c r="AY877" s="44"/>
      <c r="AZ877" s="45"/>
      <c r="BA877" s="12"/>
      <c r="BB877" s="12"/>
      <c r="BC877" s="12"/>
      <c r="BD877" s="12"/>
      <c r="BE877" s="44"/>
      <c r="BF877" s="45"/>
      <c r="BG877" s="12"/>
      <c r="BH877" s="12"/>
      <c r="BI877" s="12"/>
      <c r="BJ877" s="12"/>
      <c r="BK877" s="44"/>
      <c r="BL877" s="45"/>
      <c r="BM877" s="12"/>
      <c r="BN877" s="12"/>
      <c r="BO877" s="12"/>
      <c r="BP877" s="12"/>
      <c r="BQ877" s="48"/>
      <c r="BR877" s="49"/>
      <c r="BS877" s="13"/>
      <c r="BT877" s="12"/>
      <c r="BV877" s="14"/>
      <c r="BW877" s="50"/>
      <c r="BX877" s="54"/>
      <c r="BY877" s="14"/>
      <c r="BZ877" s="14"/>
      <c r="CA877" s="14"/>
      <c r="CB877" s="14"/>
      <c r="CC877" s="14"/>
      <c r="CD877" s="14"/>
      <c r="CE877" s="14"/>
      <c r="CF877" s="15"/>
      <c r="CG877" s="14"/>
      <c r="CH877" s="14"/>
      <c r="CI877" s="50"/>
      <c r="CJ877" s="54"/>
      <c r="CK877" s="14"/>
      <c r="CL877" s="14"/>
      <c r="CM877" s="14"/>
      <c r="CN877" s="14"/>
      <c r="CO877" s="14"/>
      <c r="CP877" s="14"/>
      <c r="CQ877" s="14"/>
      <c r="CR877" s="14"/>
      <c r="CS877" s="14"/>
      <c r="CT877" s="14"/>
      <c r="CU877" s="16"/>
      <c r="CV877" s="14"/>
      <c r="CW877" s="50"/>
      <c r="CX877" s="17"/>
    </row>
    <row r="878" spans="4:102" x14ac:dyDescent="0.25"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43"/>
      <c r="Q878" s="11"/>
      <c r="R878" s="11"/>
      <c r="S878" s="11"/>
      <c r="T878" s="11"/>
      <c r="U878" s="11"/>
      <c r="V878" s="11"/>
      <c r="W878" s="11"/>
      <c r="X878" s="12"/>
      <c r="Y878" s="12"/>
      <c r="Z878" s="12"/>
      <c r="AA878" s="44"/>
      <c r="AB878" s="45"/>
      <c r="AC878" s="12"/>
      <c r="AD878" s="12"/>
      <c r="AE878" s="12"/>
      <c r="AF878" s="12"/>
      <c r="AG878" s="44"/>
      <c r="AH878" s="45"/>
      <c r="AI878" s="12"/>
      <c r="AJ878" s="12"/>
      <c r="AK878" s="12"/>
      <c r="AL878" s="12"/>
      <c r="AM878" s="44"/>
      <c r="AN878" s="45"/>
      <c r="AO878" s="12"/>
      <c r="AP878" s="12"/>
      <c r="AQ878" s="12"/>
      <c r="AR878" s="12"/>
      <c r="AS878" s="44"/>
      <c r="AT878" s="45"/>
      <c r="AU878" s="12"/>
      <c r="AV878" s="12"/>
      <c r="AW878" s="12"/>
      <c r="AX878" s="12"/>
      <c r="AY878" s="44"/>
      <c r="AZ878" s="45"/>
      <c r="BA878" s="12"/>
      <c r="BB878" s="12"/>
      <c r="BC878" s="12"/>
      <c r="BD878" s="12"/>
      <c r="BE878" s="44"/>
      <c r="BF878" s="45"/>
      <c r="BG878" s="12"/>
      <c r="BH878" s="12"/>
      <c r="BI878" s="12"/>
      <c r="BJ878" s="12"/>
      <c r="BK878" s="44"/>
      <c r="BL878" s="45"/>
      <c r="BM878" s="12"/>
      <c r="BN878" s="12"/>
      <c r="BO878" s="12"/>
      <c r="BP878" s="12"/>
      <c r="BQ878" s="48"/>
      <c r="BR878" s="49"/>
      <c r="BS878" s="13"/>
      <c r="BT878" s="12"/>
      <c r="BV878" s="14"/>
      <c r="BW878" s="50"/>
      <c r="BX878" s="54"/>
      <c r="BY878" s="14"/>
      <c r="BZ878" s="14"/>
      <c r="CA878" s="14"/>
      <c r="CB878" s="14"/>
      <c r="CC878" s="14"/>
      <c r="CD878" s="14"/>
      <c r="CE878" s="14"/>
      <c r="CF878" s="15"/>
      <c r="CG878" s="14"/>
      <c r="CH878" s="14"/>
      <c r="CI878" s="50"/>
      <c r="CJ878" s="54"/>
      <c r="CK878" s="14"/>
      <c r="CL878" s="14"/>
      <c r="CM878" s="14"/>
      <c r="CN878" s="14"/>
      <c r="CO878" s="14"/>
      <c r="CP878" s="14"/>
      <c r="CQ878" s="14"/>
      <c r="CR878" s="14"/>
      <c r="CS878" s="14"/>
      <c r="CT878" s="14"/>
      <c r="CU878" s="16"/>
      <c r="CV878" s="14"/>
      <c r="CW878" s="50"/>
      <c r="CX878" s="17"/>
    </row>
    <row r="879" spans="4:102" x14ac:dyDescent="0.25"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43"/>
      <c r="Q879" s="11"/>
      <c r="R879" s="11"/>
      <c r="S879" s="11"/>
      <c r="T879" s="11"/>
      <c r="U879" s="11"/>
      <c r="V879" s="11"/>
      <c r="W879" s="11"/>
      <c r="X879" s="12"/>
      <c r="Y879" s="12"/>
      <c r="Z879" s="12"/>
      <c r="AA879" s="44"/>
      <c r="AB879" s="45"/>
      <c r="AC879" s="12"/>
      <c r="AD879" s="12"/>
      <c r="AE879" s="12"/>
      <c r="AF879" s="12"/>
      <c r="AG879" s="44"/>
      <c r="AH879" s="45"/>
      <c r="AI879" s="12"/>
      <c r="AJ879" s="12"/>
      <c r="AK879" s="12"/>
      <c r="AL879" s="12"/>
      <c r="AM879" s="44"/>
      <c r="AN879" s="45"/>
      <c r="AO879" s="12"/>
      <c r="AP879" s="12"/>
      <c r="AQ879" s="12"/>
      <c r="AR879" s="12"/>
      <c r="AS879" s="44"/>
      <c r="AT879" s="45"/>
      <c r="AU879" s="12"/>
      <c r="AV879" s="12"/>
      <c r="AW879" s="12"/>
      <c r="AX879" s="12"/>
      <c r="AY879" s="44"/>
      <c r="AZ879" s="45"/>
      <c r="BA879" s="12"/>
      <c r="BB879" s="12"/>
      <c r="BC879" s="12"/>
      <c r="BD879" s="12"/>
      <c r="BE879" s="44"/>
      <c r="BF879" s="45"/>
      <c r="BG879" s="12"/>
      <c r="BH879" s="12"/>
      <c r="BI879" s="12"/>
      <c r="BJ879" s="12"/>
      <c r="BK879" s="44"/>
      <c r="BL879" s="45"/>
      <c r="BM879" s="12"/>
      <c r="BN879" s="12"/>
      <c r="BO879" s="12"/>
      <c r="BP879" s="12"/>
      <c r="BQ879" s="48"/>
      <c r="BR879" s="49"/>
      <c r="BS879" s="13"/>
      <c r="BT879" s="12"/>
      <c r="BV879" s="14"/>
      <c r="BW879" s="50"/>
      <c r="BX879" s="54"/>
      <c r="BY879" s="14"/>
      <c r="BZ879" s="14"/>
      <c r="CA879" s="14"/>
      <c r="CB879" s="14"/>
      <c r="CC879" s="14"/>
      <c r="CD879" s="14"/>
      <c r="CE879" s="14"/>
      <c r="CF879" s="15"/>
      <c r="CG879" s="14"/>
      <c r="CH879" s="14"/>
      <c r="CI879" s="50"/>
      <c r="CJ879" s="54"/>
      <c r="CK879" s="14"/>
      <c r="CL879" s="14"/>
      <c r="CM879" s="14"/>
      <c r="CN879" s="14"/>
      <c r="CO879" s="14"/>
      <c r="CP879" s="14"/>
      <c r="CQ879" s="14"/>
      <c r="CR879" s="14"/>
      <c r="CS879" s="14"/>
      <c r="CT879" s="14"/>
      <c r="CU879" s="16"/>
      <c r="CV879" s="14"/>
      <c r="CW879" s="50"/>
      <c r="CX879" s="17"/>
    </row>
    <row r="880" spans="4:102" x14ac:dyDescent="0.25"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43"/>
      <c r="Q880" s="11"/>
      <c r="R880" s="11"/>
      <c r="S880" s="11"/>
      <c r="T880" s="11"/>
      <c r="U880" s="11"/>
      <c r="V880" s="11"/>
      <c r="W880" s="11"/>
      <c r="X880" s="12"/>
      <c r="Y880" s="12"/>
      <c r="Z880" s="12"/>
      <c r="AA880" s="44"/>
      <c r="AB880" s="45"/>
      <c r="AC880" s="12"/>
      <c r="AD880" s="12"/>
      <c r="AE880" s="12"/>
      <c r="AF880" s="12"/>
      <c r="AG880" s="44"/>
      <c r="AH880" s="45"/>
      <c r="AI880" s="12"/>
      <c r="AJ880" s="12"/>
      <c r="AK880" s="12"/>
      <c r="AL880" s="12"/>
      <c r="AM880" s="44"/>
      <c r="AN880" s="45"/>
      <c r="AO880" s="12"/>
      <c r="AP880" s="12"/>
      <c r="AQ880" s="12"/>
      <c r="AR880" s="12"/>
      <c r="AS880" s="44"/>
      <c r="AT880" s="45"/>
      <c r="AU880" s="12"/>
      <c r="AV880" s="12"/>
      <c r="AW880" s="12"/>
      <c r="AX880" s="12"/>
      <c r="AY880" s="44"/>
      <c r="AZ880" s="45"/>
      <c r="BA880" s="12"/>
      <c r="BB880" s="12"/>
      <c r="BC880" s="12"/>
      <c r="BD880" s="12"/>
      <c r="BE880" s="44"/>
      <c r="BF880" s="45"/>
      <c r="BG880" s="12"/>
      <c r="BH880" s="12"/>
      <c r="BI880" s="12"/>
      <c r="BJ880" s="12"/>
      <c r="BK880" s="44"/>
      <c r="BL880" s="45"/>
      <c r="BM880" s="12"/>
      <c r="BN880" s="12"/>
      <c r="BO880" s="12"/>
      <c r="BP880" s="12"/>
      <c r="BQ880" s="48"/>
      <c r="BR880" s="49"/>
      <c r="BS880" s="13"/>
      <c r="BT880" s="12"/>
      <c r="BV880" s="14"/>
      <c r="BW880" s="50"/>
      <c r="BX880" s="54"/>
      <c r="BY880" s="14"/>
      <c r="BZ880" s="14"/>
      <c r="CA880" s="14"/>
      <c r="CB880" s="14"/>
      <c r="CC880" s="14"/>
      <c r="CD880" s="14"/>
      <c r="CE880" s="14"/>
      <c r="CF880" s="15"/>
      <c r="CG880" s="14"/>
      <c r="CH880" s="14"/>
      <c r="CI880" s="50"/>
      <c r="CJ880" s="54"/>
      <c r="CK880" s="14"/>
      <c r="CL880" s="14"/>
      <c r="CM880" s="14"/>
      <c r="CN880" s="14"/>
      <c r="CO880" s="14"/>
      <c r="CP880" s="14"/>
      <c r="CQ880" s="14"/>
      <c r="CR880" s="14"/>
      <c r="CS880" s="14"/>
      <c r="CT880" s="14"/>
      <c r="CU880" s="16"/>
      <c r="CV880" s="14"/>
      <c r="CW880" s="50"/>
      <c r="CX880" s="17"/>
    </row>
    <row r="881" spans="4:102" x14ac:dyDescent="0.25"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43"/>
      <c r="Q881" s="11"/>
      <c r="R881" s="11"/>
      <c r="S881" s="11"/>
      <c r="T881" s="11"/>
      <c r="U881" s="11"/>
      <c r="V881" s="11"/>
      <c r="W881" s="11"/>
      <c r="X881" s="12"/>
      <c r="Y881" s="12"/>
      <c r="Z881" s="12"/>
      <c r="AA881" s="44"/>
      <c r="AB881" s="45"/>
      <c r="AC881" s="12"/>
      <c r="AD881" s="12"/>
      <c r="AE881" s="12"/>
      <c r="AF881" s="12"/>
      <c r="AG881" s="44"/>
      <c r="AH881" s="45"/>
      <c r="AI881" s="12"/>
      <c r="AJ881" s="12"/>
      <c r="AK881" s="12"/>
      <c r="AL881" s="12"/>
      <c r="AM881" s="44"/>
      <c r="AN881" s="45"/>
      <c r="AO881" s="12"/>
      <c r="AP881" s="12"/>
      <c r="AQ881" s="12"/>
      <c r="AR881" s="12"/>
      <c r="AS881" s="44"/>
      <c r="AT881" s="45"/>
      <c r="AU881" s="12"/>
      <c r="AV881" s="12"/>
      <c r="AW881" s="12"/>
      <c r="AX881" s="12"/>
      <c r="AY881" s="44"/>
      <c r="AZ881" s="45"/>
      <c r="BA881" s="12"/>
      <c r="BB881" s="12"/>
      <c r="BC881" s="12"/>
      <c r="BD881" s="12"/>
      <c r="BE881" s="44"/>
      <c r="BF881" s="45"/>
      <c r="BG881" s="12"/>
      <c r="BH881" s="12"/>
      <c r="BI881" s="12"/>
      <c r="BJ881" s="12"/>
      <c r="BK881" s="44"/>
      <c r="BL881" s="45"/>
      <c r="BM881" s="12"/>
      <c r="BN881" s="12"/>
      <c r="BO881" s="12"/>
      <c r="BP881" s="12"/>
      <c r="BQ881" s="48"/>
      <c r="BR881" s="49"/>
      <c r="BS881" s="13"/>
      <c r="BT881" s="12"/>
      <c r="BV881" s="14"/>
      <c r="BW881" s="50"/>
      <c r="BX881" s="54"/>
      <c r="BY881" s="14"/>
      <c r="BZ881" s="14"/>
      <c r="CA881" s="14"/>
      <c r="CB881" s="14"/>
      <c r="CC881" s="14"/>
      <c r="CD881" s="14"/>
      <c r="CE881" s="14"/>
      <c r="CF881" s="15"/>
      <c r="CG881" s="14"/>
      <c r="CH881" s="14"/>
      <c r="CI881" s="50"/>
      <c r="CJ881" s="54"/>
      <c r="CK881" s="14"/>
      <c r="CL881" s="14"/>
      <c r="CM881" s="14"/>
      <c r="CN881" s="14"/>
      <c r="CO881" s="14"/>
      <c r="CP881" s="14"/>
      <c r="CQ881" s="14"/>
      <c r="CR881" s="14"/>
      <c r="CS881" s="14"/>
      <c r="CT881" s="14"/>
      <c r="CU881" s="16"/>
      <c r="CV881" s="14"/>
      <c r="CW881" s="50"/>
      <c r="CX881" s="17"/>
    </row>
    <row r="882" spans="4:102" x14ac:dyDescent="0.25"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43"/>
      <c r="Q882" s="11"/>
      <c r="R882" s="11"/>
      <c r="S882" s="11"/>
      <c r="T882" s="11"/>
      <c r="U882" s="11"/>
      <c r="V882" s="11"/>
      <c r="W882" s="11"/>
      <c r="X882" s="12"/>
      <c r="Y882" s="12"/>
      <c r="Z882" s="12"/>
      <c r="AA882" s="44"/>
      <c r="AB882" s="45"/>
      <c r="AC882" s="12"/>
      <c r="AD882" s="12"/>
      <c r="AE882" s="12"/>
      <c r="AF882" s="12"/>
      <c r="AG882" s="44"/>
      <c r="AH882" s="45"/>
      <c r="AI882" s="12"/>
      <c r="AJ882" s="12"/>
      <c r="AK882" s="12"/>
      <c r="AL882" s="12"/>
      <c r="AM882" s="44"/>
      <c r="AN882" s="45"/>
      <c r="AO882" s="12"/>
      <c r="AP882" s="12"/>
      <c r="AQ882" s="12"/>
      <c r="AR882" s="12"/>
      <c r="AS882" s="44"/>
      <c r="AT882" s="45"/>
      <c r="AU882" s="12"/>
      <c r="AV882" s="12"/>
      <c r="AW882" s="12"/>
      <c r="AX882" s="12"/>
      <c r="AY882" s="44"/>
      <c r="AZ882" s="45"/>
      <c r="BA882" s="12"/>
      <c r="BB882" s="12"/>
      <c r="BC882" s="12"/>
      <c r="BD882" s="12"/>
      <c r="BE882" s="44"/>
      <c r="BF882" s="45"/>
      <c r="BG882" s="12"/>
      <c r="BH882" s="12"/>
      <c r="BI882" s="12"/>
      <c r="BJ882" s="12"/>
      <c r="BK882" s="44"/>
      <c r="BL882" s="45"/>
      <c r="BM882" s="12"/>
      <c r="BN882" s="12"/>
      <c r="BO882" s="12"/>
      <c r="BP882" s="12"/>
      <c r="BQ882" s="48"/>
      <c r="BR882" s="49"/>
      <c r="BS882" s="13"/>
      <c r="BT882" s="12"/>
      <c r="BV882" s="14"/>
      <c r="BW882" s="50"/>
      <c r="BX882" s="54"/>
      <c r="BY882" s="14"/>
      <c r="BZ882" s="14"/>
      <c r="CA882" s="14"/>
      <c r="CB882" s="14"/>
      <c r="CC882" s="14"/>
      <c r="CD882" s="14"/>
      <c r="CE882" s="14"/>
      <c r="CF882" s="15"/>
      <c r="CG882" s="14"/>
      <c r="CH882" s="14"/>
      <c r="CI882" s="50"/>
      <c r="CJ882" s="54"/>
      <c r="CK882" s="14"/>
      <c r="CL882" s="14"/>
      <c r="CM882" s="14"/>
      <c r="CN882" s="14"/>
      <c r="CO882" s="14"/>
      <c r="CP882" s="14"/>
      <c r="CQ882" s="14"/>
      <c r="CR882" s="14"/>
      <c r="CS882" s="14"/>
      <c r="CT882" s="14"/>
      <c r="CU882" s="16"/>
      <c r="CV882" s="14"/>
      <c r="CW882" s="50"/>
      <c r="CX882" s="17"/>
    </row>
    <row r="883" spans="4:102" x14ac:dyDescent="0.25"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43"/>
      <c r="Q883" s="11"/>
      <c r="R883" s="11"/>
      <c r="S883" s="11"/>
      <c r="T883" s="11"/>
      <c r="U883" s="11"/>
      <c r="V883" s="11"/>
      <c r="W883" s="11"/>
      <c r="X883" s="12"/>
      <c r="Y883" s="12"/>
      <c r="Z883" s="12"/>
      <c r="AA883" s="44"/>
      <c r="AB883" s="45"/>
      <c r="AC883" s="12"/>
      <c r="AD883" s="12"/>
      <c r="AE883" s="12"/>
      <c r="AF883" s="12"/>
      <c r="AG883" s="44"/>
      <c r="AH883" s="45"/>
      <c r="AI883" s="12"/>
      <c r="AJ883" s="12"/>
      <c r="AK883" s="12"/>
      <c r="AL883" s="12"/>
      <c r="AM883" s="44"/>
      <c r="AN883" s="45"/>
      <c r="AO883" s="12"/>
      <c r="AP883" s="12"/>
      <c r="AQ883" s="12"/>
      <c r="AR883" s="12"/>
      <c r="AS883" s="44"/>
      <c r="AT883" s="45"/>
      <c r="AU883" s="12"/>
      <c r="AV883" s="12"/>
      <c r="AW883" s="12"/>
      <c r="AX883" s="12"/>
      <c r="AY883" s="44"/>
      <c r="AZ883" s="45"/>
      <c r="BA883" s="12"/>
      <c r="BB883" s="12"/>
      <c r="BC883" s="12"/>
      <c r="BD883" s="12"/>
      <c r="BE883" s="44"/>
      <c r="BF883" s="45"/>
      <c r="BG883" s="12"/>
      <c r="BH883" s="12"/>
      <c r="BI883" s="12"/>
      <c r="BJ883" s="12"/>
      <c r="BK883" s="44"/>
      <c r="BL883" s="45"/>
      <c r="BM883" s="12"/>
      <c r="BN883" s="12"/>
      <c r="BO883" s="12"/>
      <c r="BP883" s="12"/>
      <c r="BQ883" s="48"/>
      <c r="BR883" s="49"/>
      <c r="BS883" s="13"/>
      <c r="BT883" s="12"/>
      <c r="BV883" s="14"/>
      <c r="BW883" s="50"/>
      <c r="BX883" s="54"/>
      <c r="BY883" s="14"/>
      <c r="BZ883" s="14"/>
      <c r="CA883" s="14"/>
      <c r="CB883" s="14"/>
      <c r="CC883" s="14"/>
      <c r="CD883" s="14"/>
      <c r="CE883" s="14"/>
      <c r="CF883" s="15"/>
      <c r="CG883" s="14"/>
      <c r="CH883" s="14"/>
      <c r="CI883" s="50"/>
      <c r="CJ883" s="54"/>
      <c r="CK883" s="14"/>
      <c r="CL883" s="14"/>
      <c r="CM883" s="14"/>
      <c r="CN883" s="14"/>
      <c r="CO883" s="14"/>
      <c r="CP883" s="14"/>
      <c r="CQ883" s="14"/>
      <c r="CR883" s="14"/>
      <c r="CS883" s="14"/>
      <c r="CT883" s="14"/>
      <c r="CU883" s="16"/>
      <c r="CV883" s="14"/>
      <c r="CW883" s="50"/>
      <c r="CX883" s="17"/>
    </row>
    <row r="884" spans="4:102" x14ac:dyDescent="0.25"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43"/>
      <c r="Q884" s="11"/>
      <c r="R884" s="11"/>
      <c r="S884" s="11"/>
      <c r="T884" s="11"/>
      <c r="U884" s="11"/>
      <c r="V884" s="11"/>
      <c r="W884" s="11"/>
      <c r="X884" s="12"/>
      <c r="Y884" s="12"/>
      <c r="Z884" s="12"/>
      <c r="AA884" s="44"/>
      <c r="AB884" s="45"/>
      <c r="AC884" s="12"/>
      <c r="AD884" s="12"/>
      <c r="AE884" s="12"/>
      <c r="AF884" s="12"/>
      <c r="AG884" s="44"/>
      <c r="AH884" s="45"/>
      <c r="AI884" s="12"/>
      <c r="AJ884" s="12"/>
      <c r="AK884" s="12"/>
      <c r="AL884" s="12"/>
      <c r="AM884" s="44"/>
      <c r="AN884" s="45"/>
      <c r="AO884" s="12"/>
      <c r="AP884" s="12"/>
      <c r="AQ884" s="12"/>
      <c r="AR884" s="12"/>
      <c r="AS884" s="44"/>
      <c r="AT884" s="45"/>
      <c r="AU884" s="12"/>
      <c r="AV884" s="12"/>
      <c r="AW884" s="12"/>
      <c r="AX884" s="12"/>
      <c r="AY884" s="44"/>
      <c r="AZ884" s="45"/>
      <c r="BA884" s="12"/>
      <c r="BB884" s="12"/>
      <c r="BC884" s="12"/>
      <c r="BD884" s="12"/>
      <c r="BE884" s="44"/>
      <c r="BF884" s="45"/>
      <c r="BG884" s="12"/>
      <c r="BH884" s="12"/>
      <c r="BI884" s="12"/>
      <c r="BJ884" s="12"/>
      <c r="BK884" s="44"/>
      <c r="BL884" s="45"/>
      <c r="BM884" s="12"/>
      <c r="BN884" s="12"/>
      <c r="BO884" s="12"/>
      <c r="BP884" s="12"/>
      <c r="BQ884" s="48"/>
      <c r="BR884" s="49"/>
      <c r="BS884" s="13"/>
      <c r="BT884" s="12"/>
      <c r="BV884" s="14"/>
      <c r="BW884" s="50"/>
      <c r="BX884" s="54"/>
      <c r="BY884" s="14"/>
      <c r="BZ884" s="14"/>
      <c r="CA884" s="14"/>
      <c r="CB884" s="14"/>
      <c r="CC884" s="14"/>
      <c r="CD884" s="14"/>
      <c r="CE884" s="14"/>
      <c r="CF884" s="15"/>
      <c r="CG884" s="14"/>
      <c r="CH884" s="14"/>
      <c r="CI884" s="50"/>
      <c r="CJ884" s="54"/>
      <c r="CK884" s="14"/>
      <c r="CL884" s="14"/>
      <c r="CM884" s="14"/>
      <c r="CN884" s="14"/>
      <c r="CO884" s="14"/>
      <c r="CP884" s="14"/>
      <c r="CQ884" s="14"/>
      <c r="CR884" s="14"/>
      <c r="CS884" s="14"/>
      <c r="CT884" s="14"/>
      <c r="CU884" s="16"/>
      <c r="CV884" s="14"/>
      <c r="CW884" s="50"/>
      <c r="CX884" s="17"/>
    </row>
    <row r="885" spans="4:102" x14ac:dyDescent="0.25"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43"/>
      <c r="Q885" s="11"/>
      <c r="R885" s="11"/>
      <c r="S885" s="11"/>
      <c r="T885" s="11"/>
      <c r="U885" s="11"/>
      <c r="V885" s="11"/>
      <c r="W885" s="11"/>
      <c r="X885" s="12"/>
      <c r="Y885" s="12"/>
      <c r="Z885" s="12"/>
      <c r="AA885" s="44"/>
      <c r="AB885" s="45"/>
      <c r="AC885" s="12"/>
      <c r="AD885" s="12"/>
      <c r="AE885" s="12"/>
      <c r="AF885" s="12"/>
      <c r="AG885" s="44"/>
      <c r="AH885" s="45"/>
      <c r="AI885" s="12"/>
      <c r="AJ885" s="12"/>
      <c r="AK885" s="12"/>
      <c r="AL885" s="12"/>
      <c r="AM885" s="44"/>
      <c r="AN885" s="45"/>
      <c r="AO885" s="12"/>
      <c r="AP885" s="12"/>
      <c r="AQ885" s="12"/>
      <c r="AR885" s="12"/>
      <c r="AS885" s="44"/>
      <c r="AT885" s="45"/>
      <c r="AU885" s="12"/>
      <c r="AV885" s="12"/>
      <c r="AW885" s="12"/>
      <c r="AX885" s="12"/>
      <c r="AY885" s="44"/>
      <c r="AZ885" s="45"/>
      <c r="BA885" s="12"/>
      <c r="BB885" s="12"/>
      <c r="BC885" s="12"/>
      <c r="BD885" s="12"/>
      <c r="BE885" s="44"/>
      <c r="BF885" s="45"/>
      <c r="BG885" s="12"/>
      <c r="BH885" s="12"/>
      <c r="BI885" s="12"/>
      <c r="BJ885" s="12"/>
      <c r="BK885" s="44"/>
      <c r="BL885" s="45"/>
      <c r="BM885" s="12"/>
      <c r="BN885" s="12"/>
      <c r="BO885" s="12"/>
      <c r="BP885" s="12"/>
      <c r="BQ885" s="48"/>
      <c r="BR885" s="49"/>
      <c r="BS885" s="13"/>
      <c r="BT885" s="12"/>
      <c r="BV885" s="14"/>
      <c r="BW885" s="50"/>
      <c r="BX885" s="54"/>
      <c r="BY885" s="14"/>
      <c r="BZ885" s="14"/>
      <c r="CA885" s="14"/>
      <c r="CB885" s="14"/>
      <c r="CC885" s="14"/>
      <c r="CD885" s="14"/>
      <c r="CE885" s="14"/>
      <c r="CF885" s="15"/>
      <c r="CG885" s="14"/>
      <c r="CH885" s="14"/>
      <c r="CI885" s="50"/>
      <c r="CJ885" s="54"/>
      <c r="CK885" s="14"/>
      <c r="CL885" s="14"/>
      <c r="CM885" s="14"/>
      <c r="CN885" s="14"/>
      <c r="CO885" s="14"/>
      <c r="CP885" s="14"/>
      <c r="CQ885" s="14"/>
      <c r="CR885" s="14"/>
      <c r="CS885" s="14"/>
      <c r="CT885" s="14"/>
      <c r="CU885" s="16"/>
      <c r="CV885" s="14"/>
      <c r="CW885" s="50"/>
      <c r="CX885" s="17"/>
    </row>
    <row r="886" spans="4:102" x14ac:dyDescent="0.25"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43"/>
      <c r="Q886" s="11"/>
      <c r="R886" s="11"/>
      <c r="S886" s="11"/>
      <c r="T886" s="11"/>
      <c r="U886" s="11"/>
      <c r="V886" s="11"/>
      <c r="W886" s="11"/>
      <c r="X886" s="12"/>
      <c r="Y886" s="12"/>
      <c r="Z886" s="12"/>
      <c r="AA886" s="44"/>
      <c r="AB886" s="45"/>
      <c r="AC886" s="12"/>
      <c r="AD886" s="12"/>
      <c r="AE886" s="12"/>
      <c r="AF886" s="12"/>
      <c r="AG886" s="44"/>
      <c r="AH886" s="45"/>
      <c r="AI886" s="12"/>
      <c r="AJ886" s="12"/>
      <c r="AK886" s="12"/>
      <c r="AL886" s="12"/>
      <c r="AM886" s="44"/>
      <c r="AN886" s="45"/>
      <c r="AO886" s="12"/>
      <c r="AP886" s="12"/>
      <c r="AQ886" s="12"/>
      <c r="AR886" s="12"/>
      <c r="AS886" s="44"/>
      <c r="AT886" s="45"/>
      <c r="AU886" s="12"/>
      <c r="AV886" s="12"/>
      <c r="AW886" s="12"/>
      <c r="AX886" s="12"/>
      <c r="AY886" s="44"/>
      <c r="AZ886" s="45"/>
      <c r="BA886" s="12"/>
      <c r="BB886" s="12"/>
      <c r="BC886" s="12"/>
      <c r="BD886" s="12"/>
      <c r="BE886" s="44"/>
      <c r="BF886" s="45"/>
      <c r="BG886" s="12"/>
      <c r="BH886" s="12"/>
      <c r="BI886" s="12"/>
      <c r="BJ886" s="12"/>
      <c r="BK886" s="44"/>
      <c r="BL886" s="45"/>
      <c r="BM886" s="12"/>
      <c r="BN886" s="12"/>
      <c r="BO886" s="12"/>
      <c r="BP886" s="12"/>
      <c r="BQ886" s="48"/>
      <c r="BR886" s="49"/>
      <c r="BS886" s="13"/>
      <c r="BT886" s="12"/>
      <c r="BV886" s="14"/>
      <c r="BW886" s="50"/>
      <c r="BX886" s="54"/>
      <c r="BY886" s="14"/>
      <c r="BZ886" s="14"/>
      <c r="CA886" s="14"/>
      <c r="CB886" s="14"/>
      <c r="CC886" s="14"/>
      <c r="CD886" s="14"/>
      <c r="CE886" s="14"/>
      <c r="CF886" s="15"/>
      <c r="CG886" s="14"/>
      <c r="CH886" s="14"/>
      <c r="CI886" s="50"/>
      <c r="CJ886" s="54"/>
      <c r="CK886" s="14"/>
      <c r="CL886" s="14"/>
      <c r="CM886" s="14"/>
      <c r="CN886" s="14"/>
      <c r="CO886" s="14"/>
      <c r="CP886" s="14"/>
      <c r="CQ886" s="14"/>
      <c r="CR886" s="14"/>
      <c r="CS886" s="14"/>
      <c r="CT886" s="14"/>
      <c r="CU886" s="16"/>
      <c r="CV886" s="14"/>
      <c r="CW886" s="50"/>
      <c r="CX886" s="17"/>
    </row>
    <row r="887" spans="4:102" x14ac:dyDescent="0.25"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43"/>
      <c r="Q887" s="11"/>
      <c r="R887" s="11"/>
      <c r="S887" s="11"/>
      <c r="T887" s="11"/>
      <c r="U887" s="11"/>
      <c r="V887" s="11"/>
      <c r="W887" s="11"/>
      <c r="X887" s="12"/>
      <c r="Y887" s="12"/>
      <c r="Z887" s="12"/>
      <c r="AA887" s="44"/>
      <c r="AB887" s="45"/>
      <c r="AC887" s="12"/>
      <c r="AD887" s="12"/>
      <c r="AE887" s="12"/>
      <c r="AF887" s="12"/>
      <c r="AG887" s="44"/>
      <c r="AH887" s="45"/>
      <c r="AI887" s="12"/>
      <c r="AJ887" s="12"/>
      <c r="AK887" s="12"/>
      <c r="AL887" s="12"/>
      <c r="AM887" s="44"/>
      <c r="AN887" s="45"/>
      <c r="AO887" s="12"/>
      <c r="AP887" s="12"/>
      <c r="AQ887" s="12"/>
      <c r="AR887" s="12"/>
      <c r="AS887" s="44"/>
      <c r="AT887" s="45"/>
      <c r="AU887" s="12"/>
      <c r="AV887" s="12"/>
      <c r="AW887" s="12"/>
      <c r="AX887" s="12"/>
      <c r="AY887" s="44"/>
      <c r="AZ887" s="45"/>
      <c r="BA887" s="12"/>
      <c r="BB887" s="12"/>
      <c r="BC887" s="12"/>
      <c r="BD887" s="12"/>
      <c r="BE887" s="44"/>
      <c r="BF887" s="45"/>
      <c r="BG887" s="12"/>
      <c r="BH887" s="12"/>
      <c r="BI887" s="12"/>
      <c r="BJ887" s="12"/>
      <c r="BK887" s="44"/>
      <c r="BL887" s="45"/>
      <c r="BM887" s="12"/>
      <c r="BN887" s="12"/>
      <c r="BO887" s="12"/>
      <c r="BP887" s="12"/>
      <c r="BQ887" s="48"/>
      <c r="BR887" s="49"/>
      <c r="BS887" s="13"/>
      <c r="BT887" s="12"/>
      <c r="BV887" s="14"/>
      <c r="BW887" s="50"/>
      <c r="BX887" s="54"/>
      <c r="BY887" s="14"/>
      <c r="BZ887" s="14"/>
      <c r="CA887" s="14"/>
      <c r="CB887" s="14"/>
      <c r="CC887" s="14"/>
      <c r="CD887" s="14"/>
      <c r="CE887" s="14"/>
      <c r="CF887" s="15"/>
      <c r="CG887" s="14"/>
      <c r="CH887" s="14"/>
      <c r="CI887" s="50"/>
      <c r="CJ887" s="54"/>
      <c r="CK887" s="14"/>
      <c r="CL887" s="14"/>
      <c r="CM887" s="14"/>
      <c r="CN887" s="14"/>
      <c r="CO887" s="14"/>
      <c r="CP887" s="14"/>
      <c r="CQ887" s="14"/>
      <c r="CR887" s="14"/>
      <c r="CS887" s="14"/>
      <c r="CT887" s="14"/>
      <c r="CU887" s="16"/>
      <c r="CV887" s="14"/>
      <c r="CW887" s="50"/>
      <c r="CX887" s="17"/>
    </row>
    <row r="888" spans="4:102" x14ac:dyDescent="0.25"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43"/>
      <c r="Q888" s="11"/>
      <c r="R888" s="11"/>
      <c r="S888" s="11"/>
      <c r="T888" s="11"/>
      <c r="U888" s="11"/>
      <c r="V888" s="11"/>
      <c r="W888" s="11"/>
      <c r="X888" s="12"/>
      <c r="Y888" s="12"/>
      <c r="Z888" s="12"/>
      <c r="AA888" s="44"/>
      <c r="AB888" s="45"/>
      <c r="AC888" s="12"/>
      <c r="AD888" s="12"/>
      <c r="AE888" s="12"/>
      <c r="AF888" s="12"/>
      <c r="AG888" s="44"/>
      <c r="AH888" s="45"/>
      <c r="AI888" s="12"/>
      <c r="AJ888" s="12"/>
      <c r="AK888" s="12"/>
      <c r="AL888" s="12"/>
      <c r="AM888" s="44"/>
      <c r="AN888" s="45"/>
      <c r="AO888" s="12"/>
      <c r="AP888" s="12"/>
      <c r="AQ888" s="12"/>
      <c r="AR888" s="12"/>
      <c r="AS888" s="44"/>
      <c r="AT888" s="45"/>
      <c r="AU888" s="12"/>
      <c r="AV888" s="12"/>
      <c r="AW888" s="12"/>
      <c r="AX888" s="12"/>
      <c r="AY888" s="44"/>
      <c r="AZ888" s="45"/>
      <c r="BA888" s="12"/>
      <c r="BB888" s="12"/>
      <c r="BC888" s="12"/>
      <c r="BD888" s="12"/>
      <c r="BE888" s="44"/>
      <c r="BF888" s="45"/>
      <c r="BG888" s="12"/>
      <c r="BH888" s="12"/>
      <c r="BI888" s="12"/>
      <c r="BJ888" s="12"/>
      <c r="BK888" s="44"/>
      <c r="BL888" s="45"/>
      <c r="BM888" s="12"/>
      <c r="BN888" s="12"/>
      <c r="BO888" s="12"/>
      <c r="BP888" s="12"/>
      <c r="BQ888" s="48"/>
      <c r="BR888" s="49"/>
      <c r="BS888" s="13"/>
      <c r="BT888" s="12"/>
      <c r="BV888" s="14"/>
      <c r="BW888" s="50"/>
      <c r="BX888" s="54"/>
      <c r="BY888" s="14"/>
      <c r="BZ888" s="14"/>
      <c r="CA888" s="14"/>
      <c r="CB888" s="14"/>
      <c r="CC888" s="14"/>
      <c r="CD888" s="14"/>
      <c r="CE888" s="14"/>
      <c r="CF888" s="15"/>
      <c r="CG888" s="14"/>
      <c r="CH888" s="14"/>
      <c r="CI888" s="50"/>
      <c r="CJ888" s="54"/>
      <c r="CK888" s="14"/>
      <c r="CL888" s="14"/>
      <c r="CM888" s="14"/>
      <c r="CN888" s="14"/>
      <c r="CO888" s="14"/>
      <c r="CP888" s="14"/>
      <c r="CQ888" s="14"/>
      <c r="CR888" s="14"/>
      <c r="CS888" s="14"/>
      <c r="CT888" s="14"/>
      <c r="CU888" s="16"/>
      <c r="CV888" s="14"/>
      <c r="CW888" s="50"/>
      <c r="CX888" s="17"/>
    </row>
    <row r="889" spans="4:102" x14ac:dyDescent="0.25"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43"/>
      <c r="Q889" s="11"/>
      <c r="R889" s="11"/>
      <c r="S889" s="11"/>
      <c r="T889" s="11"/>
      <c r="U889" s="11"/>
      <c r="V889" s="11"/>
      <c r="W889" s="11"/>
      <c r="X889" s="12"/>
      <c r="Y889" s="12"/>
      <c r="Z889" s="12"/>
      <c r="AA889" s="44"/>
      <c r="AB889" s="45"/>
      <c r="AC889" s="12"/>
      <c r="AD889" s="12"/>
      <c r="AE889" s="12"/>
      <c r="AF889" s="12"/>
      <c r="AG889" s="44"/>
      <c r="AH889" s="45"/>
      <c r="AI889" s="12"/>
      <c r="AJ889" s="12"/>
      <c r="AK889" s="12"/>
      <c r="AL889" s="12"/>
      <c r="AM889" s="44"/>
      <c r="AN889" s="45"/>
      <c r="AO889" s="12"/>
      <c r="AP889" s="12"/>
      <c r="AQ889" s="12"/>
      <c r="AR889" s="12"/>
      <c r="AS889" s="44"/>
      <c r="AT889" s="45"/>
      <c r="AU889" s="12"/>
      <c r="AV889" s="12"/>
      <c r="AW889" s="12"/>
      <c r="AX889" s="12"/>
      <c r="AY889" s="44"/>
      <c r="AZ889" s="45"/>
      <c r="BA889" s="12"/>
      <c r="BB889" s="12"/>
      <c r="BC889" s="12"/>
      <c r="BD889" s="12"/>
      <c r="BE889" s="44"/>
      <c r="BF889" s="45"/>
      <c r="BG889" s="12"/>
      <c r="BH889" s="12"/>
      <c r="BI889" s="12"/>
      <c r="BJ889" s="12"/>
      <c r="BK889" s="44"/>
      <c r="BL889" s="45"/>
      <c r="BM889" s="12"/>
      <c r="BN889" s="12"/>
      <c r="BO889" s="12"/>
      <c r="BP889" s="12"/>
      <c r="BQ889" s="48"/>
      <c r="BR889" s="49"/>
      <c r="BS889" s="13"/>
      <c r="BT889" s="12"/>
      <c r="BV889" s="14"/>
      <c r="BW889" s="50"/>
      <c r="BX889" s="54"/>
      <c r="BY889" s="14"/>
      <c r="BZ889" s="14"/>
      <c r="CA889" s="14"/>
      <c r="CB889" s="14"/>
      <c r="CC889" s="14"/>
      <c r="CD889" s="14"/>
      <c r="CE889" s="14"/>
      <c r="CF889" s="15"/>
      <c r="CG889" s="14"/>
      <c r="CH889" s="14"/>
      <c r="CI889" s="50"/>
      <c r="CJ889" s="54"/>
      <c r="CK889" s="14"/>
      <c r="CL889" s="14"/>
      <c r="CM889" s="14"/>
      <c r="CN889" s="14"/>
      <c r="CO889" s="14"/>
      <c r="CP889" s="14"/>
      <c r="CQ889" s="14"/>
      <c r="CR889" s="14"/>
      <c r="CS889" s="14"/>
      <c r="CT889" s="14"/>
      <c r="CU889" s="16"/>
      <c r="CV889" s="14"/>
      <c r="CW889" s="50"/>
      <c r="CX889" s="17"/>
    </row>
    <row r="890" spans="4:102" x14ac:dyDescent="0.25"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43"/>
      <c r="Q890" s="11"/>
      <c r="R890" s="11"/>
      <c r="S890" s="11"/>
      <c r="T890" s="11"/>
      <c r="U890" s="11"/>
      <c r="V890" s="11"/>
      <c r="W890" s="11"/>
      <c r="X890" s="12"/>
      <c r="Y890" s="12"/>
      <c r="Z890" s="12"/>
      <c r="AA890" s="44"/>
      <c r="AB890" s="45"/>
      <c r="AC890" s="12"/>
      <c r="AD890" s="12"/>
      <c r="AE890" s="12"/>
      <c r="AF890" s="12"/>
      <c r="AG890" s="44"/>
      <c r="AH890" s="45"/>
      <c r="AI890" s="12"/>
      <c r="AJ890" s="12"/>
      <c r="AK890" s="12"/>
      <c r="AL890" s="12"/>
      <c r="AM890" s="44"/>
      <c r="AN890" s="45"/>
      <c r="AO890" s="12"/>
      <c r="AP890" s="12"/>
      <c r="AQ890" s="12"/>
      <c r="AR890" s="12"/>
      <c r="AS890" s="44"/>
      <c r="AT890" s="45"/>
      <c r="AU890" s="12"/>
      <c r="AV890" s="12"/>
      <c r="AW890" s="12"/>
      <c r="AX890" s="12"/>
      <c r="AY890" s="44"/>
      <c r="AZ890" s="45"/>
      <c r="BA890" s="12"/>
      <c r="BB890" s="12"/>
      <c r="BC890" s="12"/>
      <c r="BD890" s="12"/>
      <c r="BE890" s="44"/>
      <c r="BF890" s="45"/>
      <c r="BG890" s="12"/>
      <c r="BH890" s="12"/>
      <c r="BI890" s="12"/>
      <c r="BJ890" s="12"/>
      <c r="BK890" s="44"/>
      <c r="BL890" s="45"/>
      <c r="BM890" s="12"/>
      <c r="BN890" s="12"/>
      <c r="BO890" s="12"/>
      <c r="BP890" s="12"/>
      <c r="BQ890" s="48"/>
      <c r="BR890" s="49"/>
      <c r="BS890" s="13"/>
      <c r="BT890" s="12"/>
      <c r="BV890" s="14"/>
      <c r="BW890" s="50"/>
      <c r="BX890" s="54"/>
      <c r="BY890" s="14"/>
      <c r="BZ890" s="14"/>
      <c r="CA890" s="14"/>
      <c r="CB890" s="14"/>
      <c r="CC890" s="14"/>
      <c r="CD890" s="14"/>
      <c r="CE890" s="14"/>
      <c r="CF890" s="15"/>
      <c r="CG890" s="14"/>
      <c r="CH890" s="14"/>
      <c r="CI890" s="50"/>
      <c r="CJ890" s="54"/>
      <c r="CK890" s="14"/>
      <c r="CL890" s="14"/>
      <c r="CM890" s="14"/>
      <c r="CN890" s="14"/>
      <c r="CO890" s="14"/>
      <c r="CP890" s="14"/>
      <c r="CQ890" s="14"/>
      <c r="CR890" s="14"/>
      <c r="CS890" s="14"/>
      <c r="CT890" s="14"/>
      <c r="CU890" s="16"/>
      <c r="CV890" s="14"/>
      <c r="CW890" s="50"/>
      <c r="CX890" s="17"/>
    </row>
    <row r="891" spans="4:102" x14ac:dyDescent="0.25"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43"/>
      <c r="Q891" s="11"/>
      <c r="R891" s="11"/>
      <c r="S891" s="11"/>
      <c r="T891" s="11"/>
      <c r="U891" s="11"/>
      <c r="V891" s="11"/>
      <c r="W891" s="11"/>
      <c r="X891" s="12"/>
      <c r="Y891" s="12"/>
      <c r="Z891" s="12"/>
      <c r="AA891" s="44"/>
      <c r="AB891" s="45"/>
      <c r="AC891" s="12"/>
      <c r="AD891" s="12"/>
      <c r="AE891" s="12"/>
      <c r="AF891" s="12"/>
      <c r="AG891" s="44"/>
      <c r="AH891" s="45"/>
      <c r="AI891" s="12"/>
      <c r="AJ891" s="12"/>
      <c r="AK891" s="12"/>
      <c r="AL891" s="12"/>
      <c r="AM891" s="44"/>
      <c r="AN891" s="45"/>
      <c r="AO891" s="12"/>
      <c r="AP891" s="12"/>
      <c r="AQ891" s="12"/>
      <c r="AR891" s="12"/>
      <c r="AS891" s="44"/>
      <c r="AT891" s="45"/>
      <c r="AU891" s="12"/>
      <c r="AV891" s="12"/>
      <c r="AW891" s="12"/>
      <c r="AX891" s="12"/>
      <c r="AY891" s="44"/>
      <c r="AZ891" s="45"/>
      <c r="BA891" s="12"/>
      <c r="BB891" s="12"/>
      <c r="BC891" s="12"/>
      <c r="BD891" s="12"/>
      <c r="BE891" s="44"/>
      <c r="BF891" s="45"/>
      <c r="BG891" s="12"/>
      <c r="BH891" s="12"/>
      <c r="BI891" s="12"/>
      <c r="BJ891" s="12"/>
      <c r="BK891" s="44"/>
      <c r="BL891" s="45"/>
      <c r="BM891" s="12"/>
      <c r="BN891" s="12"/>
      <c r="BO891" s="12"/>
      <c r="BP891" s="12"/>
      <c r="BQ891" s="48"/>
      <c r="BR891" s="49"/>
      <c r="BS891" s="13"/>
      <c r="BT891" s="12"/>
      <c r="BV891" s="14"/>
      <c r="BW891" s="50"/>
      <c r="BX891" s="54"/>
      <c r="BY891" s="14"/>
      <c r="BZ891" s="14"/>
      <c r="CA891" s="14"/>
      <c r="CB891" s="14"/>
      <c r="CC891" s="14"/>
      <c r="CD891" s="14"/>
      <c r="CE891" s="14"/>
      <c r="CF891" s="15"/>
      <c r="CG891" s="14"/>
      <c r="CH891" s="14"/>
      <c r="CI891" s="50"/>
      <c r="CJ891" s="54"/>
      <c r="CK891" s="14"/>
      <c r="CL891" s="14"/>
      <c r="CM891" s="14"/>
      <c r="CN891" s="14"/>
      <c r="CO891" s="14"/>
      <c r="CP891" s="14"/>
      <c r="CQ891" s="14"/>
      <c r="CR891" s="14"/>
      <c r="CS891" s="14"/>
      <c r="CT891" s="14"/>
      <c r="CU891" s="16"/>
      <c r="CV891" s="14"/>
      <c r="CW891" s="50"/>
      <c r="CX891" s="17"/>
    </row>
    <row r="892" spans="4:102" x14ac:dyDescent="0.25"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43"/>
      <c r="Q892" s="11"/>
      <c r="R892" s="11"/>
      <c r="S892" s="11"/>
      <c r="T892" s="11"/>
      <c r="U892" s="11"/>
      <c r="V892" s="11"/>
      <c r="W892" s="11"/>
      <c r="X892" s="12"/>
      <c r="Y892" s="12"/>
      <c r="Z892" s="12"/>
      <c r="AA892" s="44"/>
      <c r="AB892" s="45"/>
      <c r="AC892" s="12"/>
      <c r="AD892" s="12"/>
      <c r="AE892" s="12"/>
      <c r="AF892" s="12"/>
      <c r="AG892" s="44"/>
      <c r="AH892" s="45"/>
      <c r="AI892" s="12"/>
      <c r="AJ892" s="12"/>
      <c r="AK892" s="12"/>
      <c r="AL892" s="12"/>
      <c r="AM892" s="44"/>
      <c r="AN892" s="45"/>
      <c r="AO892" s="12"/>
      <c r="AP892" s="12"/>
      <c r="AQ892" s="12"/>
      <c r="AR892" s="12"/>
      <c r="AS892" s="44"/>
      <c r="AT892" s="45"/>
      <c r="AU892" s="12"/>
      <c r="AV892" s="12"/>
      <c r="AW892" s="12"/>
      <c r="AX892" s="12"/>
      <c r="AY892" s="44"/>
      <c r="AZ892" s="45"/>
      <c r="BA892" s="12"/>
      <c r="BB892" s="12"/>
      <c r="BC892" s="12"/>
      <c r="BD892" s="12"/>
      <c r="BE892" s="44"/>
      <c r="BF892" s="45"/>
      <c r="BG892" s="12"/>
      <c r="BH892" s="12"/>
      <c r="BI892" s="12"/>
      <c r="BJ892" s="12"/>
      <c r="BK892" s="44"/>
      <c r="BL892" s="45"/>
      <c r="BM892" s="12"/>
      <c r="BN892" s="12"/>
      <c r="BO892" s="12"/>
      <c r="BP892" s="12"/>
      <c r="BQ892" s="48"/>
      <c r="BR892" s="49"/>
      <c r="BS892" s="13"/>
      <c r="BT892" s="12"/>
      <c r="BV892" s="14"/>
      <c r="BW892" s="50"/>
      <c r="BX892" s="54"/>
      <c r="BY892" s="14"/>
      <c r="BZ892" s="14"/>
      <c r="CA892" s="14"/>
      <c r="CB892" s="14"/>
      <c r="CC892" s="14"/>
      <c r="CD892" s="14"/>
      <c r="CE892" s="14"/>
      <c r="CF892" s="15"/>
      <c r="CG892" s="14"/>
      <c r="CH892" s="14"/>
      <c r="CI892" s="50"/>
      <c r="CJ892" s="54"/>
      <c r="CK892" s="14"/>
      <c r="CL892" s="14"/>
      <c r="CM892" s="14"/>
      <c r="CN892" s="14"/>
      <c r="CO892" s="14"/>
      <c r="CP892" s="14"/>
      <c r="CQ892" s="14"/>
      <c r="CR892" s="14"/>
      <c r="CS892" s="14"/>
      <c r="CT892" s="14"/>
      <c r="CU892" s="16"/>
      <c r="CV892" s="14"/>
      <c r="CW892" s="50"/>
      <c r="CX892" s="17"/>
    </row>
    <row r="893" spans="4:102" x14ac:dyDescent="0.25"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43"/>
      <c r="Q893" s="11"/>
      <c r="R893" s="11"/>
      <c r="S893" s="11"/>
      <c r="T893" s="11"/>
      <c r="U893" s="11"/>
      <c r="V893" s="11"/>
      <c r="W893" s="11"/>
      <c r="X893" s="12"/>
      <c r="Y893" s="12"/>
      <c r="Z893" s="12"/>
      <c r="AA893" s="44"/>
      <c r="AB893" s="45"/>
      <c r="AC893" s="12"/>
      <c r="AD893" s="12"/>
      <c r="AE893" s="12"/>
      <c r="AF893" s="12"/>
      <c r="AG893" s="44"/>
      <c r="AH893" s="45"/>
      <c r="AI893" s="12"/>
      <c r="AJ893" s="12"/>
      <c r="AK893" s="12"/>
      <c r="AL893" s="12"/>
      <c r="AM893" s="44"/>
      <c r="AN893" s="45"/>
      <c r="AO893" s="12"/>
      <c r="AP893" s="12"/>
      <c r="AQ893" s="12"/>
      <c r="AR893" s="12"/>
      <c r="AS893" s="44"/>
      <c r="AT893" s="45"/>
      <c r="AU893" s="12"/>
      <c r="AV893" s="12"/>
      <c r="AW893" s="12"/>
      <c r="AX893" s="12"/>
      <c r="AY893" s="44"/>
      <c r="AZ893" s="45"/>
      <c r="BA893" s="12"/>
      <c r="BB893" s="12"/>
      <c r="BC893" s="12"/>
      <c r="BD893" s="12"/>
      <c r="BE893" s="44"/>
      <c r="BF893" s="45"/>
      <c r="BG893" s="12"/>
      <c r="BH893" s="12"/>
      <c r="BI893" s="12"/>
      <c r="BJ893" s="12"/>
      <c r="BK893" s="44"/>
      <c r="BL893" s="45"/>
      <c r="BM893" s="12"/>
      <c r="BN893" s="12"/>
      <c r="BO893" s="12"/>
      <c r="BP893" s="12"/>
      <c r="BQ893" s="48"/>
      <c r="BR893" s="49"/>
      <c r="BS893" s="13"/>
      <c r="BT893" s="12"/>
      <c r="BV893" s="14"/>
      <c r="BW893" s="50"/>
      <c r="BX893" s="54"/>
      <c r="BY893" s="14"/>
      <c r="BZ893" s="14"/>
      <c r="CA893" s="14"/>
      <c r="CB893" s="14"/>
      <c r="CC893" s="14"/>
      <c r="CD893" s="14"/>
      <c r="CE893" s="14"/>
      <c r="CF893" s="15"/>
      <c r="CG893" s="14"/>
      <c r="CH893" s="14"/>
      <c r="CI893" s="50"/>
      <c r="CJ893" s="54"/>
      <c r="CK893" s="14"/>
      <c r="CL893" s="14"/>
      <c r="CM893" s="14"/>
      <c r="CN893" s="14"/>
      <c r="CO893" s="14"/>
      <c r="CP893" s="14"/>
      <c r="CQ893" s="14"/>
      <c r="CR893" s="14"/>
      <c r="CS893" s="14"/>
      <c r="CT893" s="14"/>
      <c r="CU893" s="16"/>
      <c r="CV893" s="14"/>
      <c r="CW893" s="50"/>
      <c r="CX893" s="17"/>
    </row>
    <row r="894" spans="4:102" x14ac:dyDescent="0.25"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43"/>
      <c r="Q894" s="11"/>
      <c r="R894" s="11"/>
      <c r="S894" s="11"/>
      <c r="T894" s="11"/>
      <c r="U894" s="11"/>
      <c r="V894" s="11"/>
      <c r="W894" s="11"/>
      <c r="X894" s="12"/>
      <c r="Y894" s="12"/>
      <c r="Z894" s="12"/>
      <c r="AA894" s="44"/>
      <c r="AB894" s="45"/>
      <c r="AC894" s="12"/>
      <c r="AD894" s="12"/>
      <c r="AE894" s="12"/>
      <c r="AF894" s="12"/>
      <c r="AG894" s="44"/>
      <c r="AH894" s="45"/>
      <c r="AI894" s="12"/>
      <c r="AJ894" s="12"/>
      <c r="AK894" s="12"/>
      <c r="AL894" s="12"/>
      <c r="AM894" s="44"/>
      <c r="AN894" s="45"/>
      <c r="AO894" s="12"/>
      <c r="AP894" s="12"/>
      <c r="AQ894" s="12"/>
      <c r="AR894" s="12"/>
      <c r="AS894" s="44"/>
      <c r="AT894" s="45"/>
      <c r="AU894" s="12"/>
      <c r="AV894" s="12"/>
      <c r="AW894" s="12"/>
      <c r="AX894" s="12"/>
      <c r="AY894" s="44"/>
      <c r="AZ894" s="45"/>
      <c r="BA894" s="12"/>
      <c r="BB894" s="12"/>
      <c r="BC894" s="12"/>
      <c r="BD894" s="12"/>
      <c r="BE894" s="44"/>
      <c r="BF894" s="45"/>
      <c r="BG894" s="12"/>
      <c r="BH894" s="12"/>
      <c r="BI894" s="12"/>
      <c r="BJ894" s="12"/>
      <c r="BK894" s="44"/>
      <c r="BL894" s="45"/>
      <c r="BM894" s="12"/>
      <c r="BN894" s="12"/>
      <c r="BO894" s="12"/>
      <c r="BP894" s="12"/>
      <c r="BQ894" s="48"/>
      <c r="BR894" s="49"/>
      <c r="BS894" s="13"/>
      <c r="BT894" s="12"/>
      <c r="BV894" s="14"/>
      <c r="BW894" s="50"/>
      <c r="BX894" s="54"/>
      <c r="BY894" s="14"/>
      <c r="BZ894" s="14"/>
      <c r="CA894" s="14"/>
      <c r="CB894" s="14"/>
      <c r="CC894" s="14"/>
      <c r="CD894" s="14"/>
      <c r="CE894" s="14"/>
      <c r="CF894" s="15"/>
      <c r="CG894" s="14"/>
      <c r="CH894" s="14"/>
      <c r="CI894" s="50"/>
      <c r="CJ894" s="54"/>
      <c r="CK894" s="14"/>
      <c r="CL894" s="14"/>
      <c r="CM894" s="14"/>
      <c r="CN894" s="14"/>
      <c r="CO894" s="14"/>
      <c r="CP894" s="14"/>
      <c r="CQ894" s="14"/>
      <c r="CR894" s="14"/>
      <c r="CS894" s="14"/>
      <c r="CT894" s="14"/>
      <c r="CU894" s="16"/>
      <c r="CV894" s="14"/>
      <c r="CW894" s="50"/>
      <c r="CX894" s="17"/>
    </row>
    <row r="895" spans="4:102" x14ac:dyDescent="0.25"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43"/>
      <c r="Q895" s="11"/>
      <c r="R895" s="11"/>
      <c r="S895" s="11"/>
      <c r="T895" s="11"/>
      <c r="U895" s="11"/>
      <c r="V895" s="11"/>
      <c r="W895" s="11"/>
      <c r="X895" s="12"/>
      <c r="Y895" s="12"/>
      <c r="Z895" s="12"/>
      <c r="AA895" s="44"/>
      <c r="AB895" s="45"/>
      <c r="AC895" s="12"/>
      <c r="AD895" s="12"/>
      <c r="AE895" s="12"/>
      <c r="AF895" s="12"/>
      <c r="AG895" s="44"/>
      <c r="AH895" s="45"/>
      <c r="AI895" s="12"/>
      <c r="AJ895" s="12"/>
      <c r="AK895" s="12"/>
      <c r="AL895" s="12"/>
      <c r="AM895" s="44"/>
      <c r="AN895" s="45"/>
      <c r="AO895" s="12"/>
      <c r="AP895" s="12"/>
      <c r="AQ895" s="12"/>
      <c r="AR895" s="12"/>
      <c r="AS895" s="44"/>
      <c r="AT895" s="45"/>
      <c r="AU895" s="12"/>
      <c r="AV895" s="12"/>
      <c r="AW895" s="12"/>
      <c r="AX895" s="12"/>
      <c r="AY895" s="44"/>
      <c r="AZ895" s="45"/>
      <c r="BA895" s="12"/>
      <c r="BB895" s="12"/>
      <c r="BC895" s="12"/>
      <c r="BD895" s="12"/>
      <c r="BE895" s="44"/>
      <c r="BF895" s="45"/>
      <c r="BG895" s="12"/>
      <c r="BH895" s="12"/>
      <c r="BI895" s="12"/>
      <c r="BJ895" s="12"/>
      <c r="BK895" s="44"/>
      <c r="BL895" s="45"/>
      <c r="BM895" s="12"/>
      <c r="BN895" s="12"/>
      <c r="BO895" s="12"/>
      <c r="BP895" s="12"/>
      <c r="BQ895" s="48"/>
      <c r="BR895" s="49"/>
      <c r="BS895" s="13"/>
      <c r="BT895" s="12"/>
      <c r="BV895" s="14"/>
      <c r="BW895" s="50"/>
      <c r="BX895" s="54"/>
      <c r="BY895" s="14"/>
      <c r="BZ895" s="14"/>
      <c r="CA895" s="14"/>
      <c r="CB895" s="14"/>
      <c r="CC895" s="14"/>
      <c r="CD895" s="14"/>
      <c r="CE895" s="14"/>
      <c r="CF895" s="15"/>
      <c r="CG895" s="14"/>
      <c r="CH895" s="14"/>
      <c r="CI895" s="50"/>
      <c r="CJ895" s="54"/>
      <c r="CK895" s="14"/>
      <c r="CL895" s="14"/>
      <c r="CM895" s="14"/>
      <c r="CN895" s="14"/>
      <c r="CO895" s="14"/>
      <c r="CP895" s="14"/>
      <c r="CQ895" s="14"/>
      <c r="CR895" s="14"/>
      <c r="CS895" s="14"/>
      <c r="CT895" s="14"/>
      <c r="CU895" s="16"/>
      <c r="CV895" s="14"/>
      <c r="CW895" s="50"/>
      <c r="CX895" s="17"/>
    </row>
    <row r="896" spans="4:102" x14ac:dyDescent="0.25"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43"/>
      <c r="Q896" s="11"/>
      <c r="R896" s="11"/>
      <c r="S896" s="11"/>
      <c r="T896" s="11"/>
      <c r="U896" s="11"/>
      <c r="V896" s="11"/>
      <c r="W896" s="11"/>
      <c r="X896" s="12"/>
      <c r="Y896" s="12"/>
      <c r="Z896" s="12"/>
      <c r="AA896" s="44"/>
      <c r="AB896" s="45"/>
      <c r="AC896" s="12"/>
      <c r="AD896" s="12"/>
      <c r="AE896" s="12"/>
      <c r="AF896" s="12"/>
      <c r="AG896" s="44"/>
      <c r="AH896" s="45"/>
      <c r="AI896" s="12"/>
      <c r="AJ896" s="12"/>
      <c r="AK896" s="12"/>
      <c r="AL896" s="12"/>
      <c r="AM896" s="44"/>
      <c r="AN896" s="45"/>
      <c r="AO896" s="12"/>
      <c r="AP896" s="12"/>
      <c r="AQ896" s="12"/>
      <c r="AR896" s="12"/>
      <c r="AS896" s="44"/>
      <c r="AT896" s="45"/>
      <c r="AU896" s="12"/>
      <c r="AV896" s="12"/>
      <c r="AW896" s="12"/>
      <c r="AX896" s="12"/>
      <c r="AY896" s="44"/>
      <c r="AZ896" s="45"/>
      <c r="BA896" s="12"/>
      <c r="BB896" s="12"/>
      <c r="BC896" s="12"/>
      <c r="BD896" s="12"/>
      <c r="BE896" s="44"/>
      <c r="BF896" s="45"/>
      <c r="BG896" s="12"/>
      <c r="BH896" s="12"/>
      <c r="BI896" s="12"/>
      <c r="BJ896" s="12"/>
      <c r="BK896" s="44"/>
      <c r="BL896" s="45"/>
      <c r="BM896" s="12"/>
      <c r="BN896" s="12"/>
      <c r="BO896" s="12"/>
      <c r="BP896" s="12"/>
      <c r="BQ896" s="48"/>
      <c r="BR896" s="49"/>
      <c r="BS896" s="13"/>
      <c r="BT896" s="12"/>
      <c r="BV896" s="14"/>
      <c r="BW896" s="50"/>
      <c r="BX896" s="54"/>
      <c r="BY896" s="14"/>
      <c r="BZ896" s="14"/>
      <c r="CA896" s="14"/>
      <c r="CB896" s="14"/>
      <c r="CC896" s="14"/>
      <c r="CD896" s="14"/>
      <c r="CE896" s="14"/>
      <c r="CF896" s="15"/>
      <c r="CG896" s="14"/>
      <c r="CH896" s="14"/>
      <c r="CI896" s="50"/>
      <c r="CJ896" s="54"/>
      <c r="CK896" s="14"/>
      <c r="CL896" s="14"/>
      <c r="CM896" s="14"/>
      <c r="CN896" s="14"/>
      <c r="CO896" s="14"/>
      <c r="CP896" s="14"/>
      <c r="CQ896" s="14"/>
      <c r="CR896" s="14"/>
      <c r="CS896" s="14"/>
      <c r="CT896" s="14"/>
      <c r="CU896" s="16"/>
      <c r="CV896" s="14"/>
      <c r="CW896" s="50"/>
      <c r="CX896" s="17"/>
    </row>
    <row r="897" spans="4:102" x14ac:dyDescent="0.25"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43"/>
      <c r="Q897" s="11"/>
      <c r="R897" s="11"/>
      <c r="S897" s="11"/>
      <c r="T897" s="11"/>
      <c r="U897" s="11"/>
      <c r="V897" s="11"/>
      <c r="W897" s="11"/>
      <c r="X897" s="12"/>
      <c r="Y897" s="12"/>
      <c r="Z897" s="12"/>
      <c r="AA897" s="44"/>
      <c r="AB897" s="45"/>
      <c r="AC897" s="12"/>
      <c r="AD897" s="12"/>
      <c r="AE897" s="12"/>
      <c r="AF897" s="12"/>
      <c r="AG897" s="44"/>
      <c r="AH897" s="45"/>
      <c r="AI897" s="12"/>
      <c r="AJ897" s="12"/>
      <c r="AK897" s="12"/>
      <c r="AL897" s="12"/>
      <c r="AM897" s="44"/>
      <c r="AN897" s="45"/>
      <c r="AO897" s="12"/>
      <c r="AP897" s="12"/>
      <c r="AQ897" s="12"/>
      <c r="AR897" s="12"/>
      <c r="AS897" s="44"/>
      <c r="AT897" s="45"/>
      <c r="AU897" s="12"/>
      <c r="AV897" s="12"/>
      <c r="AW897" s="12"/>
      <c r="AX897" s="12"/>
      <c r="AY897" s="44"/>
      <c r="AZ897" s="45"/>
      <c r="BA897" s="12"/>
      <c r="BB897" s="12"/>
      <c r="BC897" s="12"/>
      <c r="BD897" s="12"/>
      <c r="BE897" s="44"/>
      <c r="BF897" s="45"/>
      <c r="BG897" s="12"/>
      <c r="BH897" s="12"/>
      <c r="BI897" s="12"/>
      <c r="BJ897" s="12"/>
      <c r="BK897" s="44"/>
      <c r="BL897" s="45"/>
      <c r="BM897" s="12"/>
      <c r="BN897" s="12"/>
      <c r="BO897" s="12"/>
      <c r="BP897" s="12"/>
      <c r="BQ897" s="48"/>
      <c r="BR897" s="49"/>
      <c r="BS897" s="13"/>
      <c r="BT897" s="12"/>
      <c r="BV897" s="14"/>
      <c r="BW897" s="50"/>
      <c r="BX897" s="54"/>
      <c r="BY897" s="14"/>
      <c r="BZ897" s="14"/>
      <c r="CA897" s="14"/>
      <c r="CB897" s="14"/>
      <c r="CC897" s="14"/>
      <c r="CD897" s="14"/>
      <c r="CE897" s="14"/>
      <c r="CF897" s="15"/>
      <c r="CG897" s="14"/>
      <c r="CH897" s="14"/>
      <c r="CI897" s="50"/>
      <c r="CJ897" s="54"/>
      <c r="CK897" s="14"/>
      <c r="CL897" s="14"/>
      <c r="CM897" s="14"/>
      <c r="CN897" s="14"/>
      <c r="CO897" s="14"/>
      <c r="CP897" s="14"/>
      <c r="CQ897" s="14"/>
      <c r="CR897" s="14"/>
      <c r="CS897" s="14"/>
      <c r="CT897" s="14"/>
      <c r="CU897" s="16"/>
      <c r="CV897" s="14"/>
      <c r="CW897" s="50"/>
      <c r="CX897" s="17"/>
    </row>
    <row r="898" spans="4:102" x14ac:dyDescent="0.25"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43"/>
      <c r="Q898" s="11"/>
      <c r="R898" s="11"/>
      <c r="S898" s="11"/>
      <c r="T898" s="11"/>
      <c r="U898" s="11"/>
      <c r="V898" s="11"/>
      <c r="W898" s="11"/>
      <c r="X898" s="12"/>
      <c r="Y898" s="12"/>
      <c r="Z898" s="12"/>
      <c r="AA898" s="44"/>
      <c r="AB898" s="45"/>
      <c r="AC898" s="12"/>
      <c r="AD898" s="12"/>
      <c r="AE898" s="12"/>
      <c r="AF898" s="12"/>
      <c r="AG898" s="44"/>
      <c r="AH898" s="45"/>
      <c r="AI898" s="12"/>
      <c r="AJ898" s="12"/>
      <c r="AK898" s="12"/>
      <c r="AL898" s="12"/>
      <c r="AM898" s="44"/>
      <c r="AN898" s="45"/>
      <c r="AO898" s="12"/>
      <c r="AP898" s="12"/>
      <c r="AQ898" s="12"/>
      <c r="AR898" s="12"/>
      <c r="AS898" s="44"/>
      <c r="AT898" s="45"/>
      <c r="AU898" s="12"/>
      <c r="AV898" s="12"/>
      <c r="AW898" s="12"/>
      <c r="AX898" s="12"/>
      <c r="AY898" s="44"/>
      <c r="AZ898" s="45"/>
      <c r="BA898" s="12"/>
      <c r="BB898" s="12"/>
      <c r="BC898" s="12"/>
      <c r="BD898" s="12"/>
      <c r="BE898" s="44"/>
      <c r="BF898" s="45"/>
      <c r="BG898" s="12"/>
      <c r="BH898" s="12"/>
      <c r="BI898" s="12"/>
      <c r="BJ898" s="12"/>
      <c r="BK898" s="44"/>
      <c r="BL898" s="45"/>
      <c r="BM898" s="12"/>
      <c r="BN898" s="12"/>
      <c r="BO898" s="12"/>
      <c r="BP898" s="12"/>
      <c r="BQ898" s="48"/>
      <c r="BR898" s="49"/>
      <c r="BS898" s="13"/>
      <c r="BT898" s="12"/>
      <c r="BV898" s="14"/>
      <c r="BW898" s="50"/>
      <c r="BX898" s="54"/>
      <c r="BY898" s="14"/>
      <c r="BZ898" s="14"/>
      <c r="CA898" s="14"/>
      <c r="CB898" s="14"/>
      <c r="CC898" s="14"/>
      <c r="CD898" s="14"/>
      <c r="CE898" s="14"/>
      <c r="CF898" s="15"/>
      <c r="CG898" s="14"/>
      <c r="CH898" s="14"/>
      <c r="CI898" s="50"/>
      <c r="CJ898" s="54"/>
      <c r="CK898" s="14"/>
      <c r="CL898" s="14"/>
      <c r="CM898" s="14"/>
      <c r="CN898" s="14"/>
      <c r="CO898" s="14"/>
      <c r="CP898" s="14"/>
      <c r="CQ898" s="14"/>
      <c r="CR898" s="14"/>
      <c r="CS898" s="14"/>
      <c r="CT898" s="14"/>
      <c r="CU898" s="16"/>
      <c r="CV898" s="14"/>
      <c r="CW898" s="50"/>
      <c r="CX898" s="17"/>
    </row>
    <row r="899" spans="4:102" x14ac:dyDescent="0.25"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43"/>
      <c r="Q899" s="11"/>
      <c r="R899" s="11"/>
      <c r="S899" s="11"/>
      <c r="T899" s="11"/>
      <c r="U899" s="11"/>
      <c r="V899" s="11"/>
      <c r="W899" s="11"/>
      <c r="X899" s="12"/>
      <c r="Y899" s="12"/>
      <c r="Z899" s="12"/>
      <c r="AA899" s="44"/>
      <c r="AB899" s="45"/>
      <c r="AC899" s="12"/>
      <c r="AD899" s="12"/>
      <c r="AE899" s="12"/>
      <c r="AF899" s="12"/>
      <c r="AG899" s="44"/>
      <c r="AH899" s="45"/>
      <c r="AI899" s="12"/>
      <c r="AJ899" s="12"/>
      <c r="AK899" s="12"/>
      <c r="AL899" s="12"/>
      <c r="AM899" s="44"/>
      <c r="AN899" s="45"/>
      <c r="AO899" s="12"/>
      <c r="AP899" s="12"/>
      <c r="AQ899" s="12"/>
      <c r="AR899" s="12"/>
      <c r="AS899" s="44"/>
      <c r="AT899" s="45"/>
      <c r="AU899" s="12"/>
      <c r="AV899" s="12"/>
      <c r="AW899" s="12"/>
      <c r="AX899" s="12"/>
      <c r="AY899" s="44"/>
      <c r="AZ899" s="45"/>
      <c r="BA899" s="12"/>
      <c r="BB899" s="12"/>
      <c r="BC899" s="12"/>
      <c r="BD899" s="12"/>
      <c r="BE899" s="44"/>
      <c r="BF899" s="45"/>
      <c r="BG899" s="12"/>
      <c r="BH899" s="12"/>
      <c r="BI899" s="12"/>
      <c r="BJ899" s="12"/>
      <c r="BK899" s="44"/>
      <c r="BL899" s="45"/>
      <c r="BM899" s="12"/>
      <c r="BN899" s="12"/>
      <c r="BO899" s="12"/>
      <c r="BP899" s="12"/>
      <c r="BQ899" s="48"/>
      <c r="BR899" s="49"/>
      <c r="BS899" s="13"/>
      <c r="BT899" s="12"/>
      <c r="BV899" s="14"/>
      <c r="BW899" s="50"/>
      <c r="BX899" s="54"/>
      <c r="BY899" s="14"/>
      <c r="BZ899" s="14"/>
      <c r="CA899" s="14"/>
      <c r="CB899" s="14"/>
      <c r="CC899" s="14"/>
      <c r="CD899" s="14"/>
      <c r="CE899" s="14"/>
      <c r="CF899" s="15"/>
      <c r="CG899" s="14"/>
      <c r="CH899" s="14"/>
      <c r="CI899" s="50"/>
      <c r="CJ899" s="54"/>
      <c r="CK899" s="14"/>
      <c r="CL899" s="14"/>
      <c r="CM899" s="14"/>
      <c r="CN899" s="14"/>
      <c r="CO899" s="14"/>
      <c r="CP899" s="14"/>
      <c r="CQ899" s="14"/>
      <c r="CR899" s="14"/>
      <c r="CS899" s="14"/>
      <c r="CT899" s="14"/>
      <c r="CU899" s="16"/>
      <c r="CV899" s="14"/>
      <c r="CW899" s="50"/>
      <c r="CX899" s="17"/>
    </row>
    <row r="900" spans="4:102" x14ac:dyDescent="0.25"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43"/>
      <c r="Q900" s="11"/>
      <c r="R900" s="11"/>
      <c r="S900" s="11"/>
      <c r="T900" s="11"/>
      <c r="U900" s="11"/>
      <c r="V900" s="11"/>
      <c r="W900" s="11"/>
      <c r="X900" s="12"/>
      <c r="Y900" s="12"/>
      <c r="Z900" s="12"/>
      <c r="AA900" s="44"/>
      <c r="AB900" s="45"/>
      <c r="AC900" s="12"/>
      <c r="AD900" s="12"/>
      <c r="AE900" s="12"/>
      <c r="AF900" s="12"/>
      <c r="AG900" s="44"/>
      <c r="AH900" s="45"/>
      <c r="AI900" s="12"/>
      <c r="AJ900" s="12"/>
      <c r="AK900" s="12"/>
      <c r="AL900" s="12"/>
      <c r="AM900" s="44"/>
      <c r="AN900" s="45"/>
      <c r="AO900" s="12"/>
      <c r="AP900" s="12"/>
      <c r="AQ900" s="12"/>
      <c r="AR900" s="12"/>
      <c r="AS900" s="44"/>
      <c r="AT900" s="45"/>
      <c r="AU900" s="12"/>
      <c r="AV900" s="12"/>
      <c r="AW900" s="12"/>
      <c r="AX900" s="12"/>
      <c r="AY900" s="44"/>
      <c r="AZ900" s="45"/>
      <c r="BA900" s="12"/>
      <c r="BB900" s="12"/>
      <c r="BC900" s="12"/>
      <c r="BD900" s="12"/>
      <c r="BE900" s="44"/>
      <c r="BF900" s="45"/>
      <c r="BG900" s="12"/>
      <c r="BH900" s="12"/>
      <c r="BI900" s="12"/>
      <c r="BJ900" s="12"/>
      <c r="BK900" s="44"/>
      <c r="BL900" s="45"/>
      <c r="BM900" s="12"/>
      <c r="BN900" s="12"/>
      <c r="BO900" s="12"/>
      <c r="BP900" s="12"/>
      <c r="BQ900" s="48"/>
      <c r="BR900" s="49"/>
      <c r="BS900" s="13"/>
      <c r="BT900" s="12"/>
      <c r="BV900" s="14"/>
      <c r="BW900" s="50"/>
      <c r="BX900" s="54"/>
      <c r="BY900" s="14"/>
      <c r="BZ900" s="14"/>
      <c r="CA900" s="14"/>
      <c r="CB900" s="14"/>
      <c r="CC900" s="14"/>
      <c r="CD900" s="14"/>
      <c r="CE900" s="14"/>
      <c r="CF900" s="15"/>
      <c r="CG900" s="14"/>
      <c r="CH900" s="14"/>
      <c r="CI900" s="50"/>
      <c r="CJ900" s="54"/>
      <c r="CK900" s="14"/>
      <c r="CL900" s="14"/>
      <c r="CM900" s="14"/>
      <c r="CN900" s="14"/>
      <c r="CO900" s="14"/>
      <c r="CP900" s="14"/>
      <c r="CQ900" s="14"/>
      <c r="CR900" s="14"/>
      <c r="CS900" s="14"/>
      <c r="CT900" s="14"/>
      <c r="CU900" s="16"/>
      <c r="CV900" s="14"/>
      <c r="CW900" s="50"/>
      <c r="CX900" s="17"/>
    </row>
    <row r="901" spans="4:102" x14ac:dyDescent="0.25"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43"/>
      <c r="Q901" s="11"/>
      <c r="R901" s="11"/>
      <c r="S901" s="11"/>
      <c r="T901" s="11"/>
      <c r="U901" s="11"/>
      <c r="V901" s="11"/>
      <c r="W901" s="11"/>
      <c r="X901" s="12"/>
      <c r="Y901" s="12"/>
      <c r="Z901" s="12"/>
      <c r="AA901" s="44"/>
      <c r="AB901" s="45"/>
      <c r="AC901" s="12"/>
      <c r="AD901" s="12"/>
      <c r="AE901" s="12"/>
      <c r="AF901" s="12"/>
      <c r="AG901" s="44"/>
      <c r="AH901" s="45"/>
      <c r="AI901" s="12"/>
      <c r="AJ901" s="12"/>
      <c r="AK901" s="12"/>
      <c r="AL901" s="12"/>
      <c r="AM901" s="44"/>
      <c r="AN901" s="45"/>
      <c r="AO901" s="12"/>
      <c r="AP901" s="12"/>
      <c r="AQ901" s="12"/>
      <c r="AR901" s="12"/>
      <c r="AS901" s="44"/>
      <c r="AT901" s="45"/>
      <c r="AU901" s="12"/>
      <c r="AV901" s="12"/>
      <c r="AW901" s="12"/>
      <c r="AX901" s="12"/>
      <c r="AY901" s="44"/>
      <c r="AZ901" s="45"/>
      <c r="BA901" s="12"/>
      <c r="BB901" s="12"/>
      <c r="BC901" s="12"/>
      <c r="BD901" s="12"/>
      <c r="BE901" s="44"/>
      <c r="BF901" s="45"/>
      <c r="BG901" s="12"/>
      <c r="BH901" s="12"/>
      <c r="BI901" s="12"/>
      <c r="BJ901" s="12"/>
      <c r="BK901" s="44"/>
      <c r="BL901" s="45"/>
      <c r="BM901" s="12"/>
      <c r="BN901" s="12"/>
      <c r="BO901" s="12"/>
      <c r="BP901" s="12"/>
      <c r="BQ901" s="48"/>
      <c r="BR901" s="49"/>
      <c r="BS901" s="13"/>
      <c r="BT901" s="12"/>
      <c r="BV901" s="14"/>
      <c r="BW901" s="50"/>
      <c r="BX901" s="54"/>
      <c r="BY901" s="14"/>
      <c r="BZ901" s="14"/>
      <c r="CA901" s="14"/>
      <c r="CB901" s="14"/>
      <c r="CC901" s="14"/>
      <c r="CD901" s="14"/>
      <c r="CE901" s="14"/>
      <c r="CF901" s="15"/>
      <c r="CG901" s="14"/>
      <c r="CH901" s="14"/>
      <c r="CI901" s="50"/>
      <c r="CJ901" s="54"/>
      <c r="CK901" s="14"/>
      <c r="CL901" s="14"/>
      <c r="CM901" s="14"/>
      <c r="CN901" s="14"/>
      <c r="CO901" s="14"/>
      <c r="CP901" s="14"/>
      <c r="CQ901" s="14"/>
      <c r="CR901" s="14"/>
      <c r="CS901" s="14"/>
      <c r="CT901" s="14"/>
      <c r="CU901" s="16"/>
      <c r="CV901" s="14"/>
      <c r="CW901" s="50"/>
      <c r="CX901" s="17"/>
    </row>
    <row r="902" spans="4:102" x14ac:dyDescent="0.25"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43"/>
      <c r="Q902" s="11"/>
      <c r="R902" s="11"/>
      <c r="S902" s="11"/>
      <c r="T902" s="11"/>
      <c r="U902" s="11"/>
      <c r="V902" s="11"/>
      <c r="W902" s="11"/>
      <c r="X902" s="12"/>
      <c r="Y902" s="12"/>
      <c r="Z902" s="12"/>
      <c r="AA902" s="44"/>
      <c r="AB902" s="45"/>
      <c r="AC902" s="12"/>
      <c r="AD902" s="12"/>
      <c r="AE902" s="12"/>
      <c r="AF902" s="12"/>
      <c r="AG902" s="44"/>
      <c r="AH902" s="45"/>
      <c r="AI902" s="12"/>
      <c r="AJ902" s="12"/>
      <c r="AK902" s="12"/>
      <c r="AL902" s="12"/>
      <c r="AM902" s="44"/>
      <c r="AN902" s="45"/>
      <c r="AO902" s="12"/>
      <c r="AP902" s="12"/>
      <c r="AQ902" s="12"/>
      <c r="AR902" s="12"/>
      <c r="AS902" s="44"/>
      <c r="AT902" s="45"/>
      <c r="AU902" s="12"/>
      <c r="AV902" s="12"/>
      <c r="AW902" s="12"/>
      <c r="AX902" s="12"/>
      <c r="AY902" s="44"/>
      <c r="AZ902" s="45"/>
      <c r="BA902" s="12"/>
      <c r="BB902" s="12"/>
      <c r="BC902" s="12"/>
      <c r="BD902" s="12"/>
      <c r="BE902" s="44"/>
      <c r="BF902" s="45"/>
      <c r="BG902" s="12"/>
      <c r="BH902" s="12"/>
      <c r="BI902" s="12"/>
      <c r="BJ902" s="12"/>
      <c r="BK902" s="44"/>
      <c r="BL902" s="45"/>
      <c r="BM902" s="12"/>
      <c r="BN902" s="12"/>
      <c r="BO902" s="12"/>
      <c r="BP902" s="12"/>
      <c r="BQ902" s="48"/>
      <c r="BR902" s="49"/>
      <c r="BS902" s="13"/>
      <c r="BT902" s="12"/>
      <c r="BV902" s="14"/>
      <c r="BW902" s="50"/>
      <c r="BX902" s="54"/>
      <c r="BY902" s="14"/>
      <c r="BZ902" s="14"/>
      <c r="CA902" s="14"/>
      <c r="CB902" s="14"/>
      <c r="CC902" s="14"/>
      <c r="CD902" s="14"/>
      <c r="CE902" s="14"/>
      <c r="CF902" s="15"/>
      <c r="CG902" s="14"/>
      <c r="CH902" s="14"/>
      <c r="CI902" s="50"/>
      <c r="CJ902" s="54"/>
      <c r="CK902" s="14"/>
      <c r="CL902" s="14"/>
      <c r="CM902" s="14"/>
      <c r="CN902" s="14"/>
      <c r="CO902" s="14"/>
      <c r="CP902" s="14"/>
      <c r="CQ902" s="14"/>
      <c r="CR902" s="14"/>
      <c r="CS902" s="14"/>
      <c r="CT902" s="14"/>
      <c r="CU902" s="16"/>
      <c r="CV902" s="14"/>
      <c r="CW902" s="50"/>
      <c r="CX902" s="17"/>
    </row>
    <row r="903" spans="4:102" x14ac:dyDescent="0.25"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43"/>
      <c r="Q903" s="11"/>
      <c r="R903" s="11"/>
      <c r="S903" s="11"/>
      <c r="T903" s="11"/>
      <c r="U903" s="11"/>
      <c r="V903" s="11"/>
      <c r="W903" s="11"/>
      <c r="X903" s="12"/>
      <c r="Y903" s="12"/>
      <c r="Z903" s="12"/>
      <c r="AA903" s="44"/>
      <c r="AB903" s="45"/>
      <c r="AC903" s="12"/>
      <c r="AD903" s="12"/>
      <c r="AE903" s="12"/>
      <c r="AF903" s="12"/>
      <c r="AG903" s="44"/>
      <c r="AH903" s="45"/>
      <c r="AI903" s="12"/>
      <c r="AJ903" s="12"/>
      <c r="AK903" s="12"/>
      <c r="AL903" s="12"/>
      <c r="AM903" s="44"/>
      <c r="AN903" s="45"/>
      <c r="AO903" s="12"/>
      <c r="AP903" s="12"/>
      <c r="AQ903" s="12"/>
      <c r="AR903" s="12"/>
      <c r="AS903" s="44"/>
      <c r="AT903" s="45"/>
      <c r="AU903" s="12"/>
      <c r="AV903" s="12"/>
      <c r="AW903" s="12"/>
      <c r="AX903" s="12"/>
      <c r="AY903" s="44"/>
      <c r="AZ903" s="45"/>
      <c r="BA903" s="12"/>
      <c r="BB903" s="12"/>
      <c r="BC903" s="12"/>
      <c r="BD903" s="12"/>
      <c r="BE903" s="44"/>
      <c r="BF903" s="45"/>
      <c r="BG903" s="12"/>
      <c r="BH903" s="12"/>
      <c r="BI903" s="12"/>
      <c r="BJ903" s="12"/>
      <c r="BK903" s="44"/>
      <c r="BL903" s="45"/>
      <c r="BM903" s="12"/>
      <c r="BN903" s="12"/>
      <c r="BO903" s="12"/>
      <c r="BP903" s="12"/>
      <c r="BQ903" s="48"/>
      <c r="BR903" s="49"/>
      <c r="BS903" s="13"/>
      <c r="BT903" s="12"/>
      <c r="BV903" s="14"/>
      <c r="BW903" s="50"/>
      <c r="BX903" s="54"/>
      <c r="BY903" s="14"/>
      <c r="BZ903" s="14"/>
      <c r="CA903" s="14"/>
      <c r="CB903" s="14"/>
      <c r="CC903" s="14"/>
      <c r="CD903" s="14"/>
      <c r="CE903" s="14"/>
      <c r="CF903" s="15"/>
      <c r="CG903" s="14"/>
      <c r="CH903" s="14"/>
      <c r="CI903" s="50"/>
      <c r="CJ903" s="54"/>
      <c r="CK903" s="14"/>
      <c r="CL903" s="14"/>
      <c r="CM903" s="14"/>
      <c r="CN903" s="14"/>
      <c r="CO903" s="14"/>
      <c r="CP903" s="14"/>
      <c r="CQ903" s="14"/>
      <c r="CR903" s="14"/>
      <c r="CS903" s="14"/>
      <c r="CT903" s="14"/>
      <c r="CU903" s="16"/>
      <c r="CV903" s="14"/>
      <c r="CW903" s="50"/>
      <c r="CX903" s="17"/>
    </row>
    <row r="904" spans="4:102" x14ac:dyDescent="0.25"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43"/>
      <c r="Q904" s="11"/>
      <c r="R904" s="11"/>
      <c r="S904" s="11"/>
      <c r="T904" s="11"/>
      <c r="U904" s="11"/>
      <c r="V904" s="11"/>
      <c r="W904" s="11"/>
      <c r="X904" s="12"/>
      <c r="Y904" s="12"/>
      <c r="Z904" s="12"/>
      <c r="AA904" s="44"/>
      <c r="AB904" s="45"/>
      <c r="AC904" s="12"/>
      <c r="AD904" s="12"/>
      <c r="AE904" s="12"/>
      <c r="AF904" s="12"/>
      <c r="AG904" s="44"/>
      <c r="AH904" s="45"/>
      <c r="AI904" s="12"/>
      <c r="AJ904" s="12"/>
      <c r="AK904" s="12"/>
      <c r="AL904" s="12"/>
      <c r="AM904" s="44"/>
      <c r="AN904" s="45"/>
      <c r="AO904" s="12"/>
      <c r="AP904" s="12"/>
      <c r="AQ904" s="12"/>
      <c r="AR904" s="12"/>
      <c r="AS904" s="44"/>
      <c r="AT904" s="45"/>
      <c r="AU904" s="12"/>
      <c r="AV904" s="12"/>
      <c r="AW904" s="12"/>
      <c r="AX904" s="12"/>
      <c r="AY904" s="44"/>
      <c r="AZ904" s="45"/>
      <c r="BA904" s="12"/>
      <c r="BB904" s="12"/>
      <c r="BC904" s="12"/>
      <c r="BD904" s="12"/>
      <c r="BE904" s="44"/>
      <c r="BF904" s="45"/>
      <c r="BG904" s="12"/>
      <c r="BH904" s="12"/>
      <c r="BI904" s="12"/>
      <c r="BJ904" s="12"/>
      <c r="BK904" s="44"/>
      <c r="BL904" s="45"/>
      <c r="BM904" s="12"/>
      <c r="BN904" s="12"/>
      <c r="BO904" s="12"/>
      <c r="BP904" s="12"/>
      <c r="BQ904" s="48"/>
      <c r="BR904" s="49"/>
      <c r="BS904" s="13"/>
      <c r="BT904" s="12"/>
      <c r="BV904" s="14"/>
      <c r="BW904" s="50"/>
      <c r="BX904" s="54"/>
      <c r="BY904" s="14"/>
      <c r="BZ904" s="14"/>
      <c r="CA904" s="14"/>
      <c r="CB904" s="14"/>
      <c r="CC904" s="14"/>
      <c r="CD904" s="14"/>
      <c r="CE904" s="14"/>
      <c r="CF904" s="15"/>
      <c r="CG904" s="14"/>
      <c r="CH904" s="14"/>
      <c r="CI904" s="50"/>
      <c r="CJ904" s="54"/>
      <c r="CK904" s="14"/>
      <c r="CL904" s="14"/>
      <c r="CM904" s="14"/>
      <c r="CN904" s="14"/>
      <c r="CO904" s="14"/>
      <c r="CP904" s="14"/>
      <c r="CQ904" s="14"/>
      <c r="CR904" s="14"/>
      <c r="CS904" s="14"/>
      <c r="CT904" s="14"/>
      <c r="CU904" s="16"/>
      <c r="CV904" s="14"/>
      <c r="CW904" s="50"/>
      <c r="CX904" s="17"/>
    </row>
    <row r="905" spans="4:102" x14ac:dyDescent="0.25"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43"/>
      <c r="Q905" s="11"/>
      <c r="R905" s="11"/>
      <c r="S905" s="11"/>
      <c r="T905" s="11"/>
      <c r="U905" s="11"/>
      <c r="V905" s="11"/>
      <c r="W905" s="11"/>
      <c r="X905" s="12"/>
      <c r="Y905" s="12"/>
      <c r="Z905" s="12"/>
      <c r="AA905" s="44"/>
      <c r="AB905" s="45"/>
      <c r="AC905" s="12"/>
      <c r="AD905" s="12"/>
      <c r="AE905" s="12"/>
      <c r="AF905" s="12"/>
      <c r="AG905" s="44"/>
      <c r="AH905" s="45"/>
      <c r="AI905" s="12"/>
      <c r="AJ905" s="12"/>
      <c r="AK905" s="12"/>
      <c r="AL905" s="12"/>
      <c r="AM905" s="44"/>
      <c r="AN905" s="45"/>
      <c r="AO905" s="12"/>
      <c r="AP905" s="12"/>
      <c r="AQ905" s="12"/>
      <c r="AR905" s="12"/>
      <c r="AS905" s="44"/>
      <c r="AT905" s="45"/>
      <c r="AU905" s="12"/>
      <c r="AV905" s="12"/>
      <c r="AW905" s="12"/>
      <c r="AX905" s="12"/>
      <c r="AY905" s="44"/>
      <c r="AZ905" s="45"/>
      <c r="BA905" s="12"/>
      <c r="BB905" s="12"/>
      <c r="BC905" s="12"/>
      <c r="BD905" s="12"/>
      <c r="BE905" s="44"/>
      <c r="BF905" s="45"/>
      <c r="BG905" s="12"/>
      <c r="BH905" s="12"/>
      <c r="BI905" s="12"/>
      <c r="BJ905" s="12"/>
      <c r="BK905" s="44"/>
      <c r="BL905" s="45"/>
      <c r="BM905" s="12"/>
      <c r="BN905" s="12"/>
      <c r="BO905" s="12"/>
      <c r="BP905" s="12"/>
      <c r="BQ905" s="48"/>
      <c r="BR905" s="49"/>
      <c r="BS905" s="13"/>
      <c r="BT905" s="12"/>
      <c r="BV905" s="14"/>
      <c r="BW905" s="50"/>
      <c r="BX905" s="54"/>
      <c r="BY905" s="14"/>
      <c r="BZ905" s="14"/>
      <c r="CA905" s="14"/>
      <c r="CB905" s="14"/>
      <c r="CC905" s="14"/>
      <c r="CD905" s="14"/>
      <c r="CE905" s="14"/>
      <c r="CF905" s="15"/>
      <c r="CG905" s="14"/>
      <c r="CH905" s="14"/>
      <c r="CI905" s="50"/>
      <c r="CJ905" s="54"/>
      <c r="CK905" s="14"/>
      <c r="CL905" s="14"/>
      <c r="CM905" s="14"/>
      <c r="CN905" s="14"/>
      <c r="CO905" s="14"/>
      <c r="CP905" s="14"/>
      <c r="CQ905" s="14"/>
      <c r="CR905" s="14"/>
      <c r="CS905" s="14"/>
      <c r="CT905" s="14"/>
      <c r="CU905" s="16"/>
      <c r="CV905" s="14"/>
      <c r="CW905" s="50"/>
      <c r="CX905" s="17"/>
    </row>
    <row r="906" spans="4:102" x14ac:dyDescent="0.25"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43"/>
      <c r="Q906" s="11"/>
      <c r="R906" s="11"/>
      <c r="S906" s="11"/>
      <c r="T906" s="11"/>
      <c r="U906" s="11"/>
      <c r="V906" s="11"/>
      <c r="W906" s="11"/>
      <c r="X906" s="12"/>
      <c r="Y906" s="12"/>
      <c r="Z906" s="12"/>
      <c r="AA906" s="44"/>
      <c r="AB906" s="45"/>
      <c r="AC906" s="12"/>
      <c r="AD906" s="12"/>
      <c r="AE906" s="12"/>
      <c r="AF906" s="12"/>
      <c r="AG906" s="44"/>
      <c r="AH906" s="45"/>
      <c r="AI906" s="12"/>
      <c r="AJ906" s="12"/>
      <c r="AK906" s="12"/>
      <c r="AL906" s="12"/>
      <c r="AM906" s="44"/>
      <c r="AN906" s="45"/>
      <c r="AO906" s="12"/>
      <c r="AP906" s="12"/>
      <c r="AQ906" s="12"/>
      <c r="AR906" s="12"/>
      <c r="AS906" s="44"/>
      <c r="AT906" s="45"/>
      <c r="AU906" s="12"/>
      <c r="AV906" s="12"/>
      <c r="AW906" s="12"/>
      <c r="AX906" s="12"/>
      <c r="AY906" s="44"/>
      <c r="AZ906" s="45"/>
      <c r="BA906" s="12"/>
      <c r="BB906" s="12"/>
      <c r="BC906" s="12"/>
      <c r="BD906" s="12"/>
      <c r="BE906" s="44"/>
      <c r="BF906" s="45"/>
      <c r="BG906" s="12"/>
      <c r="BH906" s="12"/>
      <c r="BI906" s="12"/>
      <c r="BJ906" s="12"/>
      <c r="BK906" s="44"/>
      <c r="BL906" s="45"/>
      <c r="BM906" s="12"/>
      <c r="BN906" s="12"/>
      <c r="BO906" s="12"/>
      <c r="BP906" s="12"/>
      <c r="BQ906" s="48"/>
      <c r="BR906" s="49"/>
      <c r="BS906" s="13"/>
      <c r="BT906" s="12"/>
      <c r="BV906" s="14"/>
      <c r="BW906" s="50"/>
      <c r="BX906" s="54"/>
      <c r="BY906" s="14"/>
      <c r="BZ906" s="14"/>
      <c r="CA906" s="14"/>
      <c r="CB906" s="14"/>
      <c r="CC906" s="14"/>
      <c r="CD906" s="14"/>
      <c r="CE906" s="14"/>
      <c r="CF906" s="15"/>
      <c r="CG906" s="14"/>
      <c r="CH906" s="14"/>
      <c r="CI906" s="50"/>
      <c r="CJ906" s="54"/>
      <c r="CK906" s="14"/>
      <c r="CL906" s="14"/>
      <c r="CM906" s="14"/>
      <c r="CN906" s="14"/>
      <c r="CO906" s="14"/>
      <c r="CP906" s="14"/>
      <c r="CQ906" s="14"/>
      <c r="CR906" s="14"/>
      <c r="CS906" s="14"/>
      <c r="CT906" s="14"/>
      <c r="CU906" s="16"/>
      <c r="CV906" s="14"/>
      <c r="CW906" s="50"/>
      <c r="CX906" s="17"/>
    </row>
    <row r="907" spans="4:102" x14ac:dyDescent="0.25"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43"/>
      <c r="Q907" s="11"/>
      <c r="R907" s="11"/>
      <c r="S907" s="11"/>
      <c r="T907" s="11"/>
      <c r="U907" s="11"/>
      <c r="V907" s="11"/>
      <c r="W907" s="11"/>
      <c r="X907" s="12"/>
      <c r="Y907" s="12"/>
      <c r="Z907" s="12"/>
      <c r="AA907" s="44"/>
      <c r="AB907" s="45"/>
      <c r="AC907" s="12"/>
      <c r="AD907" s="12"/>
      <c r="AE907" s="12"/>
      <c r="AF907" s="12"/>
      <c r="AG907" s="44"/>
      <c r="AH907" s="45"/>
      <c r="AI907" s="12"/>
      <c r="AJ907" s="12"/>
      <c r="AK907" s="12"/>
      <c r="AL907" s="12"/>
      <c r="AM907" s="44"/>
      <c r="AN907" s="45"/>
      <c r="AO907" s="12"/>
      <c r="AP907" s="12"/>
      <c r="AQ907" s="12"/>
      <c r="AR907" s="12"/>
      <c r="AS907" s="44"/>
      <c r="AT907" s="45"/>
      <c r="AU907" s="12"/>
      <c r="AV907" s="12"/>
      <c r="AW907" s="12"/>
      <c r="AX907" s="12"/>
      <c r="AY907" s="44"/>
      <c r="AZ907" s="45"/>
      <c r="BA907" s="12"/>
      <c r="BB907" s="12"/>
      <c r="BC907" s="12"/>
      <c r="BD907" s="12"/>
      <c r="BE907" s="44"/>
      <c r="BF907" s="45"/>
      <c r="BG907" s="12"/>
      <c r="BH907" s="12"/>
      <c r="BI907" s="12"/>
      <c r="BJ907" s="12"/>
      <c r="BK907" s="44"/>
      <c r="BL907" s="45"/>
      <c r="BM907" s="12"/>
      <c r="BN907" s="12"/>
      <c r="BO907" s="12"/>
      <c r="BP907" s="12"/>
      <c r="BQ907" s="48"/>
      <c r="BR907" s="49"/>
      <c r="BS907" s="13"/>
      <c r="BT907" s="12"/>
      <c r="BV907" s="14"/>
      <c r="BW907" s="50"/>
      <c r="BX907" s="54"/>
      <c r="BY907" s="14"/>
      <c r="BZ907" s="14"/>
      <c r="CA907" s="14"/>
      <c r="CB907" s="14"/>
      <c r="CC907" s="14"/>
      <c r="CD907" s="14"/>
      <c r="CE907" s="14"/>
      <c r="CF907" s="15"/>
      <c r="CG907" s="14"/>
      <c r="CH907" s="14"/>
      <c r="CI907" s="50"/>
      <c r="CJ907" s="54"/>
      <c r="CK907" s="14"/>
      <c r="CL907" s="14"/>
      <c r="CM907" s="14"/>
      <c r="CN907" s="14"/>
      <c r="CO907" s="14"/>
      <c r="CP907" s="14"/>
      <c r="CQ907" s="14"/>
      <c r="CR907" s="14"/>
      <c r="CS907" s="14"/>
      <c r="CT907" s="14"/>
      <c r="CU907" s="16"/>
      <c r="CV907" s="14"/>
      <c r="CW907" s="50"/>
      <c r="CX907" s="17"/>
    </row>
    <row r="908" spans="4:102" x14ac:dyDescent="0.25"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43"/>
      <c r="Q908" s="11"/>
      <c r="R908" s="11"/>
      <c r="S908" s="11"/>
      <c r="T908" s="11"/>
      <c r="U908" s="11"/>
      <c r="V908" s="11"/>
      <c r="W908" s="11"/>
      <c r="X908" s="12"/>
      <c r="Y908" s="12"/>
      <c r="Z908" s="12"/>
      <c r="AA908" s="44"/>
      <c r="AB908" s="45"/>
      <c r="AC908" s="12"/>
      <c r="AD908" s="12"/>
      <c r="AE908" s="12"/>
      <c r="AF908" s="12"/>
      <c r="AG908" s="44"/>
      <c r="AH908" s="45"/>
      <c r="AI908" s="12"/>
      <c r="AJ908" s="12"/>
      <c r="AK908" s="12"/>
      <c r="AL908" s="12"/>
      <c r="AM908" s="44"/>
      <c r="AN908" s="45"/>
      <c r="AO908" s="12"/>
      <c r="AP908" s="12"/>
      <c r="AQ908" s="12"/>
      <c r="AR908" s="12"/>
      <c r="AS908" s="44"/>
      <c r="AT908" s="45"/>
      <c r="AU908" s="12"/>
      <c r="AV908" s="12"/>
      <c r="AW908" s="12"/>
      <c r="AX908" s="12"/>
      <c r="AY908" s="44"/>
      <c r="AZ908" s="45"/>
      <c r="BA908" s="12"/>
      <c r="BB908" s="12"/>
      <c r="BC908" s="12"/>
      <c r="BD908" s="12"/>
      <c r="BE908" s="44"/>
      <c r="BF908" s="45"/>
      <c r="BG908" s="12"/>
      <c r="BH908" s="12"/>
      <c r="BI908" s="12"/>
      <c r="BJ908" s="12"/>
      <c r="BK908" s="44"/>
      <c r="BL908" s="45"/>
      <c r="BM908" s="12"/>
      <c r="BN908" s="12"/>
      <c r="BO908" s="12"/>
      <c r="BP908" s="12"/>
      <c r="BQ908" s="48"/>
      <c r="BR908" s="49"/>
      <c r="BS908" s="13"/>
      <c r="BT908" s="12"/>
      <c r="BV908" s="14"/>
      <c r="BW908" s="50"/>
      <c r="BX908" s="54"/>
      <c r="BY908" s="14"/>
      <c r="BZ908" s="14"/>
      <c r="CA908" s="14"/>
      <c r="CB908" s="14"/>
      <c r="CC908" s="14"/>
      <c r="CD908" s="14"/>
      <c r="CE908" s="14"/>
      <c r="CF908" s="15"/>
      <c r="CG908" s="14"/>
      <c r="CH908" s="14"/>
      <c r="CI908" s="50"/>
      <c r="CJ908" s="54"/>
      <c r="CK908" s="14"/>
      <c r="CL908" s="14"/>
      <c r="CM908" s="14"/>
      <c r="CN908" s="14"/>
      <c r="CO908" s="14"/>
      <c r="CP908" s="14"/>
      <c r="CQ908" s="14"/>
      <c r="CR908" s="14"/>
      <c r="CS908" s="14"/>
      <c r="CT908" s="14"/>
      <c r="CU908" s="16"/>
      <c r="CV908" s="14"/>
      <c r="CW908" s="50"/>
      <c r="CX908" s="17"/>
    </row>
    <row r="909" spans="4:102" x14ac:dyDescent="0.25"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43"/>
      <c r="Q909" s="11"/>
      <c r="R909" s="11"/>
      <c r="S909" s="11"/>
      <c r="T909" s="11"/>
      <c r="U909" s="11"/>
      <c r="V909" s="11"/>
      <c r="W909" s="11"/>
      <c r="X909" s="12"/>
      <c r="Y909" s="12"/>
      <c r="Z909" s="12"/>
      <c r="AA909" s="44"/>
      <c r="AB909" s="45"/>
      <c r="AC909" s="12"/>
      <c r="AD909" s="12"/>
      <c r="AE909" s="12"/>
      <c r="AF909" s="12"/>
      <c r="AG909" s="44"/>
      <c r="AH909" s="45"/>
      <c r="AI909" s="12"/>
      <c r="AJ909" s="12"/>
      <c r="AK909" s="12"/>
      <c r="AL909" s="12"/>
      <c r="AM909" s="44"/>
      <c r="AN909" s="45"/>
      <c r="AO909" s="12"/>
      <c r="AP909" s="12"/>
      <c r="AQ909" s="12"/>
      <c r="AR909" s="12"/>
      <c r="AS909" s="44"/>
      <c r="AT909" s="45"/>
      <c r="AU909" s="12"/>
      <c r="AV909" s="12"/>
      <c r="AW909" s="12"/>
      <c r="AX909" s="12"/>
      <c r="AY909" s="44"/>
      <c r="AZ909" s="45"/>
      <c r="BA909" s="12"/>
      <c r="BB909" s="12"/>
      <c r="BC909" s="12"/>
      <c r="BD909" s="12"/>
      <c r="BE909" s="44"/>
      <c r="BF909" s="45"/>
      <c r="BG909" s="12"/>
      <c r="BH909" s="12"/>
      <c r="BI909" s="12"/>
      <c r="BJ909" s="12"/>
      <c r="BK909" s="44"/>
      <c r="BL909" s="45"/>
      <c r="BM909" s="12"/>
      <c r="BN909" s="12"/>
      <c r="BO909" s="12"/>
      <c r="BP909" s="12"/>
      <c r="BQ909" s="48"/>
      <c r="BR909" s="49"/>
      <c r="BS909" s="13"/>
      <c r="BT909" s="12"/>
      <c r="BV909" s="14"/>
      <c r="BW909" s="50"/>
      <c r="BX909" s="54"/>
      <c r="BY909" s="14"/>
      <c r="BZ909" s="14"/>
      <c r="CA909" s="14"/>
      <c r="CB909" s="14"/>
      <c r="CC909" s="14"/>
      <c r="CD909" s="14"/>
      <c r="CE909" s="14"/>
      <c r="CF909" s="15"/>
      <c r="CG909" s="14"/>
      <c r="CH909" s="14"/>
      <c r="CI909" s="50"/>
      <c r="CJ909" s="54"/>
      <c r="CK909" s="14"/>
      <c r="CL909" s="14"/>
      <c r="CM909" s="14"/>
      <c r="CN909" s="14"/>
      <c r="CO909" s="14"/>
      <c r="CP909" s="14"/>
      <c r="CQ909" s="14"/>
      <c r="CR909" s="14"/>
      <c r="CS909" s="14"/>
      <c r="CT909" s="14"/>
      <c r="CU909" s="16"/>
      <c r="CV909" s="14"/>
      <c r="CW909" s="50"/>
      <c r="CX909" s="17"/>
    </row>
    <row r="910" spans="4:102" x14ac:dyDescent="0.25"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43"/>
      <c r="Q910" s="11"/>
      <c r="R910" s="11"/>
      <c r="S910" s="11"/>
      <c r="T910" s="11"/>
      <c r="U910" s="11"/>
      <c r="V910" s="11"/>
      <c r="W910" s="11"/>
      <c r="X910" s="12"/>
      <c r="Y910" s="12"/>
      <c r="Z910" s="12"/>
      <c r="AA910" s="44"/>
      <c r="AB910" s="45"/>
      <c r="AC910" s="12"/>
      <c r="AD910" s="12"/>
      <c r="AE910" s="12"/>
      <c r="AF910" s="12"/>
      <c r="AG910" s="44"/>
      <c r="AH910" s="45"/>
      <c r="AI910" s="12"/>
      <c r="AJ910" s="12"/>
      <c r="AK910" s="12"/>
      <c r="AL910" s="12"/>
      <c r="AM910" s="44"/>
      <c r="AN910" s="45"/>
      <c r="AO910" s="12"/>
      <c r="AP910" s="12"/>
      <c r="AQ910" s="12"/>
      <c r="AR910" s="12"/>
      <c r="AS910" s="44"/>
      <c r="AT910" s="45"/>
      <c r="AU910" s="12"/>
      <c r="AV910" s="12"/>
      <c r="AW910" s="12"/>
      <c r="AX910" s="12"/>
      <c r="AY910" s="44"/>
      <c r="AZ910" s="45"/>
      <c r="BA910" s="12"/>
      <c r="BB910" s="12"/>
      <c r="BC910" s="12"/>
      <c r="BD910" s="12"/>
      <c r="BE910" s="44"/>
      <c r="BF910" s="45"/>
      <c r="BG910" s="12"/>
      <c r="BH910" s="12"/>
      <c r="BI910" s="12"/>
      <c r="BJ910" s="12"/>
      <c r="BK910" s="44"/>
      <c r="BL910" s="45"/>
      <c r="BM910" s="12"/>
      <c r="BN910" s="12"/>
      <c r="BO910" s="12"/>
      <c r="BP910" s="12"/>
      <c r="BQ910" s="48"/>
      <c r="BR910" s="49"/>
      <c r="BS910" s="13"/>
      <c r="BT910" s="12"/>
      <c r="BV910" s="14"/>
      <c r="BW910" s="50"/>
      <c r="BX910" s="54"/>
      <c r="BY910" s="14"/>
      <c r="BZ910" s="14"/>
      <c r="CA910" s="14"/>
      <c r="CB910" s="14"/>
      <c r="CC910" s="14"/>
      <c r="CD910" s="14"/>
      <c r="CE910" s="14"/>
      <c r="CF910" s="15"/>
      <c r="CG910" s="14"/>
      <c r="CH910" s="14"/>
      <c r="CI910" s="50"/>
      <c r="CJ910" s="54"/>
      <c r="CK910" s="14"/>
      <c r="CL910" s="14"/>
      <c r="CM910" s="14"/>
      <c r="CN910" s="14"/>
      <c r="CO910" s="14"/>
      <c r="CP910" s="14"/>
      <c r="CQ910" s="14"/>
      <c r="CR910" s="14"/>
      <c r="CS910" s="14"/>
      <c r="CT910" s="14"/>
      <c r="CU910" s="16"/>
      <c r="CV910" s="14"/>
      <c r="CW910" s="50"/>
      <c r="CX910" s="17"/>
    </row>
    <row r="911" spans="4:102" x14ac:dyDescent="0.25"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43"/>
      <c r="Q911" s="11"/>
      <c r="R911" s="11"/>
      <c r="S911" s="11"/>
      <c r="T911" s="11"/>
      <c r="U911" s="11"/>
      <c r="V911" s="11"/>
      <c r="W911" s="11"/>
      <c r="X911" s="12"/>
      <c r="Y911" s="12"/>
      <c r="Z911" s="12"/>
      <c r="AA911" s="44"/>
      <c r="AB911" s="45"/>
      <c r="AC911" s="12"/>
      <c r="AD911" s="12"/>
      <c r="AE911" s="12"/>
      <c r="AF911" s="12"/>
      <c r="AG911" s="44"/>
      <c r="AH911" s="45"/>
      <c r="AI911" s="12"/>
      <c r="AJ911" s="12"/>
      <c r="AK911" s="12"/>
      <c r="AL911" s="12"/>
      <c r="AM911" s="44"/>
      <c r="AN911" s="45"/>
      <c r="AO911" s="12"/>
      <c r="AP911" s="12"/>
      <c r="AQ911" s="12"/>
      <c r="AR911" s="12"/>
      <c r="AS911" s="44"/>
      <c r="AT911" s="45"/>
      <c r="AU911" s="12"/>
      <c r="AV911" s="12"/>
      <c r="AW911" s="12"/>
      <c r="AX911" s="12"/>
      <c r="AY911" s="44"/>
      <c r="AZ911" s="45"/>
      <c r="BA911" s="12"/>
      <c r="BB911" s="12"/>
      <c r="BC911" s="12"/>
      <c r="BD911" s="12"/>
      <c r="BE911" s="44"/>
      <c r="BF911" s="45"/>
      <c r="BG911" s="12"/>
      <c r="BH911" s="12"/>
      <c r="BI911" s="12"/>
      <c r="BJ911" s="12"/>
      <c r="BK911" s="44"/>
      <c r="BL911" s="45"/>
      <c r="BM911" s="12"/>
      <c r="BN911" s="12"/>
      <c r="BO911" s="12"/>
      <c r="BP911" s="12"/>
      <c r="BQ911" s="48"/>
      <c r="BR911" s="49"/>
      <c r="BS911" s="13"/>
      <c r="BT911" s="12"/>
      <c r="BV911" s="14"/>
      <c r="BW911" s="50"/>
      <c r="BX911" s="54"/>
      <c r="BY911" s="14"/>
      <c r="BZ911" s="14"/>
      <c r="CA911" s="14"/>
      <c r="CB911" s="14"/>
      <c r="CC911" s="14"/>
      <c r="CD911" s="14"/>
      <c r="CE911" s="14"/>
      <c r="CF911" s="15"/>
      <c r="CG911" s="14"/>
      <c r="CH911" s="14"/>
      <c r="CI911" s="50"/>
      <c r="CJ911" s="54"/>
      <c r="CK911" s="14"/>
      <c r="CL911" s="14"/>
      <c r="CM911" s="14"/>
      <c r="CN911" s="14"/>
      <c r="CO911" s="14"/>
      <c r="CP911" s="14"/>
      <c r="CQ911" s="14"/>
      <c r="CR911" s="14"/>
      <c r="CS911" s="14"/>
      <c r="CT911" s="14"/>
      <c r="CU911" s="16"/>
      <c r="CV911" s="14"/>
      <c r="CW911" s="50"/>
      <c r="CX911" s="17"/>
    </row>
    <row r="912" spans="4:102" x14ac:dyDescent="0.25"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43"/>
      <c r="Q912" s="11"/>
      <c r="R912" s="11"/>
      <c r="S912" s="11"/>
      <c r="T912" s="11"/>
      <c r="U912" s="11"/>
      <c r="V912" s="11"/>
      <c r="W912" s="11"/>
      <c r="X912" s="12"/>
      <c r="Y912" s="12"/>
      <c r="Z912" s="12"/>
      <c r="AA912" s="44"/>
      <c r="AB912" s="45"/>
      <c r="AC912" s="12"/>
      <c r="AD912" s="12"/>
      <c r="AE912" s="12"/>
      <c r="AF912" s="12"/>
      <c r="AG912" s="44"/>
      <c r="AH912" s="45"/>
      <c r="AI912" s="12"/>
      <c r="AJ912" s="12"/>
      <c r="AK912" s="12"/>
      <c r="AL912" s="12"/>
      <c r="AM912" s="44"/>
      <c r="AN912" s="45"/>
      <c r="AO912" s="12"/>
      <c r="AP912" s="12"/>
      <c r="AQ912" s="12"/>
      <c r="AR912" s="12"/>
      <c r="AS912" s="44"/>
      <c r="AT912" s="45"/>
      <c r="AU912" s="12"/>
      <c r="AV912" s="12"/>
      <c r="AW912" s="12"/>
      <c r="AX912" s="12"/>
      <c r="AY912" s="44"/>
      <c r="AZ912" s="45"/>
      <c r="BA912" s="12"/>
      <c r="BB912" s="12"/>
      <c r="BC912" s="12"/>
      <c r="BD912" s="12"/>
      <c r="BE912" s="44"/>
      <c r="BF912" s="45"/>
      <c r="BG912" s="12"/>
      <c r="BH912" s="12"/>
      <c r="BI912" s="12"/>
      <c r="BJ912" s="12"/>
      <c r="BK912" s="44"/>
      <c r="BL912" s="45"/>
      <c r="BM912" s="12"/>
      <c r="BN912" s="12"/>
      <c r="BO912" s="12"/>
      <c r="BP912" s="12"/>
      <c r="BQ912" s="48"/>
      <c r="BR912" s="49"/>
      <c r="BS912" s="13"/>
      <c r="BT912" s="12"/>
      <c r="BV912" s="14"/>
      <c r="BW912" s="50"/>
      <c r="BX912" s="54"/>
      <c r="BY912" s="14"/>
      <c r="BZ912" s="14"/>
      <c r="CA912" s="14"/>
      <c r="CB912" s="14"/>
      <c r="CC912" s="14"/>
      <c r="CD912" s="14"/>
      <c r="CE912" s="14"/>
      <c r="CF912" s="15"/>
      <c r="CG912" s="14"/>
      <c r="CH912" s="14"/>
      <c r="CI912" s="50"/>
      <c r="CJ912" s="54"/>
      <c r="CK912" s="14"/>
      <c r="CL912" s="14"/>
      <c r="CM912" s="14"/>
      <c r="CN912" s="14"/>
      <c r="CO912" s="14"/>
      <c r="CP912" s="14"/>
      <c r="CQ912" s="14"/>
      <c r="CR912" s="14"/>
      <c r="CS912" s="14"/>
      <c r="CT912" s="14"/>
      <c r="CU912" s="16"/>
      <c r="CV912" s="14"/>
      <c r="CW912" s="50"/>
      <c r="CX912" s="17"/>
    </row>
    <row r="913" spans="4:102" x14ac:dyDescent="0.25"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43"/>
      <c r="Q913" s="11"/>
      <c r="R913" s="11"/>
      <c r="S913" s="11"/>
      <c r="T913" s="11"/>
      <c r="U913" s="11"/>
      <c r="V913" s="11"/>
      <c r="W913" s="11"/>
      <c r="X913" s="12"/>
      <c r="Y913" s="12"/>
      <c r="Z913" s="12"/>
      <c r="AA913" s="44"/>
      <c r="AB913" s="45"/>
      <c r="AC913" s="12"/>
      <c r="AD913" s="12"/>
      <c r="AE913" s="12"/>
      <c r="AF913" s="12"/>
      <c r="AG913" s="44"/>
      <c r="AH913" s="45"/>
      <c r="AI913" s="12"/>
      <c r="AJ913" s="12"/>
      <c r="AK913" s="12"/>
      <c r="AL913" s="12"/>
      <c r="AM913" s="44"/>
      <c r="AN913" s="45"/>
      <c r="AO913" s="12"/>
      <c r="AP913" s="12"/>
      <c r="AQ913" s="12"/>
      <c r="AR913" s="12"/>
      <c r="AS913" s="44"/>
      <c r="AT913" s="45"/>
      <c r="AU913" s="12"/>
      <c r="AV913" s="12"/>
      <c r="AW913" s="12"/>
      <c r="AX913" s="12"/>
      <c r="AY913" s="44"/>
      <c r="AZ913" s="45"/>
      <c r="BA913" s="12"/>
      <c r="BB913" s="12"/>
      <c r="BC913" s="12"/>
      <c r="BD913" s="12"/>
      <c r="BE913" s="44"/>
      <c r="BF913" s="45"/>
      <c r="BG913" s="12"/>
      <c r="BH913" s="12"/>
      <c r="BI913" s="12"/>
      <c r="BJ913" s="12"/>
      <c r="BK913" s="44"/>
      <c r="BL913" s="45"/>
      <c r="BM913" s="12"/>
      <c r="BN913" s="12"/>
      <c r="BO913" s="12"/>
      <c r="BP913" s="12"/>
      <c r="BQ913" s="48"/>
      <c r="BR913" s="49"/>
      <c r="BS913" s="13"/>
      <c r="BT913" s="12"/>
      <c r="BV913" s="14"/>
      <c r="BW913" s="50"/>
      <c r="BX913" s="54"/>
      <c r="BY913" s="14"/>
      <c r="BZ913" s="14"/>
      <c r="CA913" s="14"/>
      <c r="CB913" s="14"/>
      <c r="CC913" s="14"/>
      <c r="CD913" s="14"/>
      <c r="CE913" s="14"/>
      <c r="CF913" s="15"/>
      <c r="CG913" s="14"/>
      <c r="CH913" s="14"/>
      <c r="CI913" s="50"/>
      <c r="CJ913" s="54"/>
      <c r="CK913" s="14"/>
      <c r="CL913" s="14"/>
      <c r="CM913" s="14"/>
      <c r="CN913" s="14"/>
      <c r="CO913" s="14"/>
      <c r="CP913" s="14"/>
      <c r="CQ913" s="14"/>
      <c r="CR913" s="14"/>
      <c r="CS913" s="14"/>
      <c r="CT913" s="14"/>
      <c r="CU913" s="16"/>
      <c r="CV913" s="14"/>
      <c r="CW913" s="50"/>
      <c r="CX913" s="17"/>
    </row>
    <row r="914" spans="4:102" x14ac:dyDescent="0.25"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43"/>
      <c r="Q914" s="11"/>
      <c r="R914" s="11"/>
      <c r="S914" s="11"/>
      <c r="T914" s="11"/>
      <c r="U914" s="11"/>
      <c r="V914" s="11"/>
      <c r="W914" s="11"/>
      <c r="X914" s="12"/>
      <c r="Y914" s="12"/>
      <c r="Z914" s="12"/>
      <c r="AA914" s="44"/>
      <c r="AB914" s="45"/>
      <c r="AC914" s="12"/>
      <c r="AD914" s="12"/>
      <c r="AE914" s="12"/>
      <c r="AF914" s="12"/>
      <c r="AG914" s="44"/>
      <c r="AH914" s="45"/>
      <c r="AI914" s="12"/>
      <c r="AJ914" s="12"/>
      <c r="AK914" s="12"/>
      <c r="AL914" s="12"/>
      <c r="AM914" s="44"/>
      <c r="AN914" s="45"/>
      <c r="AO914" s="12"/>
      <c r="AP914" s="12"/>
      <c r="AQ914" s="12"/>
      <c r="AR914" s="12"/>
      <c r="AS914" s="44"/>
      <c r="AT914" s="45"/>
      <c r="AU914" s="12"/>
      <c r="AV914" s="12"/>
      <c r="AW914" s="12"/>
      <c r="AX914" s="12"/>
      <c r="AY914" s="44"/>
      <c r="AZ914" s="45"/>
      <c r="BA914" s="12"/>
      <c r="BB914" s="12"/>
      <c r="BC914" s="12"/>
      <c r="BD914" s="12"/>
      <c r="BE914" s="44"/>
      <c r="BF914" s="45"/>
      <c r="BG914" s="12"/>
      <c r="BH914" s="12"/>
      <c r="BI914" s="12"/>
      <c r="BJ914" s="12"/>
      <c r="BK914" s="44"/>
      <c r="BL914" s="45"/>
      <c r="BM914" s="12"/>
      <c r="BN914" s="12"/>
      <c r="BO914" s="12"/>
      <c r="BP914" s="12"/>
      <c r="BQ914" s="48"/>
      <c r="BR914" s="49"/>
      <c r="BS914" s="13"/>
      <c r="BT914" s="12"/>
      <c r="BV914" s="14"/>
      <c r="BW914" s="50"/>
      <c r="BX914" s="54"/>
      <c r="BY914" s="14"/>
      <c r="BZ914" s="14"/>
      <c r="CA914" s="14"/>
      <c r="CB914" s="14"/>
      <c r="CC914" s="14"/>
      <c r="CD914" s="14"/>
      <c r="CE914" s="14"/>
      <c r="CF914" s="15"/>
      <c r="CG914" s="14"/>
      <c r="CH914" s="14"/>
      <c r="CI914" s="50"/>
      <c r="CJ914" s="54"/>
      <c r="CK914" s="14"/>
      <c r="CL914" s="14"/>
      <c r="CM914" s="14"/>
      <c r="CN914" s="14"/>
      <c r="CO914" s="14"/>
      <c r="CP914" s="14"/>
      <c r="CQ914" s="14"/>
      <c r="CR914" s="14"/>
      <c r="CS914" s="14"/>
      <c r="CT914" s="14"/>
      <c r="CU914" s="16"/>
      <c r="CV914" s="14"/>
      <c r="CW914" s="50"/>
      <c r="CX914" s="17"/>
    </row>
    <row r="915" spans="4:102" x14ac:dyDescent="0.25"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43"/>
      <c r="Q915" s="11"/>
      <c r="R915" s="11"/>
      <c r="S915" s="11"/>
      <c r="T915" s="11"/>
      <c r="U915" s="11"/>
      <c r="V915" s="11"/>
      <c r="W915" s="11"/>
      <c r="X915" s="12"/>
      <c r="Y915" s="12"/>
      <c r="Z915" s="12"/>
      <c r="AA915" s="44"/>
      <c r="AB915" s="45"/>
      <c r="AC915" s="12"/>
      <c r="AD915" s="12"/>
      <c r="AE915" s="12"/>
      <c r="AF915" s="12"/>
      <c r="AG915" s="44"/>
      <c r="AH915" s="45"/>
      <c r="AI915" s="12"/>
      <c r="AJ915" s="12"/>
      <c r="AK915" s="12"/>
      <c r="AL915" s="12"/>
      <c r="AM915" s="44"/>
      <c r="AN915" s="45"/>
      <c r="AO915" s="12"/>
      <c r="AP915" s="12"/>
      <c r="AQ915" s="12"/>
      <c r="AR915" s="12"/>
      <c r="AS915" s="44"/>
      <c r="AT915" s="45"/>
      <c r="AU915" s="12"/>
      <c r="AV915" s="12"/>
      <c r="AW915" s="12"/>
      <c r="AX915" s="12"/>
      <c r="AY915" s="44"/>
      <c r="AZ915" s="45"/>
      <c r="BA915" s="12"/>
      <c r="BB915" s="12"/>
      <c r="BC915" s="12"/>
      <c r="BD915" s="12"/>
      <c r="BE915" s="44"/>
      <c r="BF915" s="45"/>
      <c r="BG915" s="12"/>
      <c r="BH915" s="12"/>
      <c r="BI915" s="12"/>
      <c r="BJ915" s="12"/>
      <c r="BK915" s="44"/>
      <c r="BL915" s="45"/>
      <c r="BM915" s="12"/>
      <c r="BN915" s="12"/>
      <c r="BO915" s="12"/>
      <c r="BP915" s="12"/>
      <c r="BQ915" s="48"/>
      <c r="BR915" s="49"/>
      <c r="BS915" s="13"/>
      <c r="BT915" s="12"/>
      <c r="BV915" s="14"/>
      <c r="BW915" s="50"/>
      <c r="BX915" s="54"/>
      <c r="BY915" s="14"/>
      <c r="BZ915" s="14"/>
      <c r="CA915" s="14"/>
      <c r="CB915" s="14"/>
      <c r="CC915" s="14"/>
      <c r="CD915" s="14"/>
      <c r="CE915" s="14"/>
      <c r="CF915" s="15"/>
      <c r="CG915" s="14"/>
      <c r="CH915" s="14"/>
      <c r="CI915" s="50"/>
      <c r="CJ915" s="54"/>
      <c r="CK915" s="14"/>
      <c r="CL915" s="14"/>
      <c r="CM915" s="14"/>
      <c r="CN915" s="14"/>
      <c r="CO915" s="14"/>
      <c r="CP915" s="14"/>
      <c r="CQ915" s="14"/>
      <c r="CR915" s="14"/>
      <c r="CS915" s="14"/>
      <c r="CT915" s="14"/>
      <c r="CU915" s="16"/>
      <c r="CV915" s="14"/>
      <c r="CW915" s="50"/>
      <c r="CX915" s="17"/>
    </row>
    <row r="916" spans="4:102" x14ac:dyDescent="0.25"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43"/>
      <c r="Q916" s="11"/>
      <c r="R916" s="11"/>
      <c r="S916" s="11"/>
      <c r="T916" s="11"/>
      <c r="U916" s="11"/>
      <c r="V916" s="11"/>
      <c r="W916" s="11"/>
      <c r="X916" s="12"/>
      <c r="Y916" s="12"/>
      <c r="Z916" s="12"/>
      <c r="AA916" s="44"/>
      <c r="AB916" s="45"/>
      <c r="AC916" s="12"/>
      <c r="AD916" s="12"/>
      <c r="AE916" s="12"/>
      <c r="AF916" s="12"/>
      <c r="AG916" s="44"/>
      <c r="AH916" s="45"/>
      <c r="AI916" s="12"/>
      <c r="AJ916" s="12"/>
      <c r="AK916" s="12"/>
      <c r="AL916" s="12"/>
      <c r="AM916" s="44"/>
      <c r="AN916" s="45"/>
      <c r="AO916" s="12"/>
      <c r="AP916" s="12"/>
      <c r="AQ916" s="12"/>
      <c r="AR916" s="12"/>
      <c r="AS916" s="44"/>
      <c r="AT916" s="45"/>
      <c r="AU916" s="12"/>
      <c r="AV916" s="12"/>
      <c r="AW916" s="12"/>
      <c r="AX916" s="12"/>
      <c r="AY916" s="44"/>
      <c r="AZ916" s="45"/>
      <c r="BA916" s="12"/>
      <c r="BB916" s="12"/>
      <c r="BC916" s="12"/>
      <c r="BD916" s="12"/>
      <c r="BE916" s="44"/>
      <c r="BF916" s="45"/>
      <c r="BG916" s="12"/>
      <c r="BH916" s="12"/>
      <c r="BI916" s="12"/>
      <c r="BJ916" s="12"/>
      <c r="BK916" s="44"/>
      <c r="BL916" s="45"/>
      <c r="BM916" s="12"/>
      <c r="BN916" s="12"/>
      <c r="BO916" s="12"/>
      <c r="BP916" s="12"/>
      <c r="BQ916" s="48"/>
      <c r="BR916" s="49"/>
      <c r="BS916" s="13"/>
      <c r="BT916" s="12"/>
      <c r="BV916" s="14"/>
      <c r="BW916" s="50"/>
      <c r="BX916" s="54"/>
      <c r="BY916" s="14"/>
      <c r="BZ916" s="14"/>
      <c r="CA916" s="14"/>
      <c r="CB916" s="14"/>
      <c r="CC916" s="14"/>
      <c r="CD916" s="14"/>
      <c r="CE916" s="14"/>
      <c r="CF916" s="15"/>
      <c r="CG916" s="14"/>
      <c r="CH916" s="14"/>
      <c r="CI916" s="50"/>
      <c r="CJ916" s="54"/>
      <c r="CK916" s="14"/>
      <c r="CL916" s="14"/>
      <c r="CM916" s="14"/>
      <c r="CN916" s="14"/>
      <c r="CO916" s="14"/>
      <c r="CP916" s="14"/>
      <c r="CQ916" s="14"/>
      <c r="CR916" s="14"/>
      <c r="CS916" s="14"/>
      <c r="CT916" s="14"/>
      <c r="CU916" s="16"/>
      <c r="CV916" s="14"/>
      <c r="CW916" s="50"/>
      <c r="CX916" s="17"/>
    </row>
    <row r="917" spans="4:102" x14ac:dyDescent="0.25"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43"/>
      <c r="Q917" s="11"/>
      <c r="R917" s="11"/>
      <c r="S917" s="11"/>
      <c r="T917" s="11"/>
      <c r="U917" s="11"/>
      <c r="V917" s="11"/>
      <c r="W917" s="11"/>
      <c r="X917" s="12"/>
      <c r="Y917" s="12"/>
      <c r="Z917" s="12"/>
      <c r="AA917" s="44"/>
      <c r="AB917" s="45"/>
      <c r="AC917" s="12"/>
      <c r="AD917" s="12"/>
      <c r="AE917" s="12"/>
      <c r="AF917" s="12"/>
      <c r="AG917" s="44"/>
      <c r="AH917" s="45"/>
      <c r="AI917" s="12"/>
      <c r="AJ917" s="12"/>
      <c r="AK917" s="12"/>
      <c r="AL917" s="12"/>
      <c r="AM917" s="44"/>
      <c r="AN917" s="45"/>
      <c r="AO917" s="12"/>
      <c r="AP917" s="12"/>
      <c r="AQ917" s="12"/>
      <c r="AR917" s="12"/>
      <c r="AS917" s="44"/>
      <c r="AT917" s="45"/>
      <c r="AU917" s="12"/>
      <c r="AV917" s="12"/>
      <c r="AW917" s="12"/>
      <c r="AX917" s="12"/>
      <c r="AY917" s="44"/>
      <c r="AZ917" s="45"/>
      <c r="BA917" s="12"/>
      <c r="BB917" s="12"/>
      <c r="BC917" s="12"/>
      <c r="BD917" s="12"/>
      <c r="BE917" s="44"/>
      <c r="BF917" s="45"/>
      <c r="BG917" s="12"/>
      <c r="BH917" s="12"/>
      <c r="BI917" s="12"/>
      <c r="BJ917" s="12"/>
      <c r="BK917" s="44"/>
      <c r="BL917" s="45"/>
      <c r="BM917" s="12"/>
      <c r="BN917" s="12"/>
      <c r="BO917" s="12"/>
      <c r="BP917" s="12"/>
      <c r="BQ917" s="48"/>
      <c r="BR917" s="49"/>
      <c r="BS917" s="13"/>
      <c r="BT917" s="12"/>
      <c r="BV917" s="14"/>
      <c r="BW917" s="50"/>
      <c r="BX917" s="54"/>
      <c r="BY917" s="14"/>
      <c r="BZ917" s="14"/>
      <c r="CA917" s="14"/>
      <c r="CB917" s="14"/>
      <c r="CC917" s="14"/>
      <c r="CD917" s="14"/>
      <c r="CE917" s="14"/>
      <c r="CF917" s="15"/>
      <c r="CG917" s="14"/>
      <c r="CH917" s="14"/>
      <c r="CI917" s="50"/>
      <c r="CJ917" s="54"/>
      <c r="CK917" s="14"/>
      <c r="CL917" s="14"/>
      <c r="CM917" s="14"/>
      <c r="CN917" s="14"/>
      <c r="CO917" s="14"/>
      <c r="CP917" s="14"/>
      <c r="CQ917" s="14"/>
      <c r="CR917" s="14"/>
      <c r="CS917" s="14"/>
      <c r="CT917" s="14"/>
      <c r="CU917" s="16"/>
      <c r="CV917" s="14"/>
      <c r="CW917" s="50"/>
      <c r="CX917" s="17"/>
    </row>
    <row r="918" spans="4:102" x14ac:dyDescent="0.25"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43"/>
      <c r="Q918" s="11"/>
      <c r="R918" s="11"/>
      <c r="S918" s="11"/>
      <c r="T918" s="11"/>
      <c r="U918" s="11"/>
      <c r="V918" s="11"/>
      <c r="W918" s="11"/>
      <c r="X918" s="12"/>
      <c r="Y918" s="12"/>
      <c r="Z918" s="12"/>
      <c r="AA918" s="44"/>
      <c r="AB918" s="45"/>
      <c r="AC918" s="12"/>
      <c r="AD918" s="12"/>
      <c r="AE918" s="12"/>
      <c r="AF918" s="12"/>
      <c r="AG918" s="44"/>
      <c r="AH918" s="45"/>
      <c r="AI918" s="12"/>
      <c r="AJ918" s="12"/>
      <c r="AK918" s="12"/>
      <c r="AL918" s="12"/>
      <c r="AM918" s="44"/>
      <c r="AN918" s="45"/>
      <c r="AO918" s="12"/>
      <c r="AP918" s="12"/>
      <c r="AQ918" s="12"/>
      <c r="AR918" s="12"/>
      <c r="AS918" s="44"/>
      <c r="AT918" s="45"/>
      <c r="AU918" s="12"/>
      <c r="AV918" s="12"/>
      <c r="AW918" s="12"/>
      <c r="AX918" s="12"/>
      <c r="AY918" s="44"/>
      <c r="AZ918" s="45"/>
      <c r="BA918" s="12"/>
      <c r="BB918" s="12"/>
      <c r="BC918" s="12"/>
      <c r="BD918" s="12"/>
      <c r="BE918" s="44"/>
      <c r="BF918" s="45"/>
      <c r="BG918" s="12"/>
      <c r="BH918" s="12"/>
      <c r="BI918" s="12"/>
      <c r="BJ918" s="12"/>
      <c r="BK918" s="44"/>
      <c r="BL918" s="45"/>
      <c r="BM918" s="12"/>
      <c r="BN918" s="12"/>
      <c r="BO918" s="12"/>
      <c r="BP918" s="12"/>
      <c r="BQ918" s="48"/>
      <c r="BR918" s="49"/>
      <c r="BS918" s="13"/>
      <c r="BT918" s="12"/>
      <c r="BV918" s="14"/>
      <c r="BW918" s="50"/>
      <c r="BX918" s="54"/>
      <c r="BY918" s="14"/>
      <c r="BZ918" s="14"/>
      <c r="CA918" s="14"/>
      <c r="CB918" s="14"/>
      <c r="CC918" s="14"/>
      <c r="CD918" s="14"/>
      <c r="CE918" s="14"/>
      <c r="CF918" s="15"/>
      <c r="CG918" s="14"/>
      <c r="CH918" s="14"/>
      <c r="CI918" s="50"/>
      <c r="CJ918" s="54"/>
      <c r="CK918" s="14"/>
      <c r="CL918" s="14"/>
      <c r="CM918" s="14"/>
      <c r="CN918" s="14"/>
      <c r="CO918" s="14"/>
      <c r="CP918" s="14"/>
      <c r="CQ918" s="14"/>
      <c r="CR918" s="14"/>
      <c r="CS918" s="14"/>
      <c r="CT918" s="14"/>
      <c r="CU918" s="16"/>
      <c r="CV918" s="14"/>
      <c r="CW918" s="50"/>
      <c r="CX918" s="17"/>
    </row>
    <row r="919" spans="4:102" x14ac:dyDescent="0.25"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43"/>
      <c r="Q919" s="11"/>
      <c r="R919" s="11"/>
      <c r="S919" s="11"/>
      <c r="T919" s="11"/>
      <c r="U919" s="11"/>
      <c r="V919" s="11"/>
      <c r="W919" s="11"/>
      <c r="X919" s="12"/>
      <c r="Y919" s="12"/>
      <c r="Z919" s="12"/>
      <c r="AA919" s="44"/>
      <c r="AB919" s="45"/>
      <c r="AC919" s="12"/>
      <c r="AD919" s="12"/>
      <c r="AE919" s="12"/>
      <c r="AF919" s="12"/>
      <c r="AG919" s="44"/>
      <c r="AH919" s="45"/>
      <c r="AI919" s="12"/>
      <c r="AJ919" s="12"/>
      <c r="AK919" s="12"/>
      <c r="AL919" s="12"/>
      <c r="AM919" s="44"/>
      <c r="AN919" s="45"/>
      <c r="AO919" s="12"/>
      <c r="AP919" s="12"/>
      <c r="AQ919" s="12"/>
      <c r="AR919" s="12"/>
      <c r="AS919" s="44"/>
      <c r="AT919" s="45"/>
      <c r="AU919" s="12"/>
      <c r="AV919" s="12"/>
      <c r="AW919" s="12"/>
      <c r="AX919" s="12"/>
      <c r="AY919" s="44"/>
      <c r="AZ919" s="45"/>
      <c r="BA919" s="12"/>
      <c r="BB919" s="12"/>
      <c r="BC919" s="12"/>
      <c r="BD919" s="12"/>
      <c r="BE919" s="44"/>
      <c r="BF919" s="45"/>
      <c r="BG919" s="12"/>
      <c r="BH919" s="12"/>
      <c r="BI919" s="12"/>
      <c r="BJ919" s="12"/>
      <c r="BK919" s="44"/>
      <c r="BL919" s="45"/>
      <c r="BM919" s="12"/>
      <c r="BN919" s="12"/>
      <c r="BO919" s="12"/>
      <c r="BP919" s="12"/>
      <c r="BQ919" s="48"/>
      <c r="BR919" s="49"/>
      <c r="BS919" s="13"/>
      <c r="BT919" s="12"/>
      <c r="BV919" s="14"/>
      <c r="BW919" s="50"/>
      <c r="BX919" s="54"/>
      <c r="BY919" s="14"/>
      <c r="BZ919" s="14"/>
      <c r="CA919" s="14"/>
      <c r="CB919" s="14"/>
      <c r="CC919" s="14"/>
      <c r="CD919" s="14"/>
      <c r="CE919" s="14"/>
      <c r="CF919" s="15"/>
      <c r="CG919" s="14"/>
      <c r="CH919" s="14"/>
      <c r="CI919" s="50"/>
      <c r="CJ919" s="54"/>
      <c r="CK919" s="14"/>
      <c r="CL919" s="14"/>
      <c r="CM919" s="14"/>
      <c r="CN919" s="14"/>
      <c r="CO919" s="14"/>
      <c r="CP919" s="14"/>
      <c r="CQ919" s="14"/>
      <c r="CR919" s="14"/>
      <c r="CS919" s="14"/>
      <c r="CT919" s="14"/>
      <c r="CU919" s="16"/>
      <c r="CV919" s="14"/>
      <c r="CW919" s="50"/>
      <c r="CX919" s="17"/>
    </row>
    <row r="920" spans="4:102" x14ac:dyDescent="0.25"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43"/>
      <c r="Q920" s="11"/>
      <c r="R920" s="11"/>
      <c r="S920" s="11"/>
      <c r="T920" s="11"/>
      <c r="U920" s="11"/>
      <c r="V920" s="11"/>
      <c r="W920" s="11"/>
      <c r="X920" s="12"/>
      <c r="Y920" s="12"/>
      <c r="Z920" s="12"/>
      <c r="AA920" s="44"/>
      <c r="AB920" s="45"/>
      <c r="AC920" s="12"/>
      <c r="AD920" s="12"/>
      <c r="AE920" s="12"/>
      <c r="AF920" s="12"/>
      <c r="AG920" s="44"/>
      <c r="AH920" s="45"/>
      <c r="AI920" s="12"/>
      <c r="AJ920" s="12"/>
      <c r="AK920" s="12"/>
      <c r="AL920" s="12"/>
      <c r="AM920" s="44"/>
      <c r="AN920" s="45"/>
      <c r="AO920" s="12"/>
      <c r="AP920" s="12"/>
      <c r="AQ920" s="12"/>
      <c r="AR920" s="12"/>
      <c r="AS920" s="44"/>
      <c r="AT920" s="45"/>
      <c r="AU920" s="12"/>
      <c r="AV920" s="12"/>
      <c r="AW920" s="12"/>
      <c r="AX920" s="12"/>
      <c r="AY920" s="44"/>
      <c r="AZ920" s="45"/>
      <c r="BA920" s="12"/>
      <c r="BB920" s="12"/>
      <c r="BC920" s="12"/>
      <c r="BD920" s="12"/>
      <c r="BE920" s="44"/>
      <c r="BF920" s="45"/>
      <c r="BG920" s="12"/>
      <c r="BH920" s="12"/>
      <c r="BI920" s="12"/>
      <c r="BJ920" s="12"/>
      <c r="BK920" s="44"/>
      <c r="BL920" s="45"/>
      <c r="BM920" s="12"/>
      <c r="BN920" s="12"/>
      <c r="BO920" s="12"/>
      <c r="BP920" s="12"/>
      <c r="BQ920" s="48"/>
      <c r="BR920" s="49"/>
      <c r="BS920" s="13"/>
      <c r="BT920" s="12"/>
      <c r="BV920" s="14"/>
      <c r="BW920" s="50"/>
      <c r="BX920" s="54"/>
      <c r="BY920" s="14"/>
      <c r="BZ920" s="14"/>
      <c r="CA920" s="14"/>
      <c r="CB920" s="14"/>
      <c r="CC920" s="14"/>
      <c r="CD920" s="14"/>
      <c r="CE920" s="14"/>
      <c r="CF920" s="15"/>
      <c r="CG920" s="14"/>
      <c r="CH920" s="14"/>
      <c r="CI920" s="50"/>
      <c r="CJ920" s="54"/>
      <c r="CK920" s="14"/>
      <c r="CL920" s="14"/>
      <c r="CM920" s="14"/>
      <c r="CN920" s="14"/>
      <c r="CO920" s="14"/>
      <c r="CP920" s="14"/>
      <c r="CQ920" s="14"/>
      <c r="CR920" s="14"/>
      <c r="CS920" s="14"/>
      <c r="CT920" s="14"/>
      <c r="CU920" s="16"/>
      <c r="CV920" s="14"/>
      <c r="CW920" s="50"/>
      <c r="CX920" s="17"/>
    </row>
    <row r="921" spans="4:102" x14ac:dyDescent="0.25"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43"/>
      <c r="Q921" s="11"/>
      <c r="R921" s="11"/>
      <c r="S921" s="11"/>
      <c r="T921" s="11"/>
      <c r="U921" s="11"/>
      <c r="V921" s="11"/>
      <c r="W921" s="11"/>
      <c r="X921" s="12"/>
      <c r="Y921" s="12"/>
      <c r="Z921" s="12"/>
      <c r="AA921" s="44"/>
      <c r="AB921" s="45"/>
      <c r="AC921" s="12"/>
      <c r="AD921" s="12"/>
      <c r="AE921" s="12"/>
      <c r="AF921" s="12"/>
      <c r="AG921" s="44"/>
      <c r="AH921" s="45"/>
      <c r="AI921" s="12"/>
      <c r="AJ921" s="12"/>
      <c r="AK921" s="12"/>
      <c r="AL921" s="12"/>
      <c r="AM921" s="44"/>
      <c r="AN921" s="45"/>
      <c r="AO921" s="12"/>
      <c r="AP921" s="12"/>
      <c r="AQ921" s="12"/>
      <c r="AR921" s="12"/>
      <c r="AS921" s="44"/>
      <c r="AT921" s="45"/>
      <c r="AU921" s="12"/>
      <c r="AV921" s="12"/>
      <c r="AW921" s="12"/>
      <c r="AX921" s="12"/>
      <c r="AY921" s="44"/>
      <c r="AZ921" s="45"/>
      <c r="BA921" s="12"/>
      <c r="BB921" s="12"/>
      <c r="BC921" s="12"/>
      <c r="BD921" s="12"/>
      <c r="BE921" s="44"/>
      <c r="BF921" s="45"/>
      <c r="BG921" s="12"/>
      <c r="BH921" s="12"/>
      <c r="BI921" s="12"/>
      <c r="BJ921" s="12"/>
      <c r="BK921" s="44"/>
      <c r="BL921" s="45"/>
      <c r="BM921" s="12"/>
      <c r="BN921" s="12"/>
      <c r="BO921" s="12"/>
      <c r="BP921" s="12"/>
      <c r="BQ921" s="48"/>
      <c r="BR921" s="49"/>
      <c r="BS921" s="13"/>
      <c r="BT921" s="12"/>
      <c r="BV921" s="14"/>
      <c r="BW921" s="50"/>
      <c r="BX921" s="54"/>
      <c r="BY921" s="14"/>
      <c r="BZ921" s="14"/>
      <c r="CA921" s="14"/>
      <c r="CB921" s="14"/>
      <c r="CC921" s="14"/>
      <c r="CD921" s="14"/>
      <c r="CE921" s="14"/>
      <c r="CF921" s="15"/>
      <c r="CG921" s="14"/>
      <c r="CH921" s="14"/>
      <c r="CI921" s="50"/>
      <c r="CJ921" s="54"/>
      <c r="CK921" s="14"/>
      <c r="CL921" s="14"/>
      <c r="CM921" s="14"/>
      <c r="CN921" s="14"/>
      <c r="CO921" s="14"/>
      <c r="CP921" s="14"/>
      <c r="CQ921" s="14"/>
      <c r="CR921" s="14"/>
      <c r="CS921" s="14"/>
      <c r="CT921" s="14"/>
      <c r="CU921" s="16"/>
      <c r="CV921" s="14"/>
      <c r="CW921" s="50"/>
      <c r="CX921" s="17"/>
    </row>
    <row r="922" spans="4:102" x14ac:dyDescent="0.25"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43"/>
      <c r="Q922" s="11"/>
      <c r="R922" s="11"/>
      <c r="S922" s="11"/>
      <c r="T922" s="11"/>
      <c r="U922" s="11"/>
      <c r="V922" s="11"/>
      <c r="W922" s="11"/>
      <c r="X922" s="12"/>
      <c r="Y922" s="12"/>
      <c r="Z922" s="12"/>
      <c r="AA922" s="44"/>
      <c r="AB922" s="45"/>
      <c r="AC922" s="12"/>
      <c r="AD922" s="12"/>
      <c r="AE922" s="12"/>
      <c r="AF922" s="12"/>
      <c r="AG922" s="44"/>
      <c r="AH922" s="45"/>
      <c r="AI922" s="12"/>
      <c r="AJ922" s="12"/>
      <c r="AK922" s="12"/>
      <c r="AL922" s="12"/>
      <c r="AM922" s="44"/>
      <c r="AN922" s="45"/>
      <c r="AO922" s="12"/>
      <c r="AP922" s="12"/>
      <c r="AQ922" s="12"/>
      <c r="AR922" s="12"/>
      <c r="AS922" s="44"/>
      <c r="AT922" s="45"/>
      <c r="AU922" s="12"/>
      <c r="AV922" s="12"/>
      <c r="AW922" s="12"/>
      <c r="AX922" s="12"/>
      <c r="AY922" s="44"/>
      <c r="AZ922" s="45"/>
      <c r="BA922" s="12"/>
      <c r="BB922" s="12"/>
      <c r="BC922" s="12"/>
      <c r="BD922" s="12"/>
      <c r="BE922" s="44"/>
      <c r="BF922" s="45"/>
      <c r="BG922" s="12"/>
      <c r="BH922" s="12"/>
      <c r="BI922" s="12"/>
      <c r="BJ922" s="12"/>
      <c r="BK922" s="44"/>
      <c r="BL922" s="45"/>
      <c r="BM922" s="12"/>
      <c r="BN922" s="12"/>
      <c r="BO922" s="12"/>
      <c r="BP922" s="12"/>
      <c r="BQ922" s="48"/>
      <c r="BR922" s="49"/>
      <c r="BS922" s="13"/>
      <c r="BT922" s="12"/>
      <c r="BV922" s="14"/>
      <c r="BW922" s="50"/>
      <c r="BX922" s="54"/>
      <c r="BY922" s="14"/>
      <c r="BZ922" s="14"/>
      <c r="CA922" s="14"/>
      <c r="CB922" s="14"/>
      <c r="CC922" s="14"/>
      <c r="CD922" s="14"/>
      <c r="CE922" s="14"/>
      <c r="CF922" s="15"/>
      <c r="CG922" s="14"/>
      <c r="CH922" s="14"/>
      <c r="CI922" s="50"/>
      <c r="CJ922" s="54"/>
      <c r="CK922" s="14"/>
      <c r="CL922" s="14"/>
      <c r="CM922" s="14"/>
      <c r="CN922" s="14"/>
      <c r="CO922" s="14"/>
      <c r="CP922" s="14"/>
      <c r="CQ922" s="14"/>
      <c r="CR922" s="14"/>
      <c r="CS922" s="14"/>
      <c r="CT922" s="14"/>
      <c r="CU922" s="16"/>
      <c r="CV922" s="14"/>
      <c r="CW922" s="50"/>
      <c r="CX922" s="17"/>
    </row>
    <row r="923" spans="4:102" x14ac:dyDescent="0.25"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43"/>
      <c r="Q923" s="11"/>
      <c r="R923" s="11"/>
      <c r="S923" s="11"/>
      <c r="T923" s="11"/>
      <c r="U923" s="11"/>
      <c r="V923" s="11"/>
      <c r="W923" s="11"/>
      <c r="X923" s="12"/>
      <c r="Y923" s="12"/>
      <c r="Z923" s="12"/>
      <c r="AA923" s="44"/>
      <c r="AB923" s="45"/>
      <c r="AC923" s="12"/>
      <c r="AD923" s="12"/>
      <c r="AE923" s="12"/>
      <c r="AF923" s="12"/>
      <c r="AG923" s="44"/>
      <c r="AH923" s="45"/>
      <c r="AI923" s="12"/>
      <c r="AJ923" s="12"/>
      <c r="AK923" s="12"/>
      <c r="AL923" s="12"/>
      <c r="AM923" s="44"/>
      <c r="AN923" s="45"/>
      <c r="AO923" s="12"/>
      <c r="AP923" s="12"/>
      <c r="AQ923" s="12"/>
      <c r="AR923" s="12"/>
      <c r="AS923" s="44"/>
      <c r="AT923" s="45"/>
      <c r="AU923" s="12"/>
      <c r="AV923" s="12"/>
      <c r="AW923" s="12"/>
      <c r="AX923" s="12"/>
      <c r="AY923" s="44"/>
      <c r="AZ923" s="45"/>
      <c r="BA923" s="12"/>
      <c r="BB923" s="12"/>
      <c r="BC923" s="12"/>
      <c r="BD923" s="12"/>
      <c r="BE923" s="44"/>
      <c r="BF923" s="45"/>
      <c r="BG923" s="12"/>
      <c r="BH923" s="12"/>
      <c r="BI923" s="12"/>
      <c r="BJ923" s="12"/>
      <c r="BK923" s="44"/>
      <c r="BL923" s="45"/>
      <c r="BM923" s="12"/>
      <c r="BN923" s="12"/>
      <c r="BO923" s="12"/>
      <c r="BP923" s="12"/>
      <c r="BQ923" s="48"/>
      <c r="BR923" s="49"/>
      <c r="BS923" s="13"/>
      <c r="BT923" s="12"/>
      <c r="BV923" s="14"/>
      <c r="BW923" s="50"/>
      <c r="BX923" s="54"/>
      <c r="BY923" s="14"/>
      <c r="BZ923" s="14"/>
      <c r="CA923" s="14"/>
      <c r="CB923" s="14"/>
      <c r="CC923" s="14"/>
      <c r="CD923" s="14"/>
      <c r="CE923" s="14"/>
      <c r="CF923" s="15"/>
      <c r="CG923" s="14"/>
      <c r="CH923" s="14"/>
      <c r="CI923" s="50"/>
      <c r="CJ923" s="54"/>
      <c r="CK923" s="14"/>
      <c r="CL923" s="14"/>
      <c r="CM923" s="14"/>
      <c r="CN923" s="14"/>
      <c r="CO923" s="14"/>
      <c r="CP923" s="14"/>
      <c r="CQ923" s="14"/>
      <c r="CR923" s="14"/>
      <c r="CS923" s="14"/>
      <c r="CT923" s="14"/>
      <c r="CU923" s="16"/>
      <c r="CV923" s="14"/>
      <c r="CW923" s="50"/>
      <c r="CX923" s="17"/>
    </row>
    <row r="924" spans="4:102" x14ac:dyDescent="0.25"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43"/>
      <c r="Q924" s="11"/>
      <c r="R924" s="11"/>
      <c r="S924" s="11"/>
      <c r="T924" s="11"/>
      <c r="U924" s="11"/>
      <c r="V924" s="11"/>
      <c r="W924" s="11"/>
      <c r="X924" s="12"/>
      <c r="Y924" s="12"/>
      <c r="Z924" s="12"/>
      <c r="AA924" s="44"/>
      <c r="AB924" s="45"/>
      <c r="AC924" s="12"/>
      <c r="AD924" s="12"/>
      <c r="AE924" s="12"/>
      <c r="AF924" s="12"/>
      <c r="AG924" s="44"/>
      <c r="AH924" s="45"/>
      <c r="AI924" s="12"/>
      <c r="AJ924" s="12"/>
      <c r="AK924" s="12"/>
      <c r="AL924" s="12"/>
      <c r="AM924" s="44"/>
      <c r="AN924" s="45"/>
      <c r="AO924" s="12"/>
      <c r="AP924" s="12"/>
      <c r="AQ924" s="12"/>
      <c r="AR924" s="12"/>
      <c r="AS924" s="44"/>
      <c r="AT924" s="45"/>
      <c r="AU924" s="12"/>
      <c r="AV924" s="12"/>
      <c r="AW924" s="12"/>
      <c r="AX924" s="12"/>
      <c r="AY924" s="44"/>
      <c r="AZ924" s="45"/>
      <c r="BA924" s="12"/>
      <c r="BB924" s="12"/>
      <c r="BC924" s="12"/>
      <c r="BD924" s="12"/>
      <c r="BE924" s="44"/>
      <c r="BF924" s="45"/>
      <c r="BG924" s="12"/>
      <c r="BH924" s="12"/>
      <c r="BI924" s="12"/>
      <c r="BJ924" s="12"/>
      <c r="BK924" s="44"/>
      <c r="BL924" s="45"/>
      <c r="BM924" s="12"/>
      <c r="BN924" s="12"/>
      <c r="BO924" s="12"/>
      <c r="BP924" s="12"/>
      <c r="BQ924" s="48"/>
      <c r="BR924" s="49"/>
      <c r="BS924" s="13"/>
      <c r="BT924" s="12"/>
      <c r="BV924" s="14"/>
      <c r="BW924" s="50"/>
      <c r="BX924" s="54"/>
      <c r="BY924" s="14"/>
      <c r="BZ924" s="14"/>
      <c r="CA924" s="14"/>
      <c r="CB924" s="14"/>
      <c r="CC924" s="14"/>
      <c r="CD924" s="14"/>
      <c r="CE924" s="14"/>
      <c r="CF924" s="15"/>
      <c r="CG924" s="14"/>
      <c r="CH924" s="14"/>
      <c r="CI924" s="50"/>
      <c r="CJ924" s="54"/>
      <c r="CK924" s="14"/>
      <c r="CL924" s="14"/>
      <c r="CM924" s="14"/>
      <c r="CN924" s="14"/>
      <c r="CO924" s="14"/>
      <c r="CP924" s="14"/>
      <c r="CQ924" s="14"/>
      <c r="CR924" s="14"/>
      <c r="CS924" s="14"/>
      <c r="CT924" s="14"/>
      <c r="CU924" s="16"/>
      <c r="CV924" s="14"/>
      <c r="CW924" s="50"/>
      <c r="CX924" s="17"/>
    </row>
    <row r="925" spans="4:102" x14ac:dyDescent="0.25"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43"/>
      <c r="Q925" s="11"/>
      <c r="R925" s="11"/>
      <c r="S925" s="11"/>
      <c r="T925" s="11"/>
      <c r="U925" s="11"/>
      <c r="V925" s="11"/>
      <c r="W925" s="11"/>
      <c r="X925" s="12"/>
      <c r="Y925" s="12"/>
      <c r="Z925" s="12"/>
      <c r="AA925" s="44"/>
      <c r="AB925" s="45"/>
      <c r="AC925" s="12"/>
      <c r="AD925" s="12"/>
      <c r="AE925" s="12"/>
      <c r="AF925" s="12"/>
      <c r="AG925" s="44"/>
      <c r="AH925" s="45"/>
      <c r="AI925" s="12"/>
      <c r="AJ925" s="12"/>
      <c r="AK925" s="12"/>
      <c r="AL925" s="12"/>
      <c r="AM925" s="44"/>
      <c r="AN925" s="45"/>
      <c r="AO925" s="12"/>
      <c r="AP925" s="12"/>
      <c r="AQ925" s="12"/>
      <c r="AR925" s="12"/>
      <c r="AS925" s="44"/>
      <c r="AT925" s="45"/>
      <c r="AU925" s="12"/>
      <c r="AV925" s="12"/>
      <c r="AW925" s="12"/>
      <c r="AX925" s="12"/>
      <c r="AY925" s="44"/>
      <c r="AZ925" s="45"/>
      <c r="BA925" s="12"/>
      <c r="BB925" s="12"/>
      <c r="BC925" s="12"/>
      <c r="BD925" s="12"/>
      <c r="BE925" s="44"/>
      <c r="BF925" s="45"/>
      <c r="BG925" s="12"/>
      <c r="BH925" s="12"/>
      <c r="BI925" s="12"/>
      <c r="BJ925" s="12"/>
      <c r="BK925" s="44"/>
      <c r="BL925" s="45"/>
      <c r="BM925" s="12"/>
      <c r="BN925" s="12"/>
      <c r="BO925" s="12"/>
      <c r="BP925" s="12"/>
      <c r="BQ925" s="48"/>
      <c r="BR925" s="49"/>
      <c r="BS925" s="13"/>
      <c r="BT925" s="12"/>
      <c r="BV925" s="14"/>
      <c r="BW925" s="50"/>
      <c r="BX925" s="54"/>
      <c r="BY925" s="14"/>
      <c r="BZ925" s="14"/>
      <c r="CA925" s="14"/>
      <c r="CB925" s="14"/>
      <c r="CC925" s="14"/>
      <c r="CD925" s="14"/>
      <c r="CE925" s="14"/>
      <c r="CF925" s="15"/>
      <c r="CG925" s="14"/>
      <c r="CH925" s="14"/>
      <c r="CI925" s="50"/>
      <c r="CJ925" s="54"/>
      <c r="CK925" s="14"/>
      <c r="CL925" s="14"/>
      <c r="CM925" s="14"/>
      <c r="CN925" s="14"/>
      <c r="CO925" s="14"/>
      <c r="CP925" s="14"/>
      <c r="CQ925" s="14"/>
      <c r="CR925" s="14"/>
      <c r="CS925" s="14"/>
      <c r="CT925" s="14"/>
      <c r="CU925" s="16"/>
      <c r="CV925" s="14"/>
      <c r="CW925" s="50"/>
      <c r="CX925" s="17"/>
    </row>
    <row r="926" spans="4:102" x14ac:dyDescent="0.25"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43"/>
      <c r="Q926" s="11"/>
      <c r="R926" s="11"/>
      <c r="S926" s="11"/>
      <c r="T926" s="11"/>
      <c r="U926" s="11"/>
      <c r="V926" s="11"/>
      <c r="W926" s="11"/>
      <c r="X926" s="12"/>
      <c r="Y926" s="12"/>
      <c r="Z926" s="12"/>
      <c r="AA926" s="44"/>
      <c r="AB926" s="45"/>
      <c r="AC926" s="12"/>
      <c r="AD926" s="12"/>
      <c r="AE926" s="12"/>
      <c r="AF926" s="12"/>
      <c r="AG926" s="44"/>
      <c r="AH926" s="45"/>
      <c r="AI926" s="12"/>
      <c r="AJ926" s="12"/>
      <c r="AK926" s="12"/>
      <c r="AL926" s="12"/>
      <c r="AM926" s="44"/>
      <c r="AN926" s="45"/>
      <c r="AO926" s="12"/>
      <c r="AP926" s="12"/>
      <c r="AQ926" s="12"/>
      <c r="AR926" s="12"/>
      <c r="AS926" s="44"/>
      <c r="AT926" s="45"/>
      <c r="AU926" s="12"/>
      <c r="AV926" s="12"/>
      <c r="AW926" s="12"/>
      <c r="AX926" s="12"/>
      <c r="AY926" s="44"/>
      <c r="AZ926" s="45"/>
      <c r="BA926" s="12"/>
      <c r="BB926" s="12"/>
      <c r="BC926" s="12"/>
      <c r="BD926" s="12"/>
      <c r="BE926" s="44"/>
      <c r="BF926" s="45"/>
      <c r="BG926" s="12"/>
      <c r="BH926" s="12"/>
      <c r="BI926" s="12"/>
      <c r="BJ926" s="12"/>
      <c r="BK926" s="44"/>
      <c r="BL926" s="45"/>
      <c r="BM926" s="12"/>
      <c r="BN926" s="12"/>
      <c r="BO926" s="12"/>
      <c r="BP926" s="12"/>
      <c r="BQ926" s="48"/>
      <c r="BR926" s="49"/>
      <c r="BS926" s="13"/>
      <c r="BT926" s="12"/>
      <c r="BV926" s="14"/>
      <c r="BW926" s="50"/>
      <c r="BX926" s="54"/>
      <c r="BY926" s="14"/>
      <c r="BZ926" s="14"/>
      <c r="CA926" s="14"/>
      <c r="CB926" s="14"/>
      <c r="CC926" s="14"/>
      <c r="CD926" s="14"/>
      <c r="CE926" s="14"/>
      <c r="CF926" s="15"/>
      <c r="CG926" s="14"/>
      <c r="CH926" s="14"/>
      <c r="CI926" s="50"/>
      <c r="CJ926" s="54"/>
      <c r="CK926" s="14"/>
      <c r="CL926" s="14"/>
      <c r="CM926" s="14"/>
      <c r="CN926" s="14"/>
      <c r="CO926" s="14"/>
      <c r="CP926" s="14"/>
      <c r="CQ926" s="14"/>
      <c r="CR926" s="14"/>
      <c r="CS926" s="14"/>
      <c r="CT926" s="14"/>
      <c r="CU926" s="16"/>
      <c r="CV926" s="14"/>
      <c r="CW926" s="50"/>
      <c r="CX926" s="17"/>
    </row>
    <row r="927" spans="4:102" x14ac:dyDescent="0.25"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43"/>
      <c r="Q927" s="11"/>
      <c r="R927" s="11"/>
      <c r="S927" s="11"/>
      <c r="T927" s="11"/>
      <c r="U927" s="11"/>
      <c r="V927" s="11"/>
      <c r="W927" s="11"/>
      <c r="X927" s="12"/>
      <c r="Y927" s="12"/>
      <c r="Z927" s="12"/>
      <c r="AA927" s="44"/>
      <c r="AB927" s="45"/>
      <c r="AC927" s="12"/>
      <c r="AD927" s="12"/>
      <c r="AE927" s="12"/>
      <c r="AF927" s="12"/>
      <c r="AG927" s="44"/>
      <c r="AH927" s="45"/>
      <c r="AI927" s="12"/>
      <c r="AJ927" s="12"/>
      <c r="AK927" s="12"/>
      <c r="AL927" s="12"/>
      <c r="AM927" s="44"/>
      <c r="AN927" s="45"/>
      <c r="AO927" s="12"/>
      <c r="AP927" s="12"/>
      <c r="AQ927" s="12"/>
      <c r="AR927" s="12"/>
      <c r="AS927" s="44"/>
      <c r="AT927" s="45"/>
      <c r="AU927" s="12"/>
      <c r="AV927" s="12"/>
      <c r="AW927" s="12"/>
      <c r="AX927" s="12"/>
      <c r="AY927" s="44"/>
      <c r="AZ927" s="45"/>
      <c r="BA927" s="12"/>
      <c r="BB927" s="12"/>
      <c r="BC927" s="12"/>
      <c r="BD927" s="12"/>
      <c r="BE927" s="44"/>
      <c r="BF927" s="45"/>
      <c r="BG927" s="12"/>
      <c r="BH927" s="12"/>
      <c r="BI927" s="12"/>
      <c r="BJ927" s="12"/>
      <c r="BK927" s="44"/>
      <c r="BL927" s="45"/>
      <c r="BM927" s="12"/>
      <c r="BN927" s="12"/>
      <c r="BO927" s="12"/>
      <c r="BP927" s="12"/>
      <c r="BQ927" s="48"/>
      <c r="BR927" s="49"/>
      <c r="BS927" s="13"/>
      <c r="BT927" s="12"/>
      <c r="BV927" s="14"/>
      <c r="BW927" s="50"/>
      <c r="BX927" s="54"/>
      <c r="BY927" s="14"/>
      <c r="BZ927" s="14"/>
      <c r="CA927" s="14"/>
      <c r="CB927" s="14"/>
      <c r="CC927" s="14"/>
      <c r="CD927" s="14"/>
      <c r="CE927" s="14"/>
      <c r="CF927" s="15"/>
      <c r="CG927" s="14"/>
      <c r="CH927" s="14"/>
      <c r="CI927" s="50"/>
      <c r="CJ927" s="54"/>
      <c r="CK927" s="14"/>
      <c r="CL927" s="14"/>
      <c r="CM927" s="14"/>
      <c r="CN927" s="14"/>
      <c r="CO927" s="14"/>
      <c r="CP927" s="14"/>
      <c r="CQ927" s="14"/>
      <c r="CR927" s="14"/>
      <c r="CS927" s="14"/>
      <c r="CT927" s="14"/>
      <c r="CU927" s="16"/>
      <c r="CV927" s="14"/>
      <c r="CW927" s="50"/>
      <c r="CX927" s="17"/>
    </row>
    <row r="928" spans="4:102" x14ac:dyDescent="0.25"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43"/>
      <c r="Q928" s="11"/>
      <c r="R928" s="11"/>
      <c r="S928" s="11"/>
      <c r="T928" s="11"/>
      <c r="U928" s="11"/>
      <c r="V928" s="11"/>
      <c r="W928" s="11"/>
      <c r="X928" s="12"/>
      <c r="Y928" s="12"/>
      <c r="Z928" s="12"/>
      <c r="AA928" s="44"/>
      <c r="AB928" s="45"/>
      <c r="AC928" s="12"/>
      <c r="AD928" s="12"/>
      <c r="AE928" s="12"/>
      <c r="AF928" s="12"/>
      <c r="AG928" s="44"/>
      <c r="AH928" s="45"/>
      <c r="AI928" s="12"/>
      <c r="AJ928" s="12"/>
      <c r="AK928" s="12"/>
      <c r="AL928" s="12"/>
      <c r="AM928" s="44"/>
      <c r="AN928" s="45"/>
      <c r="AO928" s="12"/>
      <c r="AP928" s="12"/>
      <c r="AQ928" s="12"/>
      <c r="AR928" s="12"/>
      <c r="AS928" s="44"/>
      <c r="AT928" s="45"/>
      <c r="AU928" s="12"/>
      <c r="AV928" s="12"/>
      <c r="AW928" s="12"/>
      <c r="AX928" s="12"/>
      <c r="AY928" s="44"/>
      <c r="AZ928" s="45"/>
      <c r="BA928" s="12"/>
      <c r="BB928" s="12"/>
      <c r="BC928" s="12"/>
      <c r="BD928" s="12"/>
      <c r="BE928" s="44"/>
      <c r="BF928" s="45"/>
      <c r="BG928" s="12"/>
      <c r="BH928" s="12"/>
      <c r="BI928" s="12"/>
      <c r="BJ928" s="12"/>
      <c r="BK928" s="44"/>
      <c r="BL928" s="45"/>
      <c r="BM928" s="12"/>
      <c r="BN928" s="12"/>
      <c r="BO928" s="12"/>
      <c r="BP928" s="12"/>
      <c r="BQ928" s="48"/>
      <c r="BR928" s="49"/>
      <c r="BS928" s="13"/>
      <c r="BT928" s="12"/>
      <c r="BV928" s="14"/>
      <c r="BW928" s="50"/>
      <c r="BX928" s="54"/>
      <c r="BY928" s="14"/>
      <c r="BZ928" s="14"/>
      <c r="CA928" s="14"/>
      <c r="CB928" s="14"/>
      <c r="CC928" s="14"/>
      <c r="CD928" s="14"/>
      <c r="CE928" s="14"/>
      <c r="CF928" s="15"/>
      <c r="CG928" s="14"/>
      <c r="CH928" s="14"/>
      <c r="CI928" s="50"/>
      <c r="CJ928" s="54"/>
      <c r="CK928" s="14"/>
      <c r="CL928" s="14"/>
      <c r="CM928" s="14"/>
      <c r="CN928" s="14"/>
      <c r="CO928" s="14"/>
      <c r="CP928" s="14"/>
      <c r="CQ928" s="14"/>
      <c r="CR928" s="14"/>
      <c r="CS928" s="14"/>
      <c r="CT928" s="14"/>
      <c r="CU928" s="16"/>
      <c r="CV928" s="14"/>
      <c r="CW928" s="50"/>
      <c r="CX928" s="17"/>
    </row>
    <row r="929" spans="4:102" x14ac:dyDescent="0.25"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43"/>
      <c r="Q929" s="11"/>
      <c r="R929" s="11"/>
      <c r="S929" s="11"/>
      <c r="T929" s="11"/>
      <c r="U929" s="11"/>
      <c r="V929" s="11"/>
      <c r="W929" s="11"/>
      <c r="X929" s="12"/>
      <c r="Y929" s="12"/>
      <c r="Z929" s="12"/>
      <c r="AA929" s="44"/>
      <c r="AB929" s="45"/>
      <c r="AC929" s="12"/>
      <c r="AD929" s="12"/>
      <c r="AE929" s="12"/>
      <c r="AF929" s="12"/>
      <c r="AG929" s="44"/>
      <c r="AH929" s="45"/>
      <c r="AI929" s="12"/>
      <c r="AJ929" s="12"/>
      <c r="AK929" s="12"/>
      <c r="AL929" s="12"/>
      <c r="AM929" s="44"/>
      <c r="AN929" s="45"/>
      <c r="AO929" s="12"/>
      <c r="AP929" s="12"/>
      <c r="AQ929" s="12"/>
      <c r="AR929" s="12"/>
      <c r="AS929" s="44"/>
      <c r="AT929" s="45"/>
      <c r="AU929" s="12"/>
      <c r="AV929" s="12"/>
      <c r="AW929" s="12"/>
      <c r="AX929" s="12"/>
      <c r="AY929" s="44"/>
      <c r="AZ929" s="45"/>
      <c r="BA929" s="12"/>
      <c r="BB929" s="12"/>
      <c r="BC929" s="12"/>
      <c r="BD929" s="12"/>
      <c r="BE929" s="44"/>
      <c r="BF929" s="45"/>
      <c r="BG929" s="12"/>
      <c r="BH929" s="12"/>
      <c r="BI929" s="12"/>
      <c r="BJ929" s="12"/>
      <c r="BK929" s="44"/>
      <c r="BL929" s="45"/>
      <c r="BM929" s="12"/>
      <c r="BN929" s="12"/>
      <c r="BO929" s="12"/>
      <c r="BP929" s="12"/>
      <c r="BQ929" s="48"/>
      <c r="BR929" s="49"/>
      <c r="BS929" s="13"/>
      <c r="BT929" s="12"/>
      <c r="BV929" s="14"/>
      <c r="BW929" s="50"/>
      <c r="BX929" s="54"/>
      <c r="BY929" s="14"/>
      <c r="BZ929" s="14"/>
      <c r="CA929" s="14"/>
      <c r="CB929" s="14"/>
      <c r="CC929" s="14"/>
      <c r="CD929" s="14"/>
      <c r="CE929" s="14"/>
      <c r="CF929" s="15"/>
      <c r="CG929" s="14"/>
      <c r="CH929" s="14"/>
      <c r="CI929" s="50"/>
      <c r="CJ929" s="54"/>
      <c r="CK929" s="14"/>
      <c r="CL929" s="14"/>
      <c r="CM929" s="14"/>
      <c r="CN929" s="14"/>
      <c r="CO929" s="14"/>
      <c r="CP929" s="14"/>
      <c r="CQ929" s="14"/>
      <c r="CR929" s="14"/>
      <c r="CS929" s="14"/>
      <c r="CT929" s="14"/>
      <c r="CU929" s="16"/>
      <c r="CV929" s="14"/>
      <c r="CW929" s="50"/>
      <c r="CX929" s="17"/>
    </row>
    <row r="930" spans="4:102" x14ac:dyDescent="0.25"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43"/>
      <c r="Q930" s="11"/>
      <c r="R930" s="11"/>
      <c r="S930" s="11"/>
      <c r="T930" s="11"/>
      <c r="U930" s="11"/>
      <c r="V930" s="11"/>
      <c r="W930" s="11"/>
      <c r="X930" s="12"/>
      <c r="Y930" s="12"/>
      <c r="Z930" s="12"/>
      <c r="AA930" s="44"/>
      <c r="AB930" s="45"/>
      <c r="AC930" s="12"/>
      <c r="AD930" s="12"/>
      <c r="AE930" s="12"/>
      <c r="AF930" s="12"/>
      <c r="AG930" s="44"/>
      <c r="AH930" s="45"/>
      <c r="AI930" s="12"/>
      <c r="AJ930" s="12"/>
      <c r="AK930" s="12"/>
      <c r="AL930" s="12"/>
      <c r="AM930" s="44"/>
      <c r="AN930" s="45"/>
      <c r="AO930" s="12"/>
      <c r="AP930" s="12"/>
      <c r="AQ930" s="12"/>
      <c r="AR930" s="12"/>
      <c r="AS930" s="44"/>
      <c r="AT930" s="45"/>
      <c r="AU930" s="12"/>
      <c r="AV930" s="12"/>
      <c r="AW930" s="12"/>
      <c r="AX930" s="12"/>
      <c r="AY930" s="44"/>
      <c r="AZ930" s="45"/>
      <c r="BA930" s="12"/>
      <c r="BB930" s="12"/>
      <c r="BC930" s="12"/>
      <c r="BD930" s="12"/>
      <c r="BE930" s="44"/>
      <c r="BF930" s="45"/>
      <c r="BG930" s="12"/>
      <c r="BH930" s="12"/>
      <c r="BI930" s="12"/>
      <c r="BJ930" s="12"/>
      <c r="BK930" s="44"/>
      <c r="BL930" s="45"/>
      <c r="BM930" s="12"/>
      <c r="BN930" s="12"/>
      <c r="BO930" s="12"/>
      <c r="BP930" s="12"/>
      <c r="BQ930" s="48"/>
      <c r="BR930" s="49"/>
      <c r="BS930" s="13"/>
      <c r="BT930" s="12"/>
      <c r="BV930" s="14"/>
      <c r="BW930" s="50"/>
      <c r="BX930" s="54"/>
      <c r="BY930" s="14"/>
      <c r="BZ930" s="14"/>
      <c r="CA930" s="14"/>
      <c r="CB930" s="14"/>
      <c r="CC930" s="14"/>
      <c r="CD930" s="14"/>
      <c r="CE930" s="14"/>
      <c r="CF930" s="15"/>
      <c r="CG930" s="14"/>
      <c r="CH930" s="14"/>
      <c r="CI930" s="50"/>
      <c r="CJ930" s="54"/>
      <c r="CK930" s="14"/>
      <c r="CL930" s="14"/>
      <c r="CM930" s="14"/>
      <c r="CN930" s="14"/>
      <c r="CO930" s="14"/>
      <c r="CP930" s="14"/>
      <c r="CQ930" s="14"/>
      <c r="CR930" s="14"/>
      <c r="CS930" s="14"/>
      <c r="CT930" s="14"/>
      <c r="CU930" s="16"/>
      <c r="CV930" s="14"/>
      <c r="CW930" s="50"/>
      <c r="CX930" s="17"/>
    </row>
    <row r="931" spans="4:102" x14ac:dyDescent="0.25"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43"/>
      <c r="Q931" s="11"/>
      <c r="R931" s="11"/>
      <c r="S931" s="11"/>
      <c r="T931" s="11"/>
      <c r="U931" s="11"/>
      <c r="V931" s="11"/>
      <c r="W931" s="11"/>
      <c r="X931" s="12"/>
      <c r="Y931" s="12"/>
      <c r="Z931" s="12"/>
      <c r="AA931" s="44"/>
      <c r="AB931" s="45"/>
      <c r="AC931" s="12"/>
      <c r="AD931" s="12"/>
      <c r="AE931" s="12"/>
      <c r="AF931" s="12"/>
      <c r="AG931" s="44"/>
      <c r="AH931" s="45"/>
      <c r="AI931" s="12"/>
      <c r="AJ931" s="12"/>
      <c r="AK931" s="12"/>
      <c r="AL931" s="12"/>
      <c r="AM931" s="44"/>
      <c r="AN931" s="45"/>
      <c r="AO931" s="12"/>
      <c r="AP931" s="12"/>
      <c r="AQ931" s="12"/>
      <c r="AR931" s="12"/>
      <c r="AS931" s="44"/>
      <c r="AT931" s="45"/>
      <c r="AU931" s="12"/>
      <c r="AV931" s="12"/>
      <c r="AW931" s="12"/>
      <c r="AX931" s="12"/>
      <c r="AY931" s="44"/>
      <c r="AZ931" s="45"/>
      <c r="BA931" s="12"/>
      <c r="BB931" s="12"/>
      <c r="BC931" s="12"/>
      <c r="BD931" s="12"/>
      <c r="BE931" s="44"/>
      <c r="BF931" s="45"/>
      <c r="BG931" s="12"/>
      <c r="BH931" s="12"/>
      <c r="BI931" s="12"/>
      <c r="BJ931" s="12"/>
      <c r="BK931" s="44"/>
      <c r="BL931" s="45"/>
      <c r="BM931" s="12"/>
      <c r="BN931" s="12"/>
      <c r="BO931" s="12"/>
      <c r="BP931" s="12"/>
      <c r="BQ931" s="48"/>
      <c r="BR931" s="49"/>
      <c r="BS931" s="13"/>
      <c r="BT931" s="12"/>
      <c r="BV931" s="14"/>
      <c r="BW931" s="50"/>
      <c r="BX931" s="54"/>
      <c r="BY931" s="14"/>
      <c r="BZ931" s="14"/>
      <c r="CA931" s="14"/>
      <c r="CB931" s="14"/>
      <c r="CC931" s="14"/>
      <c r="CD931" s="14"/>
      <c r="CE931" s="14"/>
      <c r="CF931" s="15"/>
      <c r="CG931" s="14"/>
      <c r="CH931" s="14"/>
      <c r="CI931" s="50"/>
      <c r="CJ931" s="54"/>
      <c r="CK931" s="14"/>
      <c r="CL931" s="14"/>
      <c r="CM931" s="14"/>
      <c r="CN931" s="14"/>
      <c r="CO931" s="14"/>
      <c r="CP931" s="14"/>
      <c r="CQ931" s="14"/>
      <c r="CR931" s="14"/>
      <c r="CS931" s="14"/>
      <c r="CT931" s="14"/>
      <c r="CU931" s="16"/>
      <c r="CV931" s="14"/>
      <c r="CW931" s="50"/>
      <c r="CX931" s="17"/>
    </row>
    <row r="932" spans="4:102" x14ac:dyDescent="0.25"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43"/>
      <c r="Q932" s="11"/>
      <c r="R932" s="11"/>
      <c r="S932" s="11"/>
      <c r="T932" s="11"/>
      <c r="U932" s="11"/>
      <c r="V932" s="11"/>
      <c r="W932" s="11"/>
      <c r="X932" s="12"/>
      <c r="Y932" s="12"/>
      <c r="Z932" s="12"/>
      <c r="AA932" s="44"/>
      <c r="AB932" s="45"/>
      <c r="AC932" s="12"/>
      <c r="AD932" s="12"/>
      <c r="AE932" s="12"/>
      <c r="AF932" s="12"/>
      <c r="AG932" s="44"/>
      <c r="AH932" s="45"/>
      <c r="AI932" s="12"/>
      <c r="AJ932" s="12"/>
      <c r="AK932" s="12"/>
      <c r="AL932" s="12"/>
      <c r="AM932" s="44"/>
      <c r="AN932" s="45"/>
      <c r="AO932" s="12"/>
      <c r="AP932" s="12"/>
      <c r="AQ932" s="12"/>
      <c r="AR932" s="12"/>
      <c r="AS932" s="44"/>
      <c r="AT932" s="45"/>
      <c r="AU932" s="12"/>
      <c r="AV932" s="12"/>
      <c r="AW932" s="12"/>
      <c r="AX932" s="12"/>
      <c r="AY932" s="44"/>
      <c r="AZ932" s="45"/>
      <c r="BA932" s="12"/>
      <c r="BB932" s="12"/>
      <c r="BC932" s="12"/>
      <c r="BD932" s="12"/>
      <c r="BE932" s="44"/>
      <c r="BF932" s="45"/>
      <c r="BG932" s="12"/>
      <c r="BH932" s="12"/>
      <c r="BI932" s="12"/>
      <c r="BJ932" s="12"/>
      <c r="BK932" s="44"/>
      <c r="BL932" s="45"/>
      <c r="BM932" s="12"/>
      <c r="BN932" s="12"/>
      <c r="BO932" s="12"/>
      <c r="BP932" s="12"/>
      <c r="BQ932" s="48"/>
      <c r="BR932" s="49"/>
      <c r="BS932" s="13"/>
      <c r="BT932" s="12"/>
      <c r="BV932" s="14"/>
      <c r="BW932" s="50"/>
      <c r="BX932" s="54"/>
      <c r="BY932" s="14"/>
      <c r="BZ932" s="14"/>
      <c r="CA932" s="14"/>
      <c r="CB932" s="14"/>
      <c r="CC932" s="14"/>
      <c r="CD932" s="14"/>
      <c r="CE932" s="14"/>
      <c r="CF932" s="15"/>
      <c r="CG932" s="14"/>
      <c r="CH932" s="14"/>
      <c r="CI932" s="50"/>
      <c r="CJ932" s="54"/>
      <c r="CK932" s="14"/>
      <c r="CL932" s="14"/>
      <c r="CM932" s="14"/>
      <c r="CN932" s="14"/>
      <c r="CO932" s="14"/>
      <c r="CP932" s="14"/>
      <c r="CQ932" s="14"/>
      <c r="CR932" s="14"/>
      <c r="CS932" s="14"/>
      <c r="CT932" s="14"/>
      <c r="CU932" s="16"/>
      <c r="CV932" s="14"/>
      <c r="CW932" s="50"/>
      <c r="CX932" s="17"/>
    </row>
    <row r="933" spans="4:102" x14ac:dyDescent="0.25"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43"/>
      <c r="Q933" s="11"/>
      <c r="R933" s="11"/>
      <c r="S933" s="11"/>
      <c r="T933" s="11"/>
      <c r="U933" s="11"/>
      <c r="V933" s="11"/>
      <c r="W933" s="11"/>
      <c r="X933" s="12"/>
      <c r="Y933" s="12"/>
      <c r="Z933" s="12"/>
      <c r="AA933" s="44"/>
      <c r="AB933" s="45"/>
      <c r="AC933" s="12"/>
      <c r="AD933" s="12"/>
      <c r="AE933" s="12"/>
      <c r="AF933" s="12"/>
      <c r="AG933" s="44"/>
      <c r="AH933" s="45"/>
      <c r="AI933" s="12"/>
      <c r="AJ933" s="12"/>
      <c r="AK933" s="12"/>
      <c r="AL933" s="12"/>
      <c r="AM933" s="44"/>
      <c r="AN933" s="45"/>
      <c r="AO933" s="12"/>
      <c r="AP933" s="12"/>
      <c r="AQ933" s="12"/>
      <c r="AR933" s="12"/>
      <c r="AS933" s="44"/>
      <c r="AT933" s="45"/>
      <c r="AU933" s="12"/>
      <c r="AV933" s="12"/>
      <c r="AW933" s="12"/>
      <c r="AX933" s="12"/>
      <c r="AY933" s="44"/>
      <c r="AZ933" s="45"/>
      <c r="BA933" s="12"/>
      <c r="BB933" s="12"/>
      <c r="BC933" s="12"/>
      <c r="BD933" s="12"/>
      <c r="BE933" s="44"/>
      <c r="BF933" s="45"/>
      <c r="BG933" s="12"/>
      <c r="BH933" s="12"/>
      <c r="BI933" s="12"/>
      <c r="BJ933" s="12"/>
      <c r="BK933" s="44"/>
      <c r="BL933" s="45"/>
      <c r="BM933" s="12"/>
      <c r="BN933" s="12"/>
      <c r="BO933" s="12"/>
      <c r="BP933" s="12"/>
      <c r="BQ933" s="48"/>
      <c r="BR933" s="49"/>
      <c r="BS933" s="13"/>
      <c r="BT933" s="12"/>
      <c r="BV933" s="14"/>
      <c r="BW933" s="50"/>
      <c r="BX933" s="54"/>
      <c r="BY933" s="14"/>
      <c r="BZ933" s="14"/>
      <c r="CA933" s="14"/>
      <c r="CB933" s="14"/>
      <c r="CC933" s="14"/>
      <c r="CD933" s="14"/>
      <c r="CE933" s="14"/>
      <c r="CF933" s="15"/>
      <c r="CG933" s="14"/>
      <c r="CH933" s="14"/>
      <c r="CI933" s="50"/>
      <c r="CJ933" s="54"/>
      <c r="CK933" s="14"/>
      <c r="CL933" s="14"/>
      <c r="CM933" s="14"/>
      <c r="CN933" s="14"/>
      <c r="CO933" s="14"/>
      <c r="CP933" s="14"/>
      <c r="CQ933" s="14"/>
      <c r="CR933" s="14"/>
      <c r="CS933" s="14"/>
      <c r="CT933" s="14"/>
      <c r="CU933" s="16"/>
      <c r="CV933" s="14"/>
      <c r="CW933" s="50"/>
      <c r="CX933" s="17"/>
    </row>
    <row r="934" spans="4:102" x14ac:dyDescent="0.25"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43"/>
      <c r="Q934" s="11"/>
      <c r="R934" s="11"/>
      <c r="S934" s="11"/>
      <c r="T934" s="11"/>
      <c r="U934" s="11"/>
      <c r="V934" s="11"/>
      <c r="W934" s="11"/>
      <c r="X934" s="12"/>
      <c r="Y934" s="12"/>
      <c r="Z934" s="12"/>
      <c r="AA934" s="44"/>
      <c r="AB934" s="45"/>
      <c r="AC934" s="12"/>
      <c r="AD934" s="12"/>
      <c r="AE934" s="12"/>
      <c r="AF934" s="12"/>
      <c r="AG934" s="44"/>
      <c r="AH934" s="45"/>
      <c r="AI934" s="12"/>
      <c r="AJ934" s="12"/>
      <c r="AK934" s="12"/>
      <c r="AL934" s="12"/>
      <c r="AM934" s="44"/>
      <c r="AN934" s="45"/>
      <c r="AO934" s="12"/>
      <c r="AP934" s="12"/>
      <c r="AQ934" s="12"/>
      <c r="AR934" s="12"/>
      <c r="AS934" s="44"/>
      <c r="AT934" s="45"/>
      <c r="AU934" s="12"/>
      <c r="AV934" s="12"/>
      <c r="AW934" s="12"/>
      <c r="AX934" s="12"/>
      <c r="AY934" s="44"/>
      <c r="AZ934" s="45"/>
      <c r="BA934" s="12"/>
      <c r="BB934" s="12"/>
      <c r="BC934" s="12"/>
      <c r="BD934" s="12"/>
      <c r="BE934" s="44"/>
      <c r="BF934" s="45"/>
      <c r="BG934" s="12"/>
      <c r="BH934" s="12"/>
      <c r="BI934" s="12"/>
      <c r="BJ934" s="12"/>
      <c r="BK934" s="44"/>
      <c r="BL934" s="45"/>
      <c r="BM934" s="12"/>
      <c r="BN934" s="12"/>
      <c r="BO934" s="12"/>
      <c r="BP934" s="12"/>
      <c r="BQ934" s="48"/>
      <c r="BR934" s="49"/>
      <c r="BS934" s="13"/>
      <c r="BT934" s="12"/>
      <c r="BV934" s="14"/>
      <c r="BW934" s="50"/>
      <c r="BX934" s="54"/>
      <c r="BY934" s="14"/>
      <c r="BZ934" s="14"/>
      <c r="CA934" s="14"/>
      <c r="CB934" s="14"/>
      <c r="CC934" s="14"/>
      <c r="CD934" s="14"/>
      <c r="CE934" s="14"/>
      <c r="CF934" s="15"/>
      <c r="CG934" s="14"/>
      <c r="CH934" s="14"/>
      <c r="CI934" s="50"/>
      <c r="CJ934" s="54"/>
      <c r="CK934" s="14"/>
      <c r="CL934" s="14"/>
      <c r="CM934" s="14"/>
      <c r="CN934" s="14"/>
      <c r="CO934" s="14"/>
      <c r="CP934" s="14"/>
      <c r="CQ934" s="14"/>
      <c r="CR934" s="14"/>
      <c r="CS934" s="14"/>
      <c r="CT934" s="14"/>
      <c r="CU934" s="16"/>
      <c r="CV934" s="14"/>
      <c r="CW934" s="50"/>
      <c r="CX934" s="17"/>
    </row>
    <row r="935" spans="4:102" x14ac:dyDescent="0.25"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43"/>
      <c r="Q935" s="11"/>
      <c r="R935" s="11"/>
      <c r="S935" s="11"/>
      <c r="T935" s="11"/>
      <c r="U935" s="11"/>
      <c r="V935" s="11"/>
      <c r="W935" s="11"/>
      <c r="X935" s="12"/>
      <c r="Y935" s="12"/>
      <c r="Z935" s="12"/>
      <c r="AA935" s="44"/>
      <c r="AB935" s="45"/>
      <c r="AC935" s="12"/>
      <c r="AD935" s="12"/>
      <c r="AE935" s="12"/>
      <c r="AF935" s="12"/>
      <c r="AG935" s="44"/>
      <c r="AH935" s="45"/>
      <c r="AI935" s="12"/>
      <c r="AJ935" s="12"/>
      <c r="AK935" s="12"/>
      <c r="AL935" s="12"/>
      <c r="AM935" s="44"/>
      <c r="AN935" s="45"/>
      <c r="AO935" s="12"/>
      <c r="AP935" s="12"/>
      <c r="AQ935" s="12"/>
      <c r="AR935" s="12"/>
      <c r="AS935" s="44"/>
      <c r="AT935" s="45"/>
      <c r="AU935" s="12"/>
      <c r="AV935" s="12"/>
      <c r="AW935" s="12"/>
      <c r="AX935" s="12"/>
      <c r="AY935" s="44"/>
      <c r="AZ935" s="45"/>
      <c r="BA935" s="12"/>
      <c r="BB935" s="12"/>
      <c r="BC935" s="12"/>
      <c r="BD935" s="12"/>
      <c r="BE935" s="44"/>
      <c r="BF935" s="45"/>
      <c r="BG935" s="12"/>
      <c r="BH935" s="12"/>
      <c r="BI935" s="12"/>
      <c r="BJ935" s="12"/>
      <c r="BK935" s="44"/>
      <c r="BL935" s="45"/>
      <c r="BM935" s="12"/>
      <c r="BN935" s="12"/>
      <c r="BO935" s="12"/>
      <c r="BP935" s="12"/>
      <c r="BQ935" s="48"/>
      <c r="BR935" s="49"/>
      <c r="BS935" s="13"/>
      <c r="BT935" s="12"/>
      <c r="BV935" s="14"/>
      <c r="BW935" s="50"/>
      <c r="BX935" s="54"/>
      <c r="BY935" s="14"/>
      <c r="BZ935" s="14"/>
      <c r="CA935" s="14"/>
      <c r="CB935" s="14"/>
      <c r="CC935" s="14"/>
      <c r="CD935" s="14"/>
      <c r="CE935" s="14"/>
      <c r="CF935" s="15"/>
      <c r="CG935" s="14"/>
      <c r="CH935" s="14"/>
      <c r="CI935" s="50"/>
      <c r="CJ935" s="54"/>
      <c r="CK935" s="14"/>
      <c r="CL935" s="14"/>
      <c r="CM935" s="14"/>
      <c r="CN935" s="14"/>
      <c r="CO935" s="14"/>
      <c r="CP935" s="14"/>
      <c r="CQ935" s="14"/>
      <c r="CR935" s="14"/>
      <c r="CS935" s="14"/>
      <c r="CT935" s="14"/>
      <c r="CU935" s="16"/>
      <c r="CV935" s="14"/>
      <c r="CW935" s="50"/>
      <c r="CX935" s="17"/>
    </row>
    <row r="936" spans="4:102" x14ac:dyDescent="0.25"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43"/>
      <c r="Q936" s="11"/>
      <c r="R936" s="11"/>
      <c r="S936" s="11"/>
      <c r="T936" s="11"/>
      <c r="U936" s="11"/>
      <c r="V936" s="11"/>
      <c r="W936" s="11"/>
      <c r="X936" s="12"/>
      <c r="Y936" s="12"/>
      <c r="Z936" s="12"/>
      <c r="AA936" s="44"/>
      <c r="AB936" s="45"/>
      <c r="AC936" s="12"/>
      <c r="AD936" s="12"/>
      <c r="AE936" s="12"/>
      <c r="AF936" s="12"/>
      <c r="AG936" s="44"/>
      <c r="AH936" s="45"/>
      <c r="AI936" s="12"/>
      <c r="AJ936" s="12"/>
      <c r="AK936" s="12"/>
      <c r="AL936" s="12"/>
      <c r="AM936" s="44"/>
      <c r="AN936" s="45"/>
      <c r="AO936" s="12"/>
      <c r="AP936" s="12"/>
      <c r="AQ936" s="12"/>
      <c r="AR936" s="12"/>
      <c r="AS936" s="44"/>
      <c r="AT936" s="45"/>
      <c r="AU936" s="12"/>
      <c r="AV936" s="12"/>
      <c r="AW936" s="12"/>
      <c r="AX936" s="12"/>
      <c r="AY936" s="44"/>
      <c r="AZ936" s="45"/>
      <c r="BA936" s="12"/>
      <c r="BB936" s="12"/>
      <c r="BC936" s="12"/>
      <c r="BD936" s="12"/>
      <c r="BE936" s="44"/>
      <c r="BF936" s="45"/>
      <c r="BG936" s="12"/>
      <c r="BH936" s="12"/>
      <c r="BI936" s="12"/>
      <c r="BJ936" s="12"/>
      <c r="BK936" s="44"/>
      <c r="BL936" s="45"/>
      <c r="BM936" s="12"/>
      <c r="BN936" s="12"/>
      <c r="BO936" s="12"/>
      <c r="BP936" s="12"/>
      <c r="BQ936" s="48"/>
      <c r="BR936" s="49"/>
      <c r="BS936" s="13"/>
      <c r="BT936" s="12"/>
      <c r="BV936" s="14"/>
      <c r="BW936" s="50"/>
      <c r="BX936" s="54"/>
      <c r="BY936" s="14"/>
      <c r="BZ936" s="14"/>
      <c r="CA936" s="14"/>
      <c r="CB936" s="14"/>
      <c r="CC936" s="14"/>
      <c r="CD936" s="14"/>
      <c r="CE936" s="14"/>
      <c r="CF936" s="15"/>
      <c r="CG936" s="14"/>
      <c r="CH936" s="14"/>
      <c r="CI936" s="50"/>
      <c r="CJ936" s="54"/>
      <c r="CK936" s="14"/>
      <c r="CL936" s="14"/>
      <c r="CM936" s="14"/>
      <c r="CN936" s="14"/>
      <c r="CO936" s="14"/>
      <c r="CP936" s="14"/>
      <c r="CQ936" s="14"/>
      <c r="CR936" s="14"/>
      <c r="CS936" s="14"/>
      <c r="CT936" s="14"/>
      <c r="CU936" s="16"/>
      <c r="CV936" s="14"/>
      <c r="CW936" s="50"/>
      <c r="CX936" s="17"/>
    </row>
    <row r="937" spans="4:102" x14ac:dyDescent="0.25"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43"/>
      <c r="Q937" s="11"/>
      <c r="R937" s="11"/>
      <c r="S937" s="11"/>
      <c r="T937" s="11"/>
      <c r="U937" s="11"/>
      <c r="V937" s="11"/>
      <c r="W937" s="11"/>
      <c r="X937" s="12"/>
      <c r="Y937" s="12"/>
      <c r="Z937" s="12"/>
      <c r="AA937" s="44"/>
      <c r="AB937" s="45"/>
      <c r="AC937" s="12"/>
      <c r="AD937" s="12"/>
      <c r="AE937" s="12"/>
      <c r="AF937" s="12"/>
      <c r="AG937" s="44"/>
      <c r="AH937" s="45"/>
      <c r="AI937" s="12"/>
      <c r="AJ937" s="12"/>
      <c r="AK937" s="12"/>
      <c r="AL937" s="12"/>
      <c r="AM937" s="44"/>
      <c r="AN937" s="45"/>
      <c r="AO937" s="12"/>
      <c r="AP937" s="12"/>
      <c r="AQ937" s="12"/>
      <c r="AR937" s="12"/>
      <c r="AS937" s="44"/>
      <c r="AT937" s="45"/>
      <c r="AU937" s="12"/>
      <c r="AV937" s="12"/>
      <c r="AW937" s="12"/>
      <c r="AX937" s="12"/>
      <c r="AY937" s="44"/>
      <c r="AZ937" s="45"/>
      <c r="BA937" s="12"/>
      <c r="BB937" s="12"/>
      <c r="BC937" s="12"/>
      <c r="BD937" s="12"/>
      <c r="BE937" s="44"/>
      <c r="BF937" s="45"/>
      <c r="BG937" s="12"/>
      <c r="BH937" s="12"/>
      <c r="BI937" s="12"/>
      <c r="BJ937" s="12"/>
      <c r="BK937" s="44"/>
      <c r="BL937" s="45"/>
      <c r="BM937" s="12"/>
      <c r="BN937" s="12"/>
      <c r="BO937" s="12"/>
      <c r="BP937" s="12"/>
      <c r="BQ937" s="48"/>
      <c r="BR937" s="49"/>
      <c r="BS937" s="13"/>
      <c r="BT937" s="12"/>
      <c r="BV937" s="14"/>
      <c r="BW937" s="50"/>
      <c r="BX937" s="54"/>
      <c r="BY937" s="14"/>
      <c r="BZ937" s="14"/>
      <c r="CA937" s="14"/>
      <c r="CB937" s="14"/>
      <c r="CC937" s="14"/>
      <c r="CD937" s="14"/>
      <c r="CE937" s="14"/>
      <c r="CF937" s="15"/>
      <c r="CG937" s="14"/>
      <c r="CH937" s="14"/>
      <c r="CI937" s="50"/>
      <c r="CJ937" s="54"/>
      <c r="CK937" s="14"/>
      <c r="CL937" s="14"/>
      <c r="CM937" s="14"/>
      <c r="CN937" s="14"/>
      <c r="CO937" s="14"/>
      <c r="CP937" s="14"/>
      <c r="CQ937" s="14"/>
      <c r="CR937" s="14"/>
      <c r="CS937" s="14"/>
      <c r="CT937" s="14"/>
      <c r="CU937" s="16"/>
      <c r="CV937" s="14"/>
      <c r="CW937" s="50"/>
      <c r="CX937" s="17"/>
    </row>
    <row r="938" spans="4:102" x14ac:dyDescent="0.25"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43"/>
      <c r="Q938" s="11"/>
      <c r="R938" s="11"/>
      <c r="S938" s="11"/>
      <c r="T938" s="11"/>
      <c r="U938" s="11"/>
      <c r="V938" s="11"/>
      <c r="W938" s="11"/>
      <c r="X938" s="12"/>
      <c r="Y938" s="12"/>
      <c r="Z938" s="12"/>
      <c r="AA938" s="44"/>
      <c r="AB938" s="45"/>
      <c r="AC938" s="12"/>
      <c r="AD938" s="12"/>
      <c r="AE938" s="12"/>
      <c r="AF938" s="12"/>
      <c r="AG938" s="44"/>
      <c r="AH938" s="45"/>
      <c r="AI938" s="12"/>
      <c r="AJ938" s="12"/>
      <c r="AK938" s="12"/>
      <c r="AL938" s="12"/>
      <c r="AM938" s="44"/>
      <c r="AN938" s="45"/>
      <c r="AO938" s="12"/>
      <c r="AP938" s="12"/>
      <c r="AQ938" s="12"/>
      <c r="AR938" s="12"/>
      <c r="AS938" s="44"/>
      <c r="AT938" s="45"/>
      <c r="AU938" s="12"/>
      <c r="AV938" s="12"/>
      <c r="AW938" s="12"/>
      <c r="AX938" s="12"/>
      <c r="AY938" s="44"/>
      <c r="AZ938" s="45"/>
      <c r="BA938" s="12"/>
      <c r="BB938" s="12"/>
      <c r="BC938" s="12"/>
      <c r="BD938" s="12"/>
      <c r="BE938" s="44"/>
      <c r="BF938" s="45"/>
      <c r="BG938" s="12"/>
      <c r="BH938" s="12"/>
      <c r="BI938" s="12"/>
      <c r="BJ938" s="12"/>
      <c r="BK938" s="44"/>
      <c r="BL938" s="45"/>
      <c r="BM938" s="12"/>
      <c r="BN938" s="12"/>
      <c r="BO938" s="12"/>
      <c r="BP938" s="12"/>
      <c r="BQ938" s="48"/>
      <c r="BR938" s="49"/>
      <c r="BS938" s="13"/>
      <c r="BT938" s="12"/>
      <c r="BV938" s="14"/>
      <c r="BW938" s="50"/>
      <c r="BX938" s="54"/>
      <c r="BY938" s="14"/>
      <c r="BZ938" s="14"/>
      <c r="CA938" s="14"/>
      <c r="CB938" s="14"/>
      <c r="CC938" s="14"/>
      <c r="CD938" s="14"/>
      <c r="CE938" s="14"/>
      <c r="CF938" s="15"/>
      <c r="CG938" s="14"/>
      <c r="CH938" s="14"/>
      <c r="CI938" s="50"/>
      <c r="CJ938" s="54"/>
      <c r="CK938" s="14"/>
      <c r="CL938" s="14"/>
      <c r="CM938" s="14"/>
      <c r="CN938" s="14"/>
      <c r="CO938" s="14"/>
      <c r="CP938" s="14"/>
      <c r="CQ938" s="14"/>
      <c r="CR938" s="14"/>
      <c r="CS938" s="14"/>
      <c r="CT938" s="14"/>
      <c r="CU938" s="16"/>
      <c r="CV938" s="14"/>
      <c r="CW938" s="50"/>
      <c r="CX938" s="17"/>
    </row>
    <row r="939" spans="4:102" x14ac:dyDescent="0.25"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43"/>
      <c r="Q939" s="11"/>
      <c r="R939" s="11"/>
      <c r="S939" s="11"/>
      <c r="T939" s="11"/>
      <c r="U939" s="11"/>
      <c r="V939" s="11"/>
      <c r="W939" s="11"/>
      <c r="X939" s="12"/>
      <c r="Y939" s="12"/>
      <c r="Z939" s="12"/>
      <c r="AA939" s="44"/>
      <c r="AB939" s="45"/>
      <c r="AC939" s="12"/>
      <c r="AD939" s="12"/>
      <c r="AE939" s="12"/>
      <c r="AF939" s="12"/>
      <c r="AG939" s="44"/>
      <c r="AH939" s="45"/>
      <c r="AI939" s="12"/>
      <c r="AJ939" s="12"/>
      <c r="AK939" s="12"/>
      <c r="AL939" s="12"/>
      <c r="AM939" s="44"/>
      <c r="AN939" s="45"/>
      <c r="AO939" s="12"/>
      <c r="AP939" s="12"/>
      <c r="AQ939" s="12"/>
      <c r="AR939" s="12"/>
      <c r="AS939" s="44"/>
      <c r="AT939" s="45"/>
      <c r="AU939" s="12"/>
      <c r="AV939" s="12"/>
      <c r="AW939" s="12"/>
      <c r="AX939" s="12"/>
      <c r="AY939" s="44"/>
      <c r="AZ939" s="45"/>
      <c r="BA939" s="12"/>
      <c r="BB939" s="12"/>
      <c r="BC939" s="12"/>
      <c r="BD939" s="12"/>
      <c r="BE939" s="44"/>
      <c r="BF939" s="45"/>
      <c r="BG939" s="12"/>
      <c r="BH939" s="12"/>
      <c r="BI939" s="12"/>
      <c r="BJ939" s="12"/>
      <c r="BK939" s="44"/>
      <c r="BL939" s="45"/>
      <c r="BM939" s="12"/>
      <c r="BN939" s="12"/>
      <c r="BO939" s="12"/>
      <c r="BP939" s="12"/>
      <c r="BQ939" s="48"/>
      <c r="BR939" s="49"/>
      <c r="BS939" s="13"/>
      <c r="BT939" s="12"/>
      <c r="BV939" s="14"/>
      <c r="BW939" s="50"/>
      <c r="BX939" s="54"/>
      <c r="BY939" s="14"/>
      <c r="BZ939" s="14"/>
      <c r="CA939" s="14"/>
      <c r="CB939" s="14"/>
      <c r="CC939" s="14"/>
      <c r="CD939" s="14"/>
      <c r="CE939" s="14"/>
      <c r="CF939" s="15"/>
      <c r="CG939" s="14"/>
      <c r="CH939" s="14"/>
      <c r="CI939" s="50"/>
      <c r="CJ939" s="54"/>
      <c r="CK939" s="14"/>
      <c r="CL939" s="14"/>
      <c r="CM939" s="14"/>
      <c r="CN939" s="14"/>
      <c r="CO939" s="14"/>
      <c r="CP939" s="14"/>
      <c r="CQ939" s="14"/>
      <c r="CR939" s="14"/>
      <c r="CS939" s="14"/>
      <c r="CT939" s="14"/>
      <c r="CU939" s="16"/>
      <c r="CV939" s="14"/>
      <c r="CW939" s="50"/>
      <c r="CX939" s="17"/>
    </row>
    <row r="940" spans="4:102" x14ac:dyDescent="0.25"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43"/>
      <c r="Q940" s="11"/>
      <c r="R940" s="11"/>
      <c r="S940" s="11"/>
      <c r="T940" s="11"/>
      <c r="U940" s="11"/>
      <c r="V940" s="11"/>
      <c r="W940" s="11"/>
      <c r="X940" s="12"/>
      <c r="Y940" s="12"/>
      <c r="Z940" s="12"/>
      <c r="AA940" s="44"/>
      <c r="AB940" s="45"/>
      <c r="AC940" s="12"/>
      <c r="AD940" s="12"/>
      <c r="AE940" s="12"/>
      <c r="AF940" s="12"/>
      <c r="AG940" s="44"/>
      <c r="AH940" s="45"/>
      <c r="AI940" s="12"/>
      <c r="AJ940" s="12"/>
      <c r="AK940" s="12"/>
      <c r="AL940" s="12"/>
      <c r="AM940" s="44"/>
      <c r="AN940" s="45"/>
      <c r="AO940" s="12"/>
      <c r="AP940" s="12"/>
      <c r="AQ940" s="12"/>
      <c r="AR940" s="12"/>
      <c r="AS940" s="44"/>
      <c r="AT940" s="45"/>
      <c r="AU940" s="12"/>
      <c r="AV940" s="12"/>
      <c r="AW940" s="12"/>
      <c r="AX940" s="12"/>
      <c r="AY940" s="44"/>
      <c r="AZ940" s="45"/>
      <c r="BA940" s="12"/>
      <c r="BB940" s="12"/>
      <c r="BC940" s="12"/>
      <c r="BD940" s="12"/>
      <c r="BE940" s="44"/>
      <c r="BF940" s="45"/>
      <c r="BG940" s="12"/>
      <c r="BH940" s="12"/>
      <c r="BI940" s="12"/>
      <c r="BJ940" s="12"/>
      <c r="BK940" s="44"/>
      <c r="BL940" s="45"/>
      <c r="BM940" s="12"/>
      <c r="BN940" s="12"/>
      <c r="BO940" s="12"/>
      <c r="BP940" s="12"/>
      <c r="BQ940" s="48"/>
      <c r="BR940" s="49"/>
      <c r="BS940" s="13"/>
      <c r="BT940" s="12"/>
      <c r="BV940" s="14"/>
      <c r="BW940" s="50"/>
      <c r="BX940" s="54"/>
      <c r="BY940" s="14"/>
      <c r="BZ940" s="14"/>
      <c r="CA940" s="14"/>
      <c r="CB940" s="14"/>
      <c r="CC940" s="14"/>
      <c r="CD940" s="14"/>
      <c r="CE940" s="14"/>
      <c r="CF940" s="15"/>
      <c r="CG940" s="14"/>
      <c r="CH940" s="14"/>
      <c r="CI940" s="50"/>
      <c r="CJ940" s="54"/>
      <c r="CK940" s="14"/>
      <c r="CL940" s="14"/>
      <c r="CM940" s="14"/>
      <c r="CN940" s="14"/>
      <c r="CO940" s="14"/>
      <c r="CP940" s="14"/>
      <c r="CQ940" s="14"/>
      <c r="CR940" s="14"/>
      <c r="CS940" s="14"/>
      <c r="CT940" s="14"/>
      <c r="CU940" s="16"/>
      <c r="CV940" s="14"/>
      <c r="CW940" s="50"/>
      <c r="CX940" s="17"/>
    </row>
    <row r="941" spans="4:102" x14ac:dyDescent="0.25"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43"/>
      <c r="Q941" s="11"/>
      <c r="R941" s="11"/>
      <c r="S941" s="11"/>
      <c r="T941" s="11"/>
      <c r="U941" s="11"/>
      <c r="V941" s="11"/>
      <c r="W941" s="11"/>
      <c r="X941" s="12"/>
      <c r="Y941" s="12"/>
      <c r="Z941" s="12"/>
      <c r="AA941" s="44"/>
      <c r="AB941" s="45"/>
      <c r="AC941" s="12"/>
      <c r="AD941" s="12"/>
      <c r="AE941" s="12"/>
      <c r="AF941" s="12"/>
      <c r="AG941" s="44"/>
      <c r="AH941" s="45"/>
      <c r="AI941" s="12"/>
      <c r="AJ941" s="12"/>
      <c r="AK941" s="12"/>
      <c r="AL941" s="12"/>
      <c r="AM941" s="44"/>
      <c r="AN941" s="45"/>
      <c r="AO941" s="12"/>
      <c r="AP941" s="12"/>
      <c r="AQ941" s="12"/>
      <c r="AR941" s="12"/>
      <c r="AS941" s="44"/>
      <c r="AT941" s="45"/>
      <c r="AU941" s="12"/>
      <c r="AV941" s="12"/>
      <c r="AW941" s="12"/>
      <c r="AX941" s="12"/>
      <c r="AY941" s="44"/>
      <c r="AZ941" s="45"/>
      <c r="BA941" s="12"/>
      <c r="BB941" s="12"/>
      <c r="BC941" s="12"/>
      <c r="BD941" s="12"/>
      <c r="BE941" s="44"/>
      <c r="BF941" s="45"/>
      <c r="BG941" s="12"/>
      <c r="BH941" s="12"/>
      <c r="BI941" s="12"/>
      <c r="BJ941" s="12"/>
      <c r="BK941" s="44"/>
      <c r="BL941" s="45"/>
      <c r="BM941" s="12"/>
      <c r="BN941" s="12"/>
      <c r="BO941" s="12"/>
      <c r="BP941" s="12"/>
      <c r="BQ941" s="48"/>
      <c r="BR941" s="49"/>
      <c r="BS941" s="13"/>
      <c r="BT941" s="12"/>
      <c r="BV941" s="14"/>
      <c r="BW941" s="50"/>
      <c r="BX941" s="54"/>
      <c r="BY941" s="14"/>
      <c r="BZ941" s="14"/>
      <c r="CA941" s="14"/>
      <c r="CB941" s="14"/>
      <c r="CC941" s="14"/>
      <c r="CD941" s="14"/>
      <c r="CE941" s="14"/>
      <c r="CF941" s="15"/>
      <c r="CG941" s="14"/>
      <c r="CH941" s="14"/>
      <c r="CI941" s="50"/>
      <c r="CJ941" s="54"/>
      <c r="CK941" s="14"/>
      <c r="CL941" s="14"/>
      <c r="CM941" s="14"/>
      <c r="CN941" s="14"/>
      <c r="CO941" s="14"/>
      <c r="CP941" s="14"/>
      <c r="CQ941" s="14"/>
      <c r="CR941" s="14"/>
      <c r="CS941" s="14"/>
      <c r="CT941" s="14"/>
      <c r="CU941" s="16"/>
      <c r="CV941" s="14"/>
      <c r="CW941" s="50"/>
      <c r="CX941" s="17"/>
    </row>
    <row r="942" spans="4:102" x14ac:dyDescent="0.25"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43"/>
      <c r="Q942" s="11"/>
      <c r="R942" s="11"/>
      <c r="S942" s="11"/>
      <c r="T942" s="11"/>
      <c r="U942" s="11"/>
      <c r="V942" s="11"/>
      <c r="W942" s="11"/>
      <c r="X942" s="12"/>
      <c r="Y942" s="12"/>
      <c r="Z942" s="12"/>
      <c r="AA942" s="44"/>
      <c r="AB942" s="45"/>
      <c r="AC942" s="12"/>
      <c r="AD942" s="12"/>
      <c r="AE942" s="12"/>
      <c r="AF942" s="12"/>
      <c r="AG942" s="44"/>
      <c r="AH942" s="45"/>
      <c r="AI942" s="12"/>
      <c r="AJ942" s="12"/>
      <c r="AK942" s="12"/>
      <c r="AL942" s="12"/>
      <c r="AM942" s="44"/>
      <c r="AN942" s="45"/>
      <c r="AO942" s="12"/>
      <c r="AP942" s="12"/>
      <c r="AQ942" s="12"/>
      <c r="AR942" s="12"/>
      <c r="AS942" s="44"/>
      <c r="AT942" s="45"/>
      <c r="AU942" s="12"/>
      <c r="AV942" s="12"/>
      <c r="AW942" s="12"/>
      <c r="AX942" s="12"/>
      <c r="AY942" s="44"/>
      <c r="AZ942" s="45"/>
      <c r="BA942" s="12"/>
      <c r="BB942" s="12"/>
      <c r="BC942" s="12"/>
      <c r="BD942" s="12"/>
      <c r="BE942" s="44"/>
      <c r="BF942" s="45"/>
      <c r="BG942" s="12"/>
      <c r="BH942" s="12"/>
      <c r="BI942" s="12"/>
      <c r="BJ942" s="12"/>
      <c r="BK942" s="44"/>
      <c r="BL942" s="45"/>
      <c r="BM942" s="12"/>
      <c r="BN942" s="12"/>
      <c r="BO942" s="12"/>
      <c r="BP942" s="12"/>
      <c r="BQ942" s="48"/>
      <c r="BR942" s="49"/>
      <c r="BS942" s="13"/>
      <c r="BT942" s="12"/>
      <c r="BV942" s="14"/>
      <c r="BW942" s="50"/>
      <c r="BX942" s="54"/>
      <c r="BY942" s="14"/>
      <c r="BZ942" s="14"/>
      <c r="CA942" s="14"/>
      <c r="CB942" s="14"/>
      <c r="CC942" s="14"/>
      <c r="CD942" s="14"/>
      <c r="CE942" s="14"/>
      <c r="CF942" s="15"/>
      <c r="CG942" s="14"/>
      <c r="CH942" s="14"/>
      <c r="CI942" s="50"/>
      <c r="CJ942" s="54"/>
      <c r="CK942" s="14"/>
      <c r="CL942" s="14"/>
      <c r="CM942" s="14"/>
      <c r="CN942" s="14"/>
      <c r="CO942" s="14"/>
      <c r="CP942" s="14"/>
      <c r="CQ942" s="14"/>
      <c r="CR942" s="14"/>
      <c r="CS942" s="14"/>
      <c r="CT942" s="14"/>
      <c r="CU942" s="16"/>
      <c r="CV942" s="14"/>
      <c r="CW942" s="50"/>
      <c r="CX942" s="17"/>
    </row>
    <row r="943" spans="4:102" x14ac:dyDescent="0.25"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43"/>
      <c r="Q943" s="11"/>
      <c r="R943" s="11"/>
      <c r="S943" s="11"/>
      <c r="T943" s="11"/>
      <c r="U943" s="11"/>
      <c r="V943" s="11"/>
      <c r="W943" s="11"/>
      <c r="X943" s="12"/>
      <c r="Y943" s="12"/>
      <c r="Z943" s="12"/>
      <c r="AA943" s="44"/>
      <c r="AB943" s="45"/>
      <c r="AC943" s="12"/>
      <c r="AD943" s="12"/>
      <c r="AE943" s="12"/>
      <c r="AF943" s="12"/>
      <c r="AG943" s="44"/>
      <c r="AH943" s="45"/>
      <c r="AI943" s="12"/>
      <c r="AJ943" s="12"/>
      <c r="AK943" s="12"/>
      <c r="AL943" s="12"/>
      <c r="AM943" s="44"/>
      <c r="AN943" s="45"/>
      <c r="AO943" s="12"/>
      <c r="AP943" s="12"/>
      <c r="AQ943" s="12"/>
      <c r="AR943" s="12"/>
      <c r="AS943" s="44"/>
      <c r="AT943" s="45"/>
      <c r="AU943" s="12"/>
      <c r="AV943" s="12"/>
      <c r="AW943" s="12"/>
      <c r="AX943" s="12"/>
      <c r="AY943" s="44"/>
      <c r="AZ943" s="45"/>
      <c r="BA943" s="12"/>
      <c r="BB943" s="12"/>
      <c r="BC943" s="12"/>
      <c r="BD943" s="12"/>
      <c r="BE943" s="44"/>
      <c r="BF943" s="45"/>
      <c r="BG943" s="12"/>
      <c r="BH943" s="12"/>
      <c r="BI943" s="12"/>
      <c r="BJ943" s="12"/>
      <c r="BK943" s="44"/>
      <c r="BL943" s="45"/>
      <c r="BM943" s="12"/>
      <c r="BN943" s="12"/>
      <c r="BO943" s="12"/>
      <c r="BP943" s="12"/>
      <c r="BQ943" s="48"/>
      <c r="BR943" s="49"/>
      <c r="BS943" s="13"/>
      <c r="BT943" s="12"/>
      <c r="BV943" s="14"/>
      <c r="BW943" s="50"/>
      <c r="BX943" s="54"/>
      <c r="BY943" s="14"/>
      <c r="BZ943" s="14"/>
      <c r="CA943" s="14"/>
      <c r="CB943" s="14"/>
      <c r="CC943" s="14"/>
      <c r="CD943" s="14"/>
      <c r="CE943" s="14"/>
      <c r="CF943" s="15"/>
      <c r="CG943" s="14"/>
      <c r="CH943" s="14"/>
      <c r="CI943" s="50"/>
      <c r="CJ943" s="54"/>
      <c r="CK943" s="14"/>
      <c r="CL943" s="14"/>
      <c r="CM943" s="14"/>
      <c r="CN943" s="14"/>
      <c r="CO943" s="14"/>
      <c r="CP943" s="14"/>
      <c r="CQ943" s="14"/>
      <c r="CR943" s="14"/>
      <c r="CS943" s="14"/>
      <c r="CT943" s="14"/>
      <c r="CU943" s="16"/>
      <c r="CV943" s="14"/>
      <c r="CW943" s="50"/>
      <c r="CX943" s="17"/>
    </row>
    <row r="944" spans="4:102" x14ac:dyDescent="0.25"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43"/>
      <c r="Q944" s="11"/>
      <c r="R944" s="11"/>
      <c r="S944" s="11"/>
      <c r="T944" s="11"/>
      <c r="U944" s="11"/>
      <c r="V944" s="11"/>
      <c r="W944" s="11"/>
      <c r="X944" s="12"/>
      <c r="Y944" s="12"/>
      <c r="Z944" s="12"/>
      <c r="AA944" s="44"/>
      <c r="AB944" s="45"/>
      <c r="AC944" s="12"/>
      <c r="AD944" s="12"/>
      <c r="AE944" s="12"/>
      <c r="AF944" s="12"/>
      <c r="AG944" s="44"/>
      <c r="AH944" s="45"/>
      <c r="AI944" s="12"/>
      <c r="AJ944" s="12"/>
      <c r="AK944" s="12"/>
      <c r="AL944" s="12"/>
      <c r="AM944" s="44"/>
      <c r="AN944" s="45"/>
      <c r="AO944" s="12"/>
      <c r="AP944" s="12"/>
      <c r="AQ944" s="12"/>
      <c r="AR944" s="12"/>
      <c r="AS944" s="44"/>
      <c r="AT944" s="45"/>
      <c r="AU944" s="12"/>
      <c r="AV944" s="12"/>
      <c r="AW944" s="12"/>
      <c r="AX944" s="12"/>
      <c r="AY944" s="44"/>
      <c r="AZ944" s="45"/>
      <c r="BA944" s="12"/>
      <c r="BB944" s="12"/>
      <c r="BC944" s="12"/>
      <c r="BD944" s="12"/>
      <c r="BE944" s="44"/>
      <c r="BF944" s="45"/>
      <c r="BG944" s="12"/>
      <c r="BH944" s="12"/>
      <c r="BI944" s="12"/>
      <c r="BJ944" s="12"/>
      <c r="BK944" s="44"/>
      <c r="BL944" s="45"/>
      <c r="BM944" s="12"/>
      <c r="BN944" s="12"/>
      <c r="BO944" s="12"/>
      <c r="BP944" s="12"/>
      <c r="BQ944" s="48"/>
      <c r="BR944" s="49"/>
      <c r="BS944" s="13"/>
      <c r="BT944" s="12"/>
      <c r="BV944" s="14"/>
      <c r="BW944" s="50"/>
      <c r="BX944" s="54"/>
      <c r="BY944" s="14"/>
      <c r="BZ944" s="14"/>
      <c r="CA944" s="14"/>
      <c r="CB944" s="14"/>
      <c r="CC944" s="14"/>
      <c r="CD944" s="14"/>
      <c r="CE944" s="14"/>
      <c r="CF944" s="15"/>
      <c r="CG944" s="14"/>
      <c r="CH944" s="14"/>
      <c r="CI944" s="50"/>
      <c r="CJ944" s="54"/>
      <c r="CK944" s="14"/>
      <c r="CL944" s="14"/>
      <c r="CM944" s="14"/>
      <c r="CN944" s="14"/>
      <c r="CO944" s="14"/>
      <c r="CP944" s="14"/>
      <c r="CQ944" s="14"/>
      <c r="CR944" s="14"/>
      <c r="CS944" s="14"/>
      <c r="CT944" s="14"/>
      <c r="CU944" s="16"/>
      <c r="CV944" s="14"/>
      <c r="CW944" s="50"/>
      <c r="CX944" s="17"/>
    </row>
    <row r="945" spans="4:102" x14ac:dyDescent="0.25"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43"/>
      <c r="Q945" s="11"/>
      <c r="R945" s="11"/>
      <c r="S945" s="11"/>
      <c r="T945" s="11"/>
      <c r="U945" s="11"/>
      <c r="V945" s="11"/>
      <c r="W945" s="11"/>
      <c r="X945" s="12"/>
      <c r="Y945" s="12"/>
      <c r="Z945" s="12"/>
      <c r="AA945" s="44"/>
      <c r="AB945" s="45"/>
      <c r="AC945" s="12"/>
      <c r="AD945" s="12"/>
      <c r="AE945" s="12"/>
      <c r="AF945" s="12"/>
      <c r="AG945" s="44"/>
      <c r="AH945" s="45"/>
      <c r="AI945" s="12"/>
      <c r="AJ945" s="12"/>
      <c r="AK945" s="12"/>
      <c r="AL945" s="12"/>
      <c r="AM945" s="44"/>
      <c r="AN945" s="45"/>
      <c r="AO945" s="12"/>
      <c r="AP945" s="12"/>
      <c r="AQ945" s="12"/>
      <c r="AR945" s="12"/>
      <c r="AS945" s="44"/>
      <c r="AT945" s="45"/>
      <c r="AU945" s="12"/>
      <c r="AV945" s="12"/>
      <c r="AW945" s="12"/>
      <c r="AX945" s="12"/>
      <c r="AY945" s="44"/>
      <c r="AZ945" s="45"/>
      <c r="BA945" s="12"/>
      <c r="BB945" s="12"/>
      <c r="BC945" s="12"/>
      <c r="BD945" s="12"/>
      <c r="BE945" s="44"/>
      <c r="BF945" s="45"/>
      <c r="BG945" s="12"/>
      <c r="BH945" s="12"/>
      <c r="BI945" s="12"/>
      <c r="BJ945" s="12"/>
      <c r="BK945" s="44"/>
      <c r="BL945" s="45"/>
      <c r="BM945" s="12"/>
      <c r="BN945" s="12"/>
      <c r="BO945" s="12"/>
      <c r="BP945" s="12"/>
      <c r="BQ945" s="48"/>
      <c r="BR945" s="49"/>
      <c r="BS945" s="13"/>
      <c r="BT945" s="12"/>
      <c r="BV945" s="14"/>
      <c r="BW945" s="50"/>
      <c r="BX945" s="54"/>
      <c r="BY945" s="14"/>
      <c r="BZ945" s="14"/>
      <c r="CA945" s="14"/>
      <c r="CB945" s="14"/>
      <c r="CC945" s="14"/>
      <c r="CD945" s="14"/>
      <c r="CE945" s="14"/>
      <c r="CF945" s="15"/>
      <c r="CG945" s="14"/>
      <c r="CH945" s="14"/>
      <c r="CI945" s="50"/>
      <c r="CJ945" s="54"/>
      <c r="CK945" s="14"/>
      <c r="CL945" s="14"/>
      <c r="CM945" s="14"/>
      <c r="CN945" s="14"/>
      <c r="CO945" s="14"/>
      <c r="CP945" s="14"/>
      <c r="CQ945" s="14"/>
      <c r="CR945" s="14"/>
      <c r="CS945" s="14"/>
      <c r="CT945" s="14"/>
      <c r="CU945" s="16"/>
      <c r="CV945" s="14"/>
      <c r="CW945" s="50"/>
      <c r="CX945" s="17"/>
    </row>
    <row r="946" spans="4:102" x14ac:dyDescent="0.25"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43"/>
      <c r="Q946" s="11"/>
      <c r="R946" s="11"/>
      <c r="S946" s="11"/>
      <c r="T946" s="11"/>
      <c r="U946" s="11"/>
      <c r="V946" s="11"/>
      <c r="W946" s="11"/>
      <c r="X946" s="12"/>
      <c r="Y946" s="12"/>
      <c r="Z946" s="12"/>
      <c r="AA946" s="44"/>
      <c r="AB946" s="45"/>
      <c r="AC946" s="12"/>
      <c r="AD946" s="12"/>
      <c r="AE946" s="12"/>
      <c r="AF946" s="12"/>
      <c r="AG946" s="44"/>
      <c r="AH946" s="45"/>
      <c r="AI946" s="12"/>
      <c r="AJ946" s="12"/>
      <c r="AK946" s="12"/>
      <c r="AL946" s="12"/>
      <c r="AM946" s="44"/>
      <c r="AN946" s="45"/>
      <c r="AO946" s="12"/>
      <c r="AP946" s="12"/>
      <c r="AQ946" s="12"/>
      <c r="AR946" s="12"/>
      <c r="AS946" s="44"/>
      <c r="AT946" s="45"/>
      <c r="AU946" s="12"/>
      <c r="AV946" s="12"/>
      <c r="AW946" s="12"/>
      <c r="AX946" s="12"/>
      <c r="AY946" s="44"/>
      <c r="AZ946" s="45"/>
      <c r="BA946" s="12"/>
      <c r="BB946" s="12"/>
      <c r="BC946" s="12"/>
      <c r="BD946" s="12"/>
      <c r="BE946" s="44"/>
      <c r="BF946" s="45"/>
      <c r="BG946" s="12"/>
      <c r="BH946" s="12"/>
      <c r="BI946" s="12"/>
      <c r="BJ946" s="12"/>
      <c r="BK946" s="44"/>
      <c r="BL946" s="45"/>
      <c r="BM946" s="12"/>
      <c r="BN946" s="12"/>
      <c r="BO946" s="12"/>
      <c r="BP946" s="12"/>
      <c r="BQ946" s="48"/>
      <c r="BR946" s="49"/>
      <c r="BS946" s="13"/>
      <c r="BT946" s="12"/>
      <c r="BV946" s="14"/>
      <c r="BW946" s="50"/>
      <c r="BX946" s="54"/>
      <c r="BY946" s="14"/>
      <c r="BZ946" s="14"/>
      <c r="CA946" s="14"/>
      <c r="CB946" s="14"/>
      <c r="CC946" s="14"/>
      <c r="CD946" s="14"/>
      <c r="CE946" s="14"/>
      <c r="CF946" s="15"/>
      <c r="CG946" s="14"/>
      <c r="CH946" s="14"/>
      <c r="CI946" s="50"/>
      <c r="CJ946" s="54"/>
      <c r="CK946" s="14"/>
      <c r="CL946" s="14"/>
      <c r="CM946" s="14"/>
      <c r="CN946" s="14"/>
      <c r="CO946" s="14"/>
      <c r="CP946" s="14"/>
      <c r="CQ946" s="14"/>
      <c r="CR946" s="14"/>
      <c r="CS946" s="14"/>
      <c r="CT946" s="14"/>
      <c r="CU946" s="16"/>
      <c r="CV946" s="14"/>
      <c r="CW946" s="50"/>
      <c r="CX946" s="17"/>
    </row>
    <row r="947" spans="4:102" x14ac:dyDescent="0.25"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43"/>
      <c r="Q947" s="11"/>
      <c r="R947" s="11"/>
      <c r="S947" s="11"/>
      <c r="T947" s="11"/>
      <c r="U947" s="11"/>
      <c r="V947" s="11"/>
      <c r="W947" s="11"/>
      <c r="X947" s="12"/>
      <c r="Y947" s="12"/>
      <c r="Z947" s="12"/>
      <c r="AA947" s="44"/>
      <c r="AB947" s="45"/>
      <c r="AC947" s="12"/>
      <c r="AD947" s="12"/>
      <c r="AE947" s="12"/>
      <c r="AF947" s="12"/>
      <c r="AG947" s="44"/>
      <c r="AH947" s="45"/>
      <c r="AI947" s="12"/>
      <c r="AJ947" s="12"/>
      <c r="AK947" s="12"/>
      <c r="AL947" s="12"/>
      <c r="AM947" s="44"/>
      <c r="AN947" s="45"/>
      <c r="AO947" s="12"/>
      <c r="AP947" s="12"/>
      <c r="AQ947" s="12"/>
      <c r="AR947" s="12"/>
      <c r="AS947" s="44"/>
      <c r="AT947" s="45"/>
      <c r="AU947" s="12"/>
      <c r="AV947" s="12"/>
      <c r="AW947" s="12"/>
      <c r="AX947" s="12"/>
      <c r="AY947" s="44"/>
      <c r="AZ947" s="45"/>
      <c r="BA947" s="12"/>
      <c r="BB947" s="12"/>
      <c r="BC947" s="12"/>
      <c r="BD947" s="12"/>
      <c r="BE947" s="44"/>
      <c r="BF947" s="45"/>
      <c r="BG947" s="12"/>
      <c r="BH947" s="12"/>
      <c r="BI947" s="12"/>
      <c r="BJ947" s="12"/>
      <c r="BK947" s="44"/>
      <c r="BL947" s="45"/>
      <c r="BM947" s="12"/>
      <c r="BN947" s="12"/>
      <c r="BO947" s="12"/>
      <c r="BP947" s="12"/>
      <c r="BQ947" s="48"/>
      <c r="BR947" s="49"/>
      <c r="BS947" s="13"/>
      <c r="BT947" s="12"/>
      <c r="BV947" s="14"/>
      <c r="BW947" s="50"/>
      <c r="BX947" s="54"/>
      <c r="BY947" s="14"/>
      <c r="BZ947" s="14"/>
      <c r="CA947" s="14"/>
      <c r="CB947" s="14"/>
      <c r="CC947" s="14"/>
      <c r="CD947" s="14"/>
      <c r="CE947" s="14"/>
      <c r="CF947" s="15"/>
      <c r="CG947" s="14"/>
      <c r="CH947" s="14"/>
      <c r="CI947" s="50"/>
      <c r="CJ947" s="54"/>
      <c r="CK947" s="14"/>
      <c r="CL947" s="14"/>
      <c r="CM947" s="14"/>
      <c r="CN947" s="14"/>
      <c r="CO947" s="14"/>
      <c r="CP947" s="14"/>
      <c r="CQ947" s="14"/>
      <c r="CR947" s="14"/>
      <c r="CS947" s="14"/>
      <c r="CT947" s="14"/>
      <c r="CU947" s="16"/>
      <c r="CV947" s="14"/>
      <c r="CW947" s="50"/>
      <c r="CX947" s="17"/>
    </row>
    <row r="948" spans="4:102" x14ac:dyDescent="0.25"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43"/>
      <c r="Q948" s="11"/>
      <c r="R948" s="11"/>
      <c r="S948" s="11"/>
      <c r="T948" s="11"/>
      <c r="U948" s="11"/>
      <c r="V948" s="11"/>
      <c r="W948" s="11"/>
      <c r="X948" s="12"/>
      <c r="Y948" s="12"/>
      <c r="Z948" s="12"/>
      <c r="AA948" s="44"/>
      <c r="AB948" s="45"/>
      <c r="AC948" s="12"/>
      <c r="AD948" s="12"/>
      <c r="AE948" s="12"/>
      <c r="AF948" s="12"/>
      <c r="AG948" s="44"/>
      <c r="AH948" s="45"/>
      <c r="AI948" s="12"/>
      <c r="AJ948" s="12"/>
      <c r="AK948" s="12"/>
      <c r="AL948" s="12"/>
      <c r="AM948" s="44"/>
      <c r="AN948" s="45"/>
      <c r="AO948" s="12"/>
      <c r="AP948" s="12"/>
      <c r="AQ948" s="12"/>
      <c r="AR948" s="12"/>
      <c r="AS948" s="44"/>
      <c r="AT948" s="45"/>
      <c r="AU948" s="12"/>
      <c r="AV948" s="12"/>
      <c r="AW948" s="12"/>
      <c r="AX948" s="12"/>
      <c r="AY948" s="44"/>
      <c r="AZ948" s="45"/>
      <c r="BA948" s="12"/>
      <c r="BB948" s="12"/>
      <c r="BC948" s="12"/>
      <c r="BD948" s="12"/>
      <c r="BE948" s="44"/>
      <c r="BF948" s="45"/>
      <c r="BG948" s="12"/>
      <c r="BH948" s="12"/>
      <c r="BI948" s="12"/>
      <c r="BJ948" s="12"/>
      <c r="BK948" s="44"/>
      <c r="BL948" s="45"/>
      <c r="BM948" s="12"/>
      <c r="BN948" s="12"/>
      <c r="BO948" s="12"/>
      <c r="BP948" s="12"/>
      <c r="BQ948" s="48"/>
      <c r="BR948" s="49"/>
      <c r="BS948" s="13"/>
      <c r="BT948" s="12"/>
      <c r="BV948" s="14"/>
      <c r="BW948" s="50"/>
      <c r="BX948" s="54"/>
      <c r="BY948" s="14"/>
      <c r="BZ948" s="14"/>
      <c r="CA948" s="14"/>
      <c r="CB948" s="14"/>
      <c r="CC948" s="14"/>
      <c r="CD948" s="14"/>
      <c r="CE948" s="14"/>
      <c r="CF948" s="15"/>
      <c r="CG948" s="14"/>
      <c r="CH948" s="14"/>
      <c r="CI948" s="50"/>
      <c r="CJ948" s="54"/>
      <c r="CK948" s="14"/>
      <c r="CL948" s="14"/>
      <c r="CM948" s="14"/>
      <c r="CN948" s="14"/>
      <c r="CO948" s="14"/>
      <c r="CP948" s="14"/>
      <c r="CQ948" s="14"/>
      <c r="CR948" s="14"/>
      <c r="CS948" s="14"/>
      <c r="CT948" s="14"/>
      <c r="CU948" s="16"/>
      <c r="CV948" s="14"/>
      <c r="CW948" s="50"/>
      <c r="CX948" s="17"/>
    </row>
    <row r="949" spans="4:102" x14ac:dyDescent="0.25"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43"/>
      <c r="Q949" s="11"/>
      <c r="R949" s="11"/>
      <c r="S949" s="11"/>
      <c r="T949" s="11"/>
      <c r="U949" s="11"/>
      <c r="V949" s="11"/>
      <c r="W949" s="11"/>
      <c r="X949" s="12"/>
      <c r="Y949" s="12"/>
      <c r="Z949" s="12"/>
      <c r="AA949" s="44"/>
      <c r="AB949" s="45"/>
      <c r="AC949" s="12"/>
      <c r="AD949" s="12"/>
      <c r="AE949" s="12"/>
      <c r="AF949" s="12"/>
      <c r="AG949" s="44"/>
      <c r="AH949" s="45"/>
      <c r="AI949" s="12"/>
      <c r="AJ949" s="12"/>
      <c r="AK949" s="12"/>
      <c r="AL949" s="12"/>
      <c r="AM949" s="44"/>
      <c r="AN949" s="45"/>
      <c r="AO949" s="12"/>
      <c r="AP949" s="12"/>
      <c r="AQ949" s="12"/>
      <c r="AR949" s="12"/>
      <c r="AS949" s="44"/>
      <c r="AT949" s="45"/>
      <c r="AU949" s="12"/>
      <c r="AV949" s="12"/>
      <c r="AW949" s="12"/>
      <c r="AX949" s="12"/>
      <c r="AY949" s="44"/>
      <c r="AZ949" s="45"/>
      <c r="BA949" s="12"/>
      <c r="BB949" s="12"/>
      <c r="BC949" s="12"/>
      <c r="BD949" s="12"/>
      <c r="BE949" s="44"/>
      <c r="BF949" s="45"/>
      <c r="BG949" s="12"/>
      <c r="BH949" s="12"/>
      <c r="BI949" s="12"/>
      <c r="BJ949" s="12"/>
      <c r="BK949" s="44"/>
      <c r="BL949" s="45"/>
      <c r="BM949" s="12"/>
      <c r="BN949" s="12"/>
      <c r="BO949" s="12"/>
      <c r="BP949" s="12"/>
      <c r="BQ949" s="48"/>
      <c r="BR949" s="49"/>
      <c r="BS949" s="13"/>
      <c r="BT949" s="12"/>
      <c r="BV949" s="14"/>
      <c r="BW949" s="50"/>
      <c r="BX949" s="54"/>
      <c r="BY949" s="14"/>
      <c r="BZ949" s="14"/>
      <c r="CA949" s="14"/>
      <c r="CB949" s="14"/>
      <c r="CC949" s="14"/>
      <c r="CD949" s="14"/>
      <c r="CE949" s="14"/>
      <c r="CF949" s="15"/>
      <c r="CG949" s="14"/>
      <c r="CH949" s="14"/>
      <c r="CI949" s="50"/>
      <c r="CJ949" s="54"/>
      <c r="CK949" s="14"/>
      <c r="CL949" s="14"/>
      <c r="CM949" s="14"/>
      <c r="CN949" s="14"/>
      <c r="CO949" s="14"/>
      <c r="CP949" s="14"/>
      <c r="CQ949" s="14"/>
      <c r="CR949" s="14"/>
      <c r="CS949" s="14"/>
      <c r="CT949" s="14"/>
      <c r="CU949" s="16"/>
      <c r="CV949" s="14"/>
      <c r="CW949" s="50"/>
      <c r="CX949" s="17"/>
    </row>
    <row r="950" spans="4:102" x14ac:dyDescent="0.25"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43"/>
      <c r="Q950" s="11"/>
      <c r="R950" s="11"/>
      <c r="S950" s="11"/>
      <c r="T950" s="11"/>
      <c r="U950" s="11"/>
      <c r="V950" s="11"/>
      <c r="W950" s="11"/>
      <c r="X950" s="12"/>
      <c r="Y950" s="12"/>
      <c r="Z950" s="12"/>
      <c r="AA950" s="44"/>
      <c r="AB950" s="45"/>
      <c r="AC950" s="12"/>
      <c r="AD950" s="12"/>
      <c r="AE950" s="12"/>
      <c r="AF950" s="12"/>
      <c r="AG950" s="44"/>
      <c r="AH950" s="45"/>
      <c r="AI950" s="12"/>
      <c r="AJ950" s="12"/>
      <c r="AK950" s="12"/>
      <c r="AL950" s="12"/>
      <c r="AM950" s="44"/>
      <c r="AN950" s="45"/>
      <c r="AO950" s="12"/>
      <c r="AP950" s="12"/>
      <c r="AQ950" s="12"/>
      <c r="AR950" s="12"/>
      <c r="AS950" s="44"/>
      <c r="AT950" s="45"/>
      <c r="AU950" s="12"/>
      <c r="AV950" s="12"/>
      <c r="AW950" s="12"/>
      <c r="AX950" s="12"/>
      <c r="AY950" s="44"/>
      <c r="AZ950" s="45"/>
      <c r="BA950" s="12"/>
      <c r="BB950" s="12"/>
      <c r="BC950" s="12"/>
      <c r="BD950" s="12"/>
      <c r="BE950" s="44"/>
      <c r="BF950" s="45"/>
      <c r="BG950" s="12"/>
      <c r="BH950" s="12"/>
      <c r="BI950" s="12"/>
      <c r="BJ950" s="12"/>
      <c r="BK950" s="44"/>
      <c r="BL950" s="45"/>
      <c r="BM950" s="12"/>
      <c r="BN950" s="12"/>
      <c r="BO950" s="12"/>
      <c r="BP950" s="12"/>
      <c r="BQ950" s="48"/>
      <c r="BR950" s="49"/>
      <c r="BS950" s="13"/>
      <c r="BT950" s="12"/>
      <c r="BV950" s="14"/>
      <c r="BW950" s="50"/>
      <c r="BX950" s="54"/>
      <c r="BY950" s="14"/>
      <c r="BZ950" s="14"/>
      <c r="CA950" s="14"/>
      <c r="CB950" s="14"/>
      <c r="CC950" s="14"/>
      <c r="CD950" s="14"/>
      <c r="CE950" s="14"/>
      <c r="CF950" s="15"/>
      <c r="CG950" s="14"/>
      <c r="CH950" s="14"/>
      <c r="CI950" s="50"/>
      <c r="CJ950" s="54"/>
      <c r="CK950" s="14"/>
      <c r="CL950" s="14"/>
      <c r="CM950" s="14"/>
      <c r="CN950" s="14"/>
      <c r="CO950" s="14"/>
      <c r="CP950" s="14"/>
      <c r="CQ950" s="14"/>
      <c r="CR950" s="14"/>
      <c r="CS950" s="14"/>
      <c r="CT950" s="14"/>
      <c r="CU950" s="16"/>
      <c r="CV950" s="14"/>
      <c r="CW950" s="50"/>
      <c r="CX950" s="17"/>
    </row>
    <row r="951" spans="4:102" x14ac:dyDescent="0.25"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43"/>
      <c r="Q951" s="11"/>
      <c r="R951" s="11"/>
      <c r="S951" s="11"/>
      <c r="T951" s="11"/>
      <c r="U951" s="11"/>
      <c r="V951" s="11"/>
      <c r="W951" s="11"/>
      <c r="X951" s="12"/>
      <c r="Y951" s="12"/>
      <c r="Z951" s="12"/>
      <c r="AA951" s="44"/>
      <c r="AB951" s="45"/>
      <c r="AC951" s="12"/>
      <c r="AD951" s="12"/>
      <c r="AE951" s="12"/>
      <c r="AF951" s="12"/>
      <c r="AG951" s="44"/>
      <c r="AH951" s="45"/>
      <c r="AI951" s="12"/>
      <c r="AJ951" s="12"/>
      <c r="AK951" s="12"/>
      <c r="AL951" s="12"/>
      <c r="AM951" s="44"/>
      <c r="AN951" s="45"/>
      <c r="AO951" s="12"/>
      <c r="AP951" s="12"/>
      <c r="AQ951" s="12"/>
      <c r="AR951" s="12"/>
      <c r="AS951" s="44"/>
      <c r="AT951" s="45"/>
      <c r="AU951" s="12"/>
      <c r="AV951" s="12"/>
      <c r="AW951" s="12"/>
      <c r="AX951" s="12"/>
      <c r="AY951" s="44"/>
      <c r="AZ951" s="45"/>
      <c r="BA951" s="12"/>
      <c r="BB951" s="12"/>
      <c r="BC951" s="12"/>
      <c r="BD951" s="12"/>
      <c r="BE951" s="44"/>
      <c r="BF951" s="45"/>
      <c r="BG951" s="12"/>
      <c r="BH951" s="12"/>
      <c r="BI951" s="12"/>
      <c r="BJ951" s="12"/>
      <c r="BK951" s="44"/>
      <c r="BL951" s="45"/>
      <c r="BM951" s="12"/>
      <c r="BN951" s="12"/>
      <c r="BO951" s="12"/>
      <c r="BP951" s="12"/>
      <c r="BQ951" s="48"/>
      <c r="BR951" s="49"/>
      <c r="BS951" s="13"/>
      <c r="BT951" s="12"/>
      <c r="BV951" s="14"/>
      <c r="BW951" s="50"/>
      <c r="BX951" s="54"/>
      <c r="BY951" s="14"/>
      <c r="BZ951" s="14"/>
      <c r="CA951" s="14"/>
      <c r="CB951" s="14"/>
      <c r="CC951" s="14"/>
      <c r="CD951" s="14"/>
      <c r="CE951" s="14"/>
      <c r="CF951" s="15"/>
      <c r="CG951" s="14"/>
      <c r="CH951" s="14"/>
      <c r="CI951" s="50"/>
      <c r="CJ951" s="54"/>
      <c r="CK951" s="14"/>
      <c r="CL951" s="14"/>
      <c r="CM951" s="14"/>
      <c r="CN951" s="14"/>
      <c r="CO951" s="14"/>
      <c r="CP951" s="14"/>
      <c r="CQ951" s="14"/>
      <c r="CR951" s="14"/>
      <c r="CS951" s="14"/>
      <c r="CT951" s="14"/>
      <c r="CU951" s="16"/>
      <c r="CV951" s="14"/>
      <c r="CW951" s="50"/>
      <c r="CX951" s="17"/>
    </row>
    <row r="952" spans="4:102" x14ac:dyDescent="0.25"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43"/>
      <c r="Q952" s="11"/>
      <c r="R952" s="11"/>
      <c r="S952" s="11"/>
      <c r="T952" s="11"/>
      <c r="U952" s="11"/>
      <c r="V952" s="11"/>
      <c r="W952" s="11"/>
      <c r="X952" s="12"/>
      <c r="Y952" s="12"/>
      <c r="Z952" s="12"/>
      <c r="AA952" s="44"/>
      <c r="AB952" s="45"/>
      <c r="AC952" s="12"/>
      <c r="AD952" s="12"/>
      <c r="AE952" s="12"/>
      <c r="AF952" s="12"/>
      <c r="AG952" s="44"/>
      <c r="AH952" s="45"/>
      <c r="AI952" s="12"/>
      <c r="AJ952" s="12"/>
      <c r="AK952" s="12"/>
      <c r="AL952" s="12"/>
      <c r="AM952" s="44"/>
      <c r="AN952" s="45"/>
      <c r="AO952" s="12"/>
      <c r="AP952" s="12"/>
      <c r="AQ952" s="12"/>
      <c r="AR952" s="12"/>
      <c r="AS952" s="44"/>
      <c r="AT952" s="45"/>
      <c r="AU952" s="12"/>
      <c r="AV952" s="12"/>
      <c r="AW952" s="12"/>
      <c r="AX952" s="12"/>
      <c r="AY952" s="44"/>
      <c r="AZ952" s="45"/>
      <c r="BA952" s="12"/>
      <c r="BB952" s="12"/>
      <c r="BC952" s="12"/>
      <c r="BD952" s="12"/>
      <c r="BE952" s="44"/>
      <c r="BF952" s="45"/>
      <c r="BG952" s="12"/>
      <c r="BH952" s="12"/>
      <c r="BI952" s="12"/>
      <c r="BJ952" s="12"/>
      <c r="BK952" s="44"/>
      <c r="BL952" s="45"/>
      <c r="BM952" s="12"/>
      <c r="BN952" s="12"/>
      <c r="BO952" s="12"/>
      <c r="BP952" s="12"/>
      <c r="BQ952" s="48"/>
      <c r="BR952" s="49"/>
      <c r="BS952" s="13"/>
      <c r="BT952" s="12"/>
      <c r="BV952" s="14"/>
      <c r="BW952" s="50"/>
      <c r="BX952" s="54"/>
      <c r="BY952" s="14"/>
      <c r="BZ952" s="14"/>
      <c r="CA952" s="14"/>
      <c r="CB952" s="14"/>
      <c r="CC952" s="14"/>
      <c r="CD952" s="14"/>
      <c r="CE952" s="14"/>
      <c r="CF952" s="15"/>
      <c r="CG952" s="14"/>
      <c r="CH952" s="14"/>
      <c r="CI952" s="50"/>
      <c r="CJ952" s="54"/>
      <c r="CK952" s="14"/>
      <c r="CL952" s="14"/>
      <c r="CM952" s="14"/>
      <c r="CN952" s="14"/>
      <c r="CO952" s="14"/>
      <c r="CP952" s="14"/>
      <c r="CQ952" s="14"/>
      <c r="CR952" s="14"/>
      <c r="CS952" s="14"/>
      <c r="CT952" s="14"/>
      <c r="CU952" s="16"/>
      <c r="CV952" s="14"/>
      <c r="CW952" s="50"/>
      <c r="CX952" s="17"/>
    </row>
    <row r="953" spans="4:102" x14ac:dyDescent="0.25"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43"/>
      <c r="Q953" s="11"/>
      <c r="R953" s="11"/>
      <c r="S953" s="11"/>
      <c r="T953" s="11"/>
      <c r="U953" s="11"/>
      <c r="V953" s="11"/>
      <c r="W953" s="11"/>
      <c r="X953" s="12"/>
      <c r="Y953" s="12"/>
      <c r="Z953" s="12"/>
      <c r="AA953" s="44"/>
      <c r="AB953" s="45"/>
      <c r="AC953" s="12"/>
      <c r="AD953" s="12"/>
      <c r="AE953" s="12"/>
      <c r="AF953" s="12"/>
      <c r="AG953" s="44"/>
      <c r="AH953" s="45"/>
      <c r="AI953" s="12"/>
      <c r="AJ953" s="12"/>
      <c r="AK953" s="12"/>
      <c r="AL953" s="12"/>
      <c r="AM953" s="44"/>
      <c r="AN953" s="45"/>
      <c r="AO953" s="12"/>
      <c r="AP953" s="12"/>
      <c r="AQ953" s="12"/>
      <c r="AR953" s="12"/>
      <c r="AS953" s="44"/>
      <c r="AT953" s="45"/>
      <c r="AU953" s="12"/>
      <c r="AV953" s="12"/>
      <c r="AW953" s="12"/>
      <c r="AX953" s="12"/>
      <c r="AY953" s="44"/>
      <c r="AZ953" s="45"/>
      <c r="BA953" s="12"/>
      <c r="BB953" s="12"/>
      <c r="BC953" s="12"/>
      <c r="BD953" s="12"/>
      <c r="BE953" s="44"/>
      <c r="BF953" s="45"/>
      <c r="BG953" s="12"/>
      <c r="BH953" s="12"/>
      <c r="BI953" s="12"/>
      <c r="BJ953" s="12"/>
      <c r="BK953" s="44"/>
      <c r="BL953" s="45"/>
      <c r="BM953" s="12"/>
      <c r="BN953" s="12"/>
      <c r="BO953" s="12"/>
      <c r="BP953" s="12"/>
      <c r="BQ953" s="48"/>
      <c r="BR953" s="49"/>
      <c r="BS953" s="13"/>
      <c r="BT953" s="12"/>
      <c r="BV953" s="14"/>
      <c r="BW953" s="50"/>
      <c r="BX953" s="54"/>
      <c r="BY953" s="14"/>
      <c r="BZ953" s="14"/>
      <c r="CA953" s="14"/>
      <c r="CB953" s="14"/>
      <c r="CC953" s="14"/>
      <c r="CD953" s="14"/>
      <c r="CE953" s="14"/>
      <c r="CF953" s="15"/>
      <c r="CG953" s="14"/>
      <c r="CH953" s="14"/>
      <c r="CI953" s="50"/>
      <c r="CJ953" s="54"/>
      <c r="CK953" s="14"/>
      <c r="CL953" s="14"/>
      <c r="CM953" s="14"/>
      <c r="CN953" s="14"/>
      <c r="CO953" s="14"/>
      <c r="CP953" s="14"/>
      <c r="CQ953" s="14"/>
      <c r="CR953" s="14"/>
      <c r="CS953" s="14"/>
      <c r="CT953" s="14"/>
      <c r="CU953" s="16"/>
      <c r="CV953" s="14"/>
      <c r="CW953" s="50"/>
      <c r="CX953" s="17"/>
    </row>
    <row r="954" spans="4:102" x14ac:dyDescent="0.25"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43"/>
      <c r="Q954" s="11"/>
      <c r="R954" s="11"/>
      <c r="S954" s="11"/>
      <c r="T954" s="11"/>
      <c r="U954" s="11"/>
      <c r="V954" s="11"/>
      <c r="W954" s="11"/>
      <c r="X954" s="12"/>
      <c r="Y954" s="12"/>
      <c r="Z954" s="12"/>
      <c r="AA954" s="44"/>
      <c r="AB954" s="45"/>
      <c r="AC954" s="12"/>
      <c r="AD954" s="12"/>
      <c r="AE954" s="12"/>
      <c r="AF954" s="12"/>
      <c r="AG954" s="44"/>
      <c r="AH954" s="45"/>
      <c r="AI954" s="12"/>
      <c r="AJ954" s="12"/>
      <c r="AK954" s="12"/>
      <c r="AL954" s="12"/>
      <c r="AM954" s="44"/>
      <c r="AN954" s="45"/>
      <c r="AO954" s="12"/>
      <c r="AP954" s="12"/>
      <c r="AQ954" s="12"/>
      <c r="AR954" s="12"/>
      <c r="AS954" s="44"/>
      <c r="AT954" s="45"/>
      <c r="AU954" s="12"/>
      <c r="AV954" s="12"/>
      <c r="AW954" s="12"/>
      <c r="AX954" s="12"/>
      <c r="AY954" s="44"/>
      <c r="AZ954" s="45"/>
      <c r="BA954" s="12"/>
      <c r="BB954" s="12"/>
      <c r="BC954" s="12"/>
      <c r="BD954" s="12"/>
      <c r="BE954" s="44"/>
      <c r="BF954" s="45"/>
      <c r="BG954" s="12"/>
      <c r="BH954" s="12"/>
      <c r="BI954" s="12"/>
      <c r="BJ954" s="12"/>
      <c r="BK954" s="44"/>
      <c r="BL954" s="45"/>
      <c r="BM954" s="12"/>
      <c r="BN954" s="12"/>
      <c r="BO954" s="12"/>
      <c r="BP954" s="12"/>
      <c r="BQ954" s="48"/>
      <c r="BR954" s="49"/>
      <c r="BS954" s="13"/>
      <c r="BT954" s="12"/>
      <c r="BV954" s="14"/>
      <c r="BW954" s="50"/>
      <c r="BX954" s="54"/>
      <c r="BY954" s="14"/>
      <c r="BZ954" s="14"/>
      <c r="CA954" s="14"/>
      <c r="CB954" s="14"/>
      <c r="CC954" s="14"/>
      <c r="CD954" s="14"/>
      <c r="CE954" s="14"/>
      <c r="CF954" s="15"/>
      <c r="CG954" s="14"/>
      <c r="CH954" s="14"/>
      <c r="CI954" s="50"/>
      <c r="CJ954" s="54"/>
      <c r="CK954" s="14"/>
      <c r="CL954" s="14"/>
      <c r="CM954" s="14"/>
      <c r="CN954" s="14"/>
      <c r="CO954" s="14"/>
      <c r="CP954" s="14"/>
      <c r="CQ954" s="14"/>
      <c r="CR954" s="14"/>
      <c r="CS954" s="14"/>
      <c r="CT954" s="14"/>
      <c r="CU954" s="16"/>
      <c r="CV954" s="14"/>
      <c r="CW954" s="50"/>
      <c r="CX954" s="17"/>
    </row>
    <row r="955" spans="4:102" x14ac:dyDescent="0.25"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43"/>
      <c r="Q955" s="11"/>
      <c r="R955" s="11"/>
      <c r="S955" s="11"/>
      <c r="T955" s="11"/>
      <c r="U955" s="11"/>
      <c r="V955" s="11"/>
      <c r="W955" s="11"/>
      <c r="X955" s="12"/>
      <c r="Y955" s="12"/>
      <c r="Z955" s="12"/>
      <c r="AA955" s="44"/>
      <c r="AB955" s="45"/>
      <c r="AC955" s="12"/>
      <c r="AD955" s="12"/>
      <c r="AE955" s="12"/>
      <c r="AF955" s="12"/>
      <c r="AG955" s="44"/>
      <c r="AH955" s="45"/>
      <c r="AI955" s="12"/>
      <c r="AJ955" s="12"/>
      <c r="AK955" s="12"/>
      <c r="AL955" s="12"/>
      <c r="AM955" s="44"/>
      <c r="AN955" s="45"/>
      <c r="AO955" s="12"/>
      <c r="AP955" s="12"/>
      <c r="AQ955" s="12"/>
      <c r="AR955" s="12"/>
      <c r="AS955" s="44"/>
      <c r="AT955" s="45"/>
      <c r="AU955" s="12"/>
      <c r="AV955" s="12"/>
      <c r="AW955" s="12"/>
      <c r="AX955" s="12"/>
      <c r="AY955" s="44"/>
      <c r="AZ955" s="45"/>
      <c r="BA955" s="12"/>
      <c r="BB955" s="12"/>
      <c r="BC955" s="12"/>
      <c r="BD955" s="12"/>
      <c r="BE955" s="44"/>
      <c r="BF955" s="45"/>
      <c r="BG955" s="12"/>
      <c r="BH955" s="12"/>
      <c r="BI955" s="12"/>
      <c r="BJ955" s="12"/>
      <c r="BK955" s="44"/>
      <c r="BL955" s="45"/>
      <c r="BM955" s="12"/>
      <c r="BN955" s="12"/>
      <c r="BO955" s="12"/>
      <c r="BP955" s="12"/>
      <c r="BQ955" s="48"/>
      <c r="BR955" s="49"/>
      <c r="BS955" s="13"/>
      <c r="BT955" s="12"/>
      <c r="BV955" s="14"/>
      <c r="BW955" s="50"/>
      <c r="BX955" s="54"/>
      <c r="BY955" s="14"/>
      <c r="BZ955" s="14"/>
      <c r="CA955" s="14"/>
      <c r="CB955" s="14"/>
      <c r="CC955" s="14"/>
      <c r="CD955" s="14"/>
      <c r="CE955" s="14"/>
      <c r="CF955" s="15"/>
      <c r="CG955" s="14"/>
      <c r="CH955" s="14"/>
      <c r="CI955" s="50"/>
      <c r="CJ955" s="54"/>
      <c r="CK955" s="14"/>
      <c r="CL955" s="14"/>
      <c r="CM955" s="14"/>
      <c r="CN955" s="14"/>
      <c r="CO955" s="14"/>
      <c r="CP955" s="14"/>
      <c r="CQ955" s="14"/>
      <c r="CR955" s="14"/>
      <c r="CS955" s="14"/>
      <c r="CT955" s="14"/>
      <c r="CU955" s="16"/>
      <c r="CV955" s="14"/>
      <c r="CW955" s="50"/>
      <c r="CX955" s="17"/>
    </row>
    <row r="956" spans="4:102" x14ac:dyDescent="0.25"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43"/>
      <c r="Q956" s="11"/>
      <c r="R956" s="11"/>
      <c r="S956" s="11"/>
      <c r="T956" s="11"/>
      <c r="U956" s="11"/>
      <c r="V956" s="11"/>
      <c r="W956" s="11"/>
      <c r="X956" s="12"/>
      <c r="Y956" s="12"/>
      <c r="Z956" s="12"/>
      <c r="AA956" s="44"/>
      <c r="AB956" s="45"/>
      <c r="AC956" s="12"/>
      <c r="AD956" s="12"/>
      <c r="AE956" s="12"/>
      <c r="AF956" s="12"/>
      <c r="AG956" s="44"/>
      <c r="AH956" s="45"/>
      <c r="AI956" s="12"/>
      <c r="AJ956" s="12"/>
      <c r="AK956" s="12"/>
      <c r="AL956" s="12"/>
      <c r="AM956" s="44"/>
      <c r="AN956" s="45"/>
      <c r="AO956" s="12"/>
      <c r="AP956" s="12"/>
      <c r="AQ956" s="12"/>
      <c r="AR956" s="12"/>
      <c r="AS956" s="44"/>
      <c r="AT956" s="45"/>
      <c r="AU956" s="12"/>
      <c r="AV956" s="12"/>
      <c r="AW956" s="12"/>
      <c r="AX956" s="12"/>
      <c r="AY956" s="44"/>
      <c r="AZ956" s="45"/>
      <c r="BA956" s="12"/>
      <c r="BB956" s="12"/>
      <c r="BC956" s="12"/>
      <c r="BD956" s="12"/>
      <c r="BE956" s="44"/>
      <c r="BF956" s="45"/>
      <c r="BG956" s="12"/>
      <c r="BH956" s="12"/>
      <c r="BI956" s="12"/>
      <c r="BJ956" s="12"/>
      <c r="BK956" s="44"/>
      <c r="BL956" s="45"/>
      <c r="BM956" s="12"/>
      <c r="BN956" s="12"/>
      <c r="BO956" s="12"/>
      <c r="BP956" s="12"/>
      <c r="BQ956" s="48"/>
      <c r="BR956" s="49"/>
      <c r="BS956" s="13"/>
      <c r="BT956" s="12"/>
      <c r="BV956" s="14"/>
      <c r="BW956" s="50"/>
      <c r="BX956" s="54"/>
      <c r="BY956" s="14"/>
      <c r="BZ956" s="14"/>
      <c r="CA956" s="14"/>
      <c r="CB956" s="14"/>
      <c r="CC956" s="14"/>
      <c r="CD956" s="14"/>
      <c r="CE956" s="14"/>
      <c r="CF956" s="15"/>
      <c r="CG956" s="14"/>
      <c r="CH956" s="14"/>
      <c r="CI956" s="50"/>
      <c r="CJ956" s="54"/>
      <c r="CK956" s="14"/>
      <c r="CL956" s="14"/>
      <c r="CM956" s="14"/>
      <c r="CN956" s="14"/>
      <c r="CO956" s="14"/>
      <c r="CP956" s="14"/>
      <c r="CQ956" s="14"/>
      <c r="CR956" s="14"/>
      <c r="CS956" s="14"/>
      <c r="CT956" s="14"/>
      <c r="CU956" s="16"/>
      <c r="CV956" s="14"/>
      <c r="CW956" s="50"/>
      <c r="CX956" s="17"/>
    </row>
    <row r="957" spans="4:102" x14ac:dyDescent="0.25"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43"/>
      <c r="Q957" s="11"/>
      <c r="R957" s="11"/>
      <c r="S957" s="11"/>
      <c r="T957" s="11"/>
      <c r="U957" s="11"/>
      <c r="V957" s="11"/>
      <c r="W957" s="11"/>
      <c r="X957" s="12"/>
      <c r="Y957" s="12"/>
      <c r="Z957" s="12"/>
      <c r="AA957" s="44"/>
      <c r="AB957" s="45"/>
      <c r="AC957" s="12"/>
      <c r="AD957" s="12"/>
      <c r="AE957" s="12"/>
      <c r="AF957" s="12"/>
      <c r="AG957" s="44"/>
      <c r="AH957" s="45"/>
      <c r="AI957" s="12"/>
      <c r="AJ957" s="12"/>
      <c r="AK957" s="12"/>
      <c r="AL957" s="12"/>
      <c r="AM957" s="44"/>
      <c r="AN957" s="45"/>
      <c r="AO957" s="12"/>
      <c r="AP957" s="12"/>
      <c r="AQ957" s="12"/>
      <c r="AR957" s="12"/>
      <c r="AS957" s="44"/>
      <c r="AT957" s="45"/>
      <c r="AU957" s="12"/>
      <c r="AV957" s="12"/>
      <c r="AW957" s="12"/>
      <c r="AX957" s="12"/>
      <c r="AY957" s="44"/>
      <c r="AZ957" s="45"/>
      <c r="BA957" s="12"/>
      <c r="BB957" s="12"/>
      <c r="BC957" s="12"/>
      <c r="BD957" s="12"/>
      <c r="BE957" s="44"/>
      <c r="BF957" s="45"/>
      <c r="BG957" s="12"/>
      <c r="BH957" s="12"/>
      <c r="BI957" s="12"/>
      <c r="BJ957" s="12"/>
      <c r="BK957" s="44"/>
      <c r="BL957" s="45"/>
      <c r="BM957" s="12"/>
      <c r="BN957" s="12"/>
      <c r="BO957" s="12"/>
      <c r="BP957" s="12"/>
      <c r="BQ957" s="48"/>
      <c r="BR957" s="49"/>
      <c r="BS957" s="13"/>
      <c r="BT957" s="12"/>
      <c r="BV957" s="14"/>
      <c r="BW957" s="50"/>
      <c r="BX957" s="54"/>
      <c r="BY957" s="14"/>
      <c r="BZ957" s="14"/>
      <c r="CA957" s="14"/>
      <c r="CB957" s="14"/>
      <c r="CC957" s="14"/>
      <c r="CD957" s="14"/>
      <c r="CE957" s="14"/>
      <c r="CF957" s="15"/>
      <c r="CG957" s="14"/>
      <c r="CH957" s="14"/>
      <c r="CI957" s="50"/>
      <c r="CJ957" s="54"/>
      <c r="CK957" s="14"/>
      <c r="CL957" s="14"/>
      <c r="CM957" s="14"/>
      <c r="CN957" s="14"/>
      <c r="CO957" s="14"/>
      <c r="CP957" s="14"/>
      <c r="CQ957" s="14"/>
      <c r="CR957" s="14"/>
      <c r="CS957" s="14"/>
      <c r="CT957" s="14"/>
      <c r="CU957" s="16"/>
      <c r="CV957" s="14"/>
      <c r="CW957" s="50"/>
      <c r="CX957" s="17"/>
    </row>
    <row r="958" spans="4:102" x14ac:dyDescent="0.25"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43"/>
      <c r="Q958" s="11"/>
      <c r="R958" s="11"/>
      <c r="S958" s="11"/>
      <c r="T958" s="11"/>
      <c r="U958" s="11"/>
      <c r="V958" s="11"/>
      <c r="W958" s="11"/>
      <c r="X958" s="12"/>
      <c r="Y958" s="12"/>
      <c r="Z958" s="12"/>
      <c r="AA958" s="44"/>
      <c r="AB958" s="45"/>
      <c r="AC958" s="12"/>
      <c r="AD958" s="12"/>
      <c r="AE958" s="12"/>
      <c r="AF958" s="12"/>
      <c r="AG958" s="44"/>
      <c r="AH958" s="45"/>
      <c r="AI958" s="12"/>
      <c r="AJ958" s="12"/>
      <c r="AK958" s="12"/>
      <c r="AL958" s="12"/>
      <c r="AM958" s="44"/>
      <c r="AN958" s="45"/>
      <c r="AO958" s="12"/>
      <c r="AP958" s="12"/>
      <c r="AQ958" s="12"/>
      <c r="AR958" s="12"/>
      <c r="AS958" s="44"/>
      <c r="AT958" s="45"/>
      <c r="AU958" s="12"/>
      <c r="AV958" s="12"/>
      <c r="AW958" s="12"/>
      <c r="AX958" s="12"/>
      <c r="AY958" s="44"/>
      <c r="AZ958" s="45"/>
      <c r="BA958" s="12"/>
      <c r="BB958" s="12"/>
      <c r="BC958" s="12"/>
      <c r="BD958" s="12"/>
      <c r="BE958" s="44"/>
      <c r="BF958" s="45"/>
      <c r="BG958" s="12"/>
      <c r="BH958" s="12"/>
      <c r="BI958" s="12"/>
      <c r="BJ958" s="12"/>
      <c r="BK958" s="44"/>
      <c r="BL958" s="45"/>
      <c r="BM958" s="12"/>
      <c r="BN958" s="12"/>
      <c r="BO958" s="12"/>
      <c r="BP958" s="12"/>
      <c r="BQ958" s="48"/>
      <c r="BR958" s="49"/>
      <c r="BS958" s="13"/>
      <c r="BT958" s="12"/>
      <c r="BV958" s="14"/>
      <c r="BW958" s="50"/>
      <c r="BX958" s="54"/>
      <c r="BY958" s="14"/>
      <c r="BZ958" s="14"/>
      <c r="CA958" s="14"/>
      <c r="CB958" s="14"/>
      <c r="CC958" s="14"/>
      <c r="CD958" s="14"/>
      <c r="CE958" s="14"/>
      <c r="CF958" s="15"/>
      <c r="CG958" s="14"/>
      <c r="CH958" s="14"/>
      <c r="CI958" s="50"/>
      <c r="CJ958" s="54"/>
      <c r="CK958" s="14"/>
      <c r="CL958" s="14"/>
      <c r="CM958" s="14"/>
      <c r="CN958" s="14"/>
      <c r="CO958" s="14"/>
      <c r="CP958" s="14"/>
      <c r="CQ958" s="14"/>
      <c r="CR958" s="14"/>
      <c r="CS958" s="14"/>
      <c r="CT958" s="14"/>
      <c r="CU958" s="16"/>
      <c r="CV958" s="14"/>
      <c r="CW958" s="50"/>
      <c r="CX958" s="17"/>
    </row>
    <row r="959" spans="4:102" x14ac:dyDescent="0.25"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43"/>
      <c r="Q959" s="11"/>
      <c r="R959" s="11"/>
      <c r="S959" s="11"/>
      <c r="T959" s="11"/>
      <c r="U959" s="11"/>
      <c r="V959" s="11"/>
      <c r="W959" s="11"/>
      <c r="X959" s="12"/>
      <c r="Y959" s="12"/>
      <c r="Z959" s="12"/>
      <c r="AA959" s="44"/>
      <c r="AB959" s="45"/>
      <c r="AC959" s="12"/>
      <c r="AD959" s="12"/>
      <c r="AE959" s="12"/>
      <c r="AF959" s="12"/>
      <c r="AG959" s="44"/>
      <c r="AH959" s="45"/>
      <c r="AI959" s="12"/>
      <c r="AJ959" s="12"/>
      <c r="AK959" s="12"/>
      <c r="AL959" s="12"/>
      <c r="AM959" s="44"/>
      <c r="AN959" s="45"/>
      <c r="AO959" s="12"/>
      <c r="AP959" s="12"/>
      <c r="AQ959" s="12"/>
      <c r="AR959" s="12"/>
      <c r="AS959" s="44"/>
      <c r="AT959" s="45"/>
      <c r="AU959" s="12"/>
      <c r="AV959" s="12"/>
      <c r="AW959" s="12"/>
      <c r="AX959" s="12"/>
      <c r="AY959" s="44"/>
      <c r="AZ959" s="45"/>
      <c r="BA959" s="12"/>
      <c r="BB959" s="12"/>
      <c r="BC959" s="12"/>
      <c r="BD959" s="12"/>
      <c r="BE959" s="44"/>
      <c r="BF959" s="45"/>
      <c r="BG959" s="12"/>
      <c r="BH959" s="12"/>
      <c r="BI959" s="12"/>
      <c r="BJ959" s="12"/>
      <c r="BK959" s="44"/>
      <c r="BL959" s="45"/>
      <c r="BM959" s="12"/>
      <c r="BN959" s="12"/>
      <c r="BO959" s="12"/>
      <c r="BP959" s="12"/>
      <c r="BQ959" s="48"/>
      <c r="BR959" s="49"/>
      <c r="BS959" s="13"/>
      <c r="BT959" s="12"/>
      <c r="BV959" s="14"/>
      <c r="BW959" s="50"/>
      <c r="BX959" s="54"/>
      <c r="BY959" s="14"/>
      <c r="BZ959" s="14"/>
      <c r="CA959" s="14"/>
      <c r="CB959" s="14"/>
      <c r="CC959" s="14"/>
      <c r="CD959" s="14"/>
      <c r="CE959" s="14"/>
      <c r="CF959" s="15"/>
      <c r="CG959" s="14"/>
      <c r="CH959" s="14"/>
      <c r="CI959" s="50"/>
      <c r="CJ959" s="54"/>
      <c r="CK959" s="14"/>
      <c r="CL959" s="14"/>
      <c r="CM959" s="14"/>
      <c r="CN959" s="14"/>
      <c r="CO959" s="14"/>
      <c r="CP959" s="14"/>
      <c r="CQ959" s="14"/>
      <c r="CR959" s="14"/>
      <c r="CS959" s="14"/>
      <c r="CT959" s="14"/>
      <c r="CU959" s="16"/>
      <c r="CV959" s="14"/>
      <c r="CW959" s="50"/>
      <c r="CX959" s="17"/>
    </row>
    <row r="960" spans="4:102" x14ac:dyDescent="0.25"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43"/>
      <c r="Q960" s="11"/>
      <c r="R960" s="11"/>
      <c r="S960" s="11"/>
      <c r="T960" s="11"/>
      <c r="U960" s="11"/>
      <c r="V960" s="11"/>
      <c r="W960" s="11"/>
      <c r="X960" s="12"/>
      <c r="Y960" s="12"/>
      <c r="Z960" s="12"/>
      <c r="AA960" s="44"/>
      <c r="AB960" s="45"/>
      <c r="AC960" s="12"/>
      <c r="AD960" s="12"/>
      <c r="AE960" s="12"/>
      <c r="AF960" s="12"/>
      <c r="AG960" s="44"/>
      <c r="AH960" s="45"/>
      <c r="AI960" s="12"/>
      <c r="AJ960" s="12"/>
      <c r="AK960" s="12"/>
      <c r="AL960" s="12"/>
      <c r="AM960" s="44"/>
      <c r="AN960" s="45"/>
      <c r="AO960" s="12"/>
      <c r="AP960" s="12"/>
      <c r="AQ960" s="12"/>
      <c r="AR960" s="12"/>
      <c r="AS960" s="44"/>
      <c r="AT960" s="45"/>
      <c r="AU960" s="12"/>
      <c r="AV960" s="12"/>
      <c r="AW960" s="12"/>
      <c r="AX960" s="12"/>
      <c r="AY960" s="44"/>
      <c r="AZ960" s="45"/>
      <c r="BA960" s="12"/>
      <c r="BB960" s="12"/>
      <c r="BC960" s="12"/>
      <c r="BD960" s="12"/>
      <c r="BE960" s="44"/>
      <c r="BF960" s="45"/>
      <c r="BG960" s="12"/>
      <c r="BH960" s="12"/>
      <c r="BI960" s="12"/>
      <c r="BJ960" s="12"/>
      <c r="BK960" s="44"/>
      <c r="BL960" s="45"/>
      <c r="BM960" s="12"/>
      <c r="BN960" s="12"/>
      <c r="BO960" s="12"/>
      <c r="BP960" s="12"/>
      <c r="BQ960" s="48"/>
      <c r="BR960" s="49"/>
      <c r="BS960" s="13"/>
      <c r="BT960" s="12"/>
      <c r="BV960" s="14"/>
      <c r="BW960" s="50"/>
      <c r="BX960" s="54"/>
      <c r="BY960" s="14"/>
      <c r="BZ960" s="14"/>
      <c r="CA960" s="14"/>
      <c r="CB960" s="14"/>
      <c r="CC960" s="14"/>
      <c r="CD960" s="14"/>
      <c r="CE960" s="14"/>
      <c r="CF960" s="15"/>
      <c r="CG960" s="14"/>
      <c r="CH960" s="14"/>
      <c r="CI960" s="50"/>
      <c r="CJ960" s="54"/>
      <c r="CK960" s="14"/>
      <c r="CL960" s="14"/>
      <c r="CM960" s="14"/>
      <c r="CN960" s="14"/>
      <c r="CO960" s="14"/>
      <c r="CP960" s="14"/>
      <c r="CQ960" s="14"/>
      <c r="CR960" s="14"/>
      <c r="CS960" s="14"/>
      <c r="CT960" s="14"/>
      <c r="CU960" s="16"/>
      <c r="CV960" s="14"/>
      <c r="CW960" s="50"/>
      <c r="CX960" s="17"/>
    </row>
    <row r="961" spans="4:102" x14ac:dyDescent="0.25"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43"/>
      <c r="Q961" s="11"/>
      <c r="R961" s="11"/>
      <c r="S961" s="11"/>
      <c r="T961" s="11"/>
      <c r="U961" s="11"/>
      <c r="V961" s="11"/>
      <c r="W961" s="11"/>
      <c r="X961" s="12"/>
      <c r="Y961" s="12"/>
      <c r="Z961" s="12"/>
      <c r="AA961" s="44"/>
      <c r="AB961" s="45"/>
      <c r="AC961" s="12"/>
      <c r="AD961" s="12"/>
      <c r="AE961" s="12"/>
      <c r="AF961" s="12"/>
      <c r="AG961" s="44"/>
      <c r="AH961" s="45"/>
      <c r="AI961" s="12"/>
      <c r="AJ961" s="12"/>
      <c r="AK961" s="12"/>
      <c r="AL961" s="12"/>
      <c r="AM961" s="44"/>
      <c r="AN961" s="45"/>
      <c r="AO961" s="12"/>
      <c r="AP961" s="12"/>
      <c r="AQ961" s="12"/>
      <c r="AR961" s="12"/>
      <c r="AS961" s="44"/>
      <c r="AT961" s="45"/>
      <c r="AU961" s="12"/>
      <c r="AV961" s="12"/>
      <c r="AW961" s="12"/>
      <c r="AX961" s="12"/>
      <c r="AY961" s="44"/>
      <c r="AZ961" s="45"/>
      <c r="BA961" s="12"/>
      <c r="BB961" s="12"/>
      <c r="BC961" s="12"/>
      <c r="BD961" s="12"/>
      <c r="BE961" s="44"/>
      <c r="BF961" s="45"/>
      <c r="BG961" s="12"/>
      <c r="BH961" s="12"/>
      <c r="BI961" s="12"/>
      <c r="BJ961" s="12"/>
      <c r="BK961" s="44"/>
      <c r="BL961" s="45"/>
      <c r="BM961" s="12"/>
      <c r="BN961" s="12"/>
      <c r="BO961" s="12"/>
      <c r="BP961" s="12"/>
      <c r="BQ961" s="48"/>
      <c r="BR961" s="49"/>
      <c r="BS961" s="13"/>
      <c r="BT961" s="12"/>
      <c r="BV961" s="14"/>
      <c r="BW961" s="50"/>
      <c r="BX961" s="54"/>
      <c r="BY961" s="14"/>
      <c r="BZ961" s="14"/>
      <c r="CA961" s="14"/>
      <c r="CB961" s="14"/>
      <c r="CC961" s="14"/>
      <c r="CD961" s="14"/>
      <c r="CE961" s="14"/>
      <c r="CF961" s="15"/>
      <c r="CG961" s="14"/>
      <c r="CH961" s="14"/>
      <c r="CI961" s="50"/>
      <c r="CJ961" s="54"/>
      <c r="CK961" s="14"/>
      <c r="CL961" s="14"/>
      <c r="CM961" s="14"/>
      <c r="CN961" s="14"/>
      <c r="CO961" s="14"/>
      <c r="CP961" s="14"/>
      <c r="CQ961" s="14"/>
      <c r="CR961" s="14"/>
      <c r="CS961" s="14"/>
      <c r="CT961" s="14"/>
      <c r="CU961" s="16"/>
      <c r="CV961" s="14"/>
      <c r="CW961" s="50"/>
      <c r="CX961" s="17"/>
    </row>
    <row r="962" spans="4:102" x14ac:dyDescent="0.25"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43"/>
      <c r="Q962" s="11"/>
      <c r="R962" s="11"/>
      <c r="S962" s="11"/>
      <c r="T962" s="11"/>
      <c r="U962" s="11"/>
      <c r="V962" s="11"/>
      <c r="W962" s="11"/>
      <c r="X962" s="12"/>
      <c r="Y962" s="12"/>
      <c r="Z962" s="12"/>
      <c r="AA962" s="44"/>
      <c r="AB962" s="45"/>
      <c r="AC962" s="12"/>
      <c r="AD962" s="12"/>
      <c r="AE962" s="12"/>
      <c r="AF962" s="12"/>
      <c r="AG962" s="44"/>
      <c r="AH962" s="45"/>
      <c r="AI962" s="12"/>
      <c r="AJ962" s="12"/>
      <c r="AK962" s="12"/>
      <c r="AL962" s="12"/>
      <c r="AM962" s="44"/>
      <c r="AN962" s="45"/>
      <c r="AO962" s="12"/>
      <c r="AP962" s="12"/>
      <c r="AQ962" s="12"/>
      <c r="AR962" s="12"/>
      <c r="AS962" s="44"/>
      <c r="AT962" s="45"/>
      <c r="AU962" s="12"/>
      <c r="AV962" s="12"/>
      <c r="AW962" s="12"/>
      <c r="AX962" s="12"/>
      <c r="AY962" s="44"/>
      <c r="AZ962" s="45"/>
      <c r="BA962" s="12"/>
      <c r="BB962" s="12"/>
      <c r="BC962" s="12"/>
      <c r="BD962" s="12"/>
      <c r="BE962" s="44"/>
      <c r="BF962" s="45"/>
      <c r="BG962" s="12"/>
      <c r="BH962" s="12"/>
      <c r="BI962" s="12"/>
      <c r="BJ962" s="12"/>
      <c r="BK962" s="44"/>
      <c r="BL962" s="45"/>
      <c r="BM962" s="12"/>
      <c r="BN962" s="12"/>
      <c r="BO962" s="12"/>
      <c r="BP962" s="12"/>
      <c r="BQ962" s="48"/>
      <c r="BR962" s="49"/>
      <c r="BS962" s="13"/>
      <c r="BT962" s="12"/>
      <c r="BV962" s="14"/>
      <c r="BW962" s="50"/>
      <c r="BX962" s="54"/>
      <c r="BY962" s="14"/>
      <c r="BZ962" s="14"/>
      <c r="CA962" s="14"/>
      <c r="CB962" s="14"/>
      <c r="CC962" s="14"/>
      <c r="CD962" s="14"/>
      <c r="CE962" s="14"/>
      <c r="CF962" s="15"/>
      <c r="CG962" s="14"/>
      <c r="CH962" s="14"/>
      <c r="CI962" s="50"/>
      <c r="CJ962" s="54"/>
      <c r="CK962" s="14"/>
      <c r="CL962" s="14"/>
      <c r="CM962" s="14"/>
      <c r="CN962" s="14"/>
      <c r="CO962" s="14"/>
      <c r="CP962" s="14"/>
      <c r="CQ962" s="14"/>
      <c r="CR962" s="14"/>
      <c r="CS962" s="14"/>
      <c r="CT962" s="14"/>
      <c r="CU962" s="16"/>
      <c r="CV962" s="14"/>
      <c r="CW962" s="50"/>
      <c r="CX962" s="17"/>
    </row>
    <row r="963" spans="4:102" x14ac:dyDescent="0.25"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43"/>
      <c r="Q963" s="11"/>
      <c r="R963" s="11"/>
      <c r="S963" s="11"/>
      <c r="T963" s="11"/>
      <c r="U963" s="11"/>
      <c r="V963" s="11"/>
      <c r="W963" s="11"/>
      <c r="X963" s="12"/>
      <c r="Y963" s="12"/>
      <c r="Z963" s="12"/>
      <c r="AA963" s="44"/>
      <c r="AB963" s="45"/>
      <c r="AC963" s="12"/>
      <c r="AD963" s="12"/>
      <c r="AE963" s="12"/>
      <c r="AF963" s="12"/>
      <c r="AG963" s="44"/>
      <c r="AH963" s="45"/>
      <c r="AI963" s="12"/>
      <c r="AJ963" s="12"/>
      <c r="AK963" s="12"/>
      <c r="AL963" s="12"/>
      <c r="AM963" s="44"/>
      <c r="AN963" s="45"/>
      <c r="AO963" s="12"/>
      <c r="AP963" s="12"/>
      <c r="AQ963" s="12"/>
      <c r="AR963" s="12"/>
      <c r="AS963" s="44"/>
      <c r="AT963" s="45"/>
      <c r="AU963" s="12"/>
      <c r="AV963" s="12"/>
      <c r="AW963" s="12"/>
      <c r="AX963" s="12"/>
      <c r="AY963" s="44"/>
      <c r="AZ963" s="45"/>
      <c r="BA963" s="12"/>
      <c r="BB963" s="12"/>
      <c r="BC963" s="12"/>
      <c r="BD963" s="12"/>
      <c r="BE963" s="44"/>
      <c r="BF963" s="45"/>
      <c r="BG963" s="12"/>
      <c r="BH963" s="12"/>
      <c r="BI963" s="12"/>
      <c r="BJ963" s="12"/>
      <c r="BK963" s="44"/>
      <c r="BL963" s="45"/>
      <c r="BM963" s="12"/>
      <c r="BN963" s="12"/>
      <c r="BO963" s="12"/>
      <c r="BP963" s="12"/>
      <c r="BQ963" s="48"/>
      <c r="BR963" s="49"/>
      <c r="BS963" s="13"/>
      <c r="BT963" s="12"/>
      <c r="BV963" s="14"/>
      <c r="BW963" s="50"/>
      <c r="BX963" s="54"/>
      <c r="BY963" s="14"/>
      <c r="BZ963" s="14"/>
      <c r="CA963" s="14"/>
      <c r="CB963" s="14"/>
      <c r="CC963" s="14"/>
      <c r="CD963" s="14"/>
      <c r="CE963" s="14"/>
      <c r="CF963" s="15"/>
      <c r="CG963" s="14"/>
      <c r="CH963" s="14"/>
      <c r="CI963" s="50"/>
      <c r="CJ963" s="54"/>
      <c r="CK963" s="14"/>
      <c r="CL963" s="14"/>
      <c r="CM963" s="14"/>
      <c r="CN963" s="14"/>
      <c r="CO963" s="14"/>
      <c r="CP963" s="14"/>
      <c r="CQ963" s="14"/>
      <c r="CR963" s="14"/>
      <c r="CS963" s="14"/>
      <c r="CT963" s="14"/>
      <c r="CU963" s="16"/>
      <c r="CV963" s="14"/>
      <c r="CW963" s="50"/>
      <c r="CX963" s="17"/>
    </row>
    <row r="964" spans="4:102" x14ac:dyDescent="0.25"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43"/>
      <c r="Q964" s="11"/>
      <c r="R964" s="11"/>
      <c r="S964" s="11"/>
      <c r="T964" s="11"/>
      <c r="U964" s="11"/>
      <c r="V964" s="11"/>
      <c r="W964" s="11"/>
      <c r="X964" s="12"/>
      <c r="Y964" s="12"/>
      <c r="Z964" s="12"/>
      <c r="AA964" s="44"/>
      <c r="AB964" s="45"/>
      <c r="AC964" s="12"/>
      <c r="AD964" s="12"/>
      <c r="AE964" s="12"/>
      <c r="AF964" s="12"/>
      <c r="AG964" s="44"/>
      <c r="AH964" s="45"/>
      <c r="AI964" s="12"/>
      <c r="AJ964" s="12"/>
      <c r="AK964" s="12"/>
      <c r="AL964" s="12"/>
      <c r="AM964" s="44"/>
      <c r="AN964" s="45"/>
      <c r="AO964" s="12"/>
      <c r="AP964" s="12"/>
      <c r="AQ964" s="12"/>
      <c r="AR964" s="12"/>
      <c r="AS964" s="44"/>
      <c r="AT964" s="45"/>
      <c r="AU964" s="12"/>
      <c r="AV964" s="12"/>
      <c r="AW964" s="12"/>
      <c r="AX964" s="12"/>
      <c r="AY964" s="44"/>
      <c r="AZ964" s="45"/>
      <c r="BA964" s="12"/>
      <c r="BB964" s="12"/>
      <c r="BC964" s="12"/>
      <c r="BD964" s="12"/>
      <c r="BE964" s="44"/>
      <c r="BF964" s="45"/>
      <c r="BG964" s="12"/>
      <c r="BH964" s="12"/>
      <c r="BI964" s="12"/>
      <c r="BJ964" s="12"/>
      <c r="BK964" s="44"/>
      <c r="BL964" s="45"/>
      <c r="BM964" s="12"/>
      <c r="BN964" s="12"/>
      <c r="BO964" s="12"/>
      <c r="BP964" s="12"/>
      <c r="BQ964" s="48"/>
      <c r="BR964" s="49"/>
      <c r="BS964" s="13"/>
      <c r="BT964" s="12"/>
      <c r="BV964" s="14"/>
      <c r="BW964" s="50"/>
      <c r="BX964" s="54"/>
      <c r="BY964" s="14"/>
      <c r="BZ964" s="14"/>
      <c r="CA964" s="14"/>
      <c r="CB964" s="14"/>
      <c r="CC964" s="14"/>
      <c r="CD964" s="14"/>
      <c r="CE964" s="14"/>
      <c r="CF964" s="15"/>
      <c r="CG964" s="14"/>
      <c r="CH964" s="14"/>
      <c r="CI964" s="50"/>
      <c r="CJ964" s="54"/>
      <c r="CK964" s="14"/>
      <c r="CL964" s="14"/>
      <c r="CM964" s="14"/>
      <c r="CN964" s="14"/>
      <c r="CO964" s="14"/>
      <c r="CP964" s="14"/>
      <c r="CQ964" s="14"/>
      <c r="CR964" s="14"/>
      <c r="CS964" s="14"/>
      <c r="CT964" s="14"/>
      <c r="CU964" s="16"/>
      <c r="CV964" s="14"/>
      <c r="CW964" s="50"/>
      <c r="CX964" s="17"/>
    </row>
    <row r="965" spans="4:102" x14ac:dyDescent="0.25"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43"/>
      <c r="Q965" s="11"/>
      <c r="R965" s="11"/>
      <c r="S965" s="11"/>
      <c r="T965" s="11"/>
      <c r="U965" s="11"/>
      <c r="V965" s="11"/>
      <c r="W965" s="11"/>
      <c r="X965" s="12"/>
      <c r="Y965" s="12"/>
      <c r="Z965" s="12"/>
      <c r="AA965" s="44"/>
      <c r="AB965" s="45"/>
      <c r="AC965" s="12"/>
      <c r="AD965" s="12"/>
      <c r="AE965" s="12"/>
      <c r="AF965" s="12"/>
      <c r="AG965" s="44"/>
      <c r="AH965" s="45"/>
      <c r="AI965" s="12"/>
      <c r="AJ965" s="12"/>
      <c r="AK965" s="12"/>
      <c r="AL965" s="12"/>
      <c r="AM965" s="44"/>
      <c r="AN965" s="45"/>
      <c r="AO965" s="12"/>
      <c r="AP965" s="12"/>
      <c r="AQ965" s="12"/>
      <c r="AR965" s="12"/>
      <c r="AS965" s="44"/>
      <c r="AT965" s="45"/>
      <c r="AU965" s="12"/>
      <c r="AV965" s="12"/>
      <c r="AW965" s="12"/>
      <c r="AX965" s="12"/>
      <c r="AY965" s="44"/>
      <c r="AZ965" s="45"/>
      <c r="BA965" s="12"/>
      <c r="BB965" s="12"/>
      <c r="BC965" s="12"/>
      <c r="BD965" s="12"/>
      <c r="BE965" s="44"/>
      <c r="BF965" s="45"/>
      <c r="BG965" s="12"/>
      <c r="BH965" s="12"/>
      <c r="BI965" s="12"/>
      <c r="BJ965" s="12"/>
      <c r="BK965" s="44"/>
      <c r="BL965" s="45"/>
      <c r="BM965" s="12"/>
      <c r="BN965" s="12"/>
      <c r="BO965" s="12"/>
      <c r="BP965" s="12"/>
      <c r="BQ965" s="48"/>
      <c r="BR965" s="49"/>
      <c r="BS965" s="13"/>
      <c r="BT965" s="12"/>
      <c r="BV965" s="14"/>
      <c r="BW965" s="50"/>
      <c r="BX965" s="54"/>
      <c r="BY965" s="14"/>
      <c r="BZ965" s="14"/>
      <c r="CA965" s="14"/>
      <c r="CB965" s="14"/>
      <c r="CC965" s="14"/>
      <c r="CD965" s="14"/>
      <c r="CE965" s="14"/>
      <c r="CF965" s="15"/>
      <c r="CG965" s="14"/>
      <c r="CH965" s="14"/>
      <c r="CI965" s="50"/>
      <c r="CJ965" s="54"/>
      <c r="CK965" s="14"/>
      <c r="CL965" s="14"/>
      <c r="CM965" s="14"/>
      <c r="CN965" s="14"/>
      <c r="CO965" s="14"/>
      <c r="CP965" s="14"/>
      <c r="CQ965" s="14"/>
      <c r="CR965" s="14"/>
      <c r="CS965" s="14"/>
      <c r="CT965" s="14"/>
      <c r="CU965" s="16"/>
      <c r="CV965" s="14"/>
      <c r="CW965" s="50"/>
      <c r="CX965" s="17"/>
    </row>
    <row r="966" spans="4:102" x14ac:dyDescent="0.25"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43"/>
      <c r="Q966" s="11"/>
      <c r="R966" s="11"/>
      <c r="S966" s="11"/>
      <c r="T966" s="11"/>
      <c r="U966" s="11"/>
      <c r="V966" s="11"/>
      <c r="W966" s="11"/>
      <c r="X966" s="12"/>
      <c r="Y966" s="12"/>
      <c r="Z966" s="12"/>
      <c r="AA966" s="44"/>
      <c r="AB966" s="45"/>
      <c r="AC966" s="12"/>
      <c r="AD966" s="12"/>
      <c r="AE966" s="12"/>
      <c r="AF966" s="12"/>
      <c r="AG966" s="44"/>
      <c r="AH966" s="45"/>
      <c r="AI966" s="12"/>
      <c r="AJ966" s="12"/>
      <c r="AK966" s="12"/>
      <c r="AL966" s="12"/>
      <c r="AM966" s="44"/>
      <c r="AN966" s="45"/>
      <c r="AO966" s="12"/>
      <c r="AP966" s="12"/>
      <c r="AQ966" s="12"/>
      <c r="AR966" s="12"/>
      <c r="AS966" s="44"/>
      <c r="AT966" s="45"/>
      <c r="AU966" s="12"/>
      <c r="AV966" s="12"/>
      <c r="AW966" s="12"/>
      <c r="AX966" s="12"/>
      <c r="AY966" s="44"/>
      <c r="AZ966" s="45"/>
      <c r="BA966" s="12"/>
      <c r="BB966" s="12"/>
      <c r="BC966" s="12"/>
      <c r="BD966" s="12"/>
      <c r="BE966" s="44"/>
      <c r="BF966" s="45"/>
      <c r="BG966" s="12"/>
      <c r="BH966" s="12"/>
      <c r="BI966" s="12"/>
      <c r="BJ966" s="12"/>
      <c r="BK966" s="44"/>
      <c r="BL966" s="45"/>
      <c r="BM966" s="12"/>
      <c r="BN966" s="12"/>
      <c r="BO966" s="12"/>
      <c r="BP966" s="12"/>
      <c r="BQ966" s="48"/>
      <c r="BR966" s="49"/>
      <c r="BS966" s="13"/>
      <c r="BT966" s="12"/>
      <c r="BV966" s="14"/>
      <c r="BW966" s="50"/>
      <c r="BX966" s="54"/>
      <c r="BY966" s="14"/>
      <c r="BZ966" s="14"/>
      <c r="CA966" s="14"/>
      <c r="CB966" s="14"/>
      <c r="CC966" s="14"/>
      <c r="CD966" s="14"/>
      <c r="CE966" s="14"/>
      <c r="CF966" s="15"/>
      <c r="CG966" s="14"/>
      <c r="CH966" s="14"/>
      <c r="CI966" s="50"/>
      <c r="CJ966" s="54"/>
      <c r="CK966" s="14"/>
      <c r="CL966" s="14"/>
      <c r="CM966" s="14"/>
      <c r="CN966" s="14"/>
      <c r="CO966" s="14"/>
      <c r="CP966" s="14"/>
      <c r="CQ966" s="14"/>
      <c r="CR966" s="14"/>
      <c r="CS966" s="14"/>
      <c r="CT966" s="14"/>
      <c r="CU966" s="16"/>
      <c r="CV966" s="14"/>
      <c r="CW966" s="50"/>
      <c r="CX966" s="17"/>
    </row>
    <row r="967" spans="4:102" x14ac:dyDescent="0.25"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43"/>
      <c r="Q967" s="11"/>
      <c r="R967" s="11"/>
      <c r="S967" s="11"/>
      <c r="T967" s="11"/>
      <c r="U967" s="11"/>
      <c r="V967" s="11"/>
      <c r="W967" s="11"/>
      <c r="X967" s="12"/>
      <c r="Y967" s="12"/>
      <c r="Z967" s="12"/>
      <c r="AA967" s="44"/>
      <c r="AB967" s="45"/>
      <c r="AC967" s="12"/>
      <c r="AD967" s="12"/>
      <c r="AE967" s="12"/>
      <c r="AF967" s="12"/>
      <c r="AG967" s="44"/>
      <c r="AH967" s="45"/>
      <c r="AI967" s="12"/>
      <c r="AJ967" s="12"/>
      <c r="AK967" s="12"/>
      <c r="AL967" s="12"/>
      <c r="AM967" s="44"/>
      <c r="AN967" s="45"/>
      <c r="AO967" s="12"/>
      <c r="AP967" s="12"/>
      <c r="AQ967" s="12"/>
      <c r="AR967" s="12"/>
      <c r="AS967" s="44"/>
      <c r="AT967" s="45"/>
      <c r="AU967" s="12"/>
      <c r="AV967" s="12"/>
      <c r="AW967" s="12"/>
      <c r="AX967" s="12"/>
      <c r="AY967" s="44"/>
      <c r="AZ967" s="45"/>
      <c r="BA967" s="12"/>
      <c r="BB967" s="12"/>
      <c r="BC967" s="12"/>
      <c r="BD967" s="12"/>
      <c r="BE967" s="44"/>
      <c r="BF967" s="45"/>
      <c r="BG967" s="12"/>
      <c r="BH967" s="12"/>
      <c r="BI967" s="12"/>
      <c r="BJ967" s="12"/>
      <c r="BK967" s="44"/>
      <c r="BL967" s="45"/>
      <c r="BM967" s="12"/>
      <c r="BN967" s="12"/>
      <c r="BO967" s="12"/>
      <c r="BP967" s="12"/>
      <c r="BQ967" s="48"/>
      <c r="BR967" s="49"/>
      <c r="BS967" s="13"/>
      <c r="BT967" s="12"/>
      <c r="BV967" s="14"/>
      <c r="BW967" s="50"/>
      <c r="BX967" s="54"/>
      <c r="BY967" s="14"/>
      <c r="BZ967" s="14"/>
      <c r="CA967" s="14"/>
      <c r="CB967" s="14"/>
      <c r="CC967" s="14"/>
      <c r="CD967" s="14"/>
      <c r="CE967" s="14"/>
      <c r="CF967" s="15"/>
      <c r="CG967" s="14"/>
      <c r="CH967" s="14"/>
      <c r="CI967" s="50"/>
      <c r="CJ967" s="54"/>
      <c r="CK967" s="14"/>
      <c r="CL967" s="14"/>
      <c r="CM967" s="14"/>
      <c r="CN967" s="14"/>
      <c r="CO967" s="14"/>
      <c r="CP967" s="14"/>
      <c r="CQ967" s="14"/>
      <c r="CR967" s="14"/>
      <c r="CS967" s="14"/>
      <c r="CT967" s="14"/>
      <c r="CU967" s="16"/>
      <c r="CV967" s="14"/>
      <c r="CW967" s="50"/>
      <c r="CX967" s="17"/>
    </row>
    <row r="968" spans="4:102" x14ac:dyDescent="0.25"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43"/>
      <c r="Q968" s="11"/>
      <c r="R968" s="11"/>
      <c r="S968" s="11"/>
      <c r="T968" s="11"/>
      <c r="U968" s="11"/>
      <c r="V968" s="11"/>
      <c r="W968" s="11"/>
      <c r="X968" s="12"/>
      <c r="Y968" s="12"/>
      <c r="Z968" s="12"/>
      <c r="AA968" s="44"/>
      <c r="AB968" s="45"/>
      <c r="AC968" s="12"/>
      <c r="AD968" s="12"/>
      <c r="AE968" s="12"/>
      <c r="AF968" s="12"/>
      <c r="AG968" s="44"/>
      <c r="AH968" s="45"/>
      <c r="AI968" s="12"/>
      <c r="AJ968" s="12"/>
      <c r="AK968" s="12"/>
      <c r="AL968" s="12"/>
      <c r="AM968" s="44"/>
      <c r="AN968" s="45"/>
      <c r="AO968" s="12"/>
      <c r="AP968" s="12"/>
      <c r="AQ968" s="12"/>
      <c r="AR968" s="12"/>
      <c r="AS968" s="44"/>
      <c r="AT968" s="45"/>
      <c r="AU968" s="12"/>
      <c r="AV968" s="12"/>
      <c r="AW968" s="12"/>
      <c r="AX968" s="12"/>
      <c r="AY968" s="44"/>
      <c r="AZ968" s="45"/>
      <c r="BA968" s="12"/>
      <c r="BB968" s="12"/>
      <c r="BC968" s="12"/>
      <c r="BD968" s="12"/>
      <c r="BE968" s="44"/>
      <c r="BF968" s="45"/>
      <c r="BG968" s="12"/>
      <c r="BH968" s="12"/>
      <c r="BI968" s="12"/>
      <c r="BJ968" s="12"/>
      <c r="BK968" s="44"/>
      <c r="BL968" s="45"/>
      <c r="BM968" s="12"/>
      <c r="BN968" s="12"/>
      <c r="BO968" s="12"/>
      <c r="BP968" s="12"/>
      <c r="BQ968" s="48"/>
      <c r="BR968" s="49"/>
      <c r="BS968" s="13"/>
      <c r="BT968" s="12"/>
      <c r="BV968" s="14"/>
      <c r="BW968" s="50"/>
      <c r="BX968" s="54"/>
      <c r="BY968" s="14"/>
      <c r="BZ968" s="14"/>
      <c r="CA968" s="14"/>
      <c r="CB968" s="14"/>
      <c r="CC968" s="14"/>
      <c r="CD968" s="14"/>
      <c r="CE968" s="14"/>
      <c r="CF968" s="15"/>
      <c r="CG968" s="14"/>
      <c r="CH968" s="14"/>
      <c r="CI968" s="50"/>
      <c r="CJ968" s="54"/>
      <c r="CK968" s="14"/>
      <c r="CL968" s="14"/>
      <c r="CM968" s="14"/>
      <c r="CN968" s="14"/>
      <c r="CO968" s="14"/>
      <c r="CP968" s="14"/>
      <c r="CQ968" s="14"/>
      <c r="CR968" s="14"/>
      <c r="CS968" s="14"/>
      <c r="CT968" s="14"/>
      <c r="CU968" s="16"/>
      <c r="CV968" s="14"/>
      <c r="CW968" s="50"/>
      <c r="CX968" s="17"/>
    </row>
    <row r="969" spans="4:102" x14ac:dyDescent="0.25"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43"/>
      <c r="Q969" s="11"/>
      <c r="R969" s="11"/>
      <c r="S969" s="11"/>
      <c r="T969" s="11"/>
      <c r="U969" s="11"/>
      <c r="V969" s="11"/>
      <c r="W969" s="11"/>
      <c r="X969" s="12"/>
      <c r="Y969" s="12"/>
      <c r="Z969" s="12"/>
      <c r="AA969" s="44"/>
      <c r="AB969" s="45"/>
      <c r="AC969" s="12"/>
      <c r="AD969" s="12"/>
      <c r="AE969" s="12"/>
      <c r="AF969" s="12"/>
      <c r="AG969" s="44"/>
      <c r="AH969" s="45"/>
      <c r="AI969" s="12"/>
      <c r="AJ969" s="12"/>
      <c r="AK969" s="12"/>
      <c r="AL969" s="12"/>
      <c r="AM969" s="44"/>
      <c r="AN969" s="45"/>
      <c r="AO969" s="12"/>
      <c r="AP969" s="12"/>
      <c r="AQ969" s="12"/>
      <c r="AR969" s="12"/>
      <c r="AS969" s="44"/>
      <c r="AT969" s="45"/>
      <c r="AU969" s="12"/>
      <c r="AV969" s="12"/>
      <c r="AW969" s="12"/>
      <c r="AX969" s="12"/>
      <c r="AY969" s="44"/>
      <c r="AZ969" s="45"/>
      <c r="BA969" s="12"/>
      <c r="BB969" s="12"/>
      <c r="BC969" s="12"/>
      <c r="BD969" s="12"/>
      <c r="BE969" s="44"/>
      <c r="BF969" s="45"/>
      <c r="BG969" s="12"/>
      <c r="BH969" s="12"/>
      <c r="BI969" s="12"/>
      <c r="BJ969" s="12"/>
      <c r="BK969" s="44"/>
      <c r="BL969" s="45"/>
      <c r="BM969" s="12"/>
      <c r="BN969" s="12"/>
      <c r="BO969" s="12"/>
      <c r="BP969" s="12"/>
      <c r="BQ969" s="48"/>
      <c r="BR969" s="49"/>
      <c r="BS969" s="13"/>
      <c r="BT969" s="12"/>
      <c r="BV969" s="14"/>
      <c r="BW969" s="50"/>
      <c r="BX969" s="54"/>
      <c r="BY969" s="14"/>
      <c r="BZ969" s="14"/>
      <c r="CA969" s="14"/>
      <c r="CB969" s="14"/>
      <c r="CC969" s="14"/>
      <c r="CD969" s="14"/>
      <c r="CE969" s="14"/>
      <c r="CF969" s="15"/>
      <c r="CG969" s="14"/>
      <c r="CH969" s="14"/>
      <c r="CI969" s="50"/>
      <c r="CJ969" s="54"/>
      <c r="CK969" s="14"/>
      <c r="CL969" s="14"/>
      <c r="CM969" s="14"/>
      <c r="CN969" s="14"/>
      <c r="CO969" s="14"/>
      <c r="CP969" s="14"/>
      <c r="CQ969" s="14"/>
      <c r="CR969" s="14"/>
      <c r="CS969" s="14"/>
      <c r="CT969" s="14"/>
      <c r="CU969" s="16"/>
      <c r="CV969" s="14"/>
      <c r="CW969" s="50"/>
      <c r="CX969" s="17"/>
    </row>
    <row r="970" spans="4:102" x14ac:dyDescent="0.25"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43"/>
      <c r="Q970" s="11"/>
      <c r="R970" s="11"/>
      <c r="S970" s="11"/>
      <c r="T970" s="11"/>
      <c r="U970" s="11"/>
      <c r="V970" s="11"/>
      <c r="W970" s="11"/>
      <c r="X970" s="12"/>
      <c r="Y970" s="12"/>
      <c r="Z970" s="12"/>
      <c r="AA970" s="44"/>
      <c r="AB970" s="45"/>
      <c r="AC970" s="12"/>
      <c r="AD970" s="12"/>
      <c r="AE970" s="12"/>
      <c r="AF970" s="12"/>
      <c r="AG970" s="44"/>
      <c r="AH970" s="45"/>
      <c r="AI970" s="12"/>
      <c r="AJ970" s="12"/>
      <c r="AK970" s="12"/>
      <c r="AL970" s="12"/>
      <c r="AM970" s="44"/>
      <c r="AN970" s="45"/>
      <c r="AO970" s="12"/>
      <c r="AP970" s="12"/>
      <c r="AQ970" s="12"/>
      <c r="AR970" s="12"/>
      <c r="AS970" s="44"/>
      <c r="AT970" s="45"/>
      <c r="AU970" s="12"/>
      <c r="AV970" s="12"/>
      <c r="AW970" s="12"/>
      <c r="AX970" s="12"/>
      <c r="AY970" s="44"/>
      <c r="AZ970" s="45"/>
      <c r="BA970" s="12"/>
      <c r="BB970" s="12"/>
      <c r="BC970" s="12"/>
      <c r="BD970" s="12"/>
      <c r="BE970" s="44"/>
      <c r="BF970" s="45"/>
      <c r="BG970" s="12"/>
      <c r="BH970" s="12"/>
      <c r="BI970" s="12"/>
      <c r="BJ970" s="12"/>
      <c r="BK970" s="44"/>
      <c r="BL970" s="45"/>
      <c r="BM970" s="12"/>
      <c r="BN970" s="12"/>
      <c r="BO970" s="12"/>
      <c r="BP970" s="12"/>
      <c r="BQ970" s="48"/>
      <c r="BR970" s="49"/>
      <c r="BS970" s="13"/>
      <c r="BT970" s="12"/>
      <c r="BV970" s="14"/>
      <c r="BW970" s="50"/>
      <c r="BX970" s="54"/>
      <c r="BY970" s="14"/>
      <c r="BZ970" s="14"/>
      <c r="CA970" s="14"/>
      <c r="CB970" s="14"/>
      <c r="CC970" s="14"/>
      <c r="CD970" s="14"/>
      <c r="CE970" s="14"/>
      <c r="CF970" s="15"/>
      <c r="CG970" s="14"/>
      <c r="CH970" s="14"/>
      <c r="CI970" s="50"/>
      <c r="CJ970" s="54"/>
      <c r="CK970" s="14"/>
      <c r="CL970" s="14"/>
      <c r="CM970" s="14"/>
      <c r="CN970" s="14"/>
      <c r="CO970" s="14"/>
      <c r="CP970" s="14"/>
      <c r="CQ970" s="14"/>
      <c r="CR970" s="14"/>
      <c r="CS970" s="14"/>
      <c r="CT970" s="14"/>
      <c r="CU970" s="16"/>
      <c r="CV970" s="14"/>
      <c r="CW970" s="50"/>
      <c r="CX970" s="17"/>
    </row>
    <row r="971" spans="4:102" x14ac:dyDescent="0.25"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43"/>
      <c r="Q971" s="11"/>
      <c r="R971" s="11"/>
      <c r="S971" s="11"/>
      <c r="T971" s="11"/>
      <c r="U971" s="11"/>
      <c r="V971" s="11"/>
      <c r="W971" s="11"/>
      <c r="X971" s="12"/>
      <c r="Y971" s="12"/>
      <c r="Z971" s="12"/>
      <c r="AA971" s="44"/>
      <c r="AB971" s="45"/>
      <c r="AC971" s="12"/>
      <c r="AD971" s="12"/>
      <c r="AE971" s="12"/>
      <c r="AF971" s="12"/>
      <c r="AG971" s="44"/>
      <c r="AH971" s="45"/>
      <c r="AI971" s="12"/>
      <c r="AJ971" s="12"/>
      <c r="AK971" s="12"/>
      <c r="AL971" s="12"/>
      <c r="AM971" s="44"/>
      <c r="AN971" s="45"/>
      <c r="AO971" s="12"/>
      <c r="AP971" s="12"/>
      <c r="AQ971" s="12"/>
      <c r="AR971" s="12"/>
      <c r="AS971" s="44"/>
      <c r="AT971" s="45"/>
      <c r="AU971" s="12"/>
      <c r="AV971" s="12"/>
      <c r="AW971" s="12"/>
      <c r="AX971" s="12"/>
      <c r="AY971" s="44"/>
      <c r="AZ971" s="45"/>
      <c r="BA971" s="12"/>
      <c r="BB971" s="12"/>
      <c r="BC971" s="12"/>
      <c r="BD971" s="12"/>
      <c r="BE971" s="44"/>
      <c r="BF971" s="45"/>
      <c r="BG971" s="12"/>
      <c r="BH971" s="12"/>
      <c r="BI971" s="12"/>
      <c r="BJ971" s="12"/>
      <c r="BK971" s="44"/>
      <c r="BL971" s="45"/>
      <c r="BM971" s="12"/>
      <c r="BN971" s="12"/>
      <c r="BO971" s="12"/>
      <c r="BP971" s="12"/>
      <c r="BQ971" s="48"/>
      <c r="BR971" s="49"/>
      <c r="BS971" s="13"/>
      <c r="BT971" s="12"/>
      <c r="BV971" s="14"/>
      <c r="BW971" s="50"/>
      <c r="BX971" s="54"/>
      <c r="BY971" s="14"/>
      <c r="BZ971" s="14"/>
      <c r="CA971" s="14"/>
      <c r="CB971" s="14"/>
      <c r="CC971" s="14"/>
      <c r="CD971" s="14"/>
      <c r="CE971" s="14"/>
      <c r="CF971" s="15"/>
      <c r="CG971" s="14"/>
      <c r="CH971" s="14"/>
      <c r="CI971" s="50"/>
      <c r="CJ971" s="54"/>
      <c r="CK971" s="14"/>
      <c r="CL971" s="14"/>
      <c r="CM971" s="14"/>
      <c r="CN971" s="14"/>
      <c r="CO971" s="14"/>
      <c r="CP971" s="14"/>
      <c r="CQ971" s="14"/>
      <c r="CR971" s="14"/>
      <c r="CS971" s="14"/>
      <c r="CT971" s="14"/>
      <c r="CU971" s="16"/>
      <c r="CV971" s="14"/>
      <c r="CW971" s="50"/>
      <c r="CX971" s="17"/>
    </row>
    <row r="972" spans="4:102" x14ac:dyDescent="0.25"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43"/>
      <c r="Q972" s="11"/>
      <c r="R972" s="11"/>
      <c r="S972" s="11"/>
      <c r="T972" s="11"/>
      <c r="U972" s="11"/>
      <c r="V972" s="11"/>
      <c r="W972" s="11"/>
      <c r="X972" s="12"/>
      <c r="Y972" s="12"/>
      <c r="Z972" s="12"/>
      <c r="AA972" s="44"/>
      <c r="AB972" s="45"/>
      <c r="AC972" s="12"/>
      <c r="AD972" s="12"/>
      <c r="AE972" s="12"/>
      <c r="AF972" s="12"/>
      <c r="AG972" s="44"/>
      <c r="AH972" s="45"/>
      <c r="AI972" s="12"/>
      <c r="AJ972" s="12"/>
      <c r="AK972" s="12"/>
      <c r="AL972" s="12"/>
      <c r="AM972" s="44"/>
      <c r="AN972" s="45"/>
      <c r="AO972" s="12"/>
      <c r="AP972" s="12"/>
      <c r="AQ972" s="12"/>
      <c r="AR972" s="12"/>
      <c r="AS972" s="44"/>
      <c r="AT972" s="45"/>
      <c r="AU972" s="12"/>
      <c r="AV972" s="12"/>
      <c r="AW972" s="12"/>
      <c r="AX972" s="12"/>
      <c r="AY972" s="44"/>
      <c r="AZ972" s="45"/>
      <c r="BA972" s="12"/>
      <c r="BB972" s="12"/>
      <c r="BC972" s="12"/>
      <c r="BD972" s="12"/>
      <c r="BE972" s="44"/>
      <c r="BF972" s="45"/>
      <c r="BG972" s="12"/>
      <c r="BH972" s="12"/>
      <c r="BI972" s="12"/>
      <c r="BJ972" s="12"/>
      <c r="BK972" s="44"/>
      <c r="BL972" s="45"/>
      <c r="BM972" s="12"/>
      <c r="BN972" s="12"/>
      <c r="BO972" s="12"/>
      <c r="BP972" s="12"/>
      <c r="BQ972" s="48"/>
      <c r="BR972" s="49"/>
      <c r="BS972" s="13"/>
      <c r="BT972" s="12"/>
      <c r="BV972" s="14"/>
      <c r="BW972" s="50"/>
      <c r="BX972" s="54"/>
      <c r="BY972" s="14"/>
      <c r="BZ972" s="14"/>
      <c r="CA972" s="14"/>
      <c r="CB972" s="14"/>
      <c r="CC972" s="14"/>
      <c r="CD972" s="14"/>
      <c r="CE972" s="14"/>
      <c r="CF972" s="15"/>
      <c r="CG972" s="14"/>
      <c r="CH972" s="14"/>
      <c r="CI972" s="50"/>
      <c r="CJ972" s="54"/>
      <c r="CK972" s="14"/>
      <c r="CL972" s="14"/>
      <c r="CM972" s="14"/>
      <c r="CN972" s="14"/>
      <c r="CO972" s="14"/>
      <c r="CP972" s="14"/>
      <c r="CQ972" s="14"/>
      <c r="CR972" s="14"/>
      <c r="CS972" s="14"/>
      <c r="CT972" s="14"/>
      <c r="CU972" s="16"/>
      <c r="CV972" s="14"/>
      <c r="CW972" s="50"/>
      <c r="CX972" s="17"/>
    </row>
    <row r="973" spans="4:102" x14ac:dyDescent="0.25"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43"/>
      <c r="Q973" s="11"/>
      <c r="R973" s="11"/>
      <c r="S973" s="11"/>
      <c r="T973" s="11"/>
      <c r="U973" s="11"/>
      <c r="V973" s="11"/>
      <c r="W973" s="11"/>
      <c r="X973" s="12"/>
      <c r="Y973" s="12"/>
      <c r="Z973" s="12"/>
      <c r="AA973" s="44"/>
      <c r="AB973" s="45"/>
      <c r="AC973" s="12"/>
      <c r="AD973" s="12"/>
      <c r="AE973" s="12"/>
      <c r="AF973" s="12"/>
      <c r="AG973" s="44"/>
      <c r="AH973" s="45"/>
      <c r="AI973" s="12"/>
      <c r="AJ973" s="12"/>
      <c r="AK973" s="12"/>
      <c r="AL973" s="12"/>
      <c r="AM973" s="44"/>
      <c r="AN973" s="45"/>
      <c r="AO973" s="12"/>
      <c r="AP973" s="12"/>
      <c r="AQ973" s="12"/>
      <c r="AR973" s="12"/>
      <c r="AS973" s="44"/>
      <c r="AT973" s="45"/>
      <c r="AU973" s="12"/>
      <c r="AV973" s="12"/>
      <c r="AW973" s="12"/>
      <c r="AX973" s="12"/>
      <c r="AY973" s="44"/>
      <c r="AZ973" s="45"/>
      <c r="BA973" s="12"/>
      <c r="BB973" s="12"/>
      <c r="BC973" s="12"/>
      <c r="BD973" s="12"/>
      <c r="BE973" s="44"/>
      <c r="BF973" s="45"/>
      <c r="BG973" s="12"/>
      <c r="BH973" s="12"/>
      <c r="BI973" s="12"/>
      <c r="BJ973" s="12"/>
      <c r="BK973" s="44"/>
      <c r="BL973" s="45"/>
      <c r="BM973" s="12"/>
      <c r="BN973" s="12"/>
      <c r="BO973" s="12"/>
      <c r="BP973" s="12"/>
      <c r="BQ973" s="48"/>
      <c r="BR973" s="49"/>
      <c r="BS973" s="13"/>
      <c r="BT973" s="12"/>
      <c r="BV973" s="14"/>
      <c r="BW973" s="50"/>
      <c r="BX973" s="54"/>
      <c r="BY973" s="14"/>
      <c r="BZ973" s="14"/>
      <c r="CA973" s="14"/>
      <c r="CB973" s="14"/>
      <c r="CC973" s="14"/>
      <c r="CD973" s="14"/>
      <c r="CE973" s="14"/>
      <c r="CF973" s="15"/>
      <c r="CG973" s="14"/>
      <c r="CH973" s="14"/>
      <c r="CI973" s="50"/>
      <c r="CJ973" s="54"/>
      <c r="CK973" s="14"/>
      <c r="CL973" s="14"/>
      <c r="CM973" s="14"/>
      <c r="CN973" s="14"/>
      <c r="CO973" s="14"/>
      <c r="CP973" s="14"/>
      <c r="CQ973" s="14"/>
      <c r="CR973" s="14"/>
      <c r="CS973" s="14"/>
      <c r="CT973" s="14"/>
      <c r="CU973" s="16"/>
      <c r="CV973" s="14"/>
      <c r="CW973" s="50"/>
      <c r="CX973" s="17"/>
    </row>
    <row r="974" spans="4:102" x14ac:dyDescent="0.25"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43"/>
      <c r="Q974" s="11"/>
      <c r="R974" s="11"/>
      <c r="S974" s="11"/>
      <c r="T974" s="11"/>
      <c r="U974" s="11"/>
      <c r="V974" s="11"/>
      <c r="W974" s="11"/>
      <c r="X974" s="12"/>
      <c r="Y974" s="12"/>
      <c r="Z974" s="12"/>
      <c r="AA974" s="44"/>
      <c r="AB974" s="45"/>
      <c r="AC974" s="12"/>
      <c r="AD974" s="12"/>
      <c r="AE974" s="12"/>
      <c r="AF974" s="12"/>
      <c r="AG974" s="44"/>
      <c r="AH974" s="45"/>
      <c r="AI974" s="12"/>
      <c r="AJ974" s="12"/>
      <c r="AK974" s="12"/>
      <c r="AL974" s="12"/>
      <c r="AM974" s="44"/>
      <c r="AN974" s="45"/>
      <c r="AO974" s="12"/>
      <c r="AP974" s="12"/>
      <c r="AQ974" s="12"/>
      <c r="AR974" s="12"/>
      <c r="AS974" s="44"/>
      <c r="AT974" s="45"/>
      <c r="AU974" s="12"/>
      <c r="AV974" s="12"/>
      <c r="AW974" s="12"/>
      <c r="AX974" s="12"/>
      <c r="AY974" s="44"/>
      <c r="AZ974" s="45"/>
      <c r="BA974" s="12"/>
      <c r="BB974" s="12"/>
      <c r="BC974" s="12"/>
      <c r="BD974" s="12"/>
      <c r="BE974" s="44"/>
      <c r="BF974" s="45"/>
      <c r="BG974" s="12"/>
      <c r="BH974" s="12"/>
      <c r="BI974" s="12"/>
      <c r="BJ974" s="12"/>
      <c r="BK974" s="44"/>
      <c r="BL974" s="45"/>
      <c r="BM974" s="12"/>
      <c r="BN974" s="12"/>
      <c r="BO974" s="12"/>
      <c r="BP974" s="12"/>
      <c r="BQ974" s="48"/>
      <c r="BR974" s="49"/>
      <c r="BS974" s="13"/>
      <c r="BT974" s="12"/>
      <c r="BV974" s="14"/>
      <c r="BW974" s="50"/>
      <c r="BX974" s="54"/>
      <c r="BY974" s="14"/>
      <c r="BZ974" s="14"/>
      <c r="CA974" s="14"/>
      <c r="CB974" s="14"/>
      <c r="CC974" s="14"/>
      <c r="CD974" s="14"/>
      <c r="CE974" s="14"/>
      <c r="CF974" s="15"/>
      <c r="CG974" s="14"/>
      <c r="CH974" s="14"/>
      <c r="CI974" s="50"/>
      <c r="CJ974" s="54"/>
      <c r="CK974" s="14"/>
      <c r="CL974" s="14"/>
      <c r="CM974" s="14"/>
      <c r="CN974" s="14"/>
      <c r="CO974" s="14"/>
      <c r="CP974" s="14"/>
      <c r="CQ974" s="14"/>
      <c r="CR974" s="14"/>
      <c r="CS974" s="14"/>
      <c r="CT974" s="14"/>
      <c r="CU974" s="16"/>
      <c r="CV974" s="14"/>
      <c r="CW974" s="50"/>
      <c r="CX974" s="17"/>
    </row>
    <row r="975" spans="4:102" x14ac:dyDescent="0.25"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43"/>
      <c r="Q975" s="11"/>
      <c r="R975" s="11"/>
      <c r="S975" s="11"/>
      <c r="T975" s="11"/>
      <c r="U975" s="11"/>
      <c r="V975" s="11"/>
      <c r="W975" s="11"/>
      <c r="X975" s="12"/>
      <c r="Y975" s="12"/>
      <c r="Z975" s="12"/>
      <c r="AA975" s="44"/>
      <c r="AB975" s="45"/>
      <c r="AC975" s="12"/>
      <c r="AD975" s="12"/>
      <c r="AE975" s="12"/>
      <c r="AF975" s="12"/>
      <c r="AG975" s="44"/>
      <c r="AH975" s="45"/>
      <c r="AI975" s="12"/>
      <c r="AJ975" s="12"/>
      <c r="AK975" s="12"/>
      <c r="AL975" s="12"/>
      <c r="AM975" s="44"/>
      <c r="AN975" s="45"/>
      <c r="AO975" s="12"/>
      <c r="AP975" s="12"/>
      <c r="AQ975" s="12"/>
      <c r="AR975" s="12"/>
      <c r="AS975" s="44"/>
      <c r="AT975" s="45"/>
      <c r="AU975" s="12"/>
      <c r="AV975" s="12"/>
      <c r="AW975" s="12"/>
      <c r="AX975" s="12"/>
      <c r="AY975" s="44"/>
      <c r="AZ975" s="45"/>
      <c r="BA975" s="12"/>
      <c r="BB975" s="12"/>
      <c r="BC975" s="12"/>
      <c r="BD975" s="12"/>
      <c r="BE975" s="44"/>
      <c r="BF975" s="45"/>
      <c r="BG975" s="12"/>
      <c r="BH975" s="12"/>
      <c r="BI975" s="12"/>
      <c r="BJ975" s="12"/>
      <c r="BK975" s="44"/>
      <c r="BL975" s="45"/>
      <c r="BM975" s="12"/>
      <c r="BN975" s="12"/>
      <c r="BO975" s="12"/>
      <c r="BP975" s="12"/>
      <c r="BQ975" s="48"/>
      <c r="BR975" s="49"/>
      <c r="BS975" s="13"/>
      <c r="BT975" s="12"/>
      <c r="BV975" s="14"/>
      <c r="BW975" s="50"/>
      <c r="BX975" s="54"/>
      <c r="BY975" s="14"/>
      <c r="BZ975" s="14"/>
      <c r="CA975" s="14"/>
      <c r="CB975" s="14"/>
      <c r="CC975" s="14"/>
      <c r="CD975" s="14"/>
      <c r="CE975" s="14"/>
      <c r="CF975" s="15"/>
      <c r="CG975" s="14"/>
      <c r="CH975" s="14"/>
      <c r="CI975" s="50"/>
      <c r="CJ975" s="54"/>
      <c r="CK975" s="14"/>
      <c r="CL975" s="14"/>
      <c r="CM975" s="14"/>
      <c r="CN975" s="14"/>
      <c r="CO975" s="14"/>
      <c r="CP975" s="14"/>
      <c r="CQ975" s="14"/>
      <c r="CR975" s="14"/>
      <c r="CS975" s="14"/>
      <c r="CT975" s="14"/>
      <c r="CU975" s="16"/>
      <c r="CV975" s="14"/>
      <c r="CW975" s="50"/>
      <c r="CX975" s="17"/>
    </row>
    <row r="976" spans="4:102" x14ac:dyDescent="0.25"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43"/>
      <c r="Q976" s="11"/>
      <c r="R976" s="11"/>
      <c r="S976" s="11"/>
      <c r="T976" s="11"/>
      <c r="U976" s="11"/>
      <c r="V976" s="11"/>
      <c r="W976" s="11"/>
      <c r="X976" s="12"/>
      <c r="Y976" s="12"/>
      <c r="Z976" s="12"/>
      <c r="AA976" s="44"/>
      <c r="AB976" s="45"/>
      <c r="AC976" s="12"/>
      <c r="AD976" s="12"/>
      <c r="AE976" s="12"/>
      <c r="AF976" s="12"/>
      <c r="AG976" s="44"/>
      <c r="AH976" s="45"/>
      <c r="AI976" s="12"/>
      <c r="AJ976" s="12"/>
      <c r="AK976" s="12"/>
      <c r="AL976" s="12"/>
      <c r="AM976" s="44"/>
      <c r="AN976" s="45"/>
      <c r="AO976" s="12"/>
      <c r="AP976" s="12"/>
      <c r="AQ976" s="12"/>
      <c r="AR976" s="12"/>
      <c r="AS976" s="44"/>
      <c r="AT976" s="45"/>
      <c r="AU976" s="12"/>
      <c r="AV976" s="12"/>
      <c r="AW976" s="12"/>
      <c r="AX976" s="12"/>
      <c r="AY976" s="44"/>
      <c r="AZ976" s="45"/>
      <c r="BA976" s="12"/>
      <c r="BB976" s="12"/>
      <c r="BC976" s="12"/>
      <c r="BD976" s="12"/>
      <c r="BE976" s="44"/>
      <c r="BF976" s="45"/>
      <c r="BG976" s="12"/>
      <c r="BH976" s="12"/>
      <c r="BI976" s="12"/>
      <c r="BJ976" s="12"/>
      <c r="BK976" s="44"/>
      <c r="BL976" s="45"/>
      <c r="BM976" s="12"/>
      <c r="BN976" s="12"/>
      <c r="BO976" s="12"/>
      <c r="BP976" s="12"/>
      <c r="BQ976" s="48"/>
      <c r="BR976" s="49"/>
      <c r="BS976" s="13"/>
      <c r="BT976" s="12"/>
      <c r="BV976" s="14"/>
      <c r="BW976" s="50"/>
      <c r="BX976" s="54"/>
      <c r="BY976" s="14"/>
      <c r="BZ976" s="14"/>
      <c r="CA976" s="14"/>
      <c r="CB976" s="14"/>
      <c r="CC976" s="14"/>
      <c r="CD976" s="14"/>
      <c r="CE976" s="14"/>
      <c r="CF976" s="15"/>
      <c r="CG976" s="14"/>
      <c r="CH976" s="14"/>
      <c r="CI976" s="50"/>
      <c r="CJ976" s="54"/>
      <c r="CK976" s="14"/>
      <c r="CL976" s="14"/>
      <c r="CM976" s="14"/>
      <c r="CN976" s="14"/>
      <c r="CO976" s="14"/>
      <c r="CP976" s="14"/>
      <c r="CQ976" s="14"/>
      <c r="CR976" s="14"/>
      <c r="CS976" s="14"/>
      <c r="CT976" s="14"/>
      <c r="CU976" s="16"/>
      <c r="CV976" s="14"/>
      <c r="CW976" s="50"/>
      <c r="CX976" s="17"/>
    </row>
    <row r="977" spans="4:102" x14ac:dyDescent="0.25"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43"/>
      <c r="Q977" s="11"/>
      <c r="R977" s="11"/>
      <c r="S977" s="11"/>
      <c r="T977" s="11"/>
      <c r="U977" s="11"/>
      <c r="V977" s="11"/>
      <c r="W977" s="11"/>
      <c r="X977" s="12"/>
      <c r="Y977" s="12"/>
      <c r="Z977" s="12"/>
      <c r="AA977" s="44"/>
      <c r="AB977" s="45"/>
      <c r="AC977" s="12"/>
      <c r="AD977" s="12"/>
      <c r="AE977" s="12"/>
      <c r="AF977" s="12"/>
      <c r="AG977" s="44"/>
      <c r="AH977" s="45"/>
      <c r="AI977" s="12"/>
      <c r="AJ977" s="12"/>
      <c r="AK977" s="12"/>
      <c r="AL977" s="12"/>
      <c r="AM977" s="44"/>
      <c r="AN977" s="45"/>
      <c r="AO977" s="12"/>
      <c r="AP977" s="12"/>
      <c r="AQ977" s="12"/>
      <c r="AR977" s="12"/>
      <c r="AS977" s="44"/>
      <c r="AT977" s="45"/>
      <c r="AU977" s="12"/>
      <c r="AV977" s="12"/>
      <c r="AW977" s="12"/>
      <c r="AX977" s="12"/>
      <c r="AY977" s="44"/>
      <c r="AZ977" s="45"/>
      <c r="BA977" s="12"/>
      <c r="BB977" s="12"/>
      <c r="BC977" s="12"/>
      <c r="BD977" s="12"/>
      <c r="BE977" s="44"/>
      <c r="BF977" s="45"/>
      <c r="BG977" s="12"/>
      <c r="BH977" s="12"/>
      <c r="BI977" s="12"/>
      <c r="BJ977" s="12"/>
      <c r="BK977" s="44"/>
      <c r="BL977" s="45"/>
      <c r="BM977" s="12"/>
      <c r="BN977" s="12"/>
      <c r="BO977" s="12"/>
      <c r="BP977" s="12"/>
      <c r="BQ977" s="48"/>
      <c r="BR977" s="49"/>
      <c r="BS977" s="13"/>
      <c r="BT977" s="12"/>
      <c r="BV977" s="14"/>
      <c r="BW977" s="50"/>
      <c r="BX977" s="54"/>
      <c r="BY977" s="14"/>
      <c r="BZ977" s="14"/>
      <c r="CA977" s="14"/>
      <c r="CB977" s="14"/>
      <c r="CC977" s="14"/>
      <c r="CD977" s="14"/>
      <c r="CE977" s="14"/>
      <c r="CF977" s="15"/>
      <c r="CG977" s="14"/>
      <c r="CH977" s="14"/>
      <c r="CI977" s="50"/>
      <c r="CJ977" s="54"/>
      <c r="CK977" s="14"/>
      <c r="CL977" s="14"/>
      <c r="CM977" s="14"/>
      <c r="CN977" s="14"/>
      <c r="CO977" s="14"/>
      <c r="CP977" s="14"/>
      <c r="CQ977" s="14"/>
      <c r="CR977" s="14"/>
      <c r="CS977" s="14"/>
      <c r="CT977" s="14"/>
      <c r="CU977" s="16"/>
      <c r="CV977" s="14"/>
      <c r="CW977" s="50"/>
      <c r="CX977" s="17"/>
    </row>
    <row r="978" spans="4:102" x14ac:dyDescent="0.25"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43"/>
      <c r="Q978" s="11"/>
      <c r="R978" s="11"/>
      <c r="S978" s="11"/>
      <c r="T978" s="11"/>
      <c r="U978" s="11"/>
      <c r="V978" s="11"/>
      <c r="W978" s="11"/>
      <c r="X978" s="12"/>
      <c r="Y978" s="12"/>
      <c r="Z978" s="12"/>
      <c r="AA978" s="44"/>
      <c r="AB978" s="45"/>
      <c r="AC978" s="12"/>
      <c r="AD978" s="12"/>
      <c r="AE978" s="12"/>
      <c r="AF978" s="12"/>
      <c r="AG978" s="44"/>
      <c r="AH978" s="45"/>
      <c r="AI978" s="12"/>
      <c r="AJ978" s="12"/>
      <c r="AK978" s="12"/>
      <c r="AL978" s="12"/>
      <c r="AM978" s="44"/>
      <c r="AN978" s="45"/>
      <c r="AO978" s="12"/>
      <c r="AP978" s="12"/>
      <c r="AQ978" s="12"/>
      <c r="AR978" s="12"/>
      <c r="AS978" s="44"/>
      <c r="AT978" s="45"/>
      <c r="AU978" s="12"/>
      <c r="AV978" s="12"/>
      <c r="AW978" s="12"/>
      <c r="AX978" s="12"/>
      <c r="AY978" s="44"/>
      <c r="AZ978" s="45"/>
      <c r="BA978" s="12"/>
      <c r="BB978" s="12"/>
      <c r="BC978" s="12"/>
      <c r="BD978" s="12"/>
      <c r="BE978" s="44"/>
      <c r="BF978" s="45"/>
      <c r="BG978" s="12"/>
      <c r="BH978" s="12"/>
      <c r="BI978" s="12"/>
      <c r="BJ978" s="12"/>
      <c r="BK978" s="44"/>
      <c r="BL978" s="45"/>
      <c r="BM978" s="12"/>
      <c r="BN978" s="12"/>
      <c r="BO978" s="12"/>
      <c r="BP978" s="12"/>
      <c r="BQ978" s="48"/>
      <c r="BR978" s="49"/>
      <c r="BS978" s="13"/>
      <c r="BT978" s="12"/>
      <c r="BV978" s="14"/>
      <c r="BW978" s="50"/>
      <c r="BX978" s="54"/>
      <c r="BY978" s="14"/>
      <c r="BZ978" s="14"/>
      <c r="CA978" s="14"/>
      <c r="CB978" s="14"/>
      <c r="CC978" s="14"/>
      <c r="CD978" s="14"/>
      <c r="CE978" s="14"/>
      <c r="CF978" s="15"/>
      <c r="CG978" s="14"/>
      <c r="CH978" s="14"/>
      <c r="CI978" s="50"/>
      <c r="CJ978" s="54"/>
      <c r="CK978" s="14"/>
      <c r="CL978" s="14"/>
      <c r="CM978" s="14"/>
      <c r="CN978" s="14"/>
      <c r="CO978" s="14"/>
      <c r="CP978" s="14"/>
      <c r="CQ978" s="14"/>
      <c r="CR978" s="14"/>
      <c r="CS978" s="14"/>
      <c r="CT978" s="14"/>
      <c r="CU978" s="16"/>
      <c r="CV978" s="14"/>
      <c r="CW978" s="50"/>
      <c r="CX978" s="17"/>
    </row>
    <row r="979" spans="4:102" x14ac:dyDescent="0.25"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43"/>
      <c r="Q979" s="11"/>
      <c r="R979" s="11"/>
      <c r="S979" s="11"/>
      <c r="T979" s="11"/>
      <c r="U979" s="11"/>
      <c r="V979" s="11"/>
      <c r="W979" s="11"/>
      <c r="X979" s="12"/>
      <c r="Y979" s="12"/>
      <c r="Z979" s="12"/>
      <c r="AA979" s="44"/>
      <c r="AB979" s="45"/>
      <c r="AC979" s="12"/>
      <c r="AD979" s="12"/>
      <c r="AE979" s="12"/>
      <c r="AF979" s="12"/>
      <c r="AG979" s="44"/>
      <c r="AH979" s="45"/>
      <c r="AI979" s="12"/>
      <c r="AJ979" s="12"/>
      <c r="AK979" s="12"/>
      <c r="AL979" s="12"/>
      <c r="AM979" s="44"/>
      <c r="AN979" s="45"/>
      <c r="AO979" s="12"/>
      <c r="AP979" s="12"/>
      <c r="AQ979" s="12"/>
      <c r="AR979" s="12"/>
      <c r="AS979" s="44"/>
      <c r="AT979" s="45"/>
      <c r="AU979" s="12"/>
      <c r="AV979" s="12"/>
      <c r="AW979" s="12"/>
      <c r="AX979" s="12"/>
      <c r="AY979" s="44"/>
      <c r="AZ979" s="45"/>
      <c r="BA979" s="12"/>
      <c r="BB979" s="12"/>
      <c r="BC979" s="12"/>
      <c r="BD979" s="12"/>
      <c r="BE979" s="44"/>
      <c r="BF979" s="45"/>
      <c r="BG979" s="12"/>
      <c r="BH979" s="12"/>
      <c r="BI979" s="12"/>
      <c r="BJ979" s="12"/>
      <c r="BK979" s="44"/>
      <c r="BL979" s="45"/>
      <c r="BM979" s="12"/>
      <c r="BN979" s="12"/>
      <c r="BO979" s="12"/>
      <c r="BP979" s="12"/>
      <c r="BQ979" s="48"/>
      <c r="BR979" s="49"/>
      <c r="BS979" s="13"/>
      <c r="BT979" s="12"/>
      <c r="BV979" s="14"/>
      <c r="BW979" s="50"/>
      <c r="BX979" s="54"/>
      <c r="BY979" s="14"/>
      <c r="BZ979" s="14"/>
      <c r="CA979" s="14"/>
      <c r="CB979" s="14"/>
      <c r="CC979" s="14"/>
      <c r="CD979" s="14"/>
      <c r="CE979" s="14"/>
      <c r="CF979" s="15"/>
      <c r="CG979" s="14"/>
      <c r="CH979" s="14"/>
      <c r="CI979" s="50"/>
      <c r="CJ979" s="54"/>
      <c r="CK979" s="14"/>
      <c r="CL979" s="14"/>
      <c r="CM979" s="14"/>
      <c r="CN979" s="14"/>
      <c r="CO979" s="14"/>
      <c r="CP979" s="14"/>
      <c r="CQ979" s="14"/>
      <c r="CR979" s="14"/>
      <c r="CS979" s="14"/>
      <c r="CT979" s="14"/>
      <c r="CU979" s="16"/>
      <c r="CV979" s="14"/>
      <c r="CW979" s="50"/>
      <c r="CX979" s="17"/>
    </row>
    <row r="980" spans="4:102" x14ac:dyDescent="0.25"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43"/>
      <c r="Q980" s="11"/>
      <c r="R980" s="11"/>
      <c r="S980" s="11"/>
      <c r="T980" s="11"/>
      <c r="U980" s="11"/>
      <c r="V980" s="11"/>
      <c r="W980" s="11"/>
      <c r="X980" s="12"/>
      <c r="Y980" s="12"/>
      <c r="Z980" s="12"/>
      <c r="AA980" s="44"/>
      <c r="AB980" s="45"/>
      <c r="AC980" s="12"/>
      <c r="AD980" s="12"/>
      <c r="AE980" s="12"/>
      <c r="AF980" s="12"/>
      <c r="AG980" s="44"/>
      <c r="AH980" s="45"/>
      <c r="AI980" s="12"/>
      <c r="AJ980" s="12"/>
      <c r="AK980" s="12"/>
      <c r="AL980" s="12"/>
      <c r="AM980" s="44"/>
      <c r="AN980" s="45"/>
      <c r="AO980" s="12"/>
      <c r="AP980" s="12"/>
      <c r="AQ980" s="12"/>
      <c r="AR980" s="12"/>
      <c r="AS980" s="44"/>
      <c r="AT980" s="45"/>
      <c r="AU980" s="12"/>
      <c r="AV980" s="12"/>
      <c r="AW980" s="12"/>
      <c r="AX980" s="12"/>
      <c r="AY980" s="44"/>
      <c r="AZ980" s="45"/>
      <c r="BA980" s="12"/>
      <c r="BB980" s="12"/>
      <c r="BC980" s="12"/>
      <c r="BD980" s="12"/>
      <c r="BE980" s="44"/>
      <c r="BF980" s="45"/>
      <c r="BG980" s="12"/>
      <c r="BH980" s="12"/>
      <c r="BI980" s="12"/>
      <c r="BJ980" s="12"/>
      <c r="BK980" s="44"/>
      <c r="BL980" s="45"/>
      <c r="BM980" s="12"/>
      <c r="BN980" s="12"/>
      <c r="BO980" s="12"/>
      <c r="BP980" s="12"/>
      <c r="BQ980" s="48"/>
      <c r="BR980" s="49"/>
      <c r="BS980" s="13"/>
      <c r="BT980" s="12"/>
      <c r="BV980" s="14"/>
      <c r="BW980" s="50"/>
      <c r="BX980" s="54"/>
      <c r="BY980" s="14"/>
      <c r="BZ980" s="14"/>
      <c r="CA980" s="14"/>
      <c r="CB980" s="14"/>
      <c r="CC980" s="14"/>
      <c r="CD980" s="14"/>
      <c r="CE980" s="14"/>
      <c r="CF980" s="15"/>
      <c r="CG980" s="14"/>
      <c r="CH980" s="14"/>
      <c r="CI980" s="50"/>
      <c r="CJ980" s="54"/>
      <c r="CK980" s="14"/>
      <c r="CL980" s="14"/>
      <c r="CM980" s="14"/>
      <c r="CN980" s="14"/>
      <c r="CO980" s="14"/>
      <c r="CP980" s="14"/>
      <c r="CQ980" s="14"/>
      <c r="CR980" s="14"/>
      <c r="CS980" s="14"/>
      <c r="CT980" s="14"/>
      <c r="CU980" s="16"/>
      <c r="CV980" s="14"/>
      <c r="CW980" s="50"/>
      <c r="CX980" s="17"/>
    </row>
    <row r="981" spans="4:102" x14ac:dyDescent="0.25"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43"/>
      <c r="Q981" s="11"/>
      <c r="R981" s="11"/>
      <c r="S981" s="11"/>
      <c r="T981" s="11"/>
      <c r="U981" s="11"/>
      <c r="V981" s="11"/>
      <c r="W981" s="11"/>
      <c r="X981" s="12"/>
      <c r="Y981" s="12"/>
      <c r="Z981" s="12"/>
      <c r="AA981" s="44"/>
      <c r="AB981" s="45"/>
      <c r="AC981" s="12"/>
      <c r="AD981" s="12"/>
      <c r="AE981" s="12"/>
      <c r="AF981" s="12"/>
      <c r="AG981" s="44"/>
      <c r="AH981" s="45"/>
      <c r="AI981" s="12"/>
      <c r="AJ981" s="12"/>
      <c r="AK981" s="12"/>
      <c r="AL981" s="12"/>
      <c r="AM981" s="44"/>
      <c r="AN981" s="45"/>
      <c r="AO981" s="12"/>
      <c r="AP981" s="12"/>
      <c r="AQ981" s="12"/>
      <c r="AR981" s="12"/>
      <c r="AS981" s="44"/>
      <c r="AT981" s="45"/>
      <c r="AU981" s="12"/>
      <c r="AV981" s="12"/>
      <c r="AW981" s="12"/>
      <c r="AX981" s="12"/>
      <c r="AY981" s="44"/>
      <c r="AZ981" s="45"/>
      <c r="BA981" s="12"/>
      <c r="BB981" s="12"/>
      <c r="BC981" s="12"/>
      <c r="BD981" s="12"/>
      <c r="BE981" s="44"/>
      <c r="BF981" s="45"/>
      <c r="BG981" s="12"/>
      <c r="BH981" s="12"/>
      <c r="BI981" s="12"/>
      <c r="BJ981" s="12"/>
      <c r="BK981" s="44"/>
      <c r="BL981" s="45"/>
      <c r="BM981" s="12"/>
      <c r="BN981" s="12"/>
      <c r="BO981" s="12"/>
      <c r="BP981" s="12"/>
      <c r="BQ981" s="48"/>
      <c r="BR981" s="49"/>
      <c r="BS981" s="13"/>
      <c r="BT981" s="12"/>
      <c r="BV981" s="14"/>
      <c r="BW981" s="50"/>
      <c r="BX981" s="54"/>
      <c r="BY981" s="14"/>
      <c r="BZ981" s="14"/>
      <c r="CA981" s="14"/>
      <c r="CB981" s="14"/>
      <c r="CC981" s="14"/>
      <c r="CD981" s="14"/>
      <c r="CE981" s="14"/>
      <c r="CF981" s="15"/>
      <c r="CG981" s="14"/>
      <c r="CH981" s="14"/>
      <c r="CI981" s="50"/>
      <c r="CJ981" s="54"/>
      <c r="CK981" s="14"/>
      <c r="CL981" s="14"/>
      <c r="CM981" s="14"/>
      <c r="CN981" s="14"/>
      <c r="CO981" s="14"/>
      <c r="CP981" s="14"/>
      <c r="CQ981" s="14"/>
      <c r="CR981" s="14"/>
      <c r="CS981" s="14"/>
      <c r="CT981" s="14"/>
      <c r="CU981" s="16"/>
      <c r="CV981" s="14"/>
      <c r="CW981" s="50"/>
      <c r="CX981" s="17"/>
    </row>
    <row r="982" spans="4:102" x14ac:dyDescent="0.25"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43"/>
      <c r="Q982" s="11"/>
      <c r="R982" s="11"/>
      <c r="S982" s="11"/>
      <c r="T982" s="11"/>
      <c r="U982" s="11"/>
      <c r="V982" s="11"/>
      <c r="W982" s="11"/>
      <c r="X982" s="12"/>
      <c r="Y982" s="12"/>
      <c r="Z982" s="12"/>
      <c r="AA982" s="44"/>
      <c r="AB982" s="45"/>
      <c r="AC982" s="12"/>
      <c r="AD982" s="12"/>
      <c r="AE982" s="12"/>
      <c r="AF982" s="12"/>
      <c r="AG982" s="44"/>
      <c r="AH982" s="45"/>
      <c r="AI982" s="12"/>
      <c r="AJ982" s="12"/>
      <c r="AK982" s="12"/>
      <c r="AL982" s="12"/>
      <c r="AM982" s="44"/>
      <c r="AN982" s="45"/>
      <c r="AO982" s="12"/>
      <c r="AP982" s="12"/>
      <c r="AQ982" s="12"/>
      <c r="AR982" s="12"/>
      <c r="AS982" s="44"/>
      <c r="AT982" s="45"/>
      <c r="AU982" s="12"/>
      <c r="AV982" s="12"/>
      <c r="AW982" s="12"/>
      <c r="AX982" s="12"/>
      <c r="AY982" s="44"/>
      <c r="AZ982" s="45"/>
      <c r="BA982" s="12"/>
      <c r="BB982" s="12"/>
      <c r="BC982" s="12"/>
      <c r="BD982" s="12"/>
      <c r="BE982" s="44"/>
      <c r="BF982" s="45"/>
      <c r="BG982" s="12"/>
      <c r="BH982" s="12"/>
      <c r="BI982" s="12"/>
      <c r="BJ982" s="12"/>
      <c r="BK982" s="44"/>
      <c r="BL982" s="45"/>
      <c r="BM982" s="12"/>
      <c r="BN982" s="12"/>
      <c r="BO982" s="12"/>
      <c r="BP982" s="12"/>
      <c r="BQ982" s="48"/>
      <c r="BR982" s="49"/>
      <c r="BS982" s="13"/>
      <c r="BT982" s="12"/>
      <c r="BV982" s="14"/>
      <c r="BW982" s="50"/>
      <c r="BX982" s="54"/>
      <c r="BY982" s="14"/>
      <c r="BZ982" s="14"/>
      <c r="CA982" s="14"/>
      <c r="CB982" s="14"/>
      <c r="CC982" s="14"/>
      <c r="CD982" s="14"/>
      <c r="CE982" s="14"/>
      <c r="CF982" s="15"/>
      <c r="CG982" s="14"/>
      <c r="CH982" s="14"/>
      <c r="CI982" s="50"/>
      <c r="CJ982" s="54"/>
      <c r="CK982" s="14"/>
      <c r="CL982" s="14"/>
      <c r="CM982" s="14"/>
      <c r="CN982" s="14"/>
      <c r="CO982" s="14"/>
      <c r="CP982" s="14"/>
      <c r="CQ982" s="14"/>
      <c r="CR982" s="14"/>
      <c r="CS982" s="14"/>
      <c r="CT982" s="14"/>
      <c r="CU982" s="16"/>
      <c r="CV982" s="14"/>
      <c r="CW982" s="50"/>
      <c r="CX982" s="17"/>
    </row>
    <row r="983" spans="4:102" x14ac:dyDescent="0.25"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43"/>
      <c r="Q983" s="11"/>
      <c r="R983" s="11"/>
      <c r="S983" s="11"/>
      <c r="T983" s="11"/>
      <c r="U983" s="11"/>
      <c r="V983" s="11"/>
      <c r="W983" s="11"/>
      <c r="X983" s="12"/>
      <c r="Y983" s="12"/>
      <c r="Z983" s="12"/>
      <c r="AA983" s="44"/>
      <c r="AB983" s="45"/>
      <c r="AC983" s="12"/>
      <c r="AD983" s="12"/>
      <c r="AE983" s="12"/>
      <c r="AF983" s="12"/>
      <c r="AG983" s="44"/>
      <c r="AH983" s="45"/>
      <c r="AI983" s="12"/>
      <c r="AJ983" s="12"/>
      <c r="AK983" s="12"/>
      <c r="AL983" s="12"/>
      <c r="AM983" s="44"/>
      <c r="AN983" s="45"/>
      <c r="AO983" s="12"/>
      <c r="AP983" s="12"/>
      <c r="AQ983" s="12"/>
      <c r="AR983" s="12"/>
      <c r="AS983" s="44"/>
      <c r="AT983" s="45"/>
      <c r="AU983" s="12"/>
      <c r="AV983" s="12"/>
      <c r="AW983" s="12"/>
      <c r="AX983" s="12"/>
      <c r="AY983" s="44"/>
      <c r="AZ983" s="45"/>
      <c r="BA983" s="12"/>
      <c r="BB983" s="12"/>
      <c r="BC983" s="12"/>
      <c r="BD983" s="12"/>
      <c r="BE983" s="44"/>
      <c r="BF983" s="45"/>
      <c r="BG983" s="12"/>
      <c r="BH983" s="12"/>
      <c r="BI983" s="12"/>
      <c r="BJ983" s="12"/>
      <c r="BK983" s="44"/>
      <c r="BL983" s="45"/>
      <c r="BM983" s="12"/>
      <c r="BN983" s="12"/>
      <c r="BO983" s="12"/>
      <c r="BP983" s="12"/>
      <c r="BQ983" s="48"/>
      <c r="BR983" s="49"/>
      <c r="BS983" s="13"/>
      <c r="BT983" s="12"/>
      <c r="BV983" s="14"/>
      <c r="BW983" s="50"/>
      <c r="BX983" s="54"/>
      <c r="BY983" s="14"/>
      <c r="BZ983" s="14"/>
      <c r="CA983" s="14"/>
      <c r="CB983" s="14"/>
      <c r="CC983" s="14"/>
      <c r="CD983" s="14"/>
      <c r="CE983" s="14"/>
      <c r="CF983" s="15"/>
      <c r="CG983" s="14"/>
      <c r="CH983" s="14"/>
      <c r="CI983" s="50"/>
      <c r="CJ983" s="54"/>
      <c r="CK983" s="14"/>
      <c r="CL983" s="14"/>
      <c r="CM983" s="14"/>
      <c r="CN983" s="14"/>
      <c r="CO983" s="14"/>
      <c r="CP983" s="14"/>
      <c r="CQ983" s="14"/>
      <c r="CR983" s="14"/>
      <c r="CS983" s="14"/>
      <c r="CT983" s="14"/>
      <c r="CU983" s="16"/>
      <c r="CV983" s="14"/>
      <c r="CW983" s="50"/>
      <c r="CX983" s="17"/>
    </row>
    <row r="984" spans="4:102" x14ac:dyDescent="0.25"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43"/>
      <c r="Q984" s="11"/>
      <c r="R984" s="11"/>
      <c r="S984" s="11"/>
      <c r="T984" s="11"/>
      <c r="U984" s="11"/>
      <c r="V984" s="11"/>
      <c r="W984" s="11"/>
      <c r="X984" s="12"/>
      <c r="Y984" s="12"/>
      <c r="Z984" s="12"/>
      <c r="AA984" s="44"/>
      <c r="AB984" s="45"/>
      <c r="AC984" s="12"/>
      <c r="AD984" s="12"/>
      <c r="AE984" s="12"/>
      <c r="AF984" s="12"/>
      <c r="AG984" s="44"/>
      <c r="AH984" s="45"/>
      <c r="AI984" s="12"/>
      <c r="AJ984" s="12"/>
      <c r="AK984" s="12"/>
      <c r="AL984" s="12"/>
      <c r="AM984" s="44"/>
      <c r="AN984" s="45"/>
      <c r="AO984" s="12"/>
      <c r="AP984" s="12"/>
      <c r="AQ984" s="12"/>
      <c r="AR984" s="12"/>
      <c r="AS984" s="44"/>
      <c r="AT984" s="45"/>
      <c r="AU984" s="12"/>
      <c r="AV984" s="12"/>
      <c r="AW984" s="12"/>
      <c r="AX984" s="12"/>
      <c r="AY984" s="44"/>
      <c r="AZ984" s="45"/>
      <c r="BA984" s="12"/>
      <c r="BB984" s="12"/>
      <c r="BC984" s="12"/>
      <c r="BD984" s="12"/>
      <c r="BE984" s="44"/>
      <c r="BF984" s="45"/>
      <c r="BG984" s="12"/>
      <c r="BH984" s="12"/>
      <c r="BI984" s="12"/>
      <c r="BJ984" s="12"/>
      <c r="BK984" s="44"/>
      <c r="BL984" s="45"/>
      <c r="BM984" s="12"/>
      <c r="BN984" s="12"/>
      <c r="BO984" s="12"/>
      <c r="BP984" s="12"/>
      <c r="BQ984" s="48"/>
      <c r="BR984" s="49"/>
      <c r="BS984" s="13"/>
      <c r="BT984" s="12"/>
      <c r="BV984" s="14"/>
      <c r="BW984" s="50"/>
      <c r="BX984" s="54"/>
      <c r="BY984" s="14"/>
      <c r="BZ984" s="14"/>
      <c r="CA984" s="14"/>
      <c r="CB984" s="14"/>
      <c r="CC984" s="14"/>
      <c r="CD984" s="14"/>
      <c r="CE984" s="14"/>
      <c r="CF984" s="15"/>
      <c r="CG984" s="14"/>
      <c r="CH984" s="14"/>
      <c r="CI984" s="50"/>
      <c r="CJ984" s="54"/>
      <c r="CK984" s="14"/>
      <c r="CL984" s="14"/>
      <c r="CM984" s="14"/>
      <c r="CN984" s="14"/>
      <c r="CO984" s="14"/>
      <c r="CP984" s="14"/>
      <c r="CQ984" s="14"/>
      <c r="CR984" s="14"/>
      <c r="CS984" s="14"/>
      <c r="CT984" s="14"/>
      <c r="CU984" s="16"/>
      <c r="CV984" s="14"/>
      <c r="CW984" s="50"/>
      <c r="CX984" s="17"/>
    </row>
    <row r="985" spans="4:102" x14ac:dyDescent="0.25"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43"/>
      <c r="Q985" s="11"/>
      <c r="R985" s="11"/>
      <c r="S985" s="11"/>
      <c r="T985" s="11"/>
      <c r="U985" s="11"/>
      <c r="V985" s="11"/>
      <c r="W985" s="11"/>
      <c r="X985" s="12"/>
      <c r="Y985" s="12"/>
      <c r="Z985" s="12"/>
      <c r="AA985" s="44"/>
      <c r="AB985" s="45"/>
      <c r="AC985" s="12"/>
      <c r="AD985" s="12"/>
      <c r="AE985" s="12"/>
      <c r="AF985" s="12"/>
      <c r="AG985" s="44"/>
      <c r="AH985" s="45"/>
      <c r="AI985" s="12"/>
      <c r="AJ985" s="12"/>
      <c r="AK985" s="12"/>
      <c r="AL985" s="12"/>
      <c r="AM985" s="44"/>
      <c r="AN985" s="45"/>
      <c r="AO985" s="12"/>
      <c r="AP985" s="12"/>
      <c r="AQ985" s="12"/>
      <c r="AR985" s="12"/>
      <c r="AS985" s="44"/>
      <c r="AT985" s="45"/>
      <c r="AU985" s="12"/>
      <c r="AV985" s="12"/>
      <c r="AW985" s="12"/>
      <c r="AX985" s="12"/>
      <c r="AY985" s="44"/>
      <c r="AZ985" s="45"/>
      <c r="BA985" s="12"/>
      <c r="BB985" s="12"/>
      <c r="BC985" s="12"/>
      <c r="BD985" s="12"/>
      <c r="BE985" s="44"/>
      <c r="BF985" s="45"/>
      <c r="BG985" s="12"/>
      <c r="BH985" s="12"/>
      <c r="BI985" s="12"/>
      <c r="BJ985" s="12"/>
      <c r="BK985" s="44"/>
      <c r="BL985" s="45"/>
      <c r="BM985" s="12"/>
      <c r="BN985" s="12"/>
      <c r="BO985" s="12"/>
      <c r="BP985" s="12"/>
      <c r="BQ985" s="48"/>
      <c r="BR985" s="49"/>
      <c r="BS985" s="13"/>
      <c r="BT985" s="12"/>
      <c r="BV985" s="14"/>
      <c r="BW985" s="50"/>
      <c r="BX985" s="54"/>
      <c r="BY985" s="14"/>
      <c r="BZ985" s="14"/>
      <c r="CA985" s="14"/>
      <c r="CB985" s="14"/>
      <c r="CC985" s="14"/>
      <c r="CD985" s="14"/>
      <c r="CE985" s="14"/>
      <c r="CF985" s="15"/>
      <c r="CG985" s="14"/>
      <c r="CH985" s="14"/>
      <c r="CI985" s="50"/>
      <c r="CJ985" s="54"/>
      <c r="CK985" s="14"/>
      <c r="CL985" s="14"/>
      <c r="CM985" s="14"/>
      <c r="CN985" s="14"/>
      <c r="CO985" s="14"/>
      <c r="CP985" s="14"/>
      <c r="CQ985" s="14"/>
      <c r="CR985" s="14"/>
      <c r="CS985" s="14"/>
      <c r="CT985" s="14"/>
      <c r="CU985" s="16"/>
      <c r="CV985" s="14"/>
      <c r="CW985" s="50"/>
      <c r="CX985" s="17"/>
    </row>
    <row r="986" spans="4:102" x14ac:dyDescent="0.25"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43"/>
      <c r="Q986" s="11"/>
      <c r="R986" s="11"/>
      <c r="S986" s="11"/>
      <c r="T986" s="11"/>
      <c r="U986" s="11"/>
      <c r="V986" s="11"/>
      <c r="W986" s="11"/>
      <c r="X986" s="12"/>
      <c r="Y986" s="12"/>
      <c r="Z986" s="12"/>
      <c r="AA986" s="44"/>
      <c r="AB986" s="45"/>
      <c r="AC986" s="12"/>
      <c r="AD986" s="12"/>
      <c r="AE986" s="12"/>
      <c r="AF986" s="12"/>
      <c r="AG986" s="44"/>
      <c r="AH986" s="45"/>
      <c r="AI986" s="12"/>
      <c r="AJ986" s="12"/>
      <c r="AK986" s="12"/>
      <c r="AL986" s="12"/>
      <c r="AM986" s="44"/>
      <c r="AN986" s="45"/>
      <c r="AO986" s="12"/>
      <c r="AP986" s="12"/>
      <c r="AQ986" s="12"/>
      <c r="AR986" s="12"/>
      <c r="AS986" s="44"/>
      <c r="AT986" s="45"/>
      <c r="AU986" s="12"/>
      <c r="AV986" s="12"/>
      <c r="AW986" s="12"/>
      <c r="AX986" s="12"/>
      <c r="AY986" s="44"/>
      <c r="AZ986" s="45"/>
      <c r="BA986" s="12"/>
      <c r="BB986" s="12"/>
      <c r="BC986" s="12"/>
      <c r="BD986" s="12"/>
      <c r="BE986" s="44"/>
      <c r="BF986" s="45"/>
      <c r="BG986" s="12"/>
      <c r="BH986" s="12"/>
      <c r="BI986" s="12"/>
      <c r="BJ986" s="12"/>
      <c r="BK986" s="44"/>
      <c r="BL986" s="45"/>
      <c r="BM986" s="12"/>
      <c r="BN986" s="12"/>
      <c r="BO986" s="12"/>
      <c r="BP986" s="12"/>
      <c r="BQ986" s="48"/>
      <c r="BR986" s="49"/>
      <c r="BS986" s="13"/>
      <c r="BT986" s="12"/>
      <c r="BV986" s="14"/>
      <c r="BW986" s="50"/>
      <c r="BX986" s="54"/>
      <c r="BY986" s="14"/>
      <c r="BZ986" s="14"/>
      <c r="CA986" s="14"/>
      <c r="CB986" s="14"/>
      <c r="CC986" s="14"/>
      <c r="CD986" s="14"/>
      <c r="CE986" s="14"/>
      <c r="CF986" s="15"/>
      <c r="CG986" s="14"/>
      <c r="CH986" s="14"/>
      <c r="CI986" s="50"/>
      <c r="CJ986" s="54"/>
      <c r="CK986" s="14"/>
      <c r="CL986" s="14"/>
      <c r="CM986" s="14"/>
      <c r="CN986" s="14"/>
      <c r="CO986" s="14"/>
      <c r="CP986" s="14"/>
      <c r="CQ986" s="14"/>
      <c r="CR986" s="14"/>
      <c r="CS986" s="14"/>
      <c r="CT986" s="14"/>
      <c r="CU986" s="16"/>
      <c r="CV986" s="14"/>
      <c r="CW986" s="50"/>
      <c r="CX986" s="17"/>
    </row>
    <row r="987" spans="4:102" x14ac:dyDescent="0.25"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43"/>
      <c r="Q987" s="11"/>
      <c r="R987" s="11"/>
      <c r="S987" s="11"/>
      <c r="T987" s="11"/>
      <c r="U987" s="11"/>
      <c r="V987" s="11"/>
      <c r="W987" s="11"/>
      <c r="X987" s="12"/>
      <c r="Y987" s="12"/>
      <c r="Z987" s="12"/>
      <c r="AA987" s="44"/>
      <c r="AB987" s="45"/>
      <c r="AC987" s="12"/>
      <c r="AD987" s="12"/>
      <c r="AE987" s="12"/>
      <c r="AF987" s="12"/>
      <c r="AG987" s="44"/>
      <c r="AH987" s="45"/>
      <c r="AI987" s="12"/>
      <c r="AJ987" s="12"/>
      <c r="AK987" s="12"/>
      <c r="AL987" s="12"/>
      <c r="AM987" s="44"/>
      <c r="AN987" s="45"/>
      <c r="AO987" s="12"/>
      <c r="AP987" s="12"/>
      <c r="AQ987" s="12"/>
      <c r="AR987" s="12"/>
      <c r="AS987" s="44"/>
      <c r="AT987" s="45"/>
      <c r="AU987" s="12"/>
      <c r="AV987" s="12"/>
      <c r="AW987" s="12"/>
      <c r="AX987" s="12"/>
      <c r="AY987" s="44"/>
      <c r="AZ987" s="45"/>
      <c r="BA987" s="12"/>
      <c r="BB987" s="12"/>
      <c r="BC987" s="12"/>
      <c r="BD987" s="12"/>
      <c r="BE987" s="44"/>
      <c r="BF987" s="45"/>
      <c r="BG987" s="12"/>
      <c r="BH987" s="12"/>
      <c r="BI987" s="12"/>
      <c r="BJ987" s="12"/>
      <c r="BK987" s="44"/>
      <c r="BL987" s="45"/>
      <c r="BM987" s="12"/>
      <c r="BN987" s="12"/>
      <c r="BO987" s="12"/>
      <c r="BP987" s="12"/>
      <c r="BQ987" s="48"/>
      <c r="BR987" s="49"/>
      <c r="BS987" s="13"/>
      <c r="BT987" s="12"/>
      <c r="BV987" s="14"/>
      <c r="BW987" s="50"/>
      <c r="BX987" s="54"/>
      <c r="BY987" s="14"/>
      <c r="BZ987" s="14"/>
      <c r="CA987" s="14"/>
      <c r="CB987" s="14"/>
      <c r="CC987" s="14"/>
      <c r="CD987" s="14"/>
      <c r="CE987" s="14"/>
      <c r="CF987" s="15"/>
      <c r="CG987" s="14"/>
      <c r="CH987" s="14"/>
      <c r="CI987" s="50"/>
      <c r="CJ987" s="54"/>
      <c r="CK987" s="14"/>
      <c r="CL987" s="14"/>
      <c r="CM987" s="14"/>
      <c r="CN987" s="14"/>
      <c r="CO987" s="14"/>
      <c r="CP987" s="14"/>
      <c r="CQ987" s="14"/>
      <c r="CR987" s="14"/>
      <c r="CS987" s="14"/>
      <c r="CT987" s="14"/>
      <c r="CU987" s="16"/>
      <c r="CV987" s="14"/>
      <c r="CW987" s="50"/>
      <c r="CX987" s="17"/>
    </row>
    <row r="988" spans="4:102" x14ac:dyDescent="0.25"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43"/>
      <c r="Q988" s="11"/>
      <c r="R988" s="11"/>
      <c r="S988" s="11"/>
      <c r="T988" s="11"/>
      <c r="U988" s="11"/>
      <c r="V988" s="11"/>
      <c r="W988" s="11"/>
      <c r="X988" s="12"/>
      <c r="Y988" s="12"/>
      <c r="Z988" s="12"/>
      <c r="AA988" s="44"/>
      <c r="AB988" s="45"/>
      <c r="AC988" s="12"/>
      <c r="AD988" s="12"/>
      <c r="AE988" s="12"/>
      <c r="AF988" s="12"/>
      <c r="AG988" s="44"/>
      <c r="AH988" s="45"/>
      <c r="AI988" s="12"/>
      <c r="AJ988" s="12"/>
      <c r="AK988" s="12"/>
      <c r="AL988" s="12"/>
      <c r="AM988" s="44"/>
      <c r="AN988" s="45"/>
      <c r="AO988" s="12"/>
      <c r="AP988" s="12"/>
      <c r="AQ988" s="12"/>
      <c r="AR988" s="12"/>
      <c r="AS988" s="44"/>
      <c r="AT988" s="45"/>
      <c r="AU988" s="12"/>
      <c r="AV988" s="12"/>
      <c r="AW988" s="12"/>
      <c r="AX988" s="12"/>
      <c r="AY988" s="44"/>
      <c r="AZ988" s="45"/>
      <c r="BA988" s="12"/>
      <c r="BB988" s="12"/>
      <c r="BC988" s="12"/>
      <c r="BD988" s="12"/>
      <c r="BE988" s="44"/>
      <c r="BF988" s="45"/>
      <c r="BG988" s="12"/>
      <c r="BH988" s="12"/>
      <c r="BI988" s="12"/>
      <c r="BJ988" s="12"/>
      <c r="BK988" s="44"/>
      <c r="BL988" s="45"/>
      <c r="BM988" s="12"/>
      <c r="BN988" s="12"/>
      <c r="BO988" s="12"/>
      <c r="BP988" s="12"/>
      <c r="BQ988" s="48"/>
      <c r="BR988" s="49"/>
      <c r="BS988" s="13"/>
      <c r="BT988" s="12"/>
      <c r="BV988" s="14"/>
      <c r="BW988" s="50"/>
      <c r="BX988" s="54"/>
      <c r="BY988" s="14"/>
      <c r="BZ988" s="14"/>
      <c r="CA988" s="14"/>
      <c r="CB988" s="14"/>
      <c r="CC988" s="14"/>
      <c r="CD988" s="14"/>
      <c r="CE988" s="14"/>
      <c r="CF988" s="15"/>
      <c r="CG988" s="14"/>
      <c r="CH988" s="14"/>
      <c r="CI988" s="50"/>
      <c r="CJ988" s="54"/>
      <c r="CK988" s="14"/>
      <c r="CL988" s="14"/>
      <c r="CM988" s="14"/>
      <c r="CN988" s="14"/>
      <c r="CO988" s="14"/>
      <c r="CP988" s="14"/>
      <c r="CQ988" s="14"/>
      <c r="CR988" s="14"/>
      <c r="CS988" s="14"/>
      <c r="CT988" s="14"/>
      <c r="CU988" s="16"/>
      <c r="CV988" s="14"/>
      <c r="CW988" s="50"/>
      <c r="CX988" s="17"/>
    </row>
    <row r="989" spans="4:102" x14ac:dyDescent="0.25"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43"/>
      <c r="Q989" s="11"/>
      <c r="R989" s="11"/>
      <c r="S989" s="11"/>
      <c r="T989" s="11"/>
      <c r="U989" s="11"/>
      <c r="V989" s="11"/>
      <c r="W989" s="11"/>
      <c r="X989" s="12"/>
      <c r="Y989" s="12"/>
      <c r="Z989" s="12"/>
      <c r="AA989" s="44"/>
      <c r="AB989" s="45"/>
      <c r="AC989" s="12"/>
      <c r="AD989" s="12"/>
      <c r="AE989" s="12"/>
      <c r="AF989" s="12"/>
      <c r="AG989" s="44"/>
      <c r="AH989" s="45"/>
      <c r="AI989" s="12"/>
      <c r="AJ989" s="12"/>
      <c r="AK989" s="12"/>
      <c r="AL989" s="12"/>
      <c r="AM989" s="44"/>
      <c r="AN989" s="45"/>
      <c r="AO989" s="12"/>
      <c r="AP989" s="12"/>
      <c r="AQ989" s="12"/>
      <c r="AR989" s="12"/>
      <c r="AS989" s="44"/>
      <c r="AT989" s="45"/>
      <c r="AU989" s="12"/>
      <c r="AV989" s="12"/>
      <c r="AW989" s="12"/>
      <c r="AX989" s="12"/>
      <c r="AY989" s="44"/>
      <c r="AZ989" s="45"/>
      <c r="BA989" s="12"/>
      <c r="BB989" s="12"/>
      <c r="BC989" s="12"/>
      <c r="BD989" s="12"/>
      <c r="BE989" s="44"/>
      <c r="BF989" s="45"/>
      <c r="BG989" s="12"/>
      <c r="BH989" s="12"/>
      <c r="BI989" s="12"/>
      <c r="BJ989" s="12"/>
      <c r="BK989" s="44"/>
      <c r="BL989" s="45"/>
      <c r="BM989" s="12"/>
      <c r="BN989" s="12"/>
      <c r="BO989" s="12"/>
      <c r="BP989" s="12"/>
      <c r="BQ989" s="48"/>
      <c r="BR989" s="49"/>
      <c r="BS989" s="13"/>
      <c r="BT989" s="12"/>
      <c r="BV989" s="14"/>
      <c r="BW989" s="50"/>
      <c r="BX989" s="54"/>
      <c r="BY989" s="14"/>
      <c r="BZ989" s="14"/>
      <c r="CA989" s="14"/>
      <c r="CB989" s="14"/>
      <c r="CC989" s="14"/>
      <c r="CD989" s="14"/>
      <c r="CE989" s="14"/>
      <c r="CF989" s="15"/>
      <c r="CG989" s="14"/>
      <c r="CH989" s="14"/>
      <c r="CI989" s="50"/>
      <c r="CJ989" s="54"/>
      <c r="CK989" s="14"/>
      <c r="CL989" s="14"/>
      <c r="CM989" s="14"/>
      <c r="CN989" s="14"/>
      <c r="CO989" s="14"/>
      <c r="CP989" s="14"/>
      <c r="CQ989" s="14"/>
      <c r="CR989" s="14"/>
      <c r="CS989" s="14"/>
      <c r="CT989" s="14"/>
      <c r="CU989" s="16"/>
      <c r="CV989" s="14"/>
      <c r="CW989" s="50"/>
      <c r="CX989" s="17"/>
    </row>
    <row r="990" spans="4:102" x14ac:dyDescent="0.25"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43"/>
      <c r="Q990" s="11"/>
      <c r="R990" s="11"/>
      <c r="S990" s="11"/>
      <c r="T990" s="11"/>
      <c r="U990" s="11"/>
      <c r="V990" s="11"/>
      <c r="W990" s="11"/>
      <c r="X990" s="12"/>
      <c r="Y990" s="12"/>
      <c r="Z990" s="12"/>
      <c r="AA990" s="44"/>
      <c r="AB990" s="45"/>
      <c r="AC990" s="12"/>
      <c r="AD990" s="12"/>
      <c r="AE990" s="12"/>
      <c r="AF990" s="12"/>
      <c r="AG990" s="44"/>
      <c r="AH990" s="45"/>
      <c r="AI990" s="12"/>
      <c r="AJ990" s="12"/>
      <c r="AK990" s="12"/>
      <c r="AL990" s="12"/>
      <c r="AM990" s="44"/>
      <c r="AN990" s="45"/>
      <c r="AO990" s="12"/>
      <c r="AP990" s="12"/>
      <c r="AQ990" s="12"/>
      <c r="AR990" s="12"/>
      <c r="AS990" s="44"/>
      <c r="AT990" s="45"/>
      <c r="AU990" s="12"/>
      <c r="AV990" s="12"/>
      <c r="AW990" s="12"/>
      <c r="AX990" s="12"/>
      <c r="AY990" s="44"/>
      <c r="AZ990" s="45"/>
      <c r="BA990" s="12"/>
      <c r="BB990" s="12"/>
      <c r="BC990" s="12"/>
      <c r="BD990" s="12"/>
      <c r="BE990" s="44"/>
      <c r="BF990" s="45"/>
      <c r="BG990" s="12"/>
      <c r="BH990" s="12"/>
      <c r="BI990" s="12"/>
      <c r="BJ990" s="12"/>
      <c r="BK990" s="44"/>
      <c r="BL990" s="45"/>
      <c r="BM990" s="12"/>
      <c r="BN990" s="12"/>
      <c r="BO990" s="12"/>
      <c r="BP990" s="12"/>
      <c r="BQ990" s="48"/>
      <c r="BR990" s="49"/>
      <c r="BS990" s="13"/>
      <c r="BT990" s="12"/>
      <c r="BV990" s="14"/>
      <c r="BW990" s="50"/>
      <c r="BX990" s="54"/>
      <c r="BY990" s="14"/>
      <c r="BZ990" s="14"/>
      <c r="CA990" s="14"/>
      <c r="CB990" s="14"/>
      <c r="CC990" s="14"/>
      <c r="CD990" s="14"/>
      <c r="CE990" s="14"/>
      <c r="CF990" s="15"/>
      <c r="CG990" s="14"/>
      <c r="CH990" s="14"/>
      <c r="CI990" s="50"/>
      <c r="CJ990" s="54"/>
      <c r="CK990" s="14"/>
      <c r="CL990" s="14"/>
      <c r="CM990" s="14"/>
      <c r="CN990" s="14"/>
      <c r="CO990" s="14"/>
      <c r="CP990" s="14"/>
      <c r="CQ990" s="14"/>
      <c r="CR990" s="14"/>
      <c r="CS990" s="14"/>
      <c r="CT990" s="14"/>
      <c r="CU990" s="16"/>
      <c r="CV990" s="14"/>
      <c r="CW990" s="50"/>
      <c r="CX990" s="17"/>
    </row>
    <row r="991" spans="4:102" x14ac:dyDescent="0.25"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43"/>
      <c r="Q991" s="11"/>
      <c r="R991" s="11"/>
      <c r="S991" s="11"/>
      <c r="T991" s="11"/>
      <c r="U991" s="11"/>
      <c r="V991" s="11"/>
      <c r="W991" s="11"/>
      <c r="X991" s="12"/>
      <c r="Y991" s="12"/>
      <c r="Z991" s="12"/>
      <c r="AA991" s="44"/>
      <c r="AB991" s="45"/>
      <c r="AC991" s="12"/>
      <c r="AD991" s="12"/>
      <c r="AE991" s="12"/>
      <c r="AF991" s="12"/>
      <c r="AG991" s="44"/>
      <c r="AH991" s="45"/>
      <c r="AI991" s="12"/>
      <c r="AJ991" s="12"/>
      <c r="AK991" s="12"/>
      <c r="AL991" s="12"/>
      <c r="AM991" s="44"/>
      <c r="AN991" s="45"/>
      <c r="AO991" s="12"/>
      <c r="AP991" s="12"/>
      <c r="AQ991" s="12"/>
      <c r="AR991" s="12"/>
      <c r="AS991" s="44"/>
      <c r="AT991" s="45"/>
      <c r="AU991" s="12"/>
      <c r="AV991" s="12"/>
      <c r="AW991" s="12"/>
      <c r="AX991" s="12"/>
      <c r="AY991" s="44"/>
      <c r="AZ991" s="45"/>
      <c r="BA991" s="12"/>
      <c r="BB991" s="12"/>
      <c r="BC991" s="12"/>
      <c r="BD991" s="12"/>
      <c r="BE991" s="44"/>
      <c r="BF991" s="45"/>
      <c r="BG991" s="12"/>
      <c r="BH991" s="12"/>
      <c r="BI991" s="12"/>
      <c r="BJ991" s="12"/>
      <c r="BK991" s="44"/>
      <c r="BL991" s="45"/>
      <c r="BM991" s="12"/>
      <c r="BN991" s="12"/>
      <c r="BO991" s="12"/>
      <c r="BP991" s="12"/>
      <c r="BQ991" s="48"/>
      <c r="BR991" s="49"/>
      <c r="BS991" s="13"/>
      <c r="BT991" s="12"/>
      <c r="BV991" s="14"/>
      <c r="BW991" s="50"/>
      <c r="BX991" s="54"/>
      <c r="BY991" s="14"/>
      <c r="BZ991" s="14"/>
      <c r="CA991" s="14"/>
      <c r="CB991" s="14"/>
      <c r="CC991" s="14"/>
      <c r="CD991" s="14"/>
      <c r="CE991" s="14"/>
      <c r="CF991" s="15"/>
      <c r="CG991" s="14"/>
      <c r="CH991" s="14"/>
      <c r="CI991" s="50"/>
      <c r="CJ991" s="54"/>
      <c r="CK991" s="14"/>
      <c r="CL991" s="14"/>
      <c r="CM991" s="14"/>
      <c r="CN991" s="14"/>
      <c r="CO991" s="14"/>
      <c r="CP991" s="14"/>
      <c r="CQ991" s="14"/>
      <c r="CR991" s="14"/>
      <c r="CS991" s="14"/>
      <c r="CT991" s="14"/>
      <c r="CU991" s="16"/>
      <c r="CV991" s="14"/>
      <c r="CW991" s="50"/>
      <c r="CX991" s="17"/>
    </row>
    <row r="992" spans="4:102" x14ac:dyDescent="0.25"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43"/>
      <c r="Q992" s="11"/>
      <c r="R992" s="11"/>
      <c r="S992" s="11"/>
      <c r="T992" s="11"/>
      <c r="U992" s="11"/>
      <c r="V992" s="11"/>
      <c r="W992" s="11"/>
      <c r="X992" s="12"/>
      <c r="Y992" s="12"/>
      <c r="Z992" s="12"/>
      <c r="AA992" s="44"/>
      <c r="AB992" s="45"/>
      <c r="AC992" s="12"/>
      <c r="AD992" s="12"/>
      <c r="AE992" s="12"/>
      <c r="AF992" s="12"/>
      <c r="AG992" s="44"/>
      <c r="AH992" s="45"/>
      <c r="AI992" s="12"/>
      <c r="AJ992" s="12"/>
      <c r="AK992" s="12"/>
      <c r="AL992" s="12"/>
      <c r="AM992" s="44"/>
      <c r="AN992" s="45"/>
      <c r="AO992" s="12"/>
      <c r="AP992" s="12"/>
      <c r="AQ992" s="12"/>
      <c r="AR992" s="12"/>
      <c r="AS992" s="44"/>
      <c r="AT992" s="45"/>
      <c r="AU992" s="12"/>
      <c r="AV992" s="12"/>
      <c r="AW992" s="12"/>
      <c r="AX992" s="12"/>
      <c r="AY992" s="44"/>
      <c r="AZ992" s="45"/>
      <c r="BA992" s="12"/>
      <c r="BB992" s="12"/>
      <c r="BC992" s="12"/>
      <c r="BD992" s="12"/>
      <c r="BE992" s="44"/>
      <c r="BF992" s="45"/>
      <c r="BG992" s="12"/>
      <c r="BH992" s="12"/>
      <c r="BI992" s="12"/>
      <c r="BJ992" s="12"/>
      <c r="BK992" s="44"/>
      <c r="BL992" s="45"/>
      <c r="BM992" s="12"/>
      <c r="BN992" s="12"/>
      <c r="BO992" s="12"/>
      <c r="BP992" s="12"/>
      <c r="BQ992" s="48"/>
      <c r="BR992" s="49"/>
      <c r="BS992" s="13"/>
      <c r="BT992" s="12"/>
      <c r="BV992" s="14"/>
      <c r="BW992" s="50"/>
      <c r="BX992" s="54"/>
      <c r="BY992" s="14"/>
      <c r="BZ992" s="14"/>
      <c r="CA992" s="14"/>
      <c r="CB992" s="14"/>
      <c r="CC992" s="14"/>
      <c r="CD992" s="14"/>
      <c r="CE992" s="14"/>
      <c r="CF992" s="15"/>
      <c r="CG992" s="14"/>
      <c r="CH992" s="14"/>
      <c r="CI992" s="50"/>
      <c r="CJ992" s="54"/>
      <c r="CK992" s="14"/>
      <c r="CL992" s="14"/>
      <c r="CM992" s="14"/>
      <c r="CN992" s="14"/>
      <c r="CO992" s="14"/>
      <c r="CP992" s="14"/>
      <c r="CQ992" s="14"/>
      <c r="CR992" s="14"/>
      <c r="CS992" s="14"/>
      <c r="CT992" s="14"/>
      <c r="CU992" s="16"/>
      <c r="CV992" s="14"/>
      <c r="CW992" s="50"/>
      <c r="CX992" s="17"/>
    </row>
    <row r="993" spans="4:102" x14ac:dyDescent="0.25"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43"/>
      <c r="Q993" s="11"/>
      <c r="R993" s="11"/>
      <c r="S993" s="11"/>
      <c r="T993" s="11"/>
      <c r="U993" s="11"/>
      <c r="V993" s="11"/>
      <c r="W993" s="11"/>
      <c r="X993" s="12"/>
      <c r="Y993" s="12"/>
      <c r="Z993" s="12"/>
      <c r="AA993" s="44"/>
      <c r="AB993" s="45"/>
      <c r="AC993" s="12"/>
      <c r="AD993" s="12"/>
      <c r="AE993" s="12"/>
      <c r="AF993" s="12"/>
      <c r="AG993" s="44"/>
      <c r="AH993" s="45"/>
      <c r="AI993" s="12"/>
      <c r="AJ993" s="12"/>
      <c r="AK993" s="12"/>
      <c r="AL993" s="12"/>
      <c r="AM993" s="44"/>
      <c r="AN993" s="45"/>
      <c r="AO993" s="12"/>
      <c r="AP993" s="12"/>
      <c r="AQ993" s="12"/>
      <c r="AR993" s="12"/>
      <c r="AS993" s="44"/>
      <c r="AT993" s="45"/>
      <c r="AU993" s="12"/>
      <c r="AV993" s="12"/>
      <c r="AW993" s="12"/>
      <c r="AX993" s="12"/>
      <c r="AY993" s="44"/>
      <c r="AZ993" s="45"/>
      <c r="BA993" s="12"/>
      <c r="BB993" s="12"/>
      <c r="BC993" s="12"/>
      <c r="BD993" s="12"/>
      <c r="BE993" s="44"/>
      <c r="BF993" s="45"/>
      <c r="BG993" s="12"/>
      <c r="BH993" s="12"/>
      <c r="BI993" s="12"/>
      <c r="BJ993" s="12"/>
      <c r="BK993" s="44"/>
      <c r="BL993" s="45"/>
      <c r="BM993" s="12"/>
      <c r="BN993" s="12"/>
      <c r="BO993" s="12"/>
      <c r="BP993" s="12"/>
      <c r="BQ993" s="48"/>
      <c r="BR993" s="49"/>
      <c r="BS993" s="13"/>
      <c r="BT993" s="12"/>
      <c r="BV993" s="14"/>
      <c r="BW993" s="50"/>
      <c r="BX993" s="54"/>
      <c r="BY993" s="14"/>
      <c r="BZ993" s="14"/>
      <c r="CA993" s="14"/>
      <c r="CB993" s="14"/>
      <c r="CC993" s="14"/>
      <c r="CD993" s="14"/>
      <c r="CE993" s="14"/>
      <c r="CF993" s="15"/>
      <c r="CG993" s="14"/>
      <c r="CH993" s="14"/>
      <c r="CI993" s="50"/>
      <c r="CJ993" s="54"/>
      <c r="CK993" s="14"/>
      <c r="CL993" s="14"/>
      <c r="CM993" s="14"/>
      <c r="CN993" s="14"/>
      <c r="CO993" s="14"/>
      <c r="CP993" s="14"/>
      <c r="CQ993" s="14"/>
      <c r="CR993" s="14"/>
      <c r="CS993" s="14"/>
      <c r="CT993" s="14"/>
      <c r="CU993" s="16"/>
      <c r="CV993" s="14"/>
      <c r="CW993" s="50"/>
      <c r="CX993" s="17"/>
    </row>
    <row r="994" spans="4:102" x14ac:dyDescent="0.25"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43"/>
      <c r="Q994" s="11"/>
      <c r="R994" s="11"/>
      <c r="S994" s="11"/>
      <c r="T994" s="11"/>
      <c r="U994" s="11"/>
      <c r="V994" s="11"/>
      <c r="W994" s="11"/>
      <c r="X994" s="12"/>
      <c r="Y994" s="12"/>
      <c r="Z994" s="12"/>
      <c r="AA994" s="44"/>
      <c r="AB994" s="45"/>
      <c r="AC994" s="12"/>
      <c r="AD994" s="12"/>
      <c r="AE994" s="12"/>
      <c r="AF994" s="12"/>
      <c r="AG994" s="44"/>
      <c r="AH994" s="45"/>
      <c r="AI994" s="12"/>
      <c r="AJ994" s="12"/>
      <c r="AK994" s="12"/>
      <c r="AL994" s="12"/>
      <c r="AM994" s="44"/>
      <c r="AN994" s="45"/>
      <c r="AO994" s="12"/>
      <c r="AP994" s="12"/>
      <c r="AQ994" s="12"/>
      <c r="AR994" s="12"/>
      <c r="AS994" s="44"/>
      <c r="AT994" s="45"/>
      <c r="AU994" s="12"/>
      <c r="AV994" s="12"/>
      <c r="AW994" s="12"/>
      <c r="AX994" s="12"/>
      <c r="AY994" s="44"/>
      <c r="AZ994" s="45"/>
      <c r="BA994" s="12"/>
      <c r="BB994" s="12"/>
      <c r="BC994" s="12"/>
      <c r="BD994" s="12"/>
      <c r="BE994" s="44"/>
      <c r="BF994" s="45"/>
      <c r="BG994" s="12"/>
      <c r="BH994" s="12"/>
      <c r="BI994" s="12"/>
      <c r="BJ994" s="12"/>
      <c r="BK994" s="44"/>
      <c r="BL994" s="45"/>
      <c r="BM994" s="12"/>
      <c r="BN994" s="12"/>
      <c r="BO994" s="12"/>
      <c r="BP994" s="12"/>
      <c r="BQ994" s="48"/>
      <c r="BR994" s="49"/>
      <c r="BS994" s="13"/>
      <c r="BT994" s="12"/>
      <c r="BV994" s="14"/>
      <c r="BW994" s="50"/>
      <c r="BX994" s="54"/>
      <c r="BY994" s="14"/>
      <c r="BZ994" s="14"/>
      <c r="CA994" s="14"/>
      <c r="CB994" s="14"/>
      <c r="CC994" s="14"/>
      <c r="CD994" s="14"/>
      <c r="CE994" s="14"/>
      <c r="CF994" s="15"/>
      <c r="CG994" s="14"/>
      <c r="CH994" s="14"/>
      <c r="CI994" s="50"/>
      <c r="CJ994" s="54"/>
      <c r="CK994" s="14"/>
      <c r="CL994" s="14"/>
      <c r="CM994" s="14"/>
      <c r="CN994" s="14"/>
      <c r="CO994" s="14"/>
      <c r="CP994" s="14"/>
      <c r="CQ994" s="14"/>
      <c r="CR994" s="14"/>
      <c r="CS994" s="14"/>
      <c r="CT994" s="14"/>
      <c r="CU994" s="16"/>
      <c r="CV994" s="14"/>
      <c r="CW994" s="50"/>
      <c r="CX994" s="17"/>
    </row>
    <row r="995" spans="4:102" x14ac:dyDescent="0.25"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43"/>
      <c r="Q995" s="11"/>
      <c r="R995" s="11"/>
      <c r="S995" s="11"/>
      <c r="T995" s="11"/>
      <c r="U995" s="11"/>
      <c r="V995" s="11"/>
      <c r="W995" s="11"/>
      <c r="X995" s="12"/>
      <c r="Y995" s="12"/>
      <c r="Z995" s="12"/>
      <c r="AA995" s="44"/>
      <c r="AB995" s="45"/>
      <c r="AC995" s="12"/>
      <c r="AD995" s="12"/>
      <c r="AE995" s="12"/>
      <c r="AF995" s="12"/>
      <c r="AG995" s="44"/>
      <c r="AH995" s="45"/>
      <c r="AI995" s="12"/>
      <c r="AJ995" s="12"/>
      <c r="AK995" s="12"/>
      <c r="AL995" s="12"/>
      <c r="AM995" s="44"/>
      <c r="AN995" s="45"/>
      <c r="AO995" s="12"/>
      <c r="AP995" s="12"/>
      <c r="AQ995" s="12"/>
      <c r="AR995" s="12"/>
      <c r="AS995" s="44"/>
      <c r="AT995" s="45"/>
      <c r="AU995" s="12"/>
      <c r="AV995" s="12"/>
      <c r="AW995" s="12"/>
      <c r="AX995" s="12"/>
      <c r="AY995" s="44"/>
      <c r="AZ995" s="45"/>
      <c r="BA995" s="12"/>
      <c r="BB995" s="12"/>
      <c r="BC995" s="12"/>
      <c r="BD995" s="12"/>
      <c r="BE995" s="44"/>
      <c r="BF995" s="45"/>
      <c r="BG995" s="12"/>
      <c r="BH995" s="12"/>
      <c r="BI995" s="12"/>
      <c r="BJ995" s="12"/>
      <c r="BK995" s="44"/>
      <c r="BL995" s="45"/>
      <c r="BM995" s="12"/>
      <c r="BN995" s="12"/>
      <c r="BO995" s="12"/>
      <c r="BP995" s="12"/>
      <c r="BQ995" s="48"/>
      <c r="BR995" s="49"/>
      <c r="BS995" s="13"/>
      <c r="BT995" s="12"/>
      <c r="BV995" s="14"/>
      <c r="BW995" s="50"/>
      <c r="BX995" s="54"/>
      <c r="BY995" s="14"/>
      <c r="BZ995" s="14"/>
      <c r="CA995" s="14"/>
      <c r="CB995" s="14"/>
      <c r="CC995" s="14"/>
      <c r="CD995" s="14"/>
      <c r="CE995" s="14"/>
      <c r="CF995" s="15"/>
      <c r="CG995" s="14"/>
      <c r="CH995" s="14"/>
      <c r="CI995" s="50"/>
      <c r="CJ995" s="54"/>
      <c r="CK995" s="14"/>
      <c r="CL995" s="14"/>
      <c r="CM995" s="14"/>
      <c r="CN995" s="14"/>
      <c r="CO995" s="14"/>
      <c r="CP995" s="14"/>
      <c r="CQ995" s="14"/>
      <c r="CR995" s="14"/>
      <c r="CS995" s="14"/>
      <c r="CT995" s="14"/>
      <c r="CU995" s="16"/>
      <c r="CV995" s="14"/>
      <c r="CW995" s="50"/>
      <c r="CX995" s="17"/>
    </row>
    <row r="996" spans="4:102" x14ac:dyDescent="0.25"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43"/>
      <c r="Q996" s="11"/>
      <c r="R996" s="11"/>
      <c r="S996" s="11"/>
      <c r="T996" s="11"/>
      <c r="U996" s="11"/>
      <c r="V996" s="11"/>
      <c r="W996" s="11"/>
      <c r="X996" s="12"/>
      <c r="Y996" s="12"/>
      <c r="Z996" s="12"/>
      <c r="AA996" s="44"/>
      <c r="AB996" s="45"/>
      <c r="AC996" s="12"/>
      <c r="AD996" s="12"/>
      <c r="AE996" s="12"/>
      <c r="AF996" s="12"/>
      <c r="AG996" s="44"/>
      <c r="AH996" s="45"/>
      <c r="AI996" s="12"/>
      <c r="AJ996" s="12"/>
      <c r="AK996" s="12"/>
      <c r="AL996" s="12"/>
      <c r="AM996" s="44"/>
      <c r="AN996" s="45"/>
      <c r="AO996" s="12"/>
      <c r="AP996" s="12"/>
      <c r="AQ996" s="12"/>
      <c r="AR996" s="12"/>
      <c r="AS996" s="44"/>
      <c r="AT996" s="45"/>
      <c r="AU996" s="12"/>
      <c r="AV996" s="12"/>
      <c r="AW996" s="12"/>
      <c r="AX996" s="12"/>
      <c r="AY996" s="44"/>
      <c r="AZ996" s="45"/>
      <c r="BA996" s="12"/>
      <c r="BB996" s="12"/>
      <c r="BC996" s="12"/>
      <c r="BD996" s="12"/>
      <c r="BE996" s="44"/>
      <c r="BF996" s="45"/>
      <c r="BG996" s="12"/>
      <c r="BH996" s="12"/>
      <c r="BI996" s="12"/>
      <c r="BJ996" s="12"/>
      <c r="BK996" s="44"/>
      <c r="BL996" s="45"/>
      <c r="BM996" s="12"/>
      <c r="BN996" s="12"/>
      <c r="BO996" s="12"/>
      <c r="BP996" s="12"/>
      <c r="BQ996" s="48"/>
      <c r="BR996" s="49"/>
      <c r="BS996" s="13"/>
      <c r="BT996" s="12"/>
      <c r="BV996" s="14"/>
      <c r="BW996" s="50"/>
      <c r="BX996" s="54"/>
      <c r="BY996" s="14"/>
      <c r="BZ996" s="14"/>
      <c r="CA996" s="14"/>
      <c r="CB996" s="14"/>
      <c r="CC996" s="14"/>
      <c r="CD996" s="14"/>
      <c r="CE996" s="14"/>
      <c r="CF996" s="15"/>
      <c r="CG996" s="14"/>
      <c r="CH996" s="14"/>
      <c r="CI996" s="50"/>
      <c r="CJ996" s="54"/>
      <c r="CK996" s="14"/>
      <c r="CL996" s="14"/>
      <c r="CM996" s="14"/>
      <c r="CN996" s="14"/>
      <c r="CO996" s="14"/>
      <c r="CP996" s="14"/>
      <c r="CQ996" s="14"/>
      <c r="CR996" s="14"/>
      <c r="CS996" s="14"/>
      <c r="CT996" s="14"/>
      <c r="CU996" s="16"/>
      <c r="CV996" s="14"/>
      <c r="CW996" s="50"/>
      <c r="CX996" s="17"/>
    </row>
    <row r="997" spans="4:102" x14ac:dyDescent="0.25"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43"/>
      <c r="Q997" s="11"/>
      <c r="R997" s="11"/>
      <c r="S997" s="11"/>
      <c r="T997" s="11"/>
      <c r="U997" s="11"/>
      <c r="V997" s="11"/>
      <c r="W997" s="11"/>
      <c r="X997" s="12"/>
      <c r="Y997" s="12"/>
      <c r="Z997" s="12"/>
      <c r="AA997" s="44"/>
      <c r="AB997" s="45"/>
      <c r="AC997" s="12"/>
      <c r="AD997" s="12"/>
      <c r="AE997" s="12"/>
      <c r="AF997" s="12"/>
      <c r="AG997" s="44"/>
      <c r="AH997" s="45"/>
      <c r="AI997" s="12"/>
      <c r="AJ997" s="12"/>
      <c r="AK997" s="12"/>
      <c r="AL997" s="12"/>
      <c r="AM997" s="44"/>
      <c r="AN997" s="45"/>
      <c r="AO997" s="12"/>
      <c r="AP997" s="12"/>
      <c r="AQ997" s="12"/>
      <c r="AR997" s="12"/>
      <c r="AS997" s="44"/>
      <c r="AT997" s="45"/>
      <c r="AU997" s="12"/>
      <c r="AV997" s="12"/>
      <c r="AW997" s="12"/>
      <c r="AX997" s="12"/>
      <c r="AY997" s="44"/>
      <c r="AZ997" s="45"/>
      <c r="BA997" s="12"/>
      <c r="BB997" s="12"/>
      <c r="BC997" s="12"/>
      <c r="BD997" s="12"/>
      <c r="BE997" s="44"/>
      <c r="BF997" s="45"/>
      <c r="BG997" s="12"/>
      <c r="BH997" s="12"/>
      <c r="BI997" s="12"/>
      <c r="BJ997" s="12"/>
      <c r="BK997" s="44"/>
      <c r="BL997" s="45"/>
      <c r="BM997" s="12"/>
      <c r="BN997" s="12"/>
      <c r="BO997" s="12"/>
      <c r="BP997" s="12"/>
      <c r="BQ997" s="48"/>
      <c r="BR997" s="49"/>
      <c r="BS997" s="13"/>
      <c r="BT997" s="12"/>
      <c r="BV997" s="14"/>
      <c r="BW997" s="50"/>
      <c r="BX997" s="54"/>
      <c r="BY997" s="14"/>
      <c r="BZ997" s="14"/>
      <c r="CA997" s="14"/>
      <c r="CB997" s="14"/>
      <c r="CC997" s="14"/>
      <c r="CD997" s="14"/>
      <c r="CE997" s="14"/>
      <c r="CF997" s="15"/>
      <c r="CG997" s="14"/>
      <c r="CH997" s="14"/>
      <c r="CI997" s="50"/>
      <c r="CJ997" s="54"/>
      <c r="CK997" s="14"/>
      <c r="CL997" s="14"/>
      <c r="CM997" s="14"/>
      <c r="CN997" s="14"/>
      <c r="CO997" s="14"/>
      <c r="CP997" s="14"/>
      <c r="CQ997" s="14"/>
      <c r="CR997" s="14"/>
      <c r="CS997" s="14"/>
      <c r="CT997" s="14"/>
      <c r="CU997" s="16"/>
      <c r="CV997" s="14"/>
      <c r="CW997" s="50"/>
      <c r="CX997" s="17"/>
    </row>
    <row r="998" spans="4:102" x14ac:dyDescent="0.25"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43"/>
      <c r="Q998" s="11"/>
      <c r="R998" s="11"/>
      <c r="S998" s="11"/>
      <c r="T998" s="11"/>
      <c r="U998" s="11"/>
      <c r="V998" s="11"/>
      <c r="W998" s="11"/>
      <c r="X998" s="12"/>
      <c r="Y998" s="12"/>
      <c r="Z998" s="12"/>
      <c r="AA998" s="44"/>
      <c r="AB998" s="45"/>
      <c r="AC998" s="12"/>
      <c r="AD998" s="12"/>
      <c r="AE998" s="12"/>
      <c r="AF998" s="12"/>
      <c r="AG998" s="44"/>
      <c r="AH998" s="45"/>
      <c r="AI998" s="12"/>
      <c r="AJ998" s="12"/>
      <c r="AK998" s="12"/>
      <c r="AL998" s="12"/>
      <c r="AM998" s="44"/>
      <c r="AN998" s="45"/>
      <c r="AO998" s="12"/>
      <c r="AP998" s="12"/>
      <c r="AQ998" s="12"/>
      <c r="AR998" s="12"/>
      <c r="AS998" s="44"/>
      <c r="AT998" s="45"/>
      <c r="AU998" s="12"/>
      <c r="AV998" s="12"/>
      <c r="AW998" s="12"/>
      <c r="AX998" s="12"/>
      <c r="AY998" s="44"/>
      <c r="AZ998" s="45"/>
      <c r="BA998" s="12"/>
      <c r="BB998" s="12"/>
      <c r="BC998" s="12"/>
      <c r="BD998" s="12"/>
      <c r="BE998" s="44"/>
      <c r="BF998" s="45"/>
      <c r="BG998" s="12"/>
      <c r="BH998" s="12"/>
      <c r="BI998" s="12"/>
      <c r="BJ998" s="12"/>
      <c r="BK998" s="44"/>
      <c r="BL998" s="45"/>
      <c r="BM998" s="12"/>
      <c r="BN998" s="12"/>
      <c r="BO998" s="12"/>
      <c r="BP998" s="12"/>
      <c r="BQ998" s="48"/>
      <c r="BR998" s="49"/>
      <c r="BS998" s="13"/>
      <c r="BT998" s="12"/>
      <c r="BV998" s="14"/>
      <c r="BW998" s="50"/>
      <c r="BX998" s="54"/>
      <c r="BY998" s="14"/>
      <c r="BZ998" s="14"/>
      <c r="CA998" s="14"/>
      <c r="CB998" s="14"/>
      <c r="CC998" s="14"/>
      <c r="CD998" s="14"/>
      <c r="CE998" s="14"/>
      <c r="CF998" s="15"/>
      <c r="CG998" s="14"/>
      <c r="CH998" s="14"/>
      <c r="CI998" s="50"/>
      <c r="CJ998" s="54"/>
      <c r="CK998" s="14"/>
      <c r="CL998" s="14"/>
      <c r="CM998" s="14"/>
      <c r="CN998" s="14"/>
      <c r="CO998" s="14"/>
      <c r="CP998" s="14"/>
      <c r="CQ998" s="14"/>
      <c r="CR998" s="14"/>
      <c r="CS998" s="14"/>
      <c r="CT998" s="14"/>
      <c r="CU998" s="16"/>
      <c r="CV998" s="14"/>
      <c r="CW998" s="50"/>
      <c r="CX998" s="17"/>
    </row>
    <row r="999" spans="4:102" x14ac:dyDescent="0.25"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43"/>
      <c r="Q999" s="11"/>
      <c r="R999" s="11"/>
      <c r="S999" s="11"/>
      <c r="T999" s="11"/>
      <c r="U999" s="11"/>
      <c r="V999" s="11"/>
      <c r="W999" s="11"/>
      <c r="X999" s="12"/>
      <c r="Y999" s="12"/>
      <c r="Z999" s="12"/>
      <c r="AA999" s="44"/>
      <c r="AB999" s="45"/>
      <c r="AC999" s="12"/>
      <c r="AD999" s="12"/>
      <c r="AE999" s="12"/>
      <c r="AF999" s="12"/>
      <c r="AG999" s="44"/>
      <c r="AH999" s="45"/>
      <c r="AI999" s="12"/>
      <c r="AJ999" s="12"/>
      <c r="AK999" s="12"/>
      <c r="AL999" s="12"/>
      <c r="AM999" s="44"/>
      <c r="AN999" s="45"/>
      <c r="AO999" s="12"/>
      <c r="AP999" s="12"/>
      <c r="AQ999" s="12"/>
      <c r="AR999" s="12"/>
      <c r="AS999" s="44"/>
      <c r="AT999" s="45"/>
      <c r="AU999" s="12"/>
      <c r="AV999" s="12"/>
      <c r="AW999" s="12"/>
      <c r="AX999" s="12"/>
      <c r="AY999" s="44"/>
      <c r="AZ999" s="45"/>
      <c r="BA999" s="12"/>
      <c r="BB999" s="12"/>
      <c r="BC999" s="12"/>
      <c r="BD999" s="12"/>
      <c r="BE999" s="44"/>
      <c r="BF999" s="45"/>
      <c r="BG999" s="12"/>
      <c r="BH999" s="12"/>
      <c r="BI999" s="12"/>
      <c r="BJ999" s="12"/>
      <c r="BK999" s="44"/>
      <c r="BL999" s="45"/>
      <c r="BM999" s="12"/>
      <c r="BN999" s="12"/>
      <c r="BO999" s="12"/>
      <c r="BP999" s="12"/>
      <c r="BQ999" s="48"/>
      <c r="BR999" s="49"/>
      <c r="BS999" s="13"/>
      <c r="BT999" s="12"/>
      <c r="BV999" s="14"/>
      <c r="BW999" s="50"/>
      <c r="BX999" s="54"/>
      <c r="BY999" s="14"/>
      <c r="BZ999" s="14"/>
      <c r="CA999" s="14"/>
      <c r="CB999" s="14"/>
      <c r="CC999" s="14"/>
      <c r="CD999" s="14"/>
      <c r="CE999" s="14"/>
      <c r="CF999" s="15"/>
      <c r="CG999" s="14"/>
      <c r="CH999" s="14"/>
      <c r="CI999" s="50"/>
      <c r="CJ999" s="54"/>
      <c r="CK999" s="14"/>
      <c r="CL999" s="14"/>
      <c r="CM999" s="14"/>
      <c r="CN999" s="14"/>
      <c r="CO999" s="14"/>
      <c r="CP999" s="14"/>
      <c r="CQ999" s="14"/>
      <c r="CR999" s="14"/>
      <c r="CS999" s="14"/>
      <c r="CT999" s="14"/>
      <c r="CU999" s="16"/>
      <c r="CV999" s="14"/>
      <c r="CW999" s="50"/>
      <c r="CX999" s="17"/>
    </row>
    <row r="1000" spans="4:102" x14ac:dyDescent="0.25"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43"/>
      <c r="Q1000" s="11"/>
      <c r="R1000" s="11"/>
      <c r="S1000" s="11"/>
      <c r="T1000" s="11"/>
      <c r="U1000" s="11"/>
      <c r="V1000" s="11"/>
      <c r="W1000" s="11"/>
      <c r="X1000" s="12"/>
      <c r="Y1000" s="12"/>
      <c r="Z1000" s="12"/>
      <c r="AA1000" s="44"/>
      <c r="AB1000" s="45"/>
      <c r="AC1000" s="12"/>
      <c r="AD1000" s="12"/>
      <c r="AE1000" s="12"/>
      <c r="AF1000" s="12"/>
      <c r="AG1000" s="44"/>
      <c r="AH1000" s="45"/>
      <c r="AI1000" s="12"/>
      <c r="AJ1000" s="12"/>
      <c r="AK1000" s="12"/>
      <c r="AL1000" s="12"/>
      <c r="AM1000" s="44"/>
      <c r="AN1000" s="45"/>
      <c r="AO1000" s="12"/>
      <c r="AP1000" s="12"/>
      <c r="AQ1000" s="12"/>
      <c r="AR1000" s="12"/>
      <c r="AS1000" s="44"/>
      <c r="AT1000" s="45"/>
      <c r="AU1000" s="12"/>
      <c r="AV1000" s="12"/>
      <c r="AW1000" s="12"/>
      <c r="AX1000" s="12"/>
      <c r="AY1000" s="44"/>
      <c r="AZ1000" s="45"/>
      <c r="BA1000" s="12"/>
      <c r="BB1000" s="12"/>
      <c r="BC1000" s="12"/>
      <c r="BD1000" s="12"/>
      <c r="BE1000" s="44"/>
      <c r="BF1000" s="45"/>
      <c r="BG1000" s="12"/>
      <c r="BH1000" s="12"/>
      <c r="BI1000" s="12"/>
      <c r="BJ1000" s="12"/>
      <c r="BK1000" s="44"/>
      <c r="BL1000" s="45"/>
      <c r="BM1000" s="12"/>
      <c r="BN1000" s="12"/>
      <c r="BO1000" s="12"/>
      <c r="BP1000" s="12"/>
      <c r="BQ1000" s="48"/>
      <c r="BR1000" s="49"/>
      <c r="BS1000" s="13"/>
      <c r="BT1000" s="12"/>
      <c r="BV1000" s="14"/>
      <c r="BW1000" s="50"/>
      <c r="BX1000" s="54"/>
      <c r="BY1000" s="14"/>
      <c r="BZ1000" s="14"/>
      <c r="CA1000" s="14"/>
      <c r="CB1000" s="14"/>
      <c r="CC1000" s="14"/>
      <c r="CD1000" s="14"/>
      <c r="CE1000" s="14"/>
      <c r="CF1000" s="15"/>
      <c r="CG1000" s="14"/>
      <c r="CH1000" s="14"/>
      <c r="CI1000" s="50"/>
      <c r="CJ1000" s="54"/>
      <c r="CK1000" s="14"/>
      <c r="CL1000" s="14"/>
      <c r="CM1000" s="14"/>
      <c r="CN1000" s="14"/>
      <c r="CO1000" s="14"/>
      <c r="CP1000" s="14"/>
      <c r="CQ1000" s="14"/>
      <c r="CR1000" s="14"/>
      <c r="CS1000" s="14"/>
      <c r="CT1000" s="14"/>
      <c r="CU1000" s="16"/>
      <c r="CV1000" s="14"/>
      <c r="CW1000" s="50"/>
      <c r="CX1000" s="17"/>
    </row>
    <row r="1001" spans="4:102" x14ac:dyDescent="0.25"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43"/>
      <c r="Q1001" s="11"/>
      <c r="R1001" s="11"/>
      <c r="S1001" s="11"/>
      <c r="T1001" s="11"/>
      <c r="U1001" s="11"/>
      <c r="V1001" s="11"/>
      <c r="W1001" s="11"/>
      <c r="X1001" s="12"/>
      <c r="Y1001" s="12"/>
      <c r="Z1001" s="12"/>
      <c r="AA1001" s="44"/>
      <c r="AB1001" s="45"/>
      <c r="AC1001" s="12"/>
      <c r="AD1001" s="12"/>
      <c r="AE1001" s="12"/>
      <c r="AF1001" s="12"/>
      <c r="AG1001" s="44"/>
      <c r="AH1001" s="45"/>
      <c r="AI1001" s="12"/>
      <c r="AJ1001" s="12"/>
      <c r="AK1001" s="12"/>
      <c r="AL1001" s="12"/>
      <c r="AM1001" s="44"/>
      <c r="AN1001" s="45"/>
      <c r="AO1001" s="12"/>
      <c r="AP1001" s="12"/>
      <c r="AQ1001" s="12"/>
      <c r="AR1001" s="12"/>
      <c r="AS1001" s="44"/>
      <c r="AT1001" s="45"/>
      <c r="AU1001" s="12"/>
      <c r="AV1001" s="12"/>
      <c r="AW1001" s="12"/>
      <c r="AX1001" s="12"/>
      <c r="AY1001" s="44"/>
      <c r="AZ1001" s="45"/>
      <c r="BA1001" s="12"/>
      <c r="BB1001" s="12"/>
      <c r="BC1001" s="12"/>
      <c r="BD1001" s="12"/>
      <c r="BE1001" s="44"/>
      <c r="BF1001" s="45"/>
      <c r="BG1001" s="12"/>
      <c r="BH1001" s="12"/>
      <c r="BI1001" s="12"/>
      <c r="BJ1001" s="12"/>
      <c r="BK1001" s="44"/>
      <c r="BL1001" s="45"/>
      <c r="BM1001" s="12"/>
      <c r="BN1001" s="12"/>
      <c r="BO1001" s="12"/>
      <c r="BP1001" s="12"/>
      <c r="BQ1001" s="48"/>
      <c r="BR1001" s="49"/>
      <c r="BS1001" s="13"/>
      <c r="BT1001" s="12"/>
      <c r="BV1001" s="14"/>
      <c r="BW1001" s="50"/>
      <c r="BX1001" s="54"/>
      <c r="BY1001" s="14"/>
      <c r="BZ1001" s="14"/>
      <c r="CA1001" s="14"/>
      <c r="CB1001" s="14"/>
      <c r="CC1001" s="14"/>
      <c r="CD1001" s="14"/>
      <c r="CE1001" s="14"/>
      <c r="CF1001" s="15"/>
      <c r="CG1001" s="14"/>
      <c r="CH1001" s="14"/>
      <c r="CI1001" s="50"/>
      <c r="CJ1001" s="54"/>
      <c r="CK1001" s="14"/>
      <c r="CL1001" s="14"/>
      <c r="CM1001" s="14"/>
      <c r="CN1001" s="14"/>
      <c r="CO1001" s="14"/>
      <c r="CP1001" s="14"/>
      <c r="CQ1001" s="14"/>
      <c r="CR1001" s="14"/>
      <c r="CS1001" s="14"/>
      <c r="CT1001" s="14"/>
      <c r="CU1001" s="16"/>
      <c r="CV1001" s="14"/>
      <c r="CW1001" s="50"/>
      <c r="CX1001" s="17"/>
    </row>
    <row r="1002" spans="4:102" x14ac:dyDescent="0.25"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43"/>
      <c r="Q1002" s="11"/>
      <c r="R1002" s="11"/>
      <c r="S1002" s="11"/>
      <c r="T1002" s="11"/>
      <c r="U1002" s="11"/>
      <c r="V1002" s="11"/>
      <c r="W1002" s="11"/>
      <c r="X1002" s="12"/>
      <c r="Y1002" s="12"/>
      <c r="Z1002" s="12"/>
      <c r="AA1002" s="44"/>
      <c r="AB1002" s="45"/>
      <c r="AC1002" s="12"/>
      <c r="AD1002" s="12"/>
      <c r="AE1002" s="12"/>
      <c r="AF1002" s="12"/>
      <c r="AG1002" s="44"/>
      <c r="AH1002" s="45"/>
      <c r="AI1002" s="12"/>
      <c r="AJ1002" s="12"/>
      <c r="AK1002" s="12"/>
      <c r="AL1002" s="12"/>
      <c r="AM1002" s="44"/>
      <c r="AN1002" s="45"/>
      <c r="AO1002" s="12"/>
      <c r="AP1002" s="12"/>
      <c r="AQ1002" s="12"/>
      <c r="AR1002" s="12"/>
      <c r="AS1002" s="44"/>
      <c r="AT1002" s="45"/>
      <c r="AU1002" s="12"/>
      <c r="AV1002" s="12"/>
      <c r="AW1002" s="12"/>
      <c r="AX1002" s="12"/>
      <c r="AY1002" s="44"/>
      <c r="AZ1002" s="45"/>
      <c r="BA1002" s="12"/>
      <c r="BB1002" s="12"/>
      <c r="BC1002" s="12"/>
      <c r="BD1002" s="12"/>
      <c r="BE1002" s="44"/>
      <c r="BF1002" s="45"/>
      <c r="BG1002" s="12"/>
      <c r="BH1002" s="12"/>
      <c r="BI1002" s="12"/>
      <c r="BJ1002" s="12"/>
      <c r="BK1002" s="44"/>
      <c r="BL1002" s="45"/>
      <c r="BM1002" s="12"/>
      <c r="BN1002" s="12"/>
      <c r="BO1002" s="12"/>
      <c r="BP1002" s="12"/>
      <c r="BQ1002" s="48"/>
      <c r="BR1002" s="49"/>
      <c r="BS1002" s="13"/>
      <c r="BT1002" s="12"/>
      <c r="BV1002" s="14"/>
      <c r="BW1002" s="50"/>
      <c r="BX1002" s="54"/>
      <c r="BY1002" s="14"/>
      <c r="BZ1002" s="14"/>
      <c r="CA1002" s="14"/>
      <c r="CB1002" s="14"/>
      <c r="CC1002" s="14"/>
      <c r="CD1002" s="14"/>
      <c r="CE1002" s="14"/>
      <c r="CF1002" s="15"/>
      <c r="CG1002" s="14"/>
      <c r="CH1002" s="14"/>
      <c r="CI1002" s="50"/>
      <c r="CJ1002" s="54"/>
      <c r="CK1002" s="14"/>
      <c r="CL1002" s="14"/>
      <c r="CM1002" s="14"/>
      <c r="CN1002" s="14"/>
      <c r="CO1002" s="14"/>
      <c r="CP1002" s="14"/>
      <c r="CQ1002" s="14"/>
      <c r="CR1002" s="14"/>
      <c r="CS1002" s="14"/>
      <c r="CT1002" s="14"/>
      <c r="CU1002" s="16"/>
      <c r="CV1002" s="14"/>
      <c r="CW1002" s="50"/>
      <c r="CX1002" s="17"/>
    </row>
    <row r="1003" spans="4:102" x14ac:dyDescent="0.25"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43"/>
      <c r="Q1003" s="11"/>
      <c r="R1003" s="11"/>
      <c r="S1003" s="11"/>
      <c r="T1003" s="11"/>
      <c r="U1003" s="11"/>
      <c r="V1003" s="11"/>
      <c r="W1003" s="11"/>
      <c r="X1003" s="12"/>
      <c r="Y1003" s="12"/>
      <c r="Z1003" s="12"/>
      <c r="AA1003" s="44"/>
      <c r="AB1003" s="45"/>
      <c r="AC1003" s="12"/>
      <c r="AD1003" s="12"/>
      <c r="AE1003" s="12"/>
      <c r="AF1003" s="12"/>
      <c r="AG1003" s="44"/>
      <c r="AH1003" s="45"/>
      <c r="AI1003" s="12"/>
      <c r="AJ1003" s="12"/>
      <c r="AK1003" s="12"/>
      <c r="AL1003" s="12"/>
      <c r="AM1003" s="44"/>
      <c r="AN1003" s="45"/>
      <c r="AO1003" s="12"/>
      <c r="AP1003" s="12"/>
      <c r="AQ1003" s="12"/>
      <c r="AR1003" s="12"/>
      <c r="AS1003" s="44"/>
      <c r="AT1003" s="45"/>
      <c r="AU1003" s="12"/>
      <c r="AV1003" s="12"/>
      <c r="AW1003" s="12"/>
      <c r="AX1003" s="12"/>
      <c r="AY1003" s="44"/>
      <c r="AZ1003" s="45"/>
      <c r="BA1003" s="12"/>
      <c r="BB1003" s="12"/>
      <c r="BC1003" s="12"/>
      <c r="BD1003" s="12"/>
      <c r="BE1003" s="44"/>
      <c r="BF1003" s="45"/>
      <c r="BG1003" s="12"/>
      <c r="BH1003" s="12"/>
      <c r="BI1003" s="12"/>
      <c r="BJ1003" s="12"/>
      <c r="BK1003" s="44"/>
      <c r="BL1003" s="45"/>
      <c r="BM1003" s="12"/>
      <c r="BN1003" s="12"/>
      <c r="BO1003" s="12"/>
      <c r="BP1003" s="12"/>
      <c r="BQ1003" s="48"/>
      <c r="BR1003" s="49"/>
      <c r="BS1003" s="13"/>
      <c r="BT1003" s="12"/>
      <c r="BV1003" s="14"/>
      <c r="BW1003" s="50"/>
      <c r="BX1003" s="54"/>
      <c r="BY1003" s="14"/>
      <c r="BZ1003" s="14"/>
      <c r="CA1003" s="14"/>
      <c r="CB1003" s="14"/>
      <c r="CC1003" s="14"/>
      <c r="CD1003" s="14"/>
      <c r="CE1003" s="14"/>
      <c r="CF1003" s="15"/>
      <c r="CG1003" s="14"/>
      <c r="CH1003" s="14"/>
      <c r="CI1003" s="50"/>
      <c r="CJ1003" s="54"/>
      <c r="CK1003" s="14"/>
      <c r="CL1003" s="14"/>
      <c r="CM1003" s="14"/>
      <c r="CN1003" s="14"/>
      <c r="CO1003" s="14"/>
      <c r="CP1003" s="14"/>
      <c r="CQ1003" s="14"/>
      <c r="CR1003" s="14"/>
      <c r="CS1003" s="14"/>
      <c r="CT1003" s="14"/>
      <c r="CU1003" s="16"/>
      <c r="CV1003" s="14"/>
      <c r="CW1003" s="50"/>
      <c r="CX1003" s="17"/>
    </row>
    <row r="1004" spans="4:102" x14ac:dyDescent="0.25"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43"/>
      <c r="Q1004" s="11"/>
      <c r="R1004" s="11"/>
      <c r="S1004" s="11"/>
      <c r="T1004" s="11"/>
      <c r="U1004" s="11"/>
      <c r="V1004" s="11"/>
      <c r="W1004" s="11"/>
      <c r="X1004" s="12"/>
      <c r="Y1004" s="12"/>
      <c r="Z1004" s="12"/>
      <c r="AA1004" s="44"/>
      <c r="AB1004" s="45"/>
      <c r="AC1004" s="12"/>
      <c r="AD1004" s="12"/>
      <c r="AE1004" s="12"/>
      <c r="AF1004" s="12"/>
      <c r="AG1004" s="44"/>
      <c r="AH1004" s="45"/>
      <c r="AI1004" s="12"/>
      <c r="AJ1004" s="12"/>
      <c r="AK1004" s="12"/>
      <c r="AL1004" s="12"/>
      <c r="AM1004" s="44"/>
      <c r="AN1004" s="45"/>
      <c r="AO1004" s="12"/>
      <c r="AP1004" s="12"/>
      <c r="AQ1004" s="12"/>
      <c r="AR1004" s="12"/>
      <c r="AS1004" s="44"/>
      <c r="AT1004" s="45"/>
      <c r="AU1004" s="12"/>
      <c r="AV1004" s="12"/>
      <c r="AW1004" s="12"/>
      <c r="AX1004" s="12"/>
      <c r="AY1004" s="44"/>
      <c r="AZ1004" s="45"/>
      <c r="BA1004" s="12"/>
      <c r="BB1004" s="12"/>
      <c r="BC1004" s="12"/>
      <c r="BD1004" s="12"/>
      <c r="BE1004" s="44"/>
      <c r="BF1004" s="45"/>
      <c r="BG1004" s="12"/>
      <c r="BH1004" s="12"/>
      <c r="BI1004" s="12"/>
      <c r="BJ1004" s="12"/>
      <c r="BK1004" s="44"/>
      <c r="BL1004" s="45"/>
      <c r="BM1004" s="12"/>
      <c r="BN1004" s="12"/>
      <c r="BO1004" s="12"/>
      <c r="BP1004" s="12"/>
      <c r="BQ1004" s="48"/>
      <c r="BR1004" s="49"/>
      <c r="BS1004" s="13"/>
      <c r="BT1004" s="12"/>
      <c r="BV1004" s="14"/>
      <c r="BW1004" s="50"/>
      <c r="BX1004" s="54"/>
      <c r="BY1004" s="14"/>
      <c r="BZ1004" s="14"/>
      <c r="CA1004" s="14"/>
      <c r="CB1004" s="14"/>
      <c r="CC1004" s="14"/>
      <c r="CD1004" s="14"/>
      <c r="CE1004" s="14"/>
      <c r="CF1004" s="15"/>
      <c r="CG1004" s="14"/>
      <c r="CH1004" s="14"/>
      <c r="CI1004" s="50"/>
      <c r="CJ1004" s="54"/>
      <c r="CK1004" s="14"/>
      <c r="CL1004" s="14"/>
      <c r="CM1004" s="14"/>
      <c r="CN1004" s="14"/>
      <c r="CO1004" s="14"/>
      <c r="CP1004" s="14"/>
      <c r="CQ1004" s="14"/>
      <c r="CR1004" s="14"/>
      <c r="CS1004" s="14"/>
      <c r="CT1004" s="14"/>
      <c r="CU1004" s="16"/>
      <c r="CV1004" s="14"/>
      <c r="CW1004" s="50"/>
      <c r="CX1004" s="17"/>
    </row>
    <row r="1005" spans="4:102" x14ac:dyDescent="0.25"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43"/>
      <c r="Q1005" s="11"/>
      <c r="R1005" s="11"/>
      <c r="S1005" s="11"/>
      <c r="T1005" s="11"/>
      <c r="U1005" s="11"/>
      <c r="V1005" s="11"/>
      <c r="W1005" s="11"/>
      <c r="X1005" s="12"/>
      <c r="Y1005" s="12"/>
      <c r="Z1005" s="12"/>
      <c r="AA1005" s="44"/>
      <c r="AB1005" s="45"/>
      <c r="AC1005" s="12"/>
      <c r="AD1005" s="12"/>
      <c r="AE1005" s="12"/>
      <c r="AF1005" s="12"/>
      <c r="AG1005" s="44"/>
      <c r="AH1005" s="45"/>
      <c r="AI1005" s="12"/>
      <c r="AJ1005" s="12"/>
      <c r="AK1005" s="12"/>
      <c r="AL1005" s="12"/>
      <c r="AM1005" s="44"/>
      <c r="AN1005" s="45"/>
      <c r="AO1005" s="12"/>
      <c r="AP1005" s="12"/>
      <c r="AQ1005" s="12"/>
      <c r="AR1005" s="12"/>
      <c r="AS1005" s="44"/>
      <c r="AT1005" s="45"/>
      <c r="AU1005" s="12"/>
      <c r="AV1005" s="12"/>
      <c r="AW1005" s="12"/>
      <c r="AX1005" s="12"/>
      <c r="AY1005" s="44"/>
      <c r="AZ1005" s="45"/>
      <c r="BA1005" s="12"/>
      <c r="BB1005" s="12"/>
      <c r="BC1005" s="12"/>
      <c r="BD1005" s="12"/>
      <c r="BE1005" s="44"/>
      <c r="BF1005" s="45"/>
      <c r="BG1005" s="12"/>
      <c r="BH1005" s="12"/>
      <c r="BI1005" s="12"/>
      <c r="BJ1005" s="12"/>
      <c r="BK1005" s="44"/>
      <c r="BL1005" s="45"/>
      <c r="BM1005" s="12"/>
      <c r="BN1005" s="12"/>
      <c r="BO1005" s="12"/>
      <c r="BP1005" s="12"/>
      <c r="BQ1005" s="48"/>
      <c r="BR1005" s="49"/>
      <c r="BS1005" s="13"/>
      <c r="BT1005" s="12"/>
      <c r="BV1005" s="14"/>
      <c r="BW1005" s="50"/>
      <c r="BX1005" s="54"/>
      <c r="BY1005" s="14"/>
      <c r="BZ1005" s="14"/>
      <c r="CA1005" s="14"/>
      <c r="CB1005" s="14"/>
      <c r="CC1005" s="14"/>
      <c r="CD1005" s="14"/>
      <c r="CE1005" s="14"/>
      <c r="CF1005" s="15"/>
      <c r="CG1005" s="14"/>
      <c r="CH1005" s="14"/>
      <c r="CI1005" s="50"/>
      <c r="CJ1005" s="54"/>
      <c r="CK1005" s="14"/>
      <c r="CL1005" s="14"/>
      <c r="CM1005" s="14"/>
      <c r="CN1005" s="14"/>
      <c r="CO1005" s="14"/>
      <c r="CP1005" s="14"/>
      <c r="CQ1005" s="14"/>
      <c r="CR1005" s="14"/>
      <c r="CS1005" s="14"/>
      <c r="CT1005" s="14"/>
      <c r="CU1005" s="16"/>
      <c r="CV1005" s="14"/>
      <c r="CW1005" s="50"/>
      <c r="CX1005" s="17"/>
    </row>
    <row r="1006" spans="4:102" x14ac:dyDescent="0.25"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43"/>
      <c r="Q1006" s="11"/>
      <c r="R1006" s="11"/>
      <c r="S1006" s="11"/>
      <c r="T1006" s="11"/>
      <c r="U1006" s="11"/>
      <c r="V1006" s="11"/>
      <c r="W1006" s="11"/>
      <c r="X1006" s="12"/>
      <c r="Y1006" s="12"/>
      <c r="Z1006" s="12"/>
      <c r="AA1006" s="44"/>
      <c r="AB1006" s="45"/>
      <c r="AC1006" s="12"/>
      <c r="AD1006" s="12"/>
      <c r="AE1006" s="12"/>
      <c r="AF1006" s="12"/>
      <c r="AG1006" s="44"/>
      <c r="AH1006" s="45"/>
      <c r="AI1006" s="12"/>
      <c r="AJ1006" s="12"/>
      <c r="AK1006" s="12"/>
      <c r="AL1006" s="12"/>
      <c r="AM1006" s="44"/>
      <c r="AN1006" s="45"/>
      <c r="AO1006" s="12"/>
      <c r="AP1006" s="12"/>
      <c r="AQ1006" s="12"/>
      <c r="AR1006" s="12"/>
      <c r="AS1006" s="44"/>
      <c r="AT1006" s="45"/>
      <c r="AU1006" s="12"/>
      <c r="AV1006" s="12"/>
      <c r="AW1006" s="12"/>
      <c r="AX1006" s="12"/>
      <c r="AY1006" s="44"/>
      <c r="AZ1006" s="45"/>
      <c r="BA1006" s="12"/>
      <c r="BB1006" s="12"/>
      <c r="BC1006" s="12"/>
      <c r="BD1006" s="12"/>
      <c r="BE1006" s="44"/>
      <c r="BF1006" s="45"/>
      <c r="BG1006" s="12"/>
      <c r="BH1006" s="12"/>
      <c r="BI1006" s="12"/>
      <c r="BJ1006" s="12"/>
      <c r="BK1006" s="44"/>
      <c r="BL1006" s="45"/>
      <c r="BM1006" s="12"/>
      <c r="BN1006" s="12"/>
      <c r="BO1006" s="12"/>
      <c r="BP1006" s="12"/>
      <c r="BQ1006" s="48"/>
      <c r="BR1006" s="49"/>
      <c r="BS1006" s="13"/>
      <c r="BT1006" s="12"/>
      <c r="BV1006" s="14"/>
      <c r="BW1006" s="50"/>
      <c r="BX1006" s="54"/>
      <c r="BY1006" s="14"/>
      <c r="BZ1006" s="14"/>
      <c r="CA1006" s="14"/>
      <c r="CB1006" s="14"/>
      <c r="CC1006" s="14"/>
      <c r="CD1006" s="14"/>
      <c r="CE1006" s="14"/>
      <c r="CF1006" s="15"/>
      <c r="CG1006" s="14"/>
      <c r="CH1006" s="14"/>
      <c r="CI1006" s="50"/>
      <c r="CJ1006" s="54"/>
      <c r="CK1006" s="14"/>
      <c r="CL1006" s="14"/>
      <c r="CM1006" s="14"/>
      <c r="CN1006" s="14"/>
      <c r="CO1006" s="14"/>
      <c r="CP1006" s="14"/>
      <c r="CQ1006" s="14"/>
      <c r="CR1006" s="14"/>
      <c r="CS1006" s="14"/>
      <c r="CT1006" s="14"/>
      <c r="CU1006" s="16"/>
      <c r="CV1006" s="14"/>
      <c r="CW1006" s="50"/>
      <c r="CX1006" s="17"/>
    </row>
    <row r="1007" spans="4:102" x14ac:dyDescent="0.25"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43"/>
      <c r="Q1007" s="11"/>
      <c r="R1007" s="11"/>
      <c r="S1007" s="11"/>
      <c r="T1007" s="11"/>
      <c r="U1007" s="11"/>
      <c r="V1007" s="11"/>
      <c r="W1007" s="11"/>
      <c r="X1007" s="12"/>
      <c r="Y1007" s="12"/>
      <c r="Z1007" s="12"/>
      <c r="AA1007" s="44"/>
      <c r="AB1007" s="45"/>
      <c r="AC1007" s="12"/>
      <c r="AD1007" s="12"/>
      <c r="AE1007" s="12"/>
      <c r="AF1007" s="12"/>
      <c r="AG1007" s="44"/>
      <c r="AH1007" s="45"/>
      <c r="AI1007" s="12"/>
      <c r="AJ1007" s="12"/>
      <c r="AK1007" s="12"/>
      <c r="AL1007" s="12"/>
      <c r="AM1007" s="44"/>
      <c r="AN1007" s="45"/>
      <c r="AO1007" s="12"/>
      <c r="AP1007" s="12"/>
      <c r="AQ1007" s="12"/>
      <c r="AR1007" s="12"/>
      <c r="AS1007" s="44"/>
      <c r="AT1007" s="45"/>
      <c r="AU1007" s="12"/>
      <c r="AV1007" s="12"/>
      <c r="AW1007" s="12"/>
      <c r="AX1007" s="12"/>
      <c r="AY1007" s="44"/>
      <c r="AZ1007" s="45"/>
      <c r="BA1007" s="12"/>
      <c r="BB1007" s="12"/>
      <c r="BC1007" s="12"/>
      <c r="BD1007" s="12"/>
      <c r="BE1007" s="44"/>
      <c r="BF1007" s="45"/>
      <c r="BG1007" s="12"/>
      <c r="BH1007" s="12"/>
      <c r="BI1007" s="12"/>
      <c r="BJ1007" s="12"/>
      <c r="BK1007" s="44"/>
      <c r="BL1007" s="45"/>
      <c r="BM1007" s="12"/>
      <c r="BN1007" s="12"/>
      <c r="BO1007" s="12"/>
      <c r="BP1007" s="12"/>
      <c r="BQ1007" s="48"/>
      <c r="BR1007" s="49"/>
      <c r="BS1007" s="13"/>
      <c r="BT1007" s="12"/>
      <c r="BV1007" s="14"/>
      <c r="BW1007" s="50"/>
      <c r="BX1007" s="54"/>
      <c r="BY1007" s="14"/>
      <c r="BZ1007" s="14"/>
      <c r="CA1007" s="14"/>
      <c r="CB1007" s="14"/>
      <c r="CC1007" s="14"/>
      <c r="CD1007" s="14"/>
      <c r="CE1007" s="14"/>
      <c r="CF1007" s="15"/>
      <c r="CG1007" s="14"/>
      <c r="CH1007" s="14"/>
      <c r="CI1007" s="50"/>
      <c r="CJ1007" s="54"/>
      <c r="CK1007" s="14"/>
      <c r="CL1007" s="14"/>
      <c r="CM1007" s="14"/>
      <c r="CN1007" s="14"/>
      <c r="CO1007" s="14"/>
      <c r="CP1007" s="14"/>
      <c r="CQ1007" s="14"/>
      <c r="CR1007" s="14"/>
      <c r="CS1007" s="14"/>
      <c r="CT1007" s="14"/>
      <c r="CU1007" s="16"/>
      <c r="CV1007" s="14"/>
      <c r="CW1007" s="50"/>
      <c r="CX1007" s="17"/>
    </row>
    <row r="1008" spans="4:102" x14ac:dyDescent="0.25"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43"/>
      <c r="Q1008" s="11"/>
      <c r="R1008" s="11"/>
      <c r="S1008" s="11"/>
      <c r="T1008" s="11"/>
      <c r="U1008" s="11"/>
      <c r="V1008" s="11"/>
      <c r="W1008" s="11"/>
      <c r="X1008" s="12"/>
      <c r="Y1008" s="12"/>
      <c r="Z1008" s="12"/>
      <c r="AA1008" s="44"/>
      <c r="AB1008" s="45"/>
      <c r="AC1008" s="12"/>
      <c r="AD1008" s="12"/>
      <c r="AE1008" s="12"/>
      <c r="AF1008" s="12"/>
      <c r="AG1008" s="44"/>
      <c r="AH1008" s="45"/>
      <c r="AI1008" s="12"/>
      <c r="AJ1008" s="12"/>
      <c r="AK1008" s="12"/>
      <c r="AL1008" s="12"/>
      <c r="AM1008" s="44"/>
      <c r="AN1008" s="45"/>
      <c r="AO1008" s="12"/>
      <c r="AP1008" s="12"/>
      <c r="AQ1008" s="12"/>
      <c r="AR1008" s="12"/>
      <c r="AS1008" s="44"/>
      <c r="AT1008" s="45"/>
      <c r="AU1008" s="12"/>
      <c r="AV1008" s="12"/>
      <c r="AW1008" s="12"/>
      <c r="AX1008" s="12"/>
      <c r="AY1008" s="44"/>
      <c r="AZ1008" s="45"/>
      <c r="BA1008" s="12"/>
      <c r="BB1008" s="12"/>
      <c r="BC1008" s="12"/>
      <c r="BD1008" s="12"/>
      <c r="BE1008" s="44"/>
      <c r="BF1008" s="45"/>
      <c r="BG1008" s="12"/>
      <c r="BH1008" s="12"/>
      <c r="BI1008" s="12"/>
      <c r="BJ1008" s="12"/>
      <c r="BK1008" s="44"/>
      <c r="BL1008" s="45"/>
      <c r="BM1008" s="12"/>
      <c r="BN1008" s="12"/>
      <c r="BO1008" s="12"/>
      <c r="BP1008" s="12"/>
      <c r="BQ1008" s="48"/>
      <c r="BR1008" s="49"/>
      <c r="BS1008" s="13"/>
      <c r="BT1008" s="12"/>
      <c r="BV1008" s="14"/>
      <c r="BW1008" s="50"/>
      <c r="BX1008" s="54"/>
      <c r="BY1008" s="14"/>
      <c r="BZ1008" s="14"/>
      <c r="CA1008" s="14"/>
      <c r="CB1008" s="14"/>
      <c r="CC1008" s="14"/>
      <c r="CD1008" s="14"/>
      <c r="CE1008" s="14"/>
      <c r="CF1008" s="15"/>
      <c r="CG1008" s="14"/>
      <c r="CH1008" s="14"/>
      <c r="CI1008" s="50"/>
      <c r="CJ1008" s="54"/>
      <c r="CK1008" s="14"/>
      <c r="CL1008" s="14"/>
      <c r="CM1008" s="14"/>
      <c r="CN1008" s="14"/>
      <c r="CO1008" s="14"/>
      <c r="CP1008" s="14"/>
      <c r="CQ1008" s="14"/>
      <c r="CR1008" s="14"/>
      <c r="CS1008" s="14"/>
      <c r="CT1008" s="14"/>
      <c r="CU1008" s="16"/>
      <c r="CV1008" s="14"/>
      <c r="CW1008" s="50"/>
      <c r="CX1008" s="17"/>
    </row>
    <row r="1009" spans="4:102" x14ac:dyDescent="0.25"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43"/>
      <c r="Q1009" s="11"/>
      <c r="R1009" s="11"/>
      <c r="S1009" s="11"/>
      <c r="T1009" s="11"/>
      <c r="U1009" s="11"/>
      <c r="V1009" s="11"/>
      <c r="W1009" s="11"/>
      <c r="X1009" s="12"/>
      <c r="Y1009" s="12"/>
      <c r="Z1009" s="12"/>
      <c r="AA1009" s="44"/>
      <c r="AB1009" s="45"/>
      <c r="AC1009" s="12"/>
      <c r="AD1009" s="12"/>
      <c r="AE1009" s="12"/>
      <c r="AF1009" s="12"/>
      <c r="AG1009" s="44"/>
      <c r="AH1009" s="45"/>
      <c r="AI1009" s="12"/>
      <c r="AJ1009" s="12"/>
      <c r="AK1009" s="12"/>
      <c r="AL1009" s="12"/>
      <c r="AM1009" s="44"/>
      <c r="AN1009" s="45"/>
      <c r="AO1009" s="12"/>
      <c r="AP1009" s="12"/>
      <c r="AQ1009" s="12"/>
      <c r="AR1009" s="12"/>
      <c r="AS1009" s="44"/>
      <c r="AT1009" s="45"/>
      <c r="AU1009" s="12"/>
      <c r="AV1009" s="12"/>
      <c r="AW1009" s="12"/>
      <c r="AX1009" s="12"/>
      <c r="AY1009" s="44"/>
      <c r="AZ1009" s="45"/>
      <c r="BA1009" s="12"/>
      <c r="BB1009" s="12"/>
      <c r="BC1009" s="12"/>
      <c r="BD1009" s="12"/>
      <c r="BE1009" s="44"/>
      <c r="BF1009" s="45"/>
      <c r="BG1009" s="12"/>
      <c r="BH1009" s="12"/>
      <c r="BI1009" s="12"/>
      <c r="BJ1009" s="12"/>
      <c r="BK1009" s="44"/>
      <c r="BL1009" s="45"/>
      <c r="BM1009" s="12"/>
      <c r="BN1009" s="12"/>
      <c r="BO1009" s="12"/>
      <c r="BP1009" s="12"/>
      <c r="BQ1009" s="48"/>
      <c r="BR1009" s="49"/>
      <c r="BS1009" s="13"/>
      <c r="BT1009" s="12"/>
      <c r="BV1009" s="14"/>
      <c r="BW1009" s="50"/>
      <c r="BX1009" s="54"/>
      <c r="BY1009" s="14"/>
      <c r="BZ1009" s="14"/>
      <c r="CA1009" s="14"/>
      <c r="CB1009" s="14"/>
      <c r="CC1009" s="14"/>
      <c r="CD1009" s="14"/>
      <c r="CE1009" s="14"/>
      <c r="CF1009" s="15"/>
      <c r="CG1009" s="14"/>
      <c r="CH1009" s="14"/>
      <c r="CI1009" s="50"/>
      <c r="CJ1009" s="54"/>
      <c r="CK1009" s="14"/>
      <c r="CL1009" s="14"/>
      <c r="CM1009" s="14"/>
      <c r="CN1009" s="14"/>
      <c r="CO1009" s="14"/>
      <c r="CP1009" s="14"/>
      <c r="CQ1009" s="14"/>
      <c r="CR1009" s="14"/>
      <c r="CS1009" s="14"/>
      <c r="CT1009" s="14"/>
      <c r="CU1009" s="16"/>
      <c r="CV1009" s="14"/>
      <c r="CW1009" s="50"/>
      <c r="CX1009" s="17"/>
    </row>
    <row r="1010" spans="4:102" x14ac:dyDescent="0.25"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43"/>
      <c r="Q1010" s="11"/>
      <c r="R1010" s="11"/>
      <c r="S1010" s="11"/>
      <c r="T1010" s="11"/>
      <c r="U1010" s="11"/>
      <c r="V1010" s="11"/>
      <c r="W1010" s="11"/>
      <c r="X1010" s="12"/>
      <c r="Y1010" s="12"/>
      <c r="Z1010" s="12"/>
      <c r="AA1010" s="44"/>
      <c r="AB1010" s="45"/>
      <c r="AC1010" s="12"/>
      <c r="AD1010" s="12"/>
      <c r="AE1010" s="12"/>
      <c r="AF1010" s="12"/>
      <c r="AG1010" s="44"/>
      <c r="AH1010" s="45"/>
      <c r="AI1010" s="12"/>
      <c r="AJ1010" s="12"/>
      <c r="AK1010" s="12"/>
      <c r="AL1010" s="12"/>
      <c r="AM1010" s="44"/>
      <c r="AN1010" s="45"/>
      <c r="AO1010" s="12"/>
      <c r="AP1010" s="12"/>
      <c r="AQ1010" s="12"/>
      <c r="AR1010" s="12"/>
      <c r="AS1010" s="44"/>
      <c r="AT1010" s="45"/>
      <c r="AU1010" s="12"/>
      <c r="AV1010" s="12"/>
      <c r="AW1010" s="12"/>
      <c r="AX1010" s="12"/>
      <c r="AY1010" s="44"/>
      <c r="AZ1010" s="45"/>
      <c r="BA1010" s="12"/>
      <c r="BB1010" s="12"/>
      <c r="BC1010" s="12"/>
      <c r="BD1010" s="12"/>
      <c r="BE1010" s="44"/>
      <c r="BF1010" s="45"/>
      <c r="BG1010" s="12"/>
      <c r="BH1010" s="12"/>
      <c r="BI1010" s="12"/>
      <c r="BJ1010" s="12"/>
      <c r="BK1010" s="44"/>
      <c r="BL1010" s="45"/>
      <c r="BM1010" s="12"/>
      <c r="BN1010" s="12"/>
      <c r="BO1010" s="12"/>
      <c r="BP1010" s="12"/>
      <c r="BQ1010" s="48"/>
      <c r="BR1010" s="49"/>
      <c r="BS1010" s="13"/>
      <c r="BT1010" s="12"/>
      <c r="BV1010" s="14"/>
      <c r="BW1010" s="50"/>
      <c r="BX1010" s="54"/>
      <c r="BY1010" s="14"/>
      <c r="BZ1010" s="14"/>
      <c r="CA1010" s="14"/>
      <c r="CB1010" s="14"/>
      <c r="CC1010" s="14"/>
      <c r="CD1010" s="14"/>
      <c r="CE1010" s="14"/>
      <c r="CF1010" s="15"/>
      <c r="CG1010" s="14"/>
      <c r="CH1010" s="14"/>
      <c r="CI1010" s="50"/>
      <c r="CJ1010" s="54"/>
      <c r="CK1010" s="14"/>
      <c r="CL1010" s="14"/>
      <c r="CM1010" s="14"/>
      <c r="CN1010" s="14"/>
      <c r="CO1010" s="14"/>
      <c r="CP1010" s="14"/>
      <c r="CQ1010" s="14"/>
      <c r="CR1010" s="14"/>
      <c r="CS1010" s="14"/>
      <c r="CT1010" s="14"/>
      <c r="CU1010" s="16"/>
      <c r="CV1010" s="14"/>
      <c r="CW1010" s="50"/>
      <c r="CX1010" s="17"/>
    </row>
    <row r="1011" spans="4:102" x14ac:dyDescent="0.25"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43"/>
      <c r="Q1011" s="11"/>
      <c r="R1011" s="11"/>
      <c r="S1011" s="11"/>
      <c r="T1011" s="11"/>
      <c r="U1011" s="11"/>
      <c r="V1011" s="11"/>
      <c r="W1011" s="11"/>
      <c r="X1011" s="12"/>
      <c r="Y1011" s="12"/>
      <c r="Z1011" s="12"/>
      <c r="AA1011" s="44"/>
      <c r="AB1011" s="45"/>
      <c r="AC1011" s="12"/>
      <c r="AD1011" s="12"/>
      <c r="AE1011" s="12"/>
      <c r="AF1011" s="12"/>
      <c r="AG1011" s="44"/>
      <c r="AH1011" s="45"/>
      <c r="AI1011" s="12"/>
      <c r="AJ1011" s="12"/>
      <c r="AK1011" s="12"/>
      <c r="AL1011" s="12"/>
      <c r="AM1011" s="44"/>
      <c r="AN1011" s="45"/>
      <c r="AO1011" s="12"/>
      <c r="AP1011" s="12"/>
      <c r="AQ1011" s="12"/>
      <c r="AR1011" s="12"/>
      <c r="AS1011" s="44"/>
      <c r="AT1011" s="45"/>
      <c r="AU1011" s="12"/>
      <c r="AV1011" s="12"/>
      <c r="AW1011" s="12"/>
      <c r="AX1011" s="12"/>
      <c r="AY1011" s="44"/>
      <c r="AZ1011" s="45"/>
      <c r="BA1011" s="12"/>
      <c r="BB1011" s="12"/>
      <c r="BC1011" s="12"/>
      <c r="BD1011" s="12"/>
      <c r="BE1011" s="44"/>
      <c r="BF1011" s="45"/>
      <c r="BG1011" s="12"/>
      <c r="BH1011" s="12"/>
      <c r="BI1011" s="12"/>
      <c r="BJ1011" s="12"/>
      <c r="BK1011" s="44"/>
      <c r="BL1011" s="45"/>
      <c r="BM1011" s="12"/>
      <c r="BN1011" s="12"/>
      <c r="BO1011" s="12"/>
      <c r="BP1011" s="12"/>
      <c r="BQ1011" s="48"/>
      <c r="BR1011" s="49"/>
      <c r="BS1011" s="13"/>
      <c r="BT1011" s="12"/>
      <c r="BV1011" s="14"/>
      <c r="BW1011" s="50"/>
      <c r="BX1011" s="54"/>
      <c r="BY1011" s="14"/>
      <c r="BZ1011" s="14"/>
      <c r="CA1011" s="14"/>
      <c r="CB1011" s="14"/>
      <c r="CC1011" s="14"/>
      <c r="CD1011" s="14"/>
      <c r="CE1011" s="14"/>
      <c r="CF1011" s="15"/>
      <c r="CG1011" s="14"/>
      <c r="CH1011" s="14"/>
      <c r="CI1011" s="50"/>
      <c r="CJ1011" s="54"/>
      <c r="CK1011" s="14"/>
      <c r="CL1011" s="14"/>
      <c r="CM1011" s="14"/>
      <c r="CN1011" s="14"/>
      <c r="CO1011" s="14"/>
      <c r="CP1011" s="14"/>
      <c r="CQ1011" s="14"/>
      <c r="CR1011" s="14"/>
      <c r="CS1011" s="14"/>
      <c r="CT1011" s="14"/>
      <c r="CU1011" s="16"/>
      <c r="CV1011" s="14"/>
      <c r="CW1011" s="50"/>
      <c r="CX1011" s="17"/>
    </row>
    <row r="1012" spans="4:102" x14ac:dyDescent="0.25"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43"/>
      <c r="Q1012" s="11"/>
      <c r="R1012" s="11"/>
      <c r="S1012" s="11"/>
      <c r="T1012" s="11"/>
      <c r="U1012" s="11"/>
      <c r="V1012" s="11"/>
      <c r="W1012" s="11"/>
      <c r="X1012" s="12"/>
      <c r="Y1012" s="12"/>
      <c r="Z1012" s="12"/>
      <c r="AA1012" s="44"/>
      <c r="AB1012" s="45"/>
      <c r="AC1012" s="12"/>
      <c r="AD1012" s="12"/>
      <c r="AE1012" s="12"/>
      <c r="AF1012" s="12"/>
      <c r="AG1012" s="44"/>
      <c r="AH1012" s="45"/>
      <c r="AI1012" s="12"/>
      <c r="AJ1012" s="12"/>
      <c r="AK1012" s="12"/>
      <c r="AL1012" s="12"/>
      <c r="AM1012" s="44"/>
      <c r="AN1012" s="45"/>
      <c r="AO1012" s="12"/>
      <c r="AP1012" s="12"/>
      <c r="AQ1012" s="12"/>
      <c r="AR1012" s="12"/>
      <c r="AS1012" s="44"/>
      <c r="AT1012" s="45"/>
      <c r="AU1012" s="12"/>
      <c r="AV1012" s="12"/>
      <c r="AW1012" s="12"/>
      <c r="AX1012" s="12"/>
      <c r="AY1012" s="44"/>
      <c r="AZ1012" s="45"/>
      <c r="BA1012" s="12"/>
      <c r="BB1012" s="12"/>
      <c r="BC1012" s="12"/>
      <c r="BD1012" s="12"/>
      <c r="BE1012" s="44"/>
      <c r="BF1012" s="45"/>
      <c r="BG1012" s="12"/>
      <c r="BH1012" s="12"/>
      <c r="BI1012" s="12"/>
      <c r="BJ1012" s="12"/>
      <c r="BK1012" s="44"/>
      <c r="BL1012" s="45"/>
      <c r="BM1012" s="12"/>
      <c r="BN1012" s="12"/>
      <c r="BO1012" s="12"/>
      <c r="BP1012" s="12"/>
      <c r="BQ1012" s="48"/>
      <c r="BR1012" s="49"/>
      <c r="BS1012" s="13"/>
      <c r="BT1012" s="12"/>
      <c r="BV1012" s="14"/>
      <c r="BW1012" s="50"/>
      <c r="BX1012" s="54"/>
      <c r="BY1012" s="14"/>
      <c r="BZ1012" s="14"/>
      <c r="CA1012" s="14"/>
      <c r="CB1012" s="14"/>
      <c r="CC1012" s="14"/>
      <c r="CD1012" s="14"/>
      <c r="CE1012" s="14"/>
      <c r="CF1012" s="15"/>
      <c r="CG1012" s="14"/>
      <c r="CH1012" s="14"/>
      <c r="CI1012" s="50"/>
      <c r="CJ1012" s="54"/>
      <c r="CK1012" s="14"/>
      <c r="CL1012" s="14"/>
      <c r="CM1012" s="14"/>
      <c r="CN1012" s="14"/>
      <c r="CO1012" s="14"/>
      <c r="CP1012" s="14"/>
      <c r="CQ1012" s="14"/>
      <c r="CR1012" s="14"/>
      <c r="CS1012" s="14"/>
      <c r="CT1012" s="14"/>
      <c r="CU1012" s="16"/>
      <c r="CV1012" s="14"/>
      <c r="CW1012" s="50"/>
      <c r="CX1012" s="17"/>
    </row>
    <row r="1013" spans="4:102" x14ac:dyDescent="0.25"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43"/>
      <c r="Q1013" s="11"/>
      <c r="R1013" s="11"/>
      <c r="S1013" s="11"/>
      <c r="T1013" s="11"/>
      <c r="U1013" s="11"/>
      <c r="V1013" s="11"/>
      <c r="W1013" s="11"/>
      <c r="X1013" s="12"/>
      <c r="Y1013" s="12"/>
      <c r="Z1013" s="12"/>
      <c r="AA1013" s="44"/>
      <c r="AB1013" s="45"/>
      <c r="AC1013" s="12"/>
      <c r="AD1013" s="12"/>
      <c r="AE1013" s="12"/>
      <c r="AF1013" s="12"/>
      <c r="AG1013" s="44"/>
      <c r="AH1013" s="45"/>
      <c r="AI1013" s="12"/>
      <c r="AJ1013" s="12"/>
      <c r="AK1013" s="12"/>
      <c r="AL1013" s="12"/>
      <c r="AM1013" s="44"/>
      <c r="AN1013" s="45"/>
      <c r="AO1013" s="12"/>
      <c r="AP1013" s="12"/>
      <c r="AQ1013" s="12"/>
      <c r="AR1013" s="12"/>
      <c r="AS1013" s="44"/>
      <c r="AT1013" s="45"/>
      <c r="AU1013" s="12"/>
      <c r="AV1013" s="12"/>
      <c r="AW1013" s="12"/>
      <c r="AX1013" s="12"/>
      <c r="AY1013" s="44"/>
      <c r="AZ1013" s="45"/>
      <c r="BA1013" s="12"/>
      <c r="BB1013" s="12"/>
      <c r="BC1013" s="12"/>
      <c r="BD1013" s="12"/>
      <c r="BE1013" s="44"/>
      <c r="BF1013" s="45"/>
      <c r="BG1013" s="12"/>
      <c r="BH1013" s="12"/>
      <c r="BI1013" s="12"/>
      <c r="BJ1013" s="12"/>
      <c r="BK1013" s="44"/>
      <c r="BL1013" s="45"/>
      <c r="BM1013" s="12"/>
      <c r="BN1013" s="12"/>
      <c r="BO1013" s="12"/>
      <c r="BP1013" s="12"/>
      <c r="BQ1013" s="48"/>
      <c r="BR1013" s="49"/>
      <c r="BS1013" s="13"/>
      <c r="BT1013" s="12"/>
      <c r="BV1013" s="14"/>
      <c r="BW1013" s="50"/>
      <c r="BX1013" s="54"/>
      <c r="BY1013" s="14"/>
      <c r="BZ1013" s="14"/>
      <c r="CA1013" s="14"/>
      <c r="CB1013" s="14"/>
      <c r="CC1013" s="14"/>
      <c r="CD1013" s="14"/>
      <c r="CE1013" s="14"/>
      <c r="CF1013" s="15"/>
      <c r="CG1013" s="14"/>
      <c r="CH1013" s="14"/>
      <c r="CI1013" s="50"/>
      <c r="CJ1013" s="54"/>
      <c r="CK1013" s="14"/>
      <c r="CL1013" s="14"/>
      <c r="CM1013" s="14"/>
      <c r="CN1013" s="14"/>
      <c r="CO1013" s="14"/>
      <c r="CP1013" s="14"/>
      <c r="CQ1013" s="14"/>
      <c r="CR1013" s="14"/>
      <c r="CS1013" s="14"/>
      <c r="CT1013" s="14"/>
      <c r="CU1013" s="16"/>
      <c r="CV1013" s="14"/>
      <c r="CW1013" s="50"/>
      <c r="CX1013" s="17"/>
    </row>
    <row r="1014" spans="4:102" x14ac:dyDescent="0.25"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43"/>
      <c r="Q1014" s="11"/>
      <c r="R1014" s="11"/>
      <c r="S1014" s="11"/>
      <c r="T1014" s="11"/>
      <c r="U1014" s="11"/>
      <c r="V1014" s="11"/>
      <c r="W1014" s="11"/>
      <c r="X1014" s="12"/>
      <c r="Y1014" s="12"/>
      <c r="Z1014" s="12"/>
      <c r="AA1014" s="44"/>
      <c r="AB1014" s="45"/>
      <c r="AC1014" s="12"/>
      <c r="AD1014" s="12"/>
      <c r="AE1014" s="12"/>
      <c r="AF1014" s="12"/>
      <c r="AG1014" s="44"/>
      <c r="AH1014" s="45"/>
      <c r="AI1014" s="12"/>
      <c r="AJ1014" s="12"/>
      <c r="AK1014" s="12"/>
      <c r="AL1014" s="12"/>
      <c r="AM1014" s="44"/>
      <c r="AN1014" s="45"/>
      <c r="AO1014" s="12"/>
      <c r="AP1014" s="12"/>
      <c r="AQ1014" s="12"/>
      <c r="AR1014" s="12"/>
      <c r="AS1014" s="44"/>
      <c r="AT1014" s="45"/>
      <c r="AU1014" s="12"/>
      <c r="AV1014" s="12"/>
      <c r="AW1014" s="12"/>
      <c r="AX1014" s="12"/>
      <c r="AY1014" s="44"/>
      <c r="AZ1014" s="45"/>
      <c r="BA1014" s="12"/>
      <c r="BB1014" s="12"/>
      <c r="BC1014" s="12"/>
      <c r="BD1014" s="12"/>
      <c r="BE1014" s="44"/>
      <c r="BF1014" s="45"/>
      <c r="BG1014" s="12"/>
      <c r="BH1014" s="12"/>
      <c r="BI1014" s="12"/>
      <c r="BJ1014" s="12"/>
      <c r="BK1014" s="44"/>
      <c r="BL1014" s="45"/>
      <c r="BM1014" s="12"/>
      <c r="BN1014" s="12"/>
      <c r="BO1014" s="12"/>
      <c r="BP1014" s="12"/>
      <c r="BQ1014" s="48"/>
      <c r="BR1014" s="49"/>
      <c r="BS1014" s="13"/>
      <c r="BT1014" s="12"/>
      <c r="BV1014" s="14"/>
      <c r="BW1014" s="50"/>
      <c r="BX1014" s="54"/>
      <c r="BY1014" s="14"/>
      <c r="BZ1014" s="14"/>
      <c r="CA1014" s="14"/>
      <c r="CB1014" s="14"/>
      <c r="CC1014" s="14"/>
      <c r="CD1014" s="14"/>
      <c r="CE1014" s="14"/>
      <c r="CF1014" s="15"/>
      <c r="CG1014" s="14"/>
      <c r="CH1014" s="14"/>
      <c r="CI1014" s="50"/>
      <c r="CJ1014" s="54"/>
      <c r="CK1014" s="14"/>
      <c r="CL1014" s="14"/>
      <c r="CM1014" s="14"/>
      <c r="CN1014" s="14"/>
      <c r="CO1014" s="14"/>
      <c r="CP1014" s="14"/>
      <c r="CQ1014" s="14"/>
      <c r="CR1014" s="14"/>
      <c r="CS1014" s="14"/>
      <c r="CT1014" s="14"/>
      <c r="CU1014" s="16"/>
      <c r="CV1014" s="14"/>
      <c r="CW1014" s="50"/>
      <c r="CX1014" s="17"/>
    </row>
    <row r="1015" spans="4:102" x14ac:dyDescent="0.25"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43"/>
      <c r="Q1015" s="11"/>
      <c r="R1015" s="11"/>
      <c r="S1015" s="11"/>
      <c r="T1015" s="11"/>
      <c r="U1015" s="11"/>
      <c r="V1015" s="11"/>
      <c r="W1015" s="11"/>
      <c r="X1015" s="12"/>
      <c r="Y1015" s="12"/>
      <c r="Z1015" s="12"/>
      <c r="AA1015" s="44"/>
      <c r="AB1015" s="45"/>
      <c r="AC1015" s="12"/>
      <c r="AD1015" s="12"/>
      <c r="AE1015" s="12"/>
      <c r="AF1015" s="12"/>
      <c r="AG1015" s="44"/>
      <c r="AH1015" s="45"/>
      <c r="AI1015" s="12"/>
      <c r="AJ1015" s="12"/>
      <c r="AK1015" s="12"/>
      <c r="AL1015" s="12"/>
      <c r="AM1015" s="44"/>
      <c r="AN1015" s="45"/>
      <c r="AO1015" s="12"/>
      <c r="AP1015" s="12"/>
      <c r="AQ1015" s="12"/>
      <c r="AR1015" s="12"/>
      <c r="AS1015" s="44"/>
      <c r="AT1015" s="45"/>
      <c r="AU1015" s="12"/>
      <c r="AV1015" s="12"/>
      <c r="AW1015" s="12"/>
      <c r="AX1015" s="12"/>
      <c r="AY1015" s="44"/>
      <c r="AZ1015" s="45"/>
      <c r="BA1015" s="12"/>
      <c r="BB1015" s="12"/>
      <c r="BC1015" s="12"/>
      <c r="BD1015" s="12"/>
      <c r="BE1015" s="44"/>
      <c r="BF1015" s="45"/>
      <c r="BG1015" s="12"/>
      <c r="BH1015" s="12"/>
      <c r="BI1015" s="12"/>
      <c r="BJ1015" s="12"/>
      <c r="BK1015" s="44"/>
      <c r="BL1015" s="45"/>
      <c r="BM1015" s="12"/>
      <c r="BN1015" s="12"/>
      <c r="BO1015" s="12"/>
      <c r="BP1015" s="12"/>
      <c r="BQ1015" s="48"/>
      <c r="BR1015" s="49"/>
      <c r="BS1015" s="13"/>
      <c r="BT1015" s="12"/>
      <c r="BV1015" s="14"/>
      <c r="BW1015" s="50"/>
      <c r="BX1015" s="54"/>
      <c r="BY1015" s="14"/>
      <c r="BZ1015" s="14"/>
      <c r="CA1015" s="14"/>
      <c r="CB1015" s="14"/>
      <c r="CC1015" s="14"/>
      <c r="CD1015" s="14"/>
      <c r="CE1015" s="14"/>
      <c r="CF1015" s="15"/>
      <c r="CG1015" s="14"/>
      <c r="CH1015" s="14"/>
      <c r="CI1015" s="50"/>
      <c r="CJ1015" s="54"/>
      <c r="CK1015" s="14"/>
      <c r="CL1015" s="14"/>
      <c r="CM1015" s="14"/>
      <c r="CN1015" s="14"/>
      <c r="CO1015" s="14"/>
      <c r="CP1015" s="14"/>
      <c r="CQ1015" s="14"/>
      <c r="CR1015" s="14"/>
      <c r="CS1015" s="14"/>
      <c r="CT1015" s="14"/>
      <c r="CU1015" s="16"/>
      <c r="CV1015" s="14"/>
      <c r="CW1015" s="50"/>
      <c r="CX1015" s="17"/>
    </row>
    <row r="1016" spans="4:102" x14ac:dyDescent="0.25"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43"/>
      <c r="Q1016" s="11"/>
      <c r="R1016" s="11"/>
      <c r="S1016" s="11"/>
      <c r="T1016" s="11"/>
      <c r="U1016" s="11"/>
      <c r="V1016" s="11"/>
      <c r="W1016" s="11"/>
      <c r="X1016" s="12"/>
      <c r="Y1016" s="12"/>
      <c r="Z1016" s="12"/>
      <c r="AA1016" s="44"/>
      <c r="AB1016" s="45"/>
      <c r="AC1016" s="12"/>
      <c r="AD1016" s="12"/>
      <c r="AE1016" s="12"/>
      <c r="AF1016" s="12"/>
      <c r="AG1016" s="44"/>
      <c r="AH1016" s="45"/>
      <c r="AI1016" s="12"/>
      <c r="AJ1016" s="12"/>
      <c r="AK1016" s="12"/>
      <c r="AL1016" s="12"/>
      <c r="AM1016" s="44"/>
      <c r="AN1016" s="45"/>
      <c r="AO1016" s="12"/>
      <c r="AP1016" s="12"/>
      <c r="AQ1016" s="12"/>
      <c r="AR1016" s="12"/>
      <c r="AS1016" s="44"/>
      <c r="AT1016" s="45"/>
      <c r="AU1016" s="12"/>
      <c r="AV1016" s="12"/>
      <c r="AW1016" s="12"/>
      <c r="AX1016" s="12"/>
      <c r="AY1016" s="44"/>
      <c r="AZ1016" s="45"/>
      <c r="BA1016" s="12"/>
      <c r="BB1016" s="12"/>
      <c r="BC1016" s="12"/>
      <c r="BD1016" s="12"/>
      <c r="BE1016" s="44"/>
      <c r="BF1016" s="45"/>
      <c r="BG1016" s="12"/>
      <c r="BH1016" s="12"/>
      <c r="BI1016" s="12"/>
      <c r="BJ1016" s="12"/>
      <c r="BK1016" s="44"/>
      <c r="BL1016" s="45"/>
      <c r="BM1016" s="12"/>
      <c r="BN1016" s="12"/>
      <c r="BO1016" s="12"/>
      <c r="BP1016" s="12"/>
      <c r="BQ1016" s="48"/>
      <c r="BR1016" s="49"/>
      <c r="BS1016" s="13"/>
      <c r="BT1016" s="12"/>
      <c r="BV1016" s="14"/>
      <c r="BW1016" s="50"/>
      <c r="BX1016" s="54"/>
      <c r="BY1016" s="14"/>
      <c r="BZ1016" s="14"/>
      <c r="CA1016" s="14"/>
      <c r="CB1016" s="14"/>
      <c r="CC1016" s="14"/>
      <c r="CD1016" s="14"/>
      <c r="CE1016" s="14"/>
      <c r="CF1016" s="15"/>
      <c r="CG1016" s="14"/>
      <c r="CH1016" s="14"/>
      <c r="CI1016" s="50"/>
      <c r="CJ1016" s="54"/>
      <c r="CK1016" s="14"/>
      <c r="CL1016" s="14"/>
      <c r="CM1016" s="14"/>
      <c r="CN1016" s="14"/>
      <c r="CO1016" s="14"/>
      <c r="CP1016" s="14"/>
      <c r="CQ1016" s="14"/>
      <c r="CR1016" s="14"/>
      <c r="CS1016" s="14"/>
      <c r="CT1016" s="14"/>
      <c r="CU1016" s="16"/>
      <c r="CV1016" s="14"/>
      <c r="CW1016" s="50"/>
      <c r="CX1016" s="17"/>
    </row>
    <row r="1017" spans="4:102" x14ac:dyDescent="0.25"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43"/>
      <c r="Q1017" s="11"/>
      <c r="R1017" s="11"/>
      <c r="S1017" s="11"/>
      <c r="T1017" s="11"/>
      <c r="U1017" s="11"/>
      <c r="V1017" s="11"/>
      <c r="W1017" s="11"/>
      <c r="X1017" s="12"/>
      <c r="Y1017" s="12"/>
      <c r="Z1017" s="12"/>
      <c r="AA1017" s="44"/>
      <c r="AB1017" s="45"/>
      <c r="AC1017" s="12"/>
      <c r="AD1017" s="12"/>
      <c r="AE1017" s="12"/>
      <c r="AF1017" s="12"/>
      <c r="AG1017" s="44"/>
      <c r="AH1017" s="45"/>
      <c r="AI1017" s="12"/>
      <c r="AJ1017" s="12"/>
      <c r="AK1017" s="12"/>
      <c r="AL1017" s="12"/>
      <c r="AM1017" s="44"/>
      <c r="AN1017" s="45"/>
      <c r="AO1017" s="12"/>
      <c r="AP1017" s="12"/>
      <c r="AQ1017" s="12"/>
      <c r="AR1017" s="12"/>
      <c r="AS1017" s="44"/>
      <c r="AT1017" s="45"/>
      <c r="AU1017" s="12"/>
      <c r="AV1017" s="12"/>
      <c r="AW1017" s="12"/>
      <c r="AX1017" s="12"/>
      <c r="AY1017" s="44"/>
      <c r="AZ1017" s="45"/>
      <c r="BA1017" s="12"/>
      <c r="BB1017" s="12"/>
      <c r="BC1017" s="12"/>
      <c r="BD1017" s="12"/>
      <c r="BE1017" s="44"/>
      <c r="BF1017" s="45"/>
      <c r="BG1017" s="12"/>
      <c r="BH1017" s="12"/>
      <c r="BI1017" s="12"/>
      <c r="BJ1017" s="12"/>
      <c r="BK1017" s="44"/>
      <c r="BL1017" s="45"/>
      <c r="BM1017" s="12"/>
      <c r="BN1017" s="12"/>
      <c r="BO1017" s="12"/>
      <c r="BP1017" s="12"/>
      <c r="BQ1017" s="48"/>
      <c r="BR1017" s="49"/>
      <c r="BS1017" s="13"/>
      <c r="BT1017" s="12"/>
      <c r="BV1017" s="14"/>
      <c r="BW1017" s="50"/>
      <c r="BX1017" s="54"/>
      <c r="BY1017" s="14"/>
      <c r="BZ1017" s="14"/>
      <c r="CA1017" s="14"/>
      <c r="CB1017" s="14"/>
      <c r="CC1017" s="14"/>
      <c r="CD1017" s="14"/>
      <c r="CE1017" s="14"/>
      <c r="CF1017" s="15"/>
      <c r="CG1017" s="14"/>
      <c r="CH1017" s="14"/>
      <c r="CI1017" s="50"/>
      <c r="CJ1017" s="54"/>
      <c r="CK1017" s="14"/>
      <c r="CL1017" s="14"/>
      <c r="CM1017" s="14"/>
      <c r="CN1017" s="14"/>
      <c r="CO1017" s="14"/>
      <c r="CP1017" s="14"/>
      <c r="CQ1017" s="14"/>
      <c r="CR1017" s="14"/>
      <c r="CS1017" s="14"/>
      <c r="CT1017" s="14"/>
      <c r="CU1017" s="16"/>
      <c r="CV1017" s="14"/>
      <c r="CW1017" s="50"/>
      <c r="CX1017" s="17"/>
    </row>
    <row r="1018" spans="4:102" x14ac:dyDescent="0.25"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43"/>
      <c r="Q1018" s="11"/>
      <c r="R1018" s="11"/>
      <c r="S1018" s="11"/>
      <c r="T1018" s="11"/>
      <c r="U1018" s="11"/>
      <c r="V1018" s="11"/>
      <c r="W1018" s="11"/>
      <c r="X1018" s="12"/>
      <c r="Y1018" s="12"/>
      <c r="Z1018" s="12"/>
      <c r="AA1018" s="44"/>
      <c r="AB1018" s="45"/>
      <c r="AC1018" s="12"/>
      <c r="AD1018" s="12"/>
      <c r="AE1018" s="12"/>
      <c r="AF1018" s="12"/>
      <c r="AG1018" s="44"/>
      <c r="AH1018" s="45"/>
      <c r="AI1018" s="12"/>
      <c r="AJ1018" s="12"/>
      <c r="AK1018" s="12"/>
      <c r="AL1018" s="12"/>
      <c r="AM1018" s="44"/>
      <c r="AN1018" s="45"/>
      <c r="AO1018" s="12"/>
      <c r="AP1018" s="12"/>
      <c r="AQ1018" s="12"/>
      <c r="AR1018" s="12"/>
      <c r="AS1018" s="44"/>
      <c r="AT1018" s="45"/>
      <c r="AU1018" s="12"/>
      <c r="AV1018" s="12"/>
      <c r="AW1018" s="12"/>
      <c r="AX1018" s="12"/>
      <c r="AY1018" s="44"/>
      <c r="AZ1018" s="45"/>
      <c r="BA1018" s="12"/>
      <c r="BB1018" s="12"/>
      <c r="BC1018" s="12"/>
      <c r="BD1018" s="12"/>
      <c r="BE1018" s="44"/>
      <c r="BF1018" s="45"/>
      <c r="BG1018" s="12"/>
      <c r="BH1018" s="12"/>
      <c r="BI1018" s="12"/>
      <c r="BJ1018" s="12"/>
      <c r="BK1018" s="44"/>
      <c r="BL1018" s="45"/>
      <c r="BM1018" s="12"/>
      <c r="BN1018" s="12"/>
      <c r="BO1018" s="12"/>
      <c r="BP1018" s="12"/>
      <c r="BQ1018" s="48"/>
      <c r="BR1018" s="49"/>
      <c r="BS1018" s="13"/>
      <c r="BT1018" s="12"/>
      <c r="BV1018" s="14"/>
      <c r="BW1018" s="50"/>
      <c r="BX1018" s="54"/>
      <c r="BY1018" s="14"/>
      <c r="BZ1018" s="14"/>
      <c r="CA1018" s="14"/>
      <c r="CB1018" s="14"/>
      <c r="CC1018" s="14"/>
      <c r="CD1018" s="14"/>
      <c r="CE1018" s="14"/>
      <c r="CF1018" s="15"/>
      <c r="CG1018" s="14"/>
      <c r="CH1018" s="14"/>
      <c r="CI1018" s="50"/>
      <c r="CJ1018" s="54"/>
      <c r="CK1018" s="14"/>
      <c r="CL1018" s="14"/>
      <c r="CM1018" s="14"/>
      <c r="CN1018" s="14"/>
      <c r="CO1018" s="14"/>
      <c r="CP1018" s="14"/>
      <c r="CQ1018" s="14"/>
      <c r="CR1018" s="14"/>
      <c r="CS1018" s="14"/>
      <c r="CT1018" s="14"/>
      <c r="CU1018" s="16"/>
      <c r="CV1018" s="14"/>
      <c r="CW1018" s="50"/>
      <c r="CX1018" s="17"/>
    </row>
    <row r="1019" spans="4:102" x14ac:dyDescent="0.25"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43"/>
      <c r="Q1019" s="11"/>
      <c r="R1019" s="11"/>
      <c r="S1019" s="11"/>
      <c r="T1019" s="11"/>
      <c r="U1019" s="11"/>
      <c r="V1019" s="11"/>
      <c r="W1019" s="11"/>
      <c r="X1019" s="12"/>
      <c r="Y1019" s="12"/>
      <c r="Z1019" s="12"/>
      <c r="AA1019" s="44"/>
      <c r="AB1019" s="45"/>
      <c r="AC1019" s="12"/>
      <c r="AD1019" s="12"/>
      <c r="AE1019" s="12"/>
      <c r="AF1019" s="12"/>
      <c r="AG1019" s="44"/>
      <c r="AH1019" s="45"/>
      <c r="AI1019" s="12"/>
      <c r="AJ1019" s="12"/>
      <c r="AK1019" s="12"/>
      <c r="AL1019" s="12"/>
      <c r="AM1019" s="44"/>
      <c r="AN1019" s="45"/>
      <c r="AO1019" s="12"/>
      <c r="AP1019" s="12"/>
      <c r="AQ1019" s="12"/>
      <c r="AR1019" s="12"/>
      <c r="AS1019" s="44"/>
      <c r="AT1019" s="45"/>
      <c r="AU1019" s="12"/>
      <c r="AV1019" s="12"/>
      <c r="AW1019" s="12"/>
      <c r="AX1019" s="12"/>
      <c r="AY1019" s="44"/>
      <c r="AZ1019" s="45"/>
      <c r="BA1019" s="12"/>
      <c r="BB1019" s="12"/>
      <c r="BC1019" s="12"/>
      <c r="BD1019" s="12"/>
      <c r="BE1019" s="44"/>
      <c r="BF1019" s="45"/>
      <c r="BG1019" s="12"/>
      <c r="BH1019" s="12"/>
      <c r="BI1019" s="12"/>
      <c r="BJ1019" s="12"/>
      <c r="BK1019" s="44"/>
      <c r="BL1019" s="45"/>
      <c r="BM1019" s="12"/>
      <c r="BN1019" s="12"/>
      <c r="BO1019" s="12"/>
      <c r="BP1019" s="12"/>
      <c r="BQ1019" s="48"/>
      <c r="BR1019" s="49"/>
      <c r="BS1019" s="13"/>
      <c r="BT1019" s="12"/>
      <c r="BV1019" s="14"/>
      <c r="BW1019" s="50"/>
      <c r="BX1019" s="54"/>
      <c r="BY1019" s="14"/>
      <c r="BZ1019" s="14"/>
      <c r="CA1019" s="14"/>
      <c r="CB1019" s="14"/>
      <c r="CC1019" s="14"/>
      <c r="CD1019" s="14"/>
      <c r="CE1019" s="14"/>
      <c r="CF1019" s="15"/>
      <c r="CG1019" s="14"/>
      <c r="CH1019" s="14"/>
      <c r="CI1019" s="50"/>
      <c r="CJ1019" s="54"/>
      <c r="CK1019" s="14"/>
      <c r="CL1019" s="14"/>
      <c r="CM1019" s="14"/>
      <c r="CN1019" s="14"/>
      <c r="CO1019" s="14"/>
      <c r="CP1019" s="14"/>
      <c r="CQ1019" s="14"/>
      <c r="CR1019" s="14"/>
      <c r="CS1019" s="14"/>
      <c r="CT1019" s="14"/>
      <c r="CU1019" s="16"/>
      <c r="CV1019" s="14"/>
      <c r="CW1019" s="50"/>
      <c r="CX1019" s="17"/>
    </row>
    <row r="1020" spans="4:102" x14ac:dyDescent="0.25"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43"/>
      <c r="Q1020" s="11"/>
      <c r="R1020" s="11"/>
      <c r="S1020" s="11"/>
      <c r="T1020" s="11"/>
      <c r="U1020" s="11"/>
      <c r="V1020" s="11"/>
      <c r="W1020" s="11"/>
      <c r="X1020" s="12"/>
      <c r="Y1020" s="12"/>
      <c r="Z1020" s="12"/>
      <c r="AA1020" s="44"/>
      <c r="AB1020" s="45"/>
      <c r="AC1020" s="12"/>
      <c r="AD1020" s="12"/>
      <c r="AE1020" s="12"/>
      <c r="AF1020" s="12"/>
      <c r="AG1020" s="44"/>
      <c r="AH1020" s="45"/>
      <c r="AI1020" s="12"/>
      <c r="AJ1020" s="12"/>
      <c r="AK1020" s="12"/>
      <c r="AL1020" s="12"/>
      <c r="AM1020" s="44"/>
      <c r="AN1020" s="45"/>
      <c r="AO1020" s="12"/>
      <c r="AP1020" s="12"/>
      <c r="AQ1020" s="12"/>
      <c r="AR1020" s="12"/>
      <c r="AS1020" s="44"/>
      <c r="AT1020" s="45"/>
      <c r="AU1020" s="12"/>
      <c r="AV1020" s="12"/>
      <c r="AW1020" s="12"/>
      <c r="AX1020" s="12"/>
      <c r="AY1020" s="44"/>
      <c r="AZ1020" s="45"/>
      <c r="BA1020" s="12"/>
      <c r="BB1020" s="12"/>
      <c r="BC1020" s="12"/>
      <c r="BD1020" s="12"/>
      <c r="BE1020" s="44"/>
      <c r="BF1020" s="45"/>
      <c r="BG1020" s="12"/>
      <c r="BH1020" s="12"/>
      <c r="BI1020" s="12"/>
      <c r="BJ1020" s="12"/>
      <c r="BK1020" s="44"/>
      <c r="BL1020" s="45"/>
      <c r="BM1020" s="12"/>
      <c r="BN1020" s="12"/>
      <c r="BO1020" s="12"/>
      <c r="BP1020" s="12"/>
      <c r="BQ1020" s="48"/>
      <c r="BR1020" s="49"/>
      <c r="BS1020" s="13"/>
      <c r="BT1020" s="12"/>
      <c r="BV1020" s="14"/>
      <c r="BW1020" s="50"/>
      <c r="BX1020" s="54"/>
      <c r="BY1020" s="14"/>
      <c r="BZ1020" s="14"/>
      <c r="CA1020" s="14"/>
      <c r="CB1020" s="14"/>
      <c r="CC1020" s="14"/>
      <c r="CD1020" s="14"/>
      <c r="CE1020" s="14"/>
      <c r="CF1020" s="15"/>
      <c r="CG1020" s="14"/>
      <c r="CH1020" s="14"/>
      <c r="CI1020" s="50"/>
      <c r="CJ1020" s="54"/>
      <c r="CK1020" s="14"/>
      <c r="CL1020" s="14"/>
      <c r="CM1020" s="14"/>
      <c r="CN1020" s="14"/>
      <c r="CO1020" s="14"/>
      <c r="CP1020" s="14"/>
      <c r="CQ1020" s="14"/>
      <c r="CR1020" s="14"/>
      <c r="CS1020" s="14"/>
      <c r="CT1020" s="14"/>
      <c r="CU1020" s="16"/>
      <c r="CV1020" s="14"/>
      <c r="CW1020" s="50"/>
      <c r="CX1020" s="17"/>
    </row>
    <row r="1021" spans="4:102" x14ac:dyDescent="0.25"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43"/>
      <c r="Q1021" s="11"/>
      <c r="R1021" s="11"/>
      <c r="S1021" s="11"/>
      <c r="T1021" s="11"/>
      <c r="U1021" s="11"/>
      <c r="V1021" s="11"/>
      <c r="W1021" s="11"/>
      <c r="X1021" s="12"/>
      <c r="Y1021" s="12"/>
      <c r="Z1021" s="12"/>
      <c r="AA1021" s="44"/>
      <c r="AB1021" s="45"/>
      <c r="AC1021" s="12"/>
      <c r="AD1021" s="12"/>
      <c r="AE1021" s="12"/>
      <c r="AF1021" s="12"/>
      <c r="AG1021" s="44"/>
      <c r="AH1021" s="45"/>
      <c r="AI1021" s="12"/>
      <c r="AJ1021" s="12"/>
      <c r="AK1021" s="12"/>
      <c r="AL1021" s="12"/>
      <c r="AM1021" s="44"/>
      <c r="AN1021" s="45"/>
      <c r="AO1021" s="12"/>
      <c r="AP1021" s="12"/>
      <c r="AQ1021" s="12"/>
      <c r="AR1021" s="12"/>
      <c r="AS1021" s="44"/>
      <c r="AT1021" s="45"/>
      <c r="AU1021" s="12"/>
      <c r="AV1021" s="12"/>
      <c r="AW1021" s="12"/>
      <c r="AX1021" s="12"/>
      <c r="AY1021" s="44"/>
      <c r="AZ1021" s="45"/>
      <c r="BA1021" s="12"/>
      <c r="BB1021" s="12"/>
      <c r="BC1021" s="12"/>
      <c r="BD1021" s="12"/>
      <c r="BE1021" s="44"/>
      <c r="BF1021" s="45"/>
      <c r="BG1021" s="12"/>
      <c r="BH1021" s="12"/>
      <c r="BI1021" s="12"/>
      <c r="BJ1021" s="12"/>
      <c r="BK1021" s="44"/>
      <c r="BL1021" s="45"/>
      <c r="BM1021" s="12"/>
      <c r="BN1021" s="12"/>
      <c r="BO1021" s="12"/>
      <c r="BP1021" s="12"/>
      <c r="BQ1021" s="48"/>
      <c r="BR1021" s="49"/>
      <c r="BS1021" s="13"/>
      <c r="BT1021" s="12"/>
      <c r="BV1021" s="14"/>
      <c r="BW1021" s="50"/>
      <c r="BX1021" s="54"/>
      <c r="BY1021" s="14"/>
      <c r="BZ1021" s="14"/>
      <c r="CA1021" s="14"/>
      <c r="CB1021" s="14"/>
      <c r="CC1021" s="14"/>
      <c r="CD1021" s="14"/>
      <c r="CE1021" s="14"/>
      <c r="CF1021" s="15"/>
      <c r="CG1021" s="14"/>
      <c r="CH1021" s="14"/>
      <c r="CI1021" s="50"/>
      <c r="CJ1021" s="54"/>
      <c r="CK1021" s="14"/>
      <c r="CL1021" s="14"/>
      <c r="CM1021" s="14"/>
      <c r="CN1021" s="14"/>
      <c r="CO1021" s="14"/>
      <c r="CP1021" s="14"/>
      <c r="CQ1021" s="14"/>
      <c r="CR1021" s="14"/>
      <c r="CS1021" s="14"/>
      <c r="CT1021" s="14"/>
      <c r="CU1021" s="16"/>
      <c r="CV1021" s="14"/>
      <c r="CW1021" s="50"/>
      <c r="CX1021" s="17"/>
    </row>
    <row r="1022" spans="4:102" x14ac:dyDescent="0.25"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43"/>
      <c r="Q1022" s="11"/>
      <c r="R1022" s="11"/>
      <c r="S1022" s="11"/>
      <c r="T1022" s="11"/>
      <c r="U1022" s="11"/>
      <c r="V1022" s="11"/>
      <c r="W1022" s="11"/>
      <c r="X1022" s="12"/>
      <c r="Y1022" s="12"/>
      <c r="Z1022" s="12"/>
      <c r="AA1022" s="44"/>
      <c r="AB1022" s="45"/>
      <c r="AC1022" s="12"/>
      <c r="AD1022" s="12"/>
      <c r="AE1022" s="12"/>
      <c r="AF1022" s="12"/>
      <c r="AG1022" s="44"/>
      <c r="AH1022" s="45"/>
      <c r="AI1022" s="12"/>
      <c r="AJ1022" s="12"/>
      <c r="AK1022" s="12"/>
      <c r="AL1022" s="12"/>
      <c r="AM1022" s="44"/>
      <c r="AN1022" s="45"/>
      <c r="AO1022" s="12"/>
      <c r="AP1022" s="12"/>
      <c r="AQ1022" s="12"/>
      <c r="AR1022" s="12"/>
      <c r="AS1022" s="44"/>
      <c r="AT1022" s="45"/>
      <c r="AU1022" s="12"/>
      <c r="AV1022" s="12"/>
      <c r="AW1022" s="12"/>
      <c r="AX1022" s="12"/>
      <c r="AY1022" s="44"/>
      <c r="AZ1022" s="45"/>
      <c r="BA1022" s="12"/>
      <c r="BB1022" s="12"/>
      <c r="BC1022" s="12"/>
      <c r="BD1022" s="12"/>
      <c r="BE1022" s="44"/>
      <c r="BF1022" s="45"/>
      <c r="BG1022" s="12"/>
      <c r="BH1022" s="12"/>
      <c r="BI1022" s="12"/>
      <c r="BJ1022" s="12"/>
      <c r="BK1022" s="44"/>
      <c r="BL1022" s="45"/>
      <c r="BM1022" s="12"/>
      <c r="BN1022" s="12"/>
      <c r="BO1022" s="12"/>
      <c r="BP1022" s="12"/>
      <c r="BQ1022" s="48"/>
      <c r="BR1022" s="49"/>
      <c r="BS1022" s="13"/>
      <c r="BT1022" s="12"/>
      <c r="BV1022" s="14"/>
      <c r="BW1022" s="50"/>
      <c r="BX1022" s="54"/>
      <c r="BY1022" s="14"/>
      <c r="BZ1022" s="14"/>
      <c r="CA1022" s="14"/>
      <c r="CB1022" s="14"/>
      <c r="CC1022" s="14"/>
      <c r="CD1022" s="14"/>
      <c r="CE1022" s="14"/>
      <c r="CF1022" s="15"/>
      <c r="CG1022" s="14"/>
      <c r="CH1022" s="14"/>
      <c r="CI1022" s="50"/>
      <c r="CJ1022" s="54"/>
      <c r="CK1022" s="14"/>
      <c r="CL1022" s="14"/>
      <c r="CM1022" s="14"/>
      <c r="CN1022" s="14"/>
      <c r="CO1022" s="14"/>
      <c r="CP1022" s="14"/>
      <c r="CQ1022" s="14"/>
      <c r="CR1022" s="14"/>
      <c r="CS1022" s="14"/>
      <c r="CT1022" s="14"/>
      <c r="CU1022" s="16"/>
      <c r="CV1022" s="14"/>
      <c r="CW1022" s="50"/>
      <c r="CX1022" s="17"/>
    </row>
    <row r="1023" spans="4:102" x14ac:dyDescent="0.25"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43"/>
      <c r="Q1023" s="11"/>
      <c r="R1023" s="11"/>
      <c r="S1023" s="11"/>
      <c r="T1023" s="11"/>
      <c r="U1023" s="11"/>
      <c r="V1023" s="11"/>
      <c r="W1023" s="11"/>
      <c r="X1023" s="12"/>
      <c r="Y1023" s="12"/>
      <c r="Z1023" s="12"/>
      <c r="AA1023" s="44"/>
      <c r="AB1023" s="45"/>
      <c r="AC1023" s="12"/>
      <c r="AD1023" s="12"/>
      <c r="AE1023" s="12"/>
      <c r="AF1023" s="12"/>
      <c r="AG1023" s="44"/>
      <c r="AH1023" s="45"/>
      <c r="AI1023" s="12"/>
      <c r="AJ1023" s="12"/>
      <c r="AK1023" s="12"/>
      <c r="AL1023" s="12"/>
      <c r="AM1023" s="44"/>
      <c r="AN1023" s="45"/>
      <c r="AO1023" s="12"/>
      <c r="AP1023" s="12"/>
      <c r="AQ1023" s="12"/>
      <c r="AR1023" s="12"/>
      <c r="AS1023" s="44"/>
      <c r="AT1023" s="45"/>
      <c r="AU1023" s="12"/>
      <c r="AV1023" s="12"/>
      <c r="AW1023" s="12"/>
      <c r="AX1023" s="12"/>
      <c r="AY1023" s="44"/>
      <c r="AZ1023" s="45"/>
      <c r="BA1023" s="12"/>
      <c r="BB1023" s="12"/>
      <c r="BC1023" s="12"/>
      <c r="BD1023" s="12"/>
      <c r="BE1023" s="44"/>
      <c r="BF1023" s="45"/>
      <c r="BG1023" s="12"/>
      <c r="BH1023" s="12"/>
      <c r="BI1023" s="12"/>
      <c r="BJ1023" s="12"/>
      <c r="BK1023" s="44"/>
      <c r="BL1023" s="45"/>
      <c r="BM1023" s="12"/>
      <c r="BN1023" s="12"/>
      <c r="BO1023" s="12"/>
      <c r="BP1023" s="12"/>
      <c r="BQ1023" s="48"/>
      <c r="BR1023" s="49"/>
      <c r="BS1023" s="13"/>
      <c r="BT1023" s="12"/>
      <c r="BV1023" s="14"/>
      <c r="BW1023" s="50"/>
      <c r="BX1023" s="54"/>
      <c r="BY1023" s="14"/>
      <c r="BZ1023" s="14"/>
      <c r="CA1023" s="14"/>
      <c r="CB1023" s="14"/>
      <c r="CC1023" s="14"/>
      <c r="CD1023" s="14"/>
      <c r="CE1023" s="14"/>
      <c r="CF1023" s="15"/>
      <c r="CG1023" s="14"/>
      <c r="CH1023" s="14"/>
      <c r="CI1023" s="50"/>
      <c r="CJ1023" s="54"/>
      <c r="CK1023" s="14"/>
      <c r="CL1023" s="14"/>
      <c r="CM1023" s="14"/>
      <c r="CN1023" s="14"/>
      <c r="CO1023" s="14"/>
      <c r="CP1023" s="14"/>
      <c r="CQ1023" s="14"/>
      <c r="CR1023" s="14"/>
      <c r="CS1023" s="14"/>
      <c r="CT1023" s="14"/>
      <c r="CU1023" s="16"/>
      <c r="CV1023" s="14"/>
      <c r="CW1023" s="50"/>
      <c r="CX1023" s="17"/>
    </row>
    <row r="1024" spans="4:102" x14ac:dyDescent="0.25"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43"/>
      <c r="Q1024" s="11"/>
      <c r="R1024" s="11"/>
      <c r="S1024" s="11"/>
      <c r="T1024" s="11"/>
      <c r="U1024" s="11"/>
      <c r="V1024" s="11"/>
      <c r="W1024" s="11"/>
      <c r="X1024" s="12"/>
      <c r="Y1024" s="12"/>
      <c r="Z1024" s="12"/>
      <c r="AA1024" s="44"/>
      <c r="AB1024" s="45"/>
      <c r="AC1024" s="12"/>
      <c r="AD1024" s="12"/>
      <c r="AE1024" s="12"/>
      <c r="AF1024" s="12"/>
      <c r="AG1024" s="44"/>
      <c r="AH1024" s="45"/>
      <c r="AI1024" s="12"/>
      <c r="AJ1024" s="12"/>
      <c r="AK1024" s="12"/>
      <c r="AL1024" s="12"/>
      <c r="AM1024" s="44"/>
      <c r="AN1024" s="45"/>
      <c r="AO1024" s="12"/>
      <c r="AP1024" s="12"/>
      <c r="AQ1024" s="12"/>
      <c r="AR1024" s="12"/>
      <c r="AS1024" s="44"/>
      <c r="AT1024" s="45"/>
      <c r="AU1024" s="12"/>
      <c r="AV1024" s="12"/>
      <c r="AW1024" s="12"/>
      <c r="AX1024" s="12"/>
      <c r="AY1024" s="44"/>
      <c r="AZ1024" s="45"/>
      <c r="BA1024" s="12"/>
      <c r="BB1024" s="12"/>
      <c r="BC1024" s="12"/>
      <c r="BD1024" s="12"/>
      <c r="BE1024" s="44"/>
      <c r="BF1024" s="45"/>
      <c r="BG1024" s="12"/>
      <c r="BH1024" s="12"/>
      <c r="BI1024" s="12"/>
      <c r="BJ1024" s="12"/>
      <c r="BK1024" s="44"/>
      <c r="BL1024" s="45"/>
      <c r="BM1024" s="12"/>
      <c r="BN1024" s="12"/>
      <c r="BO1024" s="12"/>
      <c r="BP1024" s="12"/>
      <c r="BQ1024" s="48"/>
      <c r="BR1024" s="49"/>
      <c r="BS1024" s="13"/>
      <c r="BT1024" s="12"/>
      <c r="BV1024" s="14"/>
      <c r="BW1024" s="50"/>
      <c r="BX1024" s="54"/>
      <c r="BY1024" s="14"/>
      <c r="BZ1024" s="14"/>
      <c r="CA1024" s="14"/>
      <c r="CB1024" s="14"/>
      <c r="CC1024" s="14"/>
      <c r="CD1024" s="14"/>
      <c r="CE1024" s="14"/>
      <c r="CF1024" s="15"/>
      <c r="CG1024" s="14"/>
      <c r="CH1024" s="14"/>
      <c r="CI1024" s="50"/>
      <c r="CJ1024" s="54"/>
      <c r="CK1024" s="14"/>
      <c r="CL1024" s="14"/>
      <c r="CM1024" s="14"/>
      <c r="CN1024" s="14"/>
      <c r="CO1024" s="14"/>
      <c r="CP1024" s="14"/>
      <c r="CQ1024" s="14"/>
      <c r="CR1024" s="14"/>
      <c r="CS1024" s="14"/>
      <c r="CT1024" s="14"/>
      <c r="CU1024" s="16"/>
      <c r="CV1024" s="14"/>
      <c r="CW1024" s="50"/>
      <c r="CX1024" s="17"/>
    </row>
    <row r="1025" spans="4:102" x14ac:dyDescent="0.25"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43"/>
      <c r="Q1025" s="11"/>
      <c r="R1025" s="11"/>
      <c r="S1025" s="11"/>
      <c r="T1025" s="11"/>
      <c r="U1025" s="11"/>
      <c r="V1025" s="11"/>
      <c r="W1025" s="11"/>
      <c r="X1025" s="12"/>
      <c r="Y1025" s="12"/>
      <c r="Z1025" s="12"/>
      <c r="AA1025" s="44"/>
      <c r="AB1025" s="45"/>
      <c r="AC1025" s="12"/>
      <c r="AD1025" s="12"/>
      <c r="AE1025" s="12"/>
      <c r="AF1025" s="12"/>
      <c r="AG1025" s="44"/>
      <c r="AH1025" s="45"/>
      <c r="AI1025" s="12"/>
      <c r="AJ1025" s="12"/>
      <c r="AK1025" s="12"/>
      <c r="AL1025" s="12"/>
      <c r="AM1025" s="44"/>
      <c r="AN1025" s="45"/>
      <c r="AO1025" s="12"/>
      <c r="AP1025" s="12"/>
      <c r="AQ1025" s="12"/>
      <c r="AR1025" s="12"/>
      <c r="AS1025" s="44"/>
      <c r="AT1025" s="45"/>
      <c r="AU1025" s="12"/>
      <c r="AV1025" s="12"/>
      <c r="AW1025" s="12"/>
      <c r="AX1025" s="12"/>
      <c r="AY1025" s="44"/>
      <c r="AZ1025" s="45"/>
      <c r="BA1025" s="12"/>
      <c r="BB1025" s="12"/>
      <c r="BC1025" s="12"/>
      <c r="BD1025" s="12"/>
      <c r="BE1025" s="44"/>
      <c r="BF1025" s="45"/>
      <c r="BG1025" s="12"/>
      <c r="BH1025" s="12"/>
      <c r="BI1025" s="12"/>
      <c r="BJ1025" s="12"/>
      <c r="BK1025" s="44"/>
      <c r="BL1025" s="45"/>
      <c r="BM1025" s="12"/>
      <c r="BN1025" s="12"/>
      <c r="BO1025" s="12"/>
      <c r="BP1025" s="12"/>
      <c r="BQ1025" s="48"/>
      <c r="BR1025" s="49"/>
      <c r="BS1025" s="13"/>
      <c r="BT1025" s="12"/>
      <c r="BV1025" s="14"/>
      <c r="BW1025" s="50"/>
      <c r="BX1025" s="54"/>
      <c r="BY1025" s="14"/>
      <c r="BZ1025" s="14"/>
      <c r="CA1025" s="14"/>
      <c r="CB1025" s="14"/>
      <c r="CC1025" s="14"/>
      <c r="CD1025" s="14"/>
      <c r="CE1025" s="14"/>
      <c r="CF1025" s="15"/>
      <c r="CG1025" s="14"/>
      <c r="CH1025" s="14"/>
      <c r="CI1025" s="50"/>
      <c r="CJ1025" s="54"/>
      <c r="CK1025" s="14"/>
      <c r="CL1025" s="14"/>
      <c r="CM1025" s="14"/>
      <c r="CN1025" s="14"/>
      <c r="CO1025" s="14"/>
      <c r="CP1025" s="14"/>
      <c r="CQ1025" s="14"/>
      <c r="CR1025" s="14"/>
      <c r="CS1025" s="14"/>
      <c r="CT1025" s="14"/>
      <c r="CU1025" s="16"/>
      <c r="CV1025" s="14"/>
      <c r="CW1025" s="50"/>
      <c r="CX1025" s="17"/>
    </row>
    <row r="1026" spans="4:102" x14ac:dyDescent="0.25"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43"/>
      <c r="Q1026" s="11"/>
      <c r="R1026" s="11"/>
      <c r="S1026" s="11"/>
      <c r="T1026" s="11"/>
      <c r="U1026" s="11"/>
      <c r="V1026" s="11"/>
      <c r="W1026" s="11"/>
      <c r="X1026" s="12"/>
      <c r="Y1026" s="12"/>
      <c r="Z1026" s="12"/>
      <c r="AA1026" s="44"/>
      <c r="AB1026" s="45"/>
      <c r="AC1026" s="12"/>
      <c r="AD1026" s="12"/>
      <c r="AE1026" s="12"/>
      <c r="AF1026" s="12"/>
      <c r="AG1026" s="44"/>
      <c r="AH1026" s="45"/>
      <c r="AI1026" s="12"/>
      <c r="AJ1026" s="12"/>
      <c r="AK1026" s="12"/>
      <c r="AL1026" s="12"/>
      <c r="AM1026" s="44"/>
      <c r="AN1026" s="45"/>
      <c r="AO1026" s="12"/>
      <c r="AP1026" s="12"/>
      <c r="AQ1026" s="12"/>
      <c r="AR1026" s="12"/>
      <c r="AS1026" s="44"/>
      <c r="AT1026" s="45"/>
      <c r="AU1026" s="12"/>
      <c r="AV1026" s="12"/>
      <c r="AW1026" s="12"/>
      <c r="AX1026" s="12"/>
      <c r="AY1026" s="44"/>
      <c r="AZ1026" s="45"/>
      <c r="BA1026" s="12"/>
      <c r="BB1026" s="12"/>
      <c r="BC1026" s="12"/>
      <c r="BD1026" s="12"/>
      <c r="BE1026" s="44"/>
      <c r="BF1026" s="45"/>
      <c r="BG1026" s="12"/>
      <c r="BH1026" s="12"/>
      <c r="BI1026" s="12"/>
      <c r="BJ1026" s="12"/>
      <c r="BK1026" s="44"/>
      <c r="BL1026" s="45"/>
      <c r="BM1026" s="12"/>
      <c r="BN1026" s="12"/>
      <c r="BO1026" s="12"/>
      <c r="BP1026" s="12"/>
      <c r="BQ1026" s="48"/>
      <c r="BR1026" s="49"/>
      <c r="BS1026" s="13"/>
      <c r="BT1026" s="12"/>
      <c r="BV1026" s="14"/>
      <c r="BW1026" s="50"/>
      <c r="BX1026" s="54"/>
      <c r="BY1026" s="14"/>
      <c r="BZ1026" s="14"/>
      <c r="CA1026" s="14"/>
      <c r="CB1026" s="14"/>
      <c r="CC1026" s="14"/>
      <c r="CD1026" s="14"/>
      <c r="CE1026" s="14"/>
      <c r="CF1026" s="15"/>
      <c r="CG1026" s="14"/>
      <c r="CH1026" s="14"/>
      <c r="CI1026" s="50"/>
      <c r="CJ1026" s="54"/>
      <c r="CK1026" s="14"/>
      <c r="CL1026" s="14"/>
      <c r="CM1026" s="14"/>
      <c r="CN1026" s="14"/>
      <c r="CO1026" s="14"/>
      <c r="CP1026" s="14"/>
      <c r="CQ1026" s="14"/>
      <c r="CR1026" s="14"/>
      <c r="CS1026" s="14"/>
      <c r="CT1026" s="14"/>
      <c r="CU1026" s="16"/>
      <c r="CV1026" s="14"/>
      <c r="CW1026" s="50"/>
      <c r="CX1026" s="17"/>
    </row>
    <row r="1027" spans="4:102" x14ac:dyDescent="0.25"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43"/>
      <c r="Q1027" s="11"/>
      <c r="R1027" s="11"/>
      <c r="S1027" s="11"/>
      <c r="T1027" s="11"/>
      <c r="U1027" s="11"/>
      <c r="V1027" s="11"/>
      <c r="W1027" s="11"/>
      <c r="X1027" s="12"/>
      <c r="Y1027" s="12"/>
      <c r="Z1027" s="12"/>
      <c r="AA1027" s="44"/>
      <c r="AB1027" s="45"/>
      <c r="AC1027" s="12"/>
      <c r="AD1027" s="12"/>
      <c r="AE1027" s="12"/>
      <c r="AF1027" s="12"/>
      <c r="AG1027" s="44"/>
      <c r="AH1027" s="45"/>
      <c r="AI1027" s="12"/>
      <c r="AJ1027" s="12"/>
      <c r="AK1027" s="12"/>
      <c r="AL1027" s="12"/>
      <c r="AM1027" s="44"/>
      <c r="AN1027" s="45"/>
      <c r="AO1027" s="12"/>
      <c r="AP1027" s="12"/>
      <c r="AQ1027" s="12"/>
      <c r="AR1027" s="12"/>
      <c r="AS1027" s="44"/>
      <c r="AT1027" s="45"/>
      <c r="AU1027" s="12"/>
      <c r="AV1027" s="12"/>
      <c r="AW1027" s="12"/>
      <c r="AX1027" s="12"/>
      <c r="AY1027" s="44"/>
      <c r="AZ1027" s="45"/>
      <c r="BA1027" s="12"/>
      <c r="BB1027" s="12"/>
      <c r="BC1027" s="12"/>
      <c r="BD1027" s="12"/>
      <c r="BE1027" s="44"/>
      <c r="BF1027" s="45"/>
      <c r="BG1027" s="12"/>
      <c r="BH1027" s="12"/>
      <c r="BI1027" s="12"/>
      <c r="BJ1027" s="12"/>
      <c r="BK1027" s="44"/>
      <c r="BL1027" s="45"/>
      <c r="BM1027" s="12"/>
      <c r="BN1027" s="12"/>
      <c r="BO1027" s="12"/>
      <c r="BP1027" s="12"/>
      <c r="BQ1027" s="48"/>
      <c r="BR1027" s="49"/>
      <c r="BS1027" s="13"/>
      <c r="BT1027" s="12"/>
      <c r="BV1027" s="14"/>
      <c r="BW1027" s="50"/>
      <c r="BX1027" s="54"/>
      <c r="BY1027" s="14"/>
      <c r="BZ1027" s="14"/>
      <c r="CA1027" s="14"/>
      <c r="CB1027" s="14"/>
      <c r="CC1027" s="14"/>
      <c r="CD1027" s="14"/>
      <c r="CE1027" s="14"/>
      <c r="CF1027" s="15"/>
      <c r="CG1027" s="14"/>
      <c r="CH1027" s="14"/>
      <c r="CI1027" s="50"/>
      <c r="CJ1027" s="54"/>
      <c r="CK1027" s="14"/>
      <c r="CL1027" s="14"/>
      <c r="CM1027" s="14"/>
      <c r="CN1027" s="14"/>
      <c r="CO1027" s="14"/>
      <c r="CP1027" s="14"/>
      <c r="CQ1027" s="14"/>
      <c r="CR1027" s="14"/>
      <c r="CS1027" s="14"/>
      <c r="CT1027" s="14"/>
      <c r="CU1027" s="16"/>
      <c r="CV1027" s="14"/>
      <c r="CW1027" s="50"/>
      <c r="CX1027" s="17"/>
    </row>
    <row r="1028" spans="4:102" x14ac:dyDescent="0.25"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43"/>
      <c r="Q1028" s="11"/>
      <c r="R1028" s="11"/>
      <c r="S1028" s="11"/>
      <c r="T1028" s="11"/>
      <c r="U1028" s="11"/>
      <c r="V1028" s="11"/>
      <c r="W1028" s="11"/>
      <c r="X1028" s="12"/>
      <c r="Y1028" s="12"/>
      <c r="Z1028" s="12"/>
      <c r="AA1028" s="44"/>
      <c r="AB1028" s="45"/>
      <c r="AC1028" s="12"/>
      <c r="AD1028" s="12"/>
      <c r="AE1028" s="12"/>
      <c r="AF1028" s="12"/>
      <c r="AG1028" s="44"/>
      <c r="AH1028" s="45"/>
      <c r="AI1028" s="12"/>
      <c r="AJ1028" s="12"/>
      <c r="AK1028" s="12"/>
      <c r="AL1028" s="12"/>
      <c r="AM1028" s="44"/>
      <c r="AN1028" s="45"/>
      <c r="AO1028" s="12"/>
      <c r="AP1028" s="12"/>
      <c r="AQ1028" s="12"/>
      <c r="AR1028" s="12"/>
      <c r="AS1028" s="44"/>
      <c r="AT1028" s="45"/>
      <c r="AU1028" s="12"/>
      <c r="AV1028" s="12"/>
      <c r="AW1028" s="12"/>
      <c r="AX1028" s="12"/>
      <c r="AY1028" s="44"/>
      <c r="AZ1028" s="45"/>
      <c r="BA1028" s="12"/>
      <c r="BB1028" s="12"/>
      <c r="BC1028" s="12"/>
      <c r="BD1028" s="12"/>
      <c r="BE1028" s="44"/>
      <c r="BF1028" s="45"/>
      <c r="BG1028" s="12"/>
      <c r="BH1028" s="12"/>
      <c r="BI1028" s="12"/>
      <c r="BJ1028" s="12"/>
      <c r="BK1028" s="44"/>
      <c r="BL1028" s="45"/>
      <c r="BM1028" s="12"/>
      <c r="BN1028" s="12"/>
      <c r="BO1028" s="12"/>
      <c r="BP1028" s="12"/>
      <c r="BQ1028" s="48"/>
      <c r="BR1028" s="49"/>
      <c r="BS1028" s="13"/>
      <c r="BT1028" s="12"/>
      <c r="BV1028" s="14"/>
      <c r="BW1028" s="50"/>
      <c r="BX1028" s="54"/>
      <c r="BY1028" s="14"/>
      <c r="BZ1028" s="14"/>
      <c r="CA1028" s="14"/>
      <c r="CB1028" s="14"/>
      <c r="CC1028" s="14"/>
      <c r="CD1028" s="14"/>
      <c r="CE1028" s="14"/>
      <c r="CF1028" s="15"/>
      <c r="CG1028" s="14"/>
      <c r="CH1028" s="14"/>
      <c r="CI1028" s="50"/>
      <c r="CJ1028" s="54"/>
      <c r="CK1028" s="14"/>
      <c r="CL1028" s="14"/>
      <c r="CM1028" s="14"/>
      <c r="CN1028" s="14"/>
      <c r="CO1028" s="14"/>
      <c r="CP1028" s="14"/>
      <c r="CQ1028" s="14"/>
      <c r="CR1028" s="14"/>
      <c r="CS1028" s="14"/>
      <c r="CT1028" s="14"/>
      <c r="CU1028" s="16"/>
      <c r="CV1028" s="14"/>
      <c r="CW1028" s="50"/>
      <c r="CX1028" s="17"/>
    </row>
    <row r="1029" spans="4:102" x14ac:dyDescent="0.25"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43"/>
      <c r="Q1029" s="11"/>
      <c r="R1029" s="11"/>
      <c r="S1029" s="11"/>
      <c r="T1029" s="11"/>
      <c r="U1029" s="11"/>
      <c r="V1029" s="11"/>
      <c r="W1029" s="11"/>
      <c r="X1029" s="12"/>
      <c r="Y1029" s="12"/>
      <c r="Z1029" s="12"/>
      <c r="AA1029" s="44"/>
      <c r="AB1029" s="45"/>
      <c r="AC1029" s="12"/>
      <c r="AD1029" s="12"/>
      <c r="AE1029" s="12"/>
      <c r="AF1029" s="12"/>
      <c r="AG1029" s="44"/>
      <c r="AH1029" s="45"/>
      <c r="AI1029" s="12"/>
      <c r="AJ1029" s="12"/>
      <c r="AK1029" s="12"/>
      <c r="AL1029" s="12"/>
      <c r="AM1029" s="44"/>
      <c r="AN1029" s="45"/>
      <c r="AO1029" s="12"/>
      <c r="AP1029" s="12"/>
      <c r="AQ1029" s="12"/>
      <c r="AR1029" s="12"/>
      <c r="AS1029" s="44"/>
      <c r="AT1029" s="45"/>
      <c r="AU1029" s="12"/>
      <c r="AV1029" s="12"/>
      <c r="AW1029" s="12"/>
      <c r="AX1029" s="12"/>
      <c r="AY1029" s="44"/>
      <c r="AZ1029" s="45"/>
      <c r="BA1029" s="12"/>
      <c r="BB1029" s="12"/>
      <c r="BC1029" s="12"/>
      <c r="BD1029" s="12"/>
      <c r="BE1029" s="44"/>
      <c r="BF1029" s="45"/>
      <c r="BG1029" s="12"/>
      <c r="BH1029" s="12"/>
      <c r="BI1029" s="12"/>
      <c r="BJ1029" s="12"/>
      <c r="BK1029" s="44"/>
      <c r="BL1029" s="45"/>
      <c r="BM1029" s="12"/>
      <c r="BN1029" s="12"/>
      <c r="BO1029" s="12"/>
      <c r="BP1029" s="12"/>
      <c r="BQ1029" s="48"/>
      <c r="BR1029" s="49"/>
      <c r="BS1029" s="13"/>
      <c r="BT1029" s="12"/>
      <c r="BV1029" s="14"/>
      <c r="BW1029" s="50"/>
      <c r="BX1029" s="54"/>
      <c r="BY1029" s="14"/>
      <c r="BZ1029" s="14"/>
      <c r="CA1029" s="14"/>
      <c r="CB1029" s="14"/>
      <c r="CC1029" s="14"/>
      <c r="CD1029" s="14"/>
      <c r="CE1029" s="14"/>
      <c r="CF1029" s="15"/>
      <c r="CG1029" s="14"/>
      <c r="CH1029" s="14"/>
      <c r="CI1029" s="50"/>
      <c r="CJ1029" s="54"/>
      <c r="CK1029" s="14"/>
      <c r="CL1029" s="14"/>
      <c r="CM1029" s="14"/>
      <c r="CN1029" s="14"/>
      <c r="CO1029" s="14"/>
      <c r="CP1029" s="14"/>
      <c r="CQ1029" s="14"/>
      <c r="CR1029" s="14"/>
      <c r="CS1029" s="14"/>
      <c r="CT1029" s="14"/>
      <c r="CU1029" s="16"/>
      <c r="CV1029" s="14"/>
      <c r="CW1029" s="50"/>
      <c r="CX1029" s="17"/>
    </row>
    <row r="1030" spans="4:102" x14ac:dyDescent="0.25"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43"/>
      <c r="Q1030" s="11"/>
      <c r="R1030" s="11"/>
      <c r="S1030" s="11"/>
      <c r="T1030" s="11"/>
      <c r="U1030" s="11"/>
      <c r="V1030" s="11"/>
      <c r="W1030" s="11"/>
      <c r="X1030" s="12"/>
      <c r="Y1030" s="12"/>
      <c r="Z1030" s="12"/>
      <c r="AA1030" s="44"/>
      <c r="AB1030" s="45"/>
      <c r="AC1030" s="12"/>
      <c r="AD1030" s="12"/>
      <c r="AE1030" s="12"/>
      <c r="AF1030" s="12"/>
      <c r="AG1030" s="44"/>
      <c r="AH1030" s="45"/>
      <c r="AI1030" s="12"/>
      <c r="AJ1030" s="12"/>
      <c r="AK1030" s="12"/>
      <c r="AL1030" s="12"/>
      <c r="AM1030" s="44"/>
      <c r="AN1030" s="45"/>
      <c r="AO1030" s="12"/>
      <c r="AP1030" s="12"/>
      <c r="AQ1030" s="12"/>
      <c r="AR1030" s="12"/>
      <c r="AS1030" s="44"/>
      <c r="AT1030" s="45"/>
      <c r="AU1030" s="12"/>
      <c r="AV1030" s="12"/>
      <c r="AW1030" s="12"/>
      <c r="AX1030" s="12"/>
      <c r="AY1030" s="44"/>
      <c r="AZ1030" s="45"/>
      <c r="BA1030" s="12"/>
      <c r="BB1030" s="12"/>
      <c r="BC1030" s="12"/>
      <c r="BD1030" s="12"/>
      <c r="BE1030" s="44"/>
      <c r="BF1030" s="45"/>
      <c r="BG1030" s="12"/>
      <c r="BH1030" s="12"/>
      <c r="BI1030" s="12"/>
      <c r="BJ1030" s="12"/>
      <c r="BK1030" s="44"/>
      <c r="BL1030" s="45"/>
      <c r="BM1030" s="12"/>
      <c r="BN1030" s="12"/>
      <c r="BO1030" s="12"/>
      <c r="BP1030" s="12"/>
      <c r="BQ1030" s="48"/>
      <c r="BR1030" s="49"/>
      <c r="BS1030" s="13"/>
      <c r="BT1030" s="12"/>
      <c r="BV1030" s="14"/>
      <c r="BW1030" s="50"/>
      <c r="BX1030" s="54"/>
      <c r="BY1030" s="14"/>
      <c r="BZ1030" s="14"/>
      <c r="CA1030" s="14"/>
      <c r="CB1030" s="14"/>
      <c r="CC1030" s="14"/>
      <c r="CD1030" s="14"/>
      <c r="CE1030" s="14"/>
      <c r="CF1030" s="15"/>
      <c r="CG1030" s="14"/>
      <c r="CH1030" s="14"/>
      <c r="CI1030" s="50"/>
      <c r="CJ1030" s="54"/>
      <c r="CK1030" s="14"/>
      <c r="CL1030" s="14"/>
      <c r="CM1030" s="14"/>
      <c r="CN1030" s="14"/>
      <c r="CO1030" s="14"/>
      <c r="CP1030" s="14"/>
      <c r="CQ1030" s="14"/>
      <c r="CR1030" s="14"/>
      <c r="CS1030" s="14"/>
      <c r="CT1030" s="14"/>
      <c r="CU1030" s="16"/>
      <c r="CV1030" s="14"/>
      <c r="CW1030" s="50"/>
      <c r="CX1030" s="17"/>
    </row>
    <row r="1031" spans="4:102" x14ac:dyDescent="0.25"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43"/>
      <c r="Q1031" s="11"/>
      <c r="R1031" s="11"/>
      <c r="S1031" s="11"/>
      <c r="T1031" s="11"/>
      <c r="U1031" s="11"/>
      <c r="V1031" s="11"/>
      <c r="W1031" s="11"/>
      <c r="X1031" s="12"/>
      <c r="Y1031" s="12"/>
      <c r="Z1031" s="12"/>
      <c r="AA1031" s="44"/>
      <c r="AB1031" s="45"/>
      <c r="AC1031" s="12"/>
      <c r="AD1031" s="12"/>
      <c r="AE1031" s="12"/>
      <c r="AF1031" s="12"/>
      <c r="AG1031" s="44"/>
      <c r="AH1031" s="45"/>
      <c r="AI1031" s="12"/>
      <c r="AJ1031" s="12"/>
      <c r="AK1031" s="12"/>
      <c r="AL1031" s="12"/>
      <c r="AM1031" s="44"/>
      <c r="AN1031" s="45"/>
      <c r="AO1031" s="12"/>
      <c r="AP1031" s="12"/>
      <c r="AQ1031" s="12"/>
      <c r="AR1031" s="12"/>
      <c r="AS1031" s="44"/>
      <c r="AT1031" s="45"/>
      <c r="AU1031" s="12"/>
      <c r="AV1031" s="12"/>
      <c r="AW1031" s="12"/>
      <c r="AX1031" s="12"/>
      <c r="AY1031" s="44"/>
      <c r="AZ1031" s="45"/>
      <c r="BA1031" s="12"/>
      <c r="BB1031" s="12"/>
      <c r="BC1031" s="12"/>
      <c r="BD1031" s="12"/>
      <c r="BE1031" s="44"/>
      <c r="BF1031" s="45"/>
      <c r="BG1031" s="12"/>
      <c r="BH1031" s="12"/>
      <c r="BI1031" s="12"/>
      <c r="BJ1031" s="12"/>
      <c r="BK1031" s="44"/>
      <c r="BL1031" s="45"/>
      <c r="BM1031" s="12"/>
      <c r="BN1031" s="12"/>
      <c r="BO1031" s="12"/>
      <c r="BP1031" s="12"/>
      <c r="BQ1031" s="48"/>
      <c r="BR1031" s="49"/>
      <c r="BS1031" s="13"/>
      <c r="BT1031" s="12"/>
      <c r="BV1031" s="14"/>
      <c r="BW1031" s="50"/>
      <c r="BX1031" s="54"/>
      <c r="BY1031" s="14"/>
      <c r="BZ1031" s="14"/>
      <c r="CA1031" s="14"/>
      <c r="CB1031" s="14"/>
      <c r="CC1031" s="14"/>
      <c r="CD1031" s="14"/>
      <c r="CE1031" s="14"/>
      <c r="CF1031" s="15"/>
      <c r="CG1031" s="14"/>
      <c r="CH1031" s="14"/>
      <c r="CI1031" s="50"/>
      <c r="CJ1031" s="54"/>
      <c r="CK1031" s="14"/>
      <c r="CL1031" s="14"/>
      <c r="CM1031" s="14"/>
      <c r="CN1031" s="14"/>
      <c r="CO1031" s="14"/>
      <c r="CP1031" s="14"/>
      <c r="CQ1031" s="14"/>
      <c r="CR1031" s="14"/>
      <c r="CS1031" s="14"/>
      <c r="CT1031" s="14"/>
      <c r="CU1031" s="16"/>
      <c r="CV1031" s="14"/>
      <c r="CW1031" s="50"/>
      <c r="CX1031" s="17"/>
    </row>
    <row r="1032" spans="4:102" x14ac:dyDescent="0.25"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43"/>
      <c r="Q1032" s="11"/>
      <c r="R1032" s="11"/>
      <c r="S1032" s="11"/>
      <c r="T1032" s="11"/>
      <c r="U1032" s="11"/>
      <c r="V1032" s="11"/>
      <c r="W1032" s="11"/>
      <c r="X1032" s="12"/>
      <c r="Y1032" s="12"/>
      <c r="Z1032" s="12"/>
      <c r="AA1032" s="44"/>
      <c r="AB1032" s="45"/>
      <c r="AC1032" s="12"/>
      <c r="AD1032" s="12"/>
      <c r="AE1032" s="12"/>
      <c r="AF1032" s="12"/>
      <c r="AG1032" s="44"/>
      <c r="AH1032" s="45"/>
      <c r="AI1032" s="12"/>
      <c r="AJ1032" s="12"/>
      <c r="AK1032" s="12"/>
      <c r="AL1032" s="12"/>
      <c r="AM1032" s="44"/>
      <c r="AN1032" s="45"/>
      <c r="AO1032" s="12"/>
      <c r="AP1032" s="12"/>
      <c r="AQ1032" s="12"/>
      <c r="AR1032" s="12"/>
      <c r="AS1032" s="44"/>
      <c r="AT1032" s="45"/>
      <c r="AU1032" s="12"/>
      <c r="AV1032" s="12"/>
      <c r="AW1032" s="12"/>
      <c r="AX1032" s="12"/>
      <c r="AY1032" s="44"/>
      <c r="AZ1032" s="45"/>
      <c r="BA1032" s="12"/>
      <c r="BB1032" s="12"/>
      <c r="BC1032" s="12"/>
      <c r="BD1032" s="12"/>
      <c r="BE1032" s="44"/>
      <c r="BF1032" s="45"/>
      <c r="BG1032" s="12"/>
      <c r="BH1032" s="12"/>
      <c r="BI1032" s="12"/>
      <c r="BJ1032" s="12"/>
      <c r="BK1032" s="44"/>
      <c r="BL1032" s="45"/>
      <c r="BM1032" s="12"/>
      <c r="BN1032" s="12"/>
      <c r="BO1032" s="12"/>
      <c r="BP1032" s="12"/>
      <c r="BQ1032" s="48"/>
      <c r="BR1032" s="49"/>
      <c r="BS1032" s="13"/>
      <c r="BT1032" s="12"/>
      <c r="BV1032" s="14"/>
      <c r="BW1032" s="50"/>
      <c r="BX1032" s="54"/>
      <c r="BY1032" s="14"/>
      <c r="BZ1032" s="14"/>
      <c r="CA1032" s="14"/>
      <c r="CB1032" s="14"/>
      <c r="CC1032" s="14"/>
      <c r="CD1032" s="14"/>
      <c r="CE1032" s="14"/>
      <c r="CF1032" s="15"/>
      <c r="CG1032" s="14"/>
      <c r="CH1032" s="14"/>
      <c r="CI1032" s="50"/>
      <c r="CJ1032" s="54"/>
      <c r="CK1032" s="14"/>
      <c r="CL1032" s="14"/>
      <c r="CM1032" s="14"/>
      <c r="CN1032" s="14"/>
      <c r="CO1032" s="14"/>
      <c r="CP1032" s="14"/>
      <c r="CQ1032" s="14"/>
      <c r="CR1032" s="14"/>
      <c r="CS1032" s="14"/>
      <c r="CT1032" s="14"/>
      <c r="CU1032" s="16"/>
      <c r="CV1032" s="14"/>
      <c r="CW1032" s="50"/>
      <c r="CX1032" s="17"/>
    </row>
    <row r="1033" spans="4:102" x14ac:dyDescent="0.25"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43"/>
      <c r="Q1033" s="11"/>
      <c r="R1033" s="11"/>
      <c r="S1033" s="11"/>
      <c r="T1033" s="11"/>
      <c r="U1033" s="11"/>
      <c r="V1033" s="11"/>
      <c r="W1033" s="11"/>
      <c r="X1033" s="12"/>
      <c r="Y1033" s="12"/>
      <c r="Z1033" s="12"/>
      <c r="AA1033" s="44"/>
      <c r="AB1033" s="45"/>
      <c r="AC1033" s="12"/>
      <c r="AD1033" s="12"/>
      <c r="AE1033" s="12"/>
      <c r="AF1033" s="12"/>
      <c r="AG1033" s="44"/>
      <c r="AH1033" s="45"/>
      <c r="AI1033" s="12"/>
      <c r="AJ1033" s="12"/>
      <c r="AK1033" s="12"/>
      <c r="AL1033" s="12"/>
      <c r="AM1033" s="44"/>
      <c r="AN1033" s="45"/>
      <c r="AO1033" s="12"/>
      <c r="AP1033" s="12"/>
      <c r="AQ1033" s="12"/>
      <c r="AR1033" s="12"/>
      <c r="AS1033" s="44"/>
      <c r="AT1033" s="45"/>
      <c r="AU1033" s="12"/>
      <c r="AV1033" s="12"/>
      <c r="AW1033" s="12"/>
      <c r="AX1033" s="12"/>
      <c r="AY1033" s="44"/>
      <c r="AZ1033" s="45"/>
      <c r="BA1033" s="12"/>
      <c r="BB1033" s="12"/>
      <c r="BC1033" s="12"/>
      <c r="BD1033" s="12"/>
      <c r="BE1033" s="44"/>
      <c r="BF1033" s="45"/>
      <c r="BG1033" s="12"/>
      <c r="BH1033" s="12"/>
      <c r="BI1033" s="12"/>
      <c r="BJ1033" s="12"/>
      <c r="BK1033" s="44"/>
      <c r="BL1033" s="45"/>
      <c r="BM1033" s="12"/>
      <c r="BN1033" s="12"/>
      <c r="BO1033" s="12"/>
      <c r="BP1033" s="12"/>
      <c r="BQ1033" s="48"/>
      <c r="BR1033" s="49"/>
      <c r="BS1033" s="13"/>
      <c r="BT1033" s="12"/>
      <c r="BV1033" s="14"/>
      <c r="BW1033" s="50"/>
      <c r="BX1033" s="54"/>
      <c r="BY1033" s="14"/>
      <c r="BZ1033" s="14"/>
      <c r="CA1033" s="14"/>
      <c r="CB1033" s="14"/>
      <c r="CC1033" s="14"/>
      <c r="CD1033" s="14"/>
      <c r="CE1033" s="14"/>
      <c r="CF1033" s="15"/>
      <c r="CG1033" s="14"/>
      <c r="CH1033" s="14"/>
      <c r="CI1033" s="50"/>
      <c r="CJ1033" s="54"/>
      <c r="CK1033" s="14"/>
      <c r="CL1033" s="14"/>
      <c r="CM1033" s="14"/>
      <c r="CN1033" s="14"/>
      <c r="CO1033" s="14"/>
      <c r="CP1033" s="14"/>
      <c r="CQ1033" s="14"/>
      <c r="CR1033" s="14"/>
      <c r="CS1033" s="14"/>
      <c r="CT1033" s="14"/>
      <c r="CU1033" s="16"/>
      <c r="CV1033" s="14"/>
      <c r="CW1033" s="50"/>
      <c r="CX1033" s="17"/>
    </row>
    <row r="1034" spans="4:102" x14ac:dyDescent="0.25"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43"/>
      <c r="Q1034" s="11"/>
      <c r="R1034" s="11"/>
      <c r="S1034" s="11"/>
      <c r="T1034" s="11"/>
      <c r="U1034" s="11"/>
      <c r="V1034" s="11"/>
      <c r="W1034" s="11"/>
      <c r="X1034" s="12"/>
      <c r="Y1034" s="12"/>
      <c r="Z1034" s="12"/>
      <c r="AA1034" s="44"/>
      <c r="AB1034" s="45"/>
      <c r="AC1034" s="12"/>
      <c r="AD1034" s="12"/>
      <c r="AE1034" s="12"/>
      <c r="AF1034" s="12"/>
      <c r="AG1034" s="44"/>
      <c r="AH1034" s="45"/>
      <c r="AI1034" s="12"/>
      <c r="AJ1034" s="12"/>
      <c r="AK1034" s="12"/>
      <c r="AL1034" s="12"/>
      <c r="AM1034" s="44"/>
      <c r="AN1034" s="45"/>
      <c r="AO1034" s="12"/>
      <c r="AP1034" s="12"/>
      <c r="AQ1034" s="12"/>
      <c r="AR1034" s="12"/>
      <c r="AS1034" s="44"/>
      <c r="AT1034" s="45"/>
      <c r="AU1034" s="12"/>
      <c r="AV1034" s="12"/>
      <c r="AW1034" s="12"/>
      <c r="AX1034" s="12"/>
      <c r="AY1034" s="44"/>
      <c r="AZ1034" s="45"/>
      <c r="BA1034" s="12"/>
      <c r="BB1034" s="12"/>
      <c r="BC1034" s="12"/>
      <c r="BD1034" s="12"/>
      <c r="BE1034" s="44"/>
      <c r="BF1034" s="45"/>
      <c r="BG1034" s="12"/>
      <c r="BH1034" s="12"/>
      <c r="BI1034" s="12"/>
      <c r="BJ1034" s="12"/>
      <c r="BK1034" s="44"/>
      <c r="BL1034" s="45"/>
      <c r="BM1034" s="12"/>
      <c r="BN1034" s="12"/>
      <c r="BO1034" s="12"/>
      <c r="BP1034" s="12"/>
      <c r="BQ1034" s="48"/>
      <c r="BR1034" s="49"/>
      <c r="BS1034" s="13"/>
      <c r="BT1034" s="12"/>
      <c r="BV1034" s="14"/>
      <c r="BW1034" s="50"/>
      <c r="BX1034" s="54"/>
      <c r="BY1034" s="14"/>
      <c r="BZ1034" s="14"/>
      <c r="CA1034" s="14"/>
      <c r="CB1034" s="14"/>
      <c r="CC1034" s="14"/>
      <c r="CD1034" s="14"/>
      <c r="CE1034" s="14"/>
      <c r="CF1034" s="15"/>
      <c r="CG1034" s="14"/>
      <c r="CH1034" s="14"/>
      <c r="CI1034" s="50"/>
      <c r="CJ1034" s="54"/>
      <c r="CK1034" s="14"/>
      <c r="CL1034" s="14"/>
      <c r="CM1034" s="14"/>
      <c r="CN1034" s="14"/>
      <c r="CO1034" s="14"/>
      <c r="CP1034" s="14"/>
      <c r="CQ1034" s="14"/>
      <c r="CR1034" s="14"/>
      <c r="CS1034" s="14"/>
      <c r="CT1034" s="14"/>
      <c r="CU1034" s="16"/>
      <c r="CV1034" s="14"/>
      <c r="CW1034" s="50"/>
      <c r="CX1034" s="17"/>
    </row>
    <row r="1035" spans="4:102" x14ac:dyDescent="0.25"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43"/>
      <c r="Q1035" s="11"/>
      <c r="R1035" s="11"/>
      <c r="S1035" s="11"/>
      <c r="T1035" s="11"/>
      <c r="U1035" s="11"/>
      <c r="V1035" s="11"/>
      <c r="W1035" s="11"/>
      <c r="X1035" s="12"/>
      <c r="Y1035" s="12"/>
      <c r="Z1035" s="12"/>
      <c r="AA1035" s="44"/>
      <c r="AB1035" s="45"/>
      <c r="AC1035" s="12"/>
      <c r="AD1035" s="12"/>
      <c r="AE1035" s="12"/>
      <c r="AF1035" s="12"/>
      <c r="AG1035" s="44"/>
      <c r="AH1035" s="45"/>
      <c r="AI1035" s="12"/>
      <c r="AJ1035" s="12"/>
      <c r="AK1035" s="12"/>
      <c r="AL1035" s="12"/>
      <c r="AM1035" s="44"/>
      <c r="AN1035" s="45"/>
      <c r="AO1035" s="12"/>
      <c r="AP1035" s="12"/>
      <c r="AQ1035" s="12"/>
      <c r="AR1035" s="12"/>
      <c r="AS1035" s="44"/>
      <c r="AT1035" s="45"/>
      <c r="AU1035" s="12"/>
      <c r="AV1035" s="12"/>
      <c r="AW1035" s="12"/>
      <c r="AX1035" s="12"/>
      <c r="AY1035" s="44"/>
      <c r="AZ1035" s="45"/>
      <c r="BA1035" s="12"/>
      <c r="BB1035" s="12"/>
      <c r="BC1035" s="12"/>
      <c r="BD1035" s="12"/>
      <c r="BE1035" s="44"/>
      <c r="BF1035" s="45"/>
      <c r="BG1035" s="12"/>
      <c r="BH1035" s="12"/>
      <c r="BI1035" s="12"/>
      <c r="BJ1035" s="12"/>
      <c r="BK1035" s="44"/>
      <c r="BL1035" s="45"/>
      <c r="BM1035" s="12"/>
      <c r="BN1035" s="12"/>
      <c r="BO1035" s="12"/>
      <c r="BP1035" s="12"/>
      <c r="BQ1035" s="48"/>
      <c r="BR1035" s="49"/>
      <c r="BS1035" s="13"/>
      <c r="BT1035" s="12"/>
      <c r="BV1035" s="14"/>
      <c r="BW1035" s="50"/>
      <c r="BX1035" s="54"/>
      <c r="BY1035" s="14"/>
      <c r="BZ1035" s="14"/>
      <c r="CA1035" s="14"/>
      <c r="CB1035" s="14"/>
      <c r="CC1035" s="14"/>
      <c r="CD1035" s="14"/>
      <c r="CE1035" s="14"/>
      <c r="CF1035" s="15"/>
      <c r="CG1035" s="14"/>
      <c r="CH1035" s="14"/>
      <c r="CI1035" s="50"/>
      <c r="CJ1035" s="54"/>
      <c r="CK1035" s="14"/>
      <c r="CL1035" s="14"/>
      <c r="CM1035" s="14"/>
      <c r="CN1035" s="14"/>
      <c r="CO1035" s="14"/>
      <c r="CP1035" s="14"/>
      <c r="CQ1035" s="14"/>
      <c r="CR1035" s="14"/>
      <c r="CS1035" s="14"/>
      <c r="CT1035" s="14"/>
      <c r="CU1035" s="16"/>
      <c r="CV1035" s="14"/>
      <c r="CW1035" s="50"/>
      <c r="CX1035" s="17"/>
    </row>
    <row r="1036" spans="4:102" x14ac:dyDescent="0.25"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43"/>
      <c r="Q1036" s="11"/>
      <c r="R1036" s="11"/>
      <c r="S1036" s="11"/>
      <c r="T1036" s="11"/>
      <c r="U1036" s="11"/>
      <c r="V1036" s="11"/>
      <c r="W1036" s="11"/>
      <c r="X1036" s="12"/>
      <c r="Y1036" s="12"/>
      <c r="Z1036" s="12"/>
      <c r="AA1036" s="44"/>
      <c r="AB1036" s="45"/>
      <c r="AC1036" s="12"/>
      <c r="AD1036" s="12"/>
      <c r="AE1036" s="12"/>
      <c r="AF1036" s="12"/>
      <c r="AG1036" s="44"/>
      <c r="AH1036" s="45"/>
      <c r="AI1036" s="12"/>
      <c r="AJ1036" s="12"/>
      <c r="AK1036" s="12"/>
      <c r="AL1036" s="12"/>
      <c r="AM1036" s="44"/>
      <c r="AN1036" s="45"/>
      <c r="AO1036" s="12"/>
      <c r="AP1036" s="12"/>
      <c r="AQ1036" s="12"/>
      <c r="AR1036" s="12"/>
      <c r="AS1036" s="44"/>
      <c r="AT1036" s="45"/>
      <c r="AU1036" s="12"/>
      <c r="AV1036" s="12"/>
      <c r="AW1036" s="12"/>
      <c r="AX1036" s="12"/>
      <c r="AY1036" s="44"/>
      <c r="AZ1036" s="45"/>
      <c r="BA1036" s="12"/>
      <c r="BB1036" s="12"/>
      <c r="BC1036" s="12"/>
      <c r="BD1036" s="12"/>
      <c r="BE1036" s="44"/>
      <c r="BF1036" s="45"/>
      <c r="BG1036" s="12"/>
      <c r="BH1036" s="12"/>
      <c r="BI1036" s="12"/>
      <c r="BJ1036" s="12"/>
      <c r="BK1036" s="44"/>
      <c r="BL1036" s="45"/>
      <c r="BM1036" s="12"/>
      <c r="BN1036" s="12"/>
      <c r="BO1036" s="12"/>
      <c r="BP1036" s="12"/>
      <c r="BQ1036" s="48"/>
      <c r="BR1036" s="49"/>
      <c r="BS1036" s="13"/>
      <c r="BT1036" s="12"/>
      <c r="BV1036" s="14"/>
      <c r="BW1036" s="50"/>
      <c r="BX1036" s="54"/>
      <c r="BY1036" s="14"/>
      <c r="BZ1036" s="14"/>
      <c r="CA1036" s="14"/>
      <c r="CB1036" s="14"/>
      <c r="CC1036" s="14"/>
      <c r="CD1036" s="14"/>
      <c r="CE1036" s="14"/>
      <c r="CF1036" s="15"/>
      <c r="CG1036" s="14"/>
      <c r="CH1036" s="14"/>
      <c r="CI1036" s="50"/>
      <c r="CJ1036" s="54"/>
      <c r="CK1036" s="14"/>
      <c r="CL1036" s="14"/>
      <c r="CM1036" s="14"/>
      <c r="CN1036" s="14"/>
      <c r="CO1036" s="14"/>
      <c r="CP1036" s="14"/>
      <c r="CQ1036" s="14"/>
      <c r="CR1036" s="14"/>
      <c r="CS1036" s="14"/>
      <c r="CT1036" s="14"/>
      <c r="CU1036" s="16"/>
      <c r="CV1036" s="14"/>
      <c r="CW1036" s="50"/>
      <c r="CX1036" s="17"/>
    </row>
    <row r="1037" spans="4:102" x14ac:dyDescent="0.25"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43"/>
      <c r="Q1037" s="11"/>
      <c r="R1037" s="11"/>
      <c r="S1037" s="11"/>
      <c r="T1037" s="11"/>
      <c r="U1037" s="11"/>
      <c r="V1037" s="11"/>
      <c r="W1037" s="11"/>
      <c r="X1037" s="12"/>
      <c r="Y1037" s="12"/>
      <c r="Z1037" s="12"/>
      <c r="AA1037" s="44"/>
      <c r="AB1037" s="45"/>
      <c r="AC1037" s="12"/>
      <c r="AD1037" s="12"/>
      <c r="AE1037" s="12"/>
      <c r="AF1037" s="12"/>
      <c r="AG1037" s="44"/>
      <c r="AH1037" s="45"/>
      <c r="AI1037" s="12"/>
      <c r="AJ1037" s="12"/>
      <c r="AK1037" s="12"/>
      <c r="AL1037" s="12"/>
      <c r="AM1037" s="44"/>
      <c r="AN1037" s="45"/>
      <c r="AO1037" s="12"/>
      <c r="AP1037" s="12"/>
      <c r="AQ1037" s="12"/>
      <c r="AR1037" s="12"/>
      <c r="AS1037" s="44"/>
      <c r="AT1037" s="45"/>
      <c r="AU1037" s="12"/>
      <c r="AV1037" s="12"/>
      <c r="AW1037" s="12"/>
      <c r="AX1037" s="12"/>
      <c r="AY1037" s="44"/>
      <c r="AZ1037" s="45"/>
      <c r="BA1037" s="12"/>
      <c r="BB1037" s="12"/>
      <c r="BC1037" s="12"/>
      <c r="BD1037" s="12"/>
      <c r="BE1037" s="44"/>
      <c r="BF1037" s="45"/>
      <c r="BG1037" s="12"/>
      <c r="BH1037" s="12"/>
      <c r="BI1037" s="12"/>
      <c r="BJ1037" s="12"/>
      <c r="BK1037" s="44"/>
      <c r="BL1037" s="45"/>
      <c r="BM1037" s="12"/>
      <c r="BN1037" s="12"/>
      <c r="BO1037" s="12"/>
      <c r="BP1037" s="12"/>
      <c r="BQ1037" s="48"/>
      <c r="BR1037" s="49"/>
      <c r="BS1037" s="13"/>
      <c r="BT1037" s="12"/>
      <c r="BV1037" s="14"/>
      <c r="BW1037" s="50"/>
      <c r="BX1037" s="54"/>
      <c r="BY1037" s="14"/>
      <c r="BZ1037" s="14"/>
      <c r="CA1037" s="14"/>
      <c r="CB1037" s="14"/>
      <c r="CC1037" s="14"/>
      <c r="CD1037" s="14"/>
      <c r="CE1037" s="14"/>
      <c r="CF1037" s="15"/>
      <c r="CG1037" s="14"/>
      <c r="CH1037" s="14"/>
      <c r="CI1037" s="50"/>
      <c r="CJ1037" s="54"/>
      <c r="CK1037" s="14"/>
      <c r="CL1037" s="14"/>
      <c r="CM1037" s="14"/>
      <c r="CN1037" s="14"/>
      <c r="CO1037" s="14"/>
      <c r="CP1037" s="14"/>
      <c r="CQ1037" s="14"/>
      <c r="CR1037" s="14"/>
      <c r="CS1037" s="14"/>
      <c r="CT1037" s="14"/>
      <c r="CU1037" s="16"/>
      <c r="CV1037" s="14"/>
      <c r="CW1037" s="50"/>
      <c r="CX1037" s="17"/>
    </row>
    <row r="1038" spans="4:102" x14ac:dyDescent="0.25"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43"/>
      <c r="Q1038" s="11"/>
      <c r="R1038" s="11"/>
      <c r="S1038" s="11"/>
      <c r="T1038" s="11"/>
      <c r="U1038" s="11"/>
      <c r="V1038" s="11"/>
      <c r="W1038" s="11"/>
      <c r="X1038" s="12"/>
      <c r="Y1038" s="12"/>
      <c r="Z1038" s="12"/>
      <c r="AA1038" s="44"/>
      <c r="AB1038" s="45"/>
      <c r="AC1038" s="12"/>
      <c r="AD1038" s="12"/>
      <c r="AE1038" s="12"/>
      <c r="AF1038" s="12"/>
      <c r="AG1038" s="44"/>
      <c r="AH1038" s="45"/>
      <c r="AI1038" s="12"/>
      <c r="AJ1038" s="12"/>
      <c r="AK1038" s="12"/>
      <c r="AL1038" s="12"/>
      <c r="AM1038" s="44"/>
      <c r="AN1038" s="45"/>
      <c r="AO1038" s="12"/>
      <c r="AP1038" s="12"/>
      <c r="AQ1038" s="12"/>
      <c r="AR1038" s="12"/>
      <c r="AS1038" s="44"/>
      <c r="AT1038" s="45"/>
      <c r="AU1038" s="12"/>
      <c r="AV1038" s="12"/>
      <c r="AW1038" s="12"/>
      <c r="AX1038" s="12"/>
      <c r="AY1038" s="44"/>
      <c r="AZ1038" s="45"/>
      <c r="BA1038" s="12"/>
      <c r="BB1038" s="12"/>
      <c r="BC1038" s="12"/>
      <c r="BD1038" s="12"/>
      <c r="BE1038" s="44"/>
      <c r="BF1038" s="45"/>
      <c r="BG1038" s="12"/>
      <c r="BH1038" s="12"/>
      <c r="BI1038" s="12"/>
      <c r="BJ1038" s="12"/>
      <c r="BK1038" s="44"/>
      <c r="BL1038" s="45"/>
      <c r="BM1038" s="12"/>
      <c r="BN1038" s="12"/>
      <c r="BO1038" s="12"/>
      <c r="BP1038" s="12"/>
      <c r="BQ1038" s="48"/>
      <c r="BR1038" s="49"/>
      <c r="BS1038" s="13"/>
      <c r="BT1038" s="12"/>
      <c r="BV1038" s="14"/>
      <c r="BW1038" s="50"/>
      <c r="BX1038" s="54"/>
      <c r="BY1038" s="14"/>
      <c r="BZ1038" s="14"/>
      <c r="CA1038" s="14"/>
      <c r="CB1038" s="14"/>
      <c r="CC1038" s="14"/>
      <c r="CD1038" s="14"/>
      <c r="CE1038" s="14"/>
      <c r="CF1038" s="15"/>
      <c r="CG1038" s="14"/>
      <c r="CH1038" s="14"/>
      <c r="CI1038" s="50"/>
      <c r="CJ1038" s="54"/>
      <c r="CK1038" s="14"/>
      <c r="CL1038" s="14"/>
      <c r="CM1038" s="14"/>
      <c r="CN1038" s="14"/>
      <c r="CO1038" s="14"/>
      <c r="CP1038" s="14"/>
      <c r="CQ1038" s="14"/>
      <c r="CR1038" s="14"/>
      <c r="CS1038" s="14"/>
      <c r="CT1038" s="14"/>
      <c r="CU1038" s="16"/>
      <c r="CV1038" s="14"/>
      <c r="CW1038" s="50"/>
      <c r="CX1038" s="17"/>
    </row>
    <row r="1039" spans="4:102" x14ac:dyDescent="0.25"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43"/>
      <c r="Q1039" s="11"/>
      <c r="R1039" s="11"/>
      <c r="S1039" s="11"/>
      <c r="T1039" s="11"/>
      <c r="U1039" s="11"/>
      <c r="V1039" s="11"/>
      <c r="W1039" s="11"/>
      <c r="X1039" s="12"/>
      <c r="Y1039" s="12"/>
      <c r="Z1039" s="12"/>
      <c r="AA1039" s="44"/>
      <c r="AB1039" s="45"/>
      <c r="AC1039" s="12"/>
      <c r="AD1039" s="12"/>
      <c r="AE1039" s="12"/>
      <c r="AF1039" s="12"/>
      <c r="AG1039" s="44"/>
      <c r="AH1039" s="45"/>
      <c r="AI1039" s="12"/>
      <c r="AJ1039" s="12"/>
      <c r="AK1039" s="12"/>
      <c r="AL1039" s="12"/>
      <c r="AM1039" s="44"/>
      <c r="AN1039" s="45"/>
      <c r="AO1039" s="12"/>
      <c r="AP1039" s="12"/>
      <c r="AQ1039" s="12"/>
      <c r="AR1039" s="12"/>
      <c r="AS1039" s="44"/>
      <c r="AT1039" s="45"/>
      <c r="AU1039" s="12"/>
      <c r="AV1039" s="12"/>
      <c r="AW1039" s="12"/>
      <c r="AX1039" s="12"/>
      <c r="AY1039" s="44"/>
      <c r="AZ1039" s="45"/>
      <c r="BA1039" s="12"/>
      <c r="BB1039" s="12"/>
      <c r="BC1039" s="12"/>
      <c r="BD1039" s="12"/>
      <c r="BE1039" s="44"/>
      <c r="BF1039" s="45"/>
      <c r="BG1039" s="12"/>
      <c r="BH1039" s="12"/>
      <c r="BI1039" s="12"/>
      <c r="BJ1039" s="12"/>
      <c r="BK1039" s="44"/>
      <c r="BL1039" s="45"/>
      <c r="BM1039" s="12"/>
      <c r="BN1039" s="12"/>
      <c r="BO1039" s="12"/>
      <c r="BP1039" s="12"/>
      <c r="BQ1039" s="48"/>
      <c r="BR1039" s="49"/>
      <c r="BS1039" s="13"/>
      <c r="BT1039" s="12"/>
      <c r="BV1039" s="14"/>
      <c r="BW1039" s="50"/>
      <c r="BX1039" s="54"/>
      <c r="BY1039" s="14"/>
      <c r="BZ1039" s="14"/>
      <c r="CA1039" s="14"/>
      <c r="CB1039" s="14"/>
      <c r="CC1039" s="14"/>
      <c r="CD1039" s="14"/>
      <c r="CE1039" s="14"/>
      <c r="CF1039" s="15"/>
      <c r="CG1039" s="14"/>
      <c r="CH1039" s="14"/>
      <c r="CI1039" s="50"/>
      <c r="CJ1039" s="54"/>
      <c r="CK1039" s="14"/>
      <c r="CL1039" s="14"/>
      <c r="CM1039" s="14"/>
      <c r="CN1039" s="14"/>
      <c r="CO1039" s="14"/>
      <c r="CP1039" s="14"/>
      <c r="CQ1039" s="14"/>
      <c r="CR1039" s="14"/>
      <c r="CS1039" s="14"/>
      <c r="CT1039" s="14"/>
      <c r="CU1039" s="16"/>
      <c r="CV1039" s="14"/>
      <c r="CW1039" s="50"/>
      <c r="CX1039" s="17"/>
    </row>
    <row r="1040" spans="4:102" x14ac:dyDescent="0.25"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43"/>
      <c r="Q1040" s="11"/>
      <c r="R1040" s="11"/>
      <c r="S1040" s="11"/>
      <c r="T1040" s="11"/>
      <c r="U1040" s="11"/>
      <c r="V1040" s="11"/>
      <c r="W1040" s="11"/>
      <c r="X1040" s="12"/>
      <c r="Y1040" s="12"/>
      <c r="Z1040" s="12"/>
      <c r="AA1040" s="44"/>
      <c r="AB1040" s="45"/>
      <c r="AC1040" s="12"/>
      <c r="AD1040" s="12"/>
      <c r="AE1040" s="12"/>
      <c r="AF1040" s="12"/>
      <c r="AG1040" s="44"/>
      <c r="AH1040" s="45"/>
      <c r="AI1040" s="12"/>
      <c r="AJ1040" s="12"/>
      <c r="AK1040" s="12"/>
      <c r="AL1040" s="12"/>
      <c r="AM1040" s="44"/>
      <c r="AN1040" s="45"/>
      <c r="AO1040" s="12"/>
      <c r="AP1040" s="12"/>
      <c r="AQ1040" s="12"/>
      <c r="AR1040" s="12"/>
      <c r="AS1040" s="44"/>
      <c r="AT1040" s="45"/>
      <c r="AU1040" s="12"/>
      <c r="AV1040" s="12"/>
      <c r="AW1040" s="12"/>
      <c r="AX1040" s="12"/>
      <c r="AY1040" s="44"/>
      <c r="AZ1040" s="45"/>
      <c r="BA1040" s="12"/>
      <c r="BB1040" s="12"/>
      <c r="BC1040" s="12"/>
      <c r="BD1040" s="12"/>
      <c r="BE1040" s="44"/>
      <c r="BF1040" s="45"/>
      <c r="BG1040" s="12"/>
      <c r="BH1040" s="12"/>
      <c r="BI1040" s="12"/>
      <c r="BJ1040" s="12"/>
      <c r="BK1040" s="44"/>
      <c r="BL1040" s="45"/>
      <c r="BM1040" s="12"/>
      <c r="BN1040" s="12"/>
      <c r="BO1040" s="12"/>
      <c r="BP1040" s="12"/>
      <c r="BQ1040" s="48"/>
      <c r="BR1040" s="49"/>
      <c r="BS1040" s="13"/>
      <c r="BT1040" s="12"/>
      <c r="BV1040" s="14"/>
      <c r="BW1040" s="50"/>
      <c r="BX1040" s="54"/>
      <c r="BY1040" s="14"/>
      <c r="BZ1040" s="14"/>
      <c r="CA1040" s="14"/>
      <c r="CB1040" s="14"/>
      <c r="CC1040" s="14"/>
      <c r="CD1040" s="14"/>
      <c r="CE1040" s="14"/>
      <c r="CF1040" s="15"/>
      <c r="CG1040" s="14"/>
      <c r="CH1040" s="14"/>
      <c r="CI1040" s="50"/>
      <c r="CJ1040" s="54"/>
      <c r="CK1040" s="14"/>
      <c r="CL1040" s="14"/>
      <c r="CM1040" s="14"/>
      <c r="CN1040" s="14"/>
      <c r="CO1040" s="14"/>
      <c r="CP1040" s="14"/>
      <c r="CQ1040" s="14"/>
      <c r="CR1040" s="14"/>
      <c r="CS1040" s="14"/>
      <c r="CT1040" s="14"/>
      <c r="CU1040" s="16"/>
      <c r="CV1040" s="14"/>
      <c r="CW1040" s="50"/>
      <c r="CX1040" s="17"/>
    </row>
    <row r="1041" spans="4:102" x14ac:dyDescent="0.25"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43"/>
      <c r="Q1041" s="11"/>
      <c r="R1041" s="11"/>
      <c r="S1041" s="11"/>
      <c r="T1041" s="11"/>
      <c r="U1041" s="11"/>
      <c r="V1041" s="11"/>
      <c r="W1041" s="11"/>
      <c r="X1041" s="12"/>
      <c r="Y1041" s="12"/>
      <c r="Z1041" s="12"/>
      <c r="AA1041" s="44"/>
      <c r="AB1041" s="45"/>
      <c r="AC1041" s="12"/>
      <c r="AD1041" s="12"/>
      <c r="AE1041" s="12"/>
      <c r="AF1041" s="12"/>
      <c r="AG1041" s="44"/>
      <c r="AH1041" s="45"/>
      <c r="AI1041" s="12"/>
      <c r="AJ1041" s="12"/>
      <c r="AK1041" s="12"/>
      <c r="AL1041" s="12"/>
      <c r="AM1041" s="44"/>
      <c r="AN1041" s="45"/>
      <c r="AO1041" s="12"/>
      <c r="AP1041" s="12"/>
      <c r="AQ1041" s="12"/>
      <c r="AR1041" s="12"/>
      <c r="AS1041" s="44"/>
      <c r="AT1041" s="45"/>
      <c r="AU1041" s="12"/>
      <c r="AV1041" s="12"/>
      <c r="AW1041" s="12"/>
      <c r="AX1041" s="12"/>
      <c r="AY1041" s="44"/>
      <c r="AZ1041" s="45"/>
      <c r="BA1041" s="12"/>
      <c r="BB1041" s="12"/>
      <c r="BC1041" s="12"/>
      <c r="BD1041" s="12"/>
      <c r="BE1041" s="44"/>
      <c r="BF1041" s="45"/>
      <c r="BG1041" s="12"/>
      <c r="BH1041" s="12"/>
      <c r="BI1041" s="12"/>
      <c r="BJ1041" s="12"/>
      <c r="BK1041" s="44"/>
      <c r="BL1041" s="45"/>
      <c r="BM1041" s="12"/>
      <c r="BN1041" s="12"/>
      <c r="BO1041" s="12"/>
      <c r="BP1041" s="12"/>
      <c r="BQ1041" s="48"/>
      <c r="BR1041" s="49"/>
      <c r="BS1041" s="13"/>
      <c r="BT1041" s="12"/>
      <c r="BV1041" s="14"/>
      <c r="BW1041" s="50"/>
      <c r="BX1041" s="54"/>
      <c r="BY1041" s="14"/>
      <c r="BZ1041" s="14"/>
      <c r="CA1041" s="14"/>
      <c r="CB1041" s="14"/>
      <c r="CC1041" s="14"/>
      <c r="CD1041" s="14"/>
      <c r="CE1041" s="14"/>
      <c r="CF1041" s="15"/>
      <c r="CG1041" s="14"/>
      <c r="CH1041" s="14"/>
      <c r="CI1041" s="50"/>
      <c r="CJ1041" s="54"/>
      <c r="CK1041" s="14"/>
      <c r="CL1041" s="14"/>
      <c r="CM1041" s="14"/>
      <c r="CN1041" s="14"/>
      <c r="CO1041" s="14"/>
      <c r="CP1041" s="14"/>
      <c r="CQ1041" s="14"/>
      <c r="CR1041" s="14"/>
      <c r="CS1041" s="14"/>
      <c r="CT1041" s="14"/>
      <c r="CU1041" s="16"/>
      <c r="CV1041" s="14"/>
      <c r="CW1041" s="50"/>
      <c r="CX1041" s="17"/>
    </row>
    <row r="1042" spans="4:102" x14ac:dyDescent="0.25"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43"/>
      <c r="Q1042" s="11"/>
      <c r="R1042" s="11"/>
      <c r="S1042" s="11"/>
      <c r="T1042" s="11"/>
      <c r="U1042" s="11"/>
      <c r="V1042" s="11"/>
      <c r="W1042" s="11"/>
      <c r="X1042" s="12"/>
      <c r="Y1042" s="12"/>
      <c r="Z1042" s="12"/>
      <c r="AA1042" s="44"/>
      <c r="AB1042" s="45"/>
      <c r="AC1042" s="12"/>
      <c r="AD1042" s="12"/>
      <c r="AE1042" s="12"/>
      <c r="AF1042" s="12"/>
      <c r="AG1042" s="44"/>
      <c r="AH1042" s="45"/>
      <c r="AI1042" s="12"/>
      <c r="AJ1042" s="12"/>
      <c r="AK1042" s="12"/>
      <c r="AL1042" s="12"/>
      <c r="AM1042" s="44"/>
      <c r="AN1042" s="45"/>
      <c r="AO1042" s="12"/>
      <c r="AP1042" s="12"/>
      <c r="AQ1042" s="12"/>
      <c r="AR1042" s="12"/>
      <c r="AS1042" s="44"/>
      <c r="AT1042" s="45"/>
      <c r="AU1042" s="12"/>
      <c r="AV1042" s="12"/>
      <c r="AW1042" s="12"/>
      <c r="AX1042" s="12"/>
      <c r="AY1042" s="44"/>
      <c r="AZ1042" s="45"/>
      <c r="BA1042" s="12"/>
      <c r="BB1042" s="12"/>
      <c r="BC1042" s="12"/>
      <c r="BD1042" s="12"/>
      <c r="BE1042" s="44"/>
      <c r="BF1042" s="45"/>
      <c r="BG1042" s="12"/>
      <c r="BH1042" s="12"/>
      <c r="BI1042" s="12"/>
      <c r="BJ1042" s="12"/>
      <c r="BK1042" s="44"/>
      <c r="BL1042" s="45"/>
      <c r="BM1042" s="12"/>
      <c r="BN1042" s="12"/>
      <c r="BO1042" s="12"/>
      <c r="BP1042" s="12"/>
      <c r="BQ1042" s="48"/>
      <c r="BR1042" s="49"/>
      <c r="BS1042" s="13"/>
      <c r="BT1042" s="12"/>
      <c r="BV1042" s="14"/>
      <c r="BW1042" s="50"/>
      <c r="BX1042" s="54"/>
      <c r="BY1042" s="14"/>
      <c r="BZ1042" s="14"/>
      <c r="CA1042" s="14"/>
      <c r="CB1042" s="14"/>
      <c r="CC1042" s="14"/>
      <c r="CD1042" s="14"/>
      <c r="CE1042" s="14"/>
      <c r="CF1042" s="15"/>
      <c r="CG1042" s="14"/>
      <c r="CH1042" s="14"/>
      <c r="CI1042" s="50"/>
      <c r="CJ1042" s="54"/>
      <c r="CK1042" s="14"/>
      <c r="CL1042" s="14"/>
      <c r="CM1042" s="14"/>
      <c r="CN1042" s="14"/>
      <c r="CO1042" s="14"/>
      <c r="CP1042" s="14"/>
      <c r="CQ1042" s="14"/>
      <c r="CR1042" s="14"/>
      <c r="CS1042" s="14"/>
      <c r="CT1042" s="14"/>
      <c r="CU1042" s="16"/>
      <c r="CV1042" s="14"/>
      <c r="CW1042" s="50"/>
      <c r="CX1042" s="17"/>
    </row>
    <row r="1043" spans="4:102" x14ac:dyDescent="0.25"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43"/>
      <c r="Q1043" s="11"/>
      <c r="R1043" s="11"/>
      <c r="S1043" s="11"/>
      <c r="T1043" s="11"/>
      <c r="U1043" s="11"/>
      <c r="V1043" s="11"/>
      <c r="W1043" s="11"/>
      <c r="X1043" s="12"/>
      <c r="Y1043" s="12"/>
      <c r="Z1043" s="12"/>
      <c r="AA1043" s="44"/>
      <c r="AB1043" s="45"/>
      <c r="AC1043" s="12"/>
      <c r="AD1043" s="12"/>
      <c r="AE1043" s="12"/>
      <c r="AF1043" s="12"/>
      <c r="AG1043" s="44"/>
      <c r="AH1043" s="45"/>
      <c r="AI1043" s="12"/>
      <c r="AJ1043" s="12"/>
      <c r="AK1043" s="12"/>
      <c r="AL1043" s="12"/>
      <c r="AM1043" s="44"/>
      <c r="AN1043" s="45"/>
      <c r="AO1043" s="12"/>
      <c r="AP1043" s="12"/>
      <c r="AQ1043" s="12"/>
      <c r="AR1043" s="12"/>
      <c r="AS1043" s="44"/>
      <c r="AT1043" s="45"/>
      <c r="AU1043" s="12"/>
      <c r="AV1043" s="12"/>
      <c r="AW1043" s="12"/>
      <c r="AX1043" s="12"/>
      <c r="AY1043" s="44"/>
      <c r="AZ1043" s="45"/>
      <c r="BA1043" s="12"/>
      <c r="BB1043" s="12"/>
      <c r="BC1043" s="12"/>
      <c r="BD1043" s="12"/>
      <c r="BE1043" s="44"/>
      <c r="BF1043" s="45"/>
      <c r="BG1043" s="12"/>
      <c r="BH1043" s="12"/>
      <c r="BI1043" s="12"/>
      <c r="BJ1043" s="12"/>
      <c r="BK1043" s="44"/>
      <c r="BL1043" s="45"/>
      <c r="BM1043" s="12"/>
      <c r="BN1043" s="12"/>
      <c r="BO1043" s="12"/>
      <c r="BP1043" s="12"/>
      <c r="BQ1043" s="48"/>
      <c r="BR1043" s="49"/>
      <c r="BS1043" s="13"/>
      <c r="BT1043" s="12"/>
      <c r="BV1043" s="14"/>
      <c r="BW1043" s="50"/>
      <c r="BX1043" s="54"/>
      <c r="BY1043" s="14"/>
      <c r="BZ1043" s="14"/>
      <c r="CA1043" s="14"/>
      <c r="CB1043" s="14"/>
      <c r="CC1043" s="14"/>
      <c r="CD1043" s="14"/>
      <c r="CE1043" s="14"/>
      <c r="CF1043" s="15"/>
      <c r="CG1043" s="14"/>
      <c r="CH1043" s="14"/>
      <c r="CI1043" s="50"/>
      <c r="CJ1043" s="54"/>
      <c r="CK1043" s="14"/>
      <c r="CL1043" s="14"/>
      <c r="CM1043" s="14"/>
      <c r="CN1043" s="14"/>
      <c r="CO1043" s="14"/>
      <c r="CP1043" s="14"/>
      <c r="CQ1043" s="14"/>
      <c r="CR1043" s="14"/>
      <c r="CS1043" s="14"/>
      <c r="CT1043" s="14"/>
      <c r="CU1043" s="16"/>
      <c r="CV1043" s="14"/>
      <c r="CW1043" s="50"/>
      <c r="CX1043" s="17"/>
    </row>
    <row r="1044" spans="4:102" x14ac:dyDescent="0.25"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43"/>
      <c r="Q1044" s="11"/>
      <c r="R1044" s="11"/>
      <c r="S1044" s="11"/>
      <c r="T1044" s="11"/>
      <c r="U1044" s="11"/>
      <c r="V1044" s="11"/>
      <c r="W1044" s="11"/>
      <c r="X1044" s="12"/>
      <c r="Y1044" s="12"/>
      <c r="Z1044" s="12"/>
      <c r="AA1044" s="44"/>
      <c r="AB1044" s="45"/>
      <c r="AC1044" s="12"/>
      <c r="AD1044" s="12"/>
      <c r="AE1044" s="12"/>
      <c r="AF1044" s="12"/>
      <c r="AG1044" s="44"/>
      <c r="AH1044" s="45"/>
      <c r="AI1044" s="12"/>
      <c r="AJ1044" s="12"/>
      <c r="AK1044" s="12"/>
      <c r="AL1044" s="12"/>
      <c r="AM1044" s="44"/>
      <c r="AN1044" s="45"/>
      <c r="AO1044" s="12"/>
      <c r="AP1044" s="12"/>
      <c r="AQ1044" s="12"/>
      <c r="AR1044" s="12"/>
      <c r="AS1044" s="44"/>
      <c r="AT1044" s="45"/>
      <c r="AU1044" s="12"/>
      <c r="AV1044" s="12"/>
      <c r="AW1044" s="12"/>
      <c r="AX1044" s="12"/>
      <c r="AY1044" s="44"/>
      <c r="AZ1044" s="45"/>
      <c r="BA1044" s="12"/>
      <c r="BB1044" s="12"/>
      <c r="BC1044" s="12"/>
      <c r="BD1044" s="12"/>
      <c r="BE1044" s="44"/>
      <c r="BF1044" s="45"/>
      <c r="BG1044" s="12"/>
      <c r="BH1044" s="12"/>
      <c r="BI1044" s="12"/>
      <c r="BJ1044" s="12"/>
      <c r="BK1044" s="44"/>
      <c r="BL1044" s="45"/>
      <c r="BM1044" s="12"/>
      <c r="BN1044" s="12"/>
      <c r="BO1044" s="12"/>
      <c r="BP1044" s="12"/>
      <c r="BQ1044" s="48"/>
      <c r="BR1044" s="49"/>
      <c r="BS1044" s="13"/>
      <c r="BT1044" s="12"/>
      <c r="BV1044" s="14"/>
      <c r="BW1044" s="50"/>
      <c r="BX1044" s="54"/>
      <c r="BY1044" s="14"/>
      <c r="BZ1044" s="14"/>
      <c r="CA1044" s="14"/>
      <c r="CB1044" s="14"/>
      <c r="CC1044" s="14"/>
      <c r="CD1044" s="14"/>
      <c r="CE1044" s="14"/>
      <c r="CF1044" s="15"/>
      <c r="CG1044" s="14"/>
      <c r="CH1044" s="14"/>
      <c r="CI1044" s="50"/>
      <c r="CJ1044" s="54"/>
      <c r="CK1044" s="14"/>
      <c r="CL1044" s="14"/>
      <c r="CM1044" s="14"/>
      <c r="CN1044" s="14"/>
      <c r="CO1044" s="14"/>
      <c r="CP1044" s="14"/>
      <c r="CQ1044" s="14"/>
      <c r="CR1044" s="14"/>
      <c r="CS1044" s="14"/>
      <c r="CT1044" s="14"/>
      <c r="CU1044" s="16"/>
      <c r="CV1044" s="14"/>
      <c r="CW1044" s="50"/>
      <c r="CX1044" s="17"/>
    </row>
    <row r="1045" spans="4:102" x14ac:dyDescent="0.25"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43"/>
      <c r="Q1045" s="11"/>
      <c r="R1045" s="11"/>
      <c r="S1045" s="11"/>
      <c r="T1045" s="11"/>
      <c r="U1045" s="11"/>
      <c r="V1045" s="11"/>
      <c r="W1045" s="11"/>
      <c r="X1045" s="12"/>
      <c r="Y1045" s="12"/>
      <c r="Z1045" s="12"/>
      <c r="AA1045" s="44"/>
      <c r="AB1045" s="45"/>
      <c r="AC1045" s="12"/>
      <c r="AD1045" s="12"/>
      <c r="AE1045" s="12"/>
      <c r="AF1045" s="12"/>
      <c r="AG1045" s="44"/>
      <c r="AH1045" s="45"/>
      <c r="AI1045" s="12"/>
      <c r="AJ1045" s="12"/>
      <c r="AK1045" s="12"/>
      <c r="AL1045" s="12"/>
      <c r="AM1045" s="44"/>
      <c r="AN1045" s="45"/>
      <c r="AO1045" s="12"/>
      <c r="AP1045" s="12"/>
      <c r="AQ1045" s="12"/>
      <c r="AR1045" s="12"/>
      <c r="AS1045" s="44"/>
      <c r="AT1045" s="45"/>
      <c r="AU1045" s="12"/>
      <c r="AV1045" s="12"/>
      <c r="AW1045" s="12"/>
      <c r="AX1045" s="12"/>
      <c r="AY1045" s="44"/>
      <c r="AZ1045" s="45"/>
      <c r="BA1045" s="12"/>
      <c r="BB1045" s="12"/>
      <c r="BC1045" s="12"/>
      <c r="BD1045" s="12"/>
      <c r="BE1045" s="44"/>
      <c r="BF1045" s="45"/>
      <c r="BG1045" s="12"/>
      <c r="BH1045" s="12"/>
      <c r="BI1045" s="12"/>
      <c r="BJ1045" s="12"/>
      <c r="BK1045" s="44"/>
      <c r="BL1045" s="45"/>
      <c r="BM1045" s="12"/>
      <c r="BN1045" s="12"/>
      <c r="BO1045" s="12"/>
      <c r="BP1045" s="12"/>
      <c r="BQ1045" s="48"/>
      <c r="BR1045" s="49"/>
      <c r="BS1045" s="13"/>
      <c r="BT1045" s="12"/>
      <c r="BV1045" s="14"/>
      <c r="BW1045" s="50"/>
      <c r="BX1045" s="54"/>
      <c r="BY1045" s="14"/>
      <c r="BZ1045" s="14"/>
      <c r="CA1045" s="14"/>
      <c r="CB1045" s="14"/>
      <c r="CC1045" s="14"/>
      <c r="CD1045" s="14"/>
      <c r="CE1045" s="14"/>
      <c r="CF1045" s="15"/>
      <c r="CG1045" s="14"/>
      <c r="CH1045" s="14"/>
      <c r="CI1045" s="50"/>
      <c r="CJ1045" s="54"/>
      <c r="CK1045" s="14"/>
      <c r="CL1045" s="14"/>
      <c r="CM1045" s="14"/>
      <c r="CN1045" s="14"/>
      <c r="CO1045" s="14"/>
      <c r="CP1045" s="14"/>
      <c r="CQ1045" s="14"/>
      <c r="CR1045" s="14"/>
      <c r="CS1045" s="14"/>
      <c r="CT1045" s="14"/>
      <c r="CU1045" s="16"/>
      <c r="CV1045" s="14"/>
      <c r="CW1045" s="50"/>
      <c r="CX1045" s="17"/>
    </row>
    <row r="1046" spans="4:102" x14ac:dyDescent="0.25"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43"/>
      <c r="Q1046" s="11"/>
      <c r="R1046" s="11"/>
      <c r="S1046" s="11"/>
      <c r="T1046" s="11"/>
      <c r="U1046" s="11"/>
      <c r="V1046" s="11"/>
      <c r="W1046" s="11"/>
      <c r="X1046" s="12"/>
      <c r="Y1046" s="12"/>
      <c r="Z1046" s="12"/>
      <c r="AA1046" s="44"/>
      <c r="AB1046" s="45"/>
      <c r="AC1046" s="12"/>
      <c r="AD1046" s="12"/>
      <c r="AE1046" s="12"/>
      <c r="AF1046" s="12"/>
      <c r="AG1046" s="44"/>
      <c r="AH1046" s="45"/>
      <c r="AI1046" s="12"/>
      <c r="AJ1046" s="12"/>
      <c r="AK1046" s="12"/>
      <c r="AL1046" s="12"/>
      <c r="AM1046" s="44"/>
      <c r="AN1046" s="45"/>
      <c r="AO1046" s="12"/>
      <c r="AP1046" s="12"/>
      <c r="AQ1046" s="12"/>
      <c r="AR1046" s="12"/>
      <c r="AS1046" s="44"/>
      <c r="AT1046" s="45"/>
      <c r="AU1046" s="12"/>
      <c r="AV1046" s="12"/>
      <c r="AW1046" s="12"/>
      <c r="AX1046" s="12"/>
      <c r="AY1046" s="44"/>
      <c r="AZ1046" s="45"/>
      <c r="BA1046" s="12"/>
      <c r="BB1046" s="12"/>
      <c r="BC1046" s="12"/>
      <c r="BD1046" s="12"/>
      <c r="BE1046" s="44"/>
      <c r="BF1046" s="45"/>
      <c r="BG1046" s="12"/>
      <c r="BH1046" s="12"/>
      <c r="BI1046" s="12"/>
      <c r="BJ1046" s="12"/>
      <c r="BK1046" s="44"/>
      <c r="BL1046" s="45"/>
      <c r="BM1046" s="12"/>
      <c r="BN1046" s="12"/>
      <c r="BO1046" s="12"/>
      <c r="BP1046" s="12"/>
      <c r="BQ1046" s="48"/>
      <c r="BR1046" s="49"/>
      <c r="BS1046" s="13"/>
      <c r="BT1046" s="12"/>
      <c r="BV1046" s="14"/>
      <c r="BW1046" s="50"/>
      <c r="BX1046" s="54"/>
      <c r="BY1046" s="14"/>
      <c r="BZ1046" s="14"/>
      <c r="CA1046" s="14"/>
      <c r="CB1046" s="14"/>
      <c r="CC1046" s="14"/>
      <c r="CD1046" s="14"/>
      <c r="CE1046" s="14"/>
      <c r="CF1046" s="15"/>
      <c r="CG1046" s="14"/>
      <c r="CH1046" s="14"/>
      <c r="CI1046" s="50"/>
      <c r="CJ1046" s="54"/>
      <c r="CK1046" s="14"/>
      <c r="CL1046" s="14"/>
      <c r="CM1046" s="14"/>
      <c r="CN1046" s="14"/>
      <c r="CO1046" s="14"/>
      <c r="CP1046" s="14"/>
      <c r="CQ1046" s="14"/>
      <c r="CR1046" s="14"/>
      <c r="CS1046" s="14"/>
      <c r="CT1046" s="14"/>
      <c r="CU1046" s="16"/>
      <c r="CV1046" s="14"/>
      <c r="CW1046" s="50"/>
      <c r="CX1046" s="17"/>
    </row>
    <row r="1047" spans="4:102" x14ac:dyDescent="0.25"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43"/>
      <c r="Q1047" s="11"/>
      <c r="R1047" s="11"/>
      <c r="S1047" s="11"/>
      <c r="T1047" s="11"/>
      <c r="U1047" s="11"/>
      <c r="V1047" s="11"/>
      <c r="W1047" s="11"/>
      <c r="X1047" s="12"/>
      <c r="Y1047" s="12"/>
      <c r="Z1047" s="12"/>
      <c r="AA1047" s="44"/>
      <c r="AB1047" s="45"/>
      <c r="AC1047" s="12"/>
      <c r="AD1047" s="12"/>
      <c r="AE1047" s="12"/>
      <c r="AF1047" s="12"/>
      <c r="AG1047" s="44"/>
      <c r="AH1047" s="45"/>
      <c r="AI1047" s="12"/>
      <c r="AJ1047" s="12"/>
      <c r="AK1047" s="12"/>
      <c r="AL1047" s="12"/>
      <c r="AM1047" s="44"/>
      <c r="AN1047" s="45"/>
      <c r="AO1047" s="12"/>
      <c r="AP1047" s="12"/>
      <c r="AQ1047" s="12"/>
      <c r="AR1047" s="12"/>
      <c r="AS1047" s="44"/>
      <c r="AT1047" s="45"/>
      <c r="AU1047" s="12"/>
      <c r="AV1047" s="12"/>
      <c r="AW1047" s="12"/>
      <c r="AX1047" s="12"/>
      <c r="AY1047" s="44"/>
      <c r="AZ1047" s="45"/>
      <c r="BA1047" s="12"/>
      <c r="BB1047" s="12"/>
      <c r="BC1047" s="12"/>
      <c r="BD1047" s="12"/>
      <c r="BE1047" s="44"/>
      <c r="BF1047" s="45"/>
      <c r="BG1047" s="12"/>
      <c r="BH1047" s="12"/>
      <c r="BI1047" s="12"/>
      <c r="BJ1047" s="12"/>
      <c r="BK1047" s="44"/>
      <c r="BL1047" s="45"/>
      <c r="BM1047" s="12"/>
      <c r="BN1047" s="12"/>
      <c r="BO1047" s="12"/>
      <c r="BP1047" s="12"/>
      <c r="BQ1047" s="48"/>
      <c r="BR1047" s="49"/>
      <c r="BS1047" s="13"/>
      <c r="BT1047" s="12"/>
      <c r="BV1047" s="14"/>
      <c r="BW1047" s="50"/>
      <c r="BX1047" s="54"/>
      <c r="BY1047" s="14"/>
      <c r="BZ1047" s="14"/>
      <c r="CA1047" s="14"/>
      <c r="CB1047" s="14"/>
      <c r="CC1047" s="14"/>
      <c r="CD1047" s="14"/>
      <c r="CE1047" s="14"/>
      <c r="CF1047" s="15"/>
      <c r="CG1047" s="14"/>
      <c r="CH1047" s="14"/>
      <c r="CI1047" s="50"/>
      <c r="CJ1047" s="54"/>
      <c r="CK1047" s="14"/>
      <c r="CL1047" s="14"/>
      <c r="CM1047" s="14"/>
      <c r="CN1047" s="14"/>
      <c r="CO1047" s="14"/>
      <c r="CP1047" s="14"/>
      <c r="CQ1047" s="14"/>
      <c r="CR1047" s="14"/>
      <c r="CS1047" s="14"/>
      <c r="CT1047" s="14"/>
      <c r="CU1047" s="16"/>
      <c r="CV1047" s="14"/>
      <c r="CW1047" s="50"/>
      <c r="CX1047" s="17"/>
    </row>
    <row r="1048" spans="4:102" x14ac:dyDescent="0.25"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43"/>
      <c r="Q1048" s="11"/>
      <c r="R1048" s="11"/>
      <c r="S1048" s="11"/>
      <c r="T1048" s="11"/>
      <c r="U1048" s="11"/>
      <c r="V1048" s="11"/>
      <c r="W1048" s="11"/>
      <c r="X1048" s="12"/>
      <c r="Y1048" s="12"/>
      <c r="Z1048" s="12"/>
      <c r="AA1048" s="44"/>
      <c r="AB1048" s="45"/>
      <c r="AC1048" s="12"/>
      <c r="AD1048" s="12"/>
      <c r="AE1048" s="12"/>
      <c r="AF1048" s="12"/>
      <c r="AG1048" s="44"/>
      <c r="AH1048" s="45"/>
      <c r="AI1048" s="12"/>
      <c r="AJ1048" s="12"/>
      <c r="AK1048" s="12"/>
      <c r="AL1048" s="12"/>
      <c r="AM1048" s="44"/>
      <c r="AN1048" s="45"/>
      <c r="AO1048" s="12"/>
      <c r="AP1048" s="12"/>
      <c r="AQ1048" s="12"/>
      <c r="AR1048" s="12"/>
      <c r="AS1048" s="44"/>
      <c r="AT1048" s="45"/>
      <c r="AU1048" s="12"/>
      <c r="AV1048" s="12"/>
      <c r="AW1048" s="12"/>
      <c r="AX1048" s="12"/>
      <c r="AY1048" s="44"/>
      <c r="AZ1048" s="45"/>
      <c r="BA1048" s="12"/>
      <c r="BB1048" s="12"/>
      <c r="BC1048" s="12"/>
      <c r="BD1048" s="12"/>
      <c r="BE1048" s="44"/>
      <c r="BF1048" s="45"/>
      <c r="BG1048" s="12"/>
      <c r="BH1048" s="12"/>
      <c r="BI1048" s="12"/>
      <c r="BJ1048" s="12"/>
      <c r="BK1048" s="44"/>
      <c r="BL1048" s="45"/>
      <c r="BM1048" s="12"/>
      <c r="BN1048" s="12"/>
      <c r="BO1048" s="12"/>
      <c r="BP1048" s="12"/>
      <c r="BQ1048" s="48"/>
      <c r="BR1048" s="49"/>
      <c r="BS1048" s="13"/>
      <c r="BT1048" s="12"/>
      <c r="BV1048" s="14"/>
      <c r="BW1048" s="50"/>
      <c r="BX1048" s="54"/>
      <c r="BY1048" s="14"/>
      <c r="BZ1048" s="14"/>
      <c r="CA1048" s="14"/>
      <c r="CB1048" s="14"/>
      <c r="CC1048" s="14"/>
      <c r="CD1048" s="14"/>
      <c r="CE1048" s="14"/>
      <c r="CF1048" s="15"/>
      <c r="CG1048" s="14"/>
      <c r="CH1048" s="14"/>
      <c r="CI1048" s="50"/>
      <c r="CJ1048" s="54"/>
      <c r="CK1048" s="14"/>
      <c r="CL1048" s="14"/>
      <c r="CM1048" s="14"/>
      <c r="CN1048" s="14"/>
      <c r="CO1048" s="14"/>
      <c r="CP1048" s="14"/>
      <c r="CQ1048" s="14"/>
      <c r="CR1048" s="14"/>
      <c r="CS1048" s="14"/>
      <c r="CT1048" s="14"/>
      <c r="CU1048" s="16"/>
      <c r="CV1048" s="14"/>
      <c r="CW1048" s="50"/>
      <c r="CX1048" s="17"/>
    </row>
    <row r="1049" spans="4:102" x14ac:dyDescent="0.25"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43"/>
      <c r="Q1049" s="11"/>
      <c r="R1049" s="11"/>
      <c r="S1049" s="11"/>
      <c r="T1049" s="11"/>
      <c r="U1049" s="11"/>
      <c r="V1049" s="11"/>
      <c r="W1049" s="11"/>
      <c r="X1049" s="12"/>
      <c r="Y1049" s="12"/>
      <c r="Z1049" s="12"/>
      <c r="AA1049" s="44"/>
      <c r="AB1049" s="45"/>
      <c r="AC1049" s="12"/>
      <c r="AD1049" s="12"/>
      <c r="AE1049" s="12"/>
      <c r="AF1049" s="12"/>
      <c r="AG1049" s="44"/>
      <c r="AH1049" s="45"/>
      <c r="AI1049" s="12"/>
      <c r="AJ1049" s="12"/>
      <c r="AK1049" s="12"/>
      <c r="AL1049" s="12"/>
      <c r="AM1049" s="44"/>
      <c r="AN1049" s="45"/>
      <c r="AO1049" s="12"/>
      <c r="AP1049" s="12"/>
      <c r="AQ1049" s="12"/>
      <c r="AR1049" s="12"/>
      <c r="AS1049" s="44"/>
      <c r="AT1049" s="45"/>
      <c r="AU1049" s="12"/>
      <c r="AV1049" s="12"/>
      <c r="AW1049" s="12"/>
      <c r="AX1049" s="12"/>
      <c r="AY1049" s="44"/>
      <c r="AZ1049" s="45"/>
      <c r="BA1049" s="12"/>
      <c r="BB1049" s="12"/>
      <c r="BC1049" s="12"/>
      <c r="BD1049" s="12"/>
      <c r="BE1049" s="44"/>
      <c r="BF1049" s="45"/>
      <c r="BG1049" s="12"/>
      <c r="BH1049" s="12"/>
      <c r="BI1049" s="12"/>
      <c r="BJ1049" s="12"/>
      <c r="BK1049" s="44"/>
      <c r="BL1049" s="45"/>
      <c r="BM1049" s="12"/>
      <c r="BN1049" s="12"/>
      <c r="BO1049" s="12"/>
      <c r="BP1049" s="12"/>
      <c r="BQ1049" s="48"/>
      <c r="BR1049" s="49"/>
      <c r="BS1049" s="13"/>
      <c r="BT1049" s="12"/>
      <c r="BV1049" s="14"/>
      <c r="BW1049" s="50"/>
      <c r="BX1049" s="54"/>
      <c r="BY1049" s="14"/>
      <c r="BZ1049" s="14"/>
      <c r="CA1049" s="14"/>
      <c r="CB1049" s="14"/>
      <c r="CC1049" s="14"/>
      <c r="CD1049" s="14"/>
      <c r="CE1049" s="14"/>
      <c r="CF1049" s="15"/>
      <c r="CG1049" s="14"/>
      <c r="CH1049" s="14"/>
      <c r="CI1049" s="50"/>
      <c r="CJ1049" s="54"/>
      <c r="CK1049" s="14"/>
      <c r="CL1049" s="14"/>
      <c r="CM1049" s="14"/>
      <c r="CN1049" s="14"/>
      <c r="CO1049" s="14"/>
      <c r="CP1049" s="14"/>
      <c r="CQ1049" s="14"/>
      <c r="CR1049" s="14"/>
      <c r="CS1049" s="14"/>
      <c r="CT1049" s="14"/>
      <c r="CU1049" s="16"/>
      <c r="CV1049" s="14"/>
      <c r="CW1049" s="50"/>
      <c r="CX1049" s="17"/>
    </row>
    <row r="1050" spans="4:102" x14ac:dyDescent="0.25"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43"/>
      <c r="Q1050" s="11"/>
      <c r="R1050" s="11"/>
      <c r="S1050" s="11"/>
      <c r="T1050" s="11"/>
      <c r="U1050" s="11"/>
      <c r="V1050" s="11"/>
      <c r="W1050" s="11"/>
      <c r="X1050" s="12"/>
      <c r="Y1050" s="12"/>
      <c r="Z1050" s="12"/>
      <c r="AA1050" s="44"/>
      <c r="AB1050" s="45"/>
      <c r="AC1050" s="12"/>
      <c r="AD1050" s="12"/>
      <c r="AE1050" s="12"/>
      <c r="AF1050" s="12"/>
      <c r="AG1050" s="44"/>
      <c r="AH1050" s="45"/>
      <c r="AI1050" s="12"/>
      <c r="AJ1050" s="12"/>
      <c r="AK1050" s="12"/>
      <c r="AL1050" s="12"/>
      <c r="AM1050" s="44"/>
      <c r="AN1050" s="45"/>
      <c r="AO1050" s="12"/>
      <c r="AP1050" s="12"/>
      <c r="AQ1050" s="12"/>
      <c r="AR1050" s="12"/>
      <c r="AS1050" s="44"/>
      <c r="AT1050" s="45"/>
      <c r="AU1050" s="12"/>
      <c r="AV1050" s="12"/>
      <c r="AW1050" s="12"/>
      <c r="AX1050" s="12"/>
      <c r="AY1050" s="44"/>
      <c r="AZ1050" s="45"/>
      <c r="BA1050" s="12"/>
      <c r="BB1050" s="12"/>
      <c r="BC1050" s="12"/>
      <c r="BD1050" s="12"/>
      <c r="BE1050" s="44"/>
      <c r="BF1050" s="45"/>
      <c r="BG1050" s="12"/>
      <c r="BH1050" s="12"/>
      <c r="BI1050" s="12"/>
      <c r="BJ1050" s="12"/>
      <c r="BK1050" s="44"/>
      <c r="BL1050" s="45"/>
      <c r="BM1050" s="12"/>
      <c r="BN1050" s="12"/>
      <c r="BO1050" s="12"/>
      <c r="BP1050" s="12"/>
      <c r="BQ1050" s="48"/>
      <c r="BR1050" s="49"/>
      <c r="BS1050" s="13"/>
      <c r="BT1050" s="12"/>
      <c r="BV1050" s="14"/>
      <c r="BW1050" s="50"/>
      <c r="BX1050" s="54"/>
      <c r="BY1050" s="14"/>
      <c r="BZ1050" s="14"/>
      <c r="CA1050" s="14"/>
      <c r="CB1050" s="14"/>
      <c r="CC1050" s="14"/>
      <c r="CD1050" s="14"/>
      <c r="CE1050" s="14"/>
      <c r="CF1050" s="15"/>
      <c r="CG1050" s="14"/>
      <c r="CH1050" s="14"/>
      <c r="CI1050" s="50"/>
      <c r="CJ1050" s="54"/>
      <c r="CK1050" s="14"/>
      <c r="CL1050" s="14"/>
      <c r="CM1050" s="14"/>
      <c r="CN1050" s="14"/>
      <c r="CO1050" s="14"/>
      <c r="CP1050" s="14"/>
      <c r="CQ1050" s="14"/>
      <c r="CR1050" s="14"/>
      <c r="CS1050" s="14"/>
      <c r="CT1050" s="14"/>
      <c r="CU1050" s="16"/>
      <c r="CV1050" s="14"/>
      <c r="CW1050" s="50"/>
      <c r="CX1050" s="17"/>
    </row>
    <row r="1051" spans="4:102" x14ac:dyDescent="0.25"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43"/>
      <c r="Q1051" s="11"/>
      <c r="R1051" s="11"/>
      <c r="S1051" s="11"/>
      <c r="T1051" s="11"/>
      <c r="U1051" s="11"/>
      <c r="V1051" s="11"/>
      <c r="W1051" s="11"/>
      <c r="X1051" s="12"/>
      <c r="Y1051" s="12"/>
      <c r="Z1051" s="12"/>
      <c r="AA1051" s="44"/>
      <c r="AB1051" s="45"/>
      <c r="AC1051" s="12"/>
      <c r="AD1051" s="12"/>
      <c r="AE1051" s="12"/>
      <c r="AF1051" s="12"/>
      <c r="AG1051" s="44"/>
      <c r="AH1051" s="45"/>
      <c r="AI1051" s="12"/>
      <c r="AJ1051" s="12"/>
      <c r="AK1051" s="12"/>
      <c r="AL1051" s="12"/>
      <c r="AM1051" s="44"/>
      <c r="AN1051" s="45"/>
      <c r="AO1051" s="12"/>
      <c r="AP1051" s="12"/>
      <c r="AQ1051" s="12"/>
      <c r="AR1051" s="12"/>
      <c r="AS1051" s="44"/>
      <c r="AT1051" s="45"/>
      <c r="AU1051" s="12"/>
      <c r="AV1051" s="12"/>
      <c r="AW1051" s="12"/>
      <c r="AX1051" s="12"/>
      <c r="AY1051" s="44"/>
      <c r="AZ1051" s="45"/>
      <c r="BA1051" s="12"/>
      <c r="BB1051" s="12"/>
      <c r="BC1051" s="12"/>
      <c r="BD1051" s="12"/>
      <c r="BE1051" s="44"/>
      <c r="BF1051" s="45"/>
      <c r="BG1051" s="12"/>
      <c r="BH1051" s="12"/>
      <c r="BI1051" s="12"/>
      <c r="BJ1051" s="12"/>
      <c r="BK1051" s="44"/>
      <c r="BL1051" s="45"/>
      <c r="BM1051" s="12"/>
      <c r="BN1051" s="12"/>
      <c r="BO1051" s="12"/>
      <c r="BP1051" s="12"/>
      <c r="BQ1051" s="48"/>
      <c r="BR1051" s="49"/>
      <c r="BS1051" s="13"/>
      <c r="BT1051" s="12"/>
      <c r="BV1051" s="14"/>
      <c r="BW1051" s="50"/>
      <c r="BX1051" s="54"/>
      <c r="BY1051" s="14"/>
      <c r="BZ1051" s="14"/>
      <c r="CA1051" s="14"/>
      <c r="CB1051" s="14"/>
      <c r="CC1051" s="14"/>
      <c r="CD1051" s="14"/>
      <c r="CE1051" s="14"/>
      <c r="CF1051" s="15"/>
      <c r="CG1051" s="14"/>
      <c r="CH1051" s="14"/>
      <c r="CI1051" s="50"/>
      <c r="CJ1051" s="54"/>
      <c r="CK1051" s="14"/>
      <c r="CL1051" s="14"/>
      <c r="CM1051" s="14"/>
      <c r="CN1051" s="14"/>
      <c r="CO1051" s="14"/>
      <c r="CP1051" s="14"/>
      <c r="CQ1051" s="14"/>
      <c r="CR1051" s="14"/>
      <c r="CS1051" s="14"/>
      <c r="CT1051" s="14"/>
      <c r="CU1051" s="16"/>
      <c r="CV1051" s="14"/>
      <c r="CW1051" s="50"/>
      <c r="CX1051" s="17"/>
    </row>
    <row r="1052" spans="4:102" x14ac:dyDescent="0.25"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43"/>
      <c r="Q1052" s="11"/>
      <c r="R1052" s="11"/>
      <c r="S1052" s="11"/>
      <c r="T1052" s="11"/>
      <c r="U1052" s="11"/>
      <c r="V1052" s="11"/>
      <c r="W1052" s="11"/>
      <c r="X1052" s="12"/>
      <c r="Y1052" s="12"/>
      <c r="Z1052" s="12"/>
      <c r="AA1052" s="44"/>
      <c r="AB1052" s="45"/>
      <c r="AC1052" s="12"/>
      <c r="AD1052" s="12"/>
      <c r="AE1052" s="12"/>
      <c r="AF1052" s="12"/>
      <c r="AG1052" s="44"/>
      <c r="AH1052" s="45"/>
      <c r="AI1052" s="12"/>
      <c r="AJ1052" s="12"/>
      <c r="AK1052" s="12"/>
      <c r="AL1052" s="12"/>
      <c r="AM1052" s="44"/>
      <c r="AN1052" s="45"/>
      <c r="AO1052" s="12"/>
      <c r="AP1052" s="12"/>
      <c r="AQ1052" s="12"/>
      <c r="AR1052" s="12"/>
      <c r="AS1052" s="44"/>
      <c r="AT1052" s="45"/>
      <c r="AU1052" s="12"/>
      <c r="AV1052" s="12"/>
      <c r="AW1052" s="12"/>
      <c r="AX1052" s="12"/>
      <c r="AY1052" s="44"/>
      <c r="AZ1052" s="45"/>
      <c r="BA1052" s="12"/>
      <c r="BB1052" s="12"/>
      <c r="BC1052" s="12"/>
      <c r="BD1052" s="12"/>
      <c r="BE1052" s="44"/>
      <c r="BF1052" s="45"/>
      <c r="BG1052" s="12"/>
      <c r="BH1052" s="12"/>
      <c r="BI1052" s="12"/>
      <c r="BJ1052" s="12"/>
      <c r="BK1052" s="44"/>
      <c r="BL1052" s="45"/>
      <c r="BM1052" s="12"/>
      <c r="BN1052" s="12"/>
      <c r="BO1052" s="12"/>
      <c r="BP1052" s="12"/>
      <c r="BQ1052" s="48"/>
      <c r="BR1052" s="49"/>
      <c r="BS1052" s="13"/>
      <c r="BT1052" s="12"/>
      <c r="BV1052" s="14"/>
      <c r="BW1052" s="50"/>
      <c r="BX1052" s="54"/>
      <c r="BY1052" s="14"/>
      <c r="BZ1052" s="14"/>
      <c r="CA1052" s="14"/>
      <c r="CB1052" s="14"/>
      <c r="CC1052" s="14"/>
      <c r="CD1052" s="14"/>
      <c r="CE1052" s="14"/>
      <c r="CF1052" s="15"/>
      <c r="CG1052" s="14"/>
      <c r="CH1052" s="14"/>
      <c r="CI1052" s="50"/>
      <c r="CJ1052" s="54"/>
      <c r="CK1052" s="14"/>
      <c r="CL1052" s="14"/>
      <c r="CM1052" s="14"/>
      <c r="CN1052" s="14"/>
      <c r="CO1052" s="14"/>
      <c r="CP1052" s="14"/>
      <c r="CQ1052" s="14"/>
      <c r="CR1052" s="14"/>
      <c r="CS1052" s="14"/>
      <c r="CT1052" s="14"/>
      <c r="CU1052" s="16"/>
      <c r="CV1052" s="14"/>
      <c r="CW1052" s="50"/>
      <c r="CX1052" s="17"/>
    </row>
    <row r="1053" spans="4:102" x14ac:dyDescent="0.25"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43"/>
      <c r="Q1053" s="11"/>
      <c r="R1053" s="11"/>
      <c r="S1053" s="11"/>
      <c r="T1053" s="11"/>
      <c r="U1053" s="11"/>
      <c r="V1053" s="11"/>
      <c r="W1053" s="11"/>
      <c r="X1053" s="12"/>
      <c r="Y1053" s="12"/>
      <c r="Z1053" s="12"/>
      <c r="AA1053" s="44"/>
      <c r="AB1053" s="45"/>
      <c r="AC1053" s="12"/>
      <c r="AD1053" s="12"/>
      <c r="AE1053" s="12"/>
      <c r="AF1053" s="12"/>
      <c r="AG1053" s="44"/>
      <c r="AH1053" s="45"/>
      <c r="AI1053" s="12"/>
      <c r="AJ1053" s="12"/>
      <c r="AK1053" s="12"/>
      <c r="AL1053" s="12"/>
      <c r="AM1053" s="44"/>
      <c r="AN1053" s="45"/>
      <c r="AO1053" s="12"/>
      <c r="AP1053" s="12"/>
      <c r="AQ1053" s="12"/>
      <c r="AR1053" s="12"/>
      <c r="AS1053" s="44"/>
      <c r="AT1053" s="45"/>
      <c r="AU1053" s="12"/>
      <c r="AV1053" s="12"/>
      <c r="AW1053" s="12"/>
      <c r="AX1053" s="12"/>
      <c r="AY1053" s="44"/>
      <c r="AZ1053" s="45"/>
      <c r="BA1053" s="12"/>
      <c r="BB1053" s="12"/>
      <c r="BC1053" s="12"/>
      <c r="BD1053" s="12"/>
      <c r="BE1053" s="44"/>
      <c r="BF1053" s="45"/>
      <c r="BG1053" s="12"/>
      <c r="BH1053" s="12"/>
      <c r="BI1053" s="12"/>
      <c r="BJ1053" s="12"/>
      <c r="BK1053" s="44"/>
      <c r="BL1053" s="45"/>
      <c r="BM1053" s="12"/>
      <c r="BN1053" s="12"/>
      <c r="BO1053" s="12"/>
      <c r="BP1053" s="12"/>
      <c r="BQ1053" s="48"/>
      <c r="BR1053" s="49"/>
      <c r="BS1053" s="13"/>
      <c r="BT1053" s="12"/>
      <c r="BV1053" s="14"/>
      <c r="BW1053" s="50"/>
      <c r="BX1053" s="54"/>
      <c r="BY1053" s="14"/>
      <c r="BZ1053" s="14"/>
      <c r="CA1053" s="14"/>
      <c r="CB1053" s="14"/>
      <c r="CC1053" s="14"/>
      <c r="CD1053" s="14"/>
      <c r="CE1053" s="14"/>
      <c r="CF1053" s="15"/>
      <c r="CG1053" s="14"/>
      <c r="CH1053" s="14"/>
      <c r="CI1053" s="50"/>
      <c r="CJ1053" s="54"/>
      <c r="CK1053" s="14"/>
      <c r="CL1053" s="14"/>
      <c r="CM1053" s="14"/>
      <c r="CN1053" s="14"/>
      <c r="CO1053" s="14"/>
      <c r="CP1053" s="14"/>
      <c r="CQ1053" s="14"/>
      <c r="CR1053" s="14"/>
      <c r="CS1053" s="14"/>
      <c r="CT1053" s="14"/>
      <c r="CU1053" s="16"/>
      <c r="CV1053" s="14"/>
      <c r="CW1053" s="50"/>
      <c r="CX1053" s="17"/>
    </row>
    <row r="1054" spans="4:102" x14ac:dyDescent="0.25"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43"/>
      <c r="Q1054" s="11"/>
      <c r="R1054" s="11"/>
      <c r="S1054" s="11"/>
      <c r="T1054" s="11"/>
      <c r="U1054" s="11"/>
      <c r="V1054" s="11"/>
      <c r="W1054" s="11"/>
      <c r="X1054" s="12"/>
      <c r="Y1054" s="12"/>
      <c r="Z1054" s="12"/>
      <c r="AA1054" s="44"/>
      <c r="AB1054" s="45"/>
      <c r="AC1054" s="12"/>
      <c r="AD1054" s="12"/>
      <c r="AE1054" s="12"/>
      <c r="AF1054" s="12"/>
      <c r="AG1054" s="44"/>
      <c r="AH1054" s="45"/>
      <c r="AI1054" s="12"/>
      <c r="AJ1054" s="12"/>
      <c r="AK1054" s="12"/>
      <c r="AL1054" s="12"/>
      <c r="AM1054" s="44"/>
      <c r="AN1054" s="45"/>
      <c r="AO1054" s="12"/>
      <c r="AP1054" s="12"/>
      <c r="AQ1054" s="12"/>
      <c r="AR1054" s="12"/>
      <c r="AS1054" s="44"/>
      <c r="AT1054" s="45"/>
      <c r="AU1054" s="12"/>
      <c r="AV1054" s="12"/>
      <c r="AW1054" s="12"/>
      <c r="AX1054" s="12"/>
      <c r="AY1054" s="44"/>
      <c r="AZ1054" s="45"/>
      <c r="BA1054" s="12"/>
      <c r="BB1054" s="12"/>
      <c r="BC1054" s="12"/>
      <c r="BD1054" s="12"/>
      <c r="BE1054" s="44"/>
      <c r="BF1054" s="45"/>
      <c r="BG1054" s="12"/>
      <c r="BH1054" s="12"/>
      <c r="BI1054" s="12"/>
      <c r="BJ1054" s="12"/>
      <c r="BK1054" s="44"/>
      <c r="BL1054" s="45"/>
      <c r="BM1054" s="12"/>
      <c r="BN1054" s="12"/>
      <c r="BO1054" s="12"/>
      <c r="BP1054" s="12"/>
      <c r="BQ1054" s="48"/>
      <c r="BR1054" s="49"/>
      <c r="BS1054" s="13"/>
      <c r="BT1054" s="12"/>
      <c r="BV1054" s="14"/>
      <c r="BW1054" s="50"/>
      <c r="BX1054" s="54"/>
      <c r="BY1054" s="14"/>
      <c r="BZ1054" s="14"/>
      <c r="CA1054" s="14"/>
      <c r="CB1054" s="14"/>
      <c r="CC1054" s="14"/>
      <c r="CD1054" s="14"/>
      <c r="CE1054" s="14"/>
      <c r="CF1054" s="15"/>
      <c r="CG1054" s="14"/>
      <c r="CH1054" s="14"/>
      <c r="CI1054" s="50"/>
      <c r="CJ1054" s="54"/>
      <c r="CK1054" s="14"/>
      <c r="CL1054" s="14"/>
      <c r="CM1054" s="14"/>
      <c r="CN1054" s="14"/>
      <c r="CO1054" s="14"/>
      <c r="CP1054" s="14"/>
      <c r="CQ1054" s="14"/>
      <c r="CR1054" s="14"/>
      <c r="CS1054" s="14"/>
      <c r="CT1054" s="14"/>
      <c r="CU1054" s="16"/>
      <c r="CV1054" s="14"/>
      <c r="CW1054" s="50"/>
      <c r="CX1054" s="17"/>
    </row>
    <row r="1055" spans="4:102" x14ac:dyDescent="0.25"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43"/>
      <c r="Q1055" s="11"/>
      <c r="R1055" s="11"/>
      <c r="S1055" s="11"/>
      <c r="T1055" s="11"/>
      <c r="U1055" s="11"/>
      <c r="V1055" s="11"/>
      <c r="W1055" s="11"/>
      <c r="X1055" s="12"/>
      <c r="Y1055" s="12"/>
      <c r="Z1055" s="12"/>
      <c r="AA1055" s="44"/>
      <c r="AB1055" s="45"/>
      <c r="AC1055" s="12"/>
      <c r="AD1055" s="12"/>
      <c r="AE1055" s="12"/>
      <c r="AF1055" s="12"/>
      <c r="AG1055" s="44"/>
      <c r="AH1055" s="45"/>
      <c r="AI1055" s="12"/>
      <c r="AJ1055" s="12"/>
      <c r="AK1055" s="12"/>
      <c r="AL1055" s="12"/>
      <c r="AM1055" s="44"/>
      <c r="AN1055" s="45"/>
      <c r="AO1055" s="12"/>
      <c r="AP1055" s="12"/>
      <c r="AQ1055" s="12"/>
      <c r="AR1055" s="12"/>
      <c r="AS1055" s="44"/>
      <c r="AT1055" s="45"/>
      <c r="AU1055" s="12"/>
      <c r="AV1055" s="12"/>
      <c r="AW1055" s="12"/>
      <c r="AX1055" s="12"/>
      <c r="AY1055" s="44"/>
      <c r="AZ1055" s="45"/>
      <c r="BA1055" s="12"/>
      <c r="BB1055" s="12"/>
      <c r="BC1055" s="12"/>
      <c r="BD1055" s="12"/>
      <c r="BE1055" s="44"/>
      <c r="BF1055" s="45"/>
      <c r="BG1055" s="12"/>
      <c r="BH1055" s="12"/>
      <c r="BI1055" s="12"/>
      <c r="BJ1055" s="12"/>
      <c r="BK1055" s="44"/>
      <c r="BL1055" s="45"/>
      <c r="BM1055" s="12"/>
      <c r="BN1055" s="12"/>
      <c r="BO1055" s="12"/>
      <c r="BP1055" s="12"/>
      <c r="BQ1055" s="48"/>
      <c r="BR1055" s="49"/>
      <c r="BS1055" s="13"/>
      <c r="BT1055" s="12"/>
      <c r="BV1055" s="14"/>
      <c r="BW1055" s="50"/>
      <c r="BX1055" s="54"/>
      <c r="BY1055" s="14"/>
      <c r="BZ1055" s="14"/>
      <c r="CA1055" s="14"/>
      <c r="CB1055" s="14"/>
      <c r="CC1055" s="14"/>
      <c r="CD1055" s="14"/>
      <c r="CE1055" s="14"/>
      <c r="CF1055" s="15"/>
      <c r="CG1055" s="14"/>
      <c r="CH1055" s="14"/>
      <c r="CI1055" s="50"/>
      <c r="CJ1055" s="54"/>
      <c r="CK1055" s="14"/>
      <c r="CL1055" s="14"/>
      <c r="CM1055" s="14"/>
      <c r="CN1055" s="14"/>
      <c r="CO1055" s="14"/>
      <c r="CP1055" s="14"/>
      <c r="CQ1055" s="14"/>
      <c r="CR1055" s="14"/>
      <c r="CS1055" s="14"/>
      <c r="CT1055" s="14"/>
      <c r="CU1055" s="16"/>
      <c r="CV1055" s="14"/>
      <c r="CW1055" s="50"/>
      <c r="CX1055" s="17"/>
    </row>
    <row r="1056" spans="4:102" x14ac:dyDescent="0.25"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43"/>
      <c r="Q1056" s="11"/>
      <c r="R1056" s="11"/>
      <c r="S1056" s="11"/>
      <c r="T1056" s="11"/>
      <c r="U1056" s="11"/>
      <c r="V1056" s="11"/>
      <c r="W1056" s="11"/>
      <c r="X1056" s="12"/>
      <c r="Y1056" s="12"/>
      <c r="Z1056" s="12"/>
      <c r="AA1056" s="44"/>
      <c r="AB1056" s="45"/>
      <c r="AC1056" s="12"/>
      <c r="AD1056" s="12"/>
      <c r="AE1056" s="12"/>
      <c r="AF1056" s="12"/>
      <c r="AG1056" s="44"/>
      <c r="AH1056" s="45"/>
      <c r="AI1056" s="12"/>
      <c r="AJ1056" s="12"/>
      <c r="AK1056" s="12"/>
      <c r="AL1056" s="12"/>
      <c r="AM1056" s="44"/>
      <c r="AN1056" s="45"/>
      <c r="AO1056" s="12"/>
      <c r="AP1056" s="12"/>
      <c r="AQ1056" s="12"/>
      <c r="AR1056" s="12"/>
      <c r="AS1056" s="44"/>
      <c r="AT1056" s="45"/>
      <c r="AU1056" s="12"/>
      <c r="AV1056" s="12"/>
      <c r="AW1056" s="12"/>
      <c r="AX1056" s="12"/>
      <c r="AY1056" s="44"/>
      <c r="AZ1056" s="45"/>
      <c r="BA1056" s="12"/>
      <c r="BB1056" s="12"/>
      <c r="BC1056" s="12"/>
      <c r="BD1056" s="12"/>
      <c r="BE1056" s="44"/>
      <c r="BF1056" s="45"/>
      <c r="BG1056" s="12"/>
      <c r="BH1056" s="12"/>
      <c r="BI1056" s="12"/>
      <c r="BJ1056" s="12"/>
      <c r="BK1056" s="44"/>
      <c r="BL1056" s="45"/>
      <c r="BM1056" s="12"/>
      <c r="BN1056" s="12"/>
      <c r="BO1056" s="12"/>
      <c r="BP1056" s="12"/>
      <c r="BQ1056" s="48"/>
      <c r="BR1056" s="49"/>
      <c r="BS1056" s="13"/>
      <c r="BT1056" s="12"/>
      <c r="BV1056" s="14"/>
      <c r="BW1056" s="50"/>
      <c r="BX1056" s="54"/>
      <c r="BY1056" s="14"/>
      <c r="BZ1056" s="14"/>
      <c r="CA1056" s="14"/>
      <c r="CB1056" s="14"/>
      <c r="CC1056" s="14"/>
      <c r="CD1056" s="14"/>
      <c r="CE1056" s="14"/>
      <c r="CF1056" s="15"/>
      <c r="CG1056" s="14"/>
      <c r="CH1056" s="14"/>
      <c r="CI1056" s="50"/>
      <c r="CJ1056" s="54"/>
      <c r="CK1056" s="14"/>
      <c r="CL1056" s="14"/>
      <c r="CM1056" s="14"/>
      <c r="CN1056" s="14"/>
      <c r="CO1056" s="14"/>
      <c r="CP1056" s="14"/>
      <c r="CQ1056" s="14"/>
      <c r="CR1056" s="14"/>
      <c r="CS1056" s="14"/>
      <c r="CT1056" s="14"/>
      <c r="CU1056" s="16"/>
      <c r="CV1056" s="14"/>
      <c r="CW1056" s="50"/>
      <c r="CX1056" s="17"/>
    </row>
    <row r="1057" spans="4:102" x14ac:dyDescent="0.25"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43"/>
      <c r="Q1057" s="11"/>
      <c r="R1057" s="11"/>
      <c r="S1057" s="11"/>
      <c r="T1057" s="11"/>
      <c r="U1057" s="11"/>
      <c r="V1057" s="11"/>
      <c r="W1057" s="11"/>
      <c r="X1057" s="12"/>
      <c r="Y1057" s="12"/>
      <c r="Z1057" s="12"/>
      <c r="AA1057" s="44"/>
      <c r="AB1057" s="45"/>
      <c r="AC1057" s="12"/>
      <c r="AD1057" s="12"/>
      <c r="AE1057" s="12"/>
      <c r="AF1057" s="12"/>
      <c r="AG1057" s="44"/>
      <c r="AH1057" s="45"/>
      <c r="AI1057" s="12"/>
      <c r="AJ1057" s="12"/>
      <c r="AK1057" s="12"/>
      <c r="AL1057" s="12"/>
      <c r="AM1057" s="44"/>
      <c r="AN1057" s="45"/>
      <c r="AO1057" s="12"/>
      <c r="AP1057" s="12"/>
      <c r="AQ1057" s="12"/>
      <c r="AR1057" s="12"/>
      <c r="AS1057" s="44"/>
      <c r="AT1057" s="45"/>
      <c r="AU1057" s="12"/>
      <c r="AV1057" s="12"/>
      <c r="AW1057" s="12"/>
      <c r="AX1057" s="12"/>
      <c r="AY1057" s="44"/>
      <c r="AZ1057" s="45"/>
      <c r="BA1057" s="12"/>
      <c r="BB1057" s="12"/>
      <c r="BC1057" s="12"/>
      <c r="BD1057" s="12"/>
      <c r="BE1057" s="44"/>
      <c r="BF1057" s="45"/>
      <c r="BG1057" s="12"/>
      <c r="BH1057" s="12"/>
      <c r="BI1057" s="12"/>
      <c r="BJ1057" s="12"/>
      <c r="BK1057" s="44"/>
      <c r="BL1057" s="45"/>
      <c r="BM1057" s="12"/>
      <c r="BN1057" s="12"/>
      <c r="BO1057" s="12"/>
      <c r="BP1057" s="12"/>
      <c r="BQ1057" s="48"/>
      <c r="BR1057" s="49"/>
      <c r="BS1057" s="13"/>
      <c r="BT1057" s="12"/>
      <c r="BV1057" s="14"/>
      <c r="BW1057" s="50"/>
      <c r="BX1057" s="54"/>
      <c r="BY1057" s="14"/>
      <c r="BZ1057" s="14"/>
      <c r="CA1057" s="14"/>
      <c r="CB1057" s="14"/>
      <c r="CC1057" s="14"/>
      <c r="CD1057" s="14"/>
      <c r="CE1057" s="14"/>
      <c r="CF1057" s="15"/>
      <c r="CG1057" s="14"/>
      <c r="CH1057" s="14"/>
      <c r="CI1057" s="50"/>
      <c r="CJ1057" s="54"/>
      <c r="CK1057" s="14"/>
      <c r="CL1057" s="14"/>
      <c r="CM1057" s="14"/>
      <c r="CN1057" s="14"/>
      <c r="CO1057" s="14"/>
      <c r="CP1057" s="14"/>
      <c r="CQ1057" s="14"/>
      <c r="CR1057" s="14"/>
      <c r="CS1057" s="14"/>
      <c r="CT1057" s="14"/>
      <c r="CU1057" s="16"/>
      <c r="CV1057" s="14"/>
      <c r="CW1057" s="50"/>
      <c r="CX1057" s="17"/>
    </row>
    <row r="1058" spans="4:102" x14ac:dyDescent="0.25"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43"/>
      <c r="Q1058" s="11"/>
      <c r="R1058" s="11"/>
      <c r="S1058" s="11"/>
      <c r="T1058" s="11"/>
      <c r="U1058" s="11"/>
      <c r="V1058" s="11"/>
      <c r="W1058" s="11"/>
      <c r="X1058" s="12"/>
      <c r="Y1058" s="12"/>
      <c r="Z1058" s="12"/>
      <c r="AA1058" s="44"/>
      <c r="AB1058" s="45"/>
      <c r="AC1058" s="12"/>
      <c r="AD1058" s="12"/>
      <c r="AE1058" s="12"/>
      <c r="AF1058" s="12"/>
      <c r="AG1058" s="44"/>
      <c r="AH1058" s="45"/>
      <c r="AI1058" s="12"/>
      <c r="AJ1058" s="12"/>
      <c r="AK1058" s="12"/>
      <c r="AL1058" s="12"/>
      <c r="AM1058" s="44"/>
      <c r="AN1058" s="45"/>
      <c r="AO1058" s="12"/>
      <c r="AP1058" s="12"/>
      <c r="AQ1058" s="12"/>
      <c r="AR1058" s="12"/>
      <c r="AS1058" s="44"/>
      <c r="AT1058" s="45"/>
      <c r="AU1058" s="12"/>
      <c r="AV1058" s="12"/>
      <c r="AW1058" s="12"/>
      <c r="AX1058" s="12"/>
      <c r="AY1058" s="44"/>
      <c r="AZ1058" s="45"/>
      <c r="BA1058" s="12"/>
      <c r="BB1058" s="12"/>
      <c r="BC1058" s="12"/>
      <c r="BD1058" s="12"/>
      <c r="BE1058" s="44"/>
      <c r="BF1058" s="45"/>
      <c r="BG1058" s="12"/>
      <c r="BH1058" s="12"/>
      <c r="BI1058" s="12"/>
      <c r="BJ1058" s="12"/>
      <c r="BK1058" s="44"/>
      <c r="BL1058" s="45"/>
      <c r="BM1058" s="12"/>
      <c r="BN1058" s="12"/>
      <c r="BO1058" s="12"/>
      <c r="BP1058" s="12"/>
      <c r="BQ1058" s="48"/>
      <c r="BR1058" s="49"/>
      <c r="BS1058" s="13"/>
      <c r="BT1058" s="12"/>
      <c r="BV1058" s="14"/>
      <c r="BW1058" s="50"/>
      <c r="BX1058" s="54"/>
      <c r="BY1058" s="14"/>
      <c r="BZ1058" s="14"/>
      <c r="CA1058" s="14"/>
      <c r="CB1058" s="14"/>
      <c r="CC1058" s="14"/>
      <c r="CD1058" s="14"/>
      <c r="CE1058" s="14"/>
      <c r="CF1058" s="15"/>
      <c r="CG1058" s="14"/>
      <c r="CH1058" s="14"/>
      <c r="CI1058" s="50"/>
      <c r="CJ1058" s="54"/>
      <c r="CK1058" s="14"/>
      <c r="CL1058" s="14"/>
      <c r="CM1058" s="14"/>
      <c r="CN1058" s="14"/>
      <c r="CO1058" s="14"/>
      <c r="CP1058" s="14"/>
      <c r="CQ1058" s="14"/>
      <c r="CR1058" s="14"/>
      <c r="CS1058" s="14"/>
      <c r="CT1058" s="14"/>
      <c r="CU1058" s="16"/>
      <c r="CV1058" s="14"/>
      <c r="CW1058" s="50"/>
      <c r="CX1058" s="17"/>
    </row>
    <row r="1059" spans="4:102" x14ac:dyDescent="0.25"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43"/>
      <c r="Q1059" s="11"/>
      <c r="R1059" s="11"/>
      <c r="S1059" s="11"/>
      <c r="T1059" s="11"/>
      <c r="U1059" s="11"/>
      <c r="V1059" s="11"/>
      <c r="W1059" s="11"/>
      <c r="X1059" s="12"/>
      <c r="Y1059" s="12"/>
      <c r="Z1059" s="12"/>
      <c r="AA1059" s="44"/>
      <c r="AB1059" s="45"/>
      <c r="AC1059" s="12"/>
      <c r="AD1059" s="12"/>
      <c r="AE1059" s="12"/>
      <c r="AF1059" s="12"/>
      <c r="AG1059" s="44"/>
      <c r="AH1059" s="45"/>
      <c r="AI1059" s="12"/>
      <c r="AJ1059" s="12"/>
      <c r="AK1059" s="12"/>
      <c r="AL1059" s="12"/>
      <c r="AM1059" s="44"/>
      <c r="AN1059" s="45"/>
      <c r="AO1059" s="12"/>
      <c r="AP1059" s="12"/>
      <c r="AQ1059" s="12"/>
      <c r="AR1059" s="12"/>
      <c r="AS1059" s="44"/>
      <c r="AT1059" s="45"/>
      <c r="AU1059" s="12"/>
      <c r="AV1059" s="12"/>
      <c r="AW1059" s="12"/>
      <c r="AX1059" s="12"/>
      <c r="AY1059" s="44"/>
      <c r="AZ1059" s="45"/>
      <c r="BA1059" s="12"/>
      <c r="BB1059" s="12"/>
      <c r="BC1059" s="12"/>
      <c r="BD1059" s="12"/>
      <c r="BE1059" s="44"/>
      <c r="BF1059" s="45"/>
      <c r="BG1059" s="12"/>
      <c r="BH1059" s="12"/>
      <c r="BI1059" s="12"/>
      <c r="BJ1059" s="12"/>
      <c r="BK1059" s="44"/>
      <c r="BL1059" s="45"/>
      <c r="BM1059" s="12"/>
      <c r="BN1059" s="12"/>
      <c r="BO1059" s="12"/>
      <c r="BP1059" s="12"/>
      <c r="BQ1059" s="48"/>
      <c r="BR1059" s="49"/>
      <c r="BS1059" s="13"/>
      <c r="BT1059" s="12"/>
      <c r="BV1059" s="14"/>
      <c r="BW1059" s="50"/>
      <c r="BX1059" s="54"/>
      <c r="BY1059" s="14"/>
      <c r="BZ1059" s="14"/>
      <c r="CA1059" s="14"/>
      <c r="CB1059" s="14"/>
      <c r="CC1059" s="14"/>
      <c r="CD1059" s="14"/>
      <c r="CE1059" s="14"/>
      <c r="CF1059" s="15"/>
      <c r="CG1059" s="14"/>
      <c r="CH1059" s="14"/>
      <c r="CI1059" s="50"/>
      <c r="CJ1059" s="54"/>
      <c r="CK1059" s="14"/>
      <c r="CL1059" s="14"/>
      <c r="CM1059" s="14"/>
      <c r="CN1059" s="14"/>
      <c r="CO1059" s="14"/>
      <c r="CP1059" s="14"/>
      <c r="CQ1059" s="14"/>
      <c r="CR1059" s="14"/>
      <c r="CS1059" s="14"/>
      <c r="CT1059" s="14"/>
      <c r="CU1059" s="16"/>
      <c r="CV1059" s="14"/>
      <c r="CW1059" s="50"/>
      <c r="CX1059" s="17"/>
    </row>
    <row r="1060" spans="4:102" x14ac:dyDescent="0.25"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43"/>
      <c r="Q1060" s="11"/>
      <c r="R1060" s="11"/>
      <c r="S1060" s="11"/>
      <c r="T1060" s="11"/>
      <c r="U1060" s="11"/>
      <c r="V1060" s="11"/>
      <c r="W1060" s="11"/>
      <c r="X1060" s="12"/>
      <c r="Y1060" s="12"/>
      <c r="Z1060" s="12"/>
      <c r="AA1060" s="44"/>
      <c r="AB1060" s="45"/>
      <c r="AC1060" s="12"/>
      <c r="AD1060" s="12"/>
      <c r="AE1060" s="12"/>
      <c r="AF1060" s="12"/>
      <c r="AG1060" s="44"/>
      <c r="AH1060" s="45"/>
      <c r="AI1060" s="12"/>
      <c r="AJ1060" s="12"/>
      <c r="AK1060" s="12"/>
      <c r="AL1060" s="12"/>
      <c r="AM1060" s="44"/>
      <c r="AN1060" s="45"/>
      <c r="AO1060" s="12"/>
      <c r="AP1060" s="12"/>
      <c r="AQ1060" s="12"/>
      <c r="AR1060" s="12"/>
      <c r="AS1060" s="44"/>
      <c r="AT1060" s="45"/>
      <c r="AU1060" s="12"/>
      <c r="AV1060" s="12"/>
      <c r="AW1060" s="12"/>
      <c r="AX1060" s="12"/>
      <c r="AY1060" s="44"/>
      <c r="AZ1060" s="45"/>
      <c r="BA1060" s="12"/>
      <c r="BB1060" s="12"/>
      <c r="BC1060" s="12"/>
      <c r="BD1060" s="12"/>
      <c r="BE1060" s="44"/>
      <c r="BF1060" s="45"/>
      <c r="BG1060" s="12"/>
      <c r="BH1060" s="12"/>
      <c r="BI1060" s="12"/>
      <c r="BJ1060" s="12"/>
      <c r="BK1060" s="44"/>
      <c r="BL1060" s="45"/>
      <c r="BM1060" s="12"/>
      <c r="BN1060" s="12"/>
      <c r="BO1060" s="12"/>
      <c r="BP1060" s="12"/>
      <c r="BQ1060" s="48"/>
      <c r="BR1060" s="49"/>
      <c r="BS1060" s="13"/>
      <c r="BT1060" s="12"/>
      <c r="BV1060" s="14"/>
      <c r="BW1060" s="50"/>
      <c r="BX1060" s="54"/>
      <c r="BY1060" s="14"/>
      <c r="BZ1060" s="14"/>
      <c r="CA1060" s="14"/>
      <c r="CB1060" s="14"/>
      <c r="CC1060" s="14"/>
      <c r="CD1060" s="14"/>
      <c r="CE1060" s="14"/>
      <c r="CF1060" s="15"/>
      <c r="CG1060" s="14"/>
      <c r="CH1060" s="14"/>
      <c r="CI1060" s="50"/>
      <c r="CJ1060" s="54"/>
      <c r="CK1060" s="14"/>
      <c r="CL1060" s="14"/>
      <c r="CM1060" s="14"/>
      <c r="CN1060" s="14"/>
      <c r="CO1060" s="14"/>
      <c r="CP1060" s="14"/>
      <c r="CQ1060" s="14"/>
      <c r="CR1060" s="14"/>
      <c r="CS1060" s="14"/>
      <c r="CT1060" s="14"/>
      <c r="CU1060" s="16"/>
      <c r="CV1060" s="14"/>
      <c r="CW1060" s="50"/>
      <c r="CX1060" s="17"/>
    </row>
    <row r="1061" spans="4:102" x14ac:dyDescent="0.25"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43"/>
      <c r="Q1061" s="11"/>
      <c r="R1061" s="11"/>
      <c r="S1061" s="11"/>
      <c r="T1061" s="11"/>
      <c r="U1061" s="11"/>
      <c r="V1061" s="11"/>
      <c r="W1061" s="11"/>
      <c r="X1061" s="12"/>
      <c r="Y1061" s="12"/>
      <c r="Z1061" s="12"/>
      <c r="AA1061" s="44"/>
      <c r="AB1061" s="45"/>
      <c r="AC1061" s="12"/>
      <c r="AD1061" s="12"/>
      <c r="AE1061" s="12"/>
      <c r="AF1061" s="12"/>
      <c r="AG1061" s="44"/>
      <c r="AH1061" s="45"/>
      <c r="AI1061" s="12"/>
      <c r="AJ1061" s="12"/>
      <c r="AK1061" s="12"/>
      <c r="AL1061" s="12"/>
      <c r="AM1061" s="44"/>
      <c r="AN1061" s="45"/>
      <c r="AO1061" s="12"/>
      <c r="AP1061" s="12"/>
      <c r="AQ1061" s="12"/>
      <c r="AR1061" s="12"/>
      <c r="AS1061" s="44"/>
      <c r="AT1061" s="45"/>
      <c r="AU1061" s="12"/>
      <c r="AV1061" s="12"/>
      <c r="AW1061" s="12"/>
      <c r="AX1061" s="12"/>
      <c r="AY1061" s="44"/>
      <c r="AZ1061" s="45"/>
      <c r="BA1061" s="12"/>
      <c r="BB1061" s="12"/>
      <c r="BC1061" s="12"/>
      <c r="BD1061" s="12"/>
      <c r="BE1061" s="44"/>
      <c r="BF1061" s="45"/>
      <c r="BG1061" s="12"/>
      <c r="BH1061" s="12"/>
      <c r="BI1061" s="12"/>
      <c r="BJ1061" s="12"/>
      <c r="BK1061" s="44"/>
      <c r="BL1061" s="45"/>
      <c r="BM1061" s="12"/>
      <c r="BN1061" s="12"/>
      <c r="BO1061" s="12"/>
      <c r="BP1061" s="12"/>
      <c r="BQ1061" s="48"/>
      <c r="BR1061" s="49"/>
      <c r="BS1061" s="13"/>
      <c r="BT1061" s="12"/>
      <c r="BV1061" s="14"/>
      <c r="BW1061" s="50"/>
      <c r="BX1061" s="54"/>
      <c r="BY1061" s="14"/>
      <c r="BZ1061" s="14"/>
      <c r="CA1061" s="14"/>
      <c r="CB1061" s="14"/>
      <c r="CC1061" s="14"/>
      <c r="CD1061" s="14"/>
      <c r="CE1061" s="14"/>
      <c r="CF1061" s="15"/>
      <c r="CG1061" s="14"/>
      <c r="CH1061" s="14"/>
      <c r="CI1061" s="50"/>
      <c r="CJ1061" s="54"/>
      <c r="CK1061" s="14"/>
      <c r="CL1061" s="14"/>
      <c r="CM1061" s="14"/>
      <c r="CN1061" s="14"/>
      <c r="CO1061" s="14"/>
      <c r="CP1061" s="14"/>
      <c r="CQ1061" s="14"/>
      <c r="CR1061" s="14"/>
      <c r="CS1061" s="14"/>
      <c r="CT1061" s="14"/>
      <c r="CU1061" s="16"/>
      <c r="CV1061" s="14"/>
      <c r="CW1061" s="50"/>
      <c r="CX1061" s="17"/>
    </row>
    <row r="1062" spans="4:102" x14ac:dyDescent="0.25"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43"/>
      <c r="Q1062" s="11"/>
      <c r="R1062" s="11"/>
      <c r="S1062" s="11"/>
      <c r="T1062" s="11"/>
      <c r="U1062" s="11"/>
      <c r="V1062" s="11"/>
      <c r="W1062" s="11"/>
      <c r="X1062" s="12"/>
      <c r="Y1062" s="12"/>
      <c r="Z1062" s="12"/>
      <c r="AA1062" s="44"/>
      <c r="AB1062" s="45"/>
      <c r="AC1062" s="12"/>
      <c r="AD1062" s="12"/>
      <c r="AE1062" s="12"/>
      <c r="AF1062" s="12"/>
      <c r="AG1062" s="44"/>
      <c r="AH1062" s="45"/>
      <c r="AI1062" s="12"/>
      <c r="AJ1062" s="12"/>
      <c r="AK1062" s="12"/>
      <c r="AL1062" s="12"/>
      <c r="AM1062" s="44"/>
      <c r="AN1062" s="45"/>
      <c r="AO1062" s="12"/>
      <c r="AP1062" s="12"/>
      <c r="AQ1062" s="12"/>
      <c r="AR1062" s="12"/>
      <c r="AS1062" s="44"/>
      <c r="AT1062" s="45"/>
      <c r="AU1062" s="12"/>
      <c r="AV1062" s="12"/>
      <c r="AW1062" s="12"/>
      <c r="AX1062" s="12"/>
      <c r="AY1062" s="44"/>
      <c r="AZ1062" s="45"/>
      <c r="BA1062" s="12"/>
      <c r="BB1062" s="12"/>
      <c r="BC1062" s="12"/>
      <c r="BD1062" s="12"/>
      <c r="BE1062" s="44"/>
      <c r="BF1062" s="45"/>
      <c r="BG1062" s="12"/>
      <c r="BH1062" s="12"/>
      <c r="BI1062" s="12"/>
      <c r="BJ1062" s="12"/>
      <c r="BK1062" s="44"/>
      <c r="BL1062" s="45"/>
      <c r="BM1062" s="12"/>
      <c r="BN1062" s="12"/>
      <c r="BO1062" s="12"/>
      <c r="BP1062" s="12"/>
      <c r="BQ1062" s="48"/>
      <c r="BR1062" s="49"/>
      <c r="BS1062" s="13"/>
      <c r="BT1062" s="12"/>
      <c r="BV1062" s="14"/>
      <c r="BW1062" s="50"/>
      <c r="BX1062" s="54"/>
      <c r="BY1062" s="14"/>
      <c r="BZ1062" s="14"/>
      <c r="CA1062" s="14"/>
      <c r="CB1062" s="14"/>
      <c r="CC1062" s="14"/>
      <c r="CD1062" s="14"/>
      <c r="CE1062" s="14"/>
      <c r="CF1062" s="15"/>
      <c r="CG1062" s="14"/>
      <c r="CH1062" s="14"/>
      <c r="CI1062" s="50"/>
      <c r="CJ1062" s="54"/>
      <c r="CK1062" s="14"/>
      <c r="CL1062" s="14"/>
      <c r="CM1062" s="14"/>
      <c r="CN1062" s="14"/>
      <c r="CO1062" s="14"/>
      <c r="CP1062" s="14"/>
      <c r="CQ1062" s="14"/>
      <c r="CR1062" s="14"/>
      <c r="CS1062" s="14"/>
      <c r="CT1062" s="14"/>
      <c r="CU1062" s="16"/>
      <c r="CV1062" s="14"/>
      <c r="CW1062" s="50"/>
      <c r="CX1062" s="17"/>
    </row>
    <row r="1063" spans="4:102" x14ac:dyDescent="0.25"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43"/>
      <c r="Q1063" s="11"/>
      <c r="R1063" s="11"/>
      <c r="S1063" s="11"/>
      <c r="T1063" s="11"/>
      <c r="U1063" s="11"/>
      <c r="V1063" s="11"/>
      <c r="W1063" s="11"/>
      <c r="X1063" s="12"/>
      <c r="Y1063" s="12"/>
      <c r="Z1063" s="12"/>
      <c r="AA1063" s="44"/>
      <c r="AB1063" s="45"/>
      <c r="AC1063" s="12"/>
      <c r="AD1063" s="12"/>
      <c r="AE1063" s="12"/>
      <c r="AF1063" s="12"/>
      <c r="AG1063" s="44"/>
      <c r="AH1063" s="45"/>
      <c r="AI1063" s="12"/>
      <c r="AJ1063" s="12"/>
      <c r="AK1063" s="12"/>
      <c r="AL1063" s="12"/>
      <c r="AM1063" s="44"/>
      <c r="AN1063" s="45"/>
      <c r="AO1063" s="12"/>
      <c r="AP1063" s="12"/>
      <c r="AQ1063" s="12"/>
      <c r="AR1063" s="12"/>
      <c r="AS1063" s="44"/>
      <c r="AT1063" s="45"/>
      <c r="AU1063" s="12"/>
      <c r="AV1063" s="12"/>
      <c r="AW1063" s="12"/>
      <c r="AX1063" s="12"/>
      <c r="AY1063" s="44"/>
      <c r="AZ1063" s="45"/>
      <c r="BA1063" s="12"/>
      <c r="BB1063" s="12"/>
      <c r="BC1063" s="12"/>
      <c r="BD1063" s="12"/>
      <c r="BE1063" s="44"/>
      <c r="BF1063" s="45"/>
      <c r="BG1063" s="12"/>
      <c r="BH1063" s="12"/>
      <c r="BI1063" s="12"/>
      <c r="BJ1063" s="12"/>
      <c r="BK1063" s="44"/>
      <c r="BL1063" s="45"/>
      <c r="BM1063" s="12"/>
      <c r="BN1063" s="12"/>
      <c r="BO1063" s="12"/>
      <c r="BP1063" s="12"/>
      <c r="BQ1063" s="48"/>
      <c r="BR1063" s="49"/>
      <c r="BS1063" s="13"/>
      <c r="BT1063" s="12"/>
      <c r="BV1063" s="14"/>
      <c r="BW1063" s="50"/>
      <c r="BX1063" s="54"/>
      <c r="BY1063" s="14"/>
      <c r="BZ1063" s="14"/>
      <c r="CA1063" s="14"/>
      <c r="CB1063" s="14"/>
      <c r="CC1063" s="14"/>
      <c r="CD1063" s="14"/>
      <c r="CE1063" s="14"/>
      <c r="CF1063" s="15"/>
      <c r="CG1063" s="14"/>
      <c r="CH1063" s="14"/>
      <c r="CI1063" s="50"/>
      <c r="CJ1063" s="54"/>
      <c r="CK1063" s="14"/>
      <c r="CL1063" s="14"/>
      <c r="CM1063" s="14"/>
      <c r="CN1063" s="14"/>
      <c r="CO1063" s="14"/>
      <c r="CP1063" s="14"/>
      <c r="CQ1063" s="14"/>
      <c r="CR1063" s="14"/>
      <c r="CS1063" s="14"/>
      <c r="CT1063" s="14"/>
      <c r="CU1063" s="16"/>
      <c r="CV1063" s="14"/>
      <c r="CW1063" s="50"/>
      <c r="CX1063" s="17"/>
    </row>
    <row r="1064" spans="4:102" x14ac:dyDescent="0.25"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43"/>
      <c r="Q1064" s="11"/>
      <c r="R1064" s="11"/>
      <c r="S1064" s="11"/>
      <c r="T1064" s="11"/>
      <c r="U1064" s="11"/>
      <c r="V1064" s="11"/>
      <c r="W1064" s="11"/>
      <c r="X1064" s="12"/>
      <c r="Y1064" s="12"/>
      <c r="Z1064" s="12"/>
      <c r="AA1064" s="44"/>
      <c r="AB1064" s="45"/>
      <c r="AC1064" s="12"/>
      <c r="AD1064" s="12"/>
      <c r="AE1064" s="12"/>
      <c r="AF1064" s="12"/>
      <c r="AG1064" s="44"/>
      <c r="AH1064" s="45"/>
      <c r="AI1064" s="12"/>
      <c r="AJ1064" s="12"/>
      <c r="AK1064" s="12"/>
      <c r="AL1064" s="12"/>
      <c r="AM1064" s="44"/>
      <c r="AN1064" s="45"/>
      <c r="AO1064" s="12"/>
      <c r="AP1064" s="12"/>
      <c r="AQ1064" s="12"/>
      <c r="AR1064" s="12"/>
      <c r="AS1064" s="44"/>
      <c r="AT1064" s="45"/>
      <c r="AU1064" s="12"/>
      <c r="AV1064" s="12"/>
      <c r="AW1064" s="12"/>
      <c r="AX1064" s="12"/>
      <c r="AY1064" s="44"/>
      <c r="AZ1064" s="45"/>
      <c r="BA1064" s="12"/>
      <c r="BB1064" s="12"/>
      <c r="BC1064" s="12"/>
      <c r="BD1064" s="12"/>
      <c r="BE1064" s="44"/>
      <c r="BF1064" s="45"/>
      <c r="BG1064" s="12"/>
      <c r="BH1064" s="12"/>
      <c r="BI1064" s="12"/>
      <c r="BJ1064" s="12"/>
      <c r="BK1064" s="44"/>
      <c r="BL1064" s="45"/>
      <c r="BM1064" s="12"/>
      <c r="BN1064" s="12"/>
      <c r="BO1064" s="12"/>
      <c r="BP1064" s="12"/>
      <c r="BQ1064" s="48"/>
      <c r="BR1064" s="49"/>
      <c r="BS1064" s="13"/>
      <c r="BT1064" s="12"/>
      <c r="BV1064" s="14"/>
      <c r="BW1064" s="50"/>
      <c r="BX1064" s="54"/>
      <c r="BY1064" s="14"/>
      <c r="BZ1064" s="14"/>
      <c r="CA1064" s="14"/>
      <c r="CB1064" s="14"/>
      <c r="CC1064" s="14"/>
      <c r="CD1064" s="14"/>
      <c r="CE1064" s="14"/>
      <c r="CF1064" s="15"/>
      <c r="CG1064" s="14"/>
      <c r="CH1064" s="14"/>
      <c r="CI1064" s="50"/>
      <c r="CJ1064" s="54"/>
      <c r="CK1064" s="14"/>
      <c r="CL1064" s="14"/>
      <c r="CM1064" s="14"/>
      <c r="CN1064" s="14"/>
      <c r="CO1064" s="14"/>
      <c r="CP1064" s="14"/>
      <c r="CQ1064" s="14"/>
      <c r="CR1064" s="14"/>
      <c r="CS1064" s="14"/>
      <c r="CT1064" s="14"/>
      <c r="CU1064" s="16"/>
      <c r="CV1064" s="14"/>
      <c r="CW1064" s="50"/>
      <c r="CX1064" s="17"/>
    </row>
    <row r="1065" spans="4:102" x14ac:dyDescent="0.25"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43"/>
      <c r="Q1065" s="11"/>
      <c r="R1065" s="11"/>
      <c r="S1065" s="11"/>
      <c r="T1065" s="11"/>
      <c r="U1065" s="11"/>
      <c r="V1065" s="11"/>
      <c r="W1065" s="11"/>
      <c r="X1065" s="12"/>
      <c r="Y1065" s="12"/>
      <c r="Z1065" s="12"/>
      <c r="AA1065" s="44"/>
      <c r="AB1065" s="45"/>
      <c r="AC1065" s="12"/>
      <c r="AD1065" s="12"/>
      <c r="AE1065" s="12"/>
      <c r="AF1065" s="12"/>
      <c r="AG1065" s="44"/>
      <c r="AH1065" s="45"/>
      <c r="AI1065" s="12"/>
      <c r="AJ1065" s="12"/>
      <c r="AK1065" s="12"/>
      <c r="AL1065" s="12"/>
      <c r="AM1065" s="44"/>
      <c r="AN1065" s="45"/>
      <c r="AO1065" s="12"/>
      <c r="AP1065" s="12"/>
      <c r="AQ1065" s="12"/>
      <c r="AR1065" s="12"/>
      <c r="AS1065" s="44"/>
      <c r="AT1065" s="45"/>
      <c r="AU1065" s="12"/>
      <c r="AV1065" s="12"/>
      <c r="AW1065" s="12"/>
      <c r="AX1065" s="12"/>
      <c r="AY1065" s="44"/>
      <c r="AZ1065" s="45"/>
      <c r="BA1065" s="12"/>
      <c r="BB1065" s="12"/>
      <c r="BC1065" s="12"/>
      <c r="BD1065" s="12"/>
      <c r="BE1065" s="44"/>
      <c r="BF1065" s="45"/>
      <c r="BG1065" s="12"/>
      <c r="BH1065" s="12"/>
      <c r="BI1065" s="12"/>
      <c r="BJ1065" s="12"/>
      <c r="BK1065" s="44"/>
      <c r="BL1065" s="45"/>
      <c r="BM1065" s="12"/>
      <c r="BN1065" s="12"/>
      <c r="BO1065" s="12"/>
      <c r="BP1065" s="12"/>
      <c r="BQ1065" s="48"/>
      <c r="BR1065" s="49"/>
      <c r="BS1065" s="13"/>
      <c r="BT1065" s="12"/>
      <c r="BV1065" s="14"/>
      <c r="BW1065" s="50"/>
      <c r="BX1065" s="54"/>
      <c r="BY1065" s="14"/>
      <c r="BZ1065" s="14"/>
      <c r="CA1065" s="14"/>
      <c r="CB1065" s="14"/>
      <c r="CC1065" s="14"/>
      <c r="CD1065" s="14"/>
      <c r="CE1065" s="14"/>
      <c r="CF1065" s="15"/>
      <c r="CG1065" s="14"/>
      <c r="CH1065" s="14"/>
      <c r="CI1065" s="50"/>
      <c r="CJ1065" s="54"/>
      <c r="CK1065" s="14"/>
      <c r="CL1065" s="14"/>
      <c r="CM1065" s="14"/>
      <c r="CN1065" s="14"/>
      <c r="CO1065" s="14"/>
      <c r="CP1065" s="14"/>
      <c r="CQ1065" s="14"/>
      <c r="CR1065" s="14"/>
      <c r="CS1065" s="14"/>
      <c r="CT1065" s="14"/>
      <c r="CU1065" s="16"/>
      <c r="CV1065" s="14"/>
      <c r="CW1065" s="50"/>
      <c r="CX1065" s="17"/>
    </row>
    <row r="1066" spans="4:102" x14ac:dyDescent="0.25"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43"/>
      <c r="Q1066" s="11"/>
      <c r="R1066" s="11"/>
      <c r="S1066" s="11"/>
      <c r="T1066" s="11"/>
      <c r="U1066" s="11"/>
      <c r="V1066" s="11"/>
      <c r="W1066" s="11"/>
      <c r="X1066" s="12"/>
      <c r="Y1066" s="12"/>
      <c r="Z1066" s="12"/>
      <c r="AA1066" s="44"/>
      <c r="AB1066" s="45"/>
      <c r="AC1066" s="12"/>
      <c r="AD1066" s="12"/>
      <c r="AE1066" s="12"/>
      <c r="AF1066" s="12"/>
      <c r="AG1066" s="44"/>
      <c r="AH1066" s="45"/>
      <c r="AI1066" s="12"/>
      <c r="AJ1066" s="12"/>
      <c r="AK1066" s="12"/>
      <c r="AL1066" s="12"/>
      <c r="AM1066" s="44"/>
      <c r="AN1066" s="45"/>
      <c r="AO1066" s="12"/>
      <c r="AP1066" s="12"/>
      <c r="AQ1066" s="12"/>
      <c r="AR1066" s="12"/>
      <c r="AS1066" s="44"/>
      <c r="AT1066" s="45"/>
      <c r="AU1066" s="12"/>
      <c r="AV1066" s="12"/>
      <c r="AW1066" s="12"/>
      <c r="AX1066" s="12"/>
      <c r="AY1066" s="44"/>
      <c r="AZ1066" s="45"/>
      <c r="BA1066" s="12"/>
      <c r="BB1066" s="12"/>
      <c r="BC1066" s="12"/>
      <c r="BD1066" s="12"/>
      <c r="BE1066" s="44"/>
      <c r="BF1066" s="45"/>
      <c r="BG1066" s="12"/>
      <c r="BH1066" s="12"/>
      <c r="BI1066" s="12"/>
      <c r="BJ1066" s="12"/>
      <c r="BK1066" s="44"/>
      <c r="BL1066" s="45"/>
      <c r="BM1066" s="12"/>
      <c r="BN1066" s="12"/>
      <c r="BO1066" s="12"/>
      <c r="BP1066" s="12"/>
      <c r="BQ1066" s="48"/>
      <c r="BR1066" s="49"/>
      <c r="BS1066" s="13"/>
      <c r="BT1066" s="12"/>
      <c r="BV1066" s="14"/>
      <c r="BW1066" s="50"/>
      <c r="BX1066" s="54"/>
      <c r="BY1066" s="14"/>
      <c r="BZ1066" s="14"/>
      <c r="CA1066" s="14"/>
      <c r="CB1066" s="14"/>
      <c r="CC1066" s="14"/>
      <c r="CD1066" s="14"/>
      <c r="CE1066" s="14"/>
      <c r="CF1066" s="15"/>
      <c r="CG1066" s="14"/>
      <c r="CH1066" s="14"/>
      <c r="CI1066" s="50"/>
      <c r="CJ1066" s="54"/>
      <c r="CK1066" s="14"/>
      <c r="CL1066" s="14"/>
      <c r="CM1066" s="14"/>
      <c r="CN1066" s="14"/>
      <c r="CO1066" s="14"/>
      <c r="CP1066" s="14"/>
      <c r="CQ1066" s="14"/>
      <c r="CR1066" s="14"/>
      <c r="CS1066" s="14"/>
      <c r="CT1066" s="14"/>
      <c r="CU1066" s="16"/>
      <c r="CV1066" s="14"/>
      <c r="CW1066" s="50"/>
      <c r="CX1066" s="17"/>
    </row>
    <row r="1067" spans="4:102" x14ac:dyDescent="0.25"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43"/>
      <c r="Q1067" s="11"/>
      <c r="R1067" s="11"/>
      <c r="S1067" s="11"/>
      <c r="T1067" s="11"/>
      <c r="U1067" s="11"/>
      <c r="V1067" s="11"/>
      <c r="W1067" s="11"/>
      <c r="X1067" s="12"/>
      <c r="Y1067" s="12"/>
      <c r="Z1067" s="12"/>
      <c r="AA1067" s="44"/>
      <c r="AB1067" s="45"/>
      <c r="AC1067" s="12"/>
      <c r="AD1067" s="12"/>
      <c r="AE1067" s="12"/>
      <c r="AF1067" s="12"/>
      <c r="AG1067" s="44"/>
      <c r="AH1067" s="45"/>
      <c r="AI1067" s="12"/>
      <c r="AJ1067" s="12"/>
      <c r="AK1067" s="12"/>
      <c r="AL1067" s="12"/>
      <c r="AM1067" s="44"/>
      <c r="AN1067" s="45"/>
      <c r="AO1067" s="12"/>
      <c r="AP1067" s="12"/>
      <c r="AQ1067" s="12"/>
      <c r="AR1067" s="12"/>
      <c r="AS1067" s="44"/>
      <c r="AT1067" s="45"/>
      <c r="AU1067" s="12"/>
      <c r="AV1067" s="12"/>
      <c r="AW1067" s="12"/>
      <c r="AX1067" s="12"/>
      <c r="AY1067" s="44"/>
      <c r="AZ1067" s="45"/>
      <c r="BA1067" s="12"/>
      <c r="BB1067" s="12"/>
      <c r="BC1067" s="12"/>
      <c r="BD1067" s="12"/>
      <c r="BE1067" s="44"/>
      <c r="BF1067" s="45"/>
      <c r="BG1067" s="12"/>
      <c r="BH1067" s="12"/>
      <c r="BI1067" s="12"/>
      <c r="BJ1067" s="12"/>
      <c r="BK1067" s="44"/>
      <c r="BL1067" s="45"/>
      <c r="BM1067" s="12"/>
      <c r="BN1067" s="12"/>
      <c r="BO1067" s="12"/>
      <c r="BP1067" s="12"/>
      <c r="BQ1067" s="48"/>
      <c r="BR1067" s="49"/>
      <c r="BS1067" s="13"/>
      <c r="BT1067" s="12"/>
      <c r="BV1067" s="14"/>
      <c r="BW1067" s="50"/>
      <c r="BX1067" s="54"/>
      <c r="BY1067" s="14"/>
      <c r="BZ1067" s="14"/>
      <c r="CA1067" s="14"/>
      <c r="CB1067" s="14"/>
      <c r="CC1067" s="14"/>
      <c r="CD1067" s="14"/>
      <c r="CE1067" s="14"/>
      <c r="CF1067" s="15"/>
      <c r="CG1067" s="14"/>
      <c r="CH1067" s="14"/>
      <c r="CI1067" s="50"/>
      <c r="CJ1067" s="54"/>
      <c r="CK1067" s="14"/>
      <c r="CL1067" s="14"/>
      <c r="CM1067" s="14"/>
      <c r="CN1067" s="14"/>
      <c r="CO1067" s="14"/>
      <c r="CP1067" s="14"/>
      <c r="CQ1067" s="14"/>
      <c r="CR1067" s="14"/>
      <c r="CS1067" s="14"/>
      <c r="CT1067" s="14"/>
      <c r="CU1067" s="16"/>
      <c r="CV1067" s="14"/>
      <c r="CW1067" s="50"/>
      <c r="CX1067" s="17"/>
    </row>
    <row r="1068" spans="4:102" x14ac:dyDescent="0.25"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43"/>
      <c r="Q1068" s="11"/>
      <c r="R1068" s="11"/>
      <c r="S1068" s="11"/>
      <c r="T1068" s="11"/>
      <c r="U1068" s="11"/>
      <c r="V1068" s="11"/>
      <c r="W1068" s="11"/>
      <c r="X1068" s="12"/>
      <c r="Y1068" s="12"/>
      <c r="Z1068" s="12"/>
      <c r="AA1068" s="44"/>
      <c r="AB1068" s="45"/>
      <c r="AC1068" s="12"/>
      <c r="AD1068" s="12"/>
      <c r="AE1068" s="12"/>
      <c r="AF1068" s="12"/>
      <c r="AG1068" s="44"/>
      <c r="AH1068" s="45"/>
      <c r="AI1068" s="12"/>
      <c r="AJ1068" s="12"/>
      <c r="AK1068" s="12"/>
      <c r="AL1068" s="12"/>
      <c r="AM1068" s="44"/>
      <c r="AN1068" s="45"/>
      <c r="AO1068" s="12"/>
      <c r="AP1068" s="12"/>
      <c r="AQ1068" s="12"/>
      <c r="AR1068" s="12"/>
      <c r="AS1068" s="44"/>
      <c r="AT1068" s="45"/>
      <c r="AU1068" s="12"/>
      <c r="AV1068" s="12"/>
      <c r="AW1068" s="12"/>
      <c r="AX1068" s="12"/>
      <c r="AY1068" s="44"/>
      <c r="AZ1068" s="45"/>
      <c r="BA1068" s="12"/>
      <c r="BB1068" s="12"/>
      <c r="BC1068" s="12"/>
      <c r="BD1068" s="12"/>
      <c r="BE1068" s="44"/>
      <c r="BF1068" s="45"/>
      <c r="BG1068" s="12"/>
      <c r="BH1068" s="12"/>
      <c r="BI1068" s="12"/>
      <c r="BJ1068" s="12"/>
      <c r="BK1068" s="44"/>
      <c r="BL1068" s="45"/>
      <c r="BM1068" s="12"/>
      <c r="BN1068" s="12"/>
      <c r="BO1068" s="12"/>
      <c r="BP1068" s="12"/>
      <c r="BQ1068" s="48"/>
      <c r="BR1068" s="49"/>
      <c r="BS1068" s="13"/>
      <c r="BT1068" s="12"/>
      <c r="BV1068" s="14"/>
      <c r="BW1068" s="50"/>
      <c r="BX1068" s="54"/>
      <c r="BY1068" s="14"/>
      <c r="BZ1068" s="14"/>
      <c r="CA1068" s="14"/>
      <c r="CB1068" s="14"/>
      <c r="CC1068" s="14"/>
      <c r="CD1068" s="14"/>
      <c r="CE1068" s="14"/>
      <c r="CF1068" s="15"/>
      <c r="CG1068" s="14"/>
      <c r="CH1068" s="14"/>
      <c r="CI1068" s="50"/>
      <c r="CJ1068" s="54"/>
      <c r="CK1068" s="14"/>
      <c r="CL1068" s="14"/>
      <c r="CM1068" s="14"/>
      <c r="CN1068" s="14"/>
      <c r="CO1068" s="14"/>
      <c r="CP1068" s="14"/>
      <c r="CQ1068" s="14"/>
      <c r="CR1068" s="14"/>
      <c r="CS1068" s="14"/>
      <c r="CT1068" s="14"/>
      <c r="CU1068" s="16"/>
      <c r="CV1068" s="14"/>
      <c r="CW1068" s="50"/>
      <c r="CX1068" s="17"/>
    </row>
    <row r="1069" spans="4:102" x14ac:dyDescent="0.25"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43"/>
      <c r="Q1069" s="11"/>
      <c r="R1069" s="11"/>
      <c r="S1069" s="11"/>
      <c r="T1069" s="11"/>
      <c r="U1069" s="11"/>
      <c r="V1069" s="11"/>
      <c r="W1069" s="11"/>
      <c r="X1069" s="12"/>
      <c r="Y1069" s="12"/>
      <c r="Z1069" s="12"/>
      <c r="AA1069" s="44"/>
      <c r="AB1069" s="45"/>
      <c r="AC1069" s="12"/>
      <c r="AD1069" s="12"/>
      <c r="AE1069" s="12"/>
      <c r="AF1069" s="12"/>
      <c r="AG1069" s="44"/>
      <c r="AH1069" s="45"/>
      <c r="AI1069" s="12"/>
      <c r="AJ1069" s="12"/>
      <c r="AK1069" s="12"/>
      <c r="AL1069" s="12"/>
      <c r="AM1069" s="44"/>
      <c r="AN1069" s="45"/>
      <c r="AO1069" s="12"/>
      <c r="AP1069" s="12"/>
      <c r="AQ1069" s="12"/>
      <c r="AR1069" s="12"/>
      <c r="AS1069" s="44"/>
      <c r="AT1069" s="45"/>
      <c r="AU1069" s="12"/>
      <c r="AV1069" s="12"/>
      <c r="AW1069" s="12"/>
      <c r="AX1069" s="12"/>
      <c r="AY1069" s="44"/>
      <c r="AZ1069" s="45"/>
      <c r="BA1069" s="12"/>
      <c r="BB1069" s="12"/>
      <c r="BC1069" s="12"/>
      <c r="BD1069" s="12"/>
      <c r="BE1069" s="44"/>
      <c r="BF1069" s="45"/>
      <c r="BG1069" s="12"/>
      <c r="BH1069" s="12"/>
      <c r="BI1069" s="12"/>
      <c r="BJ1069" s="12"/>
      <c r="BK1069" s="44"/>
      <c r="BL1069" s="45"/>
      <c r="BM1069" s="12"/>
      <c r="BN1069" s="12"/>
      <c r="BO1069" s="12"/>
      <c r="BP1069" s="12"/>
      <c r="BQ1069" s="48"/>
      <c r="BR1069" s="49"/>
      <c r="BS1069" s="13"/>
      <c r="BT1069" s="12"/>
      <c r="BV1069" s="14"/>
      <c r="BW1069" s="50"/>
      <c r="BX1069" s="54"/>
      <c r="BY1069" s="14"/>
      <c r="BZ1069" s="14"/>
      <c r="CA1069" s="14"/>
      <c r="CB1069" s="14"/>
      <c r="CC1069" s="14"/>
      <c r="CD1069" s="14"/>
      <c r="CE1069" s="14"/>
      <c r="CF1069" s="15"/>
      <c r="CG1069" s="14"/>
      <c r="CH1069" s="14"/>
      <c r="CI1069" s="50"/>
      <c r="CJ1069" s="54"/>
      <c r="CK1069" s="14"/>
      <c r="CL1069" s="14"/>
      <c r="CM1069" s="14"/>
      <c r="CN1069" s="14"/>
      <c r="CO1069" s="14"/>
      <c r="CP1069" s="14"/>
      <c r="CQ1069" s="14"/>
      <c r="CR1069" s="14"/>
      <c r="CS1069" s="14"/>
      <c r="CT1069" s="14"/>
      <c r="CU1069" s="16"/>
      <c r="CV1069" s="14"/>
      <c r="CW1069" s="50"/>
      <c r="CX1069" s="17"/>
    </row>
    <row r="1070" spans="4:102" x14ac:dyDescent="0.25"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43"/>
      <c r="Q1070" s="11"/>
      <c r="R1070" s="11"/>
      <c r="S1070" s="11"/>
      <c r="T1070" s="11"/>
      <c r="U1070" s="11"/>
      <c r="V1070" s="11"/>
      <c r="W1070" s="11"/>
      <c r="X1070" s="12"/>
      <c r="Y1070" s="12"/>
      <c r="Z1070" s="12"/>
      <c r="AA1070" s="44"/>
      <c r="AB1070" s="45"/>
      <c r="AC1070" s="12"/>
      <c r="AD1070" s="12"/>
      <c r="AE1070" s="12"/>
      <c r="AF1070" s="12"/>
      <c r="AG1070" s="44"/>
      <c r="AH1070" s="45"/>
      <c r="AI1070" s="12"/>
      <c r="AJ1070" s="12"/>
      <c r="AK1070" s="12"/>
      <c r="AL1070" s="12"/>
      <c r="AM1070" s="44"/>
      <c r="AN1070" s="45"/>
      <c r="AO1070" s="12"/>
      <c r="AP1070" s="12"/>
      <c r="AQ1070" s="12"/>
      <c r="AR1070" s="12"/>
      <c r="AS1070" s="44"/>
      <c r="AT1070" s="45"/>
      <c r="AU1070" s="12"/>
      <c r="AV1070" s="12"/>
      <c r="AW1070" s="12"/>
      <c r="AX1070" s="12"/>
      <c r="AY1070" s="44"/>
      <c r="AZ1070" s="45"/>
      <c r="BA1070" s="12"/>
      <c r="BB1070" s="12"/>
      <c r="BC1070" s="12"/>
      <c r="BD1070" s="12"/>
      <c r="BE1070" s="44"/>
      <c r="BF1070" s="45"/>
      <c r="BG1070" s="12"/>
      <c r="BH1070" s="12"/>
      <c r="BI1070" s="12"/>
      <c r="BJ1070" s="12"/>
      <c r="BK1070" s="44"/>
      <c r="BL1070" s="45"/>
      <c r="BM1070" s="12"/>
      <c r="BN1070" s="12"/>
      <c r="BO1070" s="12"/>
      <c r="BP1070" s="12"/>
      <c r="BQ1070" s="48"/>
      <c r="BR1070" s="49"/>
      <c r="BS1070" s="13"/>
      <c r="BT1070" s="12"/>
      <c r="BV1070" s="14"/>
      <c r="BW1070" s="50"/>
      <c r="BX1070" s="54"/>
      <c r="BY1070" s="14"/>
      <c r="BZ1070" s="14"/>
      <c r="CA1070" s="14"/>
      <c r="CB1070" s="14"/>
      <c r="CC1070" s="14"/>
      <c r="CD1070" s="14"/>
      <c r="CE1070" s="14"/>
      <c r="CF1070" s="15"/>
      <c r="CG1070" s="14"/>
      <c r="CH1070" s="14"/>
      <c r="CI1070" s="50"/>
      <c r="CJ1070" s="54"/>
      <c r="CK1070" s="14"/>
      <c r="CL1070" s="14"/>
      <c r="CM1070" s="14"/>
      <c r="CN1070" s="14"/>
      <c r="CO1070" s="14"/>
      <c r="CP1070" s="14"/>
      <c r="CQ1070" s="14"/>
      <c r="CR1070" s="14"/>
      <c r="CS1070" s="14"/>
      <c r="CT1070" s="14"/>
      <c r="CU1070" s="16"/>
      <c r="CV1070" s="14"/>
      <c r="CW1070" s="50"/>
      <c r="CX1070" s="17"/>
    </row>
    <row r="1071" spans="4:102" x14ac:dyDescent="0.25"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43"/>
      <c r="Q1071" s="11"/>
      <c r="R1071" s="11"/>
      <c r="S1071" s="11"/>
      <c r="T1071" s="11"/>
      <c r="U1071" s="11"/>
      <c r="V1071" s="11"/>
      <c r="W1071" s="11"/>
      <c r="X1071" s="12"/>
      <c r="Y1071" s="12"/>
      <c r="Z1071" s="12"/>
      <c r="AA1071" s="44"/>
      <c r="AB1071" s="45"/>
      <c r="AC1071" s="12"/>
      <c r="AD1071" s="12"/>
      <c r="AE1071" s="12"/>
      <c r="AF1071" s="12"/>
      <c r="AG1071" s="44"/>
      <c r="AH1071" s="45"/>
      <c r="AI1071" s="12"/>
      <c r="AJ1071" s="12"/>
      <c r="AK1071" s="12"/>
      <c r="AL1071" s="12"/>
      <c r="AM1071" s="44"/>
      <c r="AN1071" s="45"/>
      <c r="AO1071" s="12"/>
      <c r="AP1071" s="12"/>
      <c r="AQ1071" s="12"/>
      <c r="AR1071" s="12"/>
      <c r="AS1071" s="44"/>
      <c r="AT1071" s="45"/>
      <c r="AU1071" s="12"/>
      <c r="AV1071" s="12"/>
      <c r="AW1071" s="12"/>
      <c r="AX1071" s="12"/>
      <c r="AY1071" s="44"/>
      <c r="AZ1071" s="45"/>
      <c r="BA1071" s="12"/>
      <c r="BB1071" s="12"/>
      <c r="BC1071" s="12"/>
      <c r="BD1071" s="12"/>
      <c r="BE1071" s="44"/>
      <c r="BF1071" s="45"/>
      <c r="BG1071" s="12"/>
      <c r="BH1071" s="12"/>
      <c r="BI1071" s="12"/>
      <c r="BJ1071" s="12"/>
      <c r="BK1071" s="44"/>
      <c r="BL1071" s="45"/>
      <c r="BM1071" s="12"/>
      <c r="BN1071" s="12"/>
      <c r="BO1071" s="12"/>
      <c r="BP1071" s="12"/>
      <c r="BQ1071" s="48"/>
      <c r="BR1071" s="49"/>
      <c r="BS1071" s="13"/>
      <c r="BT1071" s="12"/>
      <c r="BV1071" s="14"/>
      <c r="BW1071" s="50"/>
      <c r="BX1071" s="54"/>
      <c r="BY1071" s="14"/>
      <c r="BZ1071" s="14"/>
      <c r="CA1071" s="14"/>
      <c r="CB1071" s="14"/>
      <c r="CC1071" s="14"/>
      <c r="CD1071" s="14"/>
      <c r="CE1071" s="14"/>
      <c r="CF1071" s="15"/>
      <c r="CG1071" s="14"/>
      <c r="CH1071" s="14"/>
      <c r="CI1071" s="50"/>
      <c r="CJ1071" s="54"/>
      <c r="CK1071" s="14"/>
      <c r="CL1071" s="14"/>
      <c r="CM1071" s="14"/>
      <c r="CN1071" s="14"/>
      <c r="CO1071" s="14"/>
      <c r="CP1071" s="14"/>
      <c r="CQ1071" s="14"/>
      <c r="CR1071" s="14"/>
      <c r="CS1071" s="14"/>
      <c r="CT1071" s="14"/>
      <c r="CU1071" s="16"/>
      <c r="CV1071" s="14"/>
      <c r="CW1071" s="50"/>
      <c r="CX1071" s="17"/>
    </row>
    <row r="1072" spans="4:102" x14ac:dyDescent="0.25"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43"/>
      <c r="Q1072" s="11"/>
      <c r="R1072" s="11"/>
      <c r="S1072" s="11"/>
      <c r="T1072" s="11"/>
      <c r="U1072" s="11"/>
      <c r="V1072" s="11"/>
      <c r="W1072" s="11"/>
      <c r="X1072" s="12"/>
      <c r="Y1072" s="12"/>
      <c r="Z1072" s="12"/>
      <c r="AA1072" s="44"/>
      <c r="AB1072" s="45"/>
      <c r="AC1072" s="12"/>
      <c r="AD1072" s="12"/>
      <c r="AE1072" s="12"/>
      <c r="AF1072" s="12"/>
      <c r="AG1072" s="44"/>
      <c r="AH1072" s="45"/>
      <c r="AI1072" s="12"/>
      <c r="AJ1072" s="12"/>
      <c r="AK1072" s="12"/>
      <c r="AL1072" s="12"/>
      <c r="AM1072" s="44"/>
      <c r="AN1072" s="45"/>
      <c r="AO1072" s="12"/>
      <c r="AP1072" s="12"/>
      <c r="AQ1072" s="12"/>
      <c r="AR1072" s="12"/>
      <c r="AS1072" s="44"/>
      <c r="AT1072" s="45"/>
      <c r="AU1072" s="12"/>
      <c r="AV1072" s="12"/>
      <c r="AW1072" s="12"/>
      <c r="AX1072" s="12"/>
      <c r="AY1072" s="44"/>
      <c r="AZ1072" s="45"/>
      <c r="BA1072" s="12"/>
      <c r="BB1072" s="12"/>
      <c r="BC1072" s="12"/>
      <c r="BD1072" s="12"/>
      <c r="BE1072" s="44"/>
      <c r="BF1072" s="45"/>
      <c r="BG1072" s="12"/>
      <c r="BH1072" s="12"/>
      <c r="BI1072" s="12"/>
      <c r="BJ1072" s="12"/>
      <c r="BK1072" s="44"/>
      <c r="BL1072" s="45"/>
      <c r="BM1072" s="12"/>
      <c r="BN1072" s="12"/>
      <c r="BO1072" s="12"/>
      <c r="BP1072" s="12"/>
      <c r="BQ1072" s="48"/>
      <c r="BR1072" s="49"/>
      <c r="BS1072" s="13"/>
      <c r="BT1072" s="12"/>
      <c r="BV1072" s="14"/>
      <c r="BW1072" s="50"/>
      <c r="BX1072" s="54"/>
      <c r="BY1072" s="14"/>
      <c r="BZ1072" s="14"/>
      <c r="CA1072" s="14"/>
      <c r="CB1072" s="14"/>
      <c r="CC1072" s="14"/>
      <c r="CD1072" s="14"/>
      <c r="CE1072" s="14"/>
      <c r="CF1072" s="15"/>
      <c r="CG1072" s="14"/>
      <c r="CH1072" s="14"/>
      <c r="CI1072" s="50"/>
      <c r="CJ1072" s="54"/>
      <c r="CK1072" s="14"/>
      <c r="CL1072" s="14"/>
      <c r="CM1072" s="14"/>
      <c r="CN1072" s="14"/>
      <c r="CO1072" s="14"/>
      <c r="CP1072" s="14"/>
      <c r="CQ1072" s="14"/>
      <c r="CR1072" s="14"/>
      <c r="CS1072" s="14"/>
      <c r="CT1072" s="14"/>
      <c r="CU1072" s="16"/>
      <c r="CV1072" s="14"/>
      <c r="CW1072" s="50"/>
      <c r="CX1072" s="17"/>
    </row>
    <row r="1073" spans="4:102" x14ac:dyDescent="0.25"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43"/>
      <c r="Q1073" s="11"/>
      <c r="R1073" s="11"/>
      <c r="S1073" s="11"/>
      <c r="T1073" s="11"/>
      <c r="U1073" s="11"/>
      <c r="V1073" s="11"/>
      <c r="W1073" s="11"/>
      <c r="X1073" s="12"/>
      <c r="Y1073" s="12"/>
      <c r="Z1073" s="12"/>
      <c r="AA1073" s="44"/>
      <c r="AB1073" s="45"/>
      <c r="AC1073" s="12"/>
      <c r="AD1073" s="12"/>
      <c r="AE1073" s="12"/>
      <c r="AF1073" s="12"/>
      <c r="AG1073" s="44"/>
      <c r="AH1073" s="45"/>
      <c r="AI1073" s="12"/>
      <c r="AJ1073" s="12"/>
      <c r="AK1073" s="12"/>
      <c r="AL1073" s="12"/>
      <c r="AM1073" s="44"/>
      <c r="AN1073" s="45"/>
      <c r="AO1073" s="12"/>
      <c r="AP1073" s="12"/>
      <c r="AQ1073" s="12"/>
      <c r="AR1073" s="12"/>
      <c r="AS1073" s="44"/>
      <c r="AT1073" s="45"/>
      <c r="AU1073" s="12"/>
      <c r="AV1073" s="12"/>
      <c r="AW1073" s="12"/>
      <c r="AX1073" s="12"/>
      <c r="AY1073" s="44"/>
      <c r="AZ1073" s="45"/>
      <c r="BA1073" s="12"/>
      <c r="BB1073" s="12"/>
      <c r="BC1073" s="12"/>
      <c r="BD1073" s="12"/>
      <c r="BE1073" s="44"/>
      <c r="BF1073" s="45"/>
      <c r="BG1073" s="12"/>
      <c r="BH1073" s="12"/>
      <c r="BI1073" s="12"/>
      <c r="BJ1073" s="12"/>
      <c r="BK1073" s="44"/>
      <c r="BL1073" s="45"/>
      <c r="BM1073" s="12"/>
      <c r="BN1073" s="12"/>
      <c r="BO1073" s="12"/>
      <c r="BP1073" s="12"/>
      <c r="BQ1073" s="48"/>
      <c r="BR1073" s="49"/>
      <c r="BS1073" s="13"/>
      <c r="BT1073" s="12"/>
      <c r="BV1073" s="14"/>
      <c r="BW1073" s="50"/>
      <c r="BX1073" s="54"/>
      <c r="BY1073" s="14"/>
      <c r="BZ1073" s="14"/>
      <c r="CA1073" s="14"/>
      <c r="CB1073" s="14"/>
      <c r="CC1073" s="14"/>
      <c r="CD1073" s="14"/>
      <c r="CE1073" s="14"/>
      <c r="CF1073" s="15"/>
      <c r="CG1073" s="14"/>
      <c r="CH1073" s="14"/>
      <c r="CI1073" s="50"/>
      <c r="CJ1073" s="54"/>
      <c r="CK1073" s="14"/>
      <c r="CL1073" s="14"/>
      <c r="CM1073" s="14"/>
      <c r="CN1073" s="14"/>
      <c r="CO1073" s="14"/>
      <c r="CP1073" s="14"/>
      <c r="CQ1073" s="14"/>
      <c r="CR1073" s="14"/>
      <c r="CS1073" s="14"/>
      <c r="CT1073" s="14"/>
      <c r="CU1073" s="16"/>
      <c r="CV1073" s="14"/>
      <c r="CW1073" s="50"/>
      <c r="CX1073" s="17"/>
    </row>
    <row r="1074" spans="4:102" x14ac:dyDescent="0.25"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43"/>
      <c r="Q1074" s="11"/>
      <c r="R1074" s="11"/>
      <c r="S1074" s="11"/>
      <c r="T1074" s="11"/>
      <c r="U1074" s="11"/>
      <c r="V1074" s="11"/>
      <c r="W1074" s="11"/>
      <c r="X1074" s="12"/>
      <c r="Y1074" s="12"/>
      <c r="Z1074" s="12"/>
      <c r="AA1074" s="44"/>
      <c r="AB1074" s="45"/>
      <c r="AC1074" s="12"/>
      <c r="AD1074" s="12"/>
      <c r="AE1074" s="12"/>
      <c r="AF1074" s="12"/>
      <c r="AG1074" s="44"/>
      <c r="AH1074" s="45"/>
      <c r="AI1074" s="12"/>
      <c r="AJ1074" s="12"/>
      <c r="AK1074" s="12"/>
      <c r="AL1074" s="12"/>
      <c r="AM1074" s="44"/>
      <c r="AN1074" s="45"/>
      <c r="AO1074" s="12"/>
      <c r="AP1074" s="12"/>
      <c r="AQ1074" s="12"/>
      <c r="AR1074" s="12"/>
      <c r="AS1074" s="44"/>
      <c r="AT1074" s="45"/>
      <c r="AU1074" s="12"/>
      <c r="AV1074" s="12"/>
      <c r="AW1074" s="12"/>
      <c r="AX1074" s="12"/>
      <c r="AY1074" s="44"/>
      <c r="AZ1074" s="45"/>
      <c r="BA1074" s="12"/>
      <c r="BB1074" s="12"/>
      <c r="BC1074" s="12"/>
      <c r="BD1074" s="12"/>
      <c r="BE1074" s="44"/>
      <c r="BF1074" s="45"/>
      <c r="BG1074" s="12"/>
      <c r="BH1074" s="12"/>
      <c r="BI1074" s="12"/>
      <c r="BJ1074" s="12"/>
      <c r="BK1074" s="44"/>
      <c r="BL1074" s="45"/>
      <c r="BM1074" s="12"/>
      <c r="BN1074" s="12"/>
      <c r="BO1074" s="12"/>
      <c r="BP1074" s="12"/>
      <c r="BQ1074" s="48"/>
      <c r="BR1074" s="49"/>
      <c r="BS1074" s="13"/>
      <c r="BT1074" s="12"/>
      <c r="BV1074" s="14"/>
      <c r="BW1074" s="50"/>
      <c r="BX1074" s="54"/>
      <c r="BY1074" s="14"/>
      <c r="BZ1074" s="14"/>
      <c r="CA1074" s="14"/>
      <c r="CB1074" s="14"/>
      <c r="CC1074" s="14"/>
      <c r="CD1074" s="14"/>
      <c r="CE1074" s="14"/>
      <c r="CF1074" s="15"/>
      <c r="CG1074" s="14"/>
      <c r="CH1074" s="14"/>
      <c r="CI1074" s="50"/>
      <c r="CJ1074" s="54"/>
      <c r="CK1074" s="14"/>
      <c r="CL1074" s="14"/>
      <c r="CM1074" s="14"/>
      <c r="CN1074" s="14"/>
      <c r="CO1074" s="14"/>
      <c r="CP1074" s="14"/>
      <c r="CQ1074" s="14"/>
      <c r="CR1074" s="14"/>
      <c r="CS1074" s="14"/>
      <c r="CT1074" s="14"/>
      <c r="CU1074" s="16"/>
      <c r="CV1074" s="14"/>
      <c r="CW1074" s="50"/>
      <c r="CX1074" s="17"/>
    </row>
    <row r="1075" spans="4:102" x14ac:dyDescent="0.25"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43"/>
      <c r="Q1075" s="11"/>
      <c r="R1075" s="11"/>
      <c r="S1075" s="11"/>
      <c r="T1075" s="11"/>
      <c r="U1075" s="11"/>
      <c r="V1075" s="11"/>
      <c r="W1075" s="11"/>
      <c r="X1075" s="12"/>
      <c r="Y1075" s="12"/>
      <c r="Z1075" s="12"/>
      <c r="AA1075" s="44"/>
      <c r="AB1075" s="45"/>
      <c r="AC1075" s="12"/>
      <c r="AD1075" s="12"/>
      <c r="AE1075" s="12"/>
      <c r="AF1075" s="12"/>
      <c r="AG1075" s="44"/>
      <c r="AH1075" s="45"/>
      <c r="AI1075" s="12"/>
      <c r="AJ1075" s="12"/>
      <c r="AK1075" s="12"/>
      <c r="AL1075" s="12"/>
      <c r="AM1075" s="44"/>
      <c r="AN1075" s="45"/>
      <c r="AO1075" s="12"/>
      <c r="AP1075" s="12"/>
      <c r="AQ1075" s="12"/>
      <c r="AR1075" s="12"/>
      <c r="AS1075" s="44"/>
      <c r="AT1075" s="45"/>
      <c r="AU1075" s="12"/>
      <c r="AV1075" s="12"/>
      <c r="AW1075" s="12"/>
      <c r="AX1075" s="12"/>
      <c r="AY1075" s="44"/>
      <c r="AZ1075" s="45"/>
      <c r="BA1075" s="12"/>
      <c r="BB1075" s="12"/>
      <c r="BC1075" s="12"/>
      <c r="BD1075" s="12"/>
      <c r="BE1075" s="44"/>
      <c r="BF1075" s="45"/>
      <c r="BG1075" s="12"/>
      <c r="BH1075" s="12"/>
      <c r="BI1075" s="12"/>
      <c r="BJ1075" s="12"/>
      <c r="BK1075" s="44"/>
      <c r="BL1075" s="45"/>
      <c r="BM1075" s="12"/>
      <c r="BN1075" s="12"/>
      <c r="BO1075" s="12"/>
      <c r="BP1075" s="12"/>
      <c r="BQ1075" s="48"/>
      <c r="BR1075" s="49"/>
      <c r="BS1075" s="13"/>
      <c r="BT1075" s="12"/>
      <c r="BV1075" s="14"/>
      <c r="BW1075" s="50"/>
      <c r="BX1075" s="54"/>
      <c r="BY1075" s="14"/>
      <c r="BZ1075" s="14"/>
      <c r="CA1075" s="14"/>
      <c r="CB1075" s="14"/>
      <c r="CC1075" s="14"/>
      <c r="CD1075" s="14"/>
      <c r="CE1075" s="14"/>
      <c r="CF1075" s="15"/>
      <c r="CG1075" s="14"/>
      <c r="CH1075" s="14"/>
      <c r="CI1075" s="50"/>
      <c r="CJ1075" s="54"/>
      <c r="CK1075" s="14"/>
      <c r="CL1075" s="14"/>
      <c r="CM1075" s="14"/>
      <c r="CN1075" s="14"/>
      <c r="CO1075" s="14"/>
      <c r="CP1075" s="14"/>
      <c r="CQ1075" s="14"/>
      <c r="CR1075" s="14"/>
      <c r="CS1075" s="14"/>
      <c r="CT1075" s="14"/>
      <c r="CU1075" s="16"/>
      <c r="CV1075" s="14"/>
      <c r="CW1075" s="50"/>
      <c r="CX1075" s="17"/>
    </row>
    <row r="1076" spans="4:102" x14ac:dyDescent="0.25"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43"/>
      <c r="Q1076" s="11"/>
      <c r="R1076" s="11"/>
      <c r="S1076" s="11"/>
      <c r="T1076" s="11"/>
      <c r="U1076" s="11"/>
      <c r="V1076" s="11"/>
      <c r="W1076" s="11"/>
      <c r="X1076" s="12"/>
      <c r="Y1076" s="12"/>
      <c r="Z1076" s="12"/>
      <c r="AA1076" s="44"/>
      <c r="AB1076" s="45"/>
      <c r="AC1076" s="12"/>
      <c r="AD1076" s="12"/>
      <c r="AE1076" s="12"/>
      <c r="AF1076" s="12"/>
      <c r="AG1076" s="44"/>
      <c r="AH1076" s="45"/>
      <c r="AI1076" s="12"/>
      <c r="AJ1076" s="12"/>
      <c r="AK1076" s="12"/>
      <c r="AL1076" s="12"/>
      <c r="AM1076" s="44"/>
      <c r="AN1076" s="45"/>
      <c r="AO1076" s="12"/>
      <c r="AP1076" s="12"/>
      <c r="AQ1076" s="12"/>
      <c r="AR1076" s="12"/>
      <c r="AS1076" s="44"/>
      <c r="AT1076" s="45"/>
      <c r="AU1076" s="12"/>
      <c r="AV1076" s="12"/>
      <c r="AW1076" s="12"/>
      <c r="AX1076" s="12"/>
      <c r="AY1076" s="44"/>
      <c r="AZ1076" s="45"/>
      <c r="BA1076" s="12"/>
      <c r="BB1076" s="12"/>
      <c r="BC1076" s="12"/>
      <c r="BD1076" s="12"/>
      <c r="BE1076" s="44"/>
      <c r="BF1076" s="45"/>
      <c r="BG1076" s="12"/>
      <c r="BH1076" s="12"/>
      <c r="BI1076" s="12"/>
      <c r="BJ1076" s="12"/>
      <c r="BK1076" s="44"/>
      <c r="BL1076" s="45"/>
      <c r="BM1076" s="12"/>
      <c r="BN1076" s="12"/>
      <c r="BO1076" s="12"/>
      <c r="BP1076" s="12"/>
      <c r="BQ1076" s="48"/>
      <c r="BR1076" s="49"/>
      <c r="BS1076" s="13"/>
      <c r="BT1076" s="12"/>
      <c r="BV1076" s="14"/>
      <c r="BW1076" s="50"/>
      <c r="BX1076" s="54"/>
      <c r="BY1076" s="14"/>
      <c r="BZ1076" s="14"/>
      <c r="CA1076" s="14"/>
      <c r="CB1076" s="14"/>
      <c r="CC1076" s="14"/>
      <c r="CD1076" s="14"/>
      <c r="CE1076" s="14"/>
      <c r="CF1076" s="15"/>
      <c r="CG1076" s="14"/>
      <c r="CH1076" s="14"/>
      <c r="CI1076" s="50"/>
      <c r="CJ1076" s="54"/>
      <c r="CK1076" s="14"/>
      <c r="CL1076" s="14"/>
      <c r="CM1076" s="14"/>
      <c r="CN1076" s="14"/>
      <c r="CO1076" s="14"/>
      <c r="CP1076" s="14"/>
      <c r="CQ1076" s="14"/>
      <c r="CR1076" s="14"/>
      <c r="CS1076" s="14"/>
      <c r="CT1076" s="14"/>
      <c r="CU1076" s="16"/>
      <c r="CV1076" s="14"/>
      <c r="CW1076" s="50"/>
      <c r="CX1076" s="17"/>
    </row>
    <row r="1077" spans="4:102" x14ac:dyDescent="0.25"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43"/>
      <c r="Q1077" s="11"/>
      <c r="R1077" s="11"/>
      <c r="S1077" s="11"/>
      <c r="T1077" s="11"/>
      <c r="U1077" s="11"/>
      <c r="V1077" s="11"/>
      <c r="W1077" s="11"/>
      <c r="X1077" s="12"/>
      <c r="Y1077" s="12"/>
      <c r="Z1077" s="12"/>
      <c r="AA1077" s="44"/>
      <c r="AB1077" s="45"/>
      <c r="AC1077" s="12"/>
      <c r="AD1077" s="12"/>
      <c r="AE1077" s="12"/>
      <c r="AF1077" s="12"/>
      <c r="AG1077" s="44"/>
      <c r="AH1077" s="45"/>
      <c r="AI1077" s="12"/>
      <c r="AJ1077" s="12"/>
      <c r="AK1077" s="12"/>
      <c r="AL1077" s="12"/>
      <c r="AM1077" s="44"/>
      <c r="AN1077" s="45"/>
      <c r="AO1077" s="12"/>
      <c r="AP1077" s="12"/>
      <c r="AQ1077" s="12"/>
      <c r="AR1077" s="12"/>
      <c r="AS1077" s="44"/>
      <c r="AT1077" s="45"/>
      <c r="AU1077" s="12"/>
      <c r="AV1077" s="12"/>
      <c r="AW1077" s="12"/>
      <c r="AX1077" s="12"/>
      <c r="AY1077" s="44"/>
      <c r="AZ1077" s="45"/>
      <c r="BA1077" s="12"/>
      <c r="BB1077" s="12"/>
      <c r="BC1077" s="12"/>
      <c r="BD1077" s="12"/>
      <c r="BE1077" s="44"/>
      <c r="BF1077" s="45"/>
      <c r="BG1077" s="12"/>
      <c r="BH1077" s="12"/>
      <c r="BI1077" s="12"/>
      <c r="BJ1077" s="12"/>
      <c r="BK1077" s="44"/>
      <c r="BL1077" s="45"/>
      <c r="BM1077" s="12"/>
      <c r="BN1077" s="12"/>
      <c r="BO1077" s="12"/>
      <c r="BP1077" s="12"/>
      <c r="BQ1077" s="48"/>
      <c r="BR1077" s="49"/>
      <c r="BS1077" s="13"/>
      <c r="BT1077" s="12"/>
      <c r="BV1077" s="14"/>
      <c r="BW1077" s="50"/>
      <c r="BX1077" s="54"/>
      <c r="BY1077" s="14"/>
      <c r="BZ1077" s="14"/>
      <c r="CA1077" s="14"/>
      <c r="CB1077" s="14"/>
      <c r="CC1077" s="14"/>
      <c r="CD1077" s="14"/>
      <c r="CE1077" s="14"/>
      <c r="CF1077" s="15"/>
      <c r="CG1077" s="14"/>
      <c r="CH1077" s="14"/>
      <c r="CI1077" s="50"/>
      <c r="CJ1077" s="54"/>
      <c r="CK1077" s="14"/>
      <c r="CL1077" s="14"/>
      <c r="CM1077" s="14"/>
      <c r="CN1077" s="14"/>
      <c r="CO1077" s="14"/>
      <c r="CP1077" s="14"/>
      <c r="CQ1077" s="14"/>
      <c r="CR1077" s="14"/>
      <c r="CS1077" s="14"/>
      <c r="CT1077" s="14"/>
      <c r="CU1077" s="16"/>
      <c r="CV1077" s="14"/>
      <c r="CW1077" s="50"/>
      <c r="CX1077" s="17"/>
    </row>
    <row r="1078" spans="4:102" x14ac:dyDescent="0.25"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43"/>
      <c r="Q1078" s="11"/>
      <c r="R1078" s="11"/>
      <c r="S1078" s="11"/>
      <c r="T1078" s="11"/>
      <c r="U1078" s="11"/>
      <c r="V1078" s="11"/>
      <c r="W1078" s="11"/>
      <c r="X1078" s="12"/>
      <c r="Y1078" s="12"/>
      <c r="Z1078" s="12"/>
      <c r="AA1078" s="44"/>
      <c r="AB1078" s="45"/>
      <c r="AC1078" s="12"/>
      <c r="AD1078" s="12"/>
      <c r="AE1078" s="12"/>
      <c r="AF1078" s="12"/>
      <c r="AG1078" s="44"/>
      <c r="AH1078" s="45"/>
      <c r="AI1078" s="12"/>
      <c r="AJ1078" s="12"/>
      <c r="AK1078" s="12"/>
      <c r="AL1078" s="12"/>
      <c r="AM1078" s="44"/>
      <c r="AN1078" s="45"/>
      <c r="AO1078" s="12"/>
      <c r="AP1078" s="12"/>
      <c r="AQ1078" s="12"/>
      <c r="AR1078" s="12"/>
      <c r="AS1078" s="44"/>
      <c r="AT1078" s="45"/>
      <c r="AU1078" s="12"/>
      <c r="AV1078" s="12"/>
      <c r="AW1078" s="12"/>
      <c r="AX1078" s="12"/>
      <c r="AY1078" s="44"/>
      <c r="AZ1078" s="45"/>
      <c r="BA1078" s="12"/>
      <c r="BB1078" s="12"/>
      <c r="BC1078" s="12"/>
      <c r="BD1078" s="12"/>
      <c r="BE1078" s="44"/>
      <c r="BF1078" s="45"/>
      <c r="BG1078" s="12"/>
      <c r="BH1078" s="12"/>
      <c r="BI1078" s="12"/>
      <c r="BJ1078" s="12"/>
      <c r="BK1078" s="44"/>
      <c r="BL1078" s="45"/>
      <c r="BM1078" s="12"/>
      <c r="BN1078" s="12"/>
      <c r="BO1078" s="12"/>
      <c r="BP1078" s="12"/>
      <c r="BQ1078" s="48"/>
      <c r="BR1078" s="49"/>
      <c r="BS1078" s="13"/>
      <c r="BT1078" s="12"/>
      <c r="BV1078" s="14"/>
      <c r="BW1078" s="50"/>
      <c r="BX1078" s="54"/>
      <c r="BY1078" s="14"/>
      <c r="BZ1078" s="14"/>
      <c r="CA1078" s="14"/>
      <c r="CB1078" s="14"/>
      <c r="CC1078" s="14"/>
      <c r="CD1078" s="14"/>
      <c r="CE1078" s="14"/>
      <c r="CF1078" s="15"/>
      <c r="CG1078" s="14"/>
      <c r="CH1078" s="14"/>
      <c r="CI1078" s="50"/>
      <c r="CJ1078" s="54"/>
      <c r="CK1078" s="14"/>
      <c r="CL1078" s="14"/>
      <c r="CM1078" s="14"/>
      <c r="CN1078" s="14"/>
      <c r="CO1078" s="14"/>
      <c r="CP1078" s="14"/>
      <c r="CQ1078" s="14"/>
      <c r="CR1078" s="14"/>
      <c r="CS1078" s="14"/>
      <c r="CT1078" s="14"/>
      <c r="CU1078" s="16"/>
      <c r="CV1078" s="14"/>
      <c r="CW1078" s="50"/>
      <c r="CX1078" s="17"/>
    </row>
    <row r="1079" spans="4:102" x14ac:dyDescent="0.25"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43"/>
      <c r="Q1079" s="11"/>
      <c r="R1079" s="11"/>
      <c r="S1079" s="11"/>
      <c r="T1079" s="11"/>
      <c r="U1079" s="11"/>
      <c r="V1079" s="11"/>
      <c r="W1079" s="11"/>
      <c r="X1079" s="12"/>
      <c r="Y1079" s="12"/>
      <c r="Z1079" s="12"/>
      <c r="AA1079" s="44"/>
      <c r="AB1079" s="45"/>
      <c r="AC1079" s="12"/>
      <c r="AD1079" s="12"/>
      <c r="AE1079" s="12"/>
      <c r="AF1079" s="12"/>
      <c r="AG1079" s="44"/>
      <c r="AH1079" s="45"/>
      <c r="AI1079" s="12"/>
      <c r="AJ1079" s="12"/>
      <c r="AK1079" s="12"/>
      <c r="AL1079" s="12"/>
      <c r="AM1079" s="44"/>
      <c r="AN1079" s="45"/>
      <c r="AO1079" s="12"/>
      <c r="AP1079" s="12"/>
      <c r="AQ1079" s="12"/>
      <c r="AR1079" s="12"/>
      <c r="AS1079" s="44"/>
      <c r="AT1079" s="45"/>
      <c r="AU1079" s="12"/>
      <c r="AV1079" s="12"/>
      <c r="AW1079" s="12"/>
      <c r="AX1079" s="12"/>
      <c r="AY1079" s="44"/>
      <c r="AZ1079" s="45"/>
      <c r="BA1079" s="12"/>
      <c r="BB1079" s="12"/>
      <c r="BC1079" s="12"/>
      <c r="BD1079" s="12"/>
      <c r="BE1079" s="44"/>
      <c r="BF1079" s="45"/>
      <c r="BG1079" s="12"/>
      <c r="BH1079" s="12"/>
      <c r="BI1079" s="12"/>
      <c r="BJ1079" s="12"/>
      <c r="BK1079" s="44"/>
      <c r="BL1079" s="45"/>
      <c r="BM1079" s="12"/>
      <c r="BN1079" s="12"/>
      <c r="BO1079" s="12"/>
      <c r="BP1079" s="12"/>
      <c r="BQ1079" s="48"/>
      <c r="BR1079" s="49"/>
      <c r="BS1079" s="13"/>
      <c r="BT1079" s="12"/>
      <c r="BV1079" s="14"/>
      <c r="BW1079" s="50"/>
      <c r="BX1079" s="54"/>
      <c r="BY1079" s="14"/>
      <c r="BZ1079" s="14"/>
      <c r="CA1079" s="14"/>
      <c r="CB1079" s="14"/>
      <c r="CC1079" s="14"/>
      <c r="CD1079" s="14"/>
      <c r="CE1079" s="14"/>
      <c r="CF1079" s="15"/>
      <c r="CG1079" s="14"/>
      <c r="CH1079" s="14"/>
      <c r="CI1079" s="50"/>
      <c r="CJ1079" s="54"/>
      <c r="CK1079" s="14"/>
      <c r="CL1079" s="14"/>
      <c r="CM1079" s="14"/>
      <c r="CN1079" s="14"/>
      <c r="CO1079" s="14"/>
      <c r="CP1079" s="14"/>
      <c r="CQ1079" s="14"/>
      <c r="CR1079" s="14"/>
      <c r="CS1079" s="14"/>
      <c r="CT1079" s="14"/>
      <c r="CU1079" s="16"/>
      <c r="CV1079" s="14"/>
      <c r="CW1079" s="50"/>
      <c r="CX1079" s="17"/>
    </row>
    <row r="1080" spans="4:102" x14ac:dyDescent="0.25"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43"/>
      <c r="Q1080" s="11"/>
      <c r="R1080" s="11"/>
      <c r="S1080" s="11"/>
      <c r="T1080" s="11"/>
      <c r="U1080" s="11"/>
      <c r="V1080" s="11"/>
      <c r="W1080" s="11"/>
      <c r="X1080" s="12"/>
      <c r="Y1080" s="12"/>
      <c r="Z1080" s="12"/>
      <c r="AA1080" s="44"/>
      <c r="AB1080" s="45"/>
      <c r="AC1080" s="12"/>
      <c r="AD1080" s="12"/>
      <c r="AE1080" s="12"/>
      <c r="AF1080" s="12"/>
      <c r="AG1080" s="44"/>
      <c r="AH1080" s="45"/>
      <c r="AI1080" s="12"/>
      <c r="AJ1080" s="12"/>
      <c r="AK1080" s="12"/>
      <c r="AL1080" s="12"/>
      <c r="AM1080" s="44"/>
      <c r="AN1080" s="45"/>
      <c r="AO1080" s="12"/>
      <c r="AP1080" s="12"/>
      <c r="AQ1080" s="12"/>
      <c r="AR1080" s="12"/>
      <c r="AS1080" s="44"/>
      <c r="AT1080" s="45"/>
      <c r="AU1080" s="12"/>
      <c r="AV1080" s="12"/>
      <c r="AW1080" s="12"/>
      <c r="AX1080" s="12"/>
      <c r="AY1080" s="44"/>
      <c r="AZ1080" s="45"/>
      <c r="BA1080" s="12"/>
      <c r="BB1080" s="12"/>
      <c r="BC1080" s="12"/>
      <c r="BD1080" s="12"/>
      <c r="BE1080" s="44"/>
      <c r="BF1080" s="45"/>
      <c r="BG1080" s="12"/>
      <c r="BH1080" s="12"/>
      <c r="BI1080" s="12"/>
      <c r="BJ1080" s="12"/>
      <c r="BK1080" s="44"/>
      <c r="BL1080" s="45"/>
      <c r="BM1080" s="12"/>
      <c r="BN1080" s="12"/>
      <c r="BO1080" s="12"/>
      <c r="BP1080" s="12"/>
      <c r="BQ1080" s="48"/>
      <c r="BR1080" s="49"/>
      <c r="BS1080" s="13"/>
      <c r="BT1080" s="12"/>
      <c r="BV1080" s="14"/>
      <c r="BW1080" s="50"/>
      <c r="BX1080" s="54"/>
      <c r="BY1080" s="14"/>
      <c r="BZ1080" s="14"/>
      <c r="CA1080" s="14"/>
      <c r="CB1080" s="14"/>
      <c r="CC1080" s="14"/>
      <c r="CD1080" s="14"/>
      <c r="CE1080" s="14"/>
      <c r="CF1080" s="15"/>
      <c r="CG1080" s="14"/>
      <c r="CH1080" s="14"/>
      <c r="CI1080" s="50"/>
      <c r="CJ1080" s="54"/>
      <c r="CK1080" s="14"/>
      <c r="CL1080" s="14"/>
      <c r="CM1080" s="14"/>
      <c r="CN1080" s="14"/>
      <c r="CO1080" s="14"/>
      <c r="CP1080" s="14"/>
      <c r="CQ1080" s="14"/>
      <c r="CR1080" s="14"/>
      <c r="CS1080" s="14"/>
      <c r="CT1080" s="14"/>
      <c r="CU1080" s="16"/>
      <c r="CV1080" s="14"/>
      <c r="CW1080" s="50"/>
      <c r="CX1080" s="17"/>
    </row>
    <row r="1081" spans="4:102" x14ac:dyDescent="0.25"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43"/>
      <c r="Q1081" s="11"/>
      <c r="R1081" s="11"/>
      <c r="S1081" s="11"/>
      <c r="T1081" s="11"/>
      <c r="U1081" s="11"/>
      <c r="V1081" s="11"/>
      <c r="W1081" s="11"/>
      <c r="X1081" s="12"/>
      <c r="Y1081" s="12"/>
      <c r="Z1081" s="12"/>
      <c r="AA1081" s="44"/>
      <c r="AB1081" s="45"/>
      <c r="AC1081" s="12"/>
      <c r="AD1081" s="12"/>
      <c r="AE1081" s="12"/>
      <c r="AF1081" s="12"/>
      <c r="AG1081" s="44"/>
      <c r="AH1081" s="45"/>
      <c r="AI1081" s="12"/>
      <c r="AJ1081" s="12"/>
      <c r="AK1081" s="12"/>
      <c r="AL1081" s="12"/>
      <c r="AM1081" s="44"/>
      <c r="AN1081" s="45"/>
      <c r="AO1081" s="12"/>
      <c r="AP1081" s="12"/>
      <c r="AQ1081" s="12"/>
      <c r="AR1081" s="12"/>
      <c r="AS1081" s="44"/>
      <c r="AT1081" s="45"/>
      <c r="AU1081" s="12"/>
      <c r="AV1081" s="12"/>
      <c r="AW1081" s="12"/>
      <c r="AX1081" s="12"/>
      <c r="AY1081" s="44"/>
      <c r="AZ1081" s="45"/>
      <c r="BA1081" s="12"/>
      <c r="BB1081" s="12"/>
      <c r="BC1081" s="12"/>
      <c r="BD1081" s="12"/>
      <c r="BE1081" s="44"/>
      <c r="BF1081" s="45"/>
      <c r="BG1081" s="12"/>
      <c r="BH1081" s="12"/>
      <c r="BI1081" s="12"/>
      <c r="BJ1081" s="12"/>
      <c r="BK1081" s="44"/>
      <c r="BL1081" s="45"/>
      <c r="BM1081" s="12"/>
      <c r="BN1081" s="12"/>
      <c r="BO1081" s="12"/>
      <c r="BP1081" s="12"/>
      <c r="BQ1081" s="48"/>
      <c r="BR1081" s="49"/>
      <c r="BS1081" s="13"/>
      <c r="BT1081" s="12"/>
      <c r="BV1081" s="14"/>
      <c r="BW1081" s="50"/>
      <c r="BX1081" s="54"/>
      <c r="BY1081" s="14"/>
      <c r="BZ1081" s="14"/>
      <c r="CA1081" s="14"/>
      <c r="CB1081" s="14"/>
      <c r="CC1081" s="14"/>
      <c r="CD1081" s="14"/>
      <c r="CE1081" s="14"/>
      <c r="CF1081" s="15"/>
      <c r="CG1081" s="14"/>
      <c r="CH1081" s="14"/>
      <c r="CI1081" s="50"/>
      <c r="CJ1081" s="54"/>
      <c r="CK1081" s="14"/>
      <c r="CL1081" s="14"/>
      <c r="CM1081" s="14"/>
      <c r="CN1081" s="14"/>
      <c r="CO1081" s="14"/>
      <c r="CP1081" s="14"/>
      <c r="CQ1081" s="14"/>
      <c r="CR1081" s="14"/>
      <c r="CS1081" s="14"/>
      <c r="CT1081" s="14"/>
      <c r="CU1081" s="16"/>
      <c r="CV1081" s="14"/>
      <c r="CW1081" s="50"/>
      <c r="CX1081" s="17"/>
    </row>
    <row r="1082" spans="4:102" x14ac:dyDescent="0.25"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43"/>
      <c r="Q1082" s="11"/>
      <c r="R1082" s="11"/>
      <c r="S1082" s="11"/>
      <c r="T1082" s="11"/>
      <c r="U1082" s="11"/>
      <c r="V1082" s="11"/>
      <c r="W1082" s="11"/>
      <c r="X1082" s="12"/>
      <c r="Y1082" s="12"/>
      <c r="Z1082" s="12"/>
      <c r="AA1082" s="44"/>
      <c r="AB1082" s="45"/>
      <c r="AC1082" s="12"/>
      <c r="AD1082" s="12"/>
      <c r="AE1082" s="12"/>
      <c r="AF1082" s="12"/>
      <c r="AG1082" s="44"/>
      <c r="AH1082" s="45"/>
      <c r="AI1082" s="12"/>
      <c r="AJ1082" s="12"/>
      <c r="AK1082" s="12"/>
      <c r="AL1082" s="12"/>
      <c r="AM1082" s="44"/>
      <c r="AN1082" s="45"/>
      <c r="AO1082" s="12"/>
      <c r="AP1082" s="12"/>
      <c r="AQ1082" s="12"/>
      <c r="AR1082" s="12"/>
      <c r="AS1082" s="44"/>
      <c r="AT1082" s="45"/>
      <c r="AU1082" s="12"/>
      <c r="AV1082" s="12"/>
      <c r="AW1082" s="12"/>
      <c r="AX1082" s="12"/>
      <c r="AY1082" s="44"/>
      <c r="AZ1082" s="45"/>
      <c r="BA1082" s="12"/>
      <c r="BB1082" s="12"/>
      <c r="BC1082" s="12"/>
      <c r="BD1082" s="12"/>
      <c r="BE1082" s="44"/>
      <c r="BF1082" s="45"/>
      <c r="BG1082" s="12"/>
      <c r="BH1082" s="12"/>
      <c r="BI1082" s="12"/>
      <c r="BJ1082" s="12"/>
      <c r="BK1082" s="44"/>
      <c r="BL1082" s="45"/>
      <c r="BM1082" s="12"/>
      <c r="BN1082" s="12"/>
      <c r="BO1082" s="12"/>
      <c r="BP1082" s="12"/>
      <c r="BQ1082" s="48"/>
      <c r="BR1082" s="49"/>
      <c r="BS1082" s="13"/>
      <c r="BT1082" s="12"/>
      <c r="BV1082" s="14"/>
      <c r="BW1082" s="50"/>
      <c r="BX1082" s="54"/>
      <c r="BY1082" s="14"/>
      <c r="BZ1082" s="14"/>
      <c r="CA1082" s="14"/>
      <c r="CB1082" s="14"/>
      <c r="CC1082" s="14"/>
      <c r="CD1082" s="14"/>
      <c r="CE1082" s="14"/>
      <c r="CF1082" s="15"/>
      <c r="CG1082" s="14"/>
      <c r="CH1082" s="14"/>
      <c r="CI1082" s="50"/>
      <c r="CJ1082" s="54"/>
      <c r="CK1082" s="14"/>
      <c r="CL1082" s="14"/>
      <c r="CM1082" s="14"/>
      <c r="CN1082" s="14"/>
      <c r="CO1082" s="14"/>
      <c r="CP1082" s="14"/>
      <c r="CQ1082" s="14"/>
      <c r="CR1082" s="14"/>
      <c r="CS1082" s="14"/>
      <c r="CT1082" s="14"/>
      <c r="CU1082" s="16"/>
      <c r="CV1082" s="14"/>
      <c r="CW1082" s="50"/>
      <c r="CX1082" s="17"/>
    </row>
    <row r="1083" spans="4:102" x14ac:dyDescent="0.25"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43"/>
      <c r="Q1083" s="11"/>
      <c r="R1083" s="11"/>
      <c r="S1083" s="11"/>
      <c r="T1083" s="11"/>
      <c r="U1083" s="11"/>
      <c r="V1083" s="11"/>
      <c r="W1083" s="11"/>
      <c r="X1083" s="12"/>
      <c r="Y1083" s="12"/>
      <c r="Z1083" s="12"/>
      <c r="AA1083" s="44"/>
      <c r="AB1083" s="45"/>
      <c r="AC1083" s="12"/>
      <c r="AD1083" s="12"/>
      <c r="AE1083" s="12"/>
      <c r="AF1083" s="12"/>
      <c r="AG1083" s="44"/>
      <c r="AH1083" s="45"/>
      <c r="AI1083" s="12"/>
      <c r="AJ1083" s="12"/>
      <c r="AK1083" s="12"/>
      <c r="AL1083" s="12"/>
      <c r="AM1083" s="44"/>
      <c r="AN1083" s="45"/>
      <c r="AO1083" s="12"/>
      <c r="AP1083" s="12"/>
      <c r="AQ1083" s="12"/>
      <c r="AR1083" s="12"/>
      <c r="AS1083" s="44"/>
      <c r="AT1083" s="45"/>
      <c r="AU1083" s="12"/>
      <c r="AV1083" s="12"/>
      <c r="AW1083" s="12"/>
      <c r="AX1083" s="12"/>
      <c r="AY1083" s="44"/>
      <c r="AZ1083" s="45"/>
      <c r="BA1083" s="12"/>
      <c r="BB1083" s="12"/>
      <c r="BC1083" s="12"/>
      <c r="BD1083" s="12"/>
      <c r="BE1083" s="44"/>
      <c r="BF1083" s="45"/>
      <c r="BG1083" s="12"/>
      <c r="BH1083" s="12"/>
      <c r="BI1083" s="12"/>
      <c r="BJ1083" s="12"/>
      <c r="BK1083" s="44"/>
      <c r="BL1083" s="45"/>
      <c r="BM1083" s="12"/>
      <c r="BN1083" s="12"/>
      <c r="BO1083" s="12"/>
      <c r="BP1083" s="12"/>
      <c r="BQ1083" s="48"/>
      <c r="BR1083" s="49"/>
      <c r="BS1083" s="13"/>
      <c r="BT1083" s="12"/>
      <c r="BV1083" s="14"/>
      <c r="BW1083" s="50"/>
      <c r="BX1083" s="54"/>
      <c r="BY1083" s="14"/>
      <c r="BZ1083" s="14"/>
      <c r="CA1083" s="14"/>
      <c r="CB1083" s="14"/>
      <c r="CC1083" s="14"/>
      <c r="CD1083" s="14"/>
      <c r="CE1083" s="14"/>
      <c r="CF1083" s="15"/>
      <c r="CG1083" s="14"/>
      <c r="CH1083" s="14"/>
      <c r="CI1083" s="50"/>
      <c r="CJ1083" s="54"/>
      <c r="CK1083" s="14"/>
      <c r="CL1083" s="14"/>
      <c r="CM1083" s="14"/>
      <c r="CN1083" s="14"/>
      <c r="CO1083" s="14"/>
      <c r="CP1083" s="14"/>
      <c r="CQ1083" s="14"/>
      <c r="CR1083" s="14"/>
      <c r="CS1083" s="14"/>
      <c r="CT1083" s="14"/>
      <c r="CU1083" s="16"/>
      <c r="CV1083" s="14"/>
      <c r="CW1083" s="50"/>
      <c r="CX1083" s="17"/>
    </row>
    <row r="1084" spans="4:102" x14ac:dyDescent="0.25"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43"/>
      <c r="Q1084" s="11"/>
      <c r="R1084" s="11"/>
      <c r="S1084" s="11"/>
      <c r="T1084" s="11"/>
      <c r="U1084" s="11"/>
      <c r="V1084" s="11"/>
      <c r="W1084" s="11"/>
      <c r="X1084" s="12"/>
      <c r="Y1084" s="12"/>
      <c r="Z1084" s="12"/>
      <c r="AA1084" s="44"/>
      <c r="AB1084" s="45"/>
      <c r="AC1084" s="12"/>
      <c r="AD1084" s="12"/>
      <c r="AE1084" s="12"/>
      <c r="AF1084" s="12"/>
      <c r="AG1084" s="44"/>
      <c r="AH1084" s="45"/>
      <c r="AI1084" s="12"/>
      <c r="AJ1084" s="12"/>
      <c r="AK1084" s="12"/>
      <c r="AL1084" s="12"/>
      <c r="AM1084" s="44"/>
      <c r="AN1084" s="45"/>
      <c r="AO1084" s="12"/>
      <c r="AP1084" s="12"/>
      <c r="AQ1084" s="12"/>
      <c r="AR1084" s="12"/>
      <c r="AS1084" s="44"/>
      <c r="AT1084" s="45"/>
      <c r="AU1084" s="12"/>
      <c r="AV1084" s="12"/>
      <c r="AW1084" s="12"/>
      <c r="AX1084" s="12"/>
      <c r="AY1084" s="44"/>
      <c r="AZ1084" s="45"/>
      <c r="BA1084" s="12"/>
      <c r="BB1084" s="12"/>
      <c r="BC1084" s="12"/>
      <c r="BD1084" s="12"/>
      <c r="BE1084" s="44"/>
      <c r="BF1084" s="45"/>
      <c r="BG1084" s="12"/>
      <c r="BH1084" s="12"/>
      <c r="BI1084" s="12"/>
      <c r="BJ1084" s="12"/>
      <c r="BK1084" s="44"/>
      <c r="BL1084" s="45"/>
      <c r="BM1084" s="12"/>
      <c r="BN1084" s="12"/>
      <c r="BO1084" s="12"/>
      <c r="BP1084" s="12"/>
      <c r="BQ1084" s="48"/>
      <c r="BR1084" s="49"/>
      <c r="BS1084" s="13"/>
      <c r="BT1084" s="12"/>
      <c r="BV1084" s="14"/>
      <c r="BW1084" s="50"/>
      <c r="BX1084" s="54"/>
      <c r="BY1084" s="14"/>
      <c r="BZ1084" s="14"/>
      <c r="CA1084" s="14"/>
      <c r="CB1084" s="14"/>
      <c r="CC1084" s="14"/>
      <c r="CD1084" s="14"/>
      <c r="CE1084" s="14"/>
      <c r="CF1084" s="15"/>
      <c r="CG1084" s="14"/>
      <c r="CH1084" s="14"/>
      <c r="CI1084" s="50"/>
      <c r="CJ1084" s="54"/>
      <c r="CK1084" s="14"/>
      <c r="CL1084" s="14"/>
      <c r="CM1084" s="14"/>
      <c r="CN1084" s="14"/>
      <c r="CO1084" s="14"/>
      <c r="CP1084" s="14"/>
      <c r="CQ1084" s="14"/>
      <c r="CR1084" s="14"/>
      <c r="CS1084" s="14"/>
      <c r="CT1084" s="14"/>
      <c r="CU1084" s="16"/>
      <c r="CV1084" s="14"/>
      <c r="CW1084" s="50"/>
      <c r="CX1084" s="17"/>
    </row>
    <row r="1085" spans="4:102" x14ac:dyDescent="0.25"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43"/>
      <c r="Q1085" s="11"/>
      <c r="R1085" s="11"/>
      <c r="S1085" s="11"/>
      <c r="T1085" s="11"/>
      <c r="U1085" s="11"/>
      <c r="V1085" s="11"/>
      <c r="W1085" s="11"/>
      <c r="X1085" s="12"/>
      <c r="Y1085" s="12"/>
      <c r="Z1085" s="12"/>
      <c r="AA1085" s="44"/>
      <c r="AB1085" s="45"/>
      <c r="AC1085" s="12"/>
      <c r="AD1085" s="12"/>
      <c r="AE1085" s="12"/>
      <c r="AF1085" s="12"/>
      <c r="AG1085" s="44"/>
      <c r="AH1085" s="45"/>
      <c r="AI1085" s="12"/>
      <c r="AJ1085" s="12"/>
      <c r="AK1085" s="12"/>
      <c r="AL1085" s="12"/>
      <c r="AM1085" s="44"/>
      <c r="AN1085" s="45"/>
      <c r="AO1085" s="12"/>
      <c r="AP1085" s="12"/>
      <c r="AQ1085" s="12"/>
      <c r="AR1085" s="12"/>
      <c r="AS1085" s="44"/>
      <c r="AT1085" s="45"/>
      <c r="AU1085" s="12"/>
      <c r="AV1085" s="12"/>
      <c r="AW1085" s="12"/>
      <c r="AX1085" s="12"/>
      <c r="AY1085" s="44"/>
      <c r="AZ1085" s="45"/>
      <c r="BA1085" s="12"/>
      <c r="BB1085" s="12"/>
      <c r="BC1085" s="12"/>
      <c r="BD1085" s="12"/>
      <c r="BE1085" s="44"/>
      <c r="BF1085" s="45"/>
      <c r="BG1085" s="12"/>
      <c r="BH1085" s="12"/>
      <c r="BI1085" s="12"/>
      <c r="BJ1085" s="12"/>
      <c r="BK1085" s="44"/>
      <c r="BL1085" s="45"/>
      <c r="BM1085" s="12"/>
      <c r="BN1085" s="12"/>
      <c r="BO1085" s="12"/>
      <c r="BP1085" s="12"/>
      <c r="BQ1085" s="48"/>
      <c r="BR1085" s="49"/>
      <c r="BS1085" s="13"/>
      <c r="BT1085" s="12"/>
      <c r="BV1085" s="14"/>
      <c r="BW1085" s="50"/>
      <c r="BX1085" s="54"/>
      <c r="BY1085" s="14"/>
      <c r="BZ1085" s="14"/>
      <c r="CA1085" s="14"/>
      <c r="CB1085" s="14"/>
      <c r="CC1085" s="14"/>
      <c r="CD1085" s="14"/>
      <c r="CE1085" s="14"/>
      <c r="CF1085" s="15"/>
      <c r="CG1085" s="14"/>
      <c r="CH1085" s="14"/>
      <c r="CI1085" s="50"/>
      <c r="CJ1085" s="54"/>
      <c r="CK1085" s="14"/>
      <c r="CL1085" s="14"/>
      <c r="CM1085" s="14"/>
      <c r="CN1085" s="14"/>
      <c r="CO1085" s="14"/>
      <c r="CP1085" s="14"/>
      <c r="CQ1085" s="14"/>
      <c r="CR1085" s="14"/>
      <c r="CS1085" s="14"/>
      <c r="CT1085" s="14"/>
      <c r="CU1085" s="16"/>
      <c r="CV1085" s="14"/>
      <c r="CW1085" s="50"/>
      <c r="CX1085" s="17"/>
    </row>
    <row r="1086" spans="4:102" x14ac:dyDescent="0.25"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43"/>
      <c r="Q1086" s="11"/>
      <c r="R1086" s="11"/>
      <c r="S1086" s="11"/>
      <c r="T1086" s="11"/>
      <c r="U1086" s="11"/>
      <c r="V1086" s="11"/>
      <c r="W1086" s="11"/>
      <c r="X1086" s="12"/>
      <c r="Y1086" s="12"/>
      <c r="Z1086" s="12"/>
      <c r="AA1086" s="44"/>
      <c r="AB1086" s="45"/>
      <c r="AC1086" s="12"/>
      <c r="AD1086" s="12"/>
      <c r="AE1086" s="12"/>
      <c r="AF1086" s="12"/>
      <c r="AG1086" s="44"/>
      <c r="AH1086" s="45"/>
      <c r="AI1086" s="12"/>
      <c r="AJ1086" s="12"/>
      <c r="AK1086" s="12"/>
      <c r="AL1086" s="12"/>
      <c r="AM1086" s="44"/>
      <c r="AN1086" s="45"/>
      <c r="AO1086" s="12"/>
      <c r="AP1086" s="12"/>
      <c r="AQ1086" s="12"/>
      <c r="AR1086" s="12"/>
      <c r="AS1086" s="44"/>
      <c r="AT1086" s="45"/>
      <c r="AU1086" s="12"/>
      <c r="AV1086" s="12"/>
      <c r="AW1086" s="12"/>
      <c r="AX1086" s="12"/>
      <c r="AY1086" s="44"/>
      <c r="AZ1086" s="45"/>
      <c r="BA1086" s="12"/>
      <c r="BB1086" s="12"/>
      <c r="BC1086" s="12"/>
      <c r="BD1086" s="12"/>
      <c r="BE1086" s="44"/>
      <c r="BF1086" s="45"/>
      <c r="BG1086" s="12"/>
      <c r="BH1086" s="12"/>
      <c r="BI1086" s="12"/>
      <c r="BJ1086" s="12"/>
      <c r="BK1086" s="44"/>
      <c r="BL1086" s="45"/>
      <c r="BM1086" s="12"/>
      <c r="BN1086" s="12"/>
      <c r="BO1086" s="12"/>
      <c r="BP1086" s="12"/>
      <c r="BQ1086" s="48"/>
      <c r="BR1086" s="49"/>
      <c r="BS1086" s="13"/>
      <c r="BT1086" s="12"/>
      <c r="BV1086" s="14"/>
      <c r="BW1086" s="50"/>
      <c r="BX1086" s="54"/>
      <c r="BY1086" s="14"/>
      <c r="BZ1086" s="14"/>
      <c r="CA1086" s="14"/>
      <c r="CB1086" s="14"/>
      <c r="CC1086" s="14"/>
      <c r="CD1086" s="14"/>
      <c r="CE1086" s="14"/>
      <c r="CF1086" s="15"/>
      <c r="CG1086" s="14"/>
      <c r="CH1086" s="14"/>
      <c r="CI1086" s="50"/>
      <c r="CJ1086" s="54"/>
      <c r="CK1086" s="14"/>
      <c r="CL1086" s="14"/>
      <c r="CM1086" s="14"/>
      <c r="CN1086" s="14"/>
      <c r="CO1086" s="14"/>
      <c r="CP1086" s="14"/>
      <c r="CQ1086" s="14"/>
      <c r="CR1086" s="14"/>
      <c r="CS1086" s="14"/>
      <c r="CT1086" s="14"/>
      <c r="CU1086" s="16"/>
      <c r="CV1086" s="14"/>
      <c r="CW1086" s="50"/>
      <c r="CX1086" s="17"/>
    </row>
    <row r="1087" spans="4:102" x14ac:dyDescent="0.25"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43"/>
      <c r="Q1087" s="11"/>
      <c r="R1087" s="11"/>
      <c r="S1087" s="11"/>
      <c r="T1087" s="11"/>
      <c r="U1087" s="11"/>
      <c r="V1087" s="11"/>
      <c r="W1087" s="11"/>
      <c r="X1087" s="12"/>
      <c r="Y1087" s="12"/>
      <c r="Z1087" s="12"/>
      <c r="AA1087" s="44"/>
      <c r="AB1087" s="45"/>
      <c r="AC1087" s="12"/>
      <c r="AD1087" s="12"/>
      <c r="AE1087" s="12"/>
      <c r="AF1087" s="12"/>
      <c r="AG1087" s="44"/>
      <c r="AH1087" s="45"/>
      <c r="AI1087" s="12"/>
      <c r="AJ1087" s="12"/>
      <c r="AK1087" s="12"/>
      <c r="AL1087" s="12"/>
      <c r="AM1087" s="44"/>
      <c r="AN1087" s="45"/>
      <c r="AO1087" s="12"/>
      <c r="AP1087" s="12"/>
      <c r="AQ1087" s="12"/>
      <c r="AR1087" s="12"/>
      <c r="AS1087" s="44"/>
      <c r="AT1087" s="45"/>
      <c r="AU1087" s="12"/>
      <c r="AV1087" s="12"/>
      <c r="AW1087" s="12"/>
      <c r="AX1087" s="12"/>
      <c r="AY1087" s="44"/>
      <c r="AZ1087" s="45"/>
      <c r="BA1087" s="12"/>
      <c r="BB1087" s="12"/>
      <c r="BC1087" s="12"/>
      <c r="BD1087" s="12"/>
      <c r="BE1087" s="44"/>
      <c r="BF1087" s="45"/>
      <c r="BG1087" s="12"/>
      <c r="BH1087" s="12"/>
      <c r="BI1087" s="12"/>
      <c r="BJ1087" s="12"/>
      <c r="BK1087" s="44"/>
      <c r="BL1087" s="45"/>
      <c r="BM1087" s="12"/>
      <c r="BN1087" s="12"/>
      <c r="BO1087" s="12"/>
      <c r="BP1087" s="12"/>
      <c r="BQ1087" s="48"/>
      <c r="BR1087" s="49"/>
      <c r="BS1087" s="13"/>
      <c r="BT1087" s="12"/>
      <c r="BV1087" s="14"/>
      <c r="BW1087" s="50"/>
      <c r="BX1087" s="54"/>
      <c r="BY1087" s="14"/>
      <c r="BZ1087" s="14"/>
      <c r="CA1087" s="14"/>
      <c r="CB1087" s="14"/>
      <c r="CC1087" s="14"/>
      <c r="CD1087" s="14"/>
      <c r="CE1087" s="14"/>
      <c r="CF1087" s="15"/>
      <c r="CG1087" s="14"/>
      <c r="CH1087" s="14"/>
      <c r="CI1087" s="50"/>
      <c r="CJ1087" s="54"/>
      <c r="CK1087" s="14"/>
      <c r="CL1087" s="14"/>
      <c r="CM1087" s="14"/>
      <c r="CN1087" s="14"/>
      <c r="CO1087" s="14"/>
      <c r="CP1087" s="14"/>
      <c r="CQ1087" s="14"/>
      <c r="CR1087" s="14"/>
      <c r="CS1087" s="14"/>
      <c r="CT1087" s="14"/>
      <c r="CU1087" s="16"/>
      <c r="CV1087" s="14"/>
      <c r="CW1087" s="50"/>
      <c r="CX1087" s="17"/>
    </row>
    <row r="1088" spans="4:102" x14ac:dyDescent="0.25"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43"/>
      <c r="Q1088" s="11"/>
      <c r="R1088" s="11"/>
      <c r="S1088" s="11"/>
      <c r="T1088" s="11"/>
      <c r="U1088" s="11"/>
      <c r="V1088" s="11"/>
      <c r="W1088" s="11"/>
      <c r="X1088" s="12"/>
      <c r="Y1088" s="12"/>
      <c r="Z1088" s="12"/>
      <c r="AA1088" s="44"/>
      <c r="AB1088" s="45"/>
      <c r="AC1088" s="12"/>
      <c r="AD1088" s="12"/>
      <c r="AE1088" s="12"/>
      <c r="AF1088" s="12"/>
      <c r="AG1088" s="44"/>
      <c r="AH1088" s="45"/>
      <c r="AI1088" s="12"/>
      <c r="AJ1088" s="12"/>
      <c r="AK1088" s="12"/>
      <c r="AL1088" s="12"/>
      <c r="AM1088" s="44"/>
      <c r="AN1088" s="45"/>
      <c r="AO1088" s="12"/>
      <c r="AP1088" s="12"/>
      <c r="AQ1088" s="12"/>
      <c r="AR1088" s="12"/>
      <c r="AS1088" s="44"/>
      <c r="AT1088" s="45"/>
      <c r="AU1088" s="12"/>
      <c r="AV1088" s="12"/>
      <c r="AW1088" s="12"/>
      <c r="AX1088" s="12"/>
      <c r="AY1088" s="44"/>
      <c r="AZ1088" s="45"/>
      <c r="BA1088" s="12"/>
      <c r="BB1088" s="12"/>
      <c r="BC1088" s="12"/>
      <c r="BD1088" s="12"/>
      <c r="BE1088" s="44"/>
      <c r="BF1088" s="45"/>
      <c r="BG1088" s="12"/>
      <c r="BH1088" s="12"/>
      <c r="BI1088" s="12"/>
      <c r="BJ1088" s="12"/>
      <c r="BK1088" s="44"/>
      <c r="BL1088" s="45"/>
      <c r="BM1088" s="12"/>
      <c r="BN1088" s="12"/>
      <c r="BO1088" s="12"/>
      <c r="BP1088" s="12"/>
      <c r="BQ1088" s="48"/>
      <c r="BR1088" s="49"/>
      <c r="BS1088" s="13"/>
      <c r="BT1088" s="12"/>
      <c r="BV1088" s="14"/>
      <c r="BW1088" s="50"/>
      <c r="BX1088" s="54"/>
      <c r="BY1088" s="14"/>
      <c r="BZ1088" s="14"/>
      <c r="CA1088" s="14"/>
      <c r="CB1088" s="14"/>
      <c r="CC1088" s="14"/>
      <c r="CD1088" s="14"/>
      <c r="CE1088" s="14"/>
      <c r="CF1088" s="15"/>
      <c r="CG1088" s="14"/>
      <c r="CH1088" s="14"/>
      <c r="CI1088" s="50"/>
      <c r="CJ1088" s="54"/>
      <c r="CK1088" s="14"/>
      <c r="CL1088" s="14"/>
      <c r="CM1088" s="14"/>
      <c r="CN1088" s="14"/>
      <c r="CO1088" s="14"/>
      <c r="CP1088" s="14"/>
      <c r="CQ1088" s="14"/>
      <c r="CR1088" s="14"/>
      <c r="CS1088" s="14"/>
      <c r="CT1088" s="14"/>
      <c r="CU1088" s="16"/>
      <c r="CV1088" s="14"/>
      <c r="CW1088" s="50"/>
      <c r="CX1088" s="17"/>
    </row>
    <row r="1089" spans="4:102" x14ac:dyDescent="0.25"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43"/>
      <c r="Q1089" s="11"/>
      <c r="R1089" s="11"/>
      <c r="S1089" s="11"/>
      <c r="T1089" s="11"/>
      <c r="U1089" s="11"/>
      <c r="V1089" s="11"/>
      <c r="W1089" s="11"/>
      <c r="X1089" s="12"/>
      <c r="Y1089" s="12"/>
      <c r="Z1089" s="12"/>
      <c r="AA1089" s="44"/>
      <c r="AB1089" s="45"/>
      <c r="AC1089" s="12"/>
      <c r="AD1089" s="12"/>
      <c r="AE1089" s="12"/>
      <c r="AF1089" s="12"/>
      <c r="AG1089" s="44"/>
      <c r="AH1089" s="45"/>
      <c r="AI1089" s="12"/>
      <c r="AJ1089" s="12"/>
      <c r="AK1089" s="12"/>
      <c r="AL1089" s="12"/>
      <c r="AM1089" s="44"/>
      <c r="AN1089" s="45"/>
      <c r="AO1089" s="12"/>
      <c r="AP1089" s="12"/>
      <c r="AQ1089" s="12"/>
      <c r="AR1089" s="12"/>
      <c r="AS1089" s="44"/>
      <c r="AT1089" s="45"/>
      <c r="AU1089" s="12"/>
      <c r="AV1089" s="12"/>
      <c r="AW1089" s="12"/>
      <c r="AX1089" s="12"/>
      <c r="AY1089" s="44"/>
      <c r="AZ1089" s="45"/>
      <c r="BA1089" s="12"/>
      <c r="BB1089" s="12"/>
      <c r="BC1089" s="12"/>
      <c r="BD1089" s="12"/>
      <c r="BE1089" s="44"/>
      <c r="BF1089" s="45"/>
      <c r="BG1089" s="12"/>
      <c r="BH1089" s="12"/>
      <c r="BI1089" s="12"/>
      <c r="BJ1089" s="12"/>
      <c r="BK1089" s="44"/>
      <c r="BL1089" s="45"/>
      <c r="BM1089" s="12"/>
      <c r="BN1089" s="12"/>
      <c r="BO1089" s="12"/>
      <c r="BP1089" s="12"/>
      <c r="BQ1089" s="48"/>
      <c r="BR1089" s="49"/>
      <c r="BS1089" s="13"/>
      <c r="BT1089" s="12"/>
      <c r="BV1089" s="14"/>
      <c r="BW1089" s="50"/>
      <c r="BX1089" s="54"/>
      <c r="BY1089" s="14"/>
      <c r="BZ1089" s="14"/>
      <c r="CA1089" s="14"/>
      <c r="CB1089" s="14"/>
      <c r="CC1089" s="14"/>
      <c r="CD1089" s="14"/>
      <c r="CE1089" s="14"/>
      <c r="CF1089" s="15"/>
      <c r="CG1089" s="14"/>
      <c r="CH1089" s="14"/>
      <c r="CI1089" s="50"/>
      <c r="CJ1089" s="54"/>
      <c r="CK1089" s="14"/>
      <c r="CL1089" s="14"/>
      <c r="CM1089" s="14"/>
      <c r="CN1089" s="14"/>
      <c r="CO1089" s="14"/>
      <c r="CP1089" s="14"/>
      <c r="CQ1089" s="14"/>
      <c r="CR1089" s="14"/>
      <c r="CS1089" s="14"/>
      <c r="CT1089" s="14"/>
      <c r="CU1089" s="16"/>
      <c r="CV1089" s="14"/>
      <c r="CW1089" s="50"/>
      <c r="CX1089" s="17"/>
    </row>
    <row r="1090" spans="4:102" x14ac:dyDescent="0.25"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43"/>
      <c r="Q1090" s="11"/>
      <c r="R1090" s="11"/>
      <c r="S1090" s="11"/>
      <c r="T1090" s="11"/>
      <c r="U1090" s="11"/>
      <c r="V1090" s="11"/>
      <c r="W1090" s="11"/>
      <c r="X1090" s="12"/>
      <c r="Y1090" s="12"/>
      <c r="Z1090" s="12"/>
      <c r="AA1090" s="44"/>
      <c r="AB1090" s="45"/>
      <c r="AC1090" s="12"/>
      <c r="AD1090" s="12"/>
      <c r="AE1090" s="12"/>
      <c r="AF1090" s="12"/>
      <c r="AG1090" s="44"/>
      <c r="AH1090" s="45"/>
      <c r="AI1090" s="12"/>
      <c r="AJ1090" s="12"/>
      <c r="AK1090" s="12"/>
      <c r="AL1090" s="12"/>
      <c r="AM1090" s="44"/>
      <c r="AN1090" s="45"/>
      <c r="AO1090" s="12"/>
      <c r="AP1090" s="12"/>
      <c r="AQ1090" s="12"/>
      <c r="AR1090" s="12"/>
      <c r="AS1090" s="44"/>
      <c r="AT1090" s="45"/>
      <c r="AU1090" s="12"/>
      <c r="AV1090" s="12"/>
      <c r="AW1090" s="12"/>
      <c r="AX1090" s="12"/>
      <c r="AY1090" s="44"/>
      <c r="AZ1090" s="45"/>
      <c r="BA1090" s="12"/>
      <c r="BB1090" s="12"/>
      <c r="BC1090" s="12"/>
      <c r="BD1090" s="12"/>
      <c r="BE1090" s="44"/>
      <c r="BF1090" s="45"/>
      <c r="BG1090" s="12"/>
      <c r="BH1090" s="12"/>
      <c r="BI1090" s="12"/>
      <c r="BJ1090" s="12"/>
      <c r="BK1090" s="44"/>
      <c r="BL1090" s="45"/>
      <c r="BM1090" s="12"/>
      <c r="BN1090" s="12"/>
      <c r="BO1090" s="12"/>
      <c r="BP1090" s="12"/>
      <c r="BQ1090" s="48"/>
      <c r="BR1090" s="49"/>
      <c r="BS1090" s="13"/>
      <c r="BT1090" s="12"/>
      <c r="BV1090" s="14"/>
      <c r="BW1090" s="50"/>
      <c r="BX1090" s="54"/>
      <c r="BY1090" s="14"/>
      <c r="BZ1090" s="14"/>
      <c r="CA1090" s="14"/>
      <c r="CB1090" s="14"/>
      <c r="CC1090" s="14"/>
      <c r="CD1090" s="14"/>
      <c r="CE1090" s="14"/>
      <c r="CF1090" s="15"/>
      <c r="CG1090" s="14"/>
      <c r="CH1090" s="14"/>
      <c r="CI1090" s="50"/>
      <c r="CJ1090" s="54"/>
      <c r="CK1090" s="14"/>
      <c r="CL1090" s="14"/>
      <c r="CM1090" s="14"/>
      <c r="CN1090" s="14"/>
      <c r="CO1090" s="14"/>
      <c r="CP1090" s="14"/>
      <c r="CQ1090" s="14"/>
      <c r="CR1090" s="14"/>
      <c r="CS1090" s="14"/>
      <c r="CT1090" s="14"/>
      <c r="CU1090" s="16"/>
      <c r="CV1090" s="14"/>
      <c r="CW1090" s="50"/>
      <c r="CX1090" s="17"/>
    </row>
    <row r="1091" spans="4:102" x14ac:dyDescent="0.25"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43"/>
      <c r="Q1091" s="11"/>
      <c r="R1091" s="11"/>
      <c r="S1091" s="11"/>
      <c r="T1091" s="11"/>
      <c r="U1091" s="11"/>
      <c r="V1091" s="11"/>
      <c r="W1091" s="11"/>
      <c r="X1091" s="12"/>
      <c r="Y1091" s="12"/>
      <c r="Z1091" s="12"/>
      <c r="AA1091" s="44"/>
      <c r="AB1091" s="45"/>
      <c r="AC1091" s="12"/>
      <c r="AD1091" s="12"/>
      <c r="AE1091" s="12"/>
      <c r="AF1091" s="12"/>
      <c r="AG1091" s="44"/>
      <c r="AH1091" s="45"/>
      <c r="AI1091" s="12"/>
      <c r="AJ1091" s="12"/>
      <c r="AK1091" s="12"/>
      <c r="AL1091" s="12"/>
      <c r="AM1091" s="44"/>
      <c r="AN1091" s="45"/>
      <c r="AO1091" s="12"/>
      <c r="AP1091" s="12"/>
      <c r="AQ1091" s="12"/>
      <c r="AR1091" s="12"/>
      <c r="AS1091" s="44"/>
      <c r="AT1091" s="45"/>
      <c r="AU1091" s="12"/>
      <c r="AV1091" s="12"/>
      <c r="AW1091" s="12"/>
      <c r="AX1091" s="12"/>
      <c r="AY1091" s="44"/>
      <c r="AZ1091" s="45"/>
      <c r="BA1091" s="12"/>
      <c r="BB1091" s="12"/>
      <c r="BC1091" s="12"/>
      <c r="BD1091" s="12"/>
      <c r="BE1091" s="44"/>
      <c r="BF1091" s="45"/>
      <c r="BG1091" s="12"/>
      <c r="BH1091" s="12"/>
      <c r="BI1091" s="12"/>
      <c r="BJ1091" s="12"/>
      <c r="BK1091" s="44"/>
      <c r="BL1091" s="45"/>
      <c r="BM1091" s="12"/>
      <c r="BN1091" s="12"/>
      <c r="BO1091" s="12"/>
      <c r="BP1091" s="12"/>
      <c r="BQ1091" s="48"/>
      <c r="BR1091" s="49"/>
      <c r="BS1091" s="13"/>
      <c r="BT1091" s="12"/>
      <c r="BV1091" s="14"/>
      <c r="BW1091" s="50"/>
      <c r="BX1091" s="54"/>
      <c r="BY1091" s="14"/>
      <c r="BZ1091" s="14"/>
      <c r="CA1091" s="14"/>
      <c r="CB1091" s="14"/>
      <c r="CC1091" s="14"/>
      <c r="CD1091" s="14"/>
      <c r="CE1091" s="14"/>
      <c r="CF1091" s="15"/>
      <c r="CG1091" s="14"/>
      <c r="CH1091" s="14"/>
      <c r="CI1091" s="50"/>
      <c r="CJ1091" s="54"/>
      <c r="CK1091" s="14"/>
      <c r="CL1091" s="14"/>
      <c r="CM1091" s="14"/>
      <c r="CN1091" s="14"/>
      <c r="CO1091" s="14"/>
      <c r="CP1091" s="14"/>
      <c r="CQ1091" s="14"/>
      <c r="CR1091" s="14"/>
      <c r="CS1091" s="14"/>
      <c r="CT1091" s="14"/>
      <c r="CU1091" s="16"/>
      <c r="CV1091" s="14"/>
      <c r="CW1091" s="50"/>
      <c r="CX1091" s="17"/>
    </row>
    <row r="1092" spans="4:102" x14ac:dyDescent="0.25"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43"/>
      <c r="Q1092" s="11"/>
      <c r="R1092" s="11"/>
      <c r="S1092" s="11"/>
      <c r="T1092" s="11"/>
      <c r="U1092" s="11"/>
      <c r="V1092" s="11"/>
      <c r="W1092" s="11"/>
      <c r="X1092" s="12"/>
      <c r="Y1092" s="12"/>
      <c r="Z1092" s="12"/>
      <c r="AA1092" s="44"/>
      <c r="AB1092" s="45"/>
      <c r="AC1092" s="12"/>
      <c r="AD1092" s="12"/>
      <c r="AE1092" s="12"/>
      <c r="AF1092" s="12"/>
      <c r="AG1092" s="44"/>
      <c r="AH1092" s="45"/>
      <c r="AI1092" s="12"/>
      <c r="AJ1092" s="12"/>
      <c r="AK1092" s="12"/>
      <c r="AL1092" s="12"/>
      <c r="AM1092" s="44"/>
      <c r="AN1092" s="45"/>
      <c r="AO1092" s="12"/>
      <c r="AP1092" s="12"/>
      <c r="AQ1092" s="12"/>
      <c r="AR1092" s="12"/>
      <c r="AS1092" s="44"/>
      <c r="AT1092" s="45"/>
      <c r="AU1092" s="12"/>
      <c r="AV1092" s="12"/>
      <c r="AW1092" s="12"/>
      <c r="AX1092" s="12"/>
      <c r="AY1092" s="44"/>
      <c r="AZ1092" s="45"/>
      <c r="BA1092" s="12"/>
      <c r="BB1092" s="12"/>
      <c r="BC1092" s="12"/>
      <c r="BD1092" s="12"/>
      <c r="BE1092" s="44"/>
      <c r="BF1092" s="45"/>
      <c r="BG1092" s="12"/>
      <c r="BH1092" s="12"/>
      <c r="BI1092" s="12"/>
      <c r="BJ1092" s="12"/>
      <c r="BK1092" s="44"/>
      <c r="BL1092" s="45"/>
      <c r="BM1092" s="12"/>
      <c r="BN1092" s="12"/>
      <c r="BO1092" s="12"/>
      <c r="BP1092" s="12"/>
      <c r="BQ1092" s="48"/>
      <c r="BR1092" s="49"/>
      <c r="BS1092" s="13"/>
      <c r="BT1092" s="12"/>
      <c r="BV1092" s="14"/>
      <c r="BW1092" s="50"/>
      <c r="BX1092" s="54"/>
      <c r="BY1092" s="14"/>
      <c r="BZ1092" s="14"/>
      <c r="CA1092" s="14"/>
      <c r="CB1092" s="14"/>
      <c r="CC1092" s="14"/>
      <c r="CD1092" s="14"/>
      <c r="CE1092" s="14"/>
      <c r="CF1092" s="15"/>
      <c r="CG1092" s="14"/>
      <c r="CH1092" s="14"/>
      <c r="CI1092" s="50"/>
      <c r="CJ1092" s="54"/>
      <c r="CK1092" s="14"/>
      <c r="CL1092" s="14"/>
      <c r="CM1092" s="14"/>
      <c r="CN1092" s="14"/>
      <c r="CO1092" s="14"/>
      <c r="CP1092" s="14"/>
      <c r="CQ1092" s="14"/>
      <c r="CR1092" s="14"/>
      <c r="CS1092" s="14"/>
      <c r="CT1092" s="14"/>
      <c r="CU1092" s="16"/>
      <c r="CV1092" s="14"/>
      <c r="CW1092" s="50"/>
      <c r="CX1092" s="17"/>
    </row>
    <row r="1093" spans="4:102" x14ac:dyDescent="0.25"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43"/>
      <c r="Q1093" s="11"/>
      <c r="R1093" s="11"/>
      <c r="S1093" s="11"/>
      <c r="T1093" s="11"/>
      <c r="U1093" s="11"/>
      <c r="V1093" s="11"/>
      <c r="W1093" s="11"/>
      <c r="X1093" s="12"/>
      <c r="Y1093" s="12"/>
      <c r="Z1093" s="12"/>
      <c r="AA1093" s="44"/>
      <c r="AB1093" s="45"/>
      <c r="AC1093" s="12"/>
      <c r="AD1093" s="12"/>
      <c r="AE1093" s="12"/>
      <c r="AF1093" s="12"/>
      <c r="AG1093" s="44"/>
      <c r="AH1093" s="45"/>
      <c r="AI1093" s="12"/>
      <c r="AJ1093" s="12"/>
      <c r="AK1093" s="12"/>
      <c r="AL1093" s="12"/>
      <c r="AM1093" s="44"/>
      <c r="AN1093" s="45"/>
      <c r="AO1093" s="12"/>
      <c r="AP1093" s="12"/>
      <c r="AQ1093" s="12"/>
      <c r="AR1093" s="12"/>
      <c r="AS1093" s="44"/>
      <c r="AT1093" s="45"/>
      <c r="AU1093" s="12"/>
      <c r="AV1093" s="12"/>
      <c r="AW1093" s="12"/>
      <c r="AX1093" s="12"/>
      <c r="AY1093" s="44"/>
      <c r="AZ1093" s="45"/>
      <c r="BA1093" s="12"/>
      <c r="BB1093" s="12"/>
      <c r="BC1093" s="12"/>
      <c r="BD1093" s="12"/>
      <c r="BE1093" s="44"/>
      <c r="BF1093" s="45"/>
      <c r="BG1093" s="12"/>
      <c r="BH1093" s="12"/>
      <c r="BI1093" s="12"/>
      <c r="BJ1093" s="12"/>
      <c r="BK1093" s="44"/>
      <c r="BL1093" s="45"/>
      <c r="BM1093" s="12"/>
      <c r="BN1093" s="12"/>
      <c r="BO1093" s="12"/>
      <c r="BP1093" s="12"/>
      <c r="BQ1093" s="48"/>
      <c r="BR1093" s="49"/>
      <c r="BS1093" s="13"/>
      <c r="BT1093" s="12"/>
      <c r="BV1093" s="14"/>
      <c r="BW1093" s="50"/>
      <c r="BX1093" s="54"/>
      <c r="BY1093" s="14"/>
      <c r="BZ1093" s="14"/>
      <c r="CA1093" s="14"/>
      <c r="CB1093" s="14"/>
      <c r="CC1093" s="14"/>
      <c r="CD1093" s="14"/>
      <c r="CE1093" s="14"/>
      <c r="CF1093" s="15"/>
      <c r="CG1093" s="14"/>
      <c r="CH1093" s="14"/>
      <c r="CI1093" s="50"/>
      <c r="CJ1093" s="54"/>
      <c r="CK1093" s="14"/>
      <c r="CL1093" s="14"/>
      <c r="CM1093" s="14"/>
      <c r="CN1093" s="14"/>
      <c r="CO1093" s="14"/>
      <c r="CP1093" s="14"/>
      <c r="CQ1093" s="14"/>
      <c r="CR1093" s="14"/>
      <c r="CS1093" s="14"/>
      <c r="CT1093" s="14"/>
      <c r="CU1093" s="16"/>
      <c r="CV1093" s="14"/>
      <c r="CW1093" s="50"/>
      <c r="CX1093" s="17"/>
    </row>
    <row r="1094" spans="4:102" x14ac:dyDescent="0.25"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43"/>
      <c r="Q1094" s="11"/>
      <c r="R1094" s="11"/>
      <c r="S1094" s="11"/>
      <c r="T1094" s="11"/>
      <c r="U1094" s="11"/>
      <c r="V1094" s="11"/>
      <c r="W1094" s="11"/>
      <c r="X1094" s="12"/>
      <c r="Y1094" s="12"/>
      <c r="Z1094" s="12"/>
      <c r="AA1094" s="44"/>
      <c r="AB1094" s="45"/>
      <c r="AC1094" s="12"/>
      <c r="AD1094" s="12"/>
      <c r="AE1094" s="12"/>
      <c r="AF1094" s="12"/>
      <c r="AG1094" s="44"/>
      <c r="AH1094" s="45"/>
      <c r="AI1094" s="12"/>
      <c r="AJ1094" s="12"/>
      <c r="AK1094" s="12"/>
      <c r="AL1094" s="12"/>
      <c r="AM1094" s="44"/>
      <c r="AN1094" s="45"/>
      <c r="AO1094" s="12"/>
      <c r="AP1094" s="12"/>
      <c r="AQ1094" s="12"/>
      <c r="AR1094" s="12"/>
      <c r="AS1094" s="44"/>
      <c r="AT1094" s="45"/>
      <c r="AU1094" s="12"/>
      <c r="AV1094" s="12"/>
      <c r="AW1094" s="12"/>
      <c r="AX1094" s="12"/>
      <c r="AY1094" s="44"/>
      <c r="AZ1094" s="45"/>
      <c r="BA1094" s="12"/>
      <c r="BB1094" s="12"/>
      <c r="BC1094" s="12"/>
      <c r="BD1094" s="12"/>
      <c r="BE1094" s="44"/>
      <c r="BF1094" s="45"/>
      <c r="BG1094" s="12"/>
      <c r="BH1094" s="12"/>
      <c r="BI1094" s="12"/>
      <c r="BJ1094" s="12"/>
      <c r="BK1094" s="44"/>
      <c r="BL1094" s="45"/>
      <c r="BM1094" s="12"/>
      <c r="BN1094" s="12"/>
      <c r="BO1094" s="12"/>
      <c r="BP1094" s="12"/>
      <c r="BQ1094" s="48"/>
      <c r="BR1094" s="49"/>
      <c r="BS1094" s="13"/>
      <c r="BT1094" s="12"/>
      <c r="BV1094" s="14"/>
      <c r="BW1094" s="50"/>
      <c r="BX1094" s="54"/>
      <c r="BY1094" s="14"/>
      <c r="BZ1094" s="14"/>
      <c r="CA1094" s="14"/>
      <c r="CB1094" s="14"/>
      <c r="CC1094" s="14"/>
      <c r="CD1094" s="14"/>
      <c r="CE1094" s="14"/>
      <c r="CF1094" s="15"/>
      <c r="CG1094" s="14"/>
      <c r="CH1094" s="14"/>
      <c r="CI1094" s="50"/>
      <c r="CJ1094" s="54"/>
      <c r="CK1094" s="14"/>
      <c r="CL1094" s="14"/>
      <c r="CM1094" s="14"/>
      <c r="CN1094" s="14"/>
      <c r="CO1094" s="14"/>
      <c r="CP1094" s="14"/>
      <c r="CQ1094" s="14"/>
      <c r="CR1094" s="14"/>
      <c r="CS1094" s="14"/>
      <c r="CT1094" s="14"/>
      <c r="CU1094" s="16"/>
      <c r="CV1094" s="14"/>
      <c r="CW1094" s="50"/>
      <c r="CX1094" s="17"/>
    </row>
    <row r="1095" spans="4:102" x14ac:dyDescent="0.25"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43"/>
      <c r="Q1095" s="11"/>
      <c r="R1095" s="11"/>
      <c r="S1095" s="11"/>
      <c r="T1095" s="11"/>
      <c r="U1095" s="11"/>
      <c r="V1095" s="11"/>
      <c r="W1095" s="11"/>
      <c r="X1095" s="12"/>
      <c r="Y1095" s="12"/>
      <c r="Z1095" s="12"/>
      <c r="AA1095" s="44"/>
      <c r="AB1095" s="45"/>
      <c r="AC1095" s="12"/>
      <c r="AD1095" s="12"/>
      <c r="AE1095" s="12"/>
      <c r="AF1095" s="12"/>
      <c r="AG1095" s="44"/>
      <c r="AH1095" s="45"/>
      <c r="AI1095" s="12"/>
      <c r="AJ1095" s="12"/>
      <c r="AK1095" s="12"/>
      <c r="AL1095" s="12"/>
      <c r="AM1095" s="44"/>
      <c r="AN1095" s="45"/>
      <c r="AO1095" s="12"/>
      <c r="AP1095" s="12"/>
      <c r="AQ1095" s="12"/>
      <c r="AR1095" s="12"/>
      <c r="AS1095" s="44"/>
      <c r="AT1095" s="45"/>
      <c r="AU1095" s="12"/>
      <c r="AV1095" s="12"/>
      <c r="AW1095" s="12"/>
      <c r="AX1095" s="12"/>
      <c r="AY1095" s="44"/>
      <c r="AZ1095" s="45"/>
      <c r="BA1095" s="12"/>
      <c r="BB1095" s="12"/>
      <c r="BC1095" s="12"/>
      <c r="BD1095" s="12"/>
      <c r="BE1095" s="44"/>
      <c r="BF1095" s="45"/>
      <c r="BG1095" s="12"/>
      <c r="BH1095" s="12"/>
      <c r="BI1095" s="12"/>
      <c r="BJ1095" s="12"/>
      <c r="BK1095" s="44"/>
      <c r="BL1095" s="45"/>
      <c r="BM1095" s="12"/>
      <c r="BN1095" s="12"/>
      <c r="BO1095" s="12"/>
      <c r="BP1095" s="12"/>
      <c r="BQ1095" s="48"/>
      <c r="BR1095" s="49"/>
      <c r="BS1095" s="13"/>
      <c r="BT1095" s="12"/>
      <c r="BV1095" s="14"/>
      <c r="BW1095" s="50"/>
      <c r="BX1095" s="54"/>
      <c r="BY1095" s="14"/>
      <c r="BZ1095" s="14"/>
      <c r="CA1095" s="14"/>
      <c r="CB1095" s="14"/>
      <c r="CC1095" s="14"/>
      <c r="CD1095" s="14"/>
      <c r="CE1095" s="14"/>
      <c r="CF1095" s="15"/>
      <c r="CG1095" s="14"/>
      <c r="CH1095" s="14"/>
      <c r="CI1095" s="50"/>
      <c r="CJ1095" s="54"/>
      <c r="CK1095" s="14"/>
      <c r="CL1095" s="14"/>
      <c r="CM1095" s="14"/>
      <c r="CN1095" s="14"/>
      <c r="CO1095" s="14"/>
      <c r="CP1095" s="14"/>
      <c r="CQ1095" s="14"/>
      <c r="CR1095" s="14"/>
      <c r="CS1095" s="14"/>
      <c r="CT1095" s="14"/>
      <c r="CU1095" s="16"/>
      <c r="CV1095" s="14"/>
      <c r="CW1095" s="50"/>
      <c r="CX1095" s="17"/>
    </row>
    <row r="1096" spans="4:102" x14ac:dyDescent="0.25"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43"/>
      <c r="Q1096" s="11"/>
      <c r="R1096" s="11"/>
      <c r="S1096" s="11"/>
      <c r="T1096" s="11"/>
      <c r="U1096" s="11"/>
      <c r="V1096" s="11"/>
      <c r="W1096" s="11"/>
      <c r="X1096" s="12"/>
      <c r="Y1096" s="12"/>
      <c r="Z1096" s="12"/>
      <c r="AA1096" s="44"/>
      <c r="AB1096" s="45"/>
      <c r="AC1096" s="12"/>
      <c r="AD1096" s="12"/>
      <c r="AE1096" s="12"/>
      <c r="AF1096" s="12"/>
      <c r="AG1096" s="44"/>
      <c r="AH1096" s="45"/>
      <c r="AI1096" s="12"/>
      <c r="AJ1096" s="12"/>
      <c r="AK1096" s="12"/>
      <c r="AL1096" s="12"/>
      <c r="AM1096" s="44"/>
      <c r="AN1096" s="45"/>
      <c r="AO1096" s="12"/>
      <c r="AP1096" s="12"/>
      <c r="AQ1096" s="12"/>
      <c r="AR1096" s="12"/>
      <c r="AS1096" s="44"/>
      <c r="AT1096" s="45"/>
      <c r="AU1096" s="12"/>
      <c r="AV1096" s="12"/>
      <c r="AW1096" s="12"/>
      <c r="AX1096" s="12"/>
      <c r="AY1096" s="44"/>
      <c r="AZ1096" s="45"/>
      <c r="BA1096" s="12"/>
      <c r="BB1096" s="12"/>
      <c r="BC1096" s="12"/>
      <c r="BD1096" s="12"/>
      <c r="BE1096" s="44"/>
      <c r="BF1096" s="45"/>
      <c r="BG1096" s="12"/>
      <c r="BH1096" s="12"/>
      <c r="BI1096" s="12"/>
      <c r="BJ1096" s="12"/>
      <c r="BK1096" s="44"/>
      <c r="BL1096" s="45"/>
      <c r="BM1096" s="12"/>
      <c r="BN1096" s="12"/>
      <c r="BO1096" s="12"/>
      <c r="BP1096" s="12"/>
      <c r="BQ1096" s="48"/>
      <c r="BR1096" s="49"/>
      <c r="BS1096" s="13"/>
      <c r="BT1096" s="12"/>
      <c r="BV1096" s="14"/>
      <c r="BW1096" s="50"/>
      <c r="BX1096" s="54"/>
      <c r="BY1096" s="14"/>
      <c r="BZ1096" s="14"/>
      <c r="CA1096" s="14"/>
      <c r="CB1096" s="14"/>
      <c r="CC1096" s="14"/>
      <c r="CD1096" s="14"/>
      <c r="CE1096" s="14"/>
      <c r="CF1096" s="15"/>
      <c r="CG1096" s="14"/>
      <c r="CH1096" s="14"/>
      <c r="CI1096" s="50"/>
      <c r="CJ1096" s="54"/>
      <c r="CK1096" s="14"/>
      <c r="CL1096" s="14"/>
      <c r="CM1096" s="14"/>
      <c r="CN1096" s="14"/>
      <c r="CO1096" s="14"/>
      <c r="CP1096" s="14"/>
      <c r="CQ1096" s="14"/>
      <c r="CR1096" s="14"/>
      <c r="CS1096" s="14"/>
      <c r="CT1096" s="14"/>
      <c r="CU1096" s="16"/>
      <c r="CV1096" s="14"/>
      <c r="CW1096" s="50"/>
      <c r="CX1096" s="17"/>
    </row>
    <row r="1097" spans="4:102" x14ac:dyDescent="0.25"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43"/>
      <c r="Q1097" s="11"/>
      <c r="R1097" s="11"/>
      <c r="S1097" s="11"/>
      <c r="T1097" s="11"/>
      <c r="U1097" s="11"/>
      <c r="V1097" s="11"/>
      <c r="W1097" s="11"/>
      <c r="X1097" s="12"/>
      <c r="Y1097" s="12"/>
      <c r="Z1097" s="12"/>
      <c r="AA1097" s="44"/>
      <c r="AB1097" s="45"/>
      <c r="AC1097" s="12"/>
      <c r="AD1097" s="12"/>
      <c r="AE1097" s="12"/>
      <c r="AF1097" s="12"/>
      <c r="AG1097" s="44"/>
      <c r="AH1097" s="45"/>
      <c r="AI1097" s="12"/>
      <c r="AJ1097" s="12"/>
      <c r="AK1097" s="12"/>
      <c r="AL1097" s="12"/>
      <c r="AM1097" s="44"/>
      <c r="AN1097" s="45"/>
      <c r="AO1097" s="12"/>
      <c r="AP1097" s="12"/>
      <c r="AQ1097" s="12"/>
      <c r="AR1097" s="12"/>
      <c r="AS1097" s="44"/>
      <c r="AT1097" s="45"/>
      <c r="AU1097" s="12"/>
      <c r="AV1097" s="12"/>
      <c r="AW1097" s="12"/>
      <c r="AX1097" s="12"/>
      <c r="AY1097" s="44"/>
      <c r="AZ1097" s="45"/>
      <c r="BA1097" s="12"/>
      <c r="BB1097" s="12"/>
      <c r="BC1097" s="12"/>
      <c r="BD1097" s="12"/>
      <c r="BE1097" s="44"/>
      <c r="BF1097" s="45"/>
      <c r="BG1097" s="12"/>
      <c r="BH1097" s="12"/>
      <c r="BI1097" s="12"/>
      <c r="BJ1097" s="12"/>
      <c r="BK1097" s="44"/>
      <c r="BL1097" s="45"/>
      <c r="BM1097" s="12"/>
      <c r="BN1097" s="12"/>
      <c r="BO1097" s="12"/>
      <c r="BP1097" s="12"/>
      <c r="BQ1097" s="48"/>
      <c r="BR1097" s="49"/>
      <c r="BS1097" s="13"/>
      <c r="BT1097" s="12"/>
      <c r="BV1097" s="14"/>
      <c r="BW1097" s="50"/>
      <c r="BX1097" s="54"/>
      <c r="BY1097" s="14"/>
      <c r="BZ1097" s="14"/>
      <c r="CA1097" s="14"/>
      <c r="CB1097" s="14"/>
      <c r="CC1097" s="14"/>
      <c r="CD1097" s="14"/>
      <c r="CE1097" s="14"/>
      <c r="CF1097" s="15"/>
      <c r="CG1097" s="14"/>
      <c r="CH1097" s="14"/>
      <c r="CI1097" s="50"/>
      <c r="CJ1097" s="54"/>
      <c r="CK1097" s="14"/>
      <c r="CL1097" s="14"/>
      <c r="CM1097" s="14"/>
      <c r="CN1097" s="14"/>
      <c r="CO1097" s="14"/>
      <c r="CP1097" s="14"/>
      <c r="CQ1097" s="14"/>
      <c r="CR1097" s="14"/>
      <c r="CS1097" s="14"/>
      <c r="CT1097" s="14"/>
      <c r="CU1097" s="16"/>
      <c r="CV1097" s="14"/>
      <c r="CW1097" s="50"/>
      <c r="CX1097" s="17"/>
    </row>
    <row r="1098" spans="4:102" x14ac:dyDescent="0.25"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43"/>
      <c r="Q1098" s="11"/>
      <c r="R1098" s="11"/>
      <c r="S1098" s="11"/>
      <c r="T1098" s="11"/>
      <c r="U1098" s="11"/>
      <c r="V1098" s="11"/>
      <c r="W1098" s="11"/>
      <c r="X1098" s="12"/>
      <c r="Y1098" s="12"/>
      <c r="Z1098" s="12"/>
      <c r="AA1098" s="44"/>
      <c r="AB1098" s="45"/>
      <c r="AC1098" s="12"/>
      <c r="AD1098" s="12"/>
      <c r="AE1098" s="12"/>
      <c r="AF1098" s="12"/>
      <c r="AG1098" s="44"/>
      <c r="AH1098" s="45"/>
      <c r="AI1098" s="12"/>
      <c r="AJ1098" s="12"/>
      <c r="AK1098" s="12"/>
      <c r="AL1098" s="12"/>
      <c r="AM1098" s="44"/>
      <c r="AN1098" s="45"/>
      <c r="AO1098" s="12"/>
      <c r="AP1098" s="12"/>
      <c r="AQ1098" s="12"/>
      <c r="AR1098" s="12"/>
      <c r="AS1098" s="44"/>
      <c r="AT1098" s="45"/>
      <c r="AU1098" s="12"/>
      <c r="AV1098" s="12"/>
      <c r="AW1098" s="12"/>
      <c r="AX1098" s="12"/>
      <c r="AY1098" s="44"/>
      <c r="AZ1098" s="45"/>
      <c r="BA1098" s="12"/>
      <c r="BB1098" s="12"/>
      <c r="BC1098" s="12"/>
      <c r="BD1098" s="12"/>
      <c r="BE1098" s="44"/>
      <c r="BF1098" s="45"/>
      <c r="BG1098" s="12"/>
      <c r="BH1098" s="12"/>
      <c r="BI1098" s="12"/>
      <c r="BJ1098" s="12"/>
      <c r="BK1098" s="44"/>
      <c r="BL1098" s="45"/>
      <c r="BM1098" s="12"/>
      <c r="BN1098" s="12"/>
      <c r="BO1098" s="12"/>
      <c r="BP1098" s="12"/>
      <c r="BQ1098" s="48"/>
      <c r="BR1098" s="49"/>
      <c r="BS1098" s="13"/>
      <c r="BT1098" s="12"/>
      <c r="BV1098" s="14"/>
      <c r="BW1098" s="50"/>
      <c r="BX1098" s="54"/>
      <c r="BY1098" s="14"/>
      <c r="BZ1098" s="14"/>
      <c r="CA1098" s="14"/>
      <c r="CB1098" s="14"/>
      <c r="CC1098" s="14"/>
      <c r="CD1098" s="14"/>
      <c r="CE1098" s="14"/>
      <c r="CF1098" s="15"/>
      <c r="CG1098" s="14"/>
      <c r="CH1098" s="14"/>
      <c r="CI1098" s="50"/>
      <c r="CJ1098" s="54"/>
      <c r="CK1098" s="14"/>
      <c r="CL1098" s="14"/>
      <c r="CM1098" s="14"/>
      <c r="CN1098" s="14"/>
      <c r="CO1098" s="14"/>
      <c r="CP1098" s="14"/>
      <c r="CQ1098" s="14"/>
      <c r="CR1098" s="14"/>
      <c r="CS1098" s="14"/>
      <c r="CT1098" s="14"/>
      <c r="CU1098" s="16"/>
      <c r="CV1098" s="14"/>
      <c r="CW1098" s="50"/>
      <c r="CX1098" s="17"/>
    </row>
    <row r="1099" spans="4:102" x14ac:dyDescent="0.25"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43"/>
      <c r="Q1099" s="11"/>
      <c r="R1099" s="11"/>
      <c r="S1099" s="11"/>
      <c r="T1099" s="11"/>
      <c r="U1099" s="11"/>
      <c r="V1099" s="11"/>
      <c r="W1099" s="11"/>
      <c r="X1099" s="12"/>
      <c r="Y1099" s="12"/>
      <c r="Z1099" s="12"/>
      <c r="AA1099" s="44"/>
      <c r="AB1099" s="45"/>
      <c r="AC1099" s="12"/>
      <c r="AD1099" s="12"/>
      <c r="AE1099" s="12"/>
      <c r="AF1099" s="12"/>
      <c r="AG1099" s="44"/>
      <c r="AH1099" s="45"/>
      <c r="AI1099" s="12"/>
      <c r="AJ1099" s="12"/>
      <c r="AK1099" s="12"/>
      <c r="AL1099" s="12"/>
      <c r="AM1099" s="44"/>
      <c r="AN1099" s="45"/>
      <c r="AO1099" s="12"/>
      <c r="AP1099" s="12"/>
      <c r="AQ1099" s="12"/>
      <c r="AR1099" s="12"/>
      <c r="AS1099" s="44"/>
      <c r="AT1099" s="45"/>
      <c r="AU1099" s="12"/>
      <c r="AV1099" s="12"/>
      <c r="AW1099" s="12"/>
      <c r="AX1099" s="12"/>
      <c r="AY1099" s="44"/>
      <c r="AZ1099" s="45"/>
      <c r="BA1099" s="12"/>
      <c r="BB1099" s="12"/>
      <c r="BC1099" s="12"/>
      <c r="BD1099" s="12"/>
      <c r="BE1099" s="44"/>
      <c r="BF1099" s="45"/>
      <c r="BG1099" s="12"/>
      <c r="BH1099" s="12"/>
      <c r="BI1099" s="12"/>
      <c r="BJ1099" s="12"/>
      <c r="BK1099" s="44"/>
      <c r="BL1099" s="45"/>
      <c r="BM1099" s="12"/>
      <c r="BN1099" s="12"/>
      <c r="BO1099" s="12"/>
      <c r="BP1099" s="12"/>
      <c r="BQ1099" s="48"/>
      <c r="BR1099" s="49"/>
      <c r="BS1099" s="13"/>
      <c r="BT1099" s="12"/>
      <c r="BV1099" s="14"/>
      <c r="BW1099" s="50"/>
      <c r="BX1099" s="54"/>
      <c r="BY1099" s="14"/>
      <c r="BZ1099" s="14"/>
      <c r="CA1099" s="14"/>
      <c r="CB1099" s="14"/>
      <c r="CC1099" s="14"/>
      <c r="CD1099" s="14"/>
      <c r="CE1099" s="14"/>
      <c r="CF1099" s="15"/>
      <c r="CG1099" s="14"/>
      <c r="CH1099" s="14"/>
      <c r="CI1099" s="50"/>
      <c r="CJ1099" s="54"/>
      <c r="CK1099" s="14"/>
      <c r="CL1099" s="14"/>
      <c r="CM1099" s="14"/>
      <c r="CN1099" s="14"/>
      <c r="CO1099" s="14"/>
      <c r="CP1099" s="14"/>
      <c r="CQ1099" s="14"/>
      <c r="CR1099" s="14"/>
      <c r="CS1099" s="14"/>
      <c r="CT1099" s="14"/>
      <c r="CU1099" s="16"/>
      <c r="CV1099" s="14"/>
      <c r="CW1099" s="50"/>
      <c r="CX1099" s="17"/>
    </row>
    <row r="1100" spans="4:102" x14ac:dyDescent="0.25"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43"/>
      <c r="Q1100" s="11"/>
      <c r="R1100" s="11"/>
      <c r="S1100" s="11"/>
      <c r="T1100" s="11"/>
      <c r="U1100" s="11"/>
      <c r="V1100" s="11"/>
      <c r="W1100" s="11"/>
      <c r="X1100" s="12"/>
      <c r="Y1100" s="12"/>
      <c r="Z1100" s="12"/>
      <c r="AA1100" s="44"/>
      <c r="AB1100" s="45"/>
      <c r="AC1100" s="12"/>
      <c r="AD1100" s="12"/>
      <c r="AE1100" s="12"/>
      <c r="AF1100" s="12"/>
      <c r="AG1100" s="44"/>
      <c r="AH1100" s="45"/>
      <c r="AI1100" s="12"/>
      <c r="AJ1100" s="12"/>
      <c r="AK1100" s="12"/>
      <c r="AL1100" s="12"/>
      <c r="AM1100" s="44"/>
      <c r="AN1100" s="45"/>
      <c r="AO1100" s="12"/>
      <c r="AP1100" s="12"/>
      <c r="AQ1100" s="12"/>
      <c r="AR1100" s="12"/>
      <c r="AS1100" s="44"/>
      <c r="AT1100" s="45"/>
      <c r="AU1100" s="12"/>
      <c r="AV1100" s="12"/>
      <c r="AW1100" s="12"/>
      <c r="AX1100" s="12"/>
      <c r="AY1100" s="44"/>
      <c r="AZ1100" s="45"/>
      <c r="BA1100" s="12"/>
      <c r="BB1100" s="12"/>
      <c r="BC1100" s="12"/>
      <c r="BD1100" s="12"/>
      <c r="BE1100" s="44"/>
      <c r="BF1100" s="45"/>
      <c r="BG1100" s="12"/>
      <c r="BH1100" s="12"/>
      <c r="BI1100" s="12"/>
      <c r="BJ1100" s="12"/>
      <c r="BK1100" s="44"/>
      <c r="BL1100" s="45"/>
      <c r="BM1100" s="12"/>
      <c r="BN1100" s="12"/>
      <c r="BO1100" s="12"/>
      <c r="BP1100" s="12"/>
      <c r="BQ1100" s="48"/>
      <c r="BR1100" s="49"/>
      <c r="BS1100" s="13"/>
      <c r="BT1100" s="12"/>
      <c r="BV1100" s="14"/>
      <c r="BW1100" s="50"/>
      <c r="BX1100" s="54"/>
      <c r="BY1100" s="14"/>
      <c r="BZ1100" s="14"/>
      <c r="CA1100" s="14"/>
      <c r="CB1100" s="14"/>
      <c r="CC1100" s="14"/>
      <c r="CD1100" s="14"/>
      <c r="CE1100" s="14"/>
      <c r="CF1100" s="15"/>
      <c r="CG1100" s="14"/>
      <c r="CH1100" s="14"/>
      <c r="CI1100" s="50"/>
      <c r="CJ1100" s="54"/>
      <c r="CK1100" s="14"/>
      <c r="CL1100" s="14"/>
      <c r="CM1100" s="14"/>
      <c r="CN1100" s="14"/>
      <c r="CO1100" s="14"/>
      <c r="CP1100" s="14"/>
      <c r="CQ1100" s="14"/>
      <c r="CR1100" s="14"/>
      <c r="CS1100" s="14"/>
      <c r="CT1100" s="14"/>
      <c r="CU1100" s="16"/>
      <c r="CV1100" s="14"/>
      <c r="CW1100" s="50"/>
      <c r="CX1100" s="17"/>
    </row>
    <row r="1101" spans="4:102" x14ac:dyDescent="0.25"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43"/>
      <c r="Q1101" s="11"/>
      <c r="R1101" s="11"/>
      <c r="S1101" s="11"/>
      <c r="T1101" s="11"/>
      <c r="U1101" s="11"/>
      <c r="V1101" s="11"/>
      <c r="W1101" s="11"/>
      <c r="X1101" s="12"/>
      <c r="Y1101" s="12"/>
      <c r="Z1101" s="12"/>
      <c r="AA1101" s="44"/>
      <c r="AB1101" s="45"/>
      <c r="AC1101" s="12"/>
      <c r="AD1101" s="12"/>
      <c r="AE1101" s="12"/>
      <c r="AF1101" s="12"/>
      <c r="AG1101" s="44"/>
      <c r="AH1101" s="45"/>
      <c r="AI1101" s="12"/>
      <c r="AJ1101" s="12"/>
      <c r="AK1101" s="12"/>
      <c r="AL1101" s="12"/>
      <c r="AM1101" s="44"/>
      <c r="AN1101" s="45"/>
      <c r="AO1101" s="12"/>
      <c r="AP1101" s="12"/>
      <c r="AQ1101" s="12"/>
      <c r="AR1101" s="12"/>
      <c r="AS1101" s="44"/>
      <c r="AT1101" s="45"/>
      <c r="AU1101" s="12"/>
      <c r="AV1101" s="12"/>
      <c r="AW1101" s="12"/>
      <c r="AX1101" s="12"/>
      <c r="AY1101" s="44"/>
      <c r="AZ1101" s="45"/>
      <c r="BA1101" s="12"/>
      <c r="BB1101" s="12"/>
      <c r="BC1101" s="12"/>
      <c r="BD1101" s="12"/>
      <c r="BE1101" s="44"/>
      <c r="BF1101" s="45"/>
      <c r="BG1101" s="12"/>
      <c r="BH1101" s="12"/>
      <c r="BI1101" s="12"/>
      <c r="BJ1101" s="12"/>
      <c r="BK1101" s="44"/>
      <c r="BL1101" s="45"/>
      <c r="BM1101" s="12"/>
      <c r="BN1101" s="12"/>
      <c r="BO1101" s="12"/>
      <c r="BP1101" s="12"/>
      <c r="BQ1101" s="48"/>
      <c r="BR1101" s="49"/>
      <c r="BS1101" s="13"/>
      <c r="BT1101" s="12"/>
      <c r="BV1101" s="14"/>
      <c r="BW1101" s="50"/>
      <c r="BX1101" s="54"/>
      <c r="BY1101" s="14"/>
      <c r="BZ1101" s="14"/>
      <c r="CA1101" s="14"/>
      <c r="CB1101" s="14"/>
      <c r="CC1101" s="14"/>
      <c r="CD1101" s="14"/>
      <c r="CE1101" s="14"/>
      <c r="CF1101" s="15"/>
      <c r="CG1101" s="14"/>
      <c r="CH1101" s="14"/>
      <c r="CI1101" s="50"/>
      <c r="CJ1101" s="54"/>
      <c r="CK1101" s="14"/>
      <c r="CL1101" s="14"/>
      <c r="CM1101" s="14"/>
      <c r="CN1101" s="14"/>
      <c r="CO1101" s="14"/>
      <c r="CP1101" s="14"/>
      <c r="CQ1101" s="14"/>
      <c r="CR1101" s="14"/>
      <c r="CS1101" s="14"/>
      <c r="CT1101" s="14"/>
      <c r="CU1101" s="16"/>
      <c r="CV1101" s="14"/>
      <c r="CW1101" s="50"/>
      <c r="CX1101" s="17"/>
    </row>
    <row r="1102" spans="4:102" x14ac:dyDescent="0.25"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43"/>
      <c r="Q1102" s="11"/>
      <c r="R1102" s="11"/>
      <c r="S1102" s="11"/>
      <c r="T1102" s="11"/>
      <c r="U1102" s="11"/>
      <c r="V1102" s="11"/>
      <c r="W1102" s="11"/>
      <c r="X1102" s="12"/>
      <c r="Y1102" s="12"/>
      <c r="Z1102" s="12"/>
      <c r="AA1102" s="44"/>
      <c r="AB1102" s="45"/>
      <c r="AC1102" s="12"/>
      <c r="AD1102" s="12"/>
      <c r="AE1102" s="12"/>
      <c r="AF1102" s="12"/>
      <c r="AG1102" s="44"/>
      <c r="AH1102" s="45"/>
      <c r="AI1102" s="12"/>
      <c r="AJ1102" s="12"/>
      <c r="AK1102" s="12"/>
      <c r="AL1102" s="12"/>
      <c r="AM1102" s="44"/>
      <c r="AN1102" s="45"/>
      <c r="AO1102" s="12"/>
      <c r="AP1102" s="12"/>
      <c r="AQ1102" s="12"/>
      <c r="AR1102" s="12"/>
      <c r="AS1102" s="44"/>
      <c r="AT1102" s="45"/>
      <c r="AU1102" s="12"/>
      <c r="AV1102" s="12"/>
      <c r="AW1102" s="12"/>
      <c r="AX1102" s="12"/>
      <c r="AY1102" s="44"/>
      <c r="AZ1102" s="45"/>
      <c r="BA1102" s="12"/>
      <c r="BB1102" s="12"/>
      <c r="BC1102" s="12"/>
      <c r="BD1102" s="12"/>
      <c r="BE1102" s="44"/>
      <c r="BF1102" s="45"/>
      <c r="BG1102" s="12"/>
      <c r="BH1102" s="12"/>
      <c r="BI1102" s="12"/>
      <c r="BJ1102" s="12"/>
      <c r="BK1102" s="44"/>
      <c r="BL1102" s="45"/>
      <c r="BM1102" s="12"/>
      <c r="BN1102" s="12"/>
      <c r="BO1102" s="12"/>
      <c r="BP1102" s="12"/>
      <c r="BQ1102" s="48"/>
      <c r="BR1102" s="49"/>
      <c r="BS1102" s="13"/>
      <c r="BT1102" s="12"/>
      <c r="BV1102" s="14"/>
      <c r="BW1102" s="50"/>
      <c r="BX1102" s="54"/>
      <c r="BY1102" s="14"/>
      <c r="BZ1102" s="14"/>
      <c r="CA1102" s="14"/>
      <c r="CB1102" s="14"/>
      <c r="CC1102" s="14"/>
      <c r="CD1102" s="14"/>
      <c r="CE1102" s="14"/>
      <c r="CF1102" s="15"/>
      <c r="CG1102" s="14"/>
      <c r="CH1102" s="14"/>
      <c r="CI1102" s="50"/>
      <c r="CJ1102" s="54"/>
      <c r="CK1102" s="14"/>
      <c r="CL1102" s="14"/>
      <c r="CM1102" s="14"/>
      <c r="CN1102" s="14"/>
      <c r="CO1102" s="14"/>
      <c r="CP1102" s="14"/>
      <c r="CQ1102" s="14"/>
      <c r="CR1102" s="14"/>
      <c r="CS1102" s="14"/>
      <c r="CT1102" s="14"/>
      <c r="CU1102" s="16"/>
      <c r="CV1102" s="14"/>
      <c r="CW1102" s="50"/>
      <c r="CX1102" s="17"/>
    </row>
    <row r="1103" spans="4:102" x14ac:dyDescent="0.25"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43"/>
      <c r="Q1103" s="11"/>
      <c r="R1103" s="11"/>
      <c r="S1103" s="11"/>
      <c r="T1103" s="11"/>
      <c r="U1103" s="11"/>
      <c r="V1103" s="11"/>
      <c r="W1103" s="11"/>
      <c r="X1103" s="12"/>
      <c r="Y1103" s="12"/>
      <c r="Z1103" s="12"/>
      <c r="AA1103" s="44"/>
      <c r="AB1103" s="45"/>
      <c r="AC1103" s="12"/>
      <c r="AD1103" s="12"/>
      <c r="AE1103" s="12"/>
      <c r="AF1103" s="12"/>
      <c r="AG1103" s="44"/>
      <c r="AH1103" s="45"/>
      <c r="AI1103" s="12"/>
      <c r="AJ1103" s="12"/>
      <c r="AK1103" s="12"/>
      <c r="AL1103" s="12"/>
      <c r="AM1103" s="44"/>
      <c r="AN1103" s="45"/>
      <c r="AO1103" s="12"/>
      <c r="AP1103" s="12"/>
      <c r="AQ1103" s="12"/>
      <c r="AR1103" s="12"/>
      <c r="AS1103" s="44"/>
      <c r="AT1103" s="45"/>
      <c r="AU1103" s="12"/>
      <c r="AV1103" s="12"/>
      <c r="AW1103" s="12"/>
      <c r="AX1103" s="12"/>
      <c r="AY1103" s="44"/>
      <c r="AZ1103" s="45"/>
      <c r="BA1103" s="12"/>
      <c r="BB1103" s="12"/>
      <c r="BC1103" s="12"/>
      <c r="BD1103" s="12"/>
      <c r="BE1103" s="44"/>
      <c r="BF1103" s="45"/>
      <c r="BG1103" s="12"/>
      <c r="BH1103" s="12"/>
      <c r="BI1103" s="12"/>
      <c r="BJ1103" s="12"/>
      <c r="BK1103" s="44"/>
      <c r="BL1103" s="45"/>
      <c r="BM1103" s="12"/>
      <c r="BN1103" s="12"/>
      <c r="BO1103" s="12"/>
      <c r="BP1103" s="12"/>
      <c r="BQ1103" s="48"/>
      <c r="BR1103" s="49"/>
      <c r="BS1103" s="13"/>
      <c r="BT1103" s="12"/>
      <c r="BV1103" s="14"/>
      <c r="BW1103" s="50"/>
      <c r="BX1103" s="54"/>
      <c r="BY1103" s="14"/>
      <c r="BZ1103" s="14"/>
      <c r="CA1103" s="14"/>
      <c r="CB1103" s="14"/>
      <c r="CC1103" s="14"/>
      <c r="CD1103" s="14"/>
      <c r="CE1103" s="14"/>
      <c r="CF1103" s="15"/>
      <c r="CG1103" s="14"/>
      <c r="CH1103" s="14"/>
      <c r="CI1103" s="50"/>
      <c r="CJ1103" s="54"/>
      <c r="CK1103" s="14"/>
      <c r="CL1103" s="14"/>
      <c r="CM1103" s="14"/>
      <c r="CN1103" s="14"/>
      <c r="CO1103" s="14"/>
      <c r="CP1103" s="14"/>
      <c r="CQ1103" s="14"/>
      <c r="CR1103" s="14"/>
      <c r="CS1103" s="14"/>
      <c r="CT1103" s="14"/>
      <c r="CU1103" s="16"/>
      <c r="CV1103" s="14"/>
      <c r="CW1103" s="50"/>
      <c r="CX1103" s="17"/>
    </row>
    <row r="1104" spans="4:102" x14ac:dyDescent="0.25"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43"/>
      <c r="Q1104" s="11"/>
      <c r="R1104" s="11"/>
      <c r="S1104" s="11"/>
      <c r="T1104" s="11"/>
      <c r="U1104" s="11"/>
      <c r="V1104" s="11"/>
      <c r="W1104" s="11"/>
      <c r="X1104" s="12"/>
      <c r="Y1104" s="12"/>
      <c r="Z1104" s="12"/>
      <c r="AA1104" s="44"/>
      <c r="AB1104" s="45"/>
      <c r="AC1104" s="12"/>
      <c r="AD1104" s="12"/>
      <c r="AE1104" s="12"/>
      <c r="AF1104" s="12"/>
      <c r="AG1104" s="44"/>
      <c r="AH1104" s="45"/>
      <c r="AI1104" s="12"/>
      <c r="AJ1104" s="12"/>
      <c r="AK1104" s="12"/>
      <c r="AL1104" s="12"/>
      <c r="AM1104" s="44"/>
      <c r="AN1104" s="45"/>
      <c r="AO1104" s="12"/>
      <c r="AP1104" s="12"/>
      <c r="AQ1104" s="12"/>
      <c r="AR1104" s="12"/>
      <c r="AS1104" s="44"/>
      <c r="AT1104" s="45"/>
      <c r="AU1104" s="12"/>
      <c r="AV1104" s="12"/>
      <c r="AW1104" s="12"/>
      <c r="AX1104" s="12"/>
      <c r="AY1104" s="44"/>
      <c r="AZ1104" s="45"/>
      <c r="BA1104" s="12"/>
      <c r="BB1104" s="12"/>
      <c r="BC1104" s="12"/>
      <c r="BD1104" s="12"/>
      <c r="BE1104" s="44"/>
      <c r="BF1104" s="45"/>
      <c r="BG1104" s="12"/>
      <c r="BH1104" s="12"/>
      <c r="BI1104" s="12"/>
      <c r="BJ1104" s="12"/>
      <c r="BK1104" s="44"/>
      <c r="BL1104" s="45"/>
      <c r="BM1104" s="12"/>
      <c r="BN1104" s="12"/>
      <c r="BO1104" s="12"/>
      <c r="BP1104" s="12"/>
      <c r="BQ1104" s="48"/>
      <c r="BR1104" s="49"/>
      <c r="BS1104" s="13"/>
      <c r="BT1104" s="12"/>
      <c r="BV1104" s="14"/>
      <c r="BW1104" s="50"/>
      <c r="BX1104" s="54"/>
      <c r="BY1104" s="14"/>
      <c r="BZ1104" s="14"/>
      <c r="CA1104" s="14"/>
      <c r="CB1104" s="14"/>
      <c r="CC1104" s="14"/>
      <c r="CD1104" s="14"/>
      <c r="CE1104" s="14"/>
      <c r="CF1104" s="15"/>
      <c r="CG1104" s="14"/>
      <c r="CH1104" s="14"/>
      <c r="CI1104" s="50"/>
      <c r="CJ1104" s="54"/>
      <c r="CK1104" s="14"/>
      <c r="CL1104" s="14"/>
      <c r="CM1104" s="14"/>
      <c r="CN1104" s="14"/>
      <c r="CO1104" s="14"/>
      <c r="CP1104" s="14"/>
      <c r="CQ1104" s="14"/>
      <c r="CR1104" s="14"/>
      <c r="CS1104" s="14"/>
      <c r="CT1104" s="14"/>
      <c r="CU1104" s="16"/>
      <c r="CV1104" s="14"/>
      <c r="CW1104" s="50"/>
      <c r="CX1104" s="17"/>
    </row>
    <row r="1105" spans="4:102" x14ac:dyDescent="0.25"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43"/>
      <c r="Q1105" s="11"/>
      <c r="R1105" s="11"/>
      <c r="S1105" s="11"/>
      <c r="T1105" s="11"/>
      <c r="U1105" s="11"/>
      <c r="V1105" s="11"/>
      <c r="W1105" s="11"/>
      <c r="X1105" s="12"/>
      <c r="Y1105" s="12"/>
      <c r="Z1105" s="12"/>
      <c r="AA1105" s="44"/>
      <c r="AB1105" s="45"/>
      <c r="AC1105" s="12"/>
      <c r="AD1105" s="12"/>
      <c r="AE1105" s="12"/>
      <c r="AF1105" s="12"/>
      <c r="AG1105" s="44"/>
      <c r="AH1105" s="45"/>
      <c r="AI1105" s="12"/>
      <c r="AJ1105" s="12"/>
      <c r="AK1105" s="12"/>
      <c r="AL1105" s="12"/>
      <c r="AM1105" s="44"/>
      <c r="AN1105" s="45"/>
      <c r="AO1105" s="12"/>
      <c r="AP1105" s="12"/>
      <c r="AQ1105" s="12"/>
      <c r="AR1105" s="12"/>
      <c r="AS1105" s="44"/>
      <c r="AT1105" s="45"/>
      <c r="AU1105" s="12"/>
      <c r="AV1105" s="12"/>
      <c r="AW1105" s="12"/>
      <c r="AX1105" s="12"/>
      <c r="AY1105" s="44"/>
      <c r="AZ1105" s="45"/>
      <c r="BA1105" s="12"/>
      <c r="BB1105" s="12"/>
      <c r="BC1105" s="12"/>
      <c r="BD1105" s="12"/>
      <c r="BE1105" s="44"/>
      <c r="BF1105" s="45"/>
      <c r="BG1105" s="12"/>
      <c r="BH1105" s="12"/>
      <c r="BI1105" s="12"/>
      <c r="BJ1105" s="12"/>
      <c r="BK1105" s="44"/>
      <c r="BL1105" s="45"/>
      <c r="BM1105" s="12"/>
      <c r="BN1105" s="12"/>
      <c r="BO1105" s="12"/>
      <c r="BP1105" s="12"/>
      <c r="BQ1105" s="48"/>
      <c r="BR1105" s="49"/>
      <c r="BS1105" s="13"/>
      <c r="BT1105" s="12"/>
      <c r="BV1105" s="14"/>
      <c r="BW1105" s="50"/>
      <c r="BX1105" s="54"/>
      <c r="BY1105" s="14"/>
      <c r="BZ1105" s="14"/>
      <c r="CA1105" s="14"/>
      <c r="CB1105" s="14"/>
      <c r="CC1105" s="14"/>
      <c r="CD1105" s="14"/>
      <c r="CE1105" s="14"/>
      <c r="CF1105" s="15"/>
      <c r="CG1105" s="14"/>
      <c r="CH1105" s="14"/>
      <c r="CI1105" s="50"/>
      <c r="CJ1105" s="54"/>
      <c r="CK1105" s="14"/>
      <c r="CL1105" s="14"/>
      <c r="CM1105" s="14"/>
      <c r="CN1105" s="14"/>
      <c r="CO1105" s="14"/>
      <c r="CP1105" s="14"/>
      <c r="CQ1105" s="14"/>
      <c r="CR1105" s="14"/>
      <c r="CS1105" s="14"/>
      <c r="CT1105" s="14"/>
      <c r="CU1105" s="16"/>
      <c r="CV1105" s="14"/>
      <c r="CW1105" s="50"/>
      <c r="CX1105" s="17"/>
    </row>
    <row r="1106" spans="4:102" x14ac:dyDescent="0.25"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43"/>
      <c r="Q1106" s="11"/>
      <c r="R1106" s="11"/>
      <c r="S1106" s="11"/>
      <c r="T1106" s="11"/>
      <c r="U1106" s="11"/>
      <c r="V1106" s="11"/>
      <c r="W1106" s="11"/>
      <c r="X1106" s="12"/>
      <c r="Y1106" s="12"/>
      <c r="Z1106" s="12"/>
      <c r="AA1106" s="44"/>
      <c r="AB1106" s="45"/>
      <c r="AC1106" s="12"/>
      <c r="AD1106" s="12"/>
      <c r="AE1106" s="12"/>
      <c r="AF1106" s="12"/>
      <c r="AG1106" s="44"/>
      <c r="AH1106" s="45"/>
      <c r="AI1106" s="12"/>
      <c r="AJ1106" s="12"/>
      <c r="AK1106" s="12"/>
      <c r="AL1106" s="12"/>
      <c r="AM1106" s="44"/>
      <c r="AN1106" s="45"/>
      <c r="AO1106" s="12"/>
      <c r="AP1106" s="12"/>
      <c r="AQ1106" s="12"/>
      <c r="AR1106" s="12"/>
      <c r="AS1106" s="44"/>
      <c r="AT1106" s="45"/>
      <c r="AU1106" s="12"/>
      <c r="AV1106" s="12"/>
      <c r="AW1106" s="12"/>
      <c r="AX1106" s="12"/>
      <c r="AY1106" s="44"/>
      <c r="AZ1106" s="45"/>
      <c r="BA1106" s="12"/>
      <c r="BB1106" s="12"/>
      <c r="BC1106" s="12"/>
      <c r="BD1106" s="12"/>
      <c r="BE1106" s="44"/>
      <c r="BF1106" s="45"/>
      <c r="BG1106" s="12"/>
      <c r="BH1106" s="12"/>
      <c r="BI1106" s="12"/>
      <c r="BJ1106" s="12"/>
      <c r="BK1106" s="44"/>
      <c r="BL1106" s="45"/>
      <c r="BM1106" s="12"/>
      <c r="BN1106" s="12"/>
      <c r="BO1106" s="12"/>
      <c r="BP1106" s="12"/>
      <c r="BQ1106" s="48"/>
      <c r="BR1106" s="49"/>
      <c r="BS1106" s="13"/>
      <c r="BT1106" s="12"/>
      <c r="BV1106" s="14"/>
      <c r="BW1106" s="50"/>
      <c r="BX1106" s="54"/>
      <c r="BY1106" s="14"/>
      <c r="BZ1106" s="14"/>
      <c r="CA1106" s="14"/>
      <c r="CB1106" s="14"/>
      <c r="CC1106" s="14"/>
      <c r="CD1106" s="14"/>
      <c r="CE1106" s="14"/>
      <c r="CF1106" s="15"/>
      <c r="CG1106" s="14"/>
      <c r="CH1106" s="14"/>
      <c r="CI1106" s="50"/>
      <c r="CJ1106" s="54"/>
      <c r="CK1106" s="14"/>
      <c r="CL1106" s="14"/>
      <c r="CM1106" s="14"/>
      <c r="CN1106" s="14"/>
      <c r="CO1106" s="14"/>
      <c r="CP1106" s="14"/>
      <c r="CQ1106" s="14"/>
      <c r="CR1106" s="14"/>
      <c r="CS1106" s="14"/>
      <c r="CT1106" s="14"/>
      <c r="CU1106" s="16"/>
      <c r="CV1106" s="14"/>
      <c r="CW1106" s="50"/>
      <c r="CX1106" s="17"/>
    </row>
    <row r="1107" spans="4:102" x14ac:dyDescent="0.25"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43"/>
      <c r="Q1107" s="11"/>
      <c r="R1107" s="11"/>
      <c r="S1107" s="11"/>
      <c r="T1107" s="11"/>
      <c r="U1107" s="11"/>
      <c r="V1107" s="11"/>
      <c r="W1107" s="11"/>
      <c r="X1107" s="12"/>
      <c r="Y1107" s="12"/>
      <c r="Z1107" s="12"/>
      <c r="AA1107" s="44"/>
      <c r="AB1107" s="45"/>
      <c r="AC1107" s="12"/>
      <c r="AD1107" s="12"/>
      <c r="AE1107" s="12"/>
      <c r="AF1107" s="12"/>
      <c r="AG1107" s="44"/>
      <c r="AH1107" s="45"/>
      <c r="AI1107" s="12"/>
      <c r="AJ1107" s="12"/>
      <c r="AK1107" s="12"/>
      <c r="AL1107" s="12"/>
      <c r="AM1107" s="44"/>
      <c r="AN1107" s="45"/>
      <c r="AO1107" s="12"/>
      <c r="AP1107" s="12"/>
      <c r="AQ1107" s="12"/>
      <c r="AR1107" s="12"/>
      <c r="AS1107" s="44"/>
      <c r="AT1107" s="45"/>
      <c r="AU1107" s="12"/>
      <c r="AV1107" s="12"/>
      <c r="AW1107" s="12"/>
      <c r="AX1107" s="12"/>
      <c r="AY1107" s="44"/>
      <c r="AZ1107" s="45"/>
      <c r="BA1107" s="12"/>
      <c r="BB1107" s="12"/>
      <c r="BC1107" s="12"/>
      <c r="BD1107" s="12"/>
      <c r="BE1107" s="44"/>
      <c r="BF1107" s="45"/>
      <c r="BG1107" s="12"/>
      <c r="BH1107" s="12"/>
      <c r="BI1107" s="12"/>
      <c r="BJ1107" s="12"/>
      <c r="BK1107" s="44"/>
      <c r="BL1107" s="45"/>
      <c r="BM1107" s="12"/>
      <c r="BN1107" s="12"/>
      <c r="BO1107" s="12"/>
      <c r="BP1107" s="12"/>
      <c r="BQ1107" s="48"/>
      <c r="BR1107" s="49"/>
      <c r="BS1107" s="13"/>
      <c r="BT1107" s="12"/>
      <c r="BV1107" s="14"/>
      <c r="BW1107" s="50"/>
      <c r="BX1107" s="54"/>
      <c r="BY1107" s="14"/>
      <c r="BZ1107" s="14"/>
      <c r="CA1107" s="14"/>
      <c r="CB1107" s="14"/>
      <c r="CC1107" s="14"/>
      <c r="CD1107" s="14"/>
      <c r="CE1107" s="14"/>
      <c r="CF1107" s="15"/>
      <c r="CG1107" s="14"/>
      <c r="CH1107" s="14"/>
      <c r="CI1107" s="50"/>
      <c r="CJ1107" s="54"/>
      <c r="CK1107" s="14"/>
      <c r="CL1107" s="14"/>
      <c r="CM1107" s="14"/>
      <c r="CN1107" s="14"/>
      <c r="CO1107" s="14"/>
      <c r="CP1107" s="14"/>
      <c r="CQ1107" s="14"/>
      <c r="CR1107" s="14"/>
      <c r="CS1107" s="14"/>
      <c r="CT1107" s="14"/>
      <c r="CU1107" s="16"/>
      <c r="CV1107" s="14"/>
      <c r="CW1107" s="50"/>
      <c r="CX1107" s="17"/>
    </row>
    <row r="1108" spans="4:102" x14ac:dyDescent="0.25"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43"/>
      <c r="Q1108" s="11"/>
      <c r="R1108" s="11"/>
      <c r="S1108" s="11"/>
      <c r="T1108" s="11"/>
      <c r="U1108" s="11"/>
      <c r="V1108" s="11"/>
      <c r="W1108" s="11"/>
      <c r="X1108" s="12"/>
      <c r="Y1108" s="12"/>
      <c r="Z1108" s="12"/>
      <c r="AA1108" s="44"/>
      <c r="AB1108" s="45"/>
      <c r="AC1108" s="12"/>
      <c r="AD1108" s="12"/>
      <c r="AE1108" s="12"/>
      <c r="AF1108" s="12"/>
      <c r="AG1108" s="44"/>
      <c r="AH1108" s="45"/>
      <c r="AI1108" s="12"/>
      <c r="AJ1108" s="12"/>
      <c r="AK1108" s="12"/>
      <c r="AL1108" s="12"/>
      <c r="AM1108" s="44"/>
      <c r="AN1108" s="45"/>
      <c r="AO1108" s="12"/>
      <c r="AP1108" s="12"/>
      <c r="AQ1108" s="12"/>
      <c r="AR1108" s="12"/>
      <c r="AS1108" s="44"/>
      <c r="AT1108" s="45"/>
      <c r="AU1108" s="12"/>
      <c r="AV1108" s="12"/>
      <c r="AW1108" s="12"/>
      <c r="AX1108" s="12"/>
      <c r="AY1108" s="44"/>
      <c r="AZ1108" s="45"/>
      <c r="BA1108" s="12"/>
      <c r="BB1108" s="12"/>
      <c r="BC1108" s="12"/>
      <c r="BD1108" s="12"/>
      <c r="BE1108" s="44"/>
      <c r="BF1108" s="45"/>
      <c r="BG1108" s="12"/>
      <c r="BH1108" s="12"/>
      <c r="BI1108" s="12"/>
      <c r="BJ1108" s="12"/>
      <c r="BK1108" s="44"/>
      <c r="BL1108" s="45"/>
      <c r="BM1108" s="12"/>
      <c r="BN1108" s="12"/>
      <c r="BO1108" s="12"/>
      <c r="BP1108" s="12"/>
      <c r="BQ1108" s="48"/>
      <c r="BR1108" s="49"/>
      <c r="BS1108" s="13"/>
      <c r="BT1108" s="12"/>
      <c r="BV1108" s="14"/>
      <c r="BW1108" s="50"/>
      <c r="BX1108" s="54"/>
      <c r="BY1108" s="14"/>
      <c r="BZ1108" s="14"/>
      <c r="CA1108" s="14"/>
      <c r="CB1108" s="14"/>
      <c r="CC1108" s="14"/>
      <c r="CD1108" s="14"/>
      <c r="CE1108" s="14"/>
      <c r="CF1108" s="15"/>
      <c r="CG1108" s="14"/>
      <c r="CH1108" s="14"/>
      <c r="CI1108" s="50"/>
      <c r="CJ1108" s="54"/>
      <c r="CK1108" s="14"/>
      <c r="CL1108" s="14"/>
      <c r="CM1108" s="14"/>
      <c r="CN1108" s="14"/>
      <c r="CO1108" s="14"/>
      <c r="CP1108" s="14"/>
      <c r="CQ1108" s="14"/>
      <c r="CR1108" s="14"/>
      <c r="CS1108" s="14"/>
      <c r="CT1108" s="14"/>
      <c r="CU1108" s="16"/>
      <c r="CV1108" s="14"/>
      <c r="CW1108" s="50"/>
      <c r="CX1108" s="17"/>
    </row>
    <row r="1109" spans="4:102" x14ac:dyDescent="0.25"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43"/>
      <c r="Q1109" s="11"/>
      <c r="R1109" s="11"/>
      <c r="S1109" s="11"/>
      <c r="T1109" s="11"/>
      <c r="U1109" s="11"/>
      <c r="V1109" s="11"/>
      <c r="W1109" s="11"/>
      <c r="X1109" s="12"/>
      <c r="Y1109" s="12"/>
      <c r="Z1109" s="12"/>
      <c r="AA1109" s="44"/>
      <c r="AB1109" s="45"/>
      <c r="AC1109" s="12"/>
      <c r="AD1109" s="12"/>
      <c r="AE1109" s="12"/>
      <c r="AF1109" s="12"/>
      <c r="AG1109" s="44"/>
      <c r="AH1109" s="45"/>
      <c r="AI1109" s="12"/>
      <c r="AJ1109" s="12"/>
      <c r="AK1109" s="12"/>
      <c r="AL1109" s="12"/>
      <c r="AM1109" s="44"/>
      <c r="AN1109" s="45"/>
      <c r="AO1109" s="12"/>
      <c r="AP1109" s="12"/>
      <c r="AQ1109" s="12"/>
      <c r="AR1109" s="12"/>
      <c r="AS1109" s="44"/>
      <c r="AT1109" s="45"/>
      <c r="AU1109" s="12"/>
      <c r="AV1109" s="12"/>
      <c r="AW1109" s="12"/>
      <c r="AX1109" s="12"/>
      <c r="AY1109" s="44"/>
      <c r="AZ1109" s="45"/>
      <c r="BA1109" s="12"/>
      <c r="BB1109" s="12"/>
      <c r="BC1109" s="12"/>
      <c r="BD1109" s="12"/>
      <c r="BE1109" s="44"/>
      <c r="BF1109" s="45"/>
      <c r="BG1109" s="12"/>
      <c r="BH1109" s="12"/>
      <c r="BI1109" s="12"/>
      <c r="BJ1109" s="12"/>
      <c r="BK1109" s="44"/>
      <c r="BL1109" s="45"/>
      <c r="BM1109" s="12"/>
      <c r="BN1109" s="12"/>
      <c r="BO1109" s="12"/>
      <c r="BP1109" s="12"/>
      <c r="BQ1109" s="48"/>
      <c r="BR1109" s="49"/>
      <c r="BS1109" s="13"/>
      <c r="BT1109" s="12"/>
      <c r="BV1109" s="14"/>
      <c r="BW1109" s="50"/>
      <c r="BX1109" s="54"/>
      <c r="BY1109" s="14"/>
      <c r="BZ1109" s="14"/>
      <c r="CA1109" s="14"/>
      <c r="CB1109" s="14"/>
      <c r="CC1109" s="14"/>
      <c r="CD1109" s="14"/>
      <c r="CE1109" s="14"/>
      <c r="CF1109" s="15"/>
      <c r="CG1109" s="14"/>
      <c r="CH1109" s="14"/>
      <c r="CI1109" s="50"/>
      <c r="CJ1109" s="54"/>
      <c r="CK1109" s="14"/>
      <c r="CL1109" s="14"/>
      <c r="CM1109" s="14"/>
      <c r="CN1109" s="14"/>
      <c r="CO1109" s="14"/>
      <c r="CP1109" s="14"/>
      <c r="CQ1109" s="14"/>
      <c r="CR1109" s="14"/>
      <c r="CS1109" s="14"/>
      <c r="CT1109" s="14"/>
      <c r="CU1109" s="16"/>
      <c r="CV1109" s="14"/>
      <c r="CW1109" s="50"/>
      <c r="CX1109" s="17"/>
    </row>
    <row r="1110" spans="4:102" x14ac:dyDescent="0.25"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43"/>
      <c r="Q1110" s="11"/>
      <c r="R1110" s="11"/>
      <c r="S1110" s="11"/>
      <c r="T1110" s="11"/>
      <c r="U1110" s="11"/>
      <c r="V1110" s="11"/>
      <c r="W1110" s="11"/>
      <c r="X1110" s="12"/>
      <c r="Y1110" s="12"/>
      <c r="Z1110" s="12"/>
      <c r="AA1110" s="44"/>
      <c r="AB1110" s="45"/>
      <c r="AC1110" s="12"/>
      <c r="AD1110" s="12"/>
      <c r="AE1110" s="12"/>
      <c r="AF1110" s="12"/>
      <c r="AG1110" s="44"/>
      <c r="AH1110" s="45"/>
      <c r="AI1110" s="12"/>
      <c r="AJ1110" s="12"/>
      <c r="AK1110" s="12"/>
      <c r="AL1110" s="12"/>
      <c r="AM1110" s="44"/>
      <c r="AN1110" s="45"/>
      <c r="AO1110" s="12"/>
      <c r="AP1110" s="12"/>
      <c r="AQ1110" s="12"/>
      <c r="AR1110" s="12"/>
      <c r="AS1110" s="44"/>
      <c r="AT1110" s="45"/>
      <c r="AU1110" s="12"/>
      <c r="AV1110" s="12"/>
      <c r="AW1110" s="12"/>
      <c r="AX1110" s="12"/>
      <c r="AY1110" s="44"/>
      <c r="AZ1110" s="45"/>
      <c r="BA1110" s="12"/>
      <c r="BB1110" s="12"/>
      <c r="BC1110" s="12"/>
      <c r="BD1110" s="12"/>
      <c r="BE1110" s="44"/>
      <c r="BF1110" s="45"/>
      <c r="BG1110" s="12"/>
      <c r="BH1110" s="12"/>
      <c r="BI1110" s="12"/>
      <c r="BJ1110" s="12"/>
      <c r="BK1110" s="44"/>
      <c r="BL1110" s="45"/>
      <c r="BM1110" s="12"/>
      <c r="BN1110" s="12"/>
      <c r="BO1110" s="12"/>
      <c r="BP1110" s="12"/>
      <c r="BQ1110" s="48"/>
      <c r="BR1110" s="49"/>
      <c r="BS1110" s="13"/>
      <c r="BT1110" s="12"/>
      <c r="BV1110" s="14"/>
      <c r="BW1110" s="50"/>
      <c r="BX1110" s="54"/>
      <c r="BY1110" s="14"/>
      <c r="BZ1110" s="14"/>
      <c r="CA1110" s="14"/>
      <c r="CB1110" s="14"/>
      <c r="CC1110" s="14"/>
      <c r="CD1110" s="14"/>
      <c r="CE1110" s="14"/>
      <c r="CF1110" s="15"/>
      <c r="CG1110" s="14"/>
      <c r="CH1110" s="14"/>
      <c r="CI1110" s="50"/>
      <c r="CJ1110" s="54"/>
      <c r="CK1110" s="14"/>
      <c r="CL1110" s="14"/>
      <c r="CM1110" s="14"/>
      <c r="CN1110" s="14"/>
      <c r="CO1110" s="14"/>
      <c r="CP1110" s="14"/>
      <c r="CQ1110" s="14"/>
      <c r="CR1110" s="14"/>
      <c r="CS1110" s="14"/>
      <c r="CT1110" s="14"/>
      <c r="CU1110" s="16"/>
      <c r="CV1110" s="14"/>
      <c r="CW1110" s="50"/>
      <c r="CX1110" s="17"/>
    </row>
    <row r="1111" spans="4:102" x14ac:dyDescent="0.25"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43"/>
      <c r="Q1111" s="11"/>
      <c r="R1111" s="11"/>
      <c r="S1111" s="11"/>
      <c r="T1111" s="11"/>
      <c r="U1111" s="11"/>
      <c r="V1111" s="11"/>
      <c r="W1111" s="11"/>
      <c r="X1111" s="12"/>
      <c r="Y1111" s="12"/>
      <c r="Z1111" s="12"/>
      <c r="AA1111" s="44"/>
      <c r="AB1111" s="45"/>
      <c r="AC1111" s="12"/>
      <c r="AD1111" s="12"/>
      <c r="AE1111" s="12"/>
      <c r="AF1111" s="12"/>
      <c r="AG1111" s="44"/>
      <c r="AH1111" s="45"/>
      <c r="AI1111" s="12"/>
      <c r="AJ1111" s="12"/>
      <c r="AK1111" s="12"/>
      <c r="AL1111" s="12"/>
      <c r="AM1111" s="44"/>
      <c r="AN1111" s="45"/>
      <c r="AO1111" s="12"/>
      <c r="AP1111" s="12"/>
      <c r="AQ1111" s="12"/>
      <c r="AR1111" s="12"/>
      <c r="AS1111" s="44"/>
      <c r="AT1111" s="45"/>
      <c r="AU1111" s="12"/>
      <c r="AV1111" s="12"/>
      <c r="AW1111" s="12"/>
      <c r="AX1111" s="12"/>
      <c r="AY1111" s="44"/>
      <c r="AZ1111" s="45"/>
      <c r="BA1111" s="12"/>
      <c r="BB1111" s="12"/>
      <c r="BC1111" s="12"/>
      <c r="BD1111" s="12"/>
      <c r="BE1111" s="44"/>
      <c r="BF1111" s="45"/>
      <c r="BG1111" s="12"/>
      <c r="BH1111" s="12"/>
      <c r="BI1111" s="12"/>
      <c r="BJ1111" s="12"/>
      <c r="BK1111" s="44"/>
      <c r="BL1111" s="45"/>
      <c r="BM1111" s="12"/>
      <c r="BN1111" s="12"/>
      <c r="BO1111" s="12"/>
      <c r="BP1111" s="12"/>
      <c r="BQ1111" s="48"/>
      <c r="BR1111" s="49"/>
      <c r="BS1111" s="13"/>
      <c r="BT1111" s="12"/>
      <c r="BV1111" s="14"/>
      <c r="BW1111" s="50"/>
      <c r="BX1111" s="54"/>
      <c r="BY1111" s="14"/>
      <c r="BZ1111" s="14"/>
      <c r="CA1111" s="14"/>
      <c r="CB1111" s="14"/>
      <c r="CC1111" s="14"/>
      <c r="CD1111" s="14"/>
      <c r="CE1111" s="14"/>
      <c r="CF1111" s="15"/>
      <c r="CG1111" s="14"/>
      <c r="CH1111" s="14"/>
      <c r="CI1111" s="50"/>
      <c r="CJ1111" s="54"/>
      <c r="CK1111" s="14"/>
      <c r="CL1111" s="14"/>
      <c r="CM1111" s="14"/>
      <c r="CN1111" s="14"/>
      <c r="CO1111" s="14"/>
      <c r="CP1111" s="14"/>
      <c r="CQ1111" s="14"/>
      <c r="CR1111" s="14"/>
      <c r="CS1111" s="14"/>
      <c r="CT1111" s="14"/>
      <c r="CU1111" s="16"/>
      <c r="CV1111" s="14"/>
      <c r="CW1111" s="50"/>
      <c r="CX1111" s="17"/>
    </row>
    <row r="1112" spans="4:102" x14ac:dyDescent="0.25"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43"/>
      <c r="Q1112" s="11"/>
      <c r="R1112" s="11"/>
      <c r="S1112" s="11"/>
      <c r="T1112" s="11"/>
      <c r="U1112" s="11"/>
      <c r="V1112" s="11"/>
      <c r="W1112" s="11"/>
      <c r="X1112" s="12"/>
      <c r="Y1112" s="12"/>
      <c r="Z1112" s="12"/>
      <c r="AA1112" s="44"/>
      <c r="AB1112" s="45"/>
      <c r="AC1112" s="12"/>
      <c r="AD1112" s="12"/>
      <c r="AE1112" s="12"/>
      <c r="AF1112" s="12"/>
      <c r="AG1112" s="44"/>
      <c r="AH1112" s="45"/>
      <c r="AI1112" s="12"/>
      <c r="AJ1112" s="12"/>
      <c r="AK1112" s="12"/>
      <c r="AL1112" s="12"/>
      <c r="AM1112" s="44"/>
      <c r="AN1112" s="45"/>
      <c r="AO1112" s="12"/>
      <c r="AP1112" s="12"/>
      <c r="AQ1112" s="12"/>
      <c r="AR1112" s="12"/>
      <c r="AS1112" s="44"/>
      <c r="AT1112" s="45"/>
      <c r="AU1112" s="12"/>
      <c r="AV1112" s="12"/>
      <c r="AW1112" s="12"/>
      <c r="AX1112" s="12"/>
      <c r="AY1112" s="44"/>
      <c r="AZ1112" s="45"/>
      <c r="BA1112" s="12"/>
      <c r="BB1112" s="12"/>
      <c r="BC1112" s="12"/>
      <c r="BD1112" s="12"/>
      <c r="BE1112" s="44"/>
      <c r="BF1112" s="45"/>
      <c r="BG1112" s="12"/>
      <c r="BH1112" s="12"/>
      <c r="BI1112" s="12"/>
      <c r="BJ1112" s="12"/>
      <c r="BK1112" s="44"/>
      <c r="BL1112" s="45"/>
      <c r="BM1112" s="12"/>
      <c r="BN1112" s="12"/>
      <c r="BO1112" s="12"/>
      <c r="BP1112" s="12"/>
      <c r="BQ1112" s="48"/>
      <c r="BR1112" s="49"/>
      <c r="BS1112" s="13"/>
      <c r="BT1112" s="12"/>
      <c r="BV1112" s="14"/>
      <c r="BW1112" s="50"/>
      <c r="BX1112" s="54"/>
      <c r="BY1112" s="14"/>
      <c r="BZ1112" s="14"/>
      <c r="CA1112" s="14"/>
      <c r="CB1112" s="14"/>
      <c r="CC1112" s="14"/>
      <c r="CD1112" s="14"/>
      <c r="CE1112" s="14"/>
      <c r="CF1112" s="15"/>
      <c r="CG1112" s="14"/>
      <c r="CH1112" s="14"/>
      <c r="CI1112" s="50"/>
      <c r="CJ1112" s="54"/>
      <c r="CK1112" s="14"/>
      <c r="CL1112" s="14"/>
      <c r="CM1112" s="14"/>
      <c r="CN1112" s="14"/>
      <c r="CO1112" s="14"/>
      <c r="CP1112" s="14"/>
      <c r="CQ1112" s="14"/>
      <c r="CR1112" s="14"/>
      <c r="CS1112" s="14"/>
      <c r="CT1112" s="14"/>
      <c r="CU1112" s="16"/>
      <c r="CV1112" s="14"/>
      <c r="CW1112" s="50"/>
      <c r="CX1112" s="17"/>
    </row>
    <row r="1113" spans="4:102" x14ac:dyDescent="0.25"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43"/>
      <c r="Q1113" s="11"/>
      <c r="R1113" s="11"/>
      <c r="S1113" s="11"/>
      <c r="T1113" s="11"/>
      <c r="U1113" s="11"/>
      <c r="V1113" s="11"/>
      <c r="W1113" s="11"/>
      <c r="X1113" s="12"/>
      <c r="Y1113" s="12"/>
      <c r="Z1113" s="12"/>
      <c r="AA1113" s="44"/>
      <c r="AB1113" s="45"/>
      <c r="AC1113" s="12"/>
      <c r="AD1113" s="12"/>
      <c r="AE1113" s="12"/>
      <c r="AF1113" s="12"/>
      <c r="AG1113" s="44"/>
      <c r="AH1113" s="45"/>
      <c r="AI1113" s="12"/>
      <c r="AJ1113" s="12"/>
      <c r="AK1113" s="12"/>
      <c r="AL1113" s="12"/>
      <c r="AM1113" s="44"/>
      <c r="AN1113" s="45"/>
      <c r="AO1113" s="12"/>
      <c r="AP1113" s="12"/>
      <c r="AQ1113" s="12"/>
      <c r="AR1113" s="12"/>
      <c r="AS1113" s="44"/>
      <c r="AT1113" s="45"/>
      <c r="AU1113" s="12"/>
      <c r="AV1113" s="12"/>
      <c r="AW1113" s="12"/>
      <c r="AX1113" s="12"/>
      <c r="AY1113" s="44"/>
      <c r="AZ1113" s="45"/>
      <c r="BA1113" s="12"/>
      <c r="BB1113" s="12"/>
      <c r="BC1113" s="12"/>
      <c r="BD1113" s="12"/>
      <c r="BE1113" s="44"/>
      <c r="BF1113" s="45"/>
      <c r="BG1113" s="12"/>
      <c r="BH1113" s="12"/>
      <c r="BI1113" s="12"/>
      <c r="BJ1113" s="12"/>
      <c r="BK1113" s="44"/>
      <c r="BL1113" s="45"/>
      <c r="BM1113" s="12"/>
      <c r="BN1113" s="12"/>
      <c r="BO1113" s="12"/>
      <c r="BP1113" s="12"/>
      <c r="BQ1113" s="48"/>
      <c r="BR1113" s="49"/>
      <c r="BS1113" s="13"/>
      <c r="BT1113" s="12"/>
      <c r="BV1113" s="14"/>
      <c r="BW1113" s="50"/>
      <c r="BX1113" s="54"/>
      <c r="BY1113" s="14"/>
      <c r="BZ1113" s="14"/>
      <c r="CA1113" s="14"/>
      <c r="CB1113" s="14"/>
      <c r="CC1113" s="14"/>
      <c r="CD1113" s="14"/>
      <c r="CE1113" s="14"/>
      <c r="CF1113" s="15"/>
      <c r="CG1113" s="14"/>
      <c r="CH1113" s="14"/>
      <c r="CI1113" s="50"/>
      <c r="CJ1113" s="54"/>
      <c r="CK1113" s="14"/>
      <c r="CL1113" s="14"/>
      <c r="CM1113" s="14"/>
      <c r="CN1113" s="14"/>
      <c r="CO1113" s="14"/>
      <c r="CP1113" s="14"/>
      <c r="CQ1113" s="14"/>
      <c r="CR1113" s="14"/>
      <c r="CS1113" s="14"/>
      <c r="CT1113" s="14"/>
      <c r="CU1113" s="16"/>
      <c r="CV1113" s="14"/>
      <c r="CW1113" s="50"/>
      <c r="CX1113" s="17"/>
    </row>
    <row r="1114" spans="4:102" x14ac:dyDescent="0.25"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43"/>
      <c r="Q1114" s="11"/>
      <c r="R1114" s="11"/>
      <c r="S1114" s="11"/>
      <c r="T1114" s="11"/>
      <c r="U1114" s="11"/>
      <c r="V1114" s="11"/>
      <c r="W1114" s="11"/>
      <c r="X1114" s="12"/>
      <c r="Y1114" s="12"/>
      <c r="Z1114" s="12"/>
      <c r="AA1114" s="44"/>
      <c r="AB1114" s="45"/>
      <c r="AC1114" s="12"/>
      <c r="AD1114" s="12"/>
      <c r="AE1114" s="12"/>
      <c r="AF1114" s="12"/>
      <c r="AG1114" s="44"/>
      <c r="AH1114" s="45"/>
      <c r="AI1114" s="12"/>
      <c r="AJ1114" s="12"/>
      <c r="AK1114" s="12"/>
      <c r="AL1114" s="12"/>
      <c r="AM1114" s="44"/>
      <c r="AN1114" s="45"/>
      <c r="AO1114" s="12"/>
      <c r="AP1114" s="12"/>
      <c r="AQ1114" s="12"/>
      <c r="AR1114" s="12"/>
      <c r="AS1114" s="44"/>
      <c r="AT1114" s="45"/>
      <c r="AU1114" s="12"/>
      <c r="AV1114" s="12"/>
      <c r="AW1114" s="12"/>
      <c r="AX1114" s="12"/>
      <c r="AY1114" s="44"/>
      <c r="AZ1114" s="45"/>
      <c r="BA1114" s="12"/>
      <c r="BB1114" s="12"/>
      <c r="BC1114" s="12"/>
      <c r="BD1114" s="12"/>
      <c r="BE1114" s="44"/>
      <c r="BF1114" s="45"/>
      <c r="BG1114" s="12"/>
      <c r="BH1114" s="12"/>
      <c r="BI1114" s="12"/>
      <c r="BJ1114" s="12"/>
      <c r="BK1114" s="44"/>
      <c r="BL1114" s="45"/>
      <c r="BM1114" s="12"/>
      <c r="BN1114" s="12"/>
      <c r="BO1114" s="12"/>
      <c r="BP1114" s="12"/>
      <c r="BQ1114" s="48"/>
      <c r="BR1114" s="49"/>
      <c r="BS1114" s="13"/>
      <c r="BT1114" s="12"/>
      <c r="BV1114" s="14"/>
      <c r="BW1114" s="50"/>
      <c r="BX1114" s="54"/>
      <c r="BY1114" s="14"/>
      <c r="BZ1114" s="14"/>
      <c r="CA1114" s="14"/>
      <c r="CB1114" s="14"/>
      <c r="CC1114" s="14"/>
      <c r="CD1114" s="14"/>
      <c r="CE1114" s="14"/>
      <c r="CF1114" s="15"/>
      <c r="CG1114" s="14"/>
      <c r="CH1114" s="14"/>
      <c r="CI1114" s="50"/>
      <c r="CJ1114" s="54"/>
      <c r="CK1114" s="14"/>
      <c r="CL1114" s="14"/>
      <c r="CM1114" s="14"/>
      <c r="CN1114" s="14"/>
      <c r="CO1114" s="14"/>
      <c r="CP1114" s="14"/>
      <c r="CQ1114" s="14"/>
      <c r="CR1114" s="14"/>
      <c r="CS1114" s="14"/>
      <c r="CT1114" s="14"/>
      <c r="CU1114" s="16"/>
      <c r="CV1114" s="14"/>
      <c r="CW1114" s="50"/>
      <c r="CX1114" s="17"/>
    </row>
    <row r="1115" spans="4:102" x14ac:dyDescent="0.25"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43"/>
      <c r="Q1115" s="11"/>
      <c r="R1115" s="11"/>
      <c r="S1115" s="11"/>
      <c r="T1115" s="11"/>
      <c r="U1115" s="11"/>
      <c r="V1115" s="11"/>
      <c r="W1115" s="11"/>
      <c r="X1115" s="12"/>
      <c r="Y1115" s="12"/>
      <c r="Z1115" s="12"/>
      <c r="AA1115" s="44"/>
      <c r="AB1115" s="45"/>
      <c r="AC1115" s="12"/>
      <c r="AD1115" s="12"/>
      <c r="AE1115" s="12"/>
      <c r="AF1115" s="12"/>
      <c r="AG1115" s="44"/>
      <c r="AH1115" s="45"/>
      <c r="AI1115" s="12"/>
      <c r="AJ1115" s="12"/>
      <c r="AK1115" s="12"/>
      <c r="AL1115" s="12"/>
      <c r="AM1115" s="44"/>
      <c r="AN1115" s="45"/>
      <c r="AO1115" s="12"/>
      <c r="AP1115" s="12"/>
      <c r="AQ1115" s="12"/>
      <c r="AR1115" s="12"/>
      <c r="AS1115" s="44"/>
      <c r="AT1115" s="45"/>
      <c r="AU1115" s="12"/>
      <c r="AV1115" s="12"/>
      <c r="AW1115" s="12"/>
      <c r="AX1115" s="12"/>
      <c r="AY1115" s="44"/>
      <c r="AZ1115" s="45"/>
      <c r="BA1115" s="12"/>
      <c r="BB1115" s="12"/>
      <c r="BC1115" s="12"/>
      <c r="BD1115" s="12"/>
      <c r="BE1115" s="44"/>
      <c r="BF1115" s="45"/>
      <c r="BG1115" s="12"/>
      <c r="BH1115" s="12"/>
      <c r="BI1115" s="12"/>
      <c r="BJ1115" s="12"/>
      <c r="BK1115" s="44"/>
      <c r="BL1115" s="45"/>
      <c r="BM1115" s="12"/>
      <c r="BN1115" s="12"/>
      <c r="BO1115" s="12"/>
      <c r="BP1115" s="12"/>
      <c r="BQ1115" s="48"/>
      <c r="BR1115" s="49"/>
      <c r="BS1115" s="13"/>
      <c r="BT1115" s="12"/>
      <c r="BV1115" s="14"/>
      <c r="BW1115" s="50"/>
      <c r="BX1115" s="54"/>
      <c r="BY1115" s="14"/>
      <c r="BZ1115" s="14"/>
      <c r="CA1115" s="14"/>
      <c r="CB1115" s="14"/>
      <c r="CC1115" s="14"/>
      <c r="CD1115" s="14"/>
      <c r="CE1115" s="14"/>
      <c r="CF1115" s="15"/>
      <c r="CG1115" s="14"/>
      <c r="CH1115" s="14"/>
      <c r="CI1115" s="50"/>
      <c r="CJ1115" s="54"/>
      <c r="CK1115" s="14"/>
      <c r="CL1115" s="14"/>
      <c r="CM1115" s="14"/>
      <c r="CN1115" s="14"/>
      <c r="CO1115" s="14"/>
      <c r="CP1115" s="14"/>
      <c r="CQ1115" s="14"/>
      <c r="CR1115" s="14"/>
      <c r="CS1115" s="14"/>
      <c r="CT1115" s="14"/>
      <c r="CU1115" s="16"/>
      <c r="CV1115" s="14"/>
      <c r="CW1115" s="50"/>
      <c r="CX1115" s="17"/>
    </row>
    <row r="1116" spans="4:102" x14ac:dyDescent="0.25"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43"/>
      <c r="Q1116" s="11"/>
      <c r="R1116" s="11"/>
      <c r="S1116" s="11"/>
      <c r="T1116" s="11"/>
      <c r="U1116" s="11"/>
      <c r="V1116" s="11"/>
      <c r="W1116" s="11"/>
      <c r="X1116" s="12"/>
      <c r="Y1116" s="12"/>
      <c r="Z1116" s="12"/>
      <c r="AA1116" s="44"/>
      <c r="AB1116" s="45"/>
      <c r="AC1116" s="12"/>
      <c r="AD1116" s="12"/>
      <c r="AE1116" s="12"/>
      <c r="AF1116" s="12"/>
      <c r="AG1116" s="44"/>
      <c r="AH1116" s="45"/>
      <c r="AI1116" s="12"/>
      <c r="AJ1116" s="12"/>
      <c r="AK1116" s="12"/>
      <c r="AL1116" s="12"/>
      <c r="AM1116" s="44"/>
      <c r="AN1116" s="45"/>
      <c r="AO1116" s="12"/>
      <c r="AP1116" s="12"/>
      <c r="AQ1116" s="12"/>
      <c r="AR1116" s="12"/>
      <c r="AS1116" s="44"/>
      <c r="AT1116" s="45"/>
      <c r="AU1116" s="12"/>
      <c r="AV1116" s="12"/>
      <c r="AW1116" s="12"/>
      <c r="AX1116" s="12"/>
      <c r="AY1116" s="44"/>
      <c r="AZ1116" s="45"/>
      <c r="BA1116" s="12"/>
      <c r="BB1116" s="12"/>
      <c r="BC1116" s="12"/>
      <c r="BD1116" s="12"/>
      <c r="BE1116" s="44"/>
      <c r="BF1116" s="45"/>
      <c r="BG1116" s="12"/>
      <c r="BH1116" s="12"/>
      <c r="BI1116" s="12"/>
      <c r="BJ1116" s="12"/>
      <c r="BK1116" s="44"/>
      <c r="BL1116" s="45"/>
      <c r="BM1116" s="12"/>
      <c r="BN1116" s="12"/>
      <c r="BO1116" s="12"/>
      <c r="BP1116" s="12"/>
      <c r="BQ1116" s="48"/>
      <c r="BR1116" s="49"/>
      <c r="BS1116" s="13"/>
      <c r="BT1116" s="12"/>
      <c r="BV1116" s="14"/>
      <c r="BW1116" s="50"/>
      <c r="BX1116" s="54"/>
      <c r="BY1116" s="14"/>
      <c r="BZ1116" s="14"/>
      <c r="CA1116" s="14"/>
      <c r="CB1116" s="14"/>
      <c r="CC1116" s="14"/>
      <c r="CD1116" s="14"/>
      <c r="CE1116" s="14"/>
      <c r="CF1116" s="15"/>
      <c r="CG1116" s="14"/>
      <c r="CH1116" s="14"/>
      <c r="CI1116" s="50"/>
      <c r="CJ1116" s="54"/>
      <c r="CK1116" s="14"/>
      <c r="CL1116" s="14"/>
      <c r="CM1116" s="14"/>
      <c r="CN1116" s="14"/>
      <c r="CO1116" s="14"/>
      <c r="CP1116" s="14"/>
      <c r="CQ1116" s="14"/>
      <c r="CR1116" s="14"/>
      <c r="CS1116" s="14"/>
      <c r="CT1116" s="14"/>
      <c r="CU1116" s="16"/>
      <c r="CV1116" s="14"/>
      <c r="CW1116" s="50"/>
      <c r="CX1116" s="17"/>
    </row>
    <row r="1117" spans="4:102" x14ac:dyDescent="0.25"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43"/>
      <c r="Q1117" s="11"/>
      <c r="R1117" s="11"/>
      <c r="S1117" s="11"/>
      <c r="T1117" s="11"/>
      <c r="U1117" s="11"/>
      <c r="V1117" s="11"/>
      <c r="W1117" s="11"/>
      <c r="X1117" s="12"/>
      <c r="Y1117" s="12"/>
      <c r="Z1117" s="12"/>
      <c r="AA1117" s="44"/>
      <c r="AB1117" s="45"/>
      <c r="AC1117" s="12"/>
      <c r="AD1117" s="12"/>
      <c r="AE1117" s="12"/>
      <c r="AF1117" s="12"/>
      <c r="AG1117" s="44"/>
      <c r="AH1117" s="45"/>
      <c r="AI1117" s="12"/>
      <c r="AJ1117" s="12"/>
      <c r="AK1117" s="12"/>
      <c r="AL1117" s="12"/>
      <c r="AM1117" s="44"/>
      <c r="AN1117" s="45"/>
      <c r="AO1117" s="12"/>
      <c r="AP1117" s="12"/>
      <c r="AQ1117" s="12"/>
      <c r="AR1117" s="12"/>
      <c r="AS1117" s="44"/>
      <c r="AT1117" s="45"/>
      <c r="AU1117" s="12"/>
      <c r="AV1117" s="12"/>
      <c r="AW1117" s="12"/>
      <c r="AX1117" s="12"/>
      <c r="AY1117" s="44"/>
      <c r="AZ1117" s="45"/>
      <c r="BA1117" s="12"/>
      <c r="BB1117" s="12"/>
      <c r="BC1117" s="12"/>
      <c r="BD1117" s="12"/>
      <c r="BE1117" s="44"/>
      <c r="BF1117" s="45"/>
      <c r="BG1117" s="12"/>
      <c r="BH1117" s="12"/>
      <c r="BI1117" s="12"/>
      <c r="BJ1117" s="12"/>
      <c r="BK1117" s="44"/>
      <c r="BL1117" s="45"/>
      <c r="BM1117" s="12"/>
      <c r="BN1117" s="12"/>
      <c r="BO1117" s="12"/>
      <c r="BP1117" s="12"/>
      <c r="BQ1117" s="48"/>
      <c r="BR1117" s="49"/>
      <c r="BS1117" s="13"/>
      <c r="BT1117" s="12"/>
      <c r="BV1117" s="14"/>
      <c r="BW1117" s="50"/>
      <c r="BX1117" s="54"/>
      <c r="BY1117" s="14"/>
      <c r="BZ1117" s="14"/>
      <c r="CA1117" s="14"/>
      <c r="CB1117" s="14"/>
      <c r="CC1117" s="14"/>
      <c r="CD1117" s="14"/>
      <c r="CE1117" s="14"/>
      <c r="CF1117" s="15"/>
      <c r="CG1117" s="14"/>
      <c r="CH1117" s="14"/>
      <c r="CI1117" s="50"/>
      <c r="CJ1117" s="54"/>
      <c r="CK1117" s="14"/>
      <c r="CL1117" s="14"/>
      <c r="CM1117" s="14"/>
      <c r="CN1117" s="14"/>
      <c r="CO1117" s="14"/>
      <c r="CP1117" s="14"/>
      <c r="CQ1117" s="14"/>
      <c r="CR1117" s="14"/>
      <c r="CS1117" s="14"/>
      <c r="CT1117" s="14"/>
      <c r="CU1117" s="16"/>
      <c r="CV1117" s="14"/>
      <c r="CW1117" s="50"/>
      <c r="CX1117" s="17"/>
    </row>
    <row r="1118" spans="4:102" x14ac:dyDescent="0.25"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43"/>
      <c r="Q1118" s="11"/>
      <c r="R1118" s="11"/>
      <c r="S1118" s="11"/>
      <c r="T1118" s="11"/>
      <c r="U1118" s="11"/>
      <c r="V1118" s="11"/>
      <c r="W1118" s="11"/>
      <c r="X1118" s="12"/>
      <c r="Y1118" s="12"/>
      <c r="Z1118" s="12"/>
      <c r="AA1118" s="44"/>
      <c r="AB1118" s="45"/>
      <c r="AC1118" s="12"/>
      <c r="AD1118" s="12"/>
      <c r="AE1118" s="12"/>
      <c r="AF1118" s="12"/>
      <c r="AG1118" s="44"/>
      <c r="AH1118" s="45"/>
      <c r="AI1118" s="12"/>
      <c r="AJ1118" s="12"/>
      <c r="AK1118" s="12"/>
      <c r="AL1118" s="12"/>
      <c r="AM1118" s="44"/>
      <c r="AN1118" s="45"/>
      <c r="AO1118" s="12"/>
      <c r="AP1118" s="12"/>
      <c r="AQ1118" s="12"/>
      <c r="AR1118" s="12"/>
      <c r="AS1118" s="44"/>
      <c r="AT1118" s="45"/>
      <c r="AU1118" s="12"/>
      <c r="AV1118" s="12"/>
      <c r="AW1118" s="12"/>
      <c r="AX1118" s="12"/>
      <c r="AY1118" s="44"/>
      <c r="AZ1118" s="45"/>
      <c r="BA1118" s="12"/>
      <c r="BB1118" s="12"/>
      <c r="BC1118" s="12"/>
      <c r="BD1118" s="12"/>
      <c r="BE1118" s="44"/>
      <c r="BF1118" s="45"/>
      <c r="BG1118" s="12"/>
      <c r="BH1118" s="12"/>
      <c r="BI1118" s="12"/>
      <c r="BJ1118" s="12"/>
      <c r="BK1118" s="44"/>
      <c r="BL1118" s="45"/>
      <c r="BM1118" s="12"/>
      <c r="BN1118" s="12"/>
      <c r="BO1118" s="12"/>
      <c r="BP1118" s="12"/>
      <c r="BQ1118" s="48"/>
      <c r="BR1118" s="49"/>
      <c r="BS1118" s="13"/>
      <c r="BT1118" s="12"/>
      <c r="BV1118" s="14"/>
      <c r="BW1118" s="50"/>
      <c r="BX1118" s="54"/>
      <c r="BY1118" s="14"/>
      <c r="BZ1118" s="14"/>
      <c r="CA1118" s="14"/>
      <c r="CB1118" s="14"/>
      <c r="CC1118" s="14"/>
      <c r="CD1118" s="14"/>
      <c r="CE1118" s="14"/>
      <c r="CF1118" s="15"/>
      <c r="CG1118" s="14"/>
      <c r="CH1118" s="14"/>
      <c r="CI1118" s="50"/>
      <c r="CJ1118" s="54"/>
      <c r="CK1118" s="14"/>
      <c r="CL1118" s="14"/>
      <c r="CM1118" s="14"/>
      <c r="CN1118" s="14"/>
      <c r="CO1118" s="14"/>
      <c r="CP1118" s="14"/>
      <c r="CQ1118" s="14"/>
      <c r="CR1118" s="14"/>
      <c r="CS1118" s="14"/>
      <c r="CT1118" s="14"/>
      <c r="CU1118" s="16"/>
      <c r="CV1118" s="14"/>
      <c r="CW1118" s="50"/>
      <c r="CX1118" s="17"/>
    </row>
    <row r="1119" spans="4:102" x14ac:dyDescent="0.25"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43"/>
      <c r="Q1119" s="11"/>
      <c r="R1119" s="11"/>
      <c r="S1119" s="11"/>
      <c r="T1119" s="11"/>
      <c r="U1119" s="11"/>
      <c r="V1119" s="11"/>
      <c r="W1119" s="11"/>
      <c r="X1119" s="12"/>
      <c r="Y1119" s="12"/>
      <c r="Z1119" s="12"/>
      <c r="AA1119" s="44"/>
      <c r="AB1119" s="45"/>
      <c r="AC1119" s="12"/>
      <c r="AD1119" s="12"/>
      <c r="AE1119" s="12"/>
      <c r="AF1119" s="12"/>
      <c r="AG1119" s="44"/>
      <c r="AH1119" s="45"/>
      <c r="AI1119" s="12"/>
      <c r="AJ1119" s="12"/>
      <c r="AK1119" s="12"/>
      <c r="AL1119" s="12"/>
      <c r="AM1119" s="44"/>
      <c r="AN1119" s="45"/>
      <c r="AO1119" s="12"/>
      <c r="AP1119" s="12"/>
      <c r="AQ1119" s="12"/>
      <c r="AR1119" s="12"/>
      <c r="AS1119" s="44"/>
      <c r="AT1119" s="45"/>
      <c r="AU1119" s="12"/>
      <c r="AV1119" s="12"/>
      <c r="AW1119" s="12"/>
      <c r="AX1119" s="12"/>
      <c r="AY1119" s="44"/>
      <c r="AZ1119" s="45"/>
      <c r="BA1119" s="12"/>
      <c r="BB1119" s="12"/>
      <c r="BC1119" s="12"/>
      <c r="BD1119" s="12"/>
      <c r="BE1119" s="44"/>
      <c r="BF1119" s="45"/>
      <c r="BG1119" s="12"/>
      <c r="BH1119" s="12"/>
      <c r="BI1119" s="12"/>
      <c r="BJ1119" s="12"/>
      <c r="BK1119" s="44"/>
      <c r="BL1119" s="45"/>
      <c r="BM1119" s="12"/>
      <c r="BN1119" s="12"/>
      <c r="BO1119" s="12"/>
      <c r="BP1119" s="12"/>
      <c r="BQ1119" s="48"/>
      <c r="BR1119" s="49"/>
      <c r="BS1119" s="13"/>
      <c r="BT1119" s="12"/>
      <c r="BV1119" s="14"/>
      <c r="BW1119" s="50"/>
      <c r="BX1119" s="54"/>
      <c r="BY1119" s="14"/>
      <c r="BZ1119" s="14"/>
      <c r="CA1119" s="14"/>
      <c r="CB1119" s="14"/>
      <c r="CC1119" s="14"/>
      <c r="CD1119" s="14"/>
      <c r="CE1119" s="14"/>
      <c r="CF1119" s="15"/>
      <c r="CG1119" s="14"/>
      <c r="CH1119" s="14"/>
      <c r="CI1119" s="50"/>
      <c r="CJ1119" s="54"/>
      <c r="CK1119" s="14"/>
      <c r="CL1119" s="14"/>
      <c r="CM1119" s="14"/>
      <c r="CN1119" s="14"/>
      <c r="CO1119" s="14"/>
      <c r="CP1119" s="14"/>
      <c r="CQ1119" s="14"/>
      <c r="CR1119" s="14"/>
      <c r="CS1119" s="14"/>
      <c r="CT1119" s="14"/>
      <c r="CU1119" s="16"/>
      <c r="CV1119" s="14"/>
      <c r="CW1119" s="50"/>
      <c r="CX1119" s="17"/>
    </row>
    <row r="1120" spans="4:102" x14ac:dyDescent="0.25"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43"/>
      <c r="Q1120" s="11"/>
      <c r="R1120" s="11"/>
      <c r="S1120" s="11"/>
      <c r="T1120" s="11"/>
      <c r="U1120" s="11"/>
      <c r="V1120" s="11"/>
      <c r="W1120" s="11"/>
      <c r="X1120" s="12"/>
      <c r="Y1120" s="12"/>
      <c r="Z1120" s="12"/>
      <c r="AA1120" s="44"/>
      <c r="AB1120" s="45"/>
      <c r="AC1120" s="12"/>
      <c r="AD1120" s="12"/>
      <c r="AE1120" s="12"/>
      <c r="AF1120" s="12"/>
      <c r="AG1120" s="44"/>
      <c r="AH1120" s="45"/>
      <c r="AI1120" s="12"/>
      <c r="AJ1120" s="12"/>
      <c r="AK1120" s="12"/>
      <c r="AL1120" s="12"/>
      <c r="AM1120" s="44"/>
      <c r="AN1120" s="45"/>
      <c r="AO1120" s="12"/>
      <c r="AP1120" s="12"/>
      <c r="AQ1120" s="12"/>
      <c r="AR1120" s="12"/>
      <c r="AS1120" s="44"/>
      <c r="AT1120" s="45"/>
      <c r="AU1120" s="12"/>
      <c r="AV1120" s="12"/>
      <c r="AW1120" s="12"/>
      <c r="AX1120" s="12"/>
      <c r="AY1120" s="44"/>
      <c r="AZ1120" s="45"/>
      <c r="BA1120" s="12"/>
      <c r="BB1120" s="12"/>
      <c r="BC1120" s="12"/>
      <c r="BD1120" s="12"/>
      <c r="BE1120" s="44"/>
      <c r="BF1120" s="45"/>
      <c r="BG1120" s="12"/>
      <c r="BH1120" s="12"/>
      <c r="BI1120" s="12"/>
      <c r="BJ1120" s="12"/>
      <c r="BK1120" s="44"/>
      <c r="BL1120" s="45"/>
      <c r="BM1120" s="12"/>
      <c r="BN1120" s="12"/>
      <c r="BO1120" s="12"/>
      <c r="BP1120" s="12"/>
      <c r="BQ1120" s="48"/>
      <c r="BR1120" s="49"/>
      <c r="BS1120" s="13"/>
      <c r="BT1120" s="12"/>
      <c r="BV1120" s="14"/>
      <c r="BW1120" s="50"/>
      <c r="BX1120" s="54"/>
      <c r="BY1120" s="14"/>
      <c r="BZ1120" s="14"/>
      <c r="CA1120" s="14"/>
      <c r="CB1120" s="14"/>
      <c r="CC1120" s="14"/>
      <c r="CD1120" s="14"/>
      <c r="CE1120" s="14"/>
      <c r="CF1120" s="15"/>
      <c r="CG1120" s="14"/>
      <c r="CH1120" s="14"/>
      <c r="CI1120" s="50"/>
      <c r="CJ1120" s="54"/>
      <c r="CK1120" s="14"/>
      <c r="CL1120" s="14"/>
      <c r="CM1120" s="14"/>
      <c r="CN1120" s="14"/>
      <c r="CO1120" s="14"/>
      <c r="CP1120" s="14"/>
      <c r="CQ1120" s="14"/>
      <c r="CR1120" s="14"/>
      <c r="CS1120" s="14"/>
      <c r="CT1120" s="14"/>
      <c r="CU1120" s="16"/>
      <c r="CV1120" s="14"/>
      <c r="CW1120" s="50"/>
      <c r="CX1120" s="17"/>
    </row>
    <row r="1121" spans="4:102" x14ac:dyDescent="0.25"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43"/>
      <c r="Q1121" s="11"/>
      <c r="R1121" s="11"/>
      <c r="S1121" s="11"/>
      <c r="T1121" s="11"/>
      <c r="U1121" s="11"/>
      <c r="V1121" s="11"/>
      <c r="W1121" s="11"/>
      <c r="X1121" s="12"/>
      <c r="Y1121" s="12"/>
      <c r="Z1121" s="12"/>
      <c r="AA1121" s="44"/>
      <c r="AB1121" s="45"/>
      <c r="AC1121" s="12"/>
      <c r="AD1121" s="12"/>
      <c r="AE1121" s="12"/>
      <c r="AF1121" s="12"/>
      <c r="AG1121" s="44"/>
      <c r="AH1121" s="45"/>
      <c r="AI1121" s="12"/>
      <c r="AJ1121" s="12"/>
      <c r="AK1121" s="12"/>
      <c r="AL1121" s="12"/>
      <c r="AM1121" s="44"/>
      <c r="AN1121" s="45"/>
      <c r="AO1121" s="12"/>
      <c r="AP1121" s="12"/>
      <c r="AQ1121" s="12"/>
      <c r="AR1121" s="12"/>
      <c r="AS1121" s="44"/>
      <c r="AT1121" s="45"/>
      <c r="AU1121" s="12"/>
      <c r="AV1121" s="12"/>
      <c r="AW1121" s="12"/>
      <c r="AX1121" s="12"/>
      <c r="AY1121" s="44"/>
      <c r="AZ1121" s="45"/>
      <c r="BA1121" s="12"/>
      <c r="BB1121" s="12"/>
      <c r="BC1121" s="12"/>
      <c r="BD1121" s="12"/>
      <c r="BE1121" s="44"/>
      <c r="BF1121" s="45"/>
      <c r="BG1121" s="12"/>
      <c r="BH1121" s="12"/>
      <c r="BI1121" s="12"/>
      <c r="BJ1121" s="12"/>
      <c r="BK1121" s="44"/>
      <c r="BL1121" s="45"/>
      <c r="BM1121" s="12"/>
      <c r="BN1121" s="12"/>
      <c r="BO1121" s="12"/>
      <c r="BP1121" s="12"/>
      <c r="BQ1121" s="48"/>
      <c r="BR1121" s="49"/>
      <c r="BS1121" s="13"/>
      <c r="BT1121" s="12"/>
      <c r="BV1121" s="14"/>
      <c r="BW1121" s="50"/>
      <c r="BX1121" s="54"/>
      <c r="BY1121" s="14"/>
      <c r="BZ1121" s="14"/>
      <c r="CA1121" s="14"/>
      <c r="CB1121" s="14"/>
      <c r="CC1121" s="14"/>
      <c r="CD1121" s="14"/>
      <c r="CE1121" s="14"/>
      <c r="CF1121" s="15"/>
      <c r="CG1121" s="14"/>
      <c r="CH1121" s="14"/>
      <c r="CI1121" s="50"/>
      <c r="CJ1121" s="54"/>
      <c r="CK1121" s="14"/>
      <c r="CL1121" s="14"/>
      <c r="CM1121" s="14"/>
      <c r="CN1121" s="14"/>
      <c r="CO1121" s="14"/>
      <c r="CP1121" s="14"/>
      <c r="CQ1121" s="14"/>
      <c r="CR1121" s="14"/>
      <c r="CS1121" s="14"/>
      <c r="CT1121" s="14"/>
      <c r="CU1121" s="16"/>
      <c r="CV1121" s="14"/>
      <c r="CW1121" s="50"/>
      <c r="CX1121" s="17"/>
    </row>
    <row r="1122" spans="4:102" x14ac:dyDescent="0.25"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43"/>
      <c r="Q1122" s="11"/>
      <c r="R1122" s="11"/>
      <c r="S1122" s="11"/>
      <c r="T1122" s="11"/>
      <c r="U1122" s="11"/>
      <c r="V1122" s="11"/>
      <c r="W1122" s="11"/>
      <c r="X1122" s="12"/>
      <c r="Y1122" s="12"/>
      <c r="Z1122" s="12"/>
      <c r="AA1122" s="44"/>
      <c r="AB1122" s="45"/>
      <c r="AC1122" s="12"/>
      <c r="AD1122" s="12"/>
      <c r="AE1122" s="12"/>
      <c r="AF1122" s="12"/>
      <c r="AG1122" s="44"/>
      <c r="AH1122" s="45"/>
      <c r="AI1122" s="12"/>
      <c r="AJ1122" s="12"/>
      <c r="AK1122" s="12"/>
      <c r="AL1122" s="12"/>
      <c r="AM1122" s="44"/>
      <c r="AN1122" s="45"/>
      <c r="AO1122" s="12"/>
      <c r="AP1122" s="12"/>
      <c r="AQ1122" s="12"/>
      <c r="AR1122" s="12"/>
      <c r="AS1122" s="44"/>
      <c r="AT1122" s="45"/>
      <c r="AU1122" s="12"/>
      <c r="AV1122" s="12"/>
      <c r="AW1122" s="12"/>
      <c r="AX1122" s="12"/>
      <c r="AY1122" s="44"/>
      <c r="AZ1122" s="45"/>
      <c r="BA1122" s="12"/>
      <c r="BB1122" s="12"/>
      <c r="BC1122" s="12"/>
      <c r="BD1122" s="12"/>
      <c r="BE1122" s="44"/>
      <c r="BF1122" s="45"/>
      <c r="BG1122" s="12"/>
      <c r="BH1122" s="12"/>
      <c r="BI1122" s="12"/>
      <c r="BJ1122" s="12"/>
      <c r="BK1122" s="44"/>
      <c r="BL1122" s="45"/>
      <c r="BM1122" s="12"/>
      <c r="BN1122" s="12"/>
      <c r="BO1122" s="12"/>
      <c r="BP1122" s="12"/>
      <c r="BQ1122" s="48"/>
      <c r="BR1122" s="49"/>
      <c r="BS1122" s="13"/>
      <c r="BT1122" s="12"/>
      <c r="BV1122" s="14"/>
      <c r="BW1122" s="50"/>
      <c r="BX1122" s="54"/>
      <c r="BY1122" s="14"/>
      <c r="BZ1122" s="14"/>
      <c r="CA1122" s="14"/>
      <c r="CB1122" s="14"/>
      <c r="CC1122" s="14"/>
      <c r="CD1122" s="14"/>
      <c r="CE1122" s="14"/>
      <c r="CF1122" s="15"/>
      <c r="CG1122" s="14"/>
      <c r="CH1122" s="14"/>
      <c r="CI1122" s="50"/>
      <c r="CJ1122" s="54"/>
      <c r="CK1122" s="14"/>
      <c r="CL1122" s="14"/>
      <c r="CM1122" s="14"/>
      <c r="CN1122" s="14"/>
      <c r="CO1122" s="14"/>
      <c r="CP1122" s="14"/>
      <c r="CQ1122" s="14"/>
      <c r="CR1122" s="14"/>
      <c r="CS1122" s="14"/>
      <c r="CT1122" s="14"/>
      <c r="CU1122" s="16"/>
      <c r="CV1122" s="14"/>
      <c r="CW1122" s="50"/>
      <c r="CX1122" s="17"/>
    </row>
    <row r="1123" spans="4:102" x14ac:dyDescent="0.25"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43"/>
      <c r="Q1123" s="11"/>
      <c r="R1123" s="11"/>
      <c r="S1123" s="11"/>
      <c r="T1123" s="11"/>
      <c r="U1123" s="11"/>
      <c r="V1123" s="11"/>
      <c r="W1123" s="11"/>
      <c r="X1123" s="12"/>
      <c r="Y1123" s="12"/>
      <c r="Z1123" s="12"/>
      <c r="AA1123" s="44"/>
      <c r="AB1123" s="45"/>
      <c r="AC1123" s="12"/>
      <c r="AD1123" s="12"/>
      <c r="AE1123" s="12"/>
      <c r="AF1123" s="12"/>
      <c r="AG1123" s="44"/>
      <c r="AH1123" s="45"/>
      <c r="AI1123" s="12"/>
      <c r="AJ1123" s="12"/>
      <c r="AK1123" s="12"/>
      <c r="AL1123" s="12"/>
      <c r="AM1123" s="44"/>
      <c r="AN1123" s="45"/>
      <c r="AO1123" s="12"/>
      <c r="AP1123" s="12"/>
      <c r="AQ1123" s="12"/>
      <c r="AR1123" s="12"/>
      <c r="AS1123" s="44"/>
      <c r="AT1123" s="45"/>
      <c r="AU1123" s="12"/>
      <c r="AV1123" s="12"/>
      <c r="AW1123" s="12"/>
      <c r="AX1123" s="12"/>
      <c r="AY1123" s="44"/>
      <c r="AZ1123" s="45"/>
      <c r="BA1123" s="12"/>
      <c r="BB1123" s="12"/>
      <c r="BC1123" s="12"/>
      <c r="BD1123" s="12"/>
      <c r="BE1123" s="44"/>
      <c r="BF1123" s="45"/>
      <c r="BG1123" s="12"/>
      <c r="BH1123" s="12"/>
      <c r="BI1123" s="12"/>
      <c r="BJ1123" s="12"/>
      <c r="BK1123" s="44"/>
      <c r="BL1123" s="45"/>
      <c r="BM1123" s="12"/>
      <c r="BN1123" s="12"/>
      <c r="BO1123" s="12"/>
      <c r="BP1123" s="12"/>
      <c r="BQ1123" s="48"/>
      <c r="BR1123" s="49"/>
      <c r="BS1123" s="13"/>
      <c r="BT1123" s="12"/>
      <c r="BV1123" s="14"/>
      <c r="BW1123" s="50"/>
      <c r="BX1123" s="54"/>
      <c r="BY1123" s="14"/>
      <c r="BZ1123" s="14"/>
      <c r="CA1123" s="14"/>
      <c r="CB1123" s="14"/>
      <c r="CC1123" s="14"/>
      <c r="CD1123" s="14"/>
      <c r="CE1123" s="14"/>
      <c r="CF1123" s="15"/>
      <c r="CG1123" s="14"/>
      <c r="CH1123" s="14"/>
      <c r="CI1123" s="50"/>
      <c r="CJ1123" s="54"/>
      <c r="CK1123" s="14"/>
      <c r="CL1123" s="14"/>
      <c r="CM1123" s="14"/>
      <c r="CN1123" s="14"/>
      <c r="CO1123" s="14"/>
      <c r="CP1123" s="14"/>
      <c r="CQ1123" s="14"/>
      <c r="CR1123" s="14"/>
      <c r="CS1123" s="14"/>
      <c r="CT1123" s="14"/>
      <c r="CU1123" s="16"/>
      <c r="CV1123" s="14"/>
      <c r="CW1123" s="50"/>
      <c r="CX1123" s="17"/>
    </row>
    <row r="1124" spans="4:102" x14ac:dyDescent="0.25"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43"/>
      <c r="Q1124" s="11"/>
      <c r="R1124" s="11"/>
      <c r="S1124" s="11"/>
      <c r="T1124" s="11"/>
      <c r="U1124" s="11"/>
      <c r="V1124" s="11"/>
      <c r="W1124" s="11"/>
      <c r="X1124" s="12"/>
      <c r="Y1124" s="12"/>
      <c r="Z1124" s="12"/>
      <c r="AA1124" s="44"/>
      <c r="AB1124" s="45"/>
      <c r="AC1124" s="12"/>
      <c r="AD1124" s="12"/>
      <c r="AE1124" s="12"/>
      <c r="AF1124" s="12"/>
      <c r="AG1124" s="44"/>
      <c r="AH1124" s="45"/>
      <c r="AI1124" s="12"/>
      <c r="AJ1124" s="12"/>
      <c r="AK1124" s="12"/>
      <c r="AL1124" s="12"/>
      <c r="AM1124" s="44"/>
      <c r="AN1124" s="45"/>
      <c r="AO1124" s="12"/>
      <c r="AP1124" s="12"/>
      <c r="AQ1124" s="12"/>
      <c r="AR1124" s="12"/>
      <c r="AS1124" s="44"/>
      <c r="AT1124" s="45"/>
      <c r="AU1124" s="12"/>
      <c r="AV1124" s="12"/>
      <c r="AW1124" s="12"/>
      <c r="AX1124" s="12"/>
      <c r="AY1124" s="44"/>
      <c r="AZ1124" s="45"/>
      <c r="BA1124" s="12"/>
      <c r="BB1124" s="12"/>
      <c r="BC1124" s="12"/>
      <c r="BD1124" s="12"/>
      <c r="BE1124" s="44"/>
      <c r="BF1124" s="45"/>
      <c r="BG1124" s="12"/>
      <c r="BH1124" s="12"/>
      <c r="BI1124" s="12"/>
      <c r="BJ1124" s="12"/>
      <c r="BK1124" s="44"/>
      <c r="BL1124" s="45"/>
      <c r="BM1124" s="12"/>
      <c r="BN1124" s="12"/>
      <c r="BO1124" s="12"/>
      <c r="BP1124" s="12"/>
      <c r="BQ1124" s="48"/>
      <c r="BR1124" s="49"/>
      <c r="BS1124" s="13"/>
      <c r="BT1124" s="12"/>
      <c r="BV1124" s="14"/>
      <c r="BW1124" s="50"/>
      <c r="BX1124" s="54"/>
      <c r="BY1124" s="14"/>
      <c r="BZ1124" s="14"/>
      <c r="CA1124" s="14"/>
      <c r="CB1124" s="14"/>
      <c r="CC1124" s="14"/>
      <c r="CD1124" s="14"/>
      <c r="CE1124" s="14"/>
      <c r="CF1124" s="15"/>
      <c r="CG1124" s="14"/>
      <c r="CH1124" s="14"/>
      <c r="CI1124" s="50"/>
      <c r="CJ1124" s="54"/>
      <c r="CK1124" s="14"/>
      <c r="CL1124" s="14"/>
      <c r="CM1124" s="14"/>
      <c r="CN1124" s="14"/>
      <c r="CO1124" s="14"/>
      <c r="CP1124" s="14"/>
      <c r="CQ1124" s="14"/>
      <c r="CR1124" s="14"/>
      <c r="CS1124" s="14"/>
      <c r="CT1124" s="14"/>
      <c r="CU1124" s="16"/>
      <c r="CV1124" s="14"/>
      <c r="CW1124" s="50"/>
      <c r="CX1124" s="17"/>
    </row>
    <row r="1125" spans="4:102" x14ac:dyDescent="0.25"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43"/>
      <c r="Q1125" s="11"/>
      <c r="R1125" s="11"/>
      <c r="S1125" s="11"/>
      <c r="T1125" s="11"/>
      <c r="U1125" s="11"/>
      <c r="V1125" s="11"/>
      <c r="W1125" s="11"/>
      <c r="X1125" s="12"/>
      <c r="Y1125" s="12"/>
      <c r="Z1125" s="12"/>
      <c r="AA1125" s="44"/>
      <c r="AB1125" s="45"/>
      <c r="AC1125" s="12"/>
      <c r="AD1125" s="12"/>
      <c r="AE1125" s="12"/>
      <c r="AF1125" s="12"/>
      <c r="AG1125" s="44"/>
      <c r="AH1125" s="45"/>
      <c r="AI1125" s="12"/>
      <c r="AJ1125" s="12"/>
      <c r="AK1125" s="12"/>
      <c r="AL1125" s="12"/>
      <c r="AM1125" s="44"/>
      <c r="AN1125" s="45"/>
      <c r="AO1125" s="12"/>
      <c r="AP1125" s="12"/>
      <c r="AQ1125" s="12"/>
      <c r="AR1125" s="12"/>
      <c r="AS1125" s="44"/>
      <c r="AT1125" s="45"/>
      <c r="AU1125" s="12"/>
      <c r="AV1125" s="12"/>
      <c r="AW1125" s="12"/>
      <c r="AX1125" s="12"/>
      <c r="AY1125" s="44"/>
      <c r="AZ1125" s="45"/>
      <c r="BA1125" s="12"/>
      <c r="BB1125" s="12"/>
      <c r="BC1125" s="12"/>
      <c r="BD1125" s="12"/>
      <c r="BE1125" s="44"/>
      <c r="BF1125" s="45"/>
      <c r="BG1125" s="12"/>
      <c r="BH1125" s="12"/>
      <c r="BI1125" s="12"/>
      <c r="BJ1125" s="12"/>
      <c r="BK1125" s="44"/>
      <c r="BL1125" s="45"/>
      <c r="BM1125" s="12"/>
      <c r="BN1125" s="12"/>
      <c r="BO1125" s="12"/>
      <c r="BP1125" s="12"/>
      <c r="BQ1125" s="48"/>
      <c r="BR1125" s="49"/>
      <c r="BS1125" s="13"/>
      <c r="BT1125" s="12"/>
      <c r="BV1125" s="14"/>
      <c r="BW1125" s="50"/>
      <c r="BX1125" s="54"/>
      <c r="BY1125" s="14"/>
      <c r="BZ1125" s="14"/>
      <c r="CA1125" s="14"/>
      <c r="CB1125" s="14"/>
      <c r="CC1125" s="14"/>
      <c r="CD1125" s="14"/>
      <c r="CE1125" s="14"/>
      <c r="CF1125" s="15"/>
      <c r="CG1125" s="14"/>
      <c r="CH1125" s="14"/>
      <c r="CI1125" s="50"/>
      <c r="CJ1125" s="54"/>
      <c r="CK1125" s="14"/>
      <c r="CL1125" s="14"/>
      <c r="CM1125" s="14"/>
      <c r="CN1125" s="14"/>
      <c r="CO1125" s="14"/>
      <c r="CP1125" s="14"/>
      <c r="CQ1125" s="14"/>
      <c r="CR1125" s="14"/>
      <c r="CS1125" s="14"/>
      <c r="CT1125" s="14"/>
      <c r="CU1125" s="16"/>
      <c r="CV1125" s="14"/>
      <c r="CW1125" s="50"/>
      <c r="CX1125" s="17"/>
    </row>
    <row r="1126" spans="4:102" x14ac:dyDescent="0.25"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43"/>
      <c r="Q1126" s="11"/>
      <c r="R1126" s="11"/>
      <c r="S1126" s="11"/>
      <c r="T1126" s="11"/>
      <c r="U1126" s="11"/>
      <c r="V1126" s="11"/>
      <c r="W1126" s="11"/>
      <c r="X1126" s="12"/>
      <c r="Y1126" s="12"/>
      <c r="Z1126" s="12"/>
      <c r="AA1126" s="44"/>
      <c r="AB1126" s="45"/>
      <c r="AC1126" s="12"/>
      <c r="AD1126" s="12"/>
      <c r="AE1126" s="12"/>
      <c r="AF1126" s="12"/>
      <c r="AG1126" s="44"/>
      <c r="AH1126" s="45"/>
      <c r="AI1126" s="12"/>
      <c r="AJ1126" s="12"/>
      <c r="AK1126" s="12"/>
      <c r="AL1126" s="12"/>
      <c r="AM1126" s="44"/>
      <c r="AN1126" s="45"/>
      <c r="AO1126" s="12"/>
      <c r="AP1126" s="12"/>
      <c r="AQ1126" s="12"/>
      <c r="AR1126" s="12"/>
      <c r="AS1126" s="44"/>
      <c r="AT1126" s="45"/>
      <c r="AU1126" s="12"/>
      <c r="AV1126" s="12"/>
      <c r="AW1126" s="12"/>
      <c r="AX1126" s="12"/>
      <c r="AY1126" s="44"/>
      <c r="AZ1126" s="45"/>
      <c r="BA1126" s="12"/>
      <c r="BB1126" s="12"/>
      <c r="BC1126" s="12"/>
      <c r="BD1126" s="12"/>
      <c r="BE1126" s="44"/>
      <c r="BF1126" s="45"/>
      <c r="BG1126" s="12"/>
      <c r="BH1126" s="12"/>
      <c r="BI1126" s="12"/>
      <c r="BJ1126" s="12"/>
      <c r="BK1126" s="44"/>
      <c r="BL1126" s="45"/>
      <c r="BM1126" s="12"/>
      <c r="BN1126" s="12"/>
      <c r="BO1126" s="12"/>
      <c r="BP1126" s="12"/>
      <c r="BQ1126" s="48"/>
      <c r="BR1126" s="49"/>
      <c r="BS1126" s="13"/>
      <c r="BT1126" s="12"/>
      <c r="BV1126" s="14"/>
      <c r="BW1126" s="50"/>
      <c r="BX1126" s="54"/>
      <c r="BY1126" s="14"/>
      <c r="BZ1126" s="14"/>
      <c r="CA1126" s="14"/>
      <c r="CB1126" s="14"/>
      <c r="CC1126" s="14"/>
      <c r="CD1126" s="14"/>
      <c r="CE1126" s="14"/>
      <c r="CF1126" s="15"/>
      <c r="CG1126" s="14"/>
      <c r="CH1126" s="14"/>
      <c r="CI1126" s="50"/>
      <c r="CJ1126" s="54"/>
      <c r="CK1126" s="14"/>
      <c r="CL1126" s="14"/>
      <c r="CM1126" s="14"/>
      <c r="CN1126" s="14"/>
      <c r="CO1126" s="14"/>
      <c r="CP1126" s="14"/>
      <c r="CQ1126" s="14"/>
      <c r="CR1126" s="14"/>
      <c r="CS1126" s="14"/>
      <c r="CT1126" s="14"/>
      <c r="CU1126" s="16"/>
      <c r="CV1126" s="14"/>
      <c r="CW1126" s="50"/>
      <c r="CX1126" s="17"/>
    </row>
    <row r="1127" spans="4:102" x14ac:dyDescent="0.25"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43"/>
      <c r="Q1127" s="11"/>
      <c r="R1127" s="11"/>
      <c r="S1127" s="11"/>
      <c r="T1127" s="11"/>
      <c r="U1127" s="11"/>
      <c r="V1127" s="11"/>
      <c r="W1127" s="11"/>
      <c r="X1127" s="12"/>
      <c r="Y1127" s="12"/>
      <c r="Z1127" s="12"/>
      <c r="AA1127" s="44"/>
      <c r="AB1127" s="45"/>
      <c r="AC1127" s="12"/>
      <c r="AD1127" s="12"/>
      <c r="AE1127" s="12"/>
      <c r="AF1127" s="12"/>
      <c r="AG1127" s="44"/>
      <c r="AH1127" s="45"/>
      <c r="AI1127" s="12"/>
      <c r="AJ1127" s="12"/>
      <c r="AK1127" s="12"/>
      <c r="AL1127" s="12"/>
      <c r="AM1127" s="44"/>
      <c r="AN1127" s="45"/>
      <c r="AO1127" s="12"/>
      <c r="AP1127" s="12"/>
      <c r="AQ1127" s="12"/>
      <c r="AR1127" s="12"/>
      <c r="AS1127" s="44"/>
      <c r="AT1127" s="45"/>
      <c r="AU1127" s="12"/>
      <c r="AV1127" s="12"/>
      <c r="AW1127" s="12"/>
      <c r="AX1127" s="12"/>
      <c r="AY1127" s="44"/>
      <c r="AZ1127" s="45"/>
      <c r="BA1127" s="12"/>
      <c r="BB1127" s="12"/>
      <c r="BC1127" s="12"/>
      <c r="BD1127" s="12"/>
      <c r="BE1127" s="44"/>
      <c r="BF1127" s="45"/>
      <c r="BG1127" s="12"/>
      <c r="BH1127" s="12"/>
      <c r="BI1127" s="12"/>
      <c r="BJ1127" s="12"/>
      <c r="BK1127" s="44"/>
      <c r="BL1127" s="45"/>
      <c r="BM1127" s="12"/>
      <c r="BN1127" s="12"/>
      <c r="BO1127" s="12"/>
      <c r="BP1127" s="12"/>
      <c r="BQ1127" s="48"/>
      <c r="BR1127" s="49"/>
      <c r="BS1127" s="13"/>
      <c r="BT1127" s="12"/>
      <c r="BV1127" s="14"/>
      <c r="BW1127" s="50"/>
      <c r="BX1127" s="54"/>
      <c r="BY1127" s="14"/>
      <c r="BZ1127" s="14"/>
      <c r="CA1127" s="14"/>
      <c r="CB1127" s="14"/>
      <c r="CC1127" s="14"/>
      <c r="CD1127" s="14"/>
      <c r="CE1127" s="14"/>
      <c r="CF1127" s="15"/>
      <c r="CG1127" s="14"/>
      <c r="CH1127" s="14"/>
      <c r="CI1127" s="50"/>
      <c r="CJ1127" s="54"/>
      <c r="CK1127" s="14"/>
      <c r="CL1127" s="14"/>
      <c r="CM1127" s="14"/>
      <c r="CN1127" s="14"/>
      <c r="CO1127" s="14"/>
      <c r="CP1127" s="14"/>
      <c r="CQ1127" s="14"/>
      <c r="CR1127" s="14"/>
      <c r="CS1127" s="14"/>
      <c r="CT1127" s="14"/>
      <c r="CU1127" s="16"/>
      <c r="CV1127" s="14"/>
      <c r="CW1127" s="50"/>
      <c r="CX1127" s="17"/>
    </row>
    <row r="1128" spans="4:102" x14ac:dyDescent="0.25"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43"/>
      <c r="Q1128" s="11"/>
      <c r="R1128" s="11"/>
      <c r="S1128" s="11"/>
      <c r="T1128" s="11"/>
      <c r="U1128" s="11"/>
      <c r="V1128" s="11"/>
      <c r="W1128" s="11"/>
      <c r="X1128" s="12"/>
      <c r="Y1128" s="12"/>
      <c r="Z1128" s="12"/>
      <c r="AA1128" s="44"/>
      <c r="AB1128" s="45"/>
      <c r="AC1128" s="12"/>
      <c r="AD1128" s="12"/>
      <c r="AE1128" s="12"/>
      <c r="AF1128" s="12"/>
      <c r="AG1128" s="44"/>
      <c r="AH1128" s="45"/>
      <c r="AI1128" s="12"/>
      <c r="AJ1128" s="12"/>
      <c r="AK1128" s="12"/>
      <c r="AL1128" s="12"/>
      <c r="AM1128" s="44"/>
      <c r="AN1128" s="45"/>
      <c r="AO1128" s="12"/>
      <c r="AP1128" s="12"/>
      <c r="AQ1128" s="12"/>
      <c r="AR1128" s="12"/>
      <c r="AS1128" s="44"/>
      <c r="AT1128" s="45"/>
      <c r="AU1128" s="12"/>
      <c r="AV1128" s="12"/>
      <c r="AW1128" s="12"/>
      <c r="AX1128" s="12"/>
      <c r="AY1128" s="44"/>
      <c r="AZ1128" s="45"/>
      <c r="BA1128" s="12"/>
      <c r="BB1128" s="12"/>
      <c r="BC1128" s="12"/>
      <c r="BD1128" s="12"/>
      <c r="BE1128" s="44"/>
      <c r="BF1128" s="45"/>
      <c r="BG1128" s="12"/>
      <c r="BH1128" s="12"/>
      <c r="BI1128" s="12"/>
      <c r="BJ1128" s="12"/>
      <c r="BK1128" s="44"/>
      <c r="BL1128" s="45"/>
      <c r="BM1128" s="12"/>
      <c r="BN1128" s="12"/>
      <c r="BO1128" s="12"/>
      <c r="BP1128" s="12"/>
      <c r="BQ1128" s="48"/>
      <c r="BR1128" s="49"/>
      <c r="BS1128" s="13"/>
      <c r="BT1128" s="12"/>
      <c r="BV1128" s="14"/>
      <c r="BW1128" s="50"/>
      <c r="BX1128" s="54"/>
      <c r="BY1128" s="14"/>
      <c r="BZ1128" s="14"/>
      <c r="CA1128" s="14"/>
      <c r="CB1128" s="14"/>
      <c r="CC1128" s="14"/>
      <c r="CD1128" s="14"/>
      <c r="CE1128" s="14"/>
      <c r="CF1128" s="15"/>
      <c r="CG1128" s="14"/>
      <c r="CH1128" s="14"/>
      <c r="CI1128" s="50"/>
      <c r="CJ1128" s="54"/>
      <c r="CK1128" s="14"/>
      <c r="CL1128" s="14"/>
      <c r="CM1128" s="14"/>
      <c r="CN1128" s="14"/>
      <c r="CO1128" s="14"/>
      <c r="CP1128" s="14"/>
      <c r="CQ1128" s="14"/>
      <c r="CR1128" s="14"/>
      <c r="CS1128" s="14"/>
      <c r="CT1128" s="14"/>
      <c r="CU1128" s="16"/>
      <c r="CV1128" s="14"/>
      <c r="CW1128" s="50"/>
      <c r="CX1128" s="17"/>
    </row>
    <row r="1129" spans="4:102" x14ac:dyDescent="0.25"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43"/>
      <c r="Q1129" s="11"/>
      <c r="R1129" s="11"/>
      <c r="S1129" s="11"/>
      <c r="T1129" s="11"/>
      <c r="U1129" s="11"/>
      <c r="V1129" s="11"/>
      <c r="W1129" s="11"/>
      <c r="X1129" s="12"/>
      <c r="Y1129" s="12"/>
      <c r="Z1129" s="12"/>
      <c r="AA1129" s="44"/>
      <c r="AB1129" s="45"/>
      <c r="AC1129" s="12"/>
      <c r="AD1129" s="12"/>
      <c r="AE1129" s="12"/>
      <c r="AF1129" s="12"/>
      <c r="AG1129" s="44"/>
      <c r="AH1129" s="45"/>
      <c r="AI1129" s="12"/>
      <c r="AJ1129" s="12"/>
      <c r="AK1129" s="12"/>
      <c r="AL1129" s="12"/>
      <c r="AM1129" s="44"/>
      <c r="AN1129" s="45"/>
      <c r="AO1129" s="12"/>
      <c r="AP1129" s="12"/>
      <c r="AQ1129" s="12"/>
      <c r="AR1129" s="12"/>
      <c r="AS1129" s="44"/>
      <c r="AT1129" s="45"/>
      <c r="AU1129" s="12"/>
      <c r="AV1129" s="12"/>
      <c r="AW1129" s="12"/>
      <c r="AX1129" s="12"/>
      <c r="AY1129" s="44"/>
      <c r="AZ1129" s="45"/>
      <c r="BA1129" s="12"/>
      <c r="BB1129" s="12"/>
      <c r="BC1129" s="12"/>
      <c r="BD1129" s="12"/>
      <c r="BE1129" s="44"/>
      <c r="BF1129" s="45"/>
      <c r="BG1129" s="12"/>
      <c r="BH1129" s="12"/>
      <c r="BI1129" s="12"/>
      <c r="BJ1129" s="12"/>
      <c r="BK1129" s="44"/>
      <c r="BL1129" s="45"/>
      <c r="BM1129" s="12"/>
      <c r="BN1129" s="12"/>
      <c r="BO1129" s="12"/>
      <c r="BP1129" s="12"/>
      <c r="BQ1129" s="48"/>
      <c r="BR1129" s="49"/>
      <c r="BS1129" s="13"/>
      <c r="BT1129" s="12"/>
      <c r="BV1129" s="14"/>
      <c r="BW1129" s="50"/>
      <c r="BX1129" s="54"/>
      <c r="BY1129" s="14"/>
      <c r="BZ1129" s="14"/>
      <c r="CA1129" s="14"/>
      <c r="CB1129" s="14"/>
      <c r="CC1129" s="14"/>
      <c r="CD1129" s="14"/>
      <c r="CE1129" s="14"/>
      <c r="CF1129" s="15"/>
      <c r="CG1129" s="14"/>
      <c r="CH1129" s="14"/>
      <c r="CI1129" s="50"/>
      <c r="CJ1129" s="54"/>
      <c r="CK1129" s="14"/>
      <c r="CL1129" s="14"/>
      <c r="CM1129" s="14"/>
      <c r="CN1129" s="14"/>
      <c r="CO1129" s="14"/>
      <c r="CP1129" s="14"/>
      <c r="CQ1129" s="14"/>
      <c r="CR1129" s="14"/>
      <c r="CS1129" s="14"/>
      <c r="CT1129" s="14"/>
      <c r="CU1129" s="16"/>
      <c r="CV1129" s="14"/>
      <c r="CW1129" s="50"/>
      <c r="CX1129" s="17"/>
    </row>
    <row r="1130" spans="4:102" x14ac:dyDescent="0.25"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43"/>
      <c r="Q1130" s="11"/>
      <c r="R1130" s="11"/>
      <c r="S1130" s="11"/>
      <c r="T1130" s="11"/>
      <c r="U1130" s="11"/>
      <c r="V1130" s="11"/>
      <c r="W1130" s="11"/>
      <c r="X1130" s="12"/>
      <c r="Y1130" s="12"/>
      <c r="Z1130" s="12"/>
      <c r="AA1130" s="44"/>
      <c r="AB1130" s="45"/>
      <c r="AC1130" s="12"/>
      <c r="AD1130" s="12"/>
      <c r="AE1130" s="12"/>
      <c r="AF1130" s="12"/>
      <c r="AG1130" s="44"/>
      <c r="AH1130" s="45"/>
      <c r="AI1130" s="12"/>
      <c r="AJ1130" s="12"/>
      <c r="AK1130" s="12"/>
      <c r="AL1130" s="12"/>
      <c r="AM1130" s="44"/>
      <c r="AN1130" s="45"/>
      <c r="AO1130" s="12"/>
      <c r="AP1130" s="12"/>
      <c r="AQ1130" s="12"/>
      <c r="AR1130" s="12"/>
      <c r="AS1130" s="44"/>
      <c r="AT1130" s="45"/>
      <c r="AU1130" s="12"/>
      <c r="AV1130" s="12"/>
      <c r="AW1130" s="12"/>
      <c r="AX1130" s="12"/>
      <c r="AY1130" s="44"/>
      <c r="AZ1130" s="45"/>
      <c r="BA1130" s="12"/>
      <c r="BB1130" s="12"/>
      <c r="BC1130" s="12"/>
      <c r="BD1130" s="12"/>
      <c r="BE1130" s="44"/>
      <c r="BF1130" s="45"/>
      <c r="BG1130" s="12"/>
      <c r="BH1130" s="12"/>
      <c r="BI1130" s="12"/>
      <c r="BJ1130" s="12"/>
      <c r="BK1130" s="44"/>
      <c r="BL1130" s="45"/>
      <c r="BM1130" s="12"/>
      <c r="BN1130" s="12"/>
      <c r="BO1130" s="12"/>
      <c r="BP1130" s="12"/>
      <c r="BQ1130" s="48"/>
      <c r="BR1130" s="49"/>
      <c r="BS1130" s="13"/>
      <c r="BT1130" s="12"/>
      <c r="BV1130" s="14"/>
      <c r="BW1130" s="50"/>
      <c r="BX1130" s="54"/>
      <c r="BY1130" s="14"/>
      <c r="BZ1130" s="14"/>
      <c r="CA1130" s="14"/>
      <c r="CB1130" s="14"/>
      <c r="CC1130" s="14"/>
      <c r="CD1130" s="14"/>
      <c r="CE1130" s="14"/>
      <c r="CF1130" s="15"/>
      <c r="CG1130" s="14"/>
      <c r="CH1130" s="14"/>
      <c r="CI1130" s="50"/>
      <c r="CJ1130" s="54"/>
      <c r="CK1130" s="14"/>
      <c r="CL1130" s="14"/>
      <c r="CM1130" s="14"/>
      <c r="CN1130" s="14"/>
      <c r="CO1130" s="14"/>
      <c r="CP1130" s="14"/>
      <c r="CQ1130" s="14"/>
      <c r="CR1130" s="14"/>
      <c r="CS1130" s="14"/>
      <c r="CT1130" s="14"/>
      <c r="CU1130" s="16"/>
      <c r="CV1130" s="14"/>
      <c r="CW1130" s="50"/>
      <c r="CX1130" s="17"/>
    </row>
    <row r="1131" spans="4:102" x14ac:dyDescent="0.25"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43"/>
      <c r="Q1131" s="11"/>
      <c r="R1131" s="11"/>
      <c r="S1131" s="11"/>
      <c r="T1131" s="11"/>
      <c r="U1131" s="11"/>
      <c r="V1131" s="11"/>
      <c r="W1131" s="11"/>
      <c r="X1131" s="12"/>
      <c r="Y1131" s="12"/>
      <c r="Z1131" s="12"/>
      <c r="AA1131" s="44"/>
      <c r="AB1131" s="45"/>
      <c r="AC1131" s="12"/>
      <c r="AD1131" s="12"/>
      <c r="AE1131" s="12"/>
      <c r="AF1131" s="12"/>
      <c r="AG1131" s="44"/>
      <c r="AH1131" s="45"/>
      <c r="AI1131" s="12"/>
      <c r="AJ1131" s="12"/>
      <c r="AK1131" s="12"/>
      <c r="AL1131" s="12"/>
      <c r="AM1131" s="44"/>
      <c r="AN1131" s="45"/>
      <c r="AO1131" s="12"/>
      <c r="AP1131" s="12"/>
      <c r="AQ1131" s="12"/>
      <c r="AR1131" s="12"/>
      <c r="AS1131" s="44"/>
      <c r="AT1131" s="45"/>
      <c r="AU1131" s="12"/>
      <c r="AV1131" s="12"/>
      <c r="AW1131" s="12"/>
      <c r="AX1131" s="12"/>
      <c r="AY1131" s="44"/>
      <c r="AZ1131" s="45"/>
      <c r="BA1131" s="12"/>
      <c r="BB1131" s="12"/>
      <c r="BC1131" s="12"/>
      <c r="BD1131" s="12"/>
      <c r="BE1131" s="44"/>
      <c r="BF1131" s="45"/>
      <c r="BG1131" s="12"/>
      <c r="BH1131" s="12"/>
      <c r="BI1131" s="12"/>
      <c r="BJ1131" s="12"/>
      <c r="BK1131" s="44"/>
      <c r="BL1131" s="45"/>
      <c r="BM1131" s="12"/>
      <c r="BN1131" s="12"/>
      <c r="BO1131" s="12"/>
      <c r="BP1131" s="12"/>
      <c r="BQ1131" s="48"/>
      <c r="BR1131" s="49"/>
      <c r="BS1131" s="13"/>
      <c r="BT1131" s="12"/>
      <c r="BV1131" s="14"/>
      <c r="BW1131" s="50"/>
      <c r="BX1131" s="54"/>
      <c r="BY1131" s="14"/>
      <c r="BZ1131" s="14"/>
      <c r="CA1131" s="14"/>
      <c r="CB1131" s="14"/>
      <c r="CC1131" s="14"/>
      <c r="CD1131" s="14"/>
      <c r="CE1131" s="14"/>
      <c r="CF1131" s="15"/>
      <c r="CG1131" s="14"/>
      <c r="CH1131" s="14"/>
      <c r="CI1131" s="50"/>
      <c r="CJ1131" s="54"/>
      <c r="CK1131" s="14"/>
      <c r="CL1131" s="14"/>
      <c r="CM1131" s="14"/>
      <c r="CN1131" s="14"/>
      <c r="CO1131" s="14"/>
      <c r="CP1131" s="14"/>
      <c r="CQ1131" s="14"/>
      <c r="CR1131" s="14"/>
      <c r="CS1131" s="14"/>
      <c r="CT1131" s="14"/>
      <c r="CU1131" s="16"/>
      <c r="CV1131" s="14"/>
      <c r="CW1131" s="50"/>
      <c r="CX1131" s="17"/>
    </row>
    <row r="1132" spans="4:102" x14ac:dyDescent="0.25"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43"/>
      <c r="Q1132" s="11"/>
      <c r="R1132" s="11"/>
      <c r="S1132" s="11"/>
      <c r="T1132" s="11"/>
      <c r="U1132" s="11"/>
      <c r="V1132" s="11"/>
      <c r="W1132" s="11"/>
      <c r="X1132" s="12"/>
      <c r="Y1132" s="12"/>
      <c r="Z1132" s="12"/>
      <c r="AA1132" s="44"/>
      <c r="AB1132" s="45"/>
      <c r="AC1132" s="12"/>
      <c r="AD1132" s="12"/>
      <c r="AE1132" s="12"/>
      <c r="AF1132" s="12"/>
      <c r="AG1132" s="44"/>
      <c r="AH1132" s="45"/>
      <c r="AI1132" s="12"/>
      <c r="AJ1132" s="12"/>
      <c r="AK1132" s="12"/>
      <c r="AL1132" s="12"/>
      <c r="AM1132" s="44"/>
      <c r="AN1132" s="45"/>
      <c r="AO1132" s="12"/>
      <c r="AP1132" s="12"/>
      <c r="AQ1132" s="12"/>
      <c r="AR1132" s="12"/>
      <c r="AS1132" s="44"/>
      <c r="AT1132" s="45"/>
      <c r="AU1132" s="12"/>
      <c r="AV1132" s="12"/>
      <c r="AW1132" s="12"/>
      <c r="AX1132" s="12"/>
      <c r="AY1132" s="44"/>
      <c r="AZ1132" s="45"/>
      <c r="BA1132" s="12"/>
      <c r="BB1132" s="12"/>
      <c r="BC1132" s="12"/>
      <c r="BD1132" s="12"/>
      <c r="BE1132" s="44"/>
      <c r="BF1132" s="45"/>
      <c r="BG1132" s="12"/>
      <c r="BH1132" s="12"/>
      <c r="BI1132" s="12"/>
      <c r="BJ1132" s="12"/>
      <c r="BK1132" s="44"/>
      <c r="BL1132" s="45"/>
      <c r="BM1132" s="12"/>
      <c r="BN1132" s="12"/>
      <c r="BO1132" s="12"/>
      <c r="BP1132" s="12"/>
      <c r="BQ1132" s="48"/>
      <c r="BR1132" s="49"/>
      <c r="BS1132" s="13"/>
      <c r="BT1132" s="12"/>
      <c r="BV1132" s="14"/>
      <c r="BW1132" s="50"/>
      <c r="BX1132" s="54"/>
      <c r="BY1132" s="14"/>
      <c r="BZ1132" s="14"/>
      <c r="CA1132" s="14"/>
      <c r="CB1132" s="14"/>
      <c r="CC1132" s="14"/>
      <c r="CD1132" s="14"/>
      <c r="CE1132" s="14"/>
      <c r="CF1132" s="15"/>
      <c r="CG1132" s="14"/>
      <c r="CH1132" s="14"/>
      <c r="CI1132" s="50"/>
      <c r="CJ1132" s="54"/>
      <c r="CK1132" s="14"/>
      <c r="CL1132" s="14"/>
      <c r="CM1132" s="14"/>
      <c r="CN1132" s="14"/>
      <c r="CO1132" s="14"/>
      <c r="CP1132" s="14"/>
      <c r="CQ1132" s="14"/>
      <c r="CR1132" s="14"/>
      <c r="CS1132" s="14"/>
      <c r="CT1132" s="14"/>
      <c r="CU1132" s="16"/>
      <c r="CV1132" s="14"/>
      <c r="CW1132" s="50"/>
      <c r="CX1132" s="17"/>
    </row>
    <row r="1133" spans="4:102" x14ac:dyDescent="0.25"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43"/>
      <c r="Q1133" s="11"/>
      <c r="R1133" s="11"/>
      <c r="S1133" s="11"/>
      <c r="T1133" s="11"/>
      <c r="U1133" s="11"/>
      <c r="V1133" s="11"/>
      <c r="W1133" s="11"/>
      <c r="X1133" s="12"/>
      <c r="Y1133" s="12"/>
      <c r="Z1133" s="12"/>
      <c r="AA1133" s="44"/>
      <c r="AB1133" s="45"/>
      <c r="AC1133" s="12"/>
      <c r="AD1133" s="12"/>
      <c r="AE1133" s="12"/>
      <c r="AF1133" s="12"/>
      <c r="AG1133" s="44"/>
      <c r="AH1133" s="45"/>
      <c r="AI1133" s="12"/>
      <c r="AJ1133" s="12"/>
      <c r="AK1133" s="12"/>
      <c r="AL1133" s="12"/>
      <c r="AM1133" s="44"/>
      <c r="AN1133" s="45"/>
      <c r="AO1133" s="12"/>
      <c r="AP1133" s="12"/>
      <c r="AQ1133" s="12"/>
      <c r="AR1133" s="12"/>
      <c r="AS1133" s="44"/>
      <c r="AT1133" s="45"/>
      <c r="AU1133" s="12"/>
      <c r="AV1133" s="12"/>
      <c r="AW1133" s="12"/>
      <c r="AX1133" s="12"/>
      <c r="AY1133" s="44"/>
      <c r="AZ1133" s="45"/>
      <c r="BA1133" s="12"/>
      <c r="BB1133" s="12"/>
      <c r="BC1133" s="12"/>
      <c r="BD1133" s="12"/>
      <c r="BE1133" s="44"/>
      <c r="BF1133" s="45"/>
      <c r="BG1133" s="12"/>
      <c r="BH1133" s="12"/>
      <c r="BI1133" s="12"/>
      <c r="BJ1133" s="12"/>
      <c r="BK1133" s="44"/>
      <c r="BL1133" s="45"/>
      <c r="BM1133" s="12"/>
      <c r="BN1133" s="12"/>
      <c r="BO1133" s="12"/>
      <c r="BP1133" s="12"/>
      <c r="BQ1133" s="48"/>
      <c r="BR1133" s="49"/>
      <c r="BS1133" s="13"/>
      <c r="BT1133" s="12"/>
      <c r="BV1133" s="14"/>
      <c r="BW1133" s="50"/>
      <c r="BX1133" s="54"/>
      <c r="BY1133" s="14"/>
      <c r="BZ1133" s="14"/>
      <c r="CA1133" s="14"/>
      <c r="CB1133" s="14"/>
      <c r="CC1133" s="14"/>
      <c r="CD1133" s="14"/>
      <c r="CE1133" s="14"/>
      <c r="CF1133" s="15"/>
      <c r="CG1133" s="14"/>
      <c r="CH1133" s="14"/>
      <c r="CI1133" s="50"/>
      <c r="CJ1133" s="54"/>
      <c r="CK1133" s="14"/>
      <c r="CL1133" s="14"/>
      <c r="CM1133" s="14"/>
      <c r="CN1133" s="14"/>
      <c r="CO1133" s="14"/>
      <c r="CP1133" s="14"/>
      <c r="CQ1133" s="14"/>
      <c r="CR1133" s="14"/>
      <c r="CS1133" s="14"/>
      <c r="CT1133" s="14"/>
      <c r="CU1133" s="16"/>
      <c r="CV1133" s="14"/>
      <c r="CW1133" s="50"/>
      <c r="CX1133" s="17"/>
    </row>
    <row r="1134" spans="4:102" x14ac:dyDescent="0.25"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43"/>
      <c r="Q1134" s="11"/>
      <c r="R1134" s="11"/>
      <c r="S1134" s="11"/>
      <c r="T1134" s="11"/>
      <c r="U1134" s="11"/>
      <c r="V1134" s="11"/>
      <c r="W1134" s="11"/>
      <c r="X1134" s="12"/>
      <c r="Y1134" s="12"/>
      <c r="Z1134" s="12"/>
      <c r="AA1134" s="44"/>
      <c r="AB1134" s="45"/>
      <c r="AC1134" s="12"/>
      <c r="AD1134" s="12"/>
      <c r="AE1134" s="12"/>
      <c r="AF1134" s="12"/>
      <c r="AG1134" s="44"/>
      <c r="AH1134" s="45"/>
      <c r="AI1134" s="12"/>
      <c r="AJ1134" s="12"/>
      <c r="AK1134" s="12"/>
      <c r="AL1134" s="12"/>
      <c r="AM1134" s="44"/>
      <c r="AN1134" s="45"/>
      <c r="AO1134" s="12"/>
      <c r="AP1134" s="12"/>
      <c r="AQ1134" s="12"/>
      <c r="AR1134" s="12"/>
      <c r="AS1134" s="44"/>
      <c r="AT1134" s="45"/>
      <c r="AU1134" s="12"/>
      <c r="AV1134" s="12"/>
      <c r="AW1134" s="12"/>
      <c r="AX1134" s="12"/>
      <c r="AY1134" s="44"/>
      <c r="AZ1134" s="45"/>
      <c r="BA1134" s="12"/>
      <c r="BB1134" s="12"/>
      <c r="BC1134" s="12"/>
      <c r="BD1134" s="12"/>
      <c r="BE1134" s="44"/>
      <c r="BF1134" s="45"/>
      <c r="BG1134" s="12"/>
      <c r="BH1134" s="12"/>
      <c r="BI1134" s="12"/>
      <c r="BJ1134" s="12"/>
      <c r="BK1134" s="44"/>
      <c r="BL1134" s="45"/>
      <c r="BM1134" s="12"/>
      <c r="BN1134" s="12"/>
      <c r="BO1134" s="12"/>
      <c r="BP1134" s="12"/>
      <c r="BQ1134" s="48"/>
      <c r="BR1134" s="49"/>
      <c r="BS1134" s="13"/>
      <c r="BT1134" s="12"/>
      <c r="BV1134" s="14"/>
      <c r="BW1134" s="50"/>
      <c r="BX1134" s="54"/>
      <c r="BY1134" s="14"/>
      <c r="BZ1134" s="14"/>
      <c r="CA1134" s="14"/>
      <c r="CB1134" s="14"/>
      <c r="CC1134" s="14"/>
      <c r="CD1134" s="14"/>
      <c r="CE1134" s="14"/>
      <c r="CF1134" s="15"/>
      <c r="CG1134" s="14"/>
      <c r="CH1134" s="14"/>
      <c r="CI1134" s="50"/>
      <c r="CJ1134" s="54"/>
      <c r="CK1134" s="14"/>
      <c r="CL1134" s="14"/>
      <c r="CM1134" s="14"/>
      <c r="CN1134" s="14"/>
      <c r="CO1134" s="14"/>
      <c r="CP1134" s="14"/>
      <c r="CQ1134" s="14"/>
      <c r="CR1134" s="14"/>
      <c r="CS1134" s="14"/>
      <c r="CT1134" s="14"/>
      <c r="CU1134" s="16"/>
      <c r="CV1134" s="14"/>
      <c r="CW1134" s="50"/>
      <c r="CX1134" s="17"/>
    </row>
    <row r="1135" spans="4:102" x14ac:dyDescent="0.25"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43"/>
      <c r="Q1135" s="11"/>
      <c r="R1135" s="11"/>
      <c r="S1135" s="11"/>
      <c r="T1135" s="11"/>
      <c r="U1135" s="11"/>
      <c r="V1135" s="11"/>
      <c r="W1135" s="11"/>
      <c r="X1135" s="12"/>
      <c r="Y1135" s="12"/>
      <c r="Z1135" s="12"/>
      <c r="AA1135" s="44"/>
      <c r="AB1135" s="45"/>
      <c r="AC1135" s="12"/>
      <c r="AD1135" s="12"/>
      <c r="AE1135" s="12"/>
      <c r="AF1135" s="12"/>
      <c r="AG1135" s="44"/>
      <c r="AH1135" s="45"/>
      <c r="AI1135" s="12"/>
      <c r="AJ1135" s="12"/>
      <c r="AK1135" s="12"/>
      <c r="AL1135" s="12"/>
      <c r="AM1135" s="44"/>
      <c r="AN1135" s="45"/>
      <c r="AO1135" s="12"/>
      <c r="AP1135" s="12"/>
      <c r="AQ1135" s="12"/>
      <c r="AR1135" s="12"/>
      <c r="AS1135" s="44"/>
      <c r="AT1135" s="45"/>
      <c r="AU1135" s="12"/>
      <c r="AV1135" s="12"/>
      <c r="AW1135" s="12"/>
      <c r="AX1135" s="12"/>
      <c r="AY1135" s="44"/>
      <c r="AZ1135" s="45"/>
      <c r="BA1135" s="12"/>
      <c r="BB1135" s="12"/>
      <c r="BC1135" s="12"/>
      <c r="BD1135" s="12"/>
      <c r="BE1135" s="44"/>
      <c r="BF1135" s="45"/>
      <c r="BG1135" s="12"/>
      <c r="BH1135" s="12"/>
      <c r="BI1135" s="12"/>
      <c r="BJ1135" s="12"/>
      <c r="BK1135" s="44"/>
      <c r="BL1135" s="45"/>
      <c r="BM1135" s="12"/>
      <c r="BN1135" s="12"/>
      <c r="BO1135" s="12"/>
      <c r="BP1135" s="12"/>
      <c r="BQ1135" s="48"/>
      <c r="BR1135" s="49"/>
      <c r="BS1135" s="13"/>
      <c r="BT1135" s="12"/>
      <c r="BV1135" s="14"/>
      <c r="BW1135" s="50"/>
      <c r="BX1135" s="54"/>
      <c r="BY1135" s="14"/>
      <c r="BZ1135" s="14"/>
      <c r="CA1135" s="14"/>
      <c r="CB1135" s="14"/>
      <c r="CC1135" s="14"/>
      <c r="CD1135" s="14"/>
      <c r="CE1135" s="14"/>
      <c r="CF1135" s="15"/>
      <c r="CG1135" s="14"/>
      <c r="CH1135" s="14"/>
      <c r="CI1135" s="50"/>
      <c r="CJ1135" s="54"/>
      <c r="CK1135" s="14"/>
      <c r="CL1135" s="14"/>
      <c r="CM1135" s="14"/>
      <c r="CN1135" s="14"/>
      <c r="CO1135" s="14"/>
      <c r="CP1135" s="14"/>
      <c r="CQ1135" s="14"/>
      <c r="CR1135" s="14"/>
      <c r="CS1135" s="14"/>
      <c r="CT1135" s="14"/>
      <c r="CU1135" s="16"/>
      <c r="CV1135" s="14"/>
      <c r="CW1135" s="50"/>
      <c r="CX1135" s="17"/>
    </row>
    <row r="1136" spans="4:102" x14ac:dyDescent="0.25"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43"/>
      <c r="Q1136" s="11"/>
      <c r="R1136" s="11"/>
      <c r="S1136" s="11"/>
      <c r="T1136" s="11"/>
      <c r="U1136" s="11"/>
      <c r="V1136" s="11"/>
      <c r="W1136" s="11"/>
      <c r="X1136" s="12"/>
      <c r="Y1136" s="12"/>
      <c r="Z1136" s="12"/>
      <c r="AA1136" s="44"/>
      <c r="AB1136" s="45"/>
      <c r="AC1136" s="12"/>
      <c r="AD1136" s="12"/>
      <c r="AE1136" s="12"/>
      <c r="AF1136" s="12"/>
      <c r="AG1136" s="44"/>
      <c r="AH1136" s="45"/>
      <c r="AI1136" s="12"/>
      <c r="AJ1136" s="12"/>
      <c r="AK1136" s="12"/>
      <c r="AL1136" s="12"/>
      <c r="AM1136" s="44"/>
      <c r="AN1136" s="45"/>
      <c r="AO1136" s="12"/>
      <c r="AP1136" s="12"/>
      <c r="AQ1136" s="12"/>
      <c r="AR1136" s="12"/>
      <c r="AS1136" s="44"/>
      <c r="AT1136" s="45"/>
      <c r="AU1136" s="12"/>
      <c r="AV1136" s="12"/>
      <c r="AW1136" s="12"/>
      <c r="AX1136" s="12"/>
      <c r="AY1136" s="44"/>
      <c r="AZ1136" s="45"/>
      <c r="BA1136" s="12"/>
      <c r="BB1136" s="12"/>
      <c r="BC1136" s="12"/>
      <c r="BD1136" s="12"/>
      <c r="BE1136" s="44"/>
      <c r="BF1136" s="45"/>
      <c r="BG1136" s="12"/>
      <c r="BH1136" s="12"/>
      <c r="BI1136" s="12"/>
      <c r="BJ1136" s="12"/>
      <c r="BK1136" s="44"/>
      <c r="BL1136" s="45"/>
      <c r="BM1136" s="12"/>
      <c r="BN1136" s="12"/>
      <c r="BO1136" s="12"/>
      <c r="BP1136" s="12"/>
      <c r="BQ1136" s="48"/>
      <c r="BR1136" s="49"/>
      <c r="BS1136" s="13"/>
      <c r="BT1136" s="12"/>
      <c r="BV1136" s="14"/>
      <c r="BW1136" s="50"/>
      <c r="BX1136" s="54"/>
      <c r="BY1136" s="14"/>
      <c r="BZ1136" s="14"/>
      <c r="CA1136" s="14"/>
      <c r="CB1136" s="14"/>
      <c r="CC1136" s="14"/>
      <c r="CD1136" s="14"/>
      <c r="CE1136" s="14"/>
      <c r="CF1136" s="15"/>
      <c r="CG1136" s="14"/>
      <c r="CH1136" s="14"/>
      <c r="CI1136" s="50"/>
      <c r="CJ1136" s="54"/>
      <c r="CK1136" s="14"/>
      <c r="CL1136" s="14"/>
      <c r="CM1136" s="14"/>
      <c r="CN1136" s="14"/>
      <c r="CO1136" s="14"/>
      <c r="CP1136" s="14"/>
      <c r="CQ1136" s="14"/>
      <c r="CR1136" s="14"/>
      <c r="CS1136" s="14"/>
      <c r="CT1136" s="14"/>
      <c r="CU1136" s="16"/>
      <c r="CV1136" s="14"/>
      <c r="CW1136" s="50"/>
      <c r="CX1136" s="17"/>
    </row>
    <row r="1137" spans="4:102" x14ac:dyDescent="0.25"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43"/>
      <c r="Q1137" s="11"/>
      <c r="R1137" s="11"/>
      <c r="S1137" s="11"/>
      <c r="T1137" s="11"/>
      <c r="U1137" s="11"/>
      <c r="V1137" s="11"/>
      <c r="W1137" s="11"/>
      <c r="X1137" s="12"/>
      <c r="Y1137" s="12"/>
      <c r="Z1137" s="12"/>
      <c r="AA1137" s="44"/>
      <c r="AB1137" s="45"/>
      <c r="AC1137" s="12"/>
      <c r="AD1137" s="12"/>
      <c r="AE1137" s="12"/>
      <c r="AF1137" s="12"/>
      <c r="AG1137" s="44"/>
      <c r="AH1137" s="45"/>
      <c r="AI1137" s="12"/>
      <c r="AJ1137" s="12"/>
      <c r="AK1137" s="12"/>
      <c r="AL1137" s="12"/>
      <c r="AM1137" s="44"/>
      <c r="AN1137" s="45"/>
      <c r="AO1137" s="12"/>
      <c r="AP1137" s="12"/>
      <c r="AQ1137" s="12"/>
      <c r="AR1137" s="12"/>
      <c r="AS1137" s="44"/>
      <c r="AT1137" s="45"/>
      <c r="AU1137" s="12"/>
      <c r="AV1137" s="12"/>
      <c r="AW1137" s="12"/>
      <c r="AX1137" s="12"/>
      <c r="AY1137" s="44"/>
      <c r="AZ1137" s="45"/>
      <c r="BA1137" s="12"/>
      <c r="BB1137" s="12"/>
      <c r="BC1137" s="12"/>
      <c r="BD1137" s="12"/>
      <c r="BE1137" s="44"/>
      <c r="BF1137" s="45"/>
      <c r="BG1137" s="12"/>
      <c r="BH1137" s="12"/>
      <c r="BI1137" s="12"/>
      <c r="BJ1137" s="12"/>
      <c r="BK1137" s="44"/>
      <c r="BL1137" s="45"/>
      <c r="BM1137" s="12"/>
      <c r="BN1137" s="12"/>
      <c r="BO1137" s="12"/>
      <c r="BP1137" s="12"/>
      <c r="BQ1137" s="48"/>
      <c r="BR1137" s="49"/>
      <c r="BS1137" s="13"/>
      <c r="BT1137" s="12"/>
      <c r="BV1137" s="14"/>
      <c r="BW1137" s="50"/>
      <c r="BX1137" s="54"/>
      <c r="BY1137" s="14"/>
      <c r="BZ1137" s="14"/>
      <c r="CA1137" s="14"/>
      <c r="CB1137" s="14"/>
      <c r="CC1137" s="14"/>
      <c r="CD1137" s="14"/>
      <c r="CE1137" s="14"/>
      <c r="CF1137" s="15"/>
      <c r="CG1137" s="14"/>
      <c r="CH1137" s="14"/>
      <c r="CI1137" s="50"/>
      <c r="CJ1137" s="54"/>
      <c r="CK1137" s="14"/>
      <c r="CL1137" s="14"/>
      <c r="CM1137" s="14"/>
      <c r="CN1137" s="14"/>
      <c r="CO1137" s="14"/>
      <c r="CP1137" s="14"/>
      <c r="CQ1137" s="14"/>
      <c r="CR1137" s="14"/>
      <c r="CS1137" s="14"/>
      <c r="CT1137" s="14"/>
      <c r="CU1137" s="16"/>
      <c r="CV1137" s="14"/>
      <c r="CW1137" s="50"/>
      <c r="CX1137" s="17"/>
    </row>
    <row r="1138" spans="4:102" x14ac:dyDescent="0.25"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43"/>
      <c r="Q1138" s="11"/>
      <c r="R1138" s="11"/>
      <c r="S1138" s="11"/>
      <c r="T1138" s="11"/>
      <c r="U1138" s="11"/>
      <c r="V1138" s="11"/>
      <c r="W1138" s="11"/>
      <c r="X1138" s="12"/>
      <c r="Y1138" s="12"/>
      <c r="Z1138" s="12"/>
      <c r="AA1138" s="44"/>
      <c r="AB1138" s="45"/>
      <c r="AC1138" s="12"/>
      <c r="AD1138" s="12"/>
      <c r="AE1138" s="12"/>
      <c r="AF1138" s="12"/>
      <c r="AG1138" s="44"/>
      <c r="AH1138" s="45"/>
      <c r="AI1138" s="12"/>
      <c r="AJ1138" s="12"/>
      <c r="AK1138" s="12"/>
      <c r="AL1138" s="12"/>
      <c r="AM1138" s="44"/>
      <c r="AN1138" s="45"/>
      <c r="AO1138" s="12"/>
      <c r="AP1138" s="12"/>
      <c r="AQ1138" s="12"/>
      <c r="AR1138" s="12"/>
      <c r="AS1138" s="44"/>
      <c r="AT1138" s="45"/>
      <c r="AU1138" s="12"/>
      <c r="AV1138" s="12"/>
      <c r="AW1138" s="12"/>
      <c r="AX1138" s="12"/>
      <c r="AY1138" s="44"/>
      <c r="AZ1138" s="45"/>
      <c r="BA1138" s="12"/>
      <c r="BB1138" s="12"/>
      <c r="BC1138" s="12"/>
      <c r="BD1138" s="12"/>
      <c r="BE1138" s="44"/>
      <c r="BF1138" s="45"/>
      <c r="BG1138" s="12"/>
      <c r="BH1138" s="12"/>
      <c r="BI1138" s="12"/>
      <c r="BJ1138" s="12"/>
      <c r="BK1138" s="44"/>
      <c r="BL1138" s="45"/>
      <c r="BM1138" s="12"/>
      <c r="BN1138" s="12"/>
      <c r="BO1138" s="12"/>
      <c r="BP1138" s="12"/>
      <c r="BQ1138" s="48"/>
      <c r="BR1138" s="49"/>
      <c r="BS1138" s="13"/>
      <c r="BT1138" s="12"/>
      <c r="BV1138" s="14"/>
      <c r="BW1138" s="50"/>
      <c r="BX1138" s="54"/>
      <c r="BY1138" s="14"/>
      <c r="BZ1138" s="14"/>
      <c r="CA1138" s="14"/>
      <c r="CB1138" s="14"/>
      <c r="CC1138" s="14"/>
      <c r="CD1138" s="14"/>
      <c r="CE1138" s="14"/>
      <c r="CF1138" s="15"/>
      <c r="CG1138" s="14"/>
      <c r="CH1138" s="14"/>
      <c r="CI1138" s="50"/>
      <c r="CJ1138" s="54"/>
      <c r="CK1138" s="14"/>
      <c r="CL1138" s="14"/>
      <c r="CM1138" s="14"/>
      <c r="CN1138" s="14"/>
      <c r="CO1138" s="14"/>
      <c r="CP1138" s="14"/>
      <c r="CQ1138" s="14"/>
      <c r="CR1138" s="14"/>
      <c r="CS1138" s="14"/>
      <c r="CT1138" s="14"/>
      <c r="CU1138" s="16"/>
      <c r="CV1138" s="14"/>
      <c r="CW1138" s="50"/>
      <c r="CX1138" s="17"/>
    </row>
    <row r="1139" spans="4:102" x14ac:dyDescent="0.25"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43"/>
      <c r="Q1139" s="11"/>
      <c r="R1139" s="11"/>
      <c r="S1139" s="11"/>
      <c r="T1139" s="11"/>
      <c r="U1139" s="11"/>
      <c r="V1139" s="11"/>
      <c r="W1139" s="11"/>
      <c r="X1139" s="12"/>
      <c r="Y1139" s="12"/>
      <c r="Z1139" s="12"/>
      <c r="AA1139" s="44"/>
      <c r="AB1139" s="45"/>
      <c r="AC1139" s="12"/>
      <c r="AD1139" s="12"/>
      <c r="AE1139" s="12"/>
      <c r="AF1139" s="12"/>
      <c r="AG1139" s="44"/>
      <c r="AH1139" s="45"/>
      <c r="AI1139" s="12"/>
      <c r="AJ1139" s="12"/>
      <c r="AK1139" s="12"/>
      <c r="AL1139" s="12"/>
      <c r="AM1139" s="44"/>
      <c r="AN1139" s="45"/>
      <c r="AO1139" s="12"/>
      <c r="AP1139" s="12"/>
      <c r="AQ1139" s="12"/>
      <c r="AR1139" s="12"/>
      <c r="AS1139" s="44"/>
      <c r="AT1139" s="45"/>
      <c r="AU1139" s="12"/>
      <c r="AV1139" s="12"/>
      <c r="AW1139" s="12"/>
      <c r="AX1139" s="12"/>
      <c r="AY1139" s="44"/>
      <c r="AZ1139" s="45"/>
      <c r="BA1139" s="12"/>
      <c r="BB1139" s="12"/>
      <c r="BC1139" s="12"/>
      <c r="BD1139" s="12"/>
      <c r="BE1139" s="44"/>
      <c r="BF1139" s="45"/>
      <c r="BG1139" s="12"/>
      <c r="BH1139" s="12"/>
      <c r="BI1139" s="12"/>
      <c r="BJ1139" s="12"/>
      <c r="BK1139" s="44"/>
      <c r="BL1139" s="45"/>
      <c r="BM1139" s="12"/>
      <c r="BN1139" s="12"/>
      <c r="BO1139" s="12"/>
      <c r="BP1139" s="12"/>
      <c r="BQ1139" s="48"/>
      <c r="BR1139" s="49"/>
      <c r="BS1139" s="13"/>
      <c r="BT1139" s="12"/>
      <c r="BV1139" s="14"/>
      <c r="BW1139" s="50"/>
      <c r="BX1139" s="54"/>
      <c r="BY1139" s="14"/>
      <c r="BZ1139" s="14"/>
      <c r="CA1139" s="14"/>
      <c r="CB1139" s="14"/>
      <c r="CC1139" s="14"/>
      <c r="CD1139" s="14"/>
      <c r="CE1139" s="14"/>
      <c r="CF1139" s="15"/>
      <c r="CG1139" s="14"/>
      <c r="CH1139" s="14"/>
      <c r="CI1139" s="50"/>
      <c r="CJ1139" s="54"/>
      <c r="CK1139" s="14"/>
      <c r="CL1139" s="14"/>
      <c r="CM1139" s="14"/>
      <c r="CN1139" s="14"/>
      <c r="CO1139" s="14"/>
      <c r="CP1139" s="14"/>
      <c r="CQ1139" s="14"/>
      <c r="CR1139" s="14"/>
      <c r="CS1139" s="14"/>
      <c r="CT1139" s="14"/>
      <c r="CU1139" s="16"/>
      <c r="CV1139" s="14"/>
      <c r="CW1139" s="50"/>
      <c r="CX1139" s="17"/>
    </row>
    <row r="1140" spans="4:102" x14ac:dyDescent="0.25"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43"/>
      <c r="Q1140" s="11"/>
      <c r="R1140" s="11"/>
      <c r="S1140" s="11"/>
      <c r="T1140" s="11"/>
      <c r="U1140" s="11"/>
      <c r="V1140" s="11"/>
      <c r="W1140" s="11"/>
      <c r="X1140" s="12"/>
      <c r="Y1140" s="12"/>
      <c r="Z1140" s="12"/>
      <c r="AA1140" s="44"/>
      <c r="AB1140" s="45"/>
      <c r="AC1140" s="12"/>
      <c r="AD1140" s="12"/>
      <c r="AE1140" s="12"/>
      <c r="AF1140" s="12"/>
      <c r="AG1140" s="44"/>
      <c r="AH1140" s="45"/>
      <c r="AI1140" s="12"/>
      <c r="AJ1140" s="12"/>
      <c r="AK1140" s="12"/>
      <c r="AL1140" s="12"/>
      <c r="AM1140" s="44"/>
      <c r="AN1140" s="45"/>
      <c r="AO1140" s="12"/>
      <c r="AP1140" s="12"/>
      <c r="AQ1140" s="12"/>
      <c r="AR1140" s="12"/>
      <c r="AS1140" s="44"/>
      <c r="AT1140" s="45"/>
      <c r="AU1140" s="12"/>
      <c r="AV1140" s="12"/>
      <c r="AW1140" s="12"/>
      <c r="AX1140" s="12"/>
      <c r="AY1140" s="44"/>
      <c r="AZ1140" s="45"/>
      <c r="BA1140" s="12"/>
      <c r="BB1140" s="12"/>
      <c r="BC1140" s="12"/>
      <c r="BD1140" s="12"/>
      <c r="BE1140" s="44"/>
      <c r="BF1140" s="45"/>
      <c r="BG1140" s="12"/>
      <c r="BH1140" s="12"/>
      <c r="BI1140" s="12"/>
      <c r="BJ1140" s="12"/>
      <c r="BK1140" s="44"/>
      <c r="BL1140" s="45"/>
      <c r="BM1140" s="12"/>
      <c r="BN1140" s="12"/>
      <c r="BO1140" s="12"/>
      <c r="BP1140" s="12"/>
      <c r="BQ1140" s="48"/>
      <c r="BR1140" s="49"/>
      <c r="BS1140" s="13"/>
      <c r="BT1140" s="12"/>
      <c r="BV1140" s="14"/>
      <c r="BW1140" s="50"/>
      <c r="BX1140" s="54"/>
      <c r="BY1140" s="14"/>
      <c r="BZ1140" s="14"/>
      <c r="CA1140" s="14"/>
      <c r="CB1140" s="14"/>
      <c r="CC1140" s="14"/>
      <c r="CD1140" s="14"/>
      <c r="CE1140" s="14"/>
      <c r="CF1140" s="15"/>
      <c r="CG1140" s="14"/>
      <c r="CH1140" s="14"/>
      <c r="CI1140" s="50"/>
      <c r="CJ1140" s="54"/>
      <c r="CK1140" s="14"/>
      <c r="CL1140" s="14"/>
      <c r="CM1140" s="14"/>
      <c r="CN1140" s="14"/>
      <c r="CO1140" s="14"/>
      <c r="CP1140" s="14"/>
      <c r="CQ1140" s="14"/>
      <c r="CR1140" s="14"/>
      <c r="CS1140" s="14"/>
      <c r="CT1140" s="14"/>
      <c r="CU1140" s="16"/>
      <c r="CV1140" s="14"/>
      <c r="CW1140" s="50"/>
      <c r="CX1140" s="17"/>
    </row>
    <row r="1141" spans="4:102" x14ac:dyDescent="0.25"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43"/>
      <c r="Q1141" s="11"/>
      <c r="R1141" s="11"/>
      <c r="S1141" s="11"/>
      <c r="T1141" s="11"/>
      <c r="U1141" s="11"/>
      <c r="V1141" s="11"/>
      <c r="W1141" s="11"/>
      <c r="X1141" s="12"/>
      <c r="Y1141" s="12"/>
      <c r="Z1141" s="12"/>
      <c r="AA1141" s="44"/>
      <c r="AB1141" s="45"/>
      <c r="AC1141" s="12"/>
      <c r="AD1141" s="12"/>
      <c r="AE1141" s="12"/>
      <c r="AF1141" s="12"/>
      <c r="AG1141" s="44"/>
      <c r="AH1141" s="45"/>
      <c r="AI1141" s="12"/>
      <c r="AJ1141" s="12"/>
      <c r="AK1141" s="12"/>
      <c r="AL1141" s="12"/>
      <c r="AM1141" s="44"/>
      <c r="AN1141" s="45"/>
      <c r="AO1141" s="12"/>
      <c r="AP1141" s="12"/>
      <c r="AQ1141" s="12"/>
      <c r="AR1141" s="12"/>
      <c r="AS1141" s="44"/>
      <c r="AT1141" s="45"/>
      <c r="AU1141" s="12"/>
      <c r="AV1141" s="12"/>
      <c r="AW1141" s="12"/>
      <c r="AX1141" s="12"/>
      <c r="AY1141" s="44"/>
      <c r="AZ1141" s="45"/>
      <c r="BA1141" s="12"/>
      <c r="BB1141" s="12"/>
      <c r="BC1141" s="12"/>
      <c r="BD1141" s="12"/>
      <c r="BE1141" s="44"/>
      <c r="BF1141" s="45"/>
      <c r="BG1141" s="12"/>
      <c r="BH1141" s="12"/>
      <c r="BI1141" s="12"/>
      <c r="BJ1141" s="12"/>
      <c r="BK1141" s="44"/>
      <c r="BL1141" s="45"/>
      <c r="BM1141" s="12"/>
      <c r="BN1141" s="12"/>
      <c r="BO1141" s="12"/>
      <c r="BP1141" s="12"/>
      <c r="BQ1141" s="48"/>
      <c r="BR1141" s="49"/>
      <c r="BS1141" s="13"/>
      <c r="BT1141" s="12"/>
      <c r="BV1141" s="14"/>
      <c r="BW1141" s="50"/>
      <c r="BX1141" s="54"/>
      <c r="BY1141" s="14"/>
      <c r="BZ1141" s="14"/>
      <c r="CA1141" s="14"/>
      <c r="CB1141" s="14"/>
      <c r="CC1141" s="14"/>
      <c r="CD1141" s="14"/>
      <c r="CE1141" s="14"/>
      <c r="CF1141" s="15"/>
      <c r="CG1141" s="14"/>
      <c r="CH1141" s="14"/>
      <c r="CI1141" s="50"/>
      <c r="CJ1141" s="54"/>
      <c r="CK1141" s="14"/>
      <c r="CL1141" s="14"/>
      <c r="CM1141" s="14"/>
      <c r="CN1141" s="14"/>
      <c r="CO1141" s="14"/>
      <c r="CP1141" s="14"/>
      <c r="CQ1141" s="14"/>
      <c r="CR1141" s="14"/>
      <c r="CS1141" s="14"/>
      <c r="CT1141" s="14"/>
      <c r="CU1141" s="16"/>
      <c r="CV1141" s="14"/>
      <c r="CW1141" s="50"/>
      <c r="CX1141" s="17"/>
    </row>
    <row r="1142" spans="4:102" x14ac:dyDescent="0.25"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43"/>
      <c r="Q1142" s="11"/>
      <c r="R1142" s="11"/>
      <c r="S1142" s="11"/>
      <c r="T1142" s="11"/>
      <c r="U1142" s="11"/>
      <c r="V1142" s="11"/>
      <c r="W1142" s="11"/>
      <c r="X1142" s="12"/>
      <c r="Y1142" s="12"/>
      <c r="Z1142" s="12"/>
      <c r="AA1142" s="44"/>
      <c r="AB1142" s="45"/>
      <c r="AC1142" s="12"/>
      <c r="AD1142" s="12"/>
      <c r="AE1142" s="12"/>
      <c r="AF1142" s="12"/>
      <c r="AG1142" s="44"/>
      <c r="AH1142" s="45"/>
      <c r="AI1142" s="12"/>
      <c r="AJ1142" s="12"/>
      <c r="AK1142" s="12"/>
      <c r="AL1142" s="12"/>
      <c r="AM1142" s="44"/>
      <c r="AN1142" s="45"/>
      <c r="AO1142" s="12"/>
      <c r="AP1142" s="12"/>
      <c r="AQ1142" s="12"/>
      <c r="AR1142" s="12"/>
      <c r="AS1142" s="44"/>
      <c r="AT1142" s="45"/>
      <c r="AU1142" s="12"/>
      <c r="AV1142" s="12"/>
      <c r="AW1142" s="12"/>
      <c r="AX1142" s="12"/>
      <c r="AY1142" s="44"/>
      <c r="AZ1142" s="45"/>
      <c r="BA1142" s="12"/>
      <c r="BB1142" s="12"/>
      <c r="BC1142" s="12"/>
      <c r="BD1142" s="12"/>
      <c r="BE1142" s="44"/>
      <c r="BF1142" s="45"/>
      <c r="BG1142" s="12"/>
      <c r="BH1142" s="12"/>
      <c r="BI1142" s="12"/>
      <c r="BJ1142" s="12"/>
      <c r="BK1142" s="44"/>
      <c r="BL1142" s="45"/>
      <c r="BM1142" s="12"/>
      <c r="BN1142" s="12"/>
      <c r="BO1142" s="12"/>
      <c r="BP1142" s="12"/>
      <c r="BQ1142" s="48"/>
      <c r="BR1142" s="49"/>
      <c r="BS1142" s="13"/>
      <c r="BT1142" s="12"/>
      <c r="BV1142" s="14"/>
      <c r="BW1142" s="50"/>
      <c r="BX1142" s="54"/>
      <c r="BY1142" s="14"/>
      <c r="BZ1142" s="14"/>
      <c r="CA1142" s="14"/>
      <c r="CB1142" s="14"/>
      <c r="CC1142" s="14"/>
      <c r="CD1142" s="14"/>
      <c r="CE1142" s="14"/>
      <c r="CF1142" s="15"/>
      <c r="CG1142" s="14"/>
      <c r="CH1142" s="14"/>
      <c r="CI1142" s="50"/>
      <c r="CJ1142" s="54"/>
      <c r="CK1142" s="14"/>
      <c r="CL1142" s="14"/>
      <c r="CM1142" s="14"/>
      <c r="CN1142" s="14"/>
      <c r="CO1142" s="14"/>
      <c r="CP1142" s="14"/>
      <c r="CQ1142" s="14"/>
      <c r="CR1142" s="14"/>
      <c r="CS1142" s="14"/>
      <c r="CT1142" s="14"/>
      <c r="CU1142" s="16"/>
      <c r="CV1142" s="14"/>
      <c r="CW1142" s="50"/>
      <c r="CX1142" s="17"/>
    </row>
    <row r="1143" spans="4:102" x14ac:dyDescent="0.25"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43"/>
      <c r="Q1143" s="11"/>
      <c r="R1143" s="11"/>
      <c r="S1143" s="11"/>
      <c r="T1143" s="11"/>
      <c r="U1143" s="11"/>
      <c r="V1143" s="11"/>
      <c r="W1143" s="11"/>
      <c r="X1143" s="12"/>
      <c r="Y1143" s="12"/>
      <c r="Z1143" s="12"/>
      <c r="AA1143" s="44"/>
      <c r="AB1143" s="45"/>
      <c r="AC1143" s="12"/>
      <c r="AD1143" s="12"/>
      <c r="AE1143" s="12"/>
      <c r="AF1143" s="12"/>
      <c r="AG1143" s="44"/>
      <c r="AH1143" s="45"/>
      <c r="AI1143" s="12"/>
      <c r="AJ1143" s="12"/>
      <c r="AK1143" s="12"/>
      <c r="AL1143" s="12"/>
      <c r="AM1143" s="44"/>
      <c r="AN1143" s="45"/>
      <c r="AO1143" s="12"/>
      <c r="AP1143" s="12"/>
      <c r="AQ1143" s="12"/>
      <c r="AR1143" s="12"/>
      <c r="AS1143" s="44"/>
      <c r="AT1143" s="45"/>
      <c r="AU1143" s="12"/>
      <c r="AV1143" s="12"/>
      <c r="AW1143" s="12"/>
      <c r="AX1143" s="12"/>
      <c r="AY1143" s="44"/>
      <c r="AZ1143" s="45"/>
      <c r="BA1143" s="12"/>
      <c r="BB1143" s="12"/>
      <c r="BC1143" s="12"/>
      <c r="BD1143" s="12"/>
      <c r="BE1143" s="44"/>
      <c r="BF1143" s="45"/>
      <c r="BG1143" s="12"/>
      <c r="BH1143" s="12"/>
      <c r="BI1143" s="12"/>
      <c r="BJ1143" s="12"/>
      <c r="BK1143" s="44"/>
      <c r="BL1143" s="45"/>
      <c r="BM1143" s="12"/>
      <c r="BN1143" s="12"/>
      <c r="BO1143" s="12"/>
      <c r="BP1143" s="12"/>
      <c r="BQ1143" s="48"/>
      <c r="BR1143" s="49"/>
      <c r="BS1143" s="13"/>
      <c r="BT1143" s="12"/>
      <c r="BV1143" s="14"/>
      <c r="BW1143" s="50"/>
      <c r="BX1143" s="54"/>
      <c r="BY1143" s="14"/>
      <c r="BZ1143" s="14"/>
      <c r="CA1143" s="14"/>
      <c r="CB1143" s="14"/>
      <c r="CC1143" s="14"/>
      <c r="CD1143" s="14"/>
      <c r="CE1143" s="14"/>
      <c r="CF1143" s="15"/>
      <c r="CG1143" s="14"/>
      <c r="CH1143" s="14"/>
      <c r="CI1143" s="50"/>
      <c r="CJ1143" s="54"/>
      <c r="CK1143" s="14"/>
      <c r="CL1143" s="14"/>
      <c r="CM1143" s="14"/>
      <c r="CN1143" s="14"/>
      <c r="CO1143" s="14"/>
      <c r="CP1143" s="14"/>
      <c r="CQ1143" s="14"/>
      <c r="CR1143" s="14"/>
      <c r="CS1143" s="14"/>
      <c r="CT1143" s="14"/>
      <c r="CU1143" s="16"/>
      <c r="CV1143" s="14"/>
      <c r="CW1143" s="50"/>
      <c r="CX1143" s="17"/>
    </row>
    <row r="1144" spans="4:102" x14ac:dyDescent="0.25"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43"/>
      <c r="Q1144" s="11"/>
      <c r="R1144" s="11"/>
      <c r="S1144" s="11"/>
      <c r="T1144" s="11"/>
      <c r="U1144" s="11"/>
      <c r="V1144" s="11"/>
      <c r="W1144" s="11"/>
      <c r="X1144" s="12"/>
      <c r="Y1144" s="12"/>
      <c r="Z1144" s="12"/>
      <c r="AA1144" s="44"/>
      <c r="AB1144" s="45"/>
      <c r="AC1144" s="12"/>
      <c r="AD1144" s="12"/>
      <c r="AE1144" s="12"/>
      <c r="AF1144" s="12"/>
      <c r="AG1144" s="44"/>
      <c r="AH1144" s="45"/>
      <c r="AI1144" s="12"/>
      <c r="AJ1144" s="12"/>
      <c r="AK1144" s="12"/>
      <c r="AL1144" s="12"/>
      <c r="AM1144" s="44"/>
      <c r="AN1144" s="45"/>
      <c r="AO1144" s="12"/>
      <c r="AP1144" s="12"/>
      <c r="AQ1144" s="12"/>
      <c r="AR1144" s="12"/>
      <c r="AS1144" s="44"/>
      <c r="AT1144" s="45"/>
      <c r="AU1144" s="12"/>
      <c r="AV1144" s="12"/>
      <c r="AW1144" s="12"/>
      <c r="AX1144" s="12"/>
      <c r="AY1144" s="44"/>
      <c r="AZ1144" s="45"/>
      <c r="BA1144" s="12"/>
      <c r="BB1144" s="12"/>
      <c r="BC1144" s="12"/>
      <c r="BD1144" s="12"/>
      <c r="BE1144" s="44"/>
      <c r="BF1144" s="45"/>
      <c r="BG1144" s="12"/>
      <c r="BH1144" s="12"/>
      <c r="BI1144" s="12"/>
      <c r="BJ1144" s="12"/>
      <c r="BK1144" s="44"/>
      <c r="BL1144" s="45"/>
      <c r="BM1144" s="12"/>
      <c r="BN1144" s="12"/>
      <c r="BO1144" s="12"/>
      <c r="BP1144" s="12"/>
      <c r="BQ1144" s="48"/>
      <c r="BR1144" s="49"/>
      <c r="BS1144" s="13"/>
      <c r="BT1144" s="12"/>
      <c r="BV1144" s="14"/>
      <c r="BW1144" s="50"/>
      <c r="BX1144" s="54"/>
      <c r="BY1144" s="14"/>
      <c r="BZ1144" s="14"/>
      <c r="CA1144" s="14"/>
      <c r="CB1144" s="14"/>
      <c r="CC1144" s="14"/>
      <c r="CD1144" s="14"/>
      <c r="CE1144" s="14"/>
      <c r="CF1144" s="15"/>
      <c r="CG1144" s="14"/>
      <c r="CH1144" s="14"/>
      <c r="CI1144" s="50"/>
      <c r="CJ1144" s="54"/>
      <c r="CK1144" s="14"/>
      <c r="CL1144" s="14"/>
      <c r="CM1144" s="14"/>
      <c r="CN1144" s="14"/>
      <c r="CO1144" s="14"/>
      <c r="CP1144" s="14"/>
      <c r="CQ1144" s="14"/>
      <c r="CR1144" s="14"/>
      <c r="CS1144" s="14"/>
      <c r="CT1144" s="14"/>
      <c r="CU1144" s="16"/>
      <c r="CV1144" s="14"/>
      <c r="CW1144" s="50"/>
      <c r="CX1144" s="17"/>
    </row>
    <row r="1145" spans="4:102" x14ac:dyDescent="0.25"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43"/>
      <c r="Q1145" s="11"/>
      <c r="R1145" s="11"/>
      <c r="S1145" s="11"/>
      <c r="T1145" s="11"/>
      <c r="U1145" s="11"/>
      <c r="V1145" s="11"/>
      <c r="W1145" s="11"/>
      <c r="X1145" s="12"/>
      <c r="Y1145" s="12"/>
      <c r="Z1145" s="12"/>
      <c r="AA1145" s="44"/>
      <c r="AB1145" s="45"/>
      <c r="AC1145" s="12"/>
      <c r="AD1145" s="12"/>
      <c r="AE1145" s="12"/>
      <c r="AF1145" s="12"/>
      <c r="AG1145" s="44"/>
      <c r="AH1145" s="45"/>
      <c r="AI1145" s="12"/>
      <c r="AJ1145" s="12"/>
      <c r="AK1145" s="12"/>
      <c r="AL1145" s="12"/>
      <c r="AM1145" s="44"/>
      <c r="AN1145" s="45"/>
      <c r="AO1145" s="12"/>
      <c r="AP1145" s="12"/>
      <c r="AQ1145" s="12"/>
      <c r="AR1145" s="12"/>
      <c r="AS1145" s="44"/>
      <c r="AT1145" s="45"/>
      <c r="AU1145" s="12"/>
      <c r="AV1145" s="12"/>
      <c r="AW1145" s="12"/>
      <c r="AX1145" s="12"/>
      <c r="AY1145" s="44"/>
      <c r="AZ1145" s="45"/>
      <c r="BA1145" s="12"/>
      <c r="BB1145" s="12"/>
      <c r="BC1145" s="12"/>
      <c r="BD1145" s="12"/>
      <c r="BE1145" s="44"/>
      <c r="BF1145" s="45"/>
      <c r="BG1145" s="12"/>
      <c r="BH1145" s="12"/>
      <c r="BI1145" s="12"/>
      <c r="BJ1145" s="12"/>
      <c r="BK1145" s="44"/>
      <c r="BL1145" s="45"/>
      <c r="BM1145" s="12"/>
      <c r="BN1145" s="12"/>
      <c r="BO1145" s="12"/>
      <c r="BP1145" s="12"/>
      <c r="BQ1145" s="48"/>
      <c r="BR1145" s="49"/>
      <c r="BS1145" s="13"/>
      <c r="BT1145" s="12"/>
      <c r="BV1145" s="14"/>
      <c r="BW1145" s="50"/>
      <c r="BX1145" s="54"/>
      <c r="BY1145" s="14"/>
      <c r="BZ1145" s="14"/>
      <c r="CA1145" s="14"/>
      <c r="CB1145" s="14"/>
      <c r="CC1145" s="14"/>
      <c r="CD1145" s="14"/>
      <c r="CE1145" s="14"/>
      <c r="CF1145" s="15"/>
      <c r="CG1145" s="14"/>
      <c r="CH1145" s="14"/>
      <c r="CI1145" s="50"/>
      <c r="CJ1145" s="54"/>
      <c r="CK1145" s="14"/>
      <c r="CL1145" s="14"/>
      <c r="CM1145" s="14"/>
      <c r="CN1145" s="14"/>
      <c r="CO1145" s="14"/>
      <c r="CP1145" s="14"/>
      <c r="CQ1145" s="14"/>
      <c r="CR1145" s="14"/>
      <c r="CS1145" s="14"/>
      <c r="CT1145" s="14"/>
      <c r="CU1145" s="16"/>
      <c r="CV1145" s="14"/>
      <c r="CW1145" s="50"/>
      <c r="CX1145" s="17"/>
    </row>
    <row r="1146" spans="4:102" x14ac:dyDescent="0.25"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43"/>
      <c r="Q1146" s="11"/>
      <c r="R1146" s="11"/>
      <c r="S1146" s="11"/>
      <c r="T1146" s="11"/>
      <c r="U1146" s="11"/>
      <c r="V1146" s="11"/>
      <c r="W1146" s="11"/>
      <c r="X1146" s="12"/>
      <c r="Y1146" s="12"/>
      <c r="Z1146" s="12"/>
      <c r="AA1146" s="44"/>
      <c r="AB1146" s="45"/>
      <c r="AC1146" s="12"/>
      <c r="AD1146" s="12"/>
      <c r="AE1146" s="12"/>
      <c r="AF1146" s="12"/>
      <c r="AG1146" s="44"/>
      <c r="AH1146" s="45"/>
      <c r="AI1146" s="12"/>
      <c r="AJ1146" s="12"/>
      <c r="AK1146" s="12"/>
      <c r="AL1146" s="12"/>
      <c r="AM1146" s="44"/>
      <c r="AN1146" s="45"/>
      <c r="AO1146" s="12"/>
      <c r="AP1146" s="12"/>
      <c r="AQ1146" s="12"/>
      <c r="AR1146" s="12"/>
      <c r="AS1146" s="44"/>
      <c r="AT1146" s="45"/>
      <c r="AU1146" s="12"/>
      <c r="AV1146" s="12"/>
      <c r="AW1146" s="12"/>
      <c r="AX1146" s="12"/>
      <c r="AY1146" s="44"/>
      <c r="AZ1146" s="45"/>
      <c r="BA1146" s="12"/>
      <c r="BB1146" s="12"/>
      <c r="BC1146" s="12"/>
      <c r="BD1146" s="12"/>
      <c r="BE1146" s="44"/>
      <c r="BF1146" s="45"/>
      <c r="BG1146" s="12"/>
      <c r="BH1146" s="12"/>
      <c r="BI1146" s="12"/>
      <c r="BJ1146" s="12"/>
      <c r="BK1146" s="44"/>
      <c r="BL1146" s="45"/>
      <c r="BM1146" s="12"/>
      <c r="BN1146" s="12"/>
      <c r="BO1146" s="12"/>
      <c r="BP1146" s="12"/>
      <c r="BQ1146" s="48"/>
      <c r="BR1146" s="49"/>
      <c r="BS1146" s="13"/>
      <c r="BT1146" s="12"/>
      <c r="BV1146" s="14"/>
      <c r="BW1146" s="50"/>
      <c r="BX1146" s="54"/>
      <c r="BY1146" s="14"/>
      <c r="BZ1146" s="14"/>
      <c r="CA1146" s="14"/>
      <c r="CB1146" s="14"/>
      <c r="CC1146" s="14"/>
      <c r="CD1146" s="14"/>
      <c r="CE1146" s="14"/>
      <c r="CF1146" s="15"/>
      <c r="CG1146" s="14"/>
      <c r="CH1146" s="14"/>
      <c r="CI1146" s="50"/>
      <c r="CJ1146" s="54"/>
      <c r="CK1146" s="14"/>
      <c r="CL1146" s="14"/>
      <c r="CM1146" s="14"/>
      <c r="CN1146" s="14"/>
      <c r="CO1146" s="14"/>
      <c r="CP1146" s="14"/>
      <c r="CQ1146" s="14"/>
      <c r="CR1146" s="14"/>
      <c r="CS1146" s="14"/>
      <c r="CT1146" s="14"/>
      <c r="CU1146" s="16"/>
      <c r="CV1146" s="14"/>
      <c r="CW1146" s="50"/>
      <c r="CX1146" s="17"/>
    </row>
    <row r="1147" spans="4:102" x14ac:dyDescent="0.25"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43"/>
      <c r="Q1147" s="11"/>
      <c r="R1147" s="11"/>
      <c r="S1147" s="11"/>
      <c r="T1147" s="11"/>
      <c r="U1147" s="11"/>
      <c r="V1147" s="11"/>
      <c r="W1147" s="11"/>
      <c r="X1147" s="12"/>
      <c r="Y1147" s="12"/>
      <c r="Z1147" s="12"/>
      <c r="AA1147" s="44"/>
      <c r="AB1147" s="45"/>
      <c r="AC1147" s="12"/>
      <c r="AD1147" s="12"/>
      <c r="AE1147" s="12"/>
      <c r="AF1147" s="12"/>
      <c r="AG1147" s="44"/>
      <c r="AH1147" s="45"/>
      <c r="AI1147" s="12"/>
      <c r="AJ1147" s="12"/>
      <c r="AK1147" s="12"/>
      <c r="AL1147" s="12"/>
      <c r="AM1147" s="44"/>
      <c r="AN1147" s="45"/>
      <c r="AO1147" s="12"/>
      <c r="AP1147" s="12"/>
      <c r="AQ1147" s="12"/>
      <c r="AR1147" s="12"/>
      <c r="AS1147" s="44"/>
      <c r="AT1147" s="45"/>
      <c r="AU1147" s="12"/>
      <c r="AV1147" s="12"/>
      <c r="AW1147" s="12"/>
      <c r="AX1147" s="12"/>
      <c r="AY1147" s="44"/>
      <c r="AZ1147" s="45"/>
      <c r="BA1147" s="12"/>
      <c r="BB1147" s="12"/>
      <c r="BC1147" s="12"/>
      <c r="BD1147" s="12"/>
      <c r="BE1147" s="44"/>
      <c r="BF1147" s="45"/>
      <c r="BG1147" s="12"/>
      <c r="BH1147" s="12"/>
      <c r="BI1147" s="12"/>
      <c r="BJ1147" s="12"/>
      <c r="BK1147" s="44"/>
      <c r="BL1147" s="45"/>
      <c r="BM1147" s="12"/>
      <c r="BN1147" s="12"/>
      <c r="BO1147" s="12"/>
      <c r="BP1147" s="12"/>
      <c r="BQ1147" s="48"/>
      <c r="BR1147" s="49"/>
      <c r="BS1147" s="13"/>
      <c r="BT1147" s="12"/>
      <c r="BV1147" s="14"/>
      <c r="BW1147" s="50"/>
      <c r="BX1147" s="54"/>
      <c r="BY1147" s="14"/>
      <c r="BZ1147" s="14"/>
      <c r="CA1147" s="14"/>
      <c r="CB1147" s="14"/>
      <c r="CC1147" s="14"/>
      <c r="CD1147" s="14"/>
      <c r="CE1147" s="14"/>
      <c r="CF1147" s="15"/>
      <c r="CG1147" s="14"/>
      <c r="CH1147" s="14"/>
      <c r="CI1147" s="50"/>
      <c r="CJ1147" s="54"/>
      <c r="CK1147" s="14"/>
      <c r="CL1147" s="14"/>
      <c r="CM1147" s="14"/>
      <c r="CN1147" s="14"/>
      <c r="CO1147" s="14"/>
      <c r="CP1147" s="14"/>
      <c r="CQ1147" s="14"/>
      <c r="CR1147" s="14"/>
      <c r="CS1147" s="14"/>
      <c r="CT1147" s="14"/>
      <c r="CU1147" s="16"/>
      <c r="CV1147" s="14"/>
      <c r="CW1147" s="50"/>
      <c r="CX1147" s="17"/>
    </row>
    <row r="1148" spans="4:102" x14ac:dyDescent="0.25"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43"/>
      <c r="Q1148" s="11"/>
      <c r="R1148" s="11"/>
      <c r="S1148" s="11"/>
      <c r="T1148" s="11"/>
      <c r="U1148" s="11"/>
      <c r="V1148" s="11"/>
      <c r="W1148" s="11"/>
      <c r="X1148" s="12"/>
      <c r="Y1148" s="12"/>
      <c r="Z1148" s="12"/>
      <c r="AA1148" s="44"/>
      <c r="AB1148" s="45"/>
      <c r="AC1148" s="12"/>
      <c r="AD1148" s="12"/>
      <c r="AE1148" s="12"/>
      <c r="AF1148" s="12"/>
      <c r="AG1148" s="44"/>
      <c r="AH1148" s="45"/>
      <c r="AI1148" s="12"/>
      <c r="AJ1148" s="12"/>
      <c r="AK1148" s="12"/>
      <c r="AL1148" s="12"/>
      <c r="AM1148" s="44"/>
      <c r="AN1148" s="45"/>
      <c r="AO1148" s="12"/>
      <c r="AP1148" s="12"/>
      <c r="AQ1148" s="12"/>
      <c r="AR1148" s="12"/>
      <c r="AS1148" s="44"/>
      <c r="AT1148" s="45"/>
      <c r="AU1148" s="12"/>
      <c r="AV1148" s="12"/>
      <c r="AW1148" s="12"/>
      <c r="AX1148" s="12"/>
      <c r="AY1148" s="44"/>
      <c r="AZ1148" s="45"/>
      <c r="BA1148" s="12"/>
      <c r="BB1148" s="12"/>
      <c r="BC1148" s="12"/>
      <c r="BD1148" s="12"/>
      <c r="BE1148" s="44"/>
      <c r="BF1148" s="45"/>
      <c r="BG1148" s="12"/>
      <c r="BH1148" s="12"/>
      <c r="BI1148" s="12"/>
      <c r="BJ1148" s="12"/>
      <c r="BK1148" s="44"/>
      <c r="BL1148" s="45"/>
      <c r="BM1148" s="12"/>
      <c r="BN1148" s="12"/>
      <c r="BO1148" s="12"/>
      <c r="BP1148" s="12"/>
      <c r="BQ1148" s="48"/>
      <c r="BR1148" s="49"/>
      <c r="BS1148" s="13"/>
      <c r="BT1148" s="12"/>
      <c r="BV1148" s="14"/>
      <c r="BW1148" s="50"/>
      <c r="BX1148" s="54"/>
      <c r="BY1148" s="14"/>
      <c r="BZ1148" s="14"/>
      <c r="CA1148" s="14"/>
      <c r="CB1148" s="14"/>
      <c r="CC1148" s="14"/>
      <c r="CD1148" s="14"/>
      <c r="CE1148" s="14"/>
      <c r="CF1148" s="15"/>
      <c r="CG1148" s="14"/>
      <c r="CH1148" s="14"/>
      <c r="CI1148" s="50"/>
      <c r="CJ1148" s="54"/>
      <c r="CK1148" s="14"/>
      <c r="CL1148" s="14"/>
      <c r="CM1148" s="14"/>
      <c r="CN1148" s="14"/>
      <c r="CO1148" s="14"/>
      <c r="CP1148" s="14"/>
      <c r="CQ1148" s="14"/>
      <c r="CR1148" s="14"/>
      <c r="CS1148" s="14"/>
      <c r="CT1148" s="14"/>
      <c r="CU1148" s="16"/>
      <c r="CV1148" s="14"/>
      <c r="CW1148" s="50"/>
      <c r="CX1148" s="17"/>
    </row>
    <row r="1149" spans="4:102" x14ac:dyDescent="0.25"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43"/>
      <c r="Q1149" s="11"/>
      <c r="R1149" s="11"/>
      <c r="S1149" s="11"/>
      <c r="T1149" s="11"/>
      <c r="U1149" s="11"/>
      <c r="V1149" s="11"/>
      <c r="W1149" s="11"/>
      <c r="X1149" s="12"/>
      <c r="Y1149" s="12"/>
      <c r="Z1149" s="12"/>
      <c r="AA1149" s="44"/>
      <c r="AB1149" s="45"/>
      <c r="AC1149" s="12"/>
      <c r="AD1149" s="12"/>
      <c r="AE1149" s="12"/>
      <c r="AF1149" s="12"/>
      <c r="AG1149" s="44"/>
      <c r="AH1149" s="45"/>
      <c r="AI1149" s="12"/>
      <c r="AJ1149" s="12"/>
      <c r="AK1149" s="12"/>
      <c r="AL1149" s="12"/>
      <c r="AM1149" s="44"/>
      <c r="AN1149" s="45"/>
      <c r="AO1149" s="12"/>
      <c r="AP1149" s="12"/>
      <c r="AQ1149" s="12"/>
      <c r="AR1149" s="12"/>
      <c r="AS1149" s="44"/>
      <c r="AT1149" s="45"/>
      <c r="AU1149" s="12"/>
      <c r="AV1149" s="12"/>
      <c r="AW1149" s="12"/>
      <c r="AX1149" s="12"/>
      <c r="AY1149" s="44"/>
      <c r="AZ1149" s="45"/>
      <c r="BA1149" s="12"/>
      <c r="BB1149" s="12"/>
      <c r="BC1149" s="12"/>
      <c r="BD1149" s="12"/>
      <c r="BE1149" s="44"/>
      <c r="BF1149" s="45"/>
      <c r="BG1149" s="12"/>
      <c r="BH1149" s="12"/>
      <c r="BI1149" s="12"/>
      <c r="BJ1149" s="12"/>
      <c r="BK1149" s="44"/>
      <c r="BL1149" s="45"/>
      <c r="BM1149" s="12"/>
      <c r="BN1149" s="12"/>
      <c r="BO1149" s="12"/>
      <c r="BP1149" s="12"/>
      <c r="BQ1149" s="48"/>
      <c r="BR1149" s="49"/>
      <c r="BS1149" s="13"/>
      <c r="BT1149" s="12"/>
      <c r="BV1149" s="14"/>
      <c r="BW1149" s="50"/>
      <c r="BX1149" s="54"/>
      <c r="BY1149" s="14"/>
      <c r="BZ1149" s="14"/>
      <c r="CA1149" s="14"/>
      <c r="CB1149" s="14"/>
      <c r="CC1149" s="14"/>
      <c r="CD1149" s="14"/>
      <c r="CE1149" s="14"/>
      <c r="CF1149" s="15"/>
      <c r="CG1149" s="14"/>
      <c r="CH1149" s="14"/>
      <c r="CI1149" s="50"/>
      <c r="CJ1149" s="54"/>
      <c r="CK1149" s="14"/>
      <c r="CL1149" s="14"/>
      <c r="CM1149" s="14"/>
      <c r="CN1149" s="14"/>
      <c r="CO1149" s="14"/>
      <c r="CP1149" s="14"/>
      <c r="CQ1149" s="14"/>
      <c r="CR1149" s="14"/>
      <c r="CS1149" s="14"/>
      <c r="CT1149" s="14"/>
      <c r="CU1149" s="16"/>
      <c r="CV1149" s="14"/>
      <c r="CW1149" s="50"/>
      <c r="CX1149" s="17"/>
    </row>
    <row r="1150" spans="4:102" x14ac:dyDescent="0.25"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43"/>
      <c r="Q1150" s="11"/>
      <c r="R1150" s="11"/>
      <c r="S1150" s="11"/>
      <c r="T1150" s="11"/>
      <c r="U1150" s="11"/>
      <c r="V1150" s="11"/>
      <c r="W1150" s="11"/>
      <c r="X1150" s="12"/>
      <c r="Y1150" s="12"/>
      <c r="Z1150" s="12"/>
      <c r="AA1150" s="44"/>
      <c r="AB1150" s="45"/>
      <c r="AC1150" s="12"/>
      <c r="AD1150" s="12"/>
      <c r="AE1150" s="12"/>
      <c r="AF1150" s="12"/>
      <c r="AG1150" s="44"/>
      <c r="AH1150" s="45"/>
      <c r="AI1150" s="12"/>
      <c r="AJ1150" s="12"/>
      <c r="AK1150" s="12"/>
      <c r="AL1150" s="12"/>
      <c r="AM1150" s="44"/>
      <c r="AN1150" s="45"/>
      <c r="AO1150" s="12"/>
      <c r="AP1150" s="12"/>
      <c r="AQ1150" s="12"/>
      <c r="AR1150" s="12"/>
      <c r="AS1150" s="44"/>
      <c r="AT1150" s="45"/>
      <c r="AU1150" s="12"/>
      <c r="AV1150" s="12"/>
      <c r="AW1150" s="12"/>
      <c r="AX1150" s="12"/>
      <c r="AY1150" s="44"/>
      <c r="AZ1150" s="45"/>
      <c r="BA1150" s="12"/>
      <c r="BB1150" s="12"/>
      <c r="BC1150" s="12"/>
      <c r="BD1150" s="12"/>
      <c r="BE1150" s="44"/>
      <c r="BF1150" s="45"/>
      <c r="BG1150" s="12"/>
      <c r="BH1150" s="12"/>
      <c r="BI1150" s="12"/>
      <c r="BJ1150" s="12"/>
      <c r="BK1150" s="44"/>
      <c r="BL1150" s="45"/>
      <c r="BM1150" s="12"/>
      <c r="BN1150" s="12"/>
      <c r="BO1150" s="12"/>
      <c r="BP1150" s="12"/>
      <c r="BQ1150" s="48"/>
      <c r="BR1150" s="49"/>
      <c r="BS1150" s="13"/>
      <c r="BT1150" s="12"/>
      <c r="BV1150" s="14"/>
      <c r="BW1150" s="50"/>
      <c r="BX1150" s="54"/>
      <c r="BY1150" s="14"/>
      <c r="BZ1150" s="14"/>
      <c r="CA1150" s="14"/>
      <c r="CB1150" s="14"/>
      <c r="CC1150" s="14"/>
      <c r="CD1150" s="14"/>
      <c r="CE1150" s="14"/>
      <c r="CF1150" s="15"/>
      <c r="CG1150" s="14"/>
      <c r="CH1150" s="14"/>
      <c r="CI1150" s="50"/>
      <c r="CJ1150" s="54"/>
      <c r="CK1150" s="14"/>
      <c r="CL1150" s="14"/>
      <c r="CM1150" s="14"/>
      <c r="CN1150" s="14"/>
      <c r="CO1150" s="14"/>
      <c r="CP1150" s="14"/>
      <c r="CQ1150" s="14"/>
      <c r="CR1150" s="14"/>
      <c r="CS1150" s="14"/>
      <c r="CT1150" s="14"/>
      <c r="CU1150" s="16"/>
      <c r="CV1150" s="14"/>
      <c r="CW1150" s="50"/>
      <c r="CX1150" s="17"/>
    </row>
    <row r="1151" spans="4:102" x14ac:dyDescent="0.25"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43"/>
      <c r="Q1151" s="11"/>
      <c r="R1151" s="11"/>
      <c r="S1151" s="11"/>
      <c r="T1151" s="11"/>
      <c r="U1151" s="11"/>
      <c r="V1151" s="11"/>
      <c r="W1151" s="11"/>
      <c r="X1151" s="12"/>
      <c r="Y1151" s="12"/>
      <c r="Z1151" s="12"/>
      <c r="AA1151" s="44"/>
      <c r="AB1151" s="45"/>
      <c r="AC1151" s="12"/>
      <c r="AD1151" s="12"/>
      <c r="AE1151" s="12"/>
      <c r="AF1151" s="12"/>
      <c r="AG1151" s="44"/>
      <c r="AH1151" s="45"/>
      <c r="AI1151" s="12"/>
      <c r="AJ1151" s="12"/>
      <c r="AK1151" s="12"/>
      <c r="AL1151" s="12"/>
      <c r="AM1151" s="44"/>
      <c r="AN1151" s="45"/>
      <c r="AO1151" s="12"/>
      <c r="AP1151" s="12"/>
      <c r="AQ1151" s="12"/>
      <c r="AR1151" s="12"/>
      <c r="AS1151" s="44"/>
      <c r="AT1151" s="45"/>
      <c r="AU1151" s="12"/>
      <c r="AV1151" s="12"/>
      <c r="AW1151" s="12"/>
      <c r="AX1151" s="12"/>
      <c r="AY1151" s="44"/>
      <c r="AZ1151" s="45"/>
      <c r="BA1151" s="12"/>
      <c r="BB1151" s="12"/>
      <c r="BC1151" s="12"/>
      <c r="BD1151" s="12"/>
      <c r="BE1151" s="44"/>
      <c r="BF1151" s="45"/>
      <c r="BG1151" s="12"/>
      <c r="BH1151" s="12"/>
      <c r="BI1151" s="12"/>
      <c r="BJ1151" s="12"/>
      <c r="BK1151" s="44"/>
      <c r="BL1151" s="45"/>
      <c r="BM1151" s="12"/>
      <c r="BN1151" s="12"/>
      <c r="BO1151" s="12"/>
      <c r="BP1151" s="12"/>
      <c r="BQ1151" s="48"/>
      <c r="BR1151" s="49"/>
      <c r="BS1151" s="13"/>
      <c r="BT1151" s="12"/>
      <c r="BV1151" s="14"/>
      <c r="BW1151" s="50"/>
      <c r="BX1151" s="54"/>
      <c r="BY1151" s="14"/>
      <c r="BZ1151" s="14"/>
      <c r="CA1151" s="14"/>
      <c r="CB1151" s="14"/>
      <c r="CC1151" s="14"/>
      <c r="CD1151" s="14"/>
      <c r="CE1151" s="14"/>
      <c r="CF1151" s="15"/>
      <c r="CG1151" s="14"/>
      <c r="CH1151" s="14"/>
      <c r="CI1151" s="50"/>
      <c r="CJ1151" s="54"/>
      <c r="CK1151" s="14"/>
      <c r="CL1151" s="14"/>
      <c r="CM1151" s="14"/>
      <c r="CN1151" s="14"/>
      <c r="CO1151" s="14"/>
      <c r="CP1151" s="14"/>
      <c r="CQ1151" s="14"/>
      <c r="CR1151" s="14"/>
      <c r="CS1151" s="14"/>
      <c r="CT1151" s="14"/>
      <c r="CU1151" s="16"/>
      <c r="CV1151" s="14"/>
      <c r="CW1151" s="50"/>
      <c r="CX1151" s="17"/>
    </row>
    <row r="1152" spans="4:102" x14ac:dyDescent="0.25"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43"/>
      <c r="Q1152" s="11"/>
      <c r="R1152" s="11"/>
      <c r="S1152" s="11"/>
      <c r="T1152" s="11"/>
      <c r="U1152" s="11"/>
      <c r="V1152" s="11"/>
      <c r="W1152" s="11"/>
      <c r="X1152" s="12"/>
      <c r="Y1152" s="12"/>
      <c r="Z1152" s="12"/>
      <c r="AA1152" s="44"/>
      <c r="AB1152" s="45"/>
      <c r="AC1152" s="12"/>
      <c r="AD1152" s="12"/>
      <c r="AE1152" s="12"/>
      <c r="AF1152" s="12"/>
      <c r="AG1152" s="44"/>
      <c r="AH1152" s="45"/>
      <c r="AI1152" s="12"/>
      <c r="AJ1152" s="12"/>
      <c r="AK1152" s="12"/>
      <c r="AL1152" s="12"/>
      <c r="AM1152" s="44"/>
      <c r="AN1152" s="45"/>
      <c r="AO1152" s="12"/>
      <c r="AP1152" s="12"/>
      <c r="AQ1152" s="12"/>
      <c r="AR1152" s="12"/>
      <c r="AS1152" s="44"/>
      <c r="AT1152" s="45"/>
      <c r="AU1152" s="12"/>
      <c r="AV1152" s="12"/>
      <c r="AW1152" s="12"/>
      <c r="AX1152" s="12"/>
      <c r="AY1152" s="44"/>
      <c r="AZ1152" s="45"/>
      <c r="BA1152" s="12"/>
      <c r="BB1152" s="12"/>
      <c r="BC1152" s="12"/>
      <c r="BD1152" s="12"/>
      <c r="BE1152" s="44"/>
      <c r="BF1152" s="45"/>
      <c r="BG1152" s="12"/>
      <c r="BH1152" s="12"/>
      <c r="BI1152" s="12"/>
      <c r="BJ1152" s="12"/>
      <c r="BK1152" s="44"/>
      <c r="BL1152" s="45"/>
      <c r="BM1152" s="12"/>
      <c r="BN1152" s="12"/>
      <c r="BO1152" s="12"/>
      <c r="BP1152" s="12"/>
      <c r="BQ1152" s="48"/>
      <c r="BR1152" s="49"/>
      <c r="BS1152" s="13"/>
      <c r="BT1152" s="12"/>
      <c r="BV1152" s="14"/>
      <c r="BW1152" s="50"/>
      <c r="BX1152" s="54"/>
      <c r="BY1152" s="14"/>
      <c r="BZ1152" s="14"/>
      <c r="CA1152" s="14"/>
      <c r="CB1152" s="14"/>
      <c r="CC1152" s="14"/>
      <c r="CD1152" s="14"/>
      <c r="CE1152" s="14"/>
      <c r="CF1152" s="15"/>
      <c r="CG1152" s="14"/>
      <c r="CH1152" s="14"/>
      <c r="CI1152" s="50"/>
      <c r="CJ1152" s="54"/>
      <c r="CK1152" s="14"/>
      <c r="CL1152" s="14"/>
      <c r="CM1152" s="14"/>
      <c r="CN1152" s="14"/>
      <c r="CO1152" s="14"/>
      <c r="CP1152" s="14"/>
      <c r="CQ1152" s="14"/>
      <c r="CR1152" s="14"/>
      <c r="CS1152" s="14"/>
      <c r="CT1152" s="14"/>
      <c r="CU1152" s="16"/>
      <c r="CV1152" s="14"/>
      <c r="CW1152" s="50"/>
      <c r="CX1152" s="17"/>
    </row>
    <row r="1153" spans="4:102" x14ac:dyDescent="0.25"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43"/>
      <c r="Q1153" s="11"/>
      <c r="R1153" s="11"/>
      <c r="S1153" s="11"/>
      <c r="T1153" s="11"/>
      <c r="U1153" s="11"/>
      <c r="V1153" s="11"/>
      <c r="W1153" s="11"/>
      <c r="X1153" s="12"/>
      <c r="Y1153" s="12"/>
      <c r="Z1153" s="12"/>
      <c r="AA1153" s="44"/>
      <c r="AB1153" s="45"/>
      <c r="AC1153" s="12"/>
      <c r="AD1153" s="12"/>
      <c r="AE1153" s="12"/>
      <c r="AF1153" s="12"/>
      <c r="AG1153" s="44"/>
      <c r="AH1153" s="45"/>
      <c r="AI1153" s="12"/>
      <c r="AJ1153" s="12"/>
      <c r="AK1153" s="12"/>
      <c r="AL1153" s="12"/>
      <c r="AM1153" s="44"/>
      <c r="AN1153" s="45"/>
      <c r="AO1153" s="12"/>
      <c r="AP1153" s="12"/>
      <c r="AQ1153" s="12"/>
      <c r="AR1153" s="12"/>
      <c r="AS1153" s="44"/>
      <c r="AT1153" s="45"/>
      <c r="AU1153" s="12"/>
      <c r="AV1153" s="12"/>
      <c r="AW1153" s="12"/>
      <c r="AX1153" s="12"/>
      <c r="AY1153" s="44"/>
      <c r="AZ1153" s="45"/>
      <c r="BA1153" s="12"/>
      <c r="BB1153" s="12"/>
      <c r="BC1153" s="12"/>
      <c r="BD1153" s="12"/>
      <c r="BE1153" s="44"/>
      <c r="BF1153" s="45"/>
      <c r="BG1153" s="12"/>
      <c r="BH1153" s="12"/>
      <c r="BI1153" s="12"/>
      <c r="BJ1153" s="12"/>
      <c r="BK1153" s="44"/>
      <c r="BL1153" s="45"/>
      <c r="BM1153" s="12"/>
      <c r="BN1153" s="12"/>
      <c r="BO1153" s="12"/>
      <c r="BP1153" s="12"/>
      <c r="BQ1153" s="48"/>
      <c r="BR1153" s="49"/>
      <c r="BS1153" s="13"/>
      <c r="BT1153" s="12"/>
      <c r="BV1153" s="14"/>
      <c r="BW1153" s="50"/>
      <c r="BX1153" s="54"/>
      <c r="BY1153" s="14"/>
      <c r="BZ1153" s="14"/>
      <c r="CA1153" s="14"/>
      <c r="CB1153" s="14"/>
      <c r="CC1153" s="14"/>
      <c r="CD1153" s="14"/>
      <c r="CE1153" s="14"/>
      <c r="CF1153" s="15"/>
      <c r="CG1153" s="14"/>
      <c r="CH1153" s="14"/>
      <c r="CI1153" s="50"/>
      <c r="CJ1153" s="54"/>
      <c r="CK1153" s="14"/>
      <c r="CL1153" s="14"/>
      <c r="CM1153" s="14"/>
      <c r="CN1153" s="14"/>
      <c r="CO1153" s="14"/>
      <c r="CP1153" s="14"/>
      <c r="CQ1153" s="14"/>
      <c r="CR1153" s="14"/>
      <c r="CS1153" s="14"/>
      <c r="CT1153" s="14"/>
      <c r="CU1153" s="16"/>
      <c r="CV1153" s="14"/>
      <c r="CW1153" s="50"/>
      <c r="CX1153" s="17"/>
    </row>
    <row r="1154" spans="4:102" x14ac:dyDescent="0.25"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43"/>
      <c r="Q1154" s="11"/>
      <c r="R1154" s="11"/>
      <c r="S1154" s="11"/>
      <c r="T1154" s="11"/>
      <c r="U1154" s="11"/>
      <c r="V1154" s="11"/>
      <c r="W1154" s="11"/>
      <c r="X1154" s="12"/>
      <c r="Y1154" s="12"/>
      <c r="Z1154" s="12"/>
      <c r="AA1154" s="44"/>
      <c r="AB1154" s="45"/>
      <c r="AC1154" s="12"/>
      <c r="AD1154" s="12"/>
      <c r="AE1154" s="12"/>
      <c r="AF1154" s="12"/>
      <c r="AG1154" s="44"/>
      <c r="AH1154" s="45"/>
      <c r="AI1154" s="12"/>
      <c r="AJ1154" s="12"/>
      <c r="AK1154" s="12"/>
      <c r="AL1154" s="12"/>
      <c r="AM1154" s="44"/>
      <c r="AN1154" s="45"/>
      <c r="AO1154" s="12"/>
      <c r="AP1154" s="12"/>
      <c r="AQ1154" s="12"/>
      <c r="AR1154" s="12"/>
      <c r="AS1154" s="44"/>
      <c r="AT1154" s="45"/>
      <c r="AU1154" s="12"/>
      <c r="AV1154" s="12"/>
      <c r="AW1154" s="12"/>
      <c r="AX1154" s="12"/>
      <c r="AY1154" s="44"/>
      <c r="AZ1154" s="45"/>
      <c r="BA1154" s="12"/>
      <c r="BB1154" s="12"/>
      <c r="BC1154" s="12"/>
      <c r="BD1154" s="12"/>
      <c r="BE1154" s="44"/>
      <c r="BF1154" s="45"/>
      <c r="BG1154" s="12"/>
      <c r="BH1154" s="12"/>
      <c r="BI1154" s="12"/>
      <c r="BJ1154" s="12"/>
      <c r="BK1154" s="44"/>
      <c r="BL1154" s="45"/>
      <c r="BM1154" s="12"/>
      <c r="BN1154" s="12"/>
      <c r="BO1154" s="12"/>
      <c r="BP1154" s="12"/>
      <c r="BQ1154" s="48"/>
      <c r="BR1154" s="49"/>
      <c r="BS1154" s="13"/>
      <c r="BT1154" s="12"/>
      <c r="BV1154" s="14"/>
      <c r="BW1154" s="50"/>
      <c r="BX1154" s="54"/>
      <c r="BY1154" s="14"/>
      <c r="BZ1154" s="14"/>
      <c r="CA1154" s="14"/>
      <c r="CB1154" s="14"/>
      <c r="CC1154" s="14"/>
      <c r="CD1154" s="14"/>
      <c r="CE1154" s="14"/>
      <c r="CF1154" s="15"/>
      <c r="CG1154" s="14"/>
      <c r="CH1154" s="14"/>
      <c r="CI1154" s="50"/>
      <c r="CJ1154" s="54"/>
      <c r="CK1154" s="14"/>
      <c r="CL1154" s="14"/>
      <c r="CM1154" s="14"/>
      <c r="CN1154" s="14"/>
      <c r="CO1154" s="14"/>
      <c r="CP1154" s="14"/>
      <c r="CQ1154" s="14"/>
      <c r="CR1154" s="14"/>
      <c r="CS1154" s="14"/>
      <c r="CT1154" s="14"/>
      <c r="CU1154" s="16"/>
      <c r="CV1154" s="14"/>
      <c r="CW1154" s="50"/>
      <c r="CX1154" s="17"/>
    </row>
    <row r="1155" spans="4:102" x14ac:dyDescent="0.25"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43"/>
      <c r="Q1155" s="11"/>
      <c r="R1155" s="11"/>
      <c r="S1155" s="11"/>
      <c r="T1155" s="11"/>
      <c r="U1155" s="11"/>
      <c r="V1155" s="11"/>
      <c r="W1155" s="11"/>
      <c r="X1155" s="12"/>
      <c r="Y1155" s="12"/>
      <c r="Z1155" s="12"/>
      <c r="AA1155" s="44"/>
      <c r="AB1155" s="45"/>
      <c r="AC1155" s="12"/>
      <c r="AD1155" s="12"/>
      <c r="AE1155" s="12"/>
      <c r="AF1155" s="12"/>
      <c r="AG1155" s="44"/>
      <c r="AH1155" s="45"/>
      <c r="AI1155" s="12"/>
      <c r="AJ1155" s="12"/>
      <c r="AK1155" s="12"/>
      <c r="AL1155" s="12"/>
      <c r="AM1155" s="44"/>
      <c r="AN1155" s="45"/>
      <c r="AO1155" s="12"/>
      <c r="AP1155" s="12"/>
      <c r="AQ1155" s="12"/>
      <c r="AR1155" s="12"/>
      <c r="AS1155" s="44"/>
      <c r="AT1155" s="45"/>
      <c r="AU1155" s="12"/>
      <c r="AV1155" s="12"/>
      <c r="AW1155" s="12"/>
      <c r="AX1155" s="12"/>
      <c r="AY1155" s="44"/>
      <c r="AZ1155" s="45"/>
      <c r="BA1155" s="12"/>
      <c r="BB1155" s="12"/>
      <c r="BC1155" s="12"/>
      <c r="BD1155" s="12"/>
      <c r="BE1155" s="44"/>
      <c r="BF1155" s="45"/>
      <c r="BG1155" s="12"/>
      <c r="BH1155" s="12"/>
      <c r="BI1155" s="12"/>
      <c r="BJ1155" s="12"/>
      <c r="BK1155" s="44"/>
      <c r="BL1155" s="45"/>
      <c r="BM1155" s="12"/>
      <c r="BN1155" s="12"/>
      <c r="BO1155" s="12"/>
      <c r="BP1155" s="12"/>
      <c r="BQ1155" s="48"/>
      <c r="BR1155" s="49"/>
      <c r="BS1155" s="13"/>
      <c r="BT1155" s="12"/>
      <c r="BV1155" s="14"/>
      <c r="BW1155" s="50"/>
      <c r="BX1155" s="54"/>
      <c r="BY1155" s="14"/>
      <c r="BZ1155" s="14"/>
      <c r="CA1155" s="14"/>
      <c r="CB1155" s="14"/>
      <c r="CC1155" s="14"/>
      <c r="CD1155" s="14"/>
      <c r="CE1155" s="14"/>
      <c r="CF1155" s="15"/>
      <c r="CG1155" s="14"/>
      <c r="CH1155" s="14"/>
      <c r="CI1155" s="50"/>
      <c r="CJ1155" s="54"/>
      <c r="CK1155" s="14"/>
      <c r="CL1155" s="14"/>
      <c r="CM1155" s="14"/>
      <c r="CN1155" s="14"/>
      <c r="CO1155" s="14"/>
      <c r="CP1155" s="14"/>
      <c r="CQ1155" s="14"/>
      <c r="CR1155" s="14"/>
      <c r="CS1155" s="14"/>
      <c r="CT1155" s="14"/>
      <c r="CU1155" s="16"/>
      <c r="CV1155" s="14"/>
      <c r="CW1155" s="50"/>
      <c r="CX1155" s="17"/>
    </row>
    <row r="1156" spans="4:102" x14ac:dyDescent="0.25"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43"/>
      <c r="Q1156" s="11"/>
      <c r="R1156" s="11"/>
      <c r="S1156" s="11"/>
      <c r="T1156" s="11"/>
      <c r="U1156" s="11"/>
      <c r="V1156" s="11"/>
      <c r="W1156" s="11"/>
      <c r="X1156" s="12"/>
      <c r="Y1156" s="12"/>
      <c r="Z1156" s="12"/>
      <c r="AA1156" s="44"/>
      <c r="AB1156" s="45"/>
      <c r="AC1156" s="12"/>
      <c r="AD1156" s="12"/>
      <c r="AE1156" s="12"/>
      <c r="AF1156" s="12"/>
      <c r="AG1156" s="44"/>
      <c r="AH1156" s="45"/>
      <c r="AI1156" s="12"/>
      <c r="AJ1156" s="12"/>
      <c r="AK1156" s="12"/>
      <c r="AL1156" s="12"/>
      <c r="AM1156" s="44"/>
      <c r="AN1156" s="45"/>
      <c r="AO1156" s="12"/>
      <c r="AP1156" s="12"/>
      <c r="AQ1156" s="12"/>
      <c r="AR1156" s="12"/>
      <c r="AS1156" s="44"/>
      <c r="AT1156" s="45"/>
      <c r="AU1156" s="12"/>
      <c r="AV1156" s="12"/>
      <c r="AW1156" s="12"/>
      <c r="AX1156" s="12"/>
      <c r="AY1156" s="44"/>
      <c r="AZ1156" s="45"/>
      <c r="BA1156" s="12"/>
      <c r="BB1156" s="12"/>
      <c r="BC1156" s="12"/>
      <c r="BD1156" s="12"/>
      <c r="BE1156" s="44"/>
      <c r="BF1156" s="45"/>
      <c r="BG1156" s="12"/>
      <c r="BH1156" s="12"/>
      <c r="BI1156" s="12"/>
      <c r="BJ1156" s="12"/>
      <c r="BK1156" s="44"/>
      <c r="BL1156" s="45"/>
      <c r="BM1156" s="12"/>
      <c r="BN1156" s="12"/>
      <c r="BO1156" s="12"/>
      <c r="BP1156" s="12"/>
      <c r="BQ1156" s="48"/>
      <c r="BR1156" s="49"/>
      <c r="BS1156" s="13"/>
      <c r="BT1156" s="12"/>
      <c r="BV1156" s="14"/>
      <c r="BW1156" s="50"/>
      <c r="BX1156" s="54"/>
      <c r="BY1156" s="14"/>
      <c r="BZ1156" s="14"/>
      <c r="CA1156" s="14"/>
      <c r="CB1156" s="14"/>
      <c r="CC1156" s="14"/>
      <c r="CD1156" s="14"/>
      <c r="CE1156" s="14"/>
      <c r="CF1156" s="15"/>
      <c r="CG1156" s="14"/>
      <c r="CH1156" s="14"/>
      <c r="CI1156" s="50"/>
      <c r="CJ1156" s="54"/>
      <c r="CK1156" s="14"/>
      <c r="CL1156" s="14"/>
      <c r="CM1156" s="14"/>
      <c r="CN1156" s="14"/>
      <c r="CO1156" s="14"/>
      <c r="CP1156" s="14"/>
      <c r="CQ1156" s="14"/>
      <c r="CR1156" s="14"/>
      <c r="CS1156" s="14"/>
      <c r="CT1156" s="14"/>
      <c r="CU1156" s="16"/>
      <c r="CV1156" s="14"/>
      <c r="CW1156" s="50"/>
      <c r="CX1156" s="17"/>
    </row>
    <row r="1157" spans="4:102" x14ac:dyDescent="0.25"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43"/>
      <c r="Q1157" s="11"/>
      <c r="R1157" s="11"/>
      <c r="S1157" s="11"/>
      <c r="T1157" s="11"/>
      <c r="U1157" s="11"/>
      <c r="V1157" s="11"/>
      <c r="W1157" s="11"/>
      <c r="X1157" s="12"/>
      <c r="Y1157" s="12"/>
      <c r="Z1157" s="12"/>
      <c r="AA1157" s="44"/>
      <c r="AB1157" s="45"/>
      <c r="AC1157" s="12"/>
      <c r="AD1157" s="12"/>
      <c r="AE1157" s="12"/>
      <c r="AF1157" s="12"/>
      <c r="AG1157" s="44"/>
      <c r="AH1157" s="45"/>
      <c r="AI1157" s="12"/>
      <c r="AJ1157" s="12"/>
      <c r="AK1157" s="12"/>
      <c r="AL1157" s="12"/>
      <c r="AM1157" s="44"/>
      <c r="AN1157" s="45"/>
      <c r="AO1157" s="12"/>
      <c r="AP1157" s="12"/>
      <c r="AQ1157" s="12"/>
      <c r="AR1157" s="12"/>
      <c r="AS1157" s="44"/>
      <c r="AT1157" s="45"/>
      <c r="AU1157" s="12"/>
      <c r="AV1157" s="12"/>
      <c r="AW1157" s="12"/>
      <c r="AX1157" s="12"/>
      <c r="AY1157" s="44"/>
      <c r="AZ1157" s="45"/>
      <c r="BA1157" s="12"/>
      <c r="BB1157" s="12"/>
      <c r="BC1157" s="12"/>
      <c r="BD1157" s="12"/>
      <c r="BE1157" s="44"/>
      <c r="BF1157" s="45"/>
      <c r="BG1157" s="12"/>
      <c r="BH1157" s="12"/>
      <c r="BI1157" s="12"/>
      <c r="BJ1157" s="12"/>
      <c r="BK1157" s="44"/>
      <c r="BL1157" s="45"/>
      <c r="BM1157" s="12"/>
      <c r="BN1157" s="12"/>
      <c r="BO1157" s="12"/>
      <c r="BP1157" s="12"/>
      <c r="BQ1157" s="48"/>
      <c r="BR1157" s="49"/>
      <c r="BS1157" s="13"/>
      <c r="BT1157" s="12"/>
      <c r="BV1157" s="14"/>
      <c r="BW1157" s="50"/>
      <c r="BX1157" s="54"/>
      <c r="BY1157" s="14"/>
      <c r="BZ1157" s="14"/>
      <c r="CA1157" s="14"/>
      <c r="CB1157" s="14"/>
      <c r="CC1157" s="14"/>
      <c r="CD1157" s="14"/>
      <c r="CE1157" s="14"/>
      <c r="CF1157" s="15"/>
      <c r="CG1157" s="14"/>
      <c r="CH1157" s="14"/>
      <c r="CI1157" s="50"/>
      <c r="CJ1157" s="54"/>
      <c r="CK1157" s="14"/>
      <c r="CL1157" s="14"/>
      <c r="CM1157" s="14"/>
      <c r="CN1157" s="14"/>
      <c r="CO1157" s="14"/>
      <c r="CP1157" s="14"/>
      <c r="CQ1157" s="14"/>
      <c r="CR1157" s="14"/>
      <c r="CS1157" s="14"/>
      <c r="CT1157" s="14"/>
      <c r="CU1157" s="16"/>
      <c r="CV1157" s="14"/>
      <c r="CW1157" s="50"/>
      <c r="CX1157" s="17"/>
    </row>
    <row r="1158" spans="4:102" x14ac:dyDescent="0.25"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43"/>
      <c r="Q1158" s="11"/>
      <c r="R1158" s="11"/>
      <c r="S1158" s="11"/>
      <c r="T1158" s="11"/>
      <c r="U1158" s="11"/>
      <c r="V1158" s="11"/>
      <c r="W1158" s="11"/>
      <c r="X1158" s="12"/>
      <c r="Y1158" s="12"/>
      <c r="Z1158" s="12"/>
      <c r="AA1158" s="44"/>
      <c r="AB1158" s="45"/>
      <c r="AC1158" s="12"/>
      <c r="AD1158" s="12"/>
      <c r="AE1158" s="12"/>
      <c r="AF1158" s="12"/>
      <c r="AG1158" s="44"/>
      <c r="AH1158" s="45"/>
      <c r="AI1158" s="12"/>
      <c r="AJ1158" s="12"/>
      <c r="AK1158" s="12"/>
      <c r="AL1158" s="12"/>
      <c r="AM1158" s="44"/>
      <c r="AN1158" s="45"/>
      <c r="AO1158" s="12"/>
      <c r="AP1158" s="12"/>
      <c r="AQ1158" s="12"/>
      <c r="AR1158" s="12"/>
      <c r="AS1158" s="44"/>
      <c r="AT1158" s="45"/>
      <c r="AU1158" s="12"/>
      <c r="AV1158" s="12"/>
      <c r="AW1158" s="12"/>
      <c r="AX1158" s="12"/>
      <c r="AY1158" s="44"/>
      <c r="AZ1158" s="45"/>
      <c r="BA1158" s="12"/>
      <c r="BB1158" s="12"/>
      <c r="BC1158" s="12"/>
      <c r="BD1158" s="12"/>
      <c r="BE1158" s="44"/>
      <c r="BF1158" s="45"/>
      <c r="BG1158" s="12"/>
      <c r="BH1158" s="12"/>
      <c r="BI1158" s="12"/>
      <c r="BJ1158" s="12"/>
      <c r="BK1158" s="44"/>
      <c r="BL1158" s="45"/>
      <c r="BM1158" s="12"/>
      <c r="BN1158" s="12"/>
      <c r="BO1158" s="12"/>
      <c r="BP1158" s="12"/>
      <c r="BQ1158" s="48"/>
      <c r="BR1158" s="49"/>
      <c r="BS1158" s="13"/>
      <c r="BT1158" s="12"/>
      <c r="BV1158" s="14"/>
      <c r="BW1158" s="50"/>
      <c r="BX1158" s="54"/>
      <c r="BY1158" s="14"/>
      <c r="BZ1158" s="14"/>
      <c r="CA1158" s="14"/>
      <c r="CB1158" s="14"/>
      <c r="CC1158" s="14"/>
      <c r="CD1158" s="14"/>
      <c r="CE1158" s="14"/>
      <c r="CF1158" s="15"/>
      <c r="CG1158" s="14"/>
      <c r="CH1158" s="14"/>
      <c r="CI1158" s="50"/>
      <c r="CJ1158" s="54"/>
      <c r="CK1158" s="14"/>
      <c r="CL1158" s="14"/>
      <c r="CM1158" s="14"/>
      <c r="CN1158" s="14"/>
      <c r="CO1158" s="14"/>
      <c r="CP1158" s="14"/>
      <c r="CQ1158" s="14"/>
      <c r="CR1158" s="14"/>
      <c r="CS1158" s="14"/>
      <c r="CT1158" s="14"/>
      <c r="CU1158" s="16"/>
      <c r="CV1158" s="14"/>
      <c r="CW1158" s="50"/>
      <c r="CX1158" s="17"/>
    </row>
    <row r="1159" spans="4:102" x14ac:dyDescent="0.25"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43"/>
      <c r="Q1159" s="11"/>
      <c r="R1159" s="11"/>
      <c r="S1159" s="11"/>
      <c r="T1159" s="11"/>
      <c r="U1159" s="11"/>
      <c r="V1159" s="11"/>
      <c r="W1159" s="11"/>
      <c r="X1159" s="12"/>
      <c r="Y1159" s="12"/>
      <c r="Z1159" s="12"/>
      <c r="AA1159" s="44"/>
      <c r="AB1159" s="45"/>
      <c r="AC1159" s="12"/>
      <c r="AD1159" s="12"/>
      <c r="AE1159" s="12"/>
      <c r="AF1159" s="12"/>
      <c r="AG1159" s="44"/>
      <c r="AH1159" s="45"/>
      <c r="AI1159" s="12"/>
      <c r="AJ1159" s="12"/>
      <c r="AK1159" s="12"/>
      <c r="AL1159" s="12"/>
      <c r="AM1159" s="44"/>
      <c r="AN1159" s="45"/>
      <c r="AO1159" s="12"/>
      <c r="AP1159" s="12"/>
      <c r="AQ1159" s="12"/>
      <c r="AR1159" s="12"/>
      <c r="AS1159" s="44"/>
      <c r="AT1159" s="45"/>
      <c r="AU1159" s="12"/>
      <c r="AV1159" s="12"/>
      <c r="AW1159" s="12"/>
      <c r="AX1159" s="12"/>
      <c r="AY1159" s="44"/>
      <c r="AZ1159" s="45"/>
      <c r="BA1159" s="12"/>
      <c r="BB1159" s="12"/>
      <c r="BC1159" s="12"/>
      <c r="BD1159" s="12"/>
      <c r="BE1159" s="44"/>
      <c r="BF1159" s="45"/>
      <c r="BG1159" s="12"/>
      <c r="BH1159" s="12"/>
      <c r="BI1159" s="12"/>
      <c r="BJ1159" s="12"/>
      <c r="BK1159" s="44"/>
      <c r="BL1159" s="45"/>
      <c r="BM1159" s="12"/>
      <c r="BN1159" s="12"/>
      <c r="BO1159" s="12"/>
      <c r="BP1159" s="12"/>
      <c r="BQ1159" s="48"/>
      <c r="BR1159" s="49"/>
      <c r="BS1159" s="13"/>
      <c r="BT1159" s="12"/>
      <c r="BV1159" s="14"/>
      <c r="BW1159" s="50"/>
      <c r="BX1159" s="54"/>
      <c r="BY1159" s="14"/>
      <c r="BZ1159" s="14"/>
      <c r="CA1159" s="14"/>
      <c r="CB1159" s="14"/>
      <c r="CC1159" s="14"/>
      <c r="CD1159" s="14"/>
      <c r="CE1159" s="14"/>
      <c r="CF1159" s="15"/>
      <c r="CG1159" s="14"/>
      <c r="CH1159" s="14"/>
      <c r="CI1159" s="50"/>
      <c r="CJ1159" s="54"/>
      <c r="CK1159" s="14"/>
      <c r="CL1159" s="14"/>
      <c r="CM1159" s="14"/>
      <c r="CN1159" s="14"/>
      <c r="CO1159" s="14"/>
      <c r="CP1159" s="14"/>
      <c r="CQ1159" s="14"/>
      <c r="CR1159" s="14"/>
      <c r="CS1159" s="14"/>
      <c r="CT1159" s="14"/>
      <c r="CU1159" s="16"/>
      <c r="CV1159" s="14"/>
      <c r="CW1159" s="50"/>
      <c r="CX1159" s="17"/>
    </row>
    <row r="1160" spans="4:102" x14ac:dyDescent="0.25"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43"/>
      <c r="Q1160" s="11"/>
      <c r="R1160" s="11"/>
      <c r="S1160" s="11"/>
      <c r="T1160" s="11"/>
      <c r="U1160" s="11"/>
      <c r="V1160" s="11"/>
      <c r="W1160" s="11"/>
      <c r="X1160" s="12"/>
      <c r="Y1160" s="12"/>
      <c r="Z1160" s="12"/>
      <c r="AA1160" s="44"/>
      <c r="AB1160" s="45"/>
      <c r="AC1160" s="12"/>
      <c r="AD1160" s="12"/>
      <c r="AE1160" s="12"/>
      <c r="AF1160" s="12"/>
      <c r="AG1160" s="44"/>
      <c r="AH1160" s="45"/>
      <c r="AI1160" s="12"/>
      <c r="AJ1160" s="12"/>
      <c r="AK1160" s="12"/>
      <c r="AL1160" s="12"/>
      <c r="AM1160" s="44"/>
      <c r="AN1160" s="45"/>
      <c r="AO1160" s="12"/>
      <c r="AP1160" s="12"/>
      <c r="AQ1160" s="12"/>
      <c r="AR1160" s="12"/>
      <c r="AS1160" s="44"/>
      <c r="AT1160" s="45"/>
      <c r="AU1160" s="12"/>
      <c r="AV1160" s="12"/>
      <c r="AW1160" s="12"/>
      <c r="AX1160" s="12"/>
      <c r="AY1160" s="44"/>
      <c r="AZ1160" s="45"/>
      <c r="BA1160" s="12"/>
      <c r="BB1160" s="12"/>
      <c r="BC1160" s="12"/>
      <c r="BD1160" s="12"/>
      <c r="BE1160" s="44"/>
      <c r="BF1160" s="45"/>
      <c r="BG1160" s="12"/>
      <c r="BH1160" s="12"/>
      <c r="BI1160" s="12"/>
      <c r="BJ1160" s="12"/>
      <c r="BK1160" s="44"/>
      <c r="BL1160" s="45"/>
      <c r="BM1160" s="12"/>
      <c r="BN1160" s="12"/>
      <c r="BO1160" s="12"/>
      <c r="BP1160" s="12"/>
      <c r="BQ1160" s="48"/>
      <c r="BR1160" s="49"/>
      <c r="BS1160" s="13"/>
      <c r="BT1160" s="12"/>
      <c r="BV1160" s="14"/>
      <c r="BW1160" s="50"/>
      <c r="BX1160" s="54"/>
      <c r="BY1160" s="14"/>
      <c r="BZ1160" s="14"/>
      <c r="CA1160" s="14"/>
      <c r="CB1160" s="14"/>
      <c r="CC1160" s="14"/>
      <c r="CD1160" s="14"/>
      <c r="CE1160" s="14"/>
      <c r="CF1160" s="15"/>
      <c r="CG1160" s="14"/>
      <c r="CH1160" s="14"/>
      <c r="CI1160" s="50"/>
      <c r="CJ1160" s="54"/>
      <c r="CK1160" s="14"/>
      <c r="CL1160" s="14"/>
      <c r="CM1160" s="14"/>
      <c r="CN1160" s="14"/>
      <c r="CO1160" s="14"/>
      <c r="CP1160" s="14"/>
      <c r="CQ1160" s="14"/>
      <c r="CR1160" s="14"/>
      <c r="CS1160" s="14"/>
      <c r="CT1160" s="14"/>
      <c r="CU1160" s="16"/>
      <c r="CV1160" s="14"/>
      <c r="CW1160" s="50"/>
      <c r="CX1160" s="17"/>
    </row>
    <row r="1161" spans="4:102" x14ac:dyDescent="0.25"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43"/>
      <c r="Q1161" s="11"/>
      <c r="R1161" s="11"/>
      <c r="S1161" s="11"/>
      <c r="T1161" s="11"/>
      <c r="U1161" s="11"/>
      <c r="V1161" s="11"/>
      <c r="W1161" s="11"/>
      <c r="X1161" s="12"/>
      <c r="Y1161" s="12"/>
      <c r="Z1161" s="12"/>
      <c r="AA1161" s="44"/>
      <c r="AB1161" s="45"/>
      <c r="AC1161" s="12"/>
      <c r="AD1161" s="12"/>
      <c r="AE1161" s="12"/>
      <c r="AF1161" s="12"/>
      <c r="AG1161" s="44"/>
      <c r="AH1161" s="45"/>
      <c r="AI1161" s="12"/>
      <c r="AJ1161" s="12"/>
      <c r="AK1161" s="12"/>
      <c r="AL1161" s="12"/>
      <c r="AM1161" s="44"/>
      <c r="AN1161" s="45"/>
      <c r="AO1161" s="12"/>
      <c r="AP1161" s="12"/>
      <c r="AQ1161" s="12"/>
      <c r="AR1161" s="12"/>
      <c r="AS1161" s="44"/>
      <c r="AT1161" s="45"/>
      <c r="AU1161" s="12"/>
      <c r="AV1161" s="12"/>
      <c r="AW1161" s="12"/>
      <c r="AX1161" s="12"/>
      <c r="AY1161" s="44"/>
      <c r="AZ1161" s="45"/>
      <c r="BA1161" s="12"/>
      <c r="BB1161" s="12"/>
      <c r="BC1161" s="12"/>
      <c r="BD1161" s="12"/>
      <c r="BE1161" s="44"/>
      <c r="BF1161" s="45"/>
      <c r="BG1161" s="12"/>
      <c r="BH1161" s="12"/>
      <c r="BI1161" s="12"/>
      <c r="BJ1161" s="12"/>
      <c r="BK1161" s="44"/>
      <c r="BL1161" s="45"/>
      <c r="BM1161" s="12"/>
      <c r="BN1161" s="12"/>
      <c r="BO1161" s="12"/>
      <c r="BP1161" s="12"/>
      <c r="BQ1161" s="48"/>
      <c r="BR1161" s="49"/>
      <c r="BS1161" s="13"/>
      <c r="BT1161" s="12"/>
      <c r="BV1161" s="14"/>
      <c r="BW1161" s="50"/>
      <c r="BX1161" s="54"/>
      <c r="BY1161" s="14"/>
      <c r="BZ1161" s="14"/>
      <c r="CA1161" s="14"/>
      <c r="CB1161" s="14"/>
      <c r="CC1161" s="14"/>
      <c r="CD1161" s="14"/>
      <c r="CE1161" s="14"/>
      <c r="CF1161" s="15"/>
      <c r="CG1161" s="14"/>
      <c r="CH1161" s="14"/>
      <c r="CI1161" s="50"/>
      <c r="CJ1161" s="54"/>
      <c r="CK1161" s="14"/>
      <c r="CL1161" s="14"/>
      <c r="CM1161" s="14"/>
      <c r="CN1161" s="14"/>
      <c r="CO1161" s="14"/>
      <c r="CP1161" s="14"/>
      <c r="CQ1161" s="14"/>
      <c r="CR1161" s="14"/>
      <c r="CS1161" s="14"/>
      <c r="CT1161" s="14"/>
      <c r="CU1161" s="16"/>
      <c r="CV1161" s="14"/>
      <c r="CW1161" s="50"/>
      <c r="CX1161" s="17"/>
    </row>
    <row r="1162" spans="4:102" x14ac:dyDescent="0.25"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43"/>
      <c r="Q1162" s="11"/>
      <c r="R1162" s="11"/>
      <c r="S1162" s="11"/>
      <c r="T1162" s="11"/>
      <c r="U1162" s="11"/>
      <c r="V1162" s="11"/>
      <c r="W1162" s="11"/>
      <c r="X1162" s="12"/>
      <c r="Y1162" s="12"/>
      <c r="Z1162" s="12"/>
      <c r="AA1162" s="44"/>
      <c r="AB1162" s="45"/>
      <c r="AC1162" s="12"/>
      <c r="AD1162" s="12"/>
      <c r="AE1162" s="12"/>
      <c r="AF1162" s="12"/>
      <c r="AG1162" s="44"/>
      <c r="AH1162" s="45"/>
      <c r="AI1162" s="12"/>
      <c r="AJ1162" s="12"/>
      <c r="AK1162" s="12"/>
      <c r="AL1162" s="12"/>
      <c r="AM1162" s="44"/>
      <c r="AN1162" s="45"/>
      <c r="AO1162" s="12"/>
      <c r="AP1162" s="12"/>
      <c r="AQ1162" s="12"/>
      <c r="AR1162" s="12"/>
      <c r="AS1162" s="44"/>
      <c r="AT1162" s="45"/>
      <c r="AU1162" s="12"/>
      <c r="AV1162" s="12"/>
      <c r="AW1162" s="12"/>
      <c r="AX1162" s="12"/>
      <c r="AY1162" s="44"/>
      <c r="AZ1162" s="45"/>
      <c r="BA1162" s="12"/>
      <c r="BB1162" s="12"/>
      <c r="BC1162" s="12"/>
      <c r="BD1162" s="12"/>
      <c r="BE1162" s="44"/>
      <c r="BF1162" s="45"/>
      <c r="BG1162" s="12"/>
      <c r="BH1162" s="12"/>
      <c r="BI1162" s="12"/>
      <c r="BJ1162" s="12"/>
      <c r="BK1162" s="44"/>
      <c r="BL1162" s="45"/>
      <c r="BM1162" s="12"/>
      <c r="BN1162" s="12"/>
      <c r="BO1162" s="12"/>
      <c r="BP1162" s="12"/>
      <c r="BQ1162" s="48"/>
      <c r="BR1162" s="49"/>
      <c r="BS1162" s="13"/>
      <c r="BT1162" s="12"/>
      <c r="BV1162" s="14"/>
      <c r="BW1162" s="50"/>
      <c r="BX1162" s="54"/>
      <c r="BY1162" s="14"/>
      <c r="BZ1162" s="14"/>
      <c r="CA1162" s="14"/>
      <c r="CB1162" s="14"/>
      <c r="CC1162" s="14"/>
      <c r="CD1162" s="14"/>
      <c r="CE1162" s="14"/>
      <c r="CF1162" s="15"/>
      <c r="CG1162" s="14"/>
      <c r="CH1162" s="14"/>
      <c r="CI1162" s="50"/>
      <c r="CJ1162" s="54"/>
      <c r="CK1162" s="14"/>
      <c r="CL1162" s="14"/>
      <c r="CM1162" s="14"/>
      <c r="CN1162" s="14"/>
      <c r="CO1162" s="14"/>
      <c r="CP1162" s="14"/>
      <c r="CQ1162" s="14"/>
      <c r="CR1162" s="14"/>
      <c r="CS1162" s="14"/>
      <c r="CT1162" s="14"/>
      <c r="CU1162" s="16"/>
      <c r="CV1162" s="14"/>
      <c r="CW1162" s="50"/>
      <c r="CX1162" s="17"/>
    </row>
    <row r="1163" spans="4:102" x14ac:dyDescent="0.25"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43"/>
      <c r="Q1163" s="11"/>
      <c r="R1163" s="11"/>
      <c r="S1163" s="11"/>
      <c r="T1163" s="11"/>
      <c r="U1163" s="11"/>
      <c r="V1163" s="11"/>
      <c r="W1163" s="11"/>
      <c r="X1163" s="12"/>
      <c r="Y1163" s="12"/>
      <c r="Z1163" s="12"/>
      <c r="AA1163" s="44"/>
      <c r="AB1163" s="45"/>
      <c r="AC1163" s="12"/>
      <c r="AD1163" s="12"/>
      <c r="AE1163" s="12"/>
      <c r="AF1163" s="12"/>
      <c r="AG1163" s="44"/>
      <c r="AH1163" s="45"/>
      <c r="AI1163" s="12"/>
      <c r="AJ1163" s="12"/>
      <c r="AK1163" s="12"/>
      <c r="AL1163" s="12"/>
      <c r="AM1163" s="44"/>
      <c r="AN1163" s="45"/>
      <c r="AO1163" s="12"/>
      <c r="AP1163" s="12"/>
      <c r="AQ1163" s="12"/>
      <c r="AR1163" s="12"/>
      <c r="AS1163" s="44"/>
      <c r="AT1163" s="45"/>
      <c r="AU1163" s="12"/>
      <c r="AV1163" s="12"/>
      <c r="AW1163" s="12"/>
      <c r="AX1163" s="12"/>
      <c r="AY1163" s="44"/>
      <c r="AZ1163" s="45"/>
      <c r="BA1163" s="12"/>
      <c r="BB1163" s="12"/>
      <c r="BC1163" s="12"/>
      <c r="BD1163" s="12"/>
      <c r="BE1163" s="44"/>
      <c r="BF1163" s="45"/>
      <c r="BG1163" s="12"/>
      <c r="BH1163" s="12"/>
      <c r="BI1163" s="12"/>
      <c r="BJ1163" s="12"/>
      <c r="BK1163" s="44"/>
      <c r="BL1163" s="45"/>
      <c r="BM1163" s="12"/>
      <c r="BN1163" s="12"/>
      <c r="BO1163" s="12"/>
      <c r="BP1163" s="12"/>
      <c r="BQ1163" s="48"/>
      <c r="BR1163" s="49"/>
      <c r="BS1163" s="13"/>
      <c r="BT1163" s="12"/>
      <c r="BV1163" s="14"/>
      <c r="BW1163" s="50"/>
      <c r="BX1163" s="54"/>
      <c r="BY1163" s="14"/>
      <c r="BZ1163" s="14"/>
      <c r="CA1163" s="14"/>
      <c r="CB1163" s="14"/>
      <c r="CC1163" s="14"/>
      <c r="CD1163" s="14"/>
      <c r="CE1163" s="14"/>
      <c r="CF1163" s="15"/>
      <c r="CG1163" s="14"/>
      <c r="CH1163" s="14"/>
      <c r="CI1163" s="50"/>
      <c r="CJ1163" s="54"/>
      <c r="CK1163" s="14"/>
      <c r="CL1163" s="14"/>
      <c r="CM1163" s="14"/>
      <c r="CN1163" s="14"/>
      <c r="CO1163" s="14"/>
      <c r="CP1163" s="14"/>
      <c r="CQ1163" s="14"/>
      <c r="CR1163" s="14"/>
      <c r="CS1163" s="14"/>
      <c r="CT1163" s="14"/>
      <c r="CU1163" s="16"/>
      <c r="CV1163" s="14"/>
      <c r="CW1163" s="50"/>
      <c r="CX1163" s="17"/>
    </row>
    <row r="1164" spans="4:102" x14ac:dyDescent="0.25"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43"/>
      <c r="Q1164" s="11"/>
      <c r="R1164" s="11"/>
      <c r="S1164" s="11"/>
      <c r="T1164" s="11"/>
      <c r="U1164" s="11"/>
      <c r="V1164" s="11"/>
      <c r="W1164" s="11"/>
      <c r="X1164" s="12"/>
      <c r="Y1164" s="12"/>
      <c r="Z1164" s="12"/>
      <c r="AA1164" s="44"/>
      <c r="AB1164" s="45"/>
      <c r="AC1164" s="12"/>
      <c r="AD1164" s="12"/>
      <c r="AE1164" s="12"/>
      <c r="AF1164" s="12"/>
      <c r="AG1164" s="44"/>
      <c r="AH1164" s="45"/>
      <c r="AI1164" s="12"/>
      <c r="AJ1164" s="12"/>
      <c r="AK1164" s="12"/>
      <c r="AL1164" s="12"/>
      <c r="AM1164" s="44"/>
      <c r="AN1164" s="45"/>
      <c r="AO1164" s="12"/>
      <c r="AP1164" s="12"/>
      <c r="AQ1164" s="12"/>
      <c r="AR1164" s="12"/>
      <c r="AS1164" s="44"/>
      <c r="AT1164" s="45"/>
      <c r="AU1164" s="12"/>
      <c r="AV1164" s="12"/>
      <c r="AW1164" s="12"/>
      <c r="AX1164" s="12"/>
      <c r="AY1164" s="44"/>
      <c r="AZ1164" s="45"/>
      <c r="BA1164" s="12"/>
      <c r="BB1164" s="12"/>
      <c r="BC1164" s="12"/>
      <c r="BD1164" s="12"/>
      <c r="BE1164" s="44"/>
      <c r="BF1164" s="45"/>
      <c r="BG1164" s="12"/>
      <c r="BH1164" s="12"/>
      <c r="BI1164" s="12"/>
      <c r="BJ1164" s="12"/>
      <c r="BK1164" s="44"/>
      <c r="BL1164" s="45"/>
      <c r="BM1164" s="12"/>
      <c r="BN1164" s="12"/>
      <c r="BO1164" s="12"/>
      <c r="BP1164" s="12"/>
      <c r="BQ1164" s="48"/>
      <c r="BR1164" s="49"/>
      <c r="BS1164" s="13"/>
      <c r="BT1164" s="12"/>
      <c r="BV1164" s="14"/>
      <c r="BW1164" s="50"/>
      <c r="BX1164" s="54"/>
      <c r="BY1164" s="14"/>
      <c r="BZ1164" s="14"/>
      <c r="CA1164" s="14"/>
      <c r="CB1164" s="14"/>
      <c r="CC1164" s="14"/>
      <c r="CD1164" s="14"/>
      <c r="CE1164" s="14"/>
      <c r="CF1164" s="15"/>
      <c r="CG1164" s="14"/>
      <c r="CH1164" s="14"/>
      <c r="CI1164" s="50"/>
      <c r="CJ1164" s="54"/>
      <c r="CK1164" s="14"/>
      <c r="CL1164" s="14"/>
      <c r="CM1164" s="14"/>
      <c r="CN1164" s="14"/>
      <c r="CO1164" s="14"/>
      <c r="CP1164" s="14"/>
      <c r="CQ1164" s="14"/>
      <c r="CR1164" s="14"/>
      <c r="CS1164" s="14"/>
      <c r="CT1164" s="14"/>
      <c r="CU1164" s="16"/>
      <c r="CV1164" s="14"/>
      <c r="CW1164" s="50"/>
      <c r="CX1164" s="17"/>
    </row>
    <row r="1165" spans="4:102" x14ac:dyDescent="0.25"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43"/>
      <c r="Q1165" s="11"/>
      <c r="R1165" s="11"/>
      <c r="S1165" s="11"/>
      <c r="T1165" s="11"/>
      <c r="U1165" s="11"/>
      <c r="V1165" s="11"/>
      <c r="W1165" s="11"/>
      <c r="X1165" s="12"/>
      <c r="Y1165" s="12"/>
      <c r="Z1165" s="12"/>
      <c r="AA1165" s="44"/>
      <c r="AB1165" s="45"/>
      <c r="AC1165" s="12"/>
      <c r="AD1165" s="12"/>
      <c r="AE1165" s="12"/>
      <c r="AF1165" s="12"/>
      <c r="AG1165" s="44"/>
      <c r="AH1165" s="45"/>
      <c r="AI1165" s="12"/>
      <c r="AJ1165" s="12"/>
      <c r="AK1165" s="12"/>
      <c r="AL1165" s="12"/>
      <c r="AM1165" s="44"/>
      <c r="AN1165" s="45"/>
      <c r="AO1165" s="12"/>
      <c r="AP1165" s="12"/>
      <c r="AQ1165" s="12"/>
      <c r="AR1165" s="12"/>
      <c r="AS1165" s="44"/>
      <c r="AT1165" s="45"/>
      <c r="AU1165" s="12"/>
      <c r="AV1165" s="12"/>
      <c r="AW1165" s="12"/>
      <c r="AX1165" s="12"/>
      <c r="AY1165" s="44"/>
      <c r="AZ1165" s="45"/>
      <c r="BA1165" s="12"/>
      <c r="BB1165" s="12"/>
      <c r="BC1165" s="12"/>
      <c r="BD1165" s="12"/>
      <c r="BE1165" s="44"/>
      <c r="BF1165" s="45"/>
      <c r="BG1165" s="12"/>
      <c r="BH1165" s="12"/>
      <c r="BI1165" s="12"/>
      <c r="BJ1165" s="12"/>
      <c r="BK1165" s="44"/>
      <c r="BL1165" s="45"/>
      <c r="BM1165" s="12"/>
      <c r="BN1165" s="12"/>
      <c r="BO1165" s="12"/>
      <c r="BP1165" s="12"/>
      <c r="BQ1165" s="48"/>
      <c r="BR1165" s="49"/>
      <c r="BS1165" s="13"/>
      <c r="BT1165" s="12"/>
      <c r="BV1165" s="14"/>
      <c r="BW1165" s="50"/>
      <c r="BX1165" s="54"/>
      <c r="BY1165" s="14"/>
      <c r="BZ1165" s="14"/>
      <c r="CA1165" s="14"/>
      <c r="CB1165" s="14"/>
      <c r="CC1165" s="14"/>
      <c r="CD1165" s="14"/>
      <c r="CE1165" s="14"/>
      <c r="CF1165" s="15"/>
      <c r="CG1165" s="14"/>
      <c r="CH1165" s="14"/>
      <c r="CI1165" s="50"/>
      <c r="CJ1165" s="54"/>
      <c r="CK1165" s="14"/>
      <c r="CL1165" s="14"/>
      <c r="CM1165" s="14"/>
      <c r="CN1165" s="14"/>
      <c r="CO1165" s="14"/>
      <c r="CP1165" s="14"/>
      <c r="CQ1165" s="14"/>
      <c r="CR1165" s="14"/>
      <c r="CS1165" s="14"/>
      <c r="CT1165" s="14"/>
      <c r="CU1165" s="16"/>
      <c r="CV1165" s="14"/>
      <c r="CW1165" s="50"/>
      <c r="CX1165" s="17"/>
    </row>
    <row r="1166" spans="4:102" x14ac:dyDescent="0.25"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43"/>
      <c r="Q1166" s="11"/>
      <c r="R1166" s="11"/>
      <c r="S1166" s="11"/>
      <c r="T1166" s="11"/>
      <c r="U1166" s="11"/>
      <c r="V1166" s="11"/>
      <c r="W1166" s="11"/>
      <c r="X1166" s="12"/>
      <c r="Y1166" s="12"/>
      <c r="Z1166" s="12"/>
      <c r="AA1166" s="44"/>
      <c r="AB1166" s="45"/>
      <c r="AC1166" s="12"/>
      <c r="AD1166" s="12"/>
      <c r="AE1166" s="12"/>
      <c r="AF1166" s="12"/>
      <c r="AG1166" s="44"/>
      <c r="AH1166" s="45"/>
      <c r="AI1166" s="12"/>
      <c r="AJ1166" s="12"/>
      <c r="AK1166" s="12"/>
      <c r="AL1166" s="12"/>
      <c r="AM1166" s="44"/>
      <c r="AN1166" s="45"/>
      <c r="AO1166" s="12"/>
      <c r="AP1166" s="12"/>
      <c r="AQ1166" s="12"/>
      <c r="AR1166" s="12"/>
      <c r="AS1166" s="44"/>
      <c r="AT1166" s="45"/>
      <c r="AU1166" s="12"/>
      <c r="AV1166" s="12"/>
      <c r="AW1166" s="12"/>
      <c r="AX1166" s="12"/>
      <c r="AY1166" s="44"/>
      <c r="AZ1166" s="45"/>
      <c r="BA1166" s="12"/>
      <c r="BB1166" s="12"/>
      <c r="BC1166" s="12"/>
      <c r="BD1166" s="12"/>
      <c r="BE1166" s="44"/>
      <c r="BF1166" s="45"/>
      <c r="BG1166" s="12"/>
      <c r="BH1166" s="12"/>
      <c r="BI1166" s="12"/>
      <c r="BJ1166" s="12"/>
      <c r="BK1166" s="44"/>
      <c r="BL1166" s="45"/>
      <c r="BM1166" s="12"/>
      <c r="BN1166" s="12"/>
      <c r="BO1166" s="12"/>
      <c r="BP1166" s="12"/>
      <c r="BQ1166" s="48"/>
      <c r="BR1166" s="49"/>
      <c r="BS1166" s="13"/>
      <c r="BT1166" s="12"/>
      <c r="BV1166" s="14"/>
      <c r="BW1166" s="50"/>
      <c r="BX1166" s="54"/>
      <c r="BY1166" s="14"/>
      <c r="BZ1166" s="14"/>
      <c r="CA1166" s="14"/>
      <c r="CB1166" s="14"/>
      <c r="CC1166" s="14"/>
      <c r="CD1166" s="14"/>
      <c r="CE1166" s="14"/>
      <c r="CF1166" s="15"/>
      <c r="CG1166" s="14"/>
      <c r="CH1166" s="14"/>
      <c r="CI1166" s="50"/>
      <c r="CJ1166" s="54"/>
      <c r="CK1166" s="14"/>
      <c r="CL1166" s="14"/>
      <c r="CM1166" s="14"/>
      <c r="CN1166" s="14"/>
      <c r="CO1166" s="14"/>
      <c r="CP1166" s="14"/>
      <c r="CQ1166" s="14"/>
      <c r="CR1166" s="14"/>
      <c r="CS1166" s="14"/>
      <c r="CT1166" s="14"/>
      <c r="CU1166" s="16"/>
      <c r="CV1166" s="14"/>
      <c r="CW1166" s="50"/>
      <c r="CX1166" s="17"/>
    </row>
    <row r="1167" spans="4:102" x14ac:dyDescent="0.25"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43"/>
      <c r="Q1167" s="11"/>
      <c r="R1167" s="11"/>
      <c r="S1167" s="11"/>
      <c r="T1167" s="11"/>
      <c r="U1167" s="11"/>
      <c r="V1167" s="11"/>
      <c r="W1167" s="11"/>
      <c r="X1167" s="12"/>
      <c r="Y1167" s="12"/>
      <c r="Z1167" s="12"/>
      <c r="AA1167" s="44"/>
      <c r="AB1167" s="45"/>
      <c r="AC1167" s="12"/>
      <c r="AD1167" s="12"/>
      <c r="AE1167" s="12"/>
      <c r="AF1167" s="12"/>
      <c r="AG1167" s="44"/>
      <c r="AH1167" s="45"/>
      <c r="AI1167" s="12"/>
      <c r="AJ1167" s="12"/>
      <c r="AK1167" s="12"/>
      <c r="AL1167" s="12"/>
      <c r="AM1167" s="44"/>
      <c r="AN1167" s="45"/>
      <c r="AO1167" s="12"/>
      <c r="AP1167" s="12"/>
      <c r="AQ1167" s="12"/>
      <c r="AR1167" s="12"/>
      <c r="AS1167" s="44"/>
      <c r="AT1167" s="45"/>
      <c r="AU1167" s="12"/>
      <c r="AV1167" s="12"/>
      <c r="AW1167" s="12"/>
      <c r="AX1167" s="12"/>
      <c r="AY1167" s="44"/>
      <c r="AZ1167" s="45"/>
      <c r="BA1167" s="12"/>
      <c r="BB1167" s="12"/>
      <c r="BC1167" s="12"/>
      <c r="BD1167" s="12"/>
      <c r="BE1167" s="44"/>
      <c r="BF1167" s="45"/>
      <c r="BG1167" s="12"/>
      <c r="BH1167" s="12"/>
      <c r="BI1167" s="12"/>
      <c r="BJ1167" s="12"/>
      <c r="BK1167" s="44"/>
      <c r="BL1167" s="45"/>
      <c r="BM1167" s="12"/>
      <c r="BN1167" s="12"/>
      <c r="BO1167" s="12"/>
      <c r="BP1167" s="12"/>
      <c r="BQ1167" s="48"/>
      <c r="BR1167" s="49"/>
      <c r="BS1167" s="13"/>
      <c r="BT1167" s="12"/>
      <c r="BV1167" s="14"/>
      <c r="BW1167" s="50"/>
      <c r="BX1167" s="54"/>
      <c r="BY1167" s="14"/>
      <c r="BZ1167" s="14"/>
      <c r="CA1167" s="14"/>
      <c r="CB1167" s="14"/>
      <c r="CC1167" s="14"/>
      <c r="CD1167" s="14"/>
      <c r="CE1167" s="14"/>
      <c r="CF1167" s="15"/>
      <c r="CG1167" s="14"/>
      <c r="CH1167" s="14"/>
      <c r="CI1167" s="50"/>
      <c r="CJ1167" s="54"/>
      <c r="CK1167" s="14"/>
      <c r="CL1167" s="14"/>
      <c r="CM1167" s="14"/>
      <c r="CN1167" s="14"/>
      <c r="CO1167" s="14"/>
      <c r="CP1167" s="14"/>
      <c r="CQ1167" s="14"/>
      <c r="CR1167" s="14"/>
      <c r="CS1167" s="14"/>
      <c r="CT1167" s="14"/>
      <c r="CU1167" s="16"/>
      <c r="CV1167" s="14"/>
      <c r="CW1167" s="50"/>
      <c r="CX1167" s="17"/>
    </row>
    <row r="1168" spans="4:102" x14ac:dyDescent="0.25"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43"/>
      <c r="Q1168" s="11"/>
      <c r="R1168" s="11"/>
      <c r="S1168" s="11"/>
      <c r="T1168" s="11"/>
      <c r="U1168" s="11"/>
      <c r="V1168" s="11"/>
      <c r="W1168" s="11"/>
      <c r="X1168" s="12"/>
      <c r="Y1168" s="12"/>
      <c r="Z1168" s="12"/>
      <c r="AA1168" s="44"/>
      <c r="AB1168" s="45"/>
      <c r="AC1168" s="12"/>
      <c r="AD1168" s="12"/>
      <c r="AE1168" s="12"/>
      <c r="AF1168" s="12"/>
      <c r="AG1168" s="44"/>
      <c r="AH1168" s="45"/>
      <c r="AI1168" s="12"/>
      <c r="AJ1168" s="12"/>
      <c r="AK1168" s="12"/>
      <c r="AL1168" s="12"/>
      <c r="AM1168" s="44"/>
      <c r="AN1168" s="45"/>
      <c r="AO1168" s="12"/>
      <c r="AP1168" s="12"/>
      <c r="AQ1168" s="12"/>
      <c r="AR1168" s="12"/>
      <c r="AS1168" s="44"/>
      <c r="AT1168" s="45"/>
      <c r="AU1168" s="12"/>
      <c r="AV1168" s="12"/>
      <c r="AW1168" s="12"/>
      <c r="AX1168" s="12"/>
      <c r="AY1168" s="44"/>
      <c r="AZ1168" s="45"/>
      <c r="BA1168" s="12"/>
      <c r="BB1168" s="12"/>
      <c r="BC1168" s="12"/>
      <c r="BD1168" s="12"/>
      <c r="BE1168" s="44"/>
      <c r="BF1168" s="45"/>
      <c r="BG1168" s="12"/>
      <c r="BH1168" s="12"/>
      <c r="BI1168" s="12"/>
      <c r="BJ1168" s="12"/>
      <c r="BK1168" s="44"/>
      <c r="BL1168" s="45"/>
      <c r="BM1168" s="12"/>
      <c r="BN1168" s="12"/>
      <c r="BO1168" s="12"/>
      <c r="BP1168" s="12"/>
      <c r="BQ1168" s="48"/>
      <c r="BR1168" s="49"/>
      <c r="BS1168" s="13"/>
      <c r="BT1168" s="12"/>
      <c r="BV1168" s="14"/>
      <c r="BW1168" s="50"/>
      <c r="BX1168" s="54"/>
      <c r="BY1168" s="14"/>
      <c r="BZ1168" s="14"/>
      <c r="CA1168" s="14"/>
      <c r="CB1168" s="14"/>
      <c r="CC1168" s="14"/>
      <c r="CD1168" s="14"/>
      <c r="CE1168" s="14"/>
      <c r="CF1168" s="15"/>
      <c r="CG1168" s="14"/>
      <c r="CH1168" s="14"/>
      <c r="CI1168" s="50"/>
      <c r="CJ1168" s="54"/>
      <c r="CK1168" s="14"/>
      <c r="CL1168" s="14"/>
      <c r="CM1168" s="14"/>
      <c r="CN1168" s="14"/>
      <c r="CO1168" s="14"/>
      <c r="CP1168" s="14"/>
      <c r="CQ1168" s="14"/>
      <c r="CR1168" s="14"/>
      <c r="CS1168" s="14"/>
      <c r="CT1168" s="14"/>
      <c r="CU1168" s="16"/>
      <c r="CV1168" s="14"/>
      <c r="CW1168" s="50"/>
      <c r="CX1168" s="17"/>
    </row>
    <row r="1169" spans="4:102" x14ac:dyDescent="0.25"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43"/>
      <c r="Q1169" s="11"/>
      <c r="R1169" s="11"/>
      <c r="S1169" s="11"/>
      <c r="T1169" s="11"/>
      <c r="U1169" s="11"/>
      <c r="V1169" s="11"/>
      <c r="W1169" s="11"/>
      <c r="X1169" s="12"/>
      <c r="Y1169" s="12"/>
      <c r="Z1169" s="12"/>
      <c r="AA1169" s="44"/>
      <c r="AB1169" s="45"/>
      <c r="AC1169" s="12"/>
      <c r="AD1169" s="12"/>
      <c r="AE1169" s="12"/>
      <c r="AF1169" s="12"/>
      <c r="AG1169" s="44"/>
      <c r="AH1169" s="45"/>
      <c r="AI1169" s="12"/>
      <c r="AJ1169" s="12"/>
      <c r="AK1169" s="12"/>
      <c r="AL1169" s="12"/>
      <c r="AM1169" s="44"/>
      <c r="AN1169" s="45"/>
      <c r="AO1169" s="12"/>
      <c r="AP1169" s="12"/>
      <c r="AQ1169" s="12"/>
      <c r="AR1169" s="12"/>
      <c r="AS1169" s="44"/>
      <c r="AT1169" s="45"/>
      <c r="AU1169" s="12"/>
      <c r="AV1169" s="12"/>
      <c r="AW1169" s="12"/>
      <c r="AX1169" s="12"/>
      <c r="AY1169" s="44"/>
      <c r="AZ1169" s="45"/>
      <c r="BA1169" s="12"/>
      <c r="BB1169" s="12"/>
      <c r="BC1169" s="12"/>
      <c r="BD1169" s="12"/>
      <c r="BE1169" s="44"/>
      <c r="BF1169" s="45"/>
      <c r="BG1169" s="12"/>
      <c r="BH1169" s="12"/>
      <c r="BI1169" s="12"/>
      <c r="BJ1169" s="12"/>
      <c r="BK1169" s="44"/>
      <c r="BL1169" s="45"/>
      <c r="BM1169" s="12"/>
      <c r="BN1169" s="12"/>
      <c r="BO1169" s="12"/>
      <c r="BP1169" s="12"/>
      <c r="BQ1169" s="48"/>
      <c r="BR1169" s="49"/>
      <c r="BS1169" s="13"/>
      <c r="BT1169" s="12"/>
      <c r="BV1169" s="14"/>
      <c r="BW1169" s="50"/>
      <c r="BX1169" s="54"/>
      <c r="BY1169" s="14"/>
      <c r="BZ1169" s="14"/>
      <c r="CA1169" s="14"/>
      <c r="CB1169" s="14"/>
      <c r="CC1169" s="14"/>
      <c r="CD1169" s="14"/>
      <c r="CE1169" s="14"/>
      <c r="CF1169" s="15"/>
      <c r="CG1169" s="14"/>
      <c r="CH1169" s="14"/>
      <c r="CI1169" s="50"/>
      <c r="CJ1169" s="54"/>
      <c r="CK1169" s="14"/>
      <c r="CL1169" s="14"/>
      <c r="CM1169" s="14"/>
      <c r="CN1169" s="14"/>
      <c r="CO1169" s="14"/>
      <c r="CP1169" s="14"/>
      <c r="CQ1169" s="14"/>
      <c r="CR1169" s="14"/>
      <c r="CS1169" s="14"/>
      <c r="CT1169" s="14"/>
      <c r="CU1169" s="16"/>
      <c r="CV1169" s="14"/>
      <c r="CW1169" s="50"/>
      <c r="CX1169" s="17"/>
    </row>
    <row r="1170" spans="4:102" x14ac:dyDescent="0.25"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43"/>
      <c r="Q1170" s="11"/>
      <c r="R1170" s="11"/>
      <c r="S1170" s="11"/>
      <c r="T1170" s="11"/>
      <c r="U1170" s="11"/>
      <c r="V1170" s="11"/>
      <c r="W1170" s="11"/>
      <c r="X1170" s="12"/>
      <c r="Y1170" s="12"/>
      <c r="Z1170" s="12"/>
      <c r="AA1170" s="44"/>
      <c r="AB1170" s="45"/>
      <c r="AC1170" s="12"/>
      <c r="AD1170" s="12"/>
      <c r="AE1170" s="12"/>
      <c r="AF1170" s="12"/>
      <c r="AG1170" s="44"/>
      <c r="AH1170" s="45"/>
      <c r="AI1170" s="12"/>
      <c r="AJ1170" s="12"/>
      <c r="AK1170" s="12"/>
      <c r="AL1170" s="12"/>
      <c r="AM1170" s="44"/>
      <c r="AN1170" s="45"/>
      <c r="AO1170" s="12"/>
      <c r="AP1170" s="12"/>
      <c r="AQ1170" s="12"/>
      <c r="AR1170" s="12"/>
      <c r="AS1170" s="44"/>
      <c r="AT1170" s="45"/>
      <c r="AU1170" s="12"/>
      <c r="AV1170" s="12"/>
      <c r="AW1170" s="12"/>
      <c r="AX1170" s="12"/>
      <c r="AY1170" s="44"/>
      <c r="AZ1170" s="45"/>
      <c r="BA1170" s="12"/>
      <c r="BB1170" s="12"/>
      <c r="BC1170" s="12"/>
      <c r="BD1170" s="12"/>
      <c r="BE1170" s="44"/>
      <c r="BF1170" s="45"/>
      <c r="BG1170" s="12"/>
      <c r="BH1170" s="12"/>
      <c r="BI1170" s="12"/>
      <c r="BJ1170" s="12"/>
      <c r="BK1170" s="44"/>
      <c r="BL1170" s="45"/>
      <c r="BM1170" s="12"/>
      <c r="BN1170" s="12"/>
      <c r="BO1170" s="12"/>
      <c r="BP1170" s="12"/>
      <c r="BQ1170" s="48"/>
      <c r="BR1170" s="49"/>
      <c r="BS1170" s="13"/>
      <c r="BT1170" s="12"/>
      <c r="BV1170" s="14"/>
      <c r="BW1170" s="50"/>
      <c r="BX1170" s="54"/>
      <c r="BY1170" s="14"/>
      <c r="BZ1170" s="14"/>
      <c r="CA1170" s="14"/>
      <c r="CB1170" s="14"/>
      <c r="CC1170" s="14"/>
      <c r="CD1170" s="14"/>
      <c r="CE1170" s="14"/>
      <c r="CF1170" s="15"/>
      <c r="CG1170" s="14"/>
      <c r="CH1170" s="14"/>
      <c r="CI1170" s="50"/>
      <c r="CJ1170" s="54"/>
      <c r="CK1170" s="14"/>
      <c r="CL1170" s="14"/>
      <c r="CM1170" s="14"/>
      <c r="CN1170" s="14"/>
      <c r="CO1170" s="14"/>
      <c r="CP1170" s="14"/>
      <c r="CQ1170" s="14"/>
      <c r="CR1170" s="14"/>
      <c r="CS1170" s="14"/>
      <c r="CT1170" s="14"/>
      <c r="CU1170" s="16"/>
      <c r="CV1170" s="14"/>
      <c r="CW1170" s="50"/>
      <c r="CX1170" s="17"/>
    </row>
    <row r="1171" spans="4:102" x14ac:dyDescent="0.25"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43"/>
      <c r="Q1171" s="11"/>
      <c r="R1171" s="11"/>
      <c r="S1171" s="11"/>
      <c r="T1171" s="11"/>
      <c r="U1171" s="11"/>
      <c r="V1171" s="11"/>
      <c r="W1171" s="11"/>
      <c r="X1171" s="12"/>
      <c r="Y1171" s="12"/>
      <c r="Z1171" s="12"/>
      <c r="AA1171" s="44"/>
      <c r="AB1171" s="45"/>
      <c r="AC1171" s="12"/>
      <c r="AD1171" s="12"/>
      <c r="AE1171" s="12"/>
      <c r="AF1171" s="12"/>
      <c r="AG1171" s="44"/>
      <c r="AH1171" s="45"/>
      <c r="AI1171" s="12"/>
      <c r="AJ1171" s="12"/>
      <c r="AK1171" s="12"/>
      <c r="AL1171" s="12"/>
      <c r="AM1171" s="44"/>
      <c r="AN1171" s="45"/>
      <c r="AO1171" s="12"/>
      <c r="AP1171" s="12"/>
      <c r="AQ1171" s="12"/>
      <c r="AR1171" s="12"/>
      <c r="AS1171" s="44"/>
      <c r="AT1171" s="45"/>
      <c r="AU1171" s="12"/>
      <c r="AV1171" s="12"/>
      <c r="AW1171" s="12"/>
      <c r="AX1171" s="12"/>
      <c r="AY1171" s="44"/>
      <c r="AZ1171" s="45"/>
      <c r="BA1171" s="12"/>
      <c r="BB1171" s="12"/>
      <c r="BC1171" s="12"/>
      <c r="BD1171" s="12"/>
      <c r="BE1171" s="44"/>
      <c r="BF1171" s="45"/>
      <c r="BG1171" s="12"/>
      <c r="BH1171" s="12"/>
      <c r="BI1171" s="12"/>
      <c r="BJ1171" s="12"/>
      <c r="BK1171" s="44"/>
      <c r="BL1171" s="45"/>
      <c r="BM1171" s="12"/>
      <c r="BN1171" s="12"/>
      <c r="BO1171" s="12"/>
      <c r="BP1171" s="12"/>
      <c r="BQ1171" s="48"/>
      <c r="BR1171" s="49"/>
      <c r="BS1171" s="13"/>
      <c r="BT1171" s="12"/>
      <c r="BV1171" s="14"/>
      <c r="BW1171" s="50"/>
      <c r="BX1171" s="54"/>
      <c r="BY1171" s="14"/>
      <c r="BZ1171" s="14"/>
      <c r="CA1171" s="14"/>
      <c r="CB1171" s="14"/>
      <c r="CC1171" s="14"/>
      <c r="CD1171" s="14"/>
      <c r="CE1171" s="14"/>
      <c r="CF1171" s="15"/>
      <c r="CG1171" s="14"/>
      <c r="CH1171" s="14"/>
      <c r="CI1171" s="50"/>
      <c r="CJ1171" s="54"/>
      <c r="CK1171" s="14"/>
      <c r="CL1171" s="14"/>
      <c r="CM1171" s="14"/>
      <c r="CN1171" s="14"/>
      <c r="CO1171" s="14"/>
      <c r="CP1171" s="14"/>
      <c r="CQ1171" s="14"/>
      <c r="CR1171" s="14"/>
      <c r="CS1171" s="14"/>
      <c r="CT1171" s="14"/>
      <c r="CU1171" s="16"/>
      <c r="CV1171" s="14"/>
      <c r="CW1171" s="50"/>
      <c r="CX1171" s="17"/>
    </row>
    <row r="1172" spans="4:102" x14ac:dyDescent="0.25"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43"/>
      <c r="Q1172" s="11"/>
      <c r="R1172" s="11"/>
      <c r="S1172" s="11"/>
      <c r="T1172" s="11"/>
      <c r="U1172" s="11"/>
      <c r="V1172" s="11"/>
      <c r="W1172" s="11"/>
      <c r="X1172" s="12"/>
      <c r="Y1172" s="12"/>
      <c r="Z1172" s="12"/>
      <c r="AA1172" s="44"/>
      <c r="AB1172" s="45"/>
      <c r="AC1172" s="12"/>
      <c r="AD1172" s="12"/>
      <c r="AE1172" s="12"/>
      <c r="AF1172" s="12"/>
      <c r="AG1172" s="44"/>
      <c r="AH1172" s="45"/>
      <c r="AI1172" s="12"/>
      <c r="AJ1172" s="12"/>
      <c r="AK1172" s="12"/>
      <c r="AL1172" s="12"/>
      <c r="AM1172" s="44"/>
      <c r="AN1172" s="45"/>
      <c r="AO1172" s="12"/>
      <c r="AP1172" s="12"/>
      <c r="AQ1172" s="12"/>
      <c r="AR1172" s="12"/>
      <c r="AS1172" s="44"/>
      <c r="AT1172" s="45"/>
      <c r="AU1172" s="12"/>
      <c r="AV1172" s="12"/>
      <c r="AW1172" s="12"/>
      <c r="AX1172" s="12"/>
      <c r="AY1172" s="44"/>
      <c r="AZ1172" s="45"/>
      <c r="BA1172" s="12"/>
      <c r="BB1172" s="12"/>
      <c r="BC1172" s="12"/>
      <c r="BD1172" s="12"/>
      <c r="BE1172" s="44"/>
      <c r="BF1172" s="45"/>
      <c r="BG1172" s="12"/>
      <c r="BH1172" s="12"/>
      <c r="BI1172" s="12"/>
      <c r="BJ1172" s="12"/>
      <c r="BK1172" s="44"/>
      <c r="BL1172" s="45"/>
      <c r="BM1172" s="12"/>
      <c r="BN1172" s="12"/>
      <c r="BO1172" s="12"/>
      <c r="BP1172" s="12"/>
      <c r="BQ1172" s="48"/>
      <c r="BR1172" s="49"/>
      <c r="BS1172" s="13"/>
      <c r="BT1172" s="12"/>
      <c r="BV1172" s="14"/>
      <c r="BW1172" s="50"/>
      <c r="BX1172" s="54"/>
      <c r="BY1172" s="14"/>
      <c r="BZ1172" s="14"/>
      <c r="CA1172" s="14"/>
      <c r="CB1172" s="14"/>
      <c r="CC1172" s="14"/>
      <c r="CD1172" s="14"/>
      <c r="CE1172" s="14"/>
      <c r="CF1172" s="15"/>
      <c r="CG1172" s="14"/>
      <c r="CH1172" s="14"/>
      <c r="CI1172" s="50"/>
      <c r="CJ1172" s="54"/>
      <c r="CK1172" s="14"/>
      <c r="CL1172" s="14"/>
      <c r="CM1172" s="14"/>
      <c r="CN1172" s="14"/>
      <c r="CO1172" s="14"/>
      <c r="CP1172" s="14"/>
      <c r="CQ1172" s="14"/>
      <c r="CR1172" s="14"/>
      <c r="CS1172" s="14"/>
      <c r="CT1172" s="14"/>
      <c r="CU1172" s="16"/>
      <c r="CV1172" s="14"/>
      <c r="CW1172" s="50"/>
      <c r="CX1172" s="17"/>
    </row>
    <row r="1173" spans="4:102" x14ac:dyDescent="0.25"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43"/>
      <c r="Q1173" s="11"/>
      <c r="R1173" s="11"/>
      <c r="S1173" s="11"/>
      <c r="T1173" s="11"/>
      <c r="U1173" s="11"/>
      <c r="V1173" s="11"/>
      <c r="W1173" s="11"/>
      <c r="X1173" s="12"/>
      <c r="Y1173" s="12"/>
      <c r="Z1173" s="12"/>
      <c r="AA1173" s="44"/>
      <c r="AB1173" s="45"/>
      <c r="AC1173" s="12"/>
      <c r="AD1173" s="12"/>
      <c r="AE1173" s="12"/>
      <c r="AF1173" s="12"/>
      <c r="AG1173" s="44"/>
      <c r="AH1173" s="45"/>
      <c r="AI1173" s="12"/>
      <c r="AJ1173" s="12"/>
      <c r="AK1173" s="12"/>
      <c r="AL1173" s="12"/>
      <c r="AM1173" s="44"/>
      <c r="AN1173" s="45"/>
      <c r="AO1173" s="12"/>
      <c r="AP1173" s="12"/>
      <c r="AQ1173" s="12"/>
      <c r="AR1173" s="12"/>
      <c r="AS1173" s="44"/>
      <c r="AT1173" s="45"/>
      <c r="AU1173" s="12"/>
      <c r="AV1173" s="12"/>
      <c r="AW1173" s="12"/>
      <c r="AX1173" s="12"/>
      <c r="AY1173" s="44"/>
      <c r="AZ1173" s="45"/>
      <c r="BA1173" s="12"/>
      <c r="BB1173" s="12"/>
      <c r="BC1173" s="12"/>
      <c r="BD1173" s="12"/>
      <c r="BE1173" s="44"/>
      <c r="BF1173" s="45"/>
      <c r="BG1173" s="12"/>
      <c r="BH1173" s="12"/>
      <c r="BI1173" s="12"/>
      <c r="BJ1173" s="12"/>
      <c r="BK1173" s="44"/>
      <c r="BL1173" s="45"/>
      <c r="BM1173" s="12"/>
      <c r="BN1173" s="12"/>
      <c r="BO1173" s="12"/>
      <c r="BP1173" s="12"/>
      <c r="BQ1173" s="48"/>
      <c r="BR1173" s="49"/>
      <c r="BS1173" s="13"/>
      <c r="BT1173" s="12"/>
      <c r="BV1173" s="14"/>
      <c r="BW1173" s="50"/>
      <c r="BX1173" s="54"/>
      <c r="BY1173" s="14"/>
      <c r="BZ1173" s="14"/>
      <c r="CA1173" s="14"/>
      <c r="CB1173" s="14"/>
      <c r="CC1173" s="14"/>
      <c r="CD1173" s="14"/>
      <c r="CE1173" s="14"/>
      <c r="CF1173" s="15"/>
      <c r="CG1173" s="14"/>
      <c r="CH1173" s="14"/>
      <c r="CI1173" s="50"/>
      <c r="CJ1173" s="54"/>
      <c r="CK1173" s="14"/>
      <c r="CL1173" s="14"/>
      <c r="CM1173" s="14"/>
      <c r="CN1173" s="14"/>
      <c r="CO1173" s="14"/>
      <c r="CP1173" s="14"/>
      <c r="CQ1173" s="14"/>
      <c r="CR1173" s="14"/>
      <c r="CS1173" s="14"/>
      <c r="CT1173" s="14"/>
      <c r="CU1173" s="16"/>
      <c r="CV1173" s="14"/>
      <c r="CW1173" s="50"/>
      <c r="CX1173" s="17"/>
    </row>
    <row r="1174" spans="4:102" x14ac:dyDescent="0.25"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43"/>
      <c r="Q1174" s="11"/>
      <c r="R1174" s="11"/>
      <c r="S1174" s="11"/>
      <c r="T1174" s="11"/>
      <c r="U1174" s="11"/>
      <c r="V1174" s="11"/>
      <c r="W1174" s="11"/>
      <c r="X1174" s="12"/>
      <c r="Y1174" s="12"/>
      <c r="Z1174" s="12"/>
      <c r="AA1174" s="44"/>
      <c r="AB1174" s="45"/>
      <c r="AC1174" s="12"/>
      <c r="AD1174" s="12"/>
      <c r="AE1174" s="12"/>
      <c r="AF1174" s="12"/>
      <c r="AG1174" s="44"/>
      <c r="AH1174" s="45"/>
      <c r="AI1174" s="12"/>
      <c r="AJ1174" s="12"/>
      <c r="AK1174" s="12"/>
      <c r="AL1174" s="12"/>
      <c r="AM1174" s="44"/>
      <c r="AN1174" s="45"/>
      <c r="AO1174" s="12"/>
      <c r="AP1174" s="12"/>
      <c r="AQ1174" s="12"/>
      <c r="AR1174" s="12"/>
      <c r="AS1174" s="44"/>
      <c r="AT1174" s="45"/>
      <c r="AU1174" s="12"/>
      <c r="AV1174" s="12"/>
      <c r="AW1174" s="12"/>
      <c r="AX1174" s="12"/>
      <c r="AY1174" s="44"/>
      <c r="AZ1174" s="45"/>
      <c r="BA1174" s="12"/>
      <c r="BB1174" s="12"/>
      <c r="BC1174" s="12"/>
      <c r="BD1174" s="12"/>
      <c r="BE1174" s="44"/>
      <c r="BF1174" s="45"/>
      <c r="BG1174" s="12"/>
      <c r="BH1174" s="12"/>
      <c r="BI1174" s="12"/>
      <c r="BJ1174" s="12"/>
      <c r="BK1174" s="44"/>
      <c r="BL1174" s="45"/>
      <c r="BM1174" s="12"/>
      <c r="BN1174" s="12"/>
      <c r="BO1174" s="12"/>
      <c r="BP1174" s="12"/>
      <c r="BQ1174" s="48"/>
      <c r="BR1174" s="49"/>
      <c r="BS1174" s="13"/>
      <c r="BT1174" s="12"/>
      <c r="BV1174" s="14"/>
      <c r="BW1174" s="50"/>
      <c r="BX1174" s="54"/>
      <c r="BY1174" s="14"/>
      <c r="BZ1174" s="14"/>
      <c r="CA1174" s="14"/>
      <c r="CB1174" s="14"/>
      <c r="CC1174" s="14"/>
      <c r="CD1174" s="14"/>
      <c r="CE1174" s="14"/>
      <c r="CF1174" s="15"/>
      <c r="CG1174" s="14"/>
      <c r="CH1174" s="14"/>
      <c r="CI1174" s="50"/>
      <c r="CJ1174" s="54"/>
      <c r="CK1174" s="14"/>
      <c r="CL1174" s="14"/>
      <c r="CM1174" s="14"/>
      <c r="CN1174" s="14"/>
      <c r="CO1174" s="14"/>
      <c r="CP1174" s="14"/>
      <c r="CQ1174" s="14"/>
      <c r="CR1174" s="14"/>
      <c r="CS1174" s="14"/>
      <c r="CT1174" s="14"/>
      <c r="CU1174" s="16"/>
      <c r="CV1174" s="14"/>
      <c r="CW1174" s="50"/>
      <c r="CX1174" s="17"/>
    </row>
    <row r="1175" spans="4:102" x14ac:dyDescent="0.25"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43"/>
      <c r="Q1175" s="11"/>
      <c r="R1175" s="11"/>
      <c r="S1175" s="11"/>
      <c r="T1175" s="11"/>
      <c r="U1175" s="11"/>
      <c r="V1175" s="11"/>
      <c r="W1175" s="11"/>
      <c r="X1175" s="12"/>
      <c r="Y1175" s="12"/>
      <c r="Z1175" s="12"/>
      <c r="AA1175" s="44"/>
      <c r="AB1175" s="45"/>
      <c r="AC1175" s="12"/>
      <c r="AD1175" s="12"/>
      <c r="AE1175" s="12"/>
      <c r="AF1175" s="12"/>
      <c r="AG1175" s="44"/>
      <c r="AH1175" s="45"/>
      <c r="AI1175" s="12"/>
      <c r="AJ1175" s="12"/>
      <c r="AK1175" s="12"/>
      <c r="AL1175" s="12"/>
      <c r="AM1175" s="44"/>
      <c r="AN1175" s="45"/>
      <c r="AO1175" s="12"/>
      <c r="AP1175" s="12"/>
      <c r="AQ1175" s="12"/>
      <c r="AR1175" s="12"/>
      <c r="AS1175" s="44"/>
      <c r="AT1175" s="45"/>
      <c r="AU1175" s="12"/>
      <c r="AV1175" s="12"/>
      <c r="AW1175" s="12"/>
      <c r="AX1175" s="12"/>
      <c r="AY1175" s="44"/>
      <c r="AZ1175" s="45"/>
      <c r="BA1175" s="12"/>
      <c r="BB1175" s="12"/>
      <c r="BC1175" s="12"/>
      <c r="BD1175" s="12"/>
      <c r="BE1175" s="44"/>
      <c r="BF1175" s="45"/>
      <c r="BG1175" s="12"/>
      <c r="BH1175" s="12"/>
      <c r="BI1175" s="12"/>
      <c r="BJ1175" s="12"/>
      <c r="BK1175" s="44"/>
      <c r="BL1175" s="45"/>
      <c r="BM1175" s="12"/>
      <c r="BN1175" s="12"/>
      <c r="BO1175" s="12"/>
      <c r="BP1175" s="12"/>
      <c r="BQ1175" s="48"/>
      <c r="BR1175" s="49"/>
      <c r="BS1175" s="13"/>
      <c r="BT1175" s="12"/>
      <c r="BV1175" s="14"/>
      <c r="BW1175" s="50"/>
      <c r="BX1175" s="54"/>
      <c r="BY1175" s="14"/>
      <c r="BZ1175" s="14"/>
      <c r="CA1175" s="14"/>
      <c r="CB1175" s="14"/>
      <c r="CC1175" s="14"/>
      <c r="CD1175" s="14"/>
      <c r="CE1175" s="14"/>
      <c r="CF1175" s="15"/>
      <c r="CG1175" s="14"/>
      <c r="CH1175" s="14"/>
      <c r="CI1175" s="50"/>
      <c r="CJ1175" s="54"/>
      <c r="CK1175" s="14"/>
      <c r="CL1175" s="14"/>
      <c r="CM1175" s="14"/>
      <c r="CN1175" s="14"/>
      <c r="CO1175" s="14"/>
      <c r="CP1175" s="14"/>
      <c r="CQ1175" s="14"/>
      <c r="CR1175" s="14"/>
      <c r="CS1175" s="14"/>
      <c r="CT1175" s="14"/>
      <c r="CU1175" s="16"/>
      <c r="CV1175" s="14"/>
      <c r="CW1175" s="50"/>
      <c r="CX1175" s="17"/>
    </row>
    <row r="1176" spans="4:102" x14ac:dyDescent="0.25"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43"/>
      <c r="Q1176" s="11"/>
      <c r="R1176" s="11"/>
      <c r="S1176" s="11"/>
      <c r="T1176" s="11"/>
      <c r="U1176" s="11"/>
      <c r="V1176" s="11"/>
      <c r="W1176" s="11"/>
      <c r="X1176" s="12"/>
      <c r="Y1176" s="12"/>
      <c r="Z1176" s="12"/>
      <c r="AA1176" s="44"/>
      <c r="AB1176" s="45"/>
      <c r="AC1176" s="12"/>
      <c r="AD1176" s="12"/>
      <c r="AE1176" s="12"/>
      <c r="AF1176" s="12"/>
      <c r="AG1176" s="44"/>
      <c r="AH1176" s="45"/>
      <c r="AI1176" s="12"/>
      <c r="AJ1176" s="12"/>
      <c r="AK1176" s="12"/>
      <c r="AL1176" s="12"/>
      <c r="AM1176" s="44"/>
      <c r="AN1176" s="45"/>
      <c r="AO1176" s="12"/>
      <c r="AP1176" s="12"/>
      <c r="AQ1176" s="12"/>
      <c r="AR1176" s="12"/>
      <c r="AS1176" s="44"/>
      <c r="AT1176" s="45"/>
      <c r="AU1176" s="12"/>
      <c r="AV1176" s="12"/>
      <c r="AW1176" s="12"/>
      <c r="AX1176" s="12"/>
      <c r="AY1176" s="44"/>
      <c r="AZ1176" s="45"/>
      <c r="BA1176" s="12"/>
      <c r="BB1176" s="12"/>
      <c r="BC1176" s="12"/>
      <c r="BD1176" s="12"/>
      <c r="BE1176" s="44"/>
      <c r="BF1176" s="45"/>
      <c r="BG1176" s="12"/>
      <c r="BH1176" s="12"/>
      <c r="BI1176" s="12"/>
      <c r="BJ1176" s="12"/>
      <c r="BK1176" s="44"/>
      <c r="BL1176" s="45"/>
      <c r="BM1176" s="12"/>
      <c r="BN1176" s="12"/>
      <c r="BO1176" s="12"/>
      <c r="BP1176" s="12"/>
      <c r="BQ1176" s="48"/>
      <c r="BR1176" s="49"/>
      <c r="BS1176" s="13"/>
      <c r="BT1176" s="12"/>
      <c r="BV1176" s="14"/>
      <c r="BW1176" s="50"/>
      <c r="BX1176" s="54"/>
      <c r="BY1176" s="14"/>
      <c r="BZ1176" s="14"/>
      <c r="CA1176" s="14"/>
      <c r="CB1176" s="14"/>
      <c r="CC1176" s="14"/>
      <c r="CD1176" s="14"/>
      <c r="CE1176" s="14"/>
      <c r="CF1176" s="15"/>
      <c r="CG1176" s="14"/>
      <c r="CH1176" s="14"/>
      <c r="CI1176" s="50"/>
      <c r="CJ1176" s="54"/>
      <c r="CK1176" s="14"/>
      <c r="CL1176" s="14"/>
      <c r="CM1176" s="14"/>
      <c r="CN1176" s="14"/>
      <c r="CO1176" s="14"/>
      <c r="CP1176" s="14"/>
      <c r="CQ1176" s="14"/>
      <c r="CR1176" s="14"/>
      <c r="CS1176" s="14"/>
      <c r="CT1176" s="14"/>
      <c r="CU1176" s="16"/>
      <c r="CV1176" s="14"/>
      <c r="CW1176" s="50"/>
      <c r="CX1176" s="17"/>
    </row>
    <row r="1177" spans="4:102" x14ac:dyDescent="0.25"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43"/>
      <c r="Q1177" s="11"/>
      <c r="R1177" s="11"/>
      <c r="S1177" s="11"/>
      <c r="T1177" s="11"/>
      <c r="U1177" s="11"/>
      <c r="V1177" s="11"/>
      <c r="W1177" s="11"/>
      <c r="X1177" s="12"/>
      <c r="Y1177" s="12"/>
      <c r="Z1177" s="12"/>
      <c r="AA1177" s="44"/>
      <c r="AB1177" s="45"/>
      <c r="AC1177" s="12"/>
      <c r="AD1177" s="12"/>
      <c r="AE1177" s="12"/>
      <c r="AF1177" s="12"/>
      <c r="AG1177" s="44"/>
      <c r="AH1177" s="45"/>
      <c r="AI1177" s="12"/>
      <c r="AJ1177" s="12"/>
      <c r="AK1177" s="12"/>
      <c r="AL1177" s="12"/>
      <c r="AM1177" s="44"/>
      <c r="AN1177" s="45"/>
      <c r="AO1177" s="12"/>
      <c r="AP1177" s="12"/>
      <c r="AQ1177" s="12"/>
      <c r="AR1177" s="12"/>
      <c r="AS1177" s="44"/>
      <c r="AT1177" s="45"/>
      <c r="AU1177" s="12"/>
      <c r="AV1177" s="12"/>
      <c r="AW1177" s="12"/>
      <c r="AX1177" s="12"/>
      <c r="AY1177" s="44"/>
      <c r="AZ1177" s="45"/>
      <c r="BA1177" s="12"/>
      <c r="BB1177" s="12"/>
      <c r="BC1177" s="12"/>
      <c r="BD1177" s="12"/>
      <c r="BE1177" s="44"/>
      <c r="BF1177" s="45"/>
      <c r="BG1177" s="12"/>
      <c r="BH1177" s="12"/>
      <c r="BI1177" s="12"/>
      <c r="BJ1177" s="12"/>
      <c r="BK1177" s="44"/>
      <c r="BL1177" s="45"/>
      <c r="BM1177" s="12"/>
      <c r="BN1177" s="12"/>
      <c r="BO1177" s="12"/>
      <c r="BP1177" s="12"/>
      <c r="BQ1177" s="48"/>
      <c r="BR1177" s="49"/>
      <c r="BS1177" s="13"/>
      <c r="BT1177" s="12"/>
      <c r="BV1177" s="14"/>
      <c r="BW1177" s="50"/>
      <c r="BX1177" s="54"/>
      <c r="BY1177" s="14"/>
      <c r="BZ1177" s="14"/>
      <c r="CA1177" s="14"/>
      <c r="CB1177" s="14"/>
      <c r="CC1177" s="14"/>
      <c r="CD1177" s="14"/>
      <c r="CE1177" s="14"/>
      <c r="CF1177" s="15"/>
      <c r="CG1177" s="14"/>
      <c r="CH1177" s="14"/>
      <c r="CI1177" s="50"/>
      <c r="CJ1177" s="54"/>
      <c r="CK1177" s="14"/>
      <c r="CL1177" s="14"/>
      <c r="CM1177" s="14"/>
      <c r="CN1177" s="14"/>
      <c r="CO1177" s="14"/>
      <c r="CP1177" s="14"/>
      <c r="CQ1177" s="14"/>
      <c r="CR1177" s="14"/>
      <c r="CS1177" s="14"/>
      <c r="CT1177" s="14"/>
      <c r="CU1177" s="16"/>
      <c r="CV1177" s="14"/>
      <c r="CW1177" s="50"/>
      <c r="CX1177" s="17"/>
    </row>
    <row r="1178" spans="4:102" x14ac:dyDescent="0.25"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43"/>
      <c r="Q1178" s="11"/>
      <c r="R1178" s="11"/>
      <c r="S1178" s="11"/>
      <c r="T1178" s="11"/>
      <c r="U1178" s="11"/>
      <c r="V1178" s="11"/>
      <c r="W1178" s="11"/>
      <c r="X1178" s="12"/>
      <c r="Y1178" s="12"/>
      <c r="Z1178" s="12"/>
      <c r="AA1178" s="44"/>
      <c r="AB1178" s="45"/>
      <c r="AC1178" s="12"/>
      <c r="AD1178" s="12"/>
      <c r="AE1178" s="12"/>
      <c r="AF1178" s="12"/>
      <c r="AG1178" s="44"/>
      <c r="AH1178" s="45"/>
      <c r="AI1178" s="12"/>
      <c r="AJ1178" s="12"/>
      <c r="AK1178" s="12"/>
      <c r="AL1178" s="12"/>
      <c r="AM1178" s="44"/>
      <c r="AN1178" s="45"/>
      <c r="AO1178" s="12"/>
      <c r="AP1178" s="12"/>
      <c r="AQ1178" s="12"/>
      <c r="AR1178" s="12"/>
      <c r="AS1178" s="44"/>
      <c r="AT1178" s="45"/>
      <c r="AU1178" s="12"/>
      <c r="AV1178" s="12"/>
      <c r="AW1178" s="12"/>
      <c r="AX1178" s="12"/>
      <c r="AY1178" s="44"/>
      <c r="AZ1178" s="45"/>
      <c r="BA1178" s="12"/>
      <c r="BB1178" s="12"/>
      <c r="BC1178" s="12"/>
      <c r="BD1178" s="12"/>
      <c r="BE1178" s="44"/>
      <c r="BF1178" s="45"/>
      <c r="BG1178" s="12"/>
      <c r="BH1178" s="12"/>
      <c r="BI1178" s="12"/>
      <c r="BJ1178" s="12"/>
      <c r="BK1178" s="44"/>
      <c r="BL1178" s="45"/>
      <c r="BM1178" s="12"/>
      <c r="BN1178" s="12"/>
      <c r="BO1178" s="12"/>
      <c r="BP1178" s="12"/>
      <c r="BQ1178" s="48"/>
      <c r="BR1178" s="49"/>
      <c r="BS1178" s="13"/>
      <c r="BT1178" s="12"/>
      <c r="BV1178" s="14"/>
      <c r="BW1178" s="50"/>
      <c r="BX1178" s="54"/>
      <c r="BY1178" s="14"/>
      <c r="BZ1178" s="14"/>
      <c r="CA1178" s="14"/>
      <c r="CB1178" s="14"/>
      <c r="CC1178" s="14"/>
      <c r="CD1178" s="14"/>
      <c r="CE1178" s="14"/>
      <c r="CF1178" s="15"/>
      <c r="CG1178" s="14"/>
      <c r="CH1178" s="14"/>
      <c r="CI1178" s="50"/>
      <c r="CJ1178" s="54"/>
      <c r="CK1178" s="14"/>
      <c r="CL1178" s="14"/>
      <c r="CM1178" s="14"/>
      <c r="CN1178" s="14"/>
      <c r="CO1178" s="14"/>
      <c r="CP1178" s="14"/>
      <c r="CQ1178" s="14"/>
      <c r="CR1178" s="14"/>
      <c r="CS1178" s="14"/>
      <c r="CT1178" s="14"/>
      <c r="CU1178" s="16"/>
      <c r="CV1178" s="14"/>
      <c r="CW1178" s="50"/>
      <c r="CX1178" s="17"/>
    </row>
    <row r="1179" spans="4:102" x14ac:dyDescent="0.25"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43"/>
      <c r="Q1179" s="11"/>
      <c r="R1179" s="11"/>
      <c r="S1179" s="11"/>
      <c r="T1179" s="11"/>
      <c r="U1179" s="11"/>
      <c r="V1179" s="11"/>
      <c r="W1179" s="11"/>
      <c r="X1179" s="12"/>
      <c r="Y1179" s="12"/>
      <c r="Z1179" s="12"/>
      <c r="AA1179" s="44"/>
      <c r="AB1179" s="45"/>
      <c r="AC1179" s="12"/>
      <c r="AD1179" s="12"/>
      <c r="AE1179" s="12"/>
      <c r="AF1179" s="12"/>
      <c r="AG1179" s="44"/>
      <c r="AH1179" s="45"/>
      <c r="AI1179" s="12"/>
      <c r="AJ1179" s="12"/>
      <c r="AK1179" s="12"/>
      <c r="AL1179" s="12"/>
      <c r="AM1179" s="44"/>
      <c r="AN1179" s="45"/>
      <c r="AO1179" s="12"/>
      <c r="AP1179" s="12"/>
      <c r="AQ1179" s="12"/>
      <c r="AR1179" s="12"/>
      <c r="AS1179" s="44"/>
      <c r="AT1179" s="45"/>
      <c r="AU1179" s="12"/>
      <c r="AV1179" s="12"/>
      <c r="AW1179" s="12"/>
      <c r="AX1179" s="12"/>
      <c r="AY1179" s="44"/>
      <c r="AZ1179" s="45"/>
      <c r="BA1179" s="12"/>
      <c r="BB1179" s="12"/>
      <c r="BC1179" s="12"/>
      <c r="BD1179" s="12"/>
      <c r="BE1179" s="44"/>
      <c r="BF1179" s="45"/>
      <c r="BG1179" s="12"/>
      <c r="BH1179" s="12"/>
      <c r="BI1179" s="12"/>
      <c r="BJ1179" s="12"/>
      <c r="BK1179" s="44"/>
      <c r="BL1179" s="45"/>
      <c r="BM1179" s="12"/>
      <c r="BN1179" s="12"/>
      <c r="BO1179" s="12"/>
      <c r="BP1179" s="12"/>
      <c r="BQ1179" s="48"/>
      <c r="BR1179" s="49"/>
      <c r="BS1179" s="13"/>
      <c r="BT1179" s="12"/>
      <c r="BV1179" s="14"/>
      <c r="BW1179" s="50"/>
      <c r="BX1179" s="54"/>
      <c r="BY1179" s="14"/>
      <c r="BZ1179" s="14"/>
      <c r="CA1179" s="14"/>
      <c r="CB1179" s="14"/>
      <c r="CC1179" s="14"/>
      <c r="CD1179" s="14"/>
      <c r="CE1179" s="14"/>
      <c r="CF1179" s="15"/>
      <c r="CG1179" s="14"/>
      <c r="CH1179" s="14"/>
      <c r="CI1179" s="50"/>
      <c r="CJ1179" s="54"/>
      <c r="CK1179" s="14"/>
      <c r="CL1179" s="14"/>
      <c r="CM1179" s="14"/>
      <c r="CN1179" s="14"/>
      <c r="CO1179" s="14"/>
      <c r="CP1179" s="14"/>
      <c r="CQ1179" s="14"/>
      <c r="CR1179" s="14"/>
      <c r="CS1179" s="14"/>
      <c r="CT1179" s="14"/>
      <c r="CU1179" s="16"/>
      <c r="CV1179" s="14"/>
      <c r="CW1179" s="50"/>
      <c r="CX1179" s="17"/>
    </row>
    <row r="1180" spans="4:102" x14ac:dyDescent="0.25"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43"/>
      <c r="Q1180" s="11"/>
      <c r="R1180" s="11"/>
      <c r="S1180" s="11"/>
      <c r="T1180" s="11"/>
      <c r="U1180" s="11"/>
      <c r="V1180" s="11"/>
      <c r="W1180" s="11"/>
      <c r="X1180" s="12"/>
      <c r="Y1180" s="12"/>
      <c r="Z1180" s="12"/>
      <c r="AA1180" s="44"/>
      <c r="AB1180" s="45"/>
      <c r="AC1180" s="12"/>
      <c r="AD1180" s="12"/>
      <c r="AE1180" s="12"/>
      <c r="AF1180" s="12"/>
      <c r="AG1180" s="44"/>
      <c r="AH1180" s="45"/>
      <c r="AI1180" s="12"/>
      <c r="AJ1180" s="12"/>
      <c r="AK1180" s="12"/>
      <c r="AL1180" s="12"/>
      <c r="AM1180" s="44"/>
      <c r="AN1180" s="45"/>
      <c r="AO1180" s="12"/>
      <c r="AP1180" s="12"/>
      <c r="AQ1180" s="12"/>
      <c r="AR1180" s="12"/>
      <c r="AS1180" s="44"/>
      <c r="AT1180" s="45"/>
      <c r="AU1180" s="12"/>
      <c r="AV1180" s="12"/>
      <c r="AW1180" s="12"/>
      <c r="AX1180" s="12"/>
      <c r="AY1180" s="44"/>
      <c r="AZ1180" s="45"/>
      <c r="BA1180" s="12"/>
      <c r="BB1180" s="12"/>
      <c r="BC1180" s="12"/>
      <c r="BD1180" s="12"/>
      <c r="BE1180" s="44"/>
      <c r="BF1180" s="45"/>
      <c r="BG1180" s="12"/>
      <c r="BH1180" s="12"/>
      <c r="BI1180" s="12"/>
      <c r="BJ1180" s="12"/>
      <c r="BK1180" s="44"/>
      <c r="BL1180" s="45"/>
      <c r="BM1180" s="12"/>
      <c r="BN1180" s="12"/>
      <c r="BO1180" s="12"/>
      <c r="BP1180" s="12"/>
      <c r="BQ1180" s="48"/>
      <c r="BR1180" s="49"/>
      <c r="BS1180" s="13"/>
      <c r="BT1180" s="12"/>
      <c r="BV1180" s="14"/>
      <c r="BW1180" s="50"/>
      <c r="BX1180" s="54"/>
      <c r="BY1180" s="14"/>
      <c r="BZ1180" s="14"/>
      <c r="CA1180" s="14"/>
      <c r="CB1180" s="14"/>
      <c r="CC1180" s="14"/>
      <c r="CD1180" s="14"/>
      <c r="CE1180" s="14"/>
      <c r="CF1180" s="15"/>
      <c r="CG1180" s="14"/>
      <c r="CH1180" s="14"/>
      <c r="CI1180" s="50"/>
      <c r="CJ1180" s="54"/>
      <c r="CK1180" s="14"/>
      <c r="CL1180" s="14"/>
      <c r="CM1180" s="14"/>
      <c r="CN1180" s="14"/>
      <c r="CO1180" s="14"/>
      <c r="CP1180" s="14"/>
      <c r="CQ1180" s="14"/>
      <c r="CR1180" s="14"/>
      <c r="CS1180" s="14"/>
      <c r="CT1180" s="14"/>
      <c r="CU1180" s="16"/>
      <c r="CV1180" s="14"/>
      <c r="CW1180" s="50"/>
      <c r="CX1180" s="17"/>
    </row>
    <row r="1181" spans="4:102" x14ac:dyDescent="0.25"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43"/>
      <c r="Q1181" s="11"/>
      <c r="R1181" s="11"/>
      <c r="S1181" s="11"/>
      <c r="T1181" s="11"/>
      <c r="U1181" s="11"/>
      <c r="V1181" s="11"/>
      <c r="W1181" s="11"/>
      <c r="X1181" s="12"/>
      <c r="Y1181" s="12"/>
      <c r="Z1181" s="12"/>
      <c r="AA1181" s="44"/>
      <c r="AB1181" s="45"/>
      <c r="AC1181" s="12"/>
      <c r="AD1181" s="12"/>
      <c r="AE1181" s="12"/>
      <c r="AF1181" s="12"/>
      <c r="AG1181" s="44"/>
      <c r="AH1181" s="45"/>
      <c r="AI1181" s="12"/>
      <c r="AJ1181" s="12"/>
      <c r="AK1181" s="12"/>
      <c r="AL1181" s="12"/>
      <c r="AM1181" s="44"/>
      <c r="AN1181" s="45"/>
      <c r="AO1181" s="12"/>
      <c r="AP1181" s="12"/>
      <c r="AQ1181" s="12"/>
      <c r="AR1181" s="12"/>
      <c r="AS1181" s="44"/>
      <c r="AT1181" s="45"/>
      <c r="AU1181" s="12"/>
      <c r="AV1181" s="12"/>
      <c r="AW1181" s="12"/>
      <c r="AX1181" s="12"/>
      <c r="AY1181" s="44"/>
      <c r="AZ1181" s="45"/>
      <c r="BA1181" s="12"/>
      <c r="BB1181" s="12"/>
      <c r="BC1181" s="12"/>
      <c r="BD1181" s="12"/>
      <c r="BE1181" s="44"/>
      <c r="BF1181" s="45"/>
      <c r="BG1181" s="12"/>
      <c r="BH1181" s="12"/>
      <c r="BI1181" s="12"/>
      <c r="BJ1181" s="12"/>
      <c r="BK1181" s="44"/>
      <c r="BL1181" s="45"/>
      <c r="BM1181" s="12"/>
      <c r="BN1181" s="12"/>
      <c r="BO1181" s="12"/>
      <c r="BP1181" s="12"/>
      <c r="BQ1181" s="48"/>
      <c r="BR1181" s="49"/>
      <c r="BS1181" s="13"/>
      <c r="BT1181" s="12"/>
      <c r="BV1181" s="14"/>
      <c r="BW1181" s="50"/>
      <c r="BX1181" s="54"/>
      <c r="BY1181" s="14"/>
      <c r="BZ1181" s="14"/>
      <c r="CA1181" s="14"/>
      <c r="CB1181" s="14"/>
      <c r="CC1181" s="14"/>
      <c r="CD1181" s="14"/>
      <c r="CE1181" s="14"/>
      <c r="CF1181" s="15"/>
      <c r="CG1181" s="14"/>
      <c r="CH1181" s="14"/>
      <c r="CI1181" s="50"/>
      <c r="CJ1181" s="54"/>
      <c r="CK1181" s="14"/>
      <c r="CL1181" s="14"/>
      <c r="CM1181" s="14"/>
      <c r="CN1181" s="14"/>
      <c r="CO1181" s="14"/>
      <c r="CP1181" s="14"/>
      <c r="CQ1181" s="14"/>
      <c r="CR1181" s="14"/>
      <c r="CS1181" s="14"/>
      <c r="CT1181" s="14"/>
      <c r="CU1181" s="16"/>
      <c r="CV1181" s="14"/>
      <c r="CW1181" s="50"/>
      <c r="CX1181" s="17"/>
    </row>
    <row r="1182" spans="4:102" x14ac:dyDescent="0.25"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43"/>
      <c r="Q1182" s="11"/>
      <c r="R1182" s="11"/>
      <c r="S1182" s="11"/>
      <c r="T1182" s="11"/>
      <c r="U1182" s="11"/>
      <c r="V1182" s="11"/>
      <c r="W1182" s="11"/>
      <c r="X1182" s="12"/>
      <c r="Y1182" s="12"/>
      <c r="Z1182" s="12"/>
      <c r="AA1182" s="44"/>
      <c r="AB1182" s="45"/>
      <c r="AC1182" s="12"/>
      <c r="AD1182" s="12"/>
      <c r="AE1182" s="12"/>
      <c r="AF1182" s="12"/>
      <c r="AG1182" s="44"/>
      <c r="AH1182" s="45"/>
      <c r="AI1182" s="12"/>
      <c r="AJ1182" s="12"/>
      <c r="AK1182" s="12"/>
      <c r="AL1182" s="12"/>
      <c r="AM1182" s="44"/>
      <c r="AN1182" s="45"/>
      <c r="AO1182" s="12"/>
      <c r="AP1182" s="12"/>
      <c r="AQ1182" s="12"/>
      <c r="AR1182" s="12"/>
      <c r="AS1182" s="44"/>
      <c r="AT1182" s="45"/>
      <c r="AU1182" s="12"/>
      <c r="AV1182" s="12"/>
      <c r="AW1182" s="12"/>
      <c r="AX1182" s="12"/>
      <c r="AY1182" s="44"/>
      <c r="AZ1182" s="45"/>
      <c r="BA1182" s="12"/>
      <c r="BB1182" s="12"/>
      <c r="BC1182" s="12"/>
      <c r="BD1182" s="12"/>
      <c r="BE1182" s="44"/>
      <c r="BF1182" s="45"/>
      <c r="BG1182" s="12"/>
      <c r="BH1182" s="12"/>
      <c r="BI1182" s="12"/>
      <c r="BJ1182" s="12"/>
      <c r="BK1182" s="44"/>
      <c r="BL1182" s="45"/>
      <c r="BM1182" s="12"/>
      <c r="BN1182" s="12"/>
      <c r="BO1182" s="12"/>
      <c r="BP1182" s="12"/>
      <c r="BQ1182" s="48"/>
      <c r="BR1182" s="49"/>
      <c r="BS1182" s="13"/>
      <c r="BT1182" s="12"/>
      <c r="BV1182" s="14"/>
      <c r="BW1182" s="50"/>
      <c r="BX1182" s="54"/>
      <c r="BY1182" s="14"/>
      <c r="BZ1182" s="14"/>
      <c r="CA1182" s="14"/>
      <c r="CB1182" s="14"/>
      <c r="CC1182" s="14"/>
      <c r="CD1182" s="14"/>
      <c r="CE1182" s="14"/>
      <c r="CF1182" s="15"/>
      <c r="CG1182" s="14"/>
      <c r="CH1182" s="14"/>
      <c r="CI1182" s="50"/>
      <c r="CJ1182" s="54"/>
      <c r="CK1182" s="14"/>
      <c r="CL1182" s="14"/>
      <c r="CM1182" s="14"/>
      <c r="CN1182" s="14"/>
      <c r="CO1182" s="14"/>
      <c r="CP1182" s="14"/>
      <c r="CQ1182" s="14"/>
      <c r="CR1182" s="14"/>
      <c r="CS1182" s="14"/>
      <c r="CT1182" s="14"/>
      <c r="CU1182" s="16"/>
      <c r="CV1182" s="14"/>
      <c r="CW1182" s="50"/>
      <c r="CX1182" s="17"/>
    </row>
    <row r="1183" spans="4:102" x14ac:dyDescent="0.25"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43"/>
      <c r="Q1183" s="11"/>
      <c r="R1183" s="11"/>
      <c r="S1183" s="11"/>
      <c r="T1183" s="11"/>
      <c r="U1183" s="11"/>
      <c r="V1183" s="11"/>
      <c r="W1183" s="11"/>
      <c r="X1183" s="12"/>
      <c r="Y1183" s="12"/>
      <c r="Z1183" s="12"/>
      <c r="AA1183" s="44"/>
      <c r="AB1183" s="45"/>
      <c r="AC1183" s="12"/>
      <c r="AD1183" s="12"/>
      <c r="AE1183" s="12"/>
      <c r="AF1183" s="12"/>
      <c r="AG1183" s="44"/>
      <c r="AH1183" s="45"/>
      <c r="AI1183" s="12"/>
      <c r="AJ1183" s="12"/>
      <c r="AK1183" s="12"/>
      <c r="AL1183" s="12"/>
      <c r="AM1183" s="44"/>
      <c r="AN1183" s="45"/>
      <c r="AO1183" s="12"/>
      <c r="AP1183" s="12"/>
      <c r="AQ1183" s="12"/>
      <c r="AR1183" s="12"/>
      <c r="AS1183" s="44"/>
      <c r="AT1183" s="45"/>
      <c r="AU1183" s="12"/>
      <c r="AV1183" s="12"/>
      <c r="AW1183" s="12"/>
      <c r="AX1183" s="12"/>
      <c r="AY1183" s="44"/>
      <c r="AZ1183" s="45"/>
      <c r="BA1183" s="12"/>
      <c r="BB1183" s="12"/>
      <c r="BC1183" s="12"/>
      <c r="BD1183" s="12"/>
      <c r="BE1183" s="44"/>
      <c r="BF1183" s="45"/>
      <c r="BG1183" s="12"/>
      <c r="BH1183" s="12"/>
      <c r="BI1183" s="12"/>
      <c r="BJ1183" s="12"/>
      <c r="BK1183" s="44"/>
      <c r="BL1183" s="45"/>
      <c r="BM1183" s="12"/>
      <c r="BN1183" s="12"/>
      <c r="BO1183" s="12"/>
      <c r="BP1183" s="12"/>
      <c r="BQ1183" s="48"/>
      <c r="BR1183" s="49"/>
      <c r="BS1183" s="13"/>
      <c r="BT1183" s="12"/>
      <c r="BV1183" s="14"/>
      <c r="BW1183" s="50"/>
      <c r="BX1183" s="54"/>
      <c r="BY1183" s="14"/>
      <c r="BZ1183" s="14"/>
      <c r="CA1183" s="14"/>
      <c r="CB1183" s="14"/>
      <c r="CC1183" s="14"/>
      <c r="CD1183" s="14"/>
      <c r="CE1183" s="14"/>
      <c r="CF1183" s="15"/>
      <c r="CG1183" s="14"/>
      <c r="CH1183" s="14"/>
      <c r="CI1183" s="50"/>
      <c r="CJ1183" s="54"/>
      <c r="CK1183" s="14"/>
      <c r="CL1183" s="14"/>
      <c r="CM1183" s="14"/>
      <c r="CN1183" s="14"/>
      <c r="CO1183" s="14"/>
      <c r="CP1183" s="14"/>
      <c r="CQ1183" s="14"/>
      <c r="CR1183" s="14"/>
      <c r="CS1183" s="14"/>
      <c r="CT1183" s="14"/>
      <c r="CU1183" s="16"/>
      <c r="CV1183" s="14"/>
      <c r="CW1183" s="50"/>
      <c r="CX1183" s="17"/>
    </row>
    <row r="1184" spans="4:102" x14ac:dyDescent="0.25"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43"/>
      <c r="Q1184" s="11"/>
      <c r="R1184" s="11"/>
      <c r="S1184" s="11"/>
      <c r="T1184" s="11"/>
      <c r="U1184" s="11"/>
      <c r="V1184" s="11"/>
      <c r="W1184" s="11"/>
      <c r="X1184" s="12"/>
      <c r="Y1184" s="12"/>
      <c r="Z1184" s="12"/>
      <c r="AA1184" s="44"/>
      <c r="AB1184" s="45"/>
      <c r="AC1184" s="12"/>
      <c r="AD1184" s="12"/>
      <c r="AE1184" s="12"/>
      <c r="AF1184" s="12"/>
      <c r="AG1184" s="44"/>
      <c r="AH1184" s="45"/>
      <c r="AI1184" s="12"/>
      <c r="AJ1184" s="12"/>
      <c r="AK1184" s="12"/>
      <c r="AL1184" s="12"/>
      <c r="AM1184" s="44"/>
      <c r="AN1184" s="45"/>
      <c r="AO1184" s="12"/>
      <c r="AP1184" s="12"/>
      <c r="AQ1184" s="12"/>
      <c r="AR1184" s="12"/>
      <c r="AS1184" s="44"/>
      <c r="AT1184" s="45"/>
      <c r="AU1184" s="12"/>
      <c r="AV1184" s="12"/>
      <c r="AW1184" s="12"/>
      <c r="AX1184" s="12"/>
      <c r="AY1184" s="44"/>
      <c r="AZ1184" s="45"/>
      <c r="BA1184" s="12"/>
      <c r="BB1184" s="12"/>
      <c r="BC1184" s="12"/>
      <c r="BD1184" s="12"/>
      <c r="BE1184" s="44"/>
      <c r="BF1184" s="45"/>
      <c r="BG1184" s="12"/>
      <c r="BH1184" s="12"/>
      <c r="BI1184" s="12"/>
      <c r="BJ1184" s="12"/>
      <c r="BK1184" s="44"/>
      <c r="BL1184" s="45"/>
      <c r="BM1184" s="12"/>
      <c r="BN1184" s="12"/>
      <c r="BO1184" s="12"/>
      <c r="BP1184" s="12"/>
      <c r="BQ1184" s="48"/>
      <c r="BR1184" s="49"/>
      <c r="BS1184" s="13"/>
      <c r="BT1184" s="12"/>
      <c r="BV1184" s="14"/>
      <c r="BW1184" s="50"/>
      <c r="BX1184" s="54"/>
      <c r="BY1184" s="14"/>
      <c r="BZ1184" s="14"/>
      <c r="CA1184" s="14"/>
      <c r="CB1184" s="14"/>
      <c r="CC1184" s="14"/>
      <c r="CD1184" s="14"/>
      <c r="CE1184" s="14"/>
      <c r="CF1184" s="15"/>
      <c r="CG1184" s="14"/>
      <c r="CH1184" s="14"/>
      <c r="CI1184" s="50"/>
      <c r="CJ1184" s="54"/>
      <c r="CK1184" s="14"/>
      <c r="CL1184" s="14"/>
      <c r="CM1184" s="14"/>
      <c r="CN1184" s="14"/>
      <c r="CO1184" s="14"/>
      <c r="CP1184" s="14"/>
      <c r="CQ1184" s="14"/>
      <c r="CR1184" s="14"/>
      <c r="CS1184" s="14"/>
      <c r="CT1184" s="14"/>
      <c r="CU1184" s="16"/>
      <c r="CV1184" s="14"/>
      <c r="CW1184" s="50"/>
      <c r="CX1184" s="17"/>
    </row>
    <row r="1185" spans="4:102" x14ac:dyDescent="0.25"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43"/>
      <c r="Q1185" s="11"/>
      <c r="R1185" s="11"/>
      <c r="S1185" s="11"/>
      <c r="T1185" s="11"/>
      <c r="U1185" s="11"/>
      <c r="V1185" s="11"/>
      <c r="W1185" s="11"/>
      <c r="X1185" s="12"/>
      <c r="Y1185" s="12"/>
      <c r="Z1185" s="12"/>
      <c r="AA1185" s="44"/>
      <c r="AB1185" s="45"/>
      <c r="AC1185" s="12"/>
      <c r="AD1185" s="12"/>
      <c r="AE1185" s="12"/>
      <c r="AF1185" s="12"/>
      <c r="AG1185" s="44"/>
      <c r="AH1185" s="45"/>
      <c r="AI1185" s="12"/>
      <c r="AJ1185" s="12"/>
      <c r="AK1185" s="12"/>
      <c r="AL1185" s="12"/>
      <c r="AM1185" s="44"/>
      <c r="AN1185" s="45"/>
      <c r="AO1185" s="12"/>
      <c r="AP1185" s="12"/>
      <c r="AQ1185" s="12"/>
      <c r="AR1185" s="12"/>
      <c r="AS1185" s="44"/>
      <c r="AT1185" s="45"/>
      <c r="AU1185" s="12"/>
      <c r="AV1185" s="12"/>
      <c r="AW1185" s="12"/>
      <c r="AX1185" s="12"/>
      <c r="AY1185" s="44"/>
      <c r="AZ1185" s="45"/>
      <c r="BA1185" s="12"/>
      <c r="BB1185" s="12"/>
      <c r="BC1185" s="12"/>
      <c r="BD1185" s="12"/>
      <c r="BE1185" s="44"/>
      <c r="BF1185" s="45"/>
      <c r="BG1185" s="12"/>
      <c r="BH1185" s="12"/>
      <c r="BI1185" s="12"/>
      <c r="BJ1185" s="12"/>
      <c r="BK1185" s="44"/>
      <c r="BL1185" s="45"/>
      <c r="BM1185" s="12"/>
      <c r="BN1185" s="12"/>
      <c r="BO1185" s="12"/>
      <c r="BP1185" s="12"/>
      <c r="BQ1185" s="48"/>
      <c r="BR1185" s="49"/>
      <c r="BS1185" s="13"/>
      <c r="BT1185" s="12"/>
      <c r="BV1185" s="14"/>
      <c r="BW1185" s="50"/>
      <c r="BX1185" s="54"/>
      <c r="BY1185" s="14"/>
      <c r="BZ1185" s="14"/>
      <c r="CA1185" s="14"/>
      <c r="CB1185" s="14"/>
      <c r="CC1185" s="14"/>
      <c r="CD1185" s="14"/>
      <c r="CE1185" s="14"/>
      <c r="CF1185" s="15"/>
      <c r="CG1185" s="14"/>
      <c r="CH1185" s="14"/>
      <c r="CI1185" s="50"/>
      <c r="CJ1185" s="54"/>
      <c r="CK1185" s="14"/>
      <c r="CL1185" s="14"/>
      <c r="CM1185" s="14"/>
      <c r="CN1185" s="14"/>
      <c r="CO1185" s="14"/>
      <c r="CP1185" s="14"/>
      <c r="CQ1185" s="14"/>
      <c r="CR1185" s="14"/>
      <c r="CS1185" s="14"/>
      <c r="CT1185" s="14"/>
      <c r="CU1185" s="16"/>
      <c r="CV1185" s="14"/>
      <c r="CW1185" s="50"/>
      <c r="CX1185" s="17"/>
    </row>
    <row r="1186" spans="4:102" x14ac:dyDescent="0.25"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43"/>
      <c r="Q1186" s="11"/>
      <c r="R1186" s="11"/>
      <c r="S1186" s="11"/>
      <c r="T1186" s="11"/>
      <c r="U1186" s="11"/>
      <c r="V1186" s="11"/>
      <c r="W1186" s="11"/>
      <c r="X1186" s="12"/>
      <c r="Y1186" s="12"/>
      <c r="Z1186" s="12"/>
      <c r="AA1186" s="44"/>
      <c r="AB1186" s="45"/>
      <c r="AC1186" s="12"/>
      <c r="AD1186" s="12"/>
      <c r="AE1186" s="12"/>
      <c r="AF1186" s="12"/>
      <c r="AG1186" s="44"/>
      <c r="AH1186" s="45"/>
      <c r="AI1186" s="12"/>
      <c r="AJ1186" s="12"/>
      <c r="AK1186" s="12"/>
      <c r="AL1186" s="12"/>
      <c r="AM1186" s="44"/>
      <c r="AN1186" s="45"/>
      <c r="AO1186" s="12"/>
      <c r="AP1186" s="12"/>
      <c r="AQ1186" s="12"/>
      <c r="AR1186" s="12"/>
      <c r="AS1186" s="44"/>
      <c r="AT1186" s="45"/>
      <c r="AU1186" s="12"/>
      <c r="AV1186" s="12"/>
      <c r="AW1186" s="12"/>
      <c r="AX1186" s="12"/>
      <c r="AY1186" s="44"/>
      <c r="AZ1186" s="45"/>
      <c r="BA1186" s="12"/>
      <c r="BB1186" s="12"/>
      <c r="BC1186" s="12"/>
      <c r="BD1186" s="12"/>
      <c r="BE1186" s="44"/>
      <c r="BF1186" s="45"/>
      <c r="BG1186" s="12"/>
      <c r="BH1186" s="12"/>
      <c r="BI1186" s="12"/>
      <c r="BJ1186" s="12"/>
      <c r="BK1186" s="44"/>
      <c r="BL1186" s="45"/>
      <c r="BM1186" s="12"/>
      <c r="BN1186" s="12"/>
      <c r="BO1186" s="12"/>
      <c r="BP1186" s="12"/>
      <c r="BQ1186" s="48"/>
      <c r="BR1186" s="49"/>
      <c r="BS1186" s="13"/>
      <c r="BT1186" s="12"/>
      <c r="BV1186" s="14"/>
      <c r="BW1186" s="50"/>
      <c r="BX1186" s="54"/>
      <c r="BY1186" s="14"/>
      <c r="BZ1186" s="14"/>
      <c r="CA1186" s="14"/>
      <c r="CB1186" s="14"/>
      <c r="CC1186" s="14"/>
      <c r="CD1186" s="14"/>
      <c r="CE1186" s="14"/>
      <c r="CF1186" s="15"/>
      <c r="CG1186" s="14"/>
      <c r="CH1186" s="14"/>
      <c r="CI1186" s="50"/>
      <c r="CJ1186" s="54"/>
      <c r="CK1186" s="14"/>
      <c r="CL1186" s="14"/>
      <c r="CM1186" s="14"/>
      <c r="CN1186" s="14"/>
      <c r="CO1186" s="14"/>
      <c r="CP1186" s="14"/>
      <c r="CQ1186" s="14"/>
      <c r="CR1186" s="14"/>
      <c r="CS1186" s="14"/>
      <c r="CT1186" s="14"/>
      <c r="CU1186" s="16"/>
      <c r="CV1186" s="14"/>
      <c r="CW1186" s="50"/>
      <c r="CX1186" s="17"/>
    </row>
    <row r="1187" spans="4:102" x14ac:dyDescent="0.25"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43"/>
      <c r="Q1187" s="11"/>
      <c r="R1187" s="11"/>
      <c r="S1187" s="11"/>
      <c r="T1187" s="11"/>
      <c r="U1187" s="11"/>
      <c r="V1187" s="11"/>
      <c r="W1187" s="11"/>
      <c r="X1187" s="12"/>
      <c r="Y1187" s="12"/>
      <c r="Z1187" s="12"/>
      <c r="AA1187" s="44"/>
      <c r="AB1187" s="45"/>
      <c r="AC1187" s="12"/>
      <c r="AD1187" s="12"/>
      <c r="AE1187" s="12"/>
      <c r="AF1187" s="12"/>
      <c r="AG1187" s="44"/>
      <c r="AH1187" s="45"/>
      <c r="AI1187" s="12"/>
      <c r="AJ1187" s="12"/>
      <c r="AK1187" s="12"/>
      <c r="AL1187" s="12"/>
      <c r="AM1187" s="44"/>
      <c r="AN1187" s="45"/>
      <c r="AO1187" s="12"/>
      <c r="AP1187" s="12"/>
      <c r="AQ1187" s="12"/>
      <c r="AR1187" s="12"/>
      <c r="AS1187" s="44"/>
      <c r="AT1187" s="45"/>
      <c r="AU1187" s="12"/>
      <c r="AV1187" s="12"/>
      <c r="AW1187" s="12"/>
      <c r="AX1187" s="12"/>
      <c r="AY1187" s="44"/>
      <c r="AZ1187" s="45"/>
      <c r="BA1187" s="12"/>
      <c r="BB1187" s="12"/>
      <c r="BC1187" s="12"/>
      <c r="BD1187" s="12"/>
      <c r="BE1187" s="44"/>
      <c r="BF1187" s="45"/>
      <c r="BG1187" s="12"/>
      <c r="BH1187" s="12"/>
      <c r="BI1187" s="12"/>
      <c r="BJ1187" s="12"/>
      <c r="BK1187" s="44"/>
      <c r="BL1187" s="45"/>
      <c r="BM1187" s="12"/>
      <c r="BN1187" s="12"/>
      <c r="BO1187" s="12"/>
      <c r="BP1187" s="12"/>
      <c r="BQ1187" s="48"/>
      <c r="BR1187" s="49"/>
      <c r="BS1187" s="13"/>
      <c r="BT1187" s="12"/>
      <c r="BV1187" s="14"/>
      <c r="BW1187" s="50"/>
      <c r="BX1187" s="54"/>
      <c r="BY1187" s="14"/>
      <c r="BZ1187" s="14"/>
      <c r="CA1187" s="14"/>
      <c r="CB1187" s="14"/>
      <c r="CC1187" s="14"/>
      <c r="CD1187" s="14"/>
      <c r="CE1187" s="14"/>
      <c r="CF1187" s="15"/>
      <c r="CG1187" s="14"/>
      <c r="CH1187" s="14"/>
      <c r="CI1187" s="50"/>
      <c r="CJ1187" s="54"/>
      <c r="CK1187" s="14"/>
      <c r="CL1187" s="14"/>
      <c r="CM1187" s="14"/>
      <c r="CN1187" s="14"/>
      <c r="CO1187" s="14"/>
      <c r="CP1187" s="14"/>
      <c r="CQ1187" s="14"/>
      <c r="CR1187" s="14"/>
      <c r="CS1187" s="14"/>
      <c r="CT1187" s="14"/>
      <c r="CU1187" s="16"/>
      <c r="CV1187" s="14"/>
      <c r="CW1187" s="50"/>
      <c r="CX1187" s="17"/>
    </row>
    <row r="1188" spans="4:102" x14ac:dyDescent="0.25"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43"/>
      <c r="Q1188" s="11"/>
      <c r="R1188" s="11"/>
      <c r="S1188" s="11"/>
      <c r="T1188" s="11"/>
      <c r="U1188" s="11"/>
      <c r="V1188" s="11"/>
      <c r="W1188" s="11"/>
      <c r="X1188" s="12"/>
      <c r="Y1188" s="12"/>
      <c r="Z1188" s="12"/>
      <c r="AA1188" s="44"/>
      <c r="AB1188" s="45"/>
      <c r="AC1188" s="12"/>
      <c r="AD1188" s="12"/>
      <c r="AE1188" s="12"/>
      <c r="AF1188" s="12"/>
      <c r="AG1188" s="44"/>
      <c r="AH1188" s="45"/>
      <c r="AI1188" s="12"/>
      <c r="AJ1188" s="12"/>
      <c r="AK1188" s="12"/>
      <c r="AL1188" s="12"/>
      <c r="AM1188" s="44"/>
      <c r="AN1188" s="45"/>
      <c r="AO1188" s="12"/>
      <c r="AP1188" s="12"/>
      <c r="AQ1188" s="12"/>
      <c r="AR1188" s="12"/>
      <c r="AS1188" s="44"/>
      <c r="AT1188" s="45"/>
      <c r="AU1188" s="12"/>
      <c r="AV1188" s="12"/>
      <c r="AW1188" s="12"/>
      <c r="AX1188" s="12"/>
      <c r="AY1188" s="44"/>
      <c r="AZ1188" s="45"/>
      <c r="BA1188" s="12"/>
      <c r="BB1188" s="12"/>
      <c r="BC1188" s="12"/>
      <c r="BD1188" s="12"/>
      <c r="BE1188" s="44"/>
      <c r="BF1188" s="45"/>
      <c r="BG1188" s="12"/>
      <c r="BH1188" s="12"/>
      <c r="BI1188" s="12"/>
      <c r="BJ1188" s="12"/>
      <c r="BK1188" s="44"/>
      <c r="BL1188" s="45"/>
      <c r="BM1188" s="12"/>
      <c r="BN1188" s="12"/>
      <c r="BO1188" s="12"/>
      <c r="BP1188" s="12"/>
      <c r="BQ1188" s="48"/>
      <c r="BR1188" s="49"/>
      <c r="BS1188" s="13"/>
      <c r="BT1188" s="12"/>
      <c r="BV1188" s="14"/>
      <c r="BW1188" s="50"/>
      <c r="BX1188" s="54"/>
      <c r="BY1188" s="14"/>
      <c r="BZ1188" s="14"/>
      <c r="CA1188" s="14"/>
      <c r="CB1188" s="14"/>
      <c r="CC1188" s="14"/>
      <c r="CD1188" s="14"/>
      <c r="CE1188" s="14"/>
      <c r="CF1188" s="15"/>
      <c r="CG1188" s="14"/>
      <c r="CH1188" s="14"/>
      <c r="CI1188" s="50"/>
      <c r="CJ1188" s="54"/>
      <c r="CK1188" s="14"/>
      <c r="CL1188" s="14"/>
      <c r="CM1188" s="14"/>
      <c r="CN1188" s="14"/>
      <c r="CO1188" s="14"/>
      <c r="CP1188" s="14"/>
      <c r="CQ1188" s="14"/>
      <c r="CR1188" s="14"/>
      <c r="CS1188" s="14"/>
      <c r="CT1188" s="14"/>
      <c r="CU1188" s="16"/>
      <c r="CV1188" s="14"/>
      <c r="CW1188" s="50"/>
      <c r="CX1188" s="17"/>
    </row>
    <row r="1189" spans="4:102" x14ac:dyDescent="0.25"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43"/>
      <c r="Q1189" s="11"/>
      <c r="R1189" s="11"/>
      <c r="S1189" s="11"/>
      <c r="T1189" s="11"/>
      <c r="U1189" s="11"/>
      <c r="V1189" s="11"/>
      <c r="W1189" s="11"/>
      <c r="X1189" s="12"/>
      <c r="Y1189" s="12"/>
      <c r="Z1189" s="12"/>
      <c r="AA1189" s="44"/>
      <c r="AB1189" s="45"/>
      <c r="AC1189" s="12"/>
      <c r="AD1189" s="12"/>
      <c r="AE1189" s="12"/>
      <c r="AF1189" s="12"/>
      <c r="AG1189" s="44"/>
      <c r="AH1189" s="45"/>
      <c r="AI1189" s="12"/>
      <c r="AJ1189" s="12"/>
      <c r="AK1189" s="12"/>
      <c r="AL1189" s="12"/>
      <c r="AM1189" s="44"/>
      <c r="AN1189" s="45"/>
      <c r="AO1189" s="12"/>
      <c r="AP1189" s="12"/>
      <c r="AQ1189" s="12"/>
      <c r="AR1189" s="12"/>
      <c r="AS1189" s="44"/>
      <c r="AT1189" s="45"/>
      <c r="AU1189" s="12"/>
      <c r="AV1189" s="12"/>
      <c r="AW1189" s="12"/>
      <c r="AX1189" s="12"/>
      <c r="AY1189" s="44"/>
      <c r="AZ1189" s="45"/>
      <c r="BA1189" s="12"/>
      <c r="BB1189" s="12"/>
      <c r="BC1189" s="12"/>
      <c r="BD1189" s="12"/>
      <c r="BE1189" s="44"/>
      <c r="BF1189" s="45"/>
      <c r="BG1189" s="12"/>
      <c r="BH1189" s="12"/>
      <c r="BI1189" s="12"/>
      <c r="BJ1189" s="12"/>
      <c r="BK1189" s="44"/>
      <c r="BL1189" s="45"/>
      <c r="BM1189" s="12"/>
      <c r="BN1189" s="12"/>
      <c r="BO1189" s="12"/>
      <c r="BP1189" s="12"/>
      <c r="BQ1189" s="48"/>
      <c r="BR1189" s="49"/>
      <c r="BS1189" s="13"/>
      <c r="BT1189" s="12"/>
      <c r="BV1189" s="14"/>
      <c r="BW1189" s="50"/>
      <c r="BX1189" s="54"/>
      <c r="BY1189" s="14"/>
      <c r="BZ1189" s="14"/>
      <c r="CA1189" s="14"/>
      <c r="CB1189" s="14"/>
      <c r="CC1189" s="14"/>
      <c r="CD1189" s="14"/>
      <c r="CE1189" s="14"/>
      <c r="CF1189" s="15"/>
      <c r="CG1189" s="14"/>
      <c r="CH1189" s="14"/>
      <c r="CI1189" s="50"/>
      <c r="CJ1189" s="54"/>
      <c r="CK1189" s="14"/>
      <c r="CL1189" s="14"/>
      <c r="CM1189" s="14"/>
      <c r="CN1189" s="14"/>
      <c r="CO1189" s="14"/>
      <c r="CP1189" s="14"/>
      <c r="CQ1189" s="14"/>
      <c r="CR1189" s="14"/>
      <c r="CS1189" s="14"/>
      <c r="CT1189" s="14"/>
      <c r="CU1189" s="16"/>
      <c r="CV1189" s="14"/>
      <c r="CW1189" s="50"/>
      <c r="CX1189" s="17"/>
    </row>
    <row r="1190" spans="4:102" x14ac:dyDescent="0.25"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43"/>
      <c r="Q1190" s="11"/>
      <c r="R1190" s="11"/>
      <c r="S1190" s="11"/>
      <c r="T1190" s="11"/>
      <c r="U1190" s="11"/>
      <c r="V1190" s="11"/>
      <c r="W1190" s="11"/>
      <c r="X1190" s="12"/>
      <c r="Y1190" s="12"/>
      <c r="Z1190" s="12"/>
      <c r="AA1190" s="44"/>
      <c r="AB1190" s="45"/>
      <c r="AC1190" s="12"/>
      <c r="AD1190" s="12"/>
      <c r="AE1190" s="12"/>
      <c r="AF1190" s="12"/>
      <c r="AG1190" s="44"/>
      <c r="AH1190" s="45"/>
      <c r="AI1190" s="12"/>
      <c r="AJ1190" s="12"/>
      <c r="AK1190" s="12"/>
      <c r="AL1190" s="12"/>
      <c r="AM1190" s="44"/>
      <c r="AN1190" s="45"/>
      <c r="AO1190" s="12"/>
      <c r="AP1190" s="12"/>
      <c r="AQ1190" s="12"/>
      <c r="AR1190" s="12"/>
      <c r="AS1190" s="44"/>
      <c r="AT1190" s="45"/>
      <c r="AU1190" s="12"/>
      <c r="AV1190" s="12"/>
      <c r="AW1190" s="12"/>
      <c r="AX1190" s="12"/>
      <c r="AY1190" s="44"/>
      <c r="AZ1190" s="45"/>
      <c r="BA1190" s="12"/>
      <c r="BB1190" s="12"/>
      <c r="BC1190" s="12"/>
      <c r="BD1190" s="12"/>
      <c r="BE1190" s="44"/>
      <c r="BF1190" s="45"/>
      <c r="BG1190" s="12"/>
      <c r="BH1190" s="12"/>
      <c r="BI1190" s="12"/>
      <c r="BJ1190" s="12"/>
      <c r="BK1190" s="44"/>
      <c r="BL1190" s="45"/>
      <c r="BM1190" s="12"/>
      <c r="BN1190" s="12"/>
      <c r="BO1190" s="12"/>
      <c r="BP1190" s="12"/>
      <c r="BQ1190" s="48"/>
      <c r="BR1190" s="49"/>
      <c r="BS1190" s="13"/>
      <c r="BT1190" s="12"/>
      <c r="BV1190" s="14"/>
      <c r="BW1190" s="50"/>
      <c r="BX1190" s="54"/>
      <c r="BY1190" s="14"/>
      <c r="BZ1190" s="14"/>
      <c r="CA1190" s="14"/>
      <c r="CB1190" s="14"/>
      <c r="CC1190" s="14"/>
      <c r="CD1190" s="14"/>
      <c r="CE1190" s="14"/>
      <c r="CF1190" s="15"/>
      <c r="CG1190" s="14"/>
      <c r="CH1190" s="14"/>
      <c r="CI1190" s="50"/>
      <c r="CJ1190" s="54"/>
      <c r="CK1190" s="14"/>
      <c r="CL1190" s="14"/>
      <c r="CM1190" s="14"/>
      <c r="CN1190" s="14"/>
      <c r="CO1190" s="14"/>
      <c r="CP1190" s="14"/>
      <c r="CQ1190" s="14"/>
      <c r="CR1190" s="14"/>
      <c r="CS1190" s="14"/>
      <c r="CT1190" s="14"/>
      <c r="CU1190" s="16"/>
      <c r="CV1190" s="14"/>
      <c r="CW1190" s="50"/>
      <c r="CX1190" s="17"/>
    </row>
    <row r="1191" spans="4:102" x14ac:dyDescent="0.25"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43"/>
      <c r="Q1191" s="11"/>
      <c r="R1191" s="11"/>
      <c r="S1191" s="11"/>
      <c r="T1191" s="11"/>
      <c r="U1191" s="11"/>
      <c r="V1191" s="11"/>
      <c r="W1191" s="11"/>
      <c r="X1191" s="12"/>
      <c r="Y1191" s="12"/>
      <c r="Z1191" s="12"/>
      <c r="AA1191" s="44"/>
      <c r="AB1191" s="45"/>
      <c r="AC1191" s="12"/>
      <c r="AD1191" s="12"/>
      <c r="AE1191" s="12"/>
      <c r="AF1191" s="12"/>
      <c r="AG1191" s="44"/>
      <c r="AH1191" s="45"/>
      <c r="AI1191" s="12"/>
      <c r="AJ1191" s="12"/>
      <c r="AK1191" s="12"/>
      <c r="AL1191" s="12"/>
      <c r="AM1191" s="44"/>
      <c r="AN1191" s="45"/>
      <c r="AO1191" s="12"/>
      <c r="AP1191" s="12"/>
      <c r="AQ1191" s="12"/>
      <c r="AR1191" s="12"/>
      <c r="AS1191" s="44"/>
      <c r="AT1191" s="45"/>
      <c r="AU1191" s="12"/>
      <c r="AV1191" s="12"/>
      <c r="AW1191" s="12"/>
      <c r="AX1191" s="12"/>
      <c r="AY1191" s="44"/>
      <c r="AZ1191" s="45"/>
      <c r="BA1191" s="12"/>
      <c r="BB1191" s="12"/>
      <c r="BC1191" s="12"/>
      <c r="BD1191" s="12"/>
      <c r="BE1191" s="44"/>
      <c r="BF1191" s="45"/>
      <c r="BG1191" s="12"/>
      <c r="BH1191" s="12"/>
      <c r="BI1191" s="12"/>
      <c r="BJ1191" s="12"/>
      <c r="BK1191" s="44"/>
      <c r="BL1191" s="45"/>
      <c r="BM1191" s="12"/>
      <c r="BN1191" s="12"/>
      <c r="BO1191" s="12"/>
      <c r="BP1191" s="12"/>
      <c r="BQ1191" s="48"/>
      <c r="BR1191" s="49"/>
      <c r="BS1191" s="13"/>
      <c r="BT1191" s="12"/>
      <c r="BV1191" s="14"/>
      <c r="BW1191" s="50"/>
      <c r="BX1191" s="54"/>
      <c r="BY1191" s="14"/>
      <c r="BZ1191" s="14"/>
      <c r="CA1191" s="14"/>
      <c r="CB1191" s="14"/>
      <c r="CC1191" s="14"/>
      <c r="CD1191" s="14"/>
      <c r="CE1191" s="14"/>
      <c r="CF1191" s="15"/>
      <c r="CG1191" s="14"/>
      <c r="CH1191" s="14"/>
      <c r="CI1191" s="50"/>
      <c r="CJ1191" s="54"/>
      <c r="CK1191" s="14"/>
      <c r="CL1191" s="14"/>
      <c r="CM1191" s="14"/>
      <c r="CN1191" s="14"/>
      <c r="CO1191" s="14"/>
      <c r="CP1191" s="14"/>
      <c r="CQ1191" s="14"/>
      <c r="CR1191" s="14"/>
      <c r="CS1191" s="14"/>
      <c r="CT1191" s="14"/>
      <c r="CU1191" s="16"/>
      <c r="CV1191" s="14"/>
      <c r="CW1191" s="50"/>
      <c r="CX1191" s="17"/>
    </row>
    <row r="1192" spans="4:102" x14ac:dyDescent="0.25"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43"/>
      <c r="Q1192" s="11"/>
      <c r="R1192" s="11"/>
      <c r="S1192" s="11"/>
      <c r="T1192" s="11"/>
      <c r="U1192" s="11"/>
      <c r="V1192" s="11"/>
      <c r="W1192" s="11"/>
      <c r="X1192" s="12"/>
      <c r="Y1192" s="12"/>
      <c r="Z1192" s="12"/>
      <c r="AA1192" s="44"/>
      <c r="AB1192" s="45"/>
      <c r="AC1192" s="12"/>
      <c r="AD1192" s="12"/>
      <c r="AE1192" s="12"/>
      <c r="AF1192" s="12"/>
      <c r="AG1192" s="44"/>
      <c r="AH1192" s="45"/>
      <c r="AI1192" s="12"/>
      <c r="AJ1192" s="12"/>
      <c r="AK1192" s="12"/>
      <c r="AL1192" s="12"/>
      <c r="AM1192" s="44"/>
      <c r="AN1192" s="45"/>
      <c r="AO1192" s="12"/>
      <c r="AP1192" s="12"/>
      <c r="AQ1192" s="12"/>
      <c r="AR1192" s="12"/>
      <c r="AS1192" s="44"/>
      <c r="AT1192" s="45"/>
      <c r="AU1192" s="12"/>
      <c r="AV1192" s="12"/>
      <c r="AW1192" s="12"/>
      <c r="AX1192" s="12"/>
      <c r="AY1192" s="44"/>
      <c r="AZ1192" s="45"/>
      <c r="BA1192" s="12"/>
      <c r="BB1192" s="12"/>
      <c r="BC1192" s="12"/>
      <c r="BD1192" s="12"/>
      <c r="BE1192" s="44"/>
      <c r="BF1192" s="45"/>
      <c r="BG1192" s="12"/>
      <c r="BH1192" s="12"/>
      <c r="BI1192" s="12"/>
      <c r="BJ1192" s="12"/>
      <c r="BK1192" s="44"/>
      <c r="BL1192" s="45"/>
      <c r="BM1192" s="12"/>
      <c r="BN1192" s="12"/>
      <c r="BO1192" s="12"/>
      <c r="BP1192" s="12"/>
      <c r="BQ1192" s="48"/>
      <c r="BR1192" s="49"/>
      <c r="BS1192" s="13"/>
      <c r="BT1192" s="12"/>
      <c r="BV1192" s="14"/>
      <c r="BW1192" s="50"/>
      <c r="BX1192" s="54"/>
      <c r="BY1192" s="14"/>
      <c r="BZ1192" s="14"/>
      <c r="CA1192" s="14"/>
      <c r="CB1192" s="14"/>
      <c r="CC1192" s="14"/>
      <c r="CD1192" s="14"/>
      <c r="CE1192" s="14"/>
      <c r="CF1192" s="15"/>
      <c r="CG1192" s="14"/>
      <c r="CH1192" s="14"/>
      <c r="CI1192" s="50"/>
      <c r="CJ1192" s="54"/>
      <c r="CK1192" s="14"/>
      <c r="CL1192" s="14"/>
      <c r="CM1192" s="14"/>
      <c r="CN1192" s="14"/>
      <c r="CO1192" s="14"/>
      <c r="CP1192" s="14"/>
      <c r="CQ1192" s="14"/>
      <c r="CR1192" s="14"/>
      <c r="CS1192" s="14"/>
      <c r="CT1192" s="14"/>
      <c r="CU1192" s="16"/>
      <c r="CV1192" s="14"/>
      <c r="CW1192" s="50"/>
      <c r="CX1192" s="17"/>
    </row>
    <row r="1193" spans="4:102" x14ac:dyDescent="0.25"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43"/>
      <c r="Q1193" s="11"/>
      <c r="R1193" s="11"/>
      <c r="S1193" s="11"/>
      <c r="T1193" s="11"/>
      <c r="U1193" s="11"/>
      <c r="V1193" s="11"/>
      <c r="W1193" s="11"/>
      <c r="X1193" s="12"/>
      <c r="Y1193" s="12"/>
      <c r="Z1193" s="12"/>
      <c r="AA1193" s="44"/>
      <c r="AB1193" s="45"/>
      <c r="AC1193" s="12"/>
      <c r="AD1193" s="12"/>
      <c r="AE1193" s="12"/>
      <c r="AF1193" s="12"/>
      <c r="AG1193" s="44"/>
      <c r="AH1193" s="45"/>
      <c r="AI1193" s="12"/>
      <c r="AJ1193" s="12"/>
      <c r="AK1193" s="12"/>
      <c r="AL1193" s="12"/>
      <c r="AM1193" s="44"/>
      <c r="AN1193" s="45"/>
      <c r="AO1193" s="12"/>
      <c r="AP1193" s="12"/>
      <c r="AQ1193" s="12"/>
      <c r="AR1193" s="12"/>
      <c r="AS1193" s="44"/>
      <c r="AT1193" s="45"/>
      <c r="AU1193" s="12"/>
      <c r="AV1193" s="12"/>
      <c r="AW1193" s="12"/>
      <c r="AX1193" s="12"/>
      <c r="AY1193" s="44"/>
      <c r="AZ1193" s="45"/>
      <c r="BA1193" s="12"/>
      <c r="BB1193" s="12"/>
      <c r="BC1193" s="12"/>
      <c r="BD1193" s="12"/>
      <c r="BE1193" s="44"/>
      <c r="BF1193" s="45"/>
      <c r="BG1193" s="12"/>
      <c r="BH1193" s="12"/>
      <c r="BI1193" s="12"/>
      <c r="BJ1193" s="12"/>
      <c r="BK1193" s="44"/>
      <c r="BL1193" s="45"/>
      <c r="BM1193" s="12"/>
      <c r="BN1193" s="12"/>
      <c r="BO1193" s="12"/>
      <c r="BP1193" s="12"/>
      <c r="BQ1193" s="48"/>
      <c r="BR1193" s="49"/>
      <c r="BS1193" s="13"/>
      <c r="BT1193" s="12"/>
      <c r="BV1193" s="14"/>
      <c r="BW1193" s="50"/>
      <c r="BX1193" s="54"/>
      <c r="BY1193" s="14"/>
      <c r="BZ1193" s="14"/>
      <c r="CA1193" s="14"/>
      <c r="CB1193" s="14"/>
      <c r="CC1193" s="14"/>
      <c r="CD1193" s="14"/>
      <c r="CE1193" s="14"/>
      <c r="CF1193" s="15"/>
      <c r="CG1193" s="14"/>
      <c r="CH1193" s="14"/>
      <c r="CI1193" s="50"/>
      <c r="CJ1193" s="54"/>
      <c r="CK1193" s="14"/>
      <c r="CL1193" s="14"/>
      <c r="CM1193" s="14"/>
      <c r="CN1193" s="14"/>
      <c r="CO1193" s="14"/>
      <c r="CP1193" s="14"/>
      <c r="CQ1193" s="14"/>
      <c r="CR1193" s="14"/>
      <c r="CS1193" s="14"/>
      <c r="CT1193" s="14"/>
      <c r="CU1193" s="16"/>
      <c r="CV1193" s="14"/>
      <c r="CW1193" s="50"/>
      <c r="CX1193" s="17"/>
    </row>
    <row r="1194" spans="4:102" x14ac:dyDescent="0.25"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43"/>
      <c r="Q1194" s="11"/>
      <c r="R1194" s="11"/>
      <c r="S1194" s="11"/>
      <c r="T1194" s="11"/>
      <c r="U1194" s="11"/>
      <c r="V1194" s="11"/>
      <c r="W1194" s="11"/>
      <c r="X1194" s="12"/>
      <c r="Y1194" s="12"/>
      <c r="Z1194" s="12"/>
      <c r="AA1194" s="44"/>
      <c r="AB1194" s="45"/>
      <c r="AC1194" s="12"/>
      <c r="AD1194" s="12"/>
      <c r="AE1194" s="12"/>
      <c r="AF1194" s="12"/>
      <c r="AG1194" s="44"/>
      <c r="AH1194" s="45"/>
      <c r="AI1194" s="12"/>
      <c r="AJ1194" s="12"/>
      <c r="AK1194" s="12"/>
      <c r="AL1194" s="12"/>
      <c r="AM1194" s="44"/>
      <c r="AN1194" s="45"/>
      <c r="AO1194" s="12"/>
      <c r="AP1194" s="12"/>
      <c r="AQ1194" s="12"/>
      <c r="AR1194" s="12"/>
      <c r="AS1194" s="44"/>
      <c r="AT1194" s="45"/>
      <c r="AU1194" s="12"/>
      <c r="AV1194" s="12"/>
      <c r="AW1194" s="12"/>
      <c r="AX1194" s="12"/>
      <c r="AY1194" s="44"/>
      <c r="AZ1194" s="45"/>
      <c r="BA1194" s="12"/>
      <c r="BB1194" s="12"/>
      <c r="BC1194" s="12"/>
      <c r="BD1194" s="12"/>
      <c r="BE1194" s="44"/>
      <c r="BF1194" s="45"/>
      <c r="BG1194" s="12"/>
      <c r="BH1194" s="12"/>
      <c r="BI1194" s="12"/>
      <c r="BJ1194" s="12"/>
      <c r="BK1194" s="44"/>
      <c r="BL1194" s="45"/>
      <c r="BM1194" s="12"/>
      <c r="BN1194" s="12"/>
      <c r="BO1194" s="12"/>
      <c r="BP1194" s="12"/>
      <c r="BQ1194" s="48"/>
      <c r="BR1194" s="49"/>
      <c r="BS1194" s="13"/>
      <c r="BT1194" s="12"/>
      <c r="BV1194" s="14"/>
      <c r="BW1194" s="50"/>
      <c r="BX1194" s="54"/>
      <c r="BY1194" s="14"/>
      <c r="BZ1194" s="14"/>
      <c r="CA1194" s="14"/>
      <c r="CB1194" s="14"/>
      <c r="CC1194" s="14"/>
      <c r="CD1194" s="14"/>
      <c r="CE1194" s="14"/>
      <c r="CF1194" s="15"/>
      <c r="CG1194" s="14"/>
      <c r="CH1194" s="14"/>
      <c r="CI1194" s="50"/>
      <c r="CJ1194" s="54"/>
      <c r="CK1194" s="14"/>
      <c r="CL1194" s="14"/>
      <c r="CM1194" s="14"/>
      <c r="CN1194" s="14"/>
      <c r="CO1194" s="14"/>
      <c r="CP1194" s="14"/>
      <c r="CQ1194" s="14"/>
      <c r="CR1194" s="14"/>
      <c r="CS1194" s="14"/>
      <c r="CT1194" s="14"/>
      <c r="CU1194" s="16"/>
      <c r="CV1194" s="14"/>
      <c r="CW1194" s="50"/>
      <c r="CX1194" s="17"/>
    </row>
    <row r="1195" spans="4:102" x14ac:dyDescent="0.25"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43"/>
      <c r="Q1195" s="11"/>
      <c r="R1195" s="11"/>
      <c r="S1195" s="11"/>
      <c r="T1195" s="11"/>
      <c r="U1195" s="11"/>
      <c r="V1195" s="11"/>
      <c r="W1195" s="11"/>
      <c r="X1195" s="12"/>
      <c r="Y1195" s="12"/>
      <c r="Z1195" s="12"/>
      <c r="AA1195" s="44"/>
      <c r="AB1195" s="45"/>
      <c r="AC1195" s="12"/>
      <c r="AD1195" s="12"/>
      <c r="AE1195" s="12"/>
      <c r="AF1195" s="12"/>
      <c r="AG1195" s="44"/>
      <c r="AH1195" s="45"/>
      <c r="AI1195" s="12"/>
      <c r="AJ1195" s="12"/>
      <c r="AK1195" s="12"/>
      <c r="AL1195" s="12"/>
      <c r="AM1195" s="44"/>
      <c r="AN1195" s="45"/>
      <c r="AO1195" s="12"/>
      <c r="AP1195" s="12"/>
      <c r="AQ1195" s="12"/>
      <c r="AR1195" s="12"/>
      <c r="AS1195" s="44"/>
      <c r="AT1195" s="45"/>
      <c r="AU1195" s="12"/>
      <c r="AV1195" s="12"/>
      <c r="AW1195" s="12"/>
      <c r="AX1195" s="12"/>
      <c r="AY1195" s="44"/>
      <c r="AZ1195" s="45"/>
      <c r="BA1195" s="12"/>
      <c r="BB1195" s="12"/>
      <c r="BC1195" s="12"/>
      <c r="BD1195" s="12"/>
      <c r="BE1195" s="44"/>
      <c r="BF1195" s="45"/>
      <c r="BG1195" s="12"/>
      <c r="BH1195" s="12"/>
      <c r="BI1195" s="12"/>
      <c r="BJ1195" s="12"/>
      <c r="BK1195" s="44"/>
      <c r="BL1195" s="45"/>
      <c r="BM1195" s="12"/>
      <c r="BN1195" s="12"/>
      <c r="BO1195" s="12"/>
      <c r="BP1195" s="12"/>
      <c r="BQ1195" s="48"/>
      <c r="BR1195" s="49"/>
      <c r="BS1195" s="13"/>
      <c r="BT1195" s="12"/>
      <c r="BV1195" s="14"/>
      <c r="BW1195" s="50"/>
      <c r="BX1195" s="54"/>
      <c r="BY1195" s="14"/>
      <c r="BZ1195" s="14"/>
      <c r="CA1195" s="14"/>
      <c r="CB1195" s="14"/>
      <c r="CC1195" s="14"/>
      <c r="CD1195" s="14"/>
      <c r="CE1195" s="14"/>
      <c r="CF1195" s="15"/>
      <c r="CG1195" s="14"/>
      <c r="CH1195" s="14"/>
      <c r="CI1195" s="50"/>
      <c r="CJ1195" s="54"/>
      <c r="CK1195" s="14"/>
      <c r="CL1195" s="14"/>
      <c r="CM1195" s="14"/>
      <c r="CN1195" s="14"/>
      <c r="CO1195" s="14"/>
      <c r="CP1195" s="14"/>
      <c r="CQ1195" s="14"/>
      <c r="CR1195" s="14"/>
      <c r="CS1195" s="14"/>
      <c r="CT1195" s="14"/>
      <c r="CU1195" s="16"/>
      <c r="CV1195" s="14"/>
      <c r="CW1195" s="50"/>
      <c r="CX1195" s="17"/>
    </row>
    <row r="1196" spans="4:102" x14ac:dyDescent="0.25"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43"/>
      <c r="Q1196" s="11"/>
      <c r="R1196" s="11"/>
      <c r="S1196" s="11"/>
      <c r="T1196" s="11"/>
      <c r="U1196" s="11"/>
      <c r="V1196" s="11"/>
      <c r="W1196" s="11"/>
      <c r="X1196" s="12"/>
      <c r="Y1196" s="12"/>
      <c r="Z1196" s="12"/>
      <c r="AA1196" s="44"/>
      <c r="AB1196" s="45"/>
      <c r="AC1196" s="12"/>
      <c r="AD1196" s="12"/>
      <c r="AE1196" s="12"/>
      <c r="AF1196" s="12"/>
      <c r="AG1196" s="44"/>
      <c r="AH1196" s="45"/>
      <c r="AI1196" s="12"/>
      <c r="AJ1196" s="12"/>
      <c r="AK1196" s="12"/>
      <c r="AL1196" s="12"/>
      <c r="AM1196" s="44"/>
      <c r="AN1196" s="45"/>
      <c r="AO1196" s="12"/>
      <c r="AP1196" s="12"/>
      <c r="AQ1196" s="12"/>
      <c r="AR1196" s="12"/>
      <c r="AS1196" s="44"/>
      <c r="AT1196" s="45"/>
      <c r="AU1196" s="12"/>
      <c r="AV1196" s="12"/>
      <c r="AW1196" s="12"/>
      <c r="AX1196" s="12"/>
      <c r="AY1196" s="44"/>
      <c r="AZ1196" s="45"/>
      <c r="BA1196" s="12"/>
      <c r="BB1196" s="12"/>
      <c r="BC1196" s="12"/>
      <c r="BD1196" s="12"/>
      <c r="BE1196" s="44"/>
      <c r="BF1196" s="45"/>
      <c r="BG1196" s="12"/>
      <c r="BH1196" s="12"/>
      <c r="BI1196" s="12"/>
      <c r="BJ1196" s="12"/>
      <c r="BK1196" s="44"/>
      <c r="BL1196" s="45"/>
      <c r="BM1196" s="12"/>
      <c r="BN1196" s="12"/>
      <c r="BO1196" s="12"/>
      <c r="BP1196" s="12"/>
      <c r="BQ1196" s="48"/>
      <c r="BR1196" s="49"/>
      <c r="BS1196" s="13"/>
      <c r="BT1196" s="12"/>
      <c r="BV1196" s="14"/>
      <c r="BW1196" s="50"/>
      <c r="BX1196" s="54"/>
      <c r="BY1196" s="14"/>
      <c r="BZ1196" s="14"/>
      <c r="CA1196" s="14"/>
      <c r="CB1196" s="14"/>
      <c r="CC1196" s="14"/>
      <c r="CD1196" s="14"/>
      <c r="CE1196" s="14"/>
      <c r="CF1196" s="15"/>
      <c r="CG1196" s="14"/>
      <c r="CH1196" s="14"/>
      <c r="CI1196" s="50"/>
      <c r="CJ1196" s="54"/>
      <c r="CK1196" s="14"/>
      <c r="CL1196" s="14"/>
      <c r="CM1196" s="14"/>
      <c r="CN1196" s="14"/>
      <c r="CO1196" s="14"/>
      <c r="CP1196" s="14"/>
      <c r="CQ1196" s="14"/>
      <c r="CR1196" s="14"/>
      <c r="CS1196" s="14"/>
      <c r="CT1196" s="14"/>
      <c r="CU1196" s="16"/>
      <c r="CV1196" s="14"/>
      <c r="CW1196" s="50"/>
      <c r="CX1196" s="17"/>
    </row>
    <row r="1197" spans="4:102" x14ac:dyDescent="0.25"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43"/>
      <c r="Q1197" s="11"/>
      <c r="R1197" s="11"/>
      <c r="S1197" s="11"/>
      <c r="T1197" s="11"/>
      <c r="U1197" s="11"/>
      <c r="V1197" s="11"/>
      <c r="W1197" s="11"/>
      <c r="X1197" s="12"/>
      <c r="Y1197" s="12"/>
      <c r="Z1197" s="12"/>
      <c r="AA1197" s="44"/>
      <c r="AB1197" s="45"/>
      <c r="AC1197" s="12"/>
      <c r="AD1197" s="12"/>
      <c r="AE1197" s="12"/>
      <c r="AF1197" s="12"/>
      <c r="AG1197" s="44"/>
      <c r="AH1197" s="45"/>
      <c r="AI1197" s="12"/>
      <c r="AJ1197" s="12"/>
      <c r="AK1197" s="12"/>
      <c r="AL1197" s="12"/>
      <c r="AM1197" s="44"/>
      <c r="AN1197" s="45"/>
      <c r="AO1197" s="12"/>
      <c r="AP1197" s="12"/>
      <c r="AQ1197" s="12"/>
      <c r="AR1197" s="12"/>
      <c r="AS1197" s="44"/>
      <c r="AT1197" s="45"/>
      <c r="AU1197" s="12"/>
      <c r="AV1197" s="12"/>
      <c r="AW1197" s="12"/>
      <c r="AX1197" s="12"/>
      <c r="AY1197" s="44"/>
      <c r="AZ1197" s="45"/>
      <c r="BA1197" s="12"/>
      <c r="BB1197" s="12"/>
      <c r="BC1197" s="12"/>
      <c r="BD1197" s="12"/>
      <c r="BE1197" s="44"/>
      <c r="BF1197" s="45"/>
      <c r="BG1197" s="12"/>
      <c r="BH1197" s="12"/>
      <c r="BI1197" s="12"/>
      <c r="BJ1197" s="12"/>
      <c r="BK1197" s="44"/>
      <c r="BL1197" s="45"/>
      <c r="BM1197" s="12"/>
      <c r="BN1197" s="12"/>
      <c r="BO1197" s="12"/>
      <c r="BP1197" s="12"/>
      <c r="BQ1197" s="48"/>
      <c r="BR1197" s="49"/>
      <c r="BS1197" s="13"/>
      <c r="BT1197" s="12"/>
      <c r="BV1197" s="14"/>
      <c r="BW1197" s="50"/>
      <c r="BX1197" s="54"/>
      <c r="BY1197" s="14"/>
      <c r="BZ1197" s="14"/>
      <c r="CA1197" s="14"/>
      <c r="CB1197" s="14"/>
      <c r="CC1197" s="14"/>
      <c r="CD1197" s="14"/>
      <c r="CE1197" s="14"/>
      <c r="CF1197" s="15"/>
      <c r="CG1197" s="14"/>
      <c r="CH1197" s="14"/>
      <c r="CI1197" s="50"/>
      <c r="CJ1197" s="54"/>
      <c r="CK1197" s="14"/>
      <c r="CL1197" s="14"/>
      <c r="CM1197" s="14"/>
      <c r="CN1197" s="14"/>
      <c r="CO1197" s="14"/>
      <c r="CP1197" s="14"/>
      <c r="CQ1197" s="14"/>
      <c r="CR1197" s="14"/>
      <c r="CS1197" s="14"/>
      <c r="CT1197" s="14"/>
      <c r="CU1197" s="16"/>
      <c r="CV1197" s="14"/>
      <c r="CW1197" s="50"/>
      <c r="CX1197" s="17"/>
    </row>
    <row r="1198" spans="4:102" x14ac:dyDescent="0.25"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43"/>
      <c r="Q1198" s="11"/>
      <c r="R1198" s="11"/>
      <c r="S1198" s="11"/>
      <c r="T1198" s="11"/>
      <c r="U1198" s="11"/>
      <c r="V1198" s="11"/>
      <c r="W1198" s="11"/>
      <c r="X1198" s="12"/>
      <c r="Y1198" s="12"/>
      <c r="Z1198" s="12"/>
      <c r="AA1198" s="44"/>
      <c r="AB1198" s="45"/>
      <c r="AC1198" s="12"/>
      <c r="AD1198" s="12"/>
      <c r="AE1198" s="12"/>
      <c r="AF1198" s="12"/>
      <c r="AG1198" s="44"/>
      <c r="AH1198" s="45"/>
      <c r="AI1198" s="12"/>
      <c r="AJ1198" s="12"/>
      <c r="AK1198" s="12"/>
      <c r="AL1198" s="12"/>
      <c r="AM1198" s="44"/>
      <c r="AN1198" s="45"/>
      <c r="AO1198" s="12"/>
      <c r="AP1198" s="12"/>
      <c r="AQ1198" s="12"/>
      <c r="AR1198" s="12"/>
      <c r="AS1198" s="44"/>
      <c r="AT1198" s="45"/>
      <c r="AU1198" s="12"/>
      <c r="AV1198" s="12"/>
      <c r="AW1198" s="12"/>
      <c r="AX1198" s="12"/>
      <c r="AY1198" s="44"/>
      <c r="AZ1198" s="45"/>
      <c r="BA1198" s="12"/>
      <c r="BB1198" s="12"/>
      <c r="BC1198" s="12"/>
      <c r="BD1198" s="12"/>
      <c r="BE1198" s="44"/>
      <c r="BF1198" s="45"/>
      <c r="BG1198" s="12"/>
      <c r="BH1198" s="12"/>
      <c r="BI1198" s="12"/>
      <c r="BJ1198" s="12"/>
      <c r="BK1198" s="44"/>
      <c r="BL1198" s="45"/>
      <c r="BM1198" s="12"/>
      <c r="BN1198" s="12"/>
      <c r="BO1198" s="12"/>
      <c r="BP1198" s="12"/>
      <c r="BQ1198" s="48"/>
      <c r="BR1198" s="49"/>
      <c r="BS1198" s="13"/>
      <c r="BT1198" s="12"/>
      <c r="BV1198" s="14"/>
      <c r="BW1198" s="50"/>
      <c r="BX1198" s="54"/>
      <c r="BY1198" s="14"/>
      <c r="BZ1198" s="14"/>
      <c r="CA1198" s="14"/>
      <c r="CB1198" s="14"/>
      <c r="CC1198" s="14"/>
      <c r="CD1198" s="14"/>
      <c r="CE1198" s="14"/>
      <c r="CF1198" s="15"/>
      <c r="CG1198" s="14"/>
      <c r="CH1198" s="14"/>
      <c r="CI1198" s="50"/>
      <c r="CJ1198" s="54"/>
      <c r="CK1198" s="14"/>
      <c r="CL1198" s="14"/>
      <c r="CM1198" s="14"/>
      <c r="CN1198" s="14"/>
      <c r="CO1198" s="14"/>
      <c r="CP1198" s="14"/>
      <c r="CQ1198" s="14"/>
      <c r="CR1198" s="14"/>
      <c r="CS1198" s="14"/>
      <c r="CT1198" s="14"/>
      <c r="CU1198" s="16"/>
      <c r="CV1198" s="14"/>
      <c r="CW1198" s="50"/>
      <c r="CX1198" s="17"/>
    </row>
    <row r="1199" spans="4:102" x14ac:dyDescent="0.25"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43"/>
      <c r="Q1199" s="11"/>
      <c r="R1199" s="11"/>
      <c r="S1199" s="11"/>
      <c r="T1199" s="11"/>
      <c r="U1199" s="11"/>
      <c r="V1199" s="11"/>
      <c r="W1199" s="11"/>
      <c r="X1199" s="12"/>
      <c r="Y1199" s="12"/>
      <c r="Z1199" s="12"/>
      <c r="AA1199" s="44"/>
      <c r="AB1199" s="45"/>
      <c r="AC1199" s="12"/>
      <c r="AD1199" s="12"/>
      <c r="AE1199" s="12"/>
      <c r="AF1199" s="12"/>
      <c r="AG1199" s="44"/>
      <c r="AH1199" s="45"/>
      <c r="AI1199" s="12"/>
      <c r="AJ1199" s="12"/>
      <c r="AK1199" s="12"/>
      <c r="AL1199" s="12"/>
      <c r="AM1199" s="44"/>
      <c r="AN1199" s="45"/>
      <c r="AO1199" s="12"/>
      <c r="AP1199" s="12"/>
      <c r="AQ1199" s="12"/>
      <c r="AR1199" s="12"/>
      <c r="AS1199" s="44"/>
      <c r="AT1199" s="45"/>
      <c r="AU1199" s="12"/>
      <c r="AV1199" s="12"/>
      <c r="AW1199" s="12"/>
      <c r="AX1199" s="12"/>
      <c r="AY1199" s="44"/>
      <c r="AZ1199" s="45"/>
      <c r="BA1199" s="12"/>
      <c r="BB1199" s="12"/>
      <c r="BC1199" s="12"/>
      <c r="BD1199" s="12"/>
      <c r="BE1199" s="44"/>
      <c r="BF1199" s="45"/>
      <c r="BG1199" s="12"/>
      <c r="BH1199" s="12"/>
      <c r="BI1199" s="12"/>
      <c r="BJ1199" s="12"/>
      <c r="BK1199" s="44"/>
      <c r="BL1199" s="45"/>
      <c r="BM1199" s="12"/>
      <c r="BN1199" s="12"/>
      <c r="BO1199" s="12"/>
      <c r="BP1199" s="12"/>
      <c r="BQ1199" s="48"/>
      <c r="BR1199" s="49"/>
      <c r="BS1199" s="13"/>
      <c r="BT1199" s="12"/>
      <c r="BV1199" s="14"/>
      <c r="BW1199" s="50"/>
      <c r="BX1199" s="54"/>
      <c r="BY1199" s="14"/>
      <c r="BZ1199" s="14"/>
      <c r="CA1199" s="14"/>
      <c r="CB1199" s="14"/>
      <c r="CC1199" s="14"/>
      <c r="CD1199" s="14"/>
      <c r="CE1199" s="14"/>
      <c r="CF1199" s="15"/>
      <c r="CG1199" s="14"/>
      <c r="CH1199" s="14"/>
      <c r="CI1199" s="50"/>
      <c r="CJ1199" s="54"/>
      <c r="CK1199" s="14"/>
      <c r="CL1199" s="14"/>
      <c r="CM1199" s="14"/>
      <c r="CN1199" s="14"/>
      <c r="CO1199" s="14"/>
      <c r="CP1199" s="14"/>
      <c r="CQ1199" s="14"/>
      <c r="CR1199" s="14"/>
      <c r="CS1199" s="14"/>
      <c r="CT1199" s="14"/>
      <c r="CU1199" s="16"/>
      <c r="CV1199" s="14"/>
      <c r="CW1199" s="50"/>
      <c r="CX1199" s="17"/>
    </row>
    <row r="1200" spans="4:102" x14ac:dyDescent="0.25"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43"/>
      <c r="Q1200" s="11"/>
      <c r="R1200" s="11"/>
      <c r="S1200" s="11"/>
      <c r="T1200" s="11"/>
      <c r="U1200" s="11"/>
      <c r="V1200" s="11"/>
      <c r="W1200" s="11"/>
      <c r="X1200" s="12"/>
      <c r="Y1200" s="12"/>
      <c r="Z1200" s="12"/>
      <c r="AA1200" s="44"/>
      <c r="AB1200" s="45"/>
      <c r="AC1200" s="12"/>
      <c r="AD1200" s="12"/>
      <c r="AE1200" s="12"/>
      <c r="AF1200" s="12"/>
      <c r="AG1200" s="44"/>
      <c r="AH1200" s="45"/>
      <c r="AI1200" s="12"/>
      <c r="AJ1200" s="12"/>
      <c r="AK1200" s="12"/>
      <c r="AL1200" s="12"/>
      <c r="AM1200" s="44"/>
      <c r="AN1200" s="45"/>
      <c r="AO1200" s="12"/>
      <c r="AP1200" s="12"/>
      <c r="AQ1200" s="12"/>
      <c r="AR1200" s="12"/>
      <c r="AS1200" s="44"/>
      <c r="AT1200" s="45"/>
      <c r="AU1200" s="12"/>
      <c r="AV1200" s="12"/>
      <c r="AW1200" s="12"/>
      <c r="AX1200" s="12"/>
      <c r="AY1200" s="44"/>
      <c r="AZ1200" s="45"/>
      <c r="BA1200" s="12"/>
      <c r="BB1200" s="12"/>
      <c r="BC1200" s="12"/>
      <c r="BD1200" s="12"/>
      <c r="BE1200" s="44"/>
      <c r="BF1200" s="45"/>
      <c r="BG1200" s="12"/>
      <c r="BH1200" s="12"/>
      <c r="BI1200" s="12"/>
      <c r="BJ1200" s="12"/>
      <c r="BK1200" s="44"/>
      <c r="BL1200" s="45"/>
      <c r="BM1200" s="12"/>
      <c r="BN1200" s="12"/>
      <c r="BO1200" s="12"/>
      <c r="BP1200" s="12"/>
      <c r="BQ1200" s="48"/>
      <c r="BR1200" s="49"/>
      <c r="BS1200" s="13"/>
      <c r="BT1200" s="12"/>
      <c r="BV1200" s="14"/>
      <c r="BW1200" s="50"/>
      <c r="BX1200" s="54"/>
      <c r="BY1200" s="14"/>
      <c r="BZ1200" s="14"/>
      <c r="CA1200" s="14"/>
      <c r="CB1200" s="14"/>
      <c r="CC1200" s="14"/>
      <c r="CD1200" s="14"/>
      <c r="CE1200" s="14"/>
      <c r="CF1200" s="15"/>
      <c r="CG1200" s="14"/>
      <c r="CH1200" s="14"/>
      <c r="CI1200" s="50"/>
      <c r="CJ1200" s="54"/>
      <c r="CK1200" s="14"/>
      <c r="CL1200" s="14"/>
      <c r="CM1200" s="14"/>
      <c r="CN1200" s="14"/>
      <c r="CO1200" s="14"/>
      <c r="CP1200" s="14"/>
      <c r="CQ1200" s="14"/>
      <c r="CR1200" s="14"/>
      <c r="CS1200" s="14"/>
      <c r="CT1200" s="14"/>
      <c r="CU1200" s="16"/>
      <c r="CV1200" s="14"/>
      <c r="CW1200" s="50"/>
      <c r="CX1200" s="17"/>
    </row>
    <row r="1201" spans="4:102" x14ac:dyDescent="0.25"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43"/>
      <c r="Q1201" s="11"/>
      <c r="R1201" s="11"/>
      <c r="S1201" s="11"/>
      <c r="T1201" s="11"/>
      <c r="U1201" s="11"/>
      <c r="V1201" s="11"/>
      <c r="W1201" s="11"/>
      <c r="X1201" s="12"/>
      <c r="Y1201" s="12"/>
      <c r="Z1201" s="12"/>
      <c r="AA1201" s="44"/>
      <c r="AB1201" s="45"/>
      <c r="AC1201" s="12"/>
      <c r="AD1201" s="12"/>
      <c r="AE1201" s="12"/>
      <c r="AF1201" s="12"/>
      <c r="AG1201" s="44"/>
      <c r="AH1201" s="45"/>
      <c r="AI1201" s="12"/>
      <c r="AJ1201" s="12"/>
      <c r="AK1201" s="12"/>
      <c r="AL1201" s="12"/>
      <c r="AM1201" s="44"/>
      <c r="AN1201" s="45"/>
      <c r="AO1201" s="12"/>
      <c r="AP1201" s="12"/>
      <c r="AQ1201" s="12"/>
      <c r="AR1201" s="12"/>
      <c r="AS1201" s="44"/>
      <c r="AT1201" s="45"/>
      <c r="AU1201" s="12"/>
      <c r="AV1201" s="12"/>
      <c r="AW1201" s="12"/>
      <c r="AX1201" s="12"/>
      <c r="AY1201" s="44"/>
      <c r="AZ1201" s="45"/>
      <c r="BA1201" s="12"/>
      <c r="BB1201" s="12"/>
      <c r="BC1201" s="12"/>
      <c r="BD1201" s="12"/>
      <c r="BE1201" s="44"/>
      <c r="BF1201" s="45"/>
      <c r="BG1201" s="12"/>
      <c r="BH1201" s="12"/>
      <c r="BI1201" s="12"/>
      <c r="BJ1201" s="12"/>
      <c r="BK1201" s="44"/>
      <c r="BL1201" s="45"/>
      <c r="BM1201" s="12"/>
      <c r="BN1201" s="12"/>
      <c r="BO1201" s="12"/>
      <c r="BP1201" s="12"/>
      <c r="BQ1201" s="48"/>
      <c r="BR1201" s="49"/>
      <c r="BS1201" s="13"/>
      <c r="BT1201" s="12"/>
      <c r="BV1201" s="14"/>
      <c r="BW1201" s="50"/>
      <c r="BX1201" s="54"/>
      <c r="BY1201" s="14"/>
      <c r="BZ1201" s="14"/>
      <c r="CA1201" s="14"/>
      <c r="CB1201" s="14"/>
      <c r="CC1201" s="14"/>
      <c r="CD1201" s="14"/>
      <c r="CE1201" s="14"/>
      <c r="CF1201" s="15"/>
      <c r="CG1201" s="14"/>
      <c r="CH1201" s="14"/>
      <c r="CI1201" s="50"/>
      <c r="CJ1201" s="54"/>
      <c r="CK1201" s="14"/>
      <c r="CL1201" s="14"/>
      <c r="CM1201" s="14"/>
      <c r="CN1201" s="14"/>
      <c r="CO1201" s="14"/>
      <c r="CP1201" s="14"/>
      <c r="CQ1201" s="14"/>
      <c r="CR1201" s="14"/>
      <c r="CS1201" s="14"/>
      <c r="CT1201" s="14"/>
      <c r="CU1201" s="16"/>
      <c r="CV1201" s="14"/>
      <c r="CW1201" s="50"/>
      <c r="CX1201" s="17"/>
    </row>
    <row r="1202" spans="4:102" x14ac:dyDescent="0.25"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43"/>
      <c r="Q1202" s="11"/>
      <c r="R1202" s="11"/>
      <c r="S1202" s="11"/>
      <c r="T1202" s="11"/>
      <c r="U1202" s="11"/>
      <c r="V1202" s="11"/>
      <c r="W1202" s="11"/>
      <c r="X1202" s="12"/>
      <c r="Y1202" s="12"/>
      <c r="Z1202" s="12"/>
      <c r="AA1202" s="44"/>
      <c r="AB1202" s="45"/>
      <c r="AC1202" s="12"/>
      <c r="AD1202" s="12"/>
      <c r="AE1202" s="12"/>
      <c r="AF1202" s="12"/>
      <c r="AG1202" s="44"/>
      <c r="AH1202" s="45"/>
      <c r="AI1202" s="12"/>
      <c r="AJ1202" s="12"/>
      <c r="AK1202" s="12"/>
      <c r="AL1202" s="12"/>
      <c r="AM1202" s="44"/>
      <c r="AN1202" s="45"/>
      <c r="AO1202" s="12"/>
      <c r="AP1202" s="12"/>
      <c r="AQ1202" s="12"/>
      <c r="AR1202" s="12"/>
      <c r="AS1202" s="44"/>
      <c r="AT1202" s="45"/>
      <c r="AU1202" s="12"/>
      <c r="AV1202" s="12"/>
      <c r="AW1202" s="12"/>
      <c r="AX1202" s="12"/>
      <c r="AY1202" s="44"/>
      <c r="AZ1202" s="45"/>
      <c r="BA1202" s="12"/>
      <c r="BB1202" s="12"/>
      <c r="BC1202" s="12"/>
      <c r="BD1202" s="12"/>
      <c r="BE1202" s="44"/>
      <c r="BF1202" s="45"/>
      <c r="BG1202" s="12"/>
      <c r="BH1202" s="12"/>
      <c r="BI1202" s="12"/>
      <c r="BJ1202" s="12"/>
      <c r="BK1202" s="44"/>
      <c r="BL1202" s="45"/>
      <c r="BM1202" s="12"/>
      <c r="BN1202" s="12"/>
      <c r="BO1202" s="12"/>
      <c r="BP1202" s="12"/>
      <c r="BQ1202" s="48"/>
      <c r="BR1202" s="49"/>
      <c r="BS1202" s="13"/>
      <c r="BT1202" s="12"/>
      <c r="BV1202" s="14"/>
      <c r="BW1202" s="50"/>
      <c r="BX1202" s="54"/>
      <c r="BY1202" s="14"/>
      <c r="BZ1202" s="14"/>
      <c r="CA1202" s="14"/>
      <c r="CB1202" s="14"/>
      <c r="CC1202" s="14"/>
      <c r="CD1202" s="14"/>
      <c r="CE1202" s="14"/>
      <c r="CF1202" s="15"/>
      <c r="CG1202" s="14"/>
      <c r="CH1202" s="14"/>
      <c r="CI1202" s="50"/>
      <c r="CJ1202" s="54"/>
      <c r="CK1202" s="14"/>
      <c r="CL1202" s="14"/>
      <c r="CM1202" s="14"/>
      <c r="CN1202" s="14"/>
      <c r="CO1202" s="14"/>
      <c r="CP1202" s="14"/>
      <c r="CQ1202" s="14"/>
      <c r="CR1202" s="14"/>
      <c r="CS1202" s="14"/>
      <c r="CT1202" s="14"/>
      <c r="CU1202" s="16"/>
      <c r="CV1202" s="14"/>
      <c r="CW1202" s="50"/>
      <c r="CX1202" s="17"/>
    </row>
    <row r="1203" spans="4:102" x14ac:dyDescent="0.25"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43"/>
      <c r="Q1203" s="11"/>
      <c r="R1203" s="11"/>
      <c r="S1203" s="11"/>
      <c r="T1203" s="11"/>
      <c r="U1203" s="11"/>
      <c r="V1203" s="11"/>
      <c r="W1203" s="11"/>
      <c r="X1203" s="12"/>
      <c r="Y1203" s="12"/>
      <c r="Z1203" s="12"/>
      <c r="AA1203" s="44"/>
      <c r="AB1203" s="45"/>
      <c r="AC1203" s="12"/>
      <c r="AD1203" s="12"/>
      <c r="AE1203" s="12"/>
      <c r="AF1203" s="12"/>
      <c r="AG1203" s="44"/>
      <c r="AH1203" s="45"/>
      <c r="AI1203" s="12"/>
      <c r="AJ1203" s="12"/>
      <c r="AK1203" s="12"/>
      <c r="AL1203" s="12"/>
      <c r="AM1203" s="44"/>
      <c r="AN1203" s="45"/>
      <c r="AO1203" s="12"/>
      <c r="AP1203" s="12"/>
      <c r="AQ1203" s="12"/>
      <c r="AR1203" s="12"/>
      <c r="AS1203" s="44"/>
      <c r="AT1203" s="45"/>
      <c r="AU1203" s="12"/>
      <c r="AV1203" s="12"/>
      <c r="AW1203" s="12"/>
      <c r="AX1203" s="12"/>
      <c r="AY1203" s="44"/>
      <c r="AZ1203" s="45"/>
      <c r="BA1203" s="12"/>
      <c r="BB1203" s="12"/>
      <c r="BC1203" s="12"/>
      <c r="BD1203" s="12"/>
      <c r="BE1203" s="44"/>
      <c r="BF1203" s="45"/>
      <c r="BG1203" s="12"/>
      <c r="BH1203" s="12"/>
      <c r="BI1203" s="12"/>
      <c r="BJ1203" s="12"/>
      <c r="BK1203" s="44"/>
      <c r="BL1203" s="45"/>
      <c r="BM1203" s="12"/>
      <c r="BN1203" s="12"/>
      <c r="BO1203" s="12"/>
      <c r="BP1203" s="12"/>
      <c r="BQ1203" s="48"/>
      <c r="BR1203" s="49"/>
      <c r="BS1203" s="13"/>
      <c r="BT1203" s="12"/>
      <c r="BV1203" s="14"/>
      <c r="BW1203" s="50"/>
      <c r="BX1203" s="54"/>
      <c r="BY1203" s="14"/>
      <c r="BZ1203" s="14"/>
      <c r="CA1203" s="14"/>
      <c r="CB1203" s="14"/>
      <c r="CC1203" s="14"/>
      <c r="CD1203" s="14"/>
      <c r="CE1203" s="14"/>
      <c r="CF1203" s="15"/>
      <c r="CG1203" s="14"/>
      <c r="CH1203" s="14"/>
      <c r="CI1203" s="50"/>
      <c r="CJ1203" s="54"/>
      <c r="CK1203" s="14"/>
      <c r="CL1203" s="14"/>
      <c r="CM1203" s="14"/>
      <c r="CN1203" s="14"/>
      <c r="CO1203" s="14"/>
      <c r="CP1203" s="14"/>
      <c r="CQ1203" s="14"/>
      <c r="CR1203" s="14"/>
      <c r="CS1203" s="14"/>
      <c r="CT1203" s="14"/>
      <c r="CU1203" s="16"/>
      <c r="CV1203" s="14"/>
      <c r="CW1203" s="50"/>
      <c r="CX1203" s="17"/>
    </row>
    <row r="1204" spans="4:102" x14ac:dyDescent="0.25"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43"/>
      <c r="Q1204" s="11"/>
      <c r="R1204" s="11"/>
      <c r="S1204" s="11"/>
      <c r="T1204" s="11"/>
      <c r="U1204" s="11"/>
      <c r="V1204" s="11"/>
      <c r="W1204" s="11"/>
      <c r="X1204" s="12"/>
      <c r="Y1204" s="12"/>
      <c r="Z1204" s="12"/>
      <c r="AA1204" s="44"/>
      <c r="AB1204" s="45"/>
      <c r="AC1204" s="12"/>
      <c r="AD1204" s="12"/>
      <c r="AE1204" s="12"/>
      <c r="AF1204" s="12"/>
      <c r="AG1204" s="44"/>
      <c r="AH1204" s="45"/>
      <c r="AI1204" s="12"/>
      <c r="AJ1204" s="12"/>
      <c r="AK1204" s="12"/>
      <c r="AL1204" s="12"/>
      <c r="AM1204" s="44"/>
      <c r="AN1204" s="45"/>
      <c r="AO1204" s="12"/>
      <c r="AP1204" s="12"/>
      <c r="AQ1204" s="12"/>
      <c r="AR1204" s="12"/>
      <c r="AS1204" s="44"/>
      <c r="AT1204" s="45"/>
      <c r="AU1204" s="12"/>
      <c r="AV1204" s="12"/>
      <c r="AW1204" s="12"/>
      <c r="AX1204" s="12"/>
      <c r="AY1204" s="44"/>
      <c r="AZ1204" s="45"/>
      <c r="BA1204" s="12"/>
      <c r="BB1204" s="12"/>
      <c r="BC1204" s="12"/>
      <c r="BD1204" s="12"/>
      <c r="BE1204" s="44"/>
      <c r="BF1204" s="45"/>
      <c r="BG1204" s="12"/>
      <c r="BH1204" s="12"/>
      <c r="BI1204" s="12"/>
      <c r="BJ1204" s="12"/>
      <c r="BK1204" s="44"/>
      <c r="BL1204" s="45"/>
      <c r="BM1204" s="12"/>
      <c r="BN1204" s="12"/>
      <c r="BO1204" s="12"/>
      <c r="BP1204" s="12"/>
      <c r="BQ1204" s="48"/>
      <c r="BR1204" s="49"/>
      <c r="BS1204" s="13"/>
      <c r="BT1204" s="12"/>
      <c r="BV1204" s="14"/>
      <c r="BW1204" s="50"/>
      <c r="BX1204" s="54"/>
      <c r="BY1204" s="14"/>
      <c r="BZ1204" s="14"/>
      <c r="CA1204" s="14"/>
      <c r="CB1204" s="14"/>
      <c r="CC1204" s="14"/>
      <c r="CD1204" s="14"/>
      <c r="CE1204" s="14"/>
      <c r="CF1204" s="15"/>
      <c r="CG1204" s="14"/>
      <c r="CH1204" s="14"/>
      <c r="CI1204" s="50"/>
      <c r="CJ1204" s="54"/>
      <c r="CK1204" s="14"/>
      <c r="CL1204" s="14"/>
      <c r="CM1204" s="14"/>
      <c r="CN1204" s="14"/>
      <c r="CO1204" s="14"/>
      <c r="CP1204" s="14"/>
      <c r="CQ1204" s="14"/>
      <c r="CR1204" s="14"/>
      <c r="CS1204" s="14"/>
      <c r="CT1204" s="14"/>
      <c r="CU1204" s="16"/>
      <c r="CV1204" s="14"/>
      <c r="CW1204" s="50"/>
      <c r="CX1204" s="17"/>
    </row>
    <row r="1205" spans="4:102" x14ac:dyDescent="0.25"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43"/>
      <c r="Q1205" s="11"/>
      <c r="R1205" s="11"/>
      <c r="S1205" s="11"/>
      <c r="T1205" s="11"/>
      <c r="U1205" s="11"/>
      <c r="V1205" s="11"/>
      <c r="W1205" s="11"/>
      <c r="X1205" s="12"/>
      <c r="Y1205" s="12"/>
      <c r="Z1205" s="12"/>
      <c r="AA1205" s="44"/>
      <c r="AB1205" s="45"/>
      <c r="AC1205" s="12"/>
      <c r="AD1205" s="12"/>
      <c r="AE1205" s="12"/>
      <c r="AF1205" s="12"/>
      <c r="AG1205" s="44"/>
      <c r="AH1205" s="45"/>
      <c r="AI1205" s="12"/>
      <c r="AJ1205" s="12"/>
      <c r="AK1205" s="12"/>
      <c r="AL1205" s="12"/>
      <c r="AM1205" s="44"/>
      <c r="AN1205" s="45"/>
      <c r="AO1205" s="12"/>
      <c r="AP1205" s="12"/>
      <c r="AQ1205" s="12"/>
      <c r="AR1205" s="12"/>
      <c r="AS1205" s="44"/>
      <c r="AT1205" s="45"/>
      <c r="AU1205" s="12"/>
      <c r="AV1205" s="12"/>
      <c r="AW1205" s="12"/>
      <c r="AX1205" s="12"/>
      <c r="AY1205" s="44"/>
      <c r="AZ1205" s="45"/>
      <c r="BA1205" s="12"/>
      <c r="BB1205" s="12"/>
      <c r="BC1205" s="12"/>
      <c r="BD1205" s="12"/>
      <c r="BE1205" s="44"/>
      <c r="BF1205" s="45"/>
      <c r="BG1205" s="12"/>
      <c r="BH1205" s="12"/>
      <c r="BI1205" s="12"/>
      <c r="BJ1205" s="12"/>
      <c r="BK1205" s="44"/>
      <c r="BL1205" s="45"/>
      <c r="BM1205" s="12"/>
      <c r="BN1205" s="12"/>
      <c r="BO1205" s="12"/>
      <c r="BP1205" s="12"/>
      <c r="BQ1205" s="48"/>
      <c r="BR1205" s="49"/>
      <c r="BS1205" s="13"/>
      <c r="BT1205" s="12"/>
      <c r="BV1205" s="14"/>
      <c r="BW1205" s="50"/>
      <c r="BX1205" s="54"/>
      <c r="BY1205" s="14"/>
      <c r="BZ1205" s="14"/>
      <c r="CA1205" s="14"/>
      <c r="CB1205" s="14"/>
      <c r="CC1205" s="14"/>
      <c r="CD1205" s="14"/>
      <c r="CE1205" s="14"/>
      <c r="CF1205" s="15"/>
      <c r="CG1205" s="14"/>
      <c r="CH1205" s="14"/>
      <c r="CI1205" s="50"/>
      <c r="CJ1205" s="54"/>
      <c r="CK1205" s="14"/>
      <c r="CL1205" s="14"/>
      <c r="CM1205" s="14"/>
      <c r="CN1205" s="14"/>
      <c r="CO1205" s="14"/>
      <c r="CP1205" s="14"/>
      <c r="CQ1205" s="14"/>
      <c r="CR1205" s="14"/>
      <c r="CS1205" s="14"/>
      <c r="CT1205" s="14"/>
      <c r="CU1205" s="16"/>
      <c r="CV1205" s="14"/>
      <c r="CW1205" s="50"/>
      <c r="CX1205" s="17"/>
    </row>
    <row r="1206" spans="4:102" x14ac:dyDescent="0.25"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43"/>
      <c r="Q1206" s="11"/>
      <c r="R1206" s="11"/>
      <c r="S1206" s="11"/>
      <c r="T1206" s="11"/>
      <c r="U1206" s="11"/>
      <c r="V1206" s="11"/>
      <c r="W1206" s="11"/>
      <c r="X1206" s="12"/>
      <c r="Y1206" s="12"/>
      <c r="Z1206" s="12"/>
      <c r="AA1206" s="44"/>
      <c r="AB1206" s="45"/>
      <c r="AC1206" s="12"/>
      <c r="AD1206" s="12"/>
      <c r="AE1206" s="12"/>
      <c r="AF1206" s="12"/>
      <c r="AG1206" s="44"/>
      <c r="AH1206" s="45"/>
      <c r="AI1206" s="12"/>
      <c r="AJ1206" s="12"/>
      <c r="AK1206" s="12"/>
      <c r="AL1206" s="12"/>
      <c r="AM1206" s="44"/>
      <c r="AN1206" s="45"/>
      <c r="AO1206" s="12"/>
      <c r="AP1206" s="12"/>
      <c r="AQ1206" s="12"/>
      <c r="AR1206" s="12"/>
      <c r="AS1206" s="44"/>
      <c r="AT1206" s="45"/>
      <c r="AU1206" s="12"/>
      <c r="AV1206" s="12"/>
      <c r="AW1206" s="12"/>
      <c r="AX1206" s="12"/>
      <c r="AY1206" s="44"/>
      <c r="AZ1206" s="45"/>
      <c r="BA1206" s="12"/>
      <c r="BB1206" s="12"/>
      <c r="BC1206" s="12"/>
      <c r="BD1206" s="12"/>
      <c r="BE1206" s="44"/>
      <c r="BF1206" s="45"/>
      <c r="BG1206" s="12"/>
      <c r="BH1206" s="12"/>
      <c r="BI1206" s="12"/>
      <c r="BJ1206" s="12"/>
      <c r="BK1206" s="44"/>
      <c r="BL1206" s="45"/>
      <c r="BM1206" s="12"/>
      <c r="BN1206" s="12"/>
      <c r="BO1206" s="12"/>
      <c r="BP1206" s="12"/>
      <c r="BQ1206" s="48"/>
      <c r="BR1206" s="49"/>
      <c r="BS1206" s="13"/>
      <c r="BT1206" s="12"/>
      <c r="BV1206" s="14"/>
      <c r="BW1206" s="50"/>
      <c r="BX1206" s="54"/>
      <c r="BY1206" s="14"/>
      <c r="BZ1206" s="14"/>
      <c r="CA1206" s="14"/>
      <c r="CB1206" s="14"/>
      <c r="CC1206" s="14"/>
      <c r="CD1206" s="14"/>
      <c r="CE1206" s="14"/>
      <c r="CF1206" s="15"/>
      <c r="CG1206" s="14"/>
      <c r="CH1206" s="14"/>
      <c r="CI1206" s="50"/>
      <c r="CJ1206" s="54"/>
      <c r="CK1206" s="14"/>
      <c r="CL1206" s="14"/>
      <c r="CM1206" s="14"/>
      <c r="CN1206" s="14"/>
      <c r="CO1206" s="14"/>
      <c r="CP1206" s="14"/>
      <c r="CQ1206" s="14"/>
      <c r="CR1206" s="14"/>
      <c r="CS1206" s="14"/>
      <c r="CT1206" s="14"/>
      <c r="CU1206" s="16"/>
      <c r="CV1206" s="14"/>
      <c r="CW1206" s="50"/>
      <c r="CX1206" s="17"/>
    </row>
    <row r="1207" spans="4:102" x14ac:dyDescent="0.25"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43"/>
      <c r="Q1207" s="11"/>
      <c r="R1207" s="11"/>
      <c r="S1207" s="11"/>
      <c r="T1207" s="11"/>
      <c r="U1207" s="11"/>
      <c r="V1207" s="11"/>
      <c r="W1207" s="11"/>
      <c r="X1207" s="12"/>
      <c r="Y1207" s="12"/>
      <c r="Z1207" s="12"/>
      <c r="AA1207" s="44"/>
      <c r="AB1207" s="45"/>
      <c r="AC1207" s="12"/>
      <c r="AD1207" s="12"/>
      <c r="AE1207" s="12"/>
      <c r="AF1207" s="12"/>
      <c r="AG1207" s="44"/>
      <c r="AH1207" s="45"/>
      <c r="AI1207" s="12"/>
      <c r="AJ1207" s="12"/>
      <c r="AK1207" s="12"/>
      <c r="AL1207" s="12"/>
      <c r="AM1207" s="44"/>
      <c r="AN1207" s="45"/>
      <c r="AO1207" s="12"/>
      <c r="AP1207" s="12"/>
      <c r="AQ1207" s="12"/>
      <c r="AR1207" s="12"/>
      <c r="AS1207" s="44"/>
      <c r="AT1207" s="45"/>
      <c r="AU1207" s="12"/>
      <c r="AV1207" s="12"/>
      <c r="AW1207" s="12"/>
      <c r="AX1207" s="12"/>
      <c r="AY1207" s="44"/>
      <c r="AZ1207" s="45"/>
      <c r="BA1207" s="12"/>
      <c r="BB1207" s="12"/>
      <c r="BC1207" s="12"/>
      <c r="BD1207" s="12"/>
      <c r="BE1207" s="44"/>
      <c r="BF1207" s="45"/>
      <c r="BG1207" s="12"/>
      <c r="BH1207" s="12"/>
      <c r="BI1207" s="12"/>
      <c r="BJ1207" s="12"/>
      <c r="BK1207" s="44"/>
      <c r="BL1207" s="45"/>
      <c r="BM1207" s="12"/>
      <c r="BN1207" s="12"/>
      <c r="BO1207" s="12"/>
      <c r="BP1207" s="12"/>
      <c r="BQ1207" s="48"/>
      <c r="BR1207" s="49"/>
      <c r="BS1207" s="13"/>
      <c r="BT1207" s="12"/>
      <c r="BV1207" s="14"/>
      <c r="BW1207" s="50"/>
      <c r="BX1207" s="54"/>
      <c r="BY1207" s="14"/>
      <c r="BZ1207" s="14"/>
      <c r="CA1207" s="14"/>
      <c r="CB1207" s="14"/>
      <c r="CC1207" s="14"/>
      <c r="CD1207" s="14"/>
      <c r="CE1207" s="14"/>
      <c r="CF1207" s="15"/>
      <c r="CG1207" s="14"/>
      <c r="CH1207" s="14"/>
      <c r="CI1207" s="50"/>
      <c r="CJ1207" s="54"/>
      <c r="CK1207" s="14"/>
      <c r="CL1207" s="14"/>
      <c r="CM1207" s="14"/>
      <c r="CN1207" s="14"/>
      <c r="CO1207" s="14"/>
      <c r="CP1207" s="14"/>
      <c r="CQ1207" s="14"/>
      <c r="CR1207" s="14"/>
      <c r="CS1207" s="14"/>
      <c r="CT1207" s="14"/>
      <c r="CU1207" s="16"/>
      <c r="CV1207" s="14"/>
      <c r="CW1207" s="50"/>
      <c r="CX1207" s="17"/>
    </row>
    <row r="1208" spans="4:102" x14ac:dyDescent="0.25"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43"/>
      <c r="Q1208" s="11"/>
      <c r="R1208" s="11"/>
      <c r="S1208" s="11"/>
      <c r="T1208" s="11"/>
      <c r="U1208" s="11"/>
      <c r="V1208" s="11"/>
      <c r="W1208" s="11"/>
      <c r="X1208" s="12"/>
      <c r="Y1208" s="12"/>
      <c r="Z1208" s="12"/>
      <c r="AA1208" s="44"/>
      <c r="AB1208" s="45"/>
      <c r="AC1208" s="12"/>
      <c r="AD1208" s="12"/>
      <c r="AE1208" s="12"/>
      <c r="AF1208" s="12"/>
      <c r="AG1208" s="44"/>
      <c r="AH1208" s="45"/>
      <c r="AI1208" s="12"/>
      <c r="AJ1208" s="12"/>
      <c r="AK1208" s="12"/>
      <c r="AL1208" s="12"/>
      <c r="AM1208" s="44"/>
      <c r="AN1208" s="45"/>
      <c r="AO1208" s="12"/>
      <c r="AP1208" s="12"/>
      <c r="AQ1208" s="12"/>
      <c r="AR1208" s="12"/>
      <c r="AS1208" s="44"/>
      <c r="AT1208" s="45"/>
      <c r="AU1208" s="12"/>
      <c r="AV1208" s="12"/>
      <c r="AW1208" s="12"/>
      <c r="AX1208" s="12"/>
      <c r="AY1208" s="44"/>
      <c r="AZ1208" s="45"/>
      <c r="BA1208" s="12"/>
      <c r="BB1208" s="12"/>
      <c r="BC1208" s="12"/>
      <c r="BD1208" s="12"/>
      <c r="BE1208" s="44"/>
      <c r="BF1208" s="45"/>
      <c r="BG1208" s="12"/>
      <c r="BH1208" s="12"/>
      <c r="BI1208" s="12"/>
      <c r="BJ1208" s="12"/>
      <c r="BK1208" s="44"/>
      <c r="BL1208" s="45"/>
      <c r="BM1208" s="12"/>
      <c r="BN1208" s="12"/>
      <c r="BO1208" s="12"/>
      <c r="BP1208" s="12"/>
      <c r="BQ1208" s="48"/>
      <c r="BR1208" s="49"/>
      <c r="BS1208" s="13"/>
      <c r="BT1208" s="12"/>
      <c r="BV1208" s="14"/>
      <c r="BW1208" s="50"/>
      <c r="BX1208" s="54"/>
      <c r="BY1208" s="14"/>
      <c r="BZ1208" s="14"/>
      <c r="CA1208" s="14"/>
      <c r="CB1208" s="14"/>
      <c r="CC1208" s="14"/>
      <c r="CD1208" s="14"/>
      <c r="CE1208" s="14"/>
      <c r="CF1208" s="15"/>
      <c r="CG1208" s="14"/>
      <c r="CH1208" s="14"/>
      <c r="CI1208" s="50"/>
      <c r="CJ1208" s="54"/>
      <c r="CK1208" s="14"/>
      <c r="CL1208" s="14"/>
      <c r="CM1208" s="14"/>
      <c r="CN1208" s="14"/>
      <c r="CO1208" s="14"/>
      <c r="CP1208" s="14"/>
      <c r="CQ1208" s="14"/>
      <c r="CR1208" s="14"/>
      <c r="CS1208" s="14"/>
      <c r="CT1208" s="14"/>
      <c r="CU1208" s="16"/>
      <c r="CV1208" s="14"/>
      <c r="CW1208" s="50"/>
      <c r="CX1208" s="17"/>
    </row>
    <row r="1209" spans="4:102" x14ac:dyDescent="0.25"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43"/>
      <c r="Q1209" s="11"/>
      <c r="R1209" s="11"/>
      <c r="S1209" s="11"/>
      <c r="T1209" s="11"/>
      <c r="U1209" s="11"/>
      <c r="V1209" s="11"/>
      <c r="W1209" s="11"/>
      <c r="X1209" s="12"/>
      <c r="Y1209" s="12"/>
      <c r="Z1209" s="12"/>
      <c r="AA1209" s="44"/>
      <c r="AB1209" s="45"/>
      <c r="AC1209" s="12"/>
      <c r="AD1209" s="12"/>
      <c r="AE1209" s="12"/>
      <c r="AF1209" s="12"/>
      <c r="AG1209" s="44"/>
      <c r="AH1209" s="45"/>
      <c r="AI1209" s="12"/>
      <c r="AJ1209" s="12"/>
      <c r="AK1209" s="12"/>
      <c r="AL1209" s="12"/>
      <c r="AM1209" s="44"/>
      <c r="AN1209" s="45"/>
      <c r="AO1209" s="12"/>
      <c r="AP1209" s="12"/>
      <c r="AQ1209" s="12"/>
      <c r="AR1209" s="12"/>
      <c r="AS1209" s="44"/>
      <c r="AT1209" s="45"/>
      <c r="AU1209" s="12"/>
      <c r="AV1209" s="12"/>
      <c r="AW1209" s="12"/>
      <c r="AX1209" s="12"/>
      <c r="AY1209" s="44"/>
      <c r="AZ1209" s="45"/>
      <c r="BA1209" s="12"/>
      <c r="BB1209" s="12"/>
      <c r="BC1209" s="12"/>
      <c r="BD1209" s="12"/>
      <c r="BE1209" s="44"/>
      <c r="BF1209" s="45"/>
      <c r="BG1209" s="12"/>
      <c r="BH1209" s="12"/>
      <c r="BI1209" s="12"/>
      <c r="BJ1209" s="12"/>
      <c r="BK1209" s="44"/>
      <c r="BL1209" s="45"/>
      <c r="BM1209" s="12"/>
      <c r="BN1209" s="12"/>
      <c r="BO1209" s="12"/>
      <c r="BP1209" s="12"/>
      <c r="BQ1209" s="48"/>
      <c r="BR1209" s="49"/>
      <c r="BS1209" s="13"/>
      <c r="BT1209" s="12"/>
      <c r="BV1209" s="14"/>
      <c r="BW1209" s="50"/>
      <c r="BX1209" s="54"/>
      <c r="BY1209" s="14"/>
      <c r="BZ1209" s="14"/>
      <c r="CA1209" s="14"/>
      <c r="CB1209" s="14"/>
      <c r="CC1209" s="14"/>
      <c r="CD1209" s="14"/>
      <c r="CE1209" s="14"/>
      <c r="CF1209" s="15"/>
      <c r="CG1209" s="14"/>
      <c r="CH1209" s="14"/>
      <c r="CI1209" s="50"/>
      <c r="CJ1209" s="54"/>
      <c r="CK1209" s="14"/>
      <c r="CL1209" s="14"/>
      <c r="CM1209" s="14"/>
      <c r="CN1209" s="14"/>
      <c r="CO1209" s="14"/>
      <c r="CP1209" s="14"/>
      <c r="CQ1209" s="14"/>
      <c r="CR1209" s="14"/>
      <c r="CS1209" s="14"/>
      <c r="CT1209" s="14"/>
      <c r="CU1209" s="16"/>
      <c r="CV1209" s="14"/>
      <c r="CW1209" s="50"/>
      <c r="CX1209" s="17"/>
    </row>
    <row r="1210" spans="4:102" x14ac:dyDescent="0.25"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43"/>
      <c r="Q1210" s="11"/>
      <c r="R1210" s="11"/>
      <c r="S1210" s="11"/>
      <c r="T1210" s="11"/>
      <c r="U1210" s="11"/>
      <c r="V1210" s="11"/>
      <c r="W1210" s="11"/>
      <c r="X1210" s="12"/>
      <c r="Y1210" s="12"/>
      <c r="Z1210" s="12"/>
      <c r="AA1210" s="44"/>
      <c r="AB1210" s="45"/>
      <c r="AC1210" s="12"/>
      <c r="AD1210" s="12"/>
      <c r="AE1210" s="12"/>
      <c r="AF1210" s="12"/>
      <c r="AG1210" s="44"/>
      <c r="AH1210" s="45"/>
      <c r="AI1210" s="12"/>
      <c r="AJ1210" s="12"/>
      <c r="AK1210" s="12"/>
      <c r="AL1210" s="12"/>
      <c r="AM1210" s="44"/>
      <c r="AN1210" s="45"/>
      <c r="AO1210" s="12"/>
      <c r="AP1210" s="12"/>
      <c r="AQ1210" s="12"/>
      <c r="AR1210" s="12"/>
      <c r="AS1210" s="44"/>
      <c r="AT1210" s="45"/>
      <c r="AU1210" s="12"/>
      <c r="AV1210" s="12"/>
      <c r="AW1210" s="12"/>
      <c r="AX1210" s="12"/>
      <c r="AY1210" s="44"/>
      <c r="AZ1210" s="45"/>
      <c r="BA1210" s="12"/>
      <c r="BB1210" s="12"/>
      <c r="BC1210" s="12"/>
      <c r="BD1210" s="12"/>
      <c r="BE1210" s="44"/>
      <c r="BF1210" s="45"/>
      <c r="BG1210" s="12"/>
      <c r="BH1210" s="12"/>
      <c r="BI1210" s="12"/>
      <c r="BJ1210" s="12"/>
      <c r="BK1210" s="44"/>
      <c r="BL1210" s="45"/>
      <c r="BM1210" s="12"/>
      <c r="BN1210" s="12"/>
      <c r="BO1210" s="12"/>
      <c r="BP1210" s="12"/>
      <c r="BQ1210" s="48"/>
      <c r="BR1210" s="49"/>
      <c r="BS1210" s="13"/>
      <c r="BT1210" s="12"/>
      <c r="BV1210" s="14"/>
      <c r="BW1210" s="50"/>
      <c r="BX1210" s="54"/>
      <c r="BY1210" s="14"/>
      <c r="BZ1210" s="14"/>
      <c r="CA1210" s="14"/>
      <c r="CB1210" s="14"/>
      <c r="CC1210" s="14"/>
      <c r="CD1210" s="14"/>
      <c r="CE1210" s="14"/>
      <c r="CF1210" s="15"/>
      <c r="CG1210" s="14"/>
      <c r="CH1210" s="14"/>
      <c r="CI1210" s="50"/>
      <c r="CJ1210" s="54"/>
      <c r="CK1210" s="14"/>
      <c r="CL1210" s="14"/>
      <c r="CM1210" s="14"/>
      <c r="CN1210" s="14"/>
      <c r="CO1210" s="14"/>
      <c r="CP1210" s="14"/>
      <c r="CQ1210" s="14"/>
      <c r="CR1210" s="14"/>
      <c r="CS1210" s="14"/>
      <c r="CT1210" s="14"/>
      <c r="CU1210" s="16"/>
      <c r="CV1210" s="14"/>
      <c r="CW1210" s="50"/>
      <c r="CX1210" s="17"/>
    </row>
    <row r="1211" spans="4:102" x14ac:dyDescent="0.25"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43"/>
      <c r="Q1211" s="11"/>
      <c r="R1211" s="11"/>
      <c r="S1211" s="11"/>
      <c r="T1211" s="11"/>
      <c r="U1211" s="11"/>
      <c r="V1211" s="11"/>
      <c r="W1211" s="11"/>
      <c r="X1211" s="12"/>
      <c r="Y1211" s="12"/>
      <c r="Z1211" s="12"/>
      <c r="AA1211" s="44"/>
      <c r="AB1211" s="45"/>
      <c r="AC1211" s="12"/>
      <c r="AD1211" s="12"/>
      <c r="AE1211" s="12"/>
      <c r="AF1211" s="12"/>
      <c r="AG1211" s="44"/>
      <c r="AH1211" s="45"/>
      <c r="AI1211" s="12"/>
      <c r="AJ1211" s="12"/>
      <c r="AK1211" s="12"/>
      <c r="AL1211" s="12"/>
      <c r="AM1211" s="44"/>
      <c r="AN1211" s="45"/>
      <c r="AO1211" s="12"/>
      <c r="AP1211" s="12"/>
      <c r="AQ1211" s="12"/>
      <c r="AR1211" s="12"/>
      <c r="AS1211" s="44"/>
      <c r="AT1211" s="45"/>
      <c r="AU1211" s="12"/>
      <c r="AV1211" s="12"/>
      <c r="AW1211" s="12"/>
      <c r="AX1211" s="12"/>
      <c r="AY1211" s="44"/>
      <c r="AZ1211" s="45"/>
      <c r="BA1211" s="12"/>
      <c r="BB1211" s="12"/>
      <c r="BC1211" s="12"/>
      <c r="BD1211" s="12"/>
      <c r="BE1211" s="44"/>
      <c r="BF1211" s="45"/>
      <c r="BG1211" s="12"/>
      <c r="BH1211" s="12"/>
      <c r="BI1211" s="12"/>
      <c r="BJ1211" s="12"/>
      <c r="BK1211" s="44"/>
      <c r="BL1211" s="45"/>
      <c r="BM1211" s="12"/>
      <c r="BN1211" s="12"/>
      <c r="BO1211" s="12"/>
      <c r="BP1211" s="12"/>
      <c r="BQ1211" s="48"/>
      <c r="BR1211" s="49"/>
      <c r="BS1211" s="13"/>
      <c r="BT1211" s="12"/>
      <c r="BV1211" s="14"/>
      <c r="BW1211" s="50"/>
      <c r="BX1211" s="54"/>
      <c r="BY1211" s="14"/>
      <c r="BZ1211" s="14"/>
      <c r="CA1211" s="14"/>
      <c r="CB1211" s="14"/>
      <c r="CC1211" s="14"/>
      <c r="CD1211" s="14"/>
      <c r="CE1211" s="14"/>
      <c r="CF1211" s="15"/>
      <c r="CG1211" s="14"/>
      <c r="CH1211" s="14"/>
      <c r="CI1211" s="50"/>
      <c r="CJ1211" s="54"/>
      <c r="CK1211" s="14"/>
      <c r="CL1211" s="14"/>
      <c r="CM1211" s="14"/>
      <c r="CN1211" s="14"/>
      <c r="CO1211" s="14"/>
      <c r="CP1211" s="14"/>
      <c r="CQ1211" s="14"/>
      <c r="CR1211" s="14"/>
      <c r="CS1211" s="14"/>
      <c r="CT1211" s="14"/>
      <c r="CU1211" s="16"/>
      <c r="CV1211" s="14"/>
      <c r="CW1211" s="50"/>
      <c r="CX1211" s="17"/>
    </row>
    <row r="1212" spans="4:102" x14ac:dyDescent="0.25"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43"/>
      <c r="Q1212" s="11"/>
      <c r="R1212" s="11"/>
      <c r="S1212" s="11"/>
      <c r="T1212" s="11"/>
      <c r="U1212" s="11"/>
      <c r="V1212" s="11"/>
      <c r="W1212" s="11"/>
      <c r="X1212" s="12"/>
      <c r="Y1212" s="12"/>
      <c r="Z1212" s="12"/>
      <c r="AA1212" s="44"/>
      <c r="AB1212" s="45"/>
      <c r="AC1212" s="12"/>
      <c r="AD1212" s="12"/>
      <c r="AE1212" s="12"/>
      <c r="AF1212" s="12"/>
      <c r="AG1212" s="44"/>
      <c r="AH1212" s="45"/>
      <c r="AI1212" s="12"/>
      <c r="AJ1212" s="12"/>
      <c r="AK1212" s="12"/>
      <c r="AL1212" s="12"/>
      <c r="AM1212" s="44"/>
      <c r="AN1212" s="45"/>
      <c r="AO1212" s="12"/>
      <c r="AP1212" s="12"/>
      <c r="AQ1212" s="12"/>
      <c r="AR1212" s="12"/>
      <c r="AS1212" s="44"/>
      <c r="AT1212" s="45"/>
      <c r="AU1212" s="12"/>
      <c r="AV1212" s="12"/>
      <c r="AW1212" s="12"/>
      <c r="AX1212" s="12"/>
      <c r="AY1212" s="44"/>
      <c r="AZ1212" s="45"/>
      <c r="BA1212" s="12"/>
      <c r="BB1212" s="12"/>
      <c r="BC1212" s="12"/>
      <c r="BD1212" s="12"/>
      <c r="BE1212" s="44"/>
      <c r="BF1212" s="45"/>
      <c r="BG1212" s="12"/>
      <c r="BH1212" s="12"/>
      <c r="BI1212" s="12"/>
      <c r="BJ1212" s="12"/>
      <c r="BK1212" s="44"/>
      <c r="BL1212" s="45"/>
      <c r="BM1212" s="12"/>
      <c r="BN1212" s="12"/>
      <c r="BO1212" s="12"/>
      <c r="BP1212" s="12"/>
      <c r="BQ1212" s="48"/>
      <c r="BR1212" s="49"/>
      <c r="BS1212" s="13"/>
      <c r="BT1212" s="12"/>
      <c r="BV1212" s="14"/>
      <c r="BW1212" s="50"/>
      <c r="BX1212" s="54"/>
      <c r="BY1212" s="14"/>
      <c r="BZ1212" s="14"/>
      <c r="CA1212" s="14"/>
      <c r="CB1212" s="14"/>
      <c r="CC1212" s="14"/>
      <c r="CD1212" s="14"/>
      <c r="CE1212" s="14"/>
      <c r="CF1212" s="15"/>
      <c r="CG1212" s="14"/>
      <c r="CH1212" s="14"/>
      <c r="CI1212" s="50"/>
      <c r="CJ1212" s="54"/>
      <c r="CK1212" s="14"/>
      <c r="CL1212" s="14"/>
      <c r="CM1212" s="14"/>
      <c r="CN1212" s="14"/>
      <c r="CO1212" s="14"/>
      <c r="CP1212" s="14"/>
      <c r="CQ1212" s="14"/>
      <c r="CR1212" s="14"/>
      <c r="CS1212" s="14"/>
      <c r="CT1212" s="14"/>
      <c r="CU1212" s="16"/>
      <c r="CV1212" s="14"/>
      <c r="CW1212" s="50"/>
      <c r="CX1212" s="17"/>
    </row>
    <row r="1213" spans="4:102" x14ac:dyDescent="0.25"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43"/>
      <c r="Q1213" s="11"/>
      <c r="R1213" s="11"/>
      <c r="S1213" s="11"/>
      <c r="T1213" s="11"/>
      <c r="U1213" s="11"/>
      <c r="V1213" s="11"/>
      <c r="W1213" s="11"/>
      <c r="X1213" s="12"/>
      <c r="Y1213" s="12"/>
      <c r="Z1213" s="12"/>
      <c r="AA1213" s="44"/>
      <c r="AB1213" s="45"/>
      <c r="AC1213" s="12"/>
      <c r="AD1213" s="12"/>
      <c r="AE1213" s="12"/>
      <c r="AF1213" s="12"/>
      <c r="AG1213" s="44"/>
      <c r="AH1213" s="45"/>
      <c r="AI1213" s="12"/>
      <c r="AJ1213" s="12"/>
      <c r="AK1213" s="12"/>
      <c r="AL1213" s="12"/>
      <c r="AM1213" s="44"/>
      <c r="AN1213" s="45"/>
      <c r="AO1213" s="12"/>
      <c r="AP1213" s="12"/>
      <c r="AQ1213" s="12"/>
      <c r="AR1213" s="12"/>
      <c r="AS1213" s="44"/>
      <c r="AT1213" s="45"/>
      <c r="AU1213" s="12"/>
      <c r="AV1213" s="12"/>
      <c r="AW1213" s="12"/>
      <c r="AX1213" s="12"/>
      <c r="AY1213" s="44"/>
      <c r="AZ1213" s="45"/>
      <c r="BA1213" s="12"/>
      <c r="BB1213" s="12"/>
      <c r="BC1213" s="12"/>
      <c r="BD1213" s="12"/>
      <c r="BE1213" s="44"/>
      <c r="BF1213" s="45"/>
      <c r="BG1213" s="12"/>
      <c r="BH1213" s="12"/>
      <c r="BI1213" s="12"/>
      <c r="BJ1213" s="12"/>
      <c r="BK1213" s="44"/>
      <c r="BL1213" s="45"/>
      <c r="BM1213" s="12"/>
      <c r="BN1213" s="12"/>
      <c r="BO1213" s="12"/>
      <c r="BP1213" s="12"/>
      <c r="BQ1213" s="48"/>
      <c r="BR1213" s="49"/>
      <c r="BS1213" s="13"/>
      <c r="BT1213" s="12"/>
      <c r="BV1213" s="14"/>
      <c r="BW1213" s="50"/>
      <c r="BX1213" s="54"/>
      <c r="BY1213" s="14"/>
      <c r="BZ1213" s="14"/>
      <c r="CA1213" s="14"/>
      <c r="CB1213" s="14"/>
      <c r="CC1213" s="14"/>
      <c r="CD1213" s="14"/>
      <c r="CE1213" s="14"/>
      <c r="CF1213" s="15"/>
      <c r="CG1213" s="14"/>
      <c r="CH1213" s="14"/>
      <c r="CI1213" s="50"/>
      <c r="CJ1213" s="54"/>
      <c r="CK1213" s="14"/>
      <c r="CL1213" s="14"/>
      <c r="CM1213" s="14"/>
      <c r="CN1213" s="14"/>
      <c r="CO1213" s="14"/>
      <c r="CP1213" s="14"/>
      <c r="CQ1213" s="14"/>
      <c r="CR1213" s="14"/>
      <c r="CS1213" s="14"/>
      <c r="CT1213" s="14"/>
      <c r="CU1213" s="16"/>
      <c r="CV1213" s="14"/>
      <c r="CW1213" s="50"/>
      <c r="CX1213" s="17"/>
    </row>
    <row r="1214" spans="4:102" x14ac:dyDescent="0.25"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43"/>
      <c r="Q1214" s="11"/>
      <c r="R1214" s="11"/>
      <c r="S1214" s="11"/>
      <c r="T1214" s="11"/>
      <c r="U1214" s="11"/>
      <c r="V1214" s="11"/>
      <c r="W1214" s="11"/>
      <c r="X1214" s="12"/>
      <c r="Y1214" s="12"/>
      <c r="Z1214" s="12"/>
      <c r="AA1214" s="44"/>
      <c r="AB1214" s="45"/>
      <c r="AC1214" s="12"/>
      <c r="AD1214" s="12"/>
      <c r="AE1214" s="12"/>
      <c r="AF1214" s="12"/>
      <c r="AG1214" s="44"/>
      <c r="AH1214" s="45"/>
      <c r="AI1214" s="12"/>
      <c r="AJ1214" s="12"/>
      <c r="AK1214" s="12"/>
      <c r="AL1214" s="12"/>
      <c r="AM1214" s="44"/>
      <c r="AN1214" s="45"/>
      <c r="AO1214" s="12"/>
      <c r="AP1214" s="12"/>
      <c r="AQ1214" s="12"/>
      <c r="AR1214" s="12"/>
      <c r="AS1214" s="44"/>
      <c r="AT1214" s="45"/>
      <c r="AU1214" s="12"/>
      <c r="AV1214" s="12"/>
      <c r="AW1214" s="12"/>
      <c r="AX1214" s="12"/>
      <c r="AY1214" s="44"/>
      <c r="AZ1214" s="45"/>
      <c r="BA1214" s="12"/>
      <c r="BB1214" s="12"/>
      <c r="BC1214" s="12"/>
      <c r="BD1214" s="12"/>
      <c r="BE1214" s="44"/>
      <c r="BF1214" s="45"/>
      <c r="BG1214" s="12"/>
      <c r="BH1214" s="12"/>
      <c r="BI1214" s="12"/>
      <c r="BJ1214" s="12"/>
      <c r="BK1214" s="44"/>
      <c r="BL1214" s="45"/>
      <c r="BM1214" s="12"/>
      <c r="BN1214" s="12"/>
      <c r="BO1214" s="12"/>
      <c r="BP1214" s="12"/>
      <c r="BQ1214" s="48"/>
      <c r="BR1214" s="49"/>
      <c r="BS1214" s="13"/>
      <c r="BT1214" s="12"/>
      <c r="BV1214" s="14"/>
      <c r="BW1214" s="50"/>
      <c r="BX1214" s="54"/>
      <c r="BY1214" s="14"/>
      <c r="BZ1214" s="14"/>
      <c r="CA1214" s="14"/>
      <c r="CB1214" s="14"/>
      <c r="CC1214" s="14"/>
      <c r="CD1214" s="14"/>
      <c r="CE1214" s="14"/>
      <c r="CF1214" s="15"/>
      <c r="CG1214" s="14"/>
      <c r="CH1214" s="14"/>
      <c r="CI1214" s="50"/>
      <c r="CJ1214" s="54"/>
      <c r="CK1214" s="14"/>
      <c r="CL1214" s="14"/>
      <c r="CM1214" s="14"/>
      <c r="CN1214" s="14"/>
      <c r="CO1214" s="14"/>
      <c r="CP1214" s="14"/>
      <c r="CQ1214" s="14"/>
      <c r="CR1214" s="14"/>
      <c r="CS1214" s="14"/>
      <c r="CT1214" s="14"/>
      <c r="CU1214" s="16"/>
      <c r="CV1214" s="14"/>
      <c r="CW1214" s="50"/>
      <c r="CX1214" s="17"/>
    </row>
    <row r="1215" spans="4:102" x14ac:dyDescent="0.25"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43"/>
      <c r="Q1215" s="11"/>
      <c r="R1215" s="11"/>
      <c r="S1215" s="11"/>
      <c r="T1215" s="11"/>
      <c r="U1215" s="11"/>
      <c r="V1215" s="11"/>
      <c r="W1215" s="11"/>
      <c r="X1215" s="12"/>
      <c r="Y1215" s="12"/>
      <c r="Z1215" s="12"/>
      <c r="AA1215" s="44"/>
      <c r="AB1215" s="45"/>
      <c r="AC1215" s="12"/>
      <c r="AD1215" s="12"/>
      <c r="AE1215" s="12"/>
      <c r="AF1215" s="12"/>
      <c r="AG1215" s="44"/>
      <c r="AH1215" s="45"/>
      <c r="AI1215" s="12"/>
      <c r="AJ1215" s="12"/>
      <c r="AK1215" s="12"/>
      <c r="AL1215" s="12"/>
      <c r="AM1215" s="44"/>
      <c r="AN1215" s="45"/>
      <c r="AO1215" s="12"/>
      <c r="AP1215" s="12"/>
      <c r="AQ1215" s="12"/>
      <c r="AR1215" s="12"/>
      <c r="AS1215" s="44"/>
      <c r="AT1215" s="45"/>
      <c r="AU1215" s="12"/>
      <c r="AV1215" s="12"/>
      <c r="AW1215" s="12"/>
      <c r="AX1215" s="12"/>
      <c r="AY1215" s="44"/>
      <c r="AZ1215" s="45"/>
      <c r="BA1215" s="12"/>
      <c r="BB1215" s="12"/>
      <c r="BC1215" s="12"/>
      <c r="BD1215" s="12"/>
      <c r="BE1215" s="44"/>
      <c r="BF1215" s="45"/>
      <c r="BG1215" s="12"/>
      <c r="BH1215" s="12"/>
      <c r="BI1215" s="12"/>
      <c r="BJ1215" s="12"/>
      <c r="BK1215" s="44"/>
      <c r="BL1215" s="45"/>
      <c r="BM1215" s="12"/>
      <c r="BN1215" s="12"/>
      <c r="BO1215" s="12"/>
      <c r="BP1215" s="12"/>
      <c r="BQ1215" s="48"/>
      <c r="BR1215" s="49"/>
      <c r="BS1215" s="13"/>
      <c r="BT1215" s="12"/>
      <c r="BV1215" s="14"/>
      <c r="BW1215" s="50"/>
      <c r="BX1215" s="54"/>
      <c r="BY1215" s="14"/>
      <c r="BZ1215" s="14"/>
      <c r="CA1215" s="14"/>
      <c r="CB1215" s="14"/>
      <c r="CC1215" s="14"/>
      <c r="CD1215" s="14"/>
      <c r="CE1215" s="14"/>
      <c r="CF1215" s="15"/>
      <c r="CG1215" s="14"/>
      <c r="CH1215" s="14"/>
      <c r="CI1215" s="50"/>
      <c r="CJ1215" s="54"/>
      <c r="CK1215" s="14"/>
      <c r="CL1215" s="14"/>
      <c r="CM1215" s="14"/>
      <c r="CN1215" s="14"/>
      <c r="CO1215" s="14"/>
      <c r="CP1215" s="14"/>
      <c r="CQ1215" s="14"/>
      <c r="CR1215" s="14"/>
      <c r="CS1215" s="14"/>
      <c r="CT1215" s="14"/>
      <c r="CU1215" s="16"/>
      <c r="CV1215" s="14"/>
      <c r="CW1215" s="50"/>
      <c r="CX1215" s="17"/>
    </row>
    <row r="1216" spans="4:102" x14ac:dyDescent="0.25"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43"/>
      <c r="Q1216" s="11"/>
      <c r="R1216" s="11"/>
      <c r="S1216" s="11"/>
      <c r="T1216" s="11"/>
      <c r="U1216" s="11"/>
      <c r="V1216" s="11"/>
      <c r="W1216" s="11"/>
      <c r="X1216" s="12"/>
      <c r="Y1216" s="12"/>
      <c r="Z1216" s="12"/>
      <c r="AA1216" s="44"/>
      <c r="AB1216" s="45"/>
      <c r="AC1216" s="12"/>
      <c r="AD1216" s="12"/>
      <c r="AE1216" s="12"/>
      <c r="AF1216" s="12"/>
      <c r="AG1216" s="44"/>
      <c r="AH1216" s="45"/>
      <c r="AI1216" s="12"/>
      <c r="AJ1216" s="12"/>
      <c r="AK1216" s="12"/>
      <c r="AL1216" s="12"/>
      <c r="AM1216" s="44"/>
      <c r="AN1216" s="45"/>
      <c r="AO1216" s="12"/>
      <c r="AP1216" s="12"/>
      <c r="AQ1216" s="12"/>
      <c r="AR1216" s="12"/>
      <c r="AS1216" s="44"/>
      <c r="AT1216" s="45"/>
      <c r="AU1216" s="12"/>
      <c r="AV1216" s="12"/>
      <c r="AW1216" s="12"/>
      <c r="AX1216" s="12"/>
      <c r="AY1216" s="44"/>
      <c r="AZ1216" s="45"/>
      <c r="BA1216" s="12"/>
      <c r="BB1216" s="12"/>
      <c r="BC1216" s="12"/>
      <c r="BD1216" s="12"/>
      <c r="BE1216" s="44"/>
      <c r="BF1216" s="45"/>
      <c r="BG1216" s="12"/>
      <c r="BH1216" s="12"/>
      <c r="BI1216" s="12"/>
      <c r="BJ1216" s="12"/>
      <c r="BK1216" s="44"/>
      <c r="BL1216" s="45"/>
      <c r="BM1216" s="12"/>
      <c r="BN1216" s="12"/>
      <c r="BO1216" s="12"/>
      <c r="BP1216" s="12"/>
      <c r="BQ1216" s="48"/>
      <c r="BR1216" s="49"/>
      <c r="BS1216" s="13"/>
      <c r="BT1216" s="12"/>
      <c r="BV1216" s="14"/>
      <c r="BW1216" s="50"/>
      <c r="BX1216" s="54"/>
      <c r="BY1216" s="14"/>
      <c r="BZ1216" s="14"/>
      <c r="CA1216" s="14"/>
      <c r="CB1216" s="14"/>
      <c r="CC1216" s="14"/>
      <c r="CD1216" s="14"/>
      <c r="CE1216" s="14"/>
      <c r="CF1216" s="15"/>
      <c r="CG1216" s="14"/>
      <c r="CH1216" s="14"/>
      <c r="CI1216" s="50"/>
      <c r="CJ1216" s="54"/>
      <c r="CK1216" s="14"/>
      <c r="CL1216" s="14"/>
      <c r="CM1216" s="14"/>
      <c r="CN1216" s="14"/>
      <c r="CO1216" s="14"/>
      <c r="CP1216" s="14"/>
      <c r="CQ1216" s="14"/>
      <c r="CR1216" s="14"/>
      <c r="CS1216" s="14"/>
      <c r="CT1216" s="14"/>
      <c r="CU1216" s="16"/>
      <c r="CV1216" s="14"/>
      <c r="CW1216" s="50"/>
      <c r="CX1216" s="17"/>
    </row>
    <row r="1217" spans="4:102" x14ac:dyDescent="0.25"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43"/>
      <c r="Q1217" s="11"/>
      <c r="R1217" s="11"/>
      <c r="S1217" s="11"/>
      <c r="T1217" s="11"/>
      <c r="U1217" s="11"/>
      <c r="V1217" s="11"/>
      <c r="W1217" s="11"/>
      <c r="X1217" s="12"/>
      <c r="Y1217" s="12"/>
      <c r="Z1217" s="12"/>
      <c r="AA1217" s="44"/>
      <c r="AB1217" s="45"/>
      <c r="AC1217" s="12"/>
      <c r="AD1217" s="12"/>
      <c r="AE1217" s="12"/>
      <c r="AF1217" s="12"/>
      <c r="AG1217" s="44"/>
      <c r="AH1217" s="45"/>
      <c r="AI1217" s="12"/>
      <c r="AJ1217" s="12"/>
      <c r="AK1217" s="12"/>
      <c r="AL1217" s="12"/>
      <c r="AM1217" s="44"/>
      <c r="AN1217" s="45"/>
      <c r="AO1217" s="12"/>
      <c r="AP1217" s="12"/>
      <c r="AQ1217" s="12"/>
      <c r="AR1217" s="12"/>
      <c r="AS1217" s="44"/>
      <c r="AT1217" s="45"/>
      <c r="AU1217" s="12"/>
      <c r="AV1217" s="12"/>
      <c r="AW1217" s="12"/>
      <c r="AX1217" s="12"/>
      <c r="AY1217" s="44"/>
      <c r="AZ1217" s="45"/>
      <c r="BA1217" s="12"/>
      <c r="BB1217" s="12"/>
      <c r="BC1217" s="12"/>
      <c r="BD1217" s="12"/>
      <c r="BE1217" s="44"/>
      <c r="BF1217" s="45"/>
      <c r="BG1217" s="12"/>
      <c r="BH1217" s="12"/>
      <c r="BI1217" s="12"/>
      <c r="BJ1217" s="12"/>
      <c r="BK1217" s="44"/>
      <c r="BL1217" s="45"/>
      <c r="BM1217" s="12"/>
      <c r="BN1217" s="12"/>
      <c r="BO1217" s="12"/>
      <c r="BP1217" s="12"/>
      <c r="BQ1217" s="48"/>
      <c r="BR1217" s="49"/>
      <c r="BS1217" s="13"/>
      <c r="BT1217" s="12"/>
      <c r="BV1217" s="14"/>
      <c r="BW1217" s="50"/>
      <c r="BX1217" s="54"/>
      <c r="BY1217" s="14"/>
      <c r="BZ1217" s="14"/>
      <c r="CA1217" s="14"/>
      <c r="CB1217" s="14"/>
      <c r="CC1217" s="14"/>
      <c r="CD1217" s="14"/>
      <c r="CE1217" s="14"/>
      <c r="CF1217" s="15"/>
      <c r="CG1217" s="14"/>
      <c r="CH1217" s="14"/>
      <c r="CI1217" s="50"/>
      <c r="CJ1217" s="54"/>
      <c r="CK1217" s="14"/>
      <c r="CL1217" s="14"/>
      <c r="CM1217" s="14"/>
      <c r="CN1217" s="14"/>
      <c r="CO1217" s="14"/>
      <c r="CP1217" s="14"/>
      <c r="CQ1217" s="14"/>
      <c r="CR1217" s="14"/>
      <c r="CS1217" s="14"/>
      <c r="CT1217" s="14"/>
      <c r="CU1217" s="16"/>
      <c r="CV1217" s="14"/>
      <c r="CW1217" s="50"/>
      <c r="CX1217" s="17"/>
    </row>
    <row r="1218" spans="4:102" x14ac:dyDescent="0.25"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43"/>
      <c r="Q1218" s="11"/>
      <c r="R1218" s="11"/>
      <c r="S1218" s="11"/>
      <c r="T1218" s="11"/>
      <c r="U1218" s="11"/>
      <c r="V1218" s="11"/>
      <c r="W1218" s="11"/>
      <c r="X1218" s="12"/>
      <c r="Y1218" s="12"/>
      <c r="Z1218" s="12"/>
      <c r="AA1218" s="44"/>
      <c r="AB1218" s="45"/>
      <c r="AC1218" s="12"/>
      <c r="AD1218" s="12"/>
      <c r="AE1218" s="12"/>
      <c r="AF1218" s="12"/>
      <c r="AG1218" s="44"/>
      <c r="AH1218" s="45"/>
      <c r="AI1218" s="12"/>
      <c r="AJ1218" s="12"/>
      <c r="AK1218" s="12"/>
      <c r="AL1218" s="12"/>
      <c r="AM1218" s="44"/>
      <c r="AN1218" s="45"/>
      <c r="AO1218" s="12"/>
      <c r="AP1218" s="12"/>
      <c r="AQ1218" s="12"/>
      <c r="AR1218" s="12"/>
      <c r="AS1218" s="44"/>
      <c r="AT1218" s="45"/>
      <c r="AU1218" s="12"/>
      <c r="AV1218" s="12"/>
      <c r="AW1218" s="12"/>
      <c r="AX1218" s="12"/>
      <c r="AY1218" s="44"/>
      <c r="AZ1218" s="45"/>
      <c r="BA1218" s="12"/>
      <c r="BB1218" s="12"/>
      <c r="BC1218" s="12"/>
      <c r="BD1218" s="12"/>
      <c r="BE1218" s="44"/>
      <c r="BF1218" s="45"/>
      <c r="BG1218" s="12"/>
      <c r="BH1218" s="12"/>
      <c r="BI1218" s="12"/>
      <c r="BJ1218" s="12"/>
      <c r="BK1218" s="44"/>
      <c r="BL1218" s="45"/>
      <c r="BM1218" s="12"/>
      <c r="BN1218" s="12"/>
      <c r="BO1218" s="12"/>
      <c r="BP1218" s="12"/>
      <c r="BQ1218" s="48"/>
      <c r="BR1218" s="49"/>
      <c r="BS1218" s="13"/>
      <c r="BT1218" s="12"/>
      <c r="BV1218" s="14"/>
      <c r="BW1218" s="50"/>
      <c r="BX1218" s="54"/>
      <c r="BY1218" s="14"/>
      <c r="BZ1218" s="14"/>
      <c r="CA1218" s="14"/>
      <c r="CB1218" s="14"/>
      <c r="CC1218" s="14"/>
      <c r="CD1218" s="14"/>
      <c r="CE1218" s="14"/>
      <c r="CF1218" s="15"/>
      <c r="CG1218" s="14"/>
      <c r="CH1218" s="14"/>
      <c r="CI1218" s="50"/>
      <c r="CJ1218" s="54"/>
      <c r="CK1218" s="14"/>
      <c r="CL1218" s="14"/>
      <c r="CM1218" s="14"/>
      <c r="CN1218" s="14"/>
      <c r="CO1218" s="14"/>
      <c r="CP1218" s="14"/>
      <c r="CQ1218" s="14"/>
      <c r="CR1218" s="14"/>
      <c r="CS1218" s="14"/>
      <c r="CT1218" s="14"/>
      <c r="CU1218" s="16"/>
      <c r="CV1218" s="14"/>
      <c r="CW1218" s="50"/>
      <c r="CX1218" s="17"/>
    </row>
    <row r="1219" spans="4:102" x14ac:dyDescent="0.25"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43"/>
      <c r="Q1219" s="11"/>
      <c r="R1219" s="11"/>
      <c r="S1219" s="11"/>
      <c r="T1219" s="11"/>
      <c r="U1219" s="11"/>
      <c r="V1219" s="11"/>
      <c r="W1219" s="11"/>
      <c r="X1219" s="12"/>
      <c r="Y1219" s="12"/>
      <c r="Z1219" s="12"/>
      <c r="AA1219" s="44"/>
      <c r="AB1219" s="45"/>
      <c r="AC1219" s="12"/>
      <c r="AD1219" s="12"/>
      <c r="AE1219" s="12"/>
      <c r="AF1219" s="12"/>
      <c r="AG1219" s="44"/>
      <c r="AH1219" s="45"/>
      <c r="AI1219" s="12"/>
      <c r="AJ1219" s="12"/>
      <c r="AK1219" s="12"/>
      <c r="AL1219" s="12"/>
      <c r="AM1219" s="44"/>
      <c r="AN1219" s="45"/>
      <c r="AO1219" s="12"/>
      <c r="AP1219" s="12"/>
      <c r="AQ1219" s="12"/>
      <c r="AR1219" s="12"/>
      <c r="AS1219" s="44"/>
      <c r="AT1219" s="45"/>
      <c r="AU1219" s="12"/>
      <c r="AV1219" s="12"/>
      <c r="AW1219" s="12"/>
      <c r="AX1219" s="12"/>
      <c r="AY1219" s="44"/>
      <c r="AZ1219" s="45"/>
      <c r="BA1219" s="12"/>
      <c r="BB1219" s="12"/>
      <c r="BC1219" s="12"/>
      <c r="BD1219" s="12"/>
      <c r="BE1219" s="44"/>
      <c r="BF1219" s="45"/>
      <c r="BG1219" s="12"/>
      <c r="BH1219" s="12"/>
      <c r="BI1219" s="12"/>
      <c r="BJ1219" s="12"/>
      <c r="BK1219" s="44"/>
      <c r="BL1219" s="45"/>
      <c r="BM1219" s="12"/>
      <c r="BN1219" s="12"/>
      <c r="BO1219" s="12"/>
      <c r="BP1219" s="12"/>
      <c r="BQ1219" s="48"/>
      <c r="BR1219" s="49"/>
      <c r="BS1219" s="13"/>
      <c r="BT1219" s="12"/>
      <c r="BV1219" s="14"/>
      <c r="BW1219" s="50"/>
      <c r="BX1219" s="54"/>
      <c r="BY1219" s="14"/>
      <c r="BZ1219" s="14"/>
      <c r="CA1219" s="14"/>
      <c r="CB1219" s="14"/>
      <c r="CC1219" s="14"/>
      <c r="CD1219" s="14"/>
      <c r="CE1219" s="14"/>
      <c r="CF1219" s="15"/>
      <c r="CG1219" s="14"/>
      <c r="CH1219" s="14"/>
      <c r="CI1219" s="50"/>
      <c r="CJ1219" s="54"/>
      <c r="CK1219" s="14"/>
      <c r="CL1219" s="14"/>
      <c r="CM1219" s="14"/>
      <c r="CN1219" s="14"/>
      <c r="CO1219" s="14"/>
      <c r="CP1219" s="14"/>
      <c r="CQ1219" s="14"/>
      <c r="CR1219" s="14"/>
      <c r="CS1219" s="14"/>
      <c r="CT1219" s="14"/>
      <c r="CU1219" s="16"/>
      <c r="CV1219" s="14"/>
      <c r="CW1219" s="50"/>
      <c r="CX1219" s="17"/>
    </row>
    <row r="1220" spans="4:102" x14ac:dyDescent="0.25"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43"/>
      <c r="Q1220" s="11"/>
      <c r="R1220" s="11"/>
      <c r="S1220" s="11"/>
      <c r="T1220" s="11"/>
      <c r="U1220" s="11"/>
      <c r="V1220" s="11"/>
      <c r="W1220" s="11"/>
      <c r="X1220" s="12"/>
      <c r="Y1220" s="12"/>
      <c r="Z1220" s="12"/>
      <c r="AA1220" s="44"/>
      <c r="AB1220" s="45"/>
      <c r="AC1220" s="12"/>
      <c r="AD1220" s="12"/>
      <c r="AE1220" s="12"/>
      <c r="AF1220" s="12"/>
      <c r="AG1220" s="44"/>
      <c r="AH1220" s="45"/>
      <c r="AI1220" s="12"/>
      <c r="AJ1220" s="12"/>
      <c r="AK1220" s="12"/>
      <c r="AL1220" s="12"/>
      <c r="AM1220" s="44"/>
      <c r="AN1220" s="45"/>
      <c r="AO1220" s="12"/>
      <c r="AP1220" s="12"/>
      <c r="AQ1220" s="12"/>
      <c r="AR1220" s="12"/>
      <c r="AS1220" s="44"/>
      <c r="AT1220" s="45"/>
      <c r="AU1220" s="12"/>
      <c r="AV1220" s="12"/>
      <c r="AW1220" s="12"/>
      <c r="AX1220" s="12"/>
      <c r="AY1220" s="44"/>
      <c r="AZ1220" s="45"/>
      <c r="BA1220" s="12"/>
      <c r="BB1220" s="12"/>
      <c r="BC1220" s="12"/>
      <c r="BD1220" s="12"/>
      <c r="BE1220" s="44"/>
      <c r="BF1220" s="45"/>
      <c r="BG1220" s="12"/>
      <c r="BH1220" s="12"/>
      <c r="BI1220" s="12"/>
      <c r="BJ1220" s="12"/>
      <c r="BK1220" s="44"/>
      <c r="BL1220" s="45"/>
      <c r="BM1220" s="12"/>
      <c r="BN1220" s="12"/>
      <c r="BO1220" s="12"/>
      <c r="BP1220" s="12"/>
      <c r="BQ1220" s="48"/>
      <c r="BR1220" s="49"/>
      <c r="BS1220" s="13"/>
      <c r="BT1220" s="12"/>
      <c r="BV1220" s="14"/>
      <c r="BW1220" s="50"/>
      <c r="BX1220" s="54"/>
      <c r="BY1220" s="14"/>
      <c r="BZ1220" s="14"/>
      <c r="CA1220" s="14"/>
      <c r="CB1220" s="14"/>
      <c r="CC1220" s="14"/>
      <c r="CD1220" s="14"/>
      <c r="CE1220" s="14"/>
      <c r="CF1220" s="15"/>
      <c r="CG1220" s="14"/>
      <c r="CH1220" s="14"/>
      <c r="CI1220" s="50"/>
      <c r="CJ1220" s="54"/>
      <c r="CK1220" s="14"/>
      <c r="CL1220" s="14"/>
      <c r="CM1220" s="14"/>
      <c r="CN1220" s="14"/>
      <c r="CO1220" s="14"/>
      <c r="CP1220" s="14"/>
      <c r="CQ1220" s="14"/>
      <c r="CR1220" s="14"/>
      <c r="CS1220" s="14"/>
      <c r="CT1220" s="14"/>
      <c r="CU1220" s="16"/>
      <c r="CV1220" s="14"/>
      <c r="CW1220" s="50"/>
      <c r="CX1220" s="17"/>
    </row>
    <row r="1221" spans="4:102" x14ac:dyDescent="0.25"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43"/>
      <c r="Q1221" s="11"/>
      <c r="R1221" s="11"/>
      <c r="S1221" s="11"/>
      <c r="T1221" s="11"/>
      <c r="U1221" s="11"/>
      <c r="V1221" s="11"/>
      <c r="W1221" s="11"/>
      <c r="X1221" s="12"/>
      <c r="Y1221" s="12"/>
      <c r="Z1221" s="12"/>
      <c r="AA1221" s="44"/>
      <c r="AB1221" s="45"/>
      <c r="AC1221" s="12"/>
      <c r="AD1221" s="12"/>
      <c r="AE1221" s="12"/>
      <c r="AF1221" s="12"/>
      <c r="AG1221" s="44"/>
      <c r="AH1221" s="45"/>
      <c r="AI1221" s="12"/>
      <c r="AJ1221" s="12"/>
      <c r="AK1221" s="12"/>
      <c r="AL1221" s="12"/>
      <c r="AM1221" s="44"/>
      <c r="AN1221" s="45"/>
      <c r="AO1221" s="12"/>
      <c r="AP1221" s="12"/>
      <c r="AQ1221" s="12"/>
      <c r="AR1221" s="12"/>
      <c r="AS1221" s="44"/>
      <c r="AT1221" s="45"/>
      <c r="AU1221" s="12"/>
      <c r="AV1221" s="12"/>
      <c r="AW1221" s="12"/>
      <c r="AX1221" s="12"/>
      <c r="AY1221" s="44"/>
      <c r="AZ1221" s="45"/>
      <c r="BA1221" s="12"/>
      <c r="BB1221" s="12"/>
      <c r="BC1221" s="12"/>
      <c r="BD1221" s="12"/>
      <c r="BE1221" s="44"/>
      <c r="BF1221" s="45"/>
      <c r="BG1221" s="12"/>
      <c r="BH1221" s="12"/>
      <c r="BI1221" s="12"/>
      <c r="BJ1221" s="12"/>
      <c r="BK1221" s="44"/>
      <c r="BL1221" s="45"/>
      <c r="BM1221" s="12"/>
      <c r="BN1221" s="12"/>
      <c r="BO1221" s="12"/>
      <c r="BP1221" s="12"/>
      <c r="BQ1221" s="48"/>
      <c r="BR1221" s="49"/>
      <c r="BS1221" s="13"/>
      <c r="BT1221" s="12"/>
      <c r="BV1221" s="14"/>
      <c r="BW1221" s="50"/>
      <c r="BX1221" s="54"/>
      <c r="BY1221" s="14"/>
      <c r="BZ1221" s="14"/>
      <c r="CA1221" s="14"/>
      <c r="CB1221" s="14"/>
      <c r="CC1221" s="14"/>
      <c r="CD1221" s="14"/>
      <c r="CE1221" s="14"/>
      <c r="CF1221" s="15"/>
      <c r="CG1221" s="14"/>
      <c r="CH1221" s="14"/>
      <c r="CI1221" s="50"/>
      <c r="CJ1221" s="54"/>
      <c r="CK1221" s="14"/>
      <c r="CL1221" s="14"/>
      <c r="CM1221" s="14"/>
      <c r="CN1221" s="14"/>
      <c r="CO1221" s="14"/>
      <c r="CP1221" s="14"/>
      <c r="CQ1221" s="14"/>
      <c r="CR1221" s="14"/>
      <c r="CS1221" s="14"/>
      <c r="CT1221" s="14"/>
      <c r="CU1221" s="16"/>
      <c r="CV1221" s="14"/>
      <c r="CW1221" s="50"/>
      <c r="CX1221" s="17"/>
    </row>
    <row r="1222" spans="4:102" x14ac:dyDescent="0.25"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43"/>
      <c r="Q1222" s="11"/>
      <c r="R1222" s="11"/>
      <c r="S1222" s="11"/>
      <c r="T1222" s="11"/>
      <c r="U1222" s="11"/>
      <c r="V1222" s="11"/>
      <c r="W1222" s="11"/>
      <c r="X1222" s="12"/>
      <c r="Y1222" s="12"/>
      <c r="Z1222" s="12"/>
      <c r="AA1222" s="44"/>
      <c r="AB1222" s="45"/>
      <c r="AC1222" s="12"/>
      <c r="AD1222" s="12"/>
      <c r="AE1222" s="12"/>
      <c r="AF1222" s="12"/>
      <c r="AG1222" s="44"/>
      <c r="AH1222" s="45"/>
      <c r="AI1222" s="12"/>
      <c r="AJ1222" s="12"/>
      <c r="AK1222" s="12"/>
      <c r="AL1222" s="12"/>
      <c r="AM1222" s="44"/>
      <c r="AN1222" s="45"/>
      <c r="AO1222" s="12"/>
      <c r="AP1222" s="12"/>
      <c r="AQ1222" s="12"/>
      <c r="AR1222" s="12"/>
      <c r="AS1222" s="44"/>
      <c r="AT1222" s="45"/>
      <c r="AU1222" s="12"/>
      <c r="AV1222" s="12"/>
      <c r="AW1222" s="12"/>
      <c r="AX1222" s="12"/>
      <c r="AY1222" s="44"/>
      <c r="AZ1222" s="45"/>
      <c r="BA1222" s="12"/>
      <c r="BB1222" s="12"/>
      <c r="BC1222" s="12"/>
      <c r="BD1222" s="12"/>
      <c r="BE1222" s="44"/>
      <c r="BF1222" s="45"/>
      <c r="BG1222" s="12"/>
      <c r="BH1222" s="12"/>
      <c r="BI1222" s="12"/>
      <c r="BJ1222" s="12"/>
      <c r="BK1222" s="44"/>
      <c r="BL1222" s="45"/>
      <c r="BM1222" s="12"/>
      <c r="BN1222" s="12"/>
      <c r="BO1222" s="12"/>
      <c r="BP1222" s="12"/>
      <c r="BQ1222" s="48"/>
      <c r="BR1222" s="49"/>
      <c r="BS1222" s="13"/>
      <c r="BT1222" s="12"/>
      <c r="BV1222" s="14"/>
      <c r="BW1222" s="50"/>
      <c r="BX1222" s="54"/>
      <c r="BY1222" s="14"/>
      <c r="BZ1222" s="14"/>
      <c r="CA1222" s="14"/>
      <c r="CB1222" s="14"/>
      <c r="CC1222" s="14"/>
      <c r="CD1222" s="14"/>
      <c r="CE1222" s="14"/>
      <c r="CF1222" s="15"/>
      <c r="CG1222" s="14"/>
      <c r="CH1222" s="14"/>
      <c r="CI1222" s="50"/>
      <c r="CJ1222" s="54"/>
      <c r="CK1222" s="14"/>
      <c r="CL1222" s="14"/>
      <c r="CM1222" s="14"/>
      <c r="CN1222" s="14"/>
      <c r="CO1222" s="14"/>
      <c r="CP1222" s="14"/>
      <c r="CQ1222" s="14"/>
      <c r="CR1222" s="14"/>
      <c r="CS1222" s="14"/>
      <c r="CT1222" s="14"/>
      <c r="CU1222" s="16"/>
      <c r="CV1222" s="14"/>
      <c r="CW1222" s="50"/>
      <c r="CX1222" s="17"/>
    </row>
    <row r="1223" spans="4:102" x14ac:dyDescent="0.25"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43"/>
      <c r="Q1223" s="11"/>
      <c r="R1223" s="11"/>
      <c r="S1223" s="11"/>
      <c r="T1223" s="11"/>
      <c r="U1223" s="11"/>
      <c r="V1223" s="11"/>
      <c r="W1223" s="11"/>
      <c r="X1223" s="12"/>
      <c r="Y1223" s="12"/>
      <c r="Z1223" s="12"/>
      <c r="AA1223" s="44"/>
      <c r="AB1223" s="45"/>
      <c r="AC1223" s="12"/>
      <c r="AD1223" s="12"/>
      <c r="AE1223" s="12"/>
      <c r="AF1223" s="12"/>
      <c r="AG1223" s="44"/>
      <c r="AH1223" s="45"/>
      <c r="AI1223" s="12"/>
      <c r="AJ1223" s="12"/>
      <c r="AK1223" s="12"/>
      <c r="AL1223" s="12"/>
      <c r="AM1223" s="44"/>
      <c r="AN1223" s="45"/>
      <c r="AO1223" s="12"/>
      <c r="AP1223" s="12"/>
      <c r="AQ1223" s="12"/>
      <c r="AR1223" s="12"/>
      <c r="AS1223" s="44"/>
      <c r="AT1223" s="45"/>
      <c r="AU1223" s="12"/>
      <c r="AV1223" s="12"/>
      <c r="AW1223" s="12"/>
      <c r="AX1223" s="12"/>
      <c r="AY1223" s="44"/>
      <c r="AZ1223" s="45"/>
      <c r="BA1223" s="12"/>
      <c r="BB1223" s="12"/>
      <c r="BC1223" s="12"/>
      <c r="BD1223" s="12"/>
      <c r="BE1223" s="44"/>
      <c r="BF1223" s="45"/>
      <c r="BG1223" s="12"/>
      <c r="BH1223" s="12"/>
      <c r="BI1223" s="12"/>
      <c r="BJ1223" s="12"/>
      <c r="BK1223" s="44"/>
      <c r="BL1223" s="45"/>
      <c r="BM1223" s="12"/>
      <c r="BN1223" s="12"/>
      <c r="BO1223" s="12"/>
      <c r="BP1223" s="12"/>
      <c r="BQ1223" s="48"/>
      <c r="BR1223" s="49"/>
      <c r="BS1223" s="13"/>
      <c r="BT1223" s="12"/>
      <c r="BV1223" s="14"/>
      <c r="BW1223" s="50"/>
      <c r="BX1223" s="54"/>
      <c r="BY1223" s="14"/>
      <c r="BZ1223" s="14"/>
      <c r="CA1223" s="14"/>
      <c r="CB1223" s="14"/>
      <c r="CC1223" s="14"/>
      <c r="CD1223" s="14"/>
      <c r="CE1223" s="14"/>
      <c r="CF1223" s="15"/>
      <c r="CG1223" s="14"/>
      <c r="CH1223" s="14"/>
      <c r="CI1223" s="50"/>
      <c r="CJ1223" s="54"/>
      <c r="CK1223" s="14"/>
      <c r="CL1223" s="14"/>
      <c r="CM1223" s="14"/>
      <c r="CN1223" s="14"/>
      <c r="CO1223" s="14"/>
      <c r="CP1223" s="14"/>
      <c r="CQ1223" s="14"/>
      <c r="CR1223" s="14"/>
      <c r="CS1223" s="14"/>
      <c r="CT1223" s="14"/>
      <c r="CU1223" s="16"/>
      <c r="CV1223" s="14"/>
      <c r="CW1223" s="50"/>
      <c r="CX1223" s="17"/>
    </row>
    <row r="1224" spans="4:102" x14ac:dyDescent="0.25"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43"/>
      <c r="Q1224" s="11"/>
      <c r="R1224" s="11"/>
      <c r="S1224" s="11"/>
      <c r="T1224" s="11"/>
      <c r="U1224" s="11"/>
      <c r="V1224" s="11"/>
      <c r="W1224" s="11"/>
      <c r="X1224" s="12"/>
      <c r="Y1224" s="12"/>
      <c r="Z1224" s="12"/>
      <c r="AA1224" s="44"/>
      <c r="AB1224" s="45"/>
      <c r="AC1224" s="12"/>
      <c r="AD1224" s="12"/>
      <c r="AE1224" s="12"/>
      <c r="AF1224" s="12"/>
      <c r="AG1224" s="44"/>
      <c r="AH1224" s="45"/>
      <c r="AI1224" s="12"/>
      <c r="AJ1224" s="12"/>
      <c r="AK1224" s="12"/>
      <c r="AL1224" s="12"/>
      <c r="AM1224" s="44"/>
      <c r="AN1224" s="45"/>
      <c r="AO1224" s="12"/>
      <c r="AP1224" s="12"/>
      <c r="AQ1224" s="12"/>
      <c r="AR1224" s="12"/>
      <c r="AS1224" s="44"/>
      <c r="AT1224" s="45"/>
      <c r="AU1224" s="12"/>
      <c r="AV1224" s="12"/>
      <c r="AW1224" s="12"/>
      <c r="AX1224" s="12"/>
      <c r="AY1224" s="44"/>
      <c r="AZ1224" s="45"/>
      <c r="BA1224" s="12"/>
      <c r="BB1224" s="12"/>
      <c r="BC1224" s="12"/>
      <c r="BD1224" s="12"/>
      <c r="BE1224" s="44"/>
      <c r="BF1224" s="45"/>
      <c r="BG1224" s="12"/>
      <c r="BH1224" s="12"/>
      <c r="BI1224" s="12"/>
      <c r="BJ1224" s="12"/>
      <c r="BK1224" s="44"/>
      <c r="BL1224" s="45"/>
      <c r="BM1224" s="12"/>
      <c r="BN1224" s="12"/>
      <c r="BO1224" s="12"/>
      <c r="BP1224" s="12"/>
      <c r="BQ1224" s="48"/>
      <c r="BR1224" s="49"/>
      <c r="BS1224" s="13"/>
      <c r="BT1224" s="12"/>
      <c r="BV1224" s="14"/>
      <c r="BW1224" s="50"/>
      <c r="BX1224" s="54"/>
      <c r="BY1224" s="14"/>
      <c r="BZ1224" s="14"/>
      <c r="CA1224" s="14"/>
      <c r="CB1224" s="14"/>
      <c r="CC1224" s="14"/>
      <c r="CD1224" s="14"/>
      <c r="CE1224" s="14"/>
      <c r="CF1224" s="15"/>
      <c r="CG1224" s="14"/>
      <c r="CH1224" s="14"/>
      <c r="CI1224" s="50"/>
      <c r="CJ1224" s="54"/>
      <c r="CK1224" s="14"/>
      <c r="CL1224" s="14"/>
      <c r="CM1224" s="14"/>
      <c r="CN1224" s="14"/>
      <c r="CO1224" s="14"/>
      <c r="CP1224" s="14"/>
      <c r="CQ1224" s="14"/>
      <c r="CR1224" s="14"/>
      <c r="CS1224" s="14"/>
      <c r="CT1224" s="14"/>
      <c r="CU1224" s="16"/>
      <c r="CV1224" s="14"/>
      <c r="CW1224" s="50"/>
      <c r="CX1224" s="17"/>
    </row>
    <row r="1225" spans="4:102" x14ac:dyDescent="0.25"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43"/>
      <c r="Q1225" s="11"/>
      <c r="R1225" s="11"/>
      <c r="S1225" s="11"/>
      <c r="T1225" s="11"/>
      <c r="U1225" s="11"/>
      <c r="V1225" s="11"/>
      <c r="W1225" s="11"/>
      <c r="X1225" s="12"/>
      <c r="Y1225" s="12"/>
      <c r="Z1225" s="12"/>
      <c r="AA1225" s="44"/>
      <c r="AB1225" s="45"/>
      <c r="AC1225" s="12"/>
      <c r="AD1225" s="12"/>
      <c r="AE1225" s="12"/>
      <c r="AF1225" s="12"/>
      <c r="AG1225" s="44"/>
      <c r="AH1225" s="45"/>
      <c r="AI1225" s="12"/>
      <c r="AJ1225" s="12"/>
      <c r="AK1225" s="12"/>
      <c r="AL1225" s="12"/>
      <c r="AM1225" s="44"/>
      <c r="AN1225" s="45"/>
      <c r="AO1225" s="12"/>
      <c r="AP1225" s="12"/>
      <c r="AQ1225" s="12"/>
      <c r="AR1225" s="12"/>
      <c r="AS1225" s="44"/>
      <c r="AT1225" s="45"/>
      <c r="AU1225" s="12"/>
      <c r="AV1225" s="12"/>
      <c r="AW1225" s="12"/>
      <c r="AX1225" s="12"/>
      <c r="AY1225" s="44"/>
      <c r="AZ1225" s="45"/>
      <c r="BA1225" s="12"/>
      <c r="BB1225" s="12"/>
      <c r="BC1225" s="12"/>
      <c r="BD1225" s="12"/>
      <c r="BE1225" s="44"/>
      <c r="BF1225" s="45"/>
      <c r="BG1225" s="12"/>
      <c r="BH1225" s="12"/>
      <c r="BI1225" s="12"/>
      <c r="BJ1225" s="12"/>
      <c r="BK1225" s="44"/>
      <c r="BL1225" s="45"/>
      <c r="BM1225" s="12"/>
      <c r="BN1225" s="12"/>
      <c r="BO1225" s="12"/>
      <c r="BP1225" s="12"/>
      <c r="BQ1225" s="48"/>
      <c r="BR1225" s="49"/>
      <c r="BS1225" s="13"/>
      <c r="BT1225" s="12"/>
      <c r="BV1225" s="14"/>
      <c r="BW1225" s="50"/>
      <c r="BX1225" s="54"/>
      <c r="BY1225" s="14"/>
      <c r="BZ1225" s="14"/>
      <c r="CA1225" s="14"/>
      <c r="CB1225" s="14"/>
      <c r="CC1225" s="14"/>
      <c r="CD1225" s="14"/>
      <c r="CE1225" s="14"/>
      <c r="CF1225" s="15"/>
      <c r="CG1225" s="14"/>
      <c r="CH1225" s="14"/>
      <c r="CI1225" s="50"/>
      <c r="CJ1225" s="54"/>
      <c r="CK1225" s="14"/>
      <c r="CL1225" s="14"/>
      <c r="CM1225" s="14"/>
      <c r="CN1225" s="14"/>
      <c r="CO1225" s="14"/>
      <c r="CP1225" s="14"/>
      <c r="CQ1225" s="14"/>
      <c r="CR1225" s="14"/>
      <c r="CS1225" s="14"/>
      <c r="CT1225" s="14"/>
      <c r="CU1225" s="16"/>
      <c r="CV1225" s="14"/>
      <c r="CW1225" s="50"/>
      <c r="CX1225" s="17"/>
    </row>
    <row r="1226" spans="4:102" x14ac:dyDescent="0.25"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43"/>
      <c r="Q1226" s="11"/>
      <c r="R1226" s="11"/>
      <c r="S1226" s="11"/>
      <c r="T1226" s="11"/>
      <c r="U1226" s="11"/>
      <c r="V1226" s="11"/>
      <c r="W1226" s="11"/>
      <c r="X1226" s="12"/>
      <c r="Y1226" s="12"/>
      <c r="Z1226" s="12"/>
      <c r="AA1226" s="44"/>
      <c r="AB1226" s="45"/>
      <c r="AC1226" s="12"/>
      <c r="AD1226" s="12"/>
      <c r="AE1226" s="12"/>
      <c r="AF1226" s="12"/>
      <c r="AG1226" s="44"/>
      <c r="AH1226" s="45"/>
      <c r="AI1226" s="12"/>
      <c r="AJ1226" s="12"/>
      <c r="AK1226" s="12"/>
      <c r="AL1226" s="12"/>
      <c r="AM1226" s="44"/>
      <c r="AN1226" s="45"/>
      <c r="AO1226" s="12"/>
      <c r="AP1226" s="12"/>
      <c r="AQ1226" s="12"/>
      <c r="AR1226" s="12"/>
      <c r="AS1226" s="44"/>
      <c r="AT1226" s="45"/>
      <c r="AU1226" s="12"/>
      <c r="AV1226" s="12"/>
      <c r="AW1226" s="12"/>
      <c r="AX1226" s="12"/>
      <c r="AY1226" s="44"/>
      <c r="AZ1226" s="45"/>
      <c r="BA1226" s="12"/>
      <c r="BB1226" s="12"/>
      <c r="BC1226" s="12"/>
      <c r="BD1226" s="12"/>
      <c r="BE1226" s="44"/>
      <c r="BF1226" s="45"/>
      <c r="BG1226" s="12"/>
      <c r="BH1226" s="12"/>
      <c r="BI1226" s="12"/>
      <c r="BJ1226" s="12"/>
      <c r="BK1226" s="44"/>
      <c r="BL1226" s="45"/>
      <c r="BM1226" s="12"/>
      <c r="BN1226" s="12"/>
      <c r="BO1226" s="12"/>
      <c r="BP1226" s="12"/>
      <c r="BQ1226" s="48"/>
      <c r="BR1226" s="49"/>
      <c r="BS1226" s="13"/>
      <c r="BT1226" s="12"/>
      <c r="BV1226" s="14"/>
      <c r="BW1226" s="50"/>
      <c r="BX1226" s="54"/>
      <c r="BY1226" s="14"/>
      <c r="BZ1226" s="14"/>
      <c r="CA1226" s="14"/>
      <c r="CB1226" s="14"/>
      <c r="CC1226" s="14"/>
      <c r="CD1226" s="14"/>
      <c r="CE1226" s="14"/>
      <c r="CF1226" s="15"/>
      <c r="CG1226" s="14"/>
      <c r="CH1226" s="14"/>
      <c r="CI1226" s="50"/>
      <c r="CJ1226" s="54"/>
      <c r="CK1226" s="14"/>
      <c r="CL1226" s="14"/>
      <c r="CM1226" s="14"/>
      <c r="CN1226" s="14"/>
      <c r="CO1226" s="14"/>
      <c r="CP1226" s="14"/>
      <c r="CQ1226" s="14"/>
      <c r="CR1226" s="14"/>
      <c r="CS1226" s="14"/>
      <c r="CT1226" s="14"/>
      <c r="CU1226" s="16"/>
      <c r="CV1226" s="14"/>
      <c r="CW1226" s="50"/>
      <c r="CX1226" s="17"/>
    </row>
    <row r="1227" spans="4:102" x14ac:dyDescent="0.25"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43"/>
      <c r="Q1227" s="11"/>
      <c r="R1227" s="11"/>
      <c r="S1227" s="11"/>
      <c r="T1227" s="11"/>
      <c r="U1227" s="11"/>
      <c r="V1227" s="11"/>
      <c r="W1227" s="11"/>
      <c r="X1227" s="12"/>
      <c r="Y1227" s="12"/>
      <c r="Z1227" s="12"/>
      <c r="AA1227" s="44"/>
      <c r="AB1227" s="45"/>
      <c r="AC1227" s="12"/>
      <c r="AD1227" s="12"/>
      <c r="AE1227" s="12"/>
      <c r="AF1227" s="12"/>
      <c r="AG1227" s="44"/>
      <c r="AH1227" s="45"/>
      <c r="AI1227" s="12"/>
      <c r="AJ1227" s="12"/>
      <c r="AK1227" s="12"/>
      <c r="AL1227" s="12"/>
      <c r="AM1227" s="44"/>
      <c r="AN1227" s="45"/>
      <c r="AO1227" s="12"/>
      <c r="AP1227" s="12"/>
      <c r="AQ1227" s="12"/>
      <c r="AR1227" s="12"/>
      <c r="AS1227" s="44"/>
      <c r="AT1227" s="45"/>
      <c r="AU1227" s="12"/>
      <c r="AV1227" s="12"/>
      <c r="AW1227" s="12"/>
      <c r="AX1227" s="12"/>
      <c r="AY1227" s="44"/>
      <c r="AZ1227" s="45"/>
      <c r="BA1227" s="12"/>
      <c r="BB1227" s="12"/>
      <c r="BC1227" s="12"/>
      <c r="BD1227" s="12"/>
      <c r="BE1227" s="44"/>
      <c r="BF1227" s="45"/>
      <c r="BG1227" s="12"/>
      <c r="BH1227" s="12"/>
      <c r="BI1227" s="12"/>
      <c r="BJ1227" s="12"/>
      <c r="BK1227" s="44"/>
      <c r="BL1227" s="45"/>
      <c r="BM1227" s="12"/>
      <c r="BN1227" s="12"/>
      <c r="BO1227" s="12"/>
      <c r="BP1227" s="12"/>
      <c r="BQ1227" s="48"/>
      <c r="BR1227" s="49"/>
      <c r="BS1227" s="13"/>
      <c r="BT1227" s="12"/>
      <c r="BV1227" s="14"/>
      <c r="BW1227" s="50"/>
      <c r="BX1227" s="54"/>
      <c r="BY1227" s="14"/>
      <c r="BZ1227" s="14"/>
      <c r="CA1227" s="14"/>
      <c r="CB1227" s="14"/>
      <c r="CC1227" s="14"/>
      <c r="CD1227" s="14"/>
      <c r="CE1227" s="14"/>
      <c r="CF1227" s="15"/>
      <c r="CG1227" s="14"/>
      <c r="CH1227" s="14"/>
      <c r="CI1227" s="50"/>
      <c r="CJ1227" s="54"/>
      <c r="CK1227" s="14"/>
      <c r="CL1227" s="14"/>
      <c r="CM1227" s="14"/>
      <c r="CN1227" s="14"/>
      <c r="CO1227" s="14"/>
      <c r="CP1227" s="14"/>
      <c r="CQ1227" s="14"/>
      <c r="CR1227" s="14"/>
      <c r="CS1227" s="14"/>
      <c r="CT1227" s="14"/>
      <c r="CU1227" s="16"/>
      <c r="CV1227" s="14"/>
      <c r="CW1227" s="50"/>
      <c r="CX1227" s="17"/>
    </row>
    <row r="1228" spans="4:102" x14ac:dyDescent="0.25"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43"/>
      <c r="Q1228" s="11"/>
      <c r="R1228" s="11"/>
      <c r="S1228" s="11"/>
      <c r="T1228" s="11"/>
      <c r="U1228" s="11"/>
      <c r="V1228" s="11"/>
      <c r="W1228" s="11"/>
      <c r="X1228" s="12"/>
      <c r="Y1228" s="12"/>
      <c r="Z1228" s="12"/>
      <c r="AA1228" s="44"/>
      <c r="AB1228" s="45"/>
      <c r="AC1228" s="12"/>
      <c r="AD1228" s="12"/>
      <c r="AE1228" s="12"/>
      <c r="AF1228" s="12"/>
      <c r="AG1228" s="44"/>
      <c r="AH1228" s="45"/>
      <c r="AI1228" s="12"/>
      <c r="AJ1228" s="12"/>
      <c r="AK1228" s="12"/>
      <c r="AL1228" s="12"/>
      <c r="AM1228" s="44"/>
      <c r="AN1228" s="45"/>
      <c r="AO1228" s="12"/>
      <c r="AP1228" s="12"/>
      <c r="AQ1228" s="12"/>
      <c r="AR1228" s="12"/>
      <c r="AS1228" s="44"/>
      <c r="AT1228" s="45"/>
      <c r="AU1228" s="12"/>
      <c r="AV1228" s="12"/>
      <c r="AW1228" s="12"/>
      <c r="AX1228" s="12"/>
      <c r="AY1228" s="44"/>
      <c r="AZ1228" s="45"/>
      <c r="BA1228" s="12"/>
      <c r="BB1228" s="12"/>
      <c r="BC1228" s="12"/>
      <c r="BD1228" s="12"/>
      <c r="BE1228" s="44"/>
      <c r="BF1228" s="45"/>
      <c r="BG1228" s="12"/>
      <c r="BH1228" s="12"/>
      <c r="BI1228" s="12"/>
      <c r="BJ1228" s="12"/>
      <c r="BK1228" s="44"/>
      <c r="BL1228" s="45"/>
      <c r="BM1228" s="12"/>
      <c r="BN1228" s="12"/>
      <c r="BO1228" s="12"/>
      <c r="BP1228" s="12"/>
      <c r="BQ1228" s="48"/>
      <c r="BR1228" s="49"/>
      <c r="BS1228" s="13"/>
      <c r="BT1228" s="12"/>
      <c r="BV1228" s="14"/>
      <c r="BW1228" s="50"/>
      <c r="BX1228" s="54"/>
      <c r="BY1228" s="14"/>
      <c r="BZ1228" s="14"/>
      <c r="CA1228" s="14"/>
      <c r="CB1228" s="14"/>
      <c r="CC1228" s="14"/>
      <c r="CD1228" s="14"/>
      <c r="CE1228" s="14"/>
      <c r="CF1228" s="15"/>
      <c r="CG1228" s="14"/>
      <c r="CH1228" s="14"/>
      <c r="CI1228" s="50"/>
      <c r="CJ1228" s="54"/>
      <c r="CK1228" s="14"/>
      <c r="CL1228" s="14"/>
      <c r="CM1228" s="14"/>
      <c r="CN1228" s="14"/>
      <c r="CO1228" s="14"/>
      <c r="CP1228" s="14"/>
      <c r="CQ1228" s="14"/>
      <c r="CR1228" s="14"/>
      <c r="CS1228" s="14"/>
      <c r="CT1228" s="14"/>
      <c r="CU1228" s="16"/>
      <c r="CV1228" s="14"/>
      <c r="CW1228" s="50"/>
      <c r="CX1228" s="17"/>
    </row>
    <row r="1229" spans="4:102" x14ac:dyDescent="0.25"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43"/>
      <c r="Q1229" s="11"/>
      <c r="R1229" s="11"/>
      <c r="S1229" s="11"/>
      <c r="T1229" s="11"/>
      <c r="U1229" s="11"/>
      <c r="V1229" s="11"/>
      <c r="W1229" s="11"/>
      <c r="X1229" s="12"/>
      <c r="Y1229" s="12"/>
      <c r="Z1229" s="12"/>
      <c r="AA1229" s="44"/>
      <c r="AB1229" s="45"/>
      <c r="AC1229" s="12"/>
      <c r="AD1229" s="12"/>
      <c r="AE1229" s="12"/>
      <c r="AF1229" s="12"/>
      <c r="AG1229" s="44"/>
      <c r="AH1229" s="45"/>
      <c r="AI1229" s="12"/>
      <c r="AJ1229" s="12"/>
      <c r="AK1229" s="12"/>
      <c r="AL1229" s="12"/>
      <c r="AM1229" s="44"/>
      <c r="AN1229" s="45"/>
      <c r="AO1229" s="12"/>
      <c r="AP1229" s="12"/>
      <c r="AQ1229" s="12"/>
      <c r="AR1229" s="12"/>
      <c r="AS1229" s="44"/>
      <c r="AT1229" s="45"/>
      <c r="AU1229" s="12"/>
      <c r="AV1229" s="12"/>
      <c r="AW1229" s="12"/>
      <c r="AX1229" s="12"/>
      <c r="AY1229" s="44"/>
      <c r="AZ1229" s="45"/>
      <c r="BA1229" s="12"/>
      <c r="BB1229" s="12"/>
      <c r="BC1229" s="12"/>
      <c r="BD1229" s="12"/>
      <c r="BE1229" s="44"/>
      <c r="BF1229" s="45"/>
      <c r="BG1229" s="12"/>
      <c r="BH1229" s="12"/>
      <c r="BI1229" s="12"/>
      <c r="BJ1229" s="12"/>
      <c r="BK1229" s="44"/>
      <c r="BL1229" s="45"/>
      <c r="BM1229" s="12"/>
      <c r="BN1229" s="12"/>
      <c r="BO1229" s="12"/>
      <c r="BP1229" s="12"/>
      <c r="BQ1229" s="48"/>
      <c r="BR1229" s="49"/>
      <c r="BS1229" s="13"/>
      <c r="BT1229" s="12"/>
      <c r="BV1229" s="14"/>
      <c r="BW1229" s="50"/>
      <c r="BX1229" s="54"/>
      <c r="BY1229" s="14"/>
      <c r="BZ1229" s="14"/>
      <c r="CA1229" s="14"/>
      <c r="CB1229" s="14"/>
      <c r="CC1229" s="14"/>
      <c r="CD1229" s="14"/>
      <c r="CE1229" s="14"/>
      <c r="CF1229" s="15"/>
      <c r="CG1229" s="14"/>
      <c r="CH1229" s="14"/>
      <c r="CI1229" s="50"/>
      <c r="CJ1229" s="54"/>
      <c r="CK1229" s="14"/>
      <c r="CL1229" s="14"/>
      <c r="CM1229" s="14"/>
      <c r="CN1229" s="14"/>
      <c r="CO1229" s="14"/>
      <c r="CP1229" s="14"/>
      <c r="CQ1229" s="14"/>
      <c r="CR1229" s="14"/>
      <c r="CS1229" s="14"/>
      <c r="CT1229" s="14"/>
      <c r="CU1229" s="16"/>
      <c r="CV1229" s="14"/>
      <c r="CW1229" s="50"/>
      <c r="CX1229" s="17"/>
    </row>
    <row r="1230" spans="4:102" x14ac:dyDescent="0.25"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43"/>
      <c r="Q1230" s="11"/>
      <c r="R1230" s="11"/>
      <c r="S1230" s="11"/>
      <c r="T1230" s="11"/>
      <c r="U1230" s="11"/>
      <c r="V1230" s="11"/>
      <c r="W1230" s="11"/>
      <c r="X1230" s="12"/>
      <c r="Y1230" s="12"/>
      <c r="Z1230" s="12"/>
      <c r="AA1230" s="44"/>
      <c r="AB1230" s="45"/>
      <c r="AC1230" s="12"/>
      <c r="AD1230" s="12"/>
      <c r="AE1230" s="12"/>
      <c r="AF1230" s="12"/>
      <c r="AG1230" s="44"/>
      <c r="AH1230" s="45"/>
      <c r="AI1230" s="12"/>
      <c r="AJ1230" s="12"/>
      <c r="AK1230" s="12"/>
      <c r="AL1230" s="12"/>
      <c r="AM1230" s="44"/>
      <c r="AN1230" s="45"/>
      <c r="AO1230" s="12"/>
      <c r="AP1230" s="12"/>
      <c r="AQ1230" s="12"/>
      <c r="AR1230" s="12"/>
      <c r="AS1230" s="44"/>
      <c r="AT1230" s="45"/>
      <c r="AU1230" s="12"/>
      <c r="AV1230" s="12"/>
      <c r="AW1230" s="12"/>
      <c r="AX1230" s="12"/>
      <c r="AY1230" s="44"/>
      <c r="AZ1230" s="45"/>
      <c r="BA1230" s="12"/>
      <c r="BB1230" s="12"/>
      <c r="BC1230" s="12"/>
      <c r="BD1230" s="12"/>
      <c r="BE1230" s="44"/>
      <c r="BF1230" s="45"/>
      <c r="BG1230" s="12"/>
      <c r="BH1230" s="12"/>
      <c r="BI1230" s="12"/>
      <c r="BJ1230" s="12"/>
      <c r="BK1230" s="44"/>
      <c r="BL1230" s="45"/>
      <c r="BM1230" s="12"/>
      <c r="BN1230" s="12"/>
      <c r="BO1230" s="12"/>
      <c r="BP1230" s="12"/>
      <c r="BQ1230" s="48"/>
      <c r="BR1230" s="49"/>
      <c r="BS1230" s="13"/>
      <c r="BT1230" s="12"/>
      <c r="BV1230" s="14"/>
      <c r="BW1230" s="50"/>
      <c r="BX1230" s="54"/>
      <c r="BY1230" s="14"/>
      <c r="BZ1230" s="14"/>
      <c r="CA1230" s="14"/>
      <c r="CB1230" s="14"/>
      <c r="CC1230" s="14"/>
      <c r="CD1230" s="14"/>
      <c r="CE1230" s="14"/>
      <c r="CF1230" s="15"/>
      <c r="CG1230" s="14"/>
      <c r="CH1230" s="14"/>
      <c r="CI1230" s="50"/>
      <c r="CJ1230" s="54"/>
      <c r="CK1230" s="14"/>
      <c r="CL1230" s="14"/>
      <c r="CM1230" s="14"/>
      <c r="CN1230" s="14"/>
      <c r="CO1230" s="14"/>
      <c r="CP1230" s="14"/>
      <c r="CQ1230" s="14"/>
      <c r="CR1230" s="14"/>
      <c r="CS1230" s="14"/>
      <c r="CT1230" s="14"/>
      <c r="CU1230" s="16"/>
      <c r="CV1230" s="14"/>
      <c r="CW1230" s="50"/>
      <c r="CX1230" s="17"/>
    </row>
    <row r="1231" spans="4:102" x14ac:dyDescent="0.25"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43"/>
      <c r="Q1231" s="11"/>
      <c r="R1231" s="11"/>
      <c r="S1231" s="11"/>
      <c r="T1231" s="11"/>
      <c r="U1231" s="11"/>
      <c r="V1231" s="11"/>
      <c r="W1231" s="11"/>
      <c r="X1231" s="12"/>
      <c r="Y1231" s="12"/>
      <c r="Z1231" s="12"/>
      <c r="AA1231" s="44"/>
      <c r="AB1231" s="45"/>
      <c r="AC1231" s="12"/>
      <c r="AD1231" s="12"/>
      <c r="AE1231" s="12"/>
      <c r="AF1231" s="12"/>
      <c r="AG1231" s="44"/>
      <c r="AH1231" s="45"/>
      <c r="AI1231" s="12"/>
      <c r="AJ1231" s="12"/>
      <c r="AK1231" s="12"/>
      <c r="AL1231" s="12"/>
      <c r="AM1231" s="44"/>
      <c r="AN1231" s="45"/>
      <c r="AO1231" s="12"/>
      <c r="AP1231" s="12"/>
      <c r="AQ1231" s="12"/>
      <c r="AR1231" s="12"/>
      <c r="AS1231" s="44"/>
      <c r="AT1231" s="45"/>
      <c r="AU1231" s="12"/>
      <c r="AV1231" s="12"/>
      <c r="AW1231" s="12"/>
      <c r="AX1231" s="12"/>
      <c r="AY1231" s="44"/>
      <c r="AZ1231" s="45"/>
      <c r="BA1231" s="12"/>
      <c r="BB1231" s="12"/>
      <c r="BC1231" s="12"/>
      <c r="BD1231" s="12"/>
      <c r="BE1231" s="44"/>
      <c r="BF1231" s="45"/>
      <c r="BG1231" s="12"/>
      <c r="BH1231" s="12"/>
      <c r="BI1231" s="12"/>
      <c r="BJ1231" s="12"/>
      <c r="BK1231" s="44"/>
      <c r="BL1231" s="45"/>
      <c r="BM1231" s="12"/>
      <c r="BN1231" s="12"/>
      <c r="BO1231" s="12"/>
      <c r="BP1231" s="12"/>
      <c r="BQ1231" s="48"/>
      <c r="BR1231" s="49"/>
      <c r="BS1231" s="13"/>
      <c r="BT1231" s="12"/>
      <c r="BV1231" s="14"/>
      <c r="BW1231" s="50"/>
      <c r="BX1231" s="54"/>
      <c r="BY1231" s="14"/>
      <c r="BZ1231" s="14"/>
      <c r="CA1231" s="14"/>
      <c r="CB1231" s="14"/>
      <c r="CC1231" s="14"/>
      <c r="CD1231" s="14"/>
      <c r="CE1231" s="14"/>
      <c r="CF1231" s="15"/>
      <c r="CG1231" s="14"/>
      <c r="CH1231" s="14"/>
      <c r="CI1231" s="50"/>
      <c r="CJ1231" s="54"/>
      <c r="CK1231" s="14"/>
      <c r="CL1231" s="14"/>
      <c r="CM1231" s="14"/>
      <c r="CN1231" s="14"/>
      <c r="CO1231" s="14"/>
      <c r="CP1231" s="14"/>
      <c r="CQ1231" s="14"/>
      <c r="CR1231" s="14"/>
      <c r="CS1231" s="14"/>
      <c r="CT1231" s="14"/>
      <c r="CU1231" s="16"/>
      <c r="CV1231" s="14"/>
      <c r="CW1231" s="50"/>
      <c r="CX1231" s="17"/>
    </row>
    <row r="1232" spans="4:102" x14ac:dyDescent="0.25"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43"/>
      <c r="Q1232" s="11"/>
      <c r="R1232" s="11"/>
      <c r="S1232" s="11"/>
      <c r="T1232" s="11"/>
      <c r="U1232" s="11"/>
      <c r="V1232" s="11"/>
      <c r="W1232" s="11"/>
      <c r="X1232" s="12"/>
      <c r="Y1232" s="12"/>
      <c r="Z1232" s="12"/>
      <c r="AA1232" s="44"/>
      <c r="AB1232" s="45"/>
      <c r="AC1232" s="12"/>
      <c r="AD1232" s="12"/>
      <c r="AE1232" s="12"/>
      <c r="AF1232" s="12"/>
      <c r="AG1232" s="44"/>
      <c r="AH1232" s="45"/>
      <c r="AI1232" s="12"/>
      <c r="AJ1232" s="12"/>
      <c r="AK1232" s="12"/>
      <c r="AL1232" s="12"/>
      <c r="AM1232" s="44"/>
      <c r="AN1232" s="45"/>
      <c r="AO1232" s="12"/>
      <c r="AP1232" s="12"/>
      <c r="AQ1232" s="12"/>
      <c r="AR1232" s="12"/>
      <c r="AS1232" s="44"/>
      <c r="AT1232" s="45"/>
      <c r="AU1232" s="12"/>
      <c r="AV1232" s="12"/>
      <c r="AW1232" s="12"/>
      <c r="AX1232" s="12"/>
      <c r="AY1232" s="44"/>
      <c r="AZ1232" s="45"/>
      <c r="BA1232" s="12"/>
      <c r="BB1232" s="12"/>
      <c r="BC1232" s="12"/>
      <c r="BD1232" s="12"/>
      <c r="BE1232" s="44"/>
      <c r="BF1232" s="45"/>
      <c r="BG1232" s="12"/>
      <c r="BH1232" s="12"/>
      <c r="BI1232" s="12"/>
      <c r="BJ1232" s="12"/>
      <c r="BK1232" s="44"/>
      <c r="BL1232" s="45"/>
      <c r="BM1232" s="12"/>
      <c r="BN1232" s="12"/>
      <c r="BO1232" s="12"/>
      <c r="BP1232" s="12"/>
      <c r="BQ1232" s="48"/>
      <c r="BR1232" s="49"/>
      <c r="BS1232" s="13"/>
      <c r="BT1232" s="12"/>
      <c r="BV1232" s="14"/>
      <c r="BW1232" s="50"/>
      <c r="BX1232" s="54"/>
      <c r="BY1232" s="14"/>
      <c r="BZ1232" s="14"/>
      <c r="CA1232" s="14"/>
      <c r="CB1232" s="14"/>
      <c r="CC1232" s="14"/>
      <c r="CD1232" s="14"/>
      <c r="CE1232" s="14"/>
      <c r="CF1232" s="15"/>
      <c r="CG1232" s="14"/>
      <c r="CH1232" s="14"/>
      <c r="CI1232" s="50"/>
      <c r="CJ1232" s="54"/>
      <c r="CK1232" s="14"/>
      <c r="CL1232" s="14"/>
      <c r="CM1232" s="14"/>
      <c r="CN1232" s="14"/>
      <c r="CO1232" s="14"/>
      <c r="CP1232" s="14"/>
      <c r="CQ1232" s="14"/>
      <c r="CR1232" s="14"/>
      <c r="CS1232" s="14"/>
      <c r="CT1232" s="14"/>
      <c r="CU1232" s="16"/>
      <c r="CV1232" s="14"/>
      <c r="CW1232" s="50"/>
      <c r="CX1232" s="17"/>
    </row>
    <row r="1233" spans="4:102" x14ac:dyDescent="0.25"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43"/>
      <c r="Q1233" s="11"/>
      <c r="R1233" s="11"/>
      <c r="S1233" s="11"/>
      <c r="T1233" s="11"/>
      <c r="U1233" s="11"/>
      <c r="V1233" s="11"/>
      <c r="W1233" s="11"/>
      <c r="X1233" s="12"/>
      <c r="Y1233" s="12"/>
      <c r="Z1233" s="12"/>
      <c r="AA1233" s="44"/>
      <c r="AB1233" s="45"/>
      <c r="AC1233" s="12"/>
      <c r="AD1233" s="12"/>
      <c r="AE1233" s="12"/>
      <c r="AF1233" s="12"/>
      <c r="AG1233" s="44"/>
      <c r="AH1233" s="45"/>
      <c r="AI1233" s="12"/>
      <c r="AJ1233" s="12"/>
      <c r="AK1233" s="12"/>
      <c r="AL1233" s="12"/>
      <c r="AM1233" s="44"/>
      <c r="AN1233" s="45"/>
      <c r="AO1233" s="12"/>
      <c r="AP1233" s="12"/>
      <c r="AQ1233" s="12"/>
      <c r="AR1233" s="12"/>
      <c r="AS1233" s="44"/>
      <c r="AT1233" s="45"/>
      <c r="AU1233" s="12"/>
      <c r="AV1233" s="12"/>
      <c r="AW1233" s="12"/>
      <c r="AX1233" s="12"/>
      <c r="AY1233" s="44"/>
      <c r="AZ1233" s="45"/>
      <c r="BA1233" s="12"/>
      <c r="BB1233" s="12"/>
      <c r="BC1233" s="12"/>
      <c r="BD1233" s="12"/>
      <c r="BE1233" s="44"/>
      <c r="BF1233" s="45"/>
      <c r="BG1233" s="12"/>
      <c r="BH1233" s="12"/>
      <c r="BI1233" s="12"/>
      <c r="BJ1233" s="12"/>
      <c r="BK1233" s="44"/>
      <c r="BL1233" s="45"/>
      <c r="BM1233" s="12"/>
      <c r="BN1233" s="12"/>
      <c r="BO1233" s="12"/>
      <c r="BP1233" s="12"/>
      <c r="BQ1233" s="48"/>
      <c r="BR1233" s="49"/>
      <c r="BS1233" s="13"/>
      <c r="BT1233" s="12"/>
      <c r="BV1233" s="14"/>
      <c r="BW1233" s="50"/>
      <c r="BX1233" s="54"/>
      <c r="BY1233" s="14"/>
      <c r="BZ1233" s="14"/>
      <c r="CA1233" s="14"/>
      <c r="CB1233" s="14"/>
      <c r="CC1233" s="14"/>
      <c r="CD1233" s="14"/>
      <c r="CE1233" s="14"/>
      <c r="CF1233" s="15"/>
      <c r="CG1233" s="14"/>
      <c r="CH1233" s="14"/>
      <c r="CI1233" s="50"/>
      <c r="CJ1233" s="54"/>
      <c r="CK1233" s="14"/>
      <c r="CL1233" s="14"/>
      <c r="CM1233" s="14"/>
      <c r="CN1233" s="14"/>
      <c r="CO1233" s="14"/>
      <c r="CP1233" s="14"/>
      <c r="CQ1233" s="14"/>
      <c r="CR1233" s="14"/>
      <c r="CS1233" s="14"/>
      <c r="CT1233" s="14"/>
      <c r="CU1233" s="16"/>
      <c r="CV1233" s="14"/>
      <c r="CW1233" s="50"/>
      <c r="CX1233" s="17"/>
    </row>
    <row r="1234" spans="4:102" x14ac:dyDescent="0.25"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43"/>
      <c r="Q1234" s="11"/>
      <c r="R1234" s="11"/>
      <c r="S1234" s="11"/>
      <c r="T1234" s="11"/>
      <c r="U1234" s="11"/>
      <c r="V1234" s="11"/>
      <c r="W1234" s="11"/>
      <c r="X1234" s="12"/>
      <c r="Y1234" s="12"/>
      <c r="Z1234" s="12"/>
      <c r="AA1234" s="44"/>
      <c r="AB1234" s="45"/>
      <c r="AC1234" s="12"/>
      <c r="AD1234" s="12"/>
      <c r="AE1234" s="12"/>
      <c r="AF1234" s="12"/>
      <c r="AG1234" s="44"/>
      <c r="AH1234" s="45"/>
      <c r="AI1234" s="12"/>
      <c r="AJ1234" s="12"/>
      <c r="AK1234" s="12"/>
      <c r="AL1234" s="12"/>
      <c r="AM1234" s="44"/>
      <c r="AN1234" s="45"/>
      <c r="AO1234" s="12"/>
      <c r="AP1234" s="12"/>
      <c r="AQ1234" s="12"/>
      <c r="AR1234" s="12"/>
      <c r="AS1234" s="44"/>
      <c r="AT1234" s="45"/>
      <c r="AU1234" s="12"/>
      <c r="AV1234" s="12"/>
      <c r="AW1234" s="12"/>
      <c r="AX1234" s="12"/>
      <c r="AY1234" s="44"/>
      <c r="AZ1234" s="45"/>
      <c r="BA1234" s="12"/>
      <c r="BB1234" s="12"/>
      <c r="BC1234" s="12"/>
      <c r="BD1234" s="12"/>
      <c r="BE1234" s="44"/>
      <c r="BF1234" s="45"/>
      <c r="BG1234" s="12"/>
      <c r="BH1234" s="12"/>
      <c r="BI1234" s="12"/>
      <c r="BJ1234" s="12"/>
      <c r="BK1234" s="44"/>
      <c r="BL1234" s="45"/>
      <c r="BM1234" s="12"/>
      <c r="BN1234" s="12"/>
      <c r="BO1234" s="12"/>
      <c r="BP1234" s="12"/>
      <c r="BQ1234" s="48"/>
      <c r="BR1234" s="49"/>
      <c r="BS1234" s="13"/>
      <c r="BT1234" s="12"/>
      <c r="BV1234" s="14"/>
      <c r="BW1234" s="50"/>
      <c r="BX1234" s="54"/>
      <c r="BY1234" s="14"/>
      <c r="BZ1234" s="14"/>
      <c r="CA1234" s="14"/>
      <c r="CB1234" s="14"/>
      <c r="CC1234" s="14"/>
      <c r="CD1234" s="14"/>
      <c r="CE1234" s="14"/>
      <c r="CF1234" s="15"/>
      <c r="CG1234" s="14"/>
      <c r="CH1234" s="14"/>
      <c r="CI1234" s="50"/>
      <c r="CJ1234" s="54"/>
      <c r="CK1234" s="14"/>
      <c r="CL1234" s="14"/>
      <c r="CM1234" s="14"/>
      <c r="CN1234" s="14"/>
      <c r="CO1234" s="14"/>
      <c r="CP1234" s="14"/>
      <c r="CQ1234" s="14"/>
      <c r="CR1234" s="14"/>
      <c r="CS1234" s="14"/>
      <c r="CT1234" s="14"/>
      <c r="CU1234" s="16"/>
      <c r="CV1234" s="14"/>
      <c r="CW1234" s="50"/>
      <c r="CX1234" s="17"/>
    </row>
    <row r="1235" spans="4:102" x14ac:dyDescent="0.25"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43"/>
      <c r="Q1235" s="11"/>
      <c r="R1235" s="11"/>
      <c r="S1235" s="11"/>
      <c r="T1235" s="11"/>
      <c r="U1235" s="11"/>
      <c r="V1235" s="11"/>
      <c r="W1235" s="11"/>
      <c r="X1235" s="12"/>
      <c r="Y1235" s="12"/>
      <c r="Z1235" s="12"/>
      <c r="AA1235" s="44"/>
      <c r="AB1235" s="45"/>
      <c r="AC1235" s="12"/>
      <c r="AD1235" s="12"/>
      <c r="AE1235" s="12"/>
      <c r="AF1235" s="12"/>
      <c r="AG1235" s="44"/>
      <c r="AH1235" s="45"/>
      <c r="AI1235" s="12"/>
      <c r="AJ1235" s="12"/>
      <c r="AK1235" s="12"/>
      <c r="AL1235" s="12"/>
      <c r="AM1235" s="44"/>
      <c r="AN1235" s="45"/>
      <c r="AO1235" s="12"/>
      <c r="AP1235" s="12"/>
      <c r="AQ1235" s="12"/>
      <c r="AR1235" s="12"/>
      <c r="AS1235" s="44"/>
      <c r="AT1235" s="45"/>
      <c r="AU1235" s="12"/>
      <c r="AV1235" s="12"/>
      <c r="AW1235" s="12"/>
      <c r="AX1235" s="12"/>
      <c r="AY1235" s="44"/>
      <c r="AZ1235" s="45"/>
      <c r="BA1235" s="12"/>
      <c r="BB1235" s="12"/>
      <c r="BC1235" s="12"/>
      <c r="BD1235" s="12"/>
      <c r="BE1235" s="44"/>
      <c r="BF1235" s="45"/>
      <c r="BG1235" s="12"/>
      <c r="BH1235" s="12"/>
      <c r="BI1235" s="12"/>
      <c r="BJ1235" s="12"/>
      <c r="BK1235" s="44"/>
      <c r="BL1235" s="45"/>
      <c r="BM1235" s="12"/>
      <c r="BN1235" s="12"/>
      <c r="BO1235" s="12"/>
      <c r="BP1235" s="12"/>
      <c r="BQ1235" s="48"/>
      <c r="BR1235" s="49"/>
      <c r="BS1235" s="13"/>
      <c r="BT1235" s="12"/>
      <c r="BV1235" s="14"/>
      <c r="BW1235" s="50"/>
      <c r="BX1235" s="54"/>
      <c r="BY1235" s="14"/>
      <c r="BZ1235" s="14"/>
      <c r="CA1235" s="14"/>
      <c r="CB1235" s="14"/>
      <c r="CC1235" s="14"/>
      <c r="CD1235" s="14"/>
      <c r="CE1235" s="14"/>
      <c r="CF1235" s="15"/>
      <c r="CG1235" s="14"/>
      <c r="CH1235" s="14"/>
      <c r="CI1235" s="50"/>
      <c r="CJ1235" s="54"/>
      <c r="CK1235" s="14"/>
      <c r="CL1235" s="14"/>
      <c r="CM1235" s="14"/>
      <c r="CN1235" s="14"/>
      <c r="CO1235" s="14"/>
      <c r="CP1235" s="14"/>
      <c r="CQ1235" s="14"/>
      <c r="CR1235" s="14"/>
      <c r="CS1235" s="14"/>
      <c r="CT1235" s="14"/>
      <c r="CU1235" s="16"/>
      <c r="CV1235" s="14"/>
      <c r="CW1235" s="50"/>
      <c r="CX1235" s="17"/>
    </row>
    <row r="1236" spans="4:102" x14ac:dyDescent="0.25"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43"/>
      <c r="Q1236" s="11"/>
      <c r="R1236" s="11"/>
      <c r="S1236" s="11"/>
      <c r="T1236" s="11"/>
      <c r="U1236" s="11"/>
      <c r="V1236" s="11"/>
      <c r="W1236" s="11"/>
      <c r="X1236" s="12"/>
      <c r="Y1236" s="12"/>
      <c r="Z1236" s="12"/>
      <c r="AA1236" s="44"/>
      <c r="AB1236" s="45"/>
      <c r="AC1236" s="12"/>
      <c r="AD1236" s="12"/>
      <c r="AE1236" s="12"/>
      <c r="AF1236" s="12"/>
      <c r="AG1236" s="44"/>
      <c r="AH1236" s="45"/>
      <c r="AI1236" s="12"/>
      <c r="AJ1236" s="12"/>
      <c r="AK1236" s="12"/>
      <c r="AL1236" s="12"/>
      <c r="AM1236" s="44"/>
      <c r="AN1236" s="45"/>
      <c r="AO1236" s="12"/>
      <c r="AP1236" s="12"/>
      <c r="AQ1236" s="12"/>
      <c r="AR1236" s="12"/>
      <c r="AS1236" s="44"/>
      <c r="AT1236" s="45"/>
      <c r="AU1236" s="12"/>
      <c r="AV1236" s="12"/>
      <c r="AW1236" s="12"/>
      <c r="AX1236" s="12"/>
      <c r="AY1236" s="44"/>
      <c r="AZ1236" s="45"/>
      <c r="BA1236" s="12"/>
      <c r="BB1236" s="12"/>
      <c r="BC1236" s="12"/>
      <c r="BD1236" s="12"/>
      <c r="BE1236" s="44"/>
      <c r="BF1236" s="45"/>
      <c r="BG1236" s="12"/>
      <c r="BH1236" s="12"/>
      <c r="BI1236" s="12"/>
      <c r="BJ1236" s="12"/>
      <c r="BK1236" s="44"/>
      <c r="BL1236" s="45"/>
      <c r="BM1236" s="12"/>
      <c r="BN1236" s="12"/>
      <c r="BO1236" s="12"/>
      <c r="BP1236" s="12"/>
      <c r="BQ1236" s="48"/>
      <c r="BR1236" s="49"/>
      <c r="BS1236" s="13"/>
      <c r="BT1236" s="12"/>
      <c r="BV1236" s="14"/>
      <c r="BW1236" s="50"/>
      <c r="BX1236" s="54"/>
      <c r="BY1236" s="14"/>
      <c r="BZ1236" s="14"/>
      <c r="CA1236" s="14"/>
      <c r="CB1236" s="14"/>
      <c r="CC1236" s="14"/>
      <c r="CD1236" s="14"/>
      <c r="CE1236" s="14"/>
      <c r="CF1236" s="15"/>
      <c r="CG1236" s="14"/>
      <c r="CH1236" s="14"/>
      <c r="CI1236" s="50"/>
      <c r="CJ1236" s="54"/>
      <c r="CK1236" s="14"/>
      <c r="CL1236" s="14"/>
      <c r="CM1236" s="14"/>
      <c r="CN1236" s="14"/>
      <c r="CO1236" s="14"/>
      <c r="CP1236" s="14"/>
      <c r="CQ1236" s="14"/>
      <c r="CR1236" s="14"/>
      <c r="CS1236" s="14"/>
      <c r="CT1236" s="14"/>
      <c r="CU1236" s="16"/>
      <c r="CV1236" s="14"/>
      <c r="CW1236" s="50"/>
      <c r="CX1236" s="17"/>
    </row>
    <row r="1237" spans="4:102" x14ac:dyDescent="0.25"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43"/>
      <c r="Q1237" s="11"/>
      <c r="R1237" s="11"/>
      <c r="S1237" s="11"/>
      <c r="T1237" s="11"/>
      <c r="U1237" s="11"/>
      <c r="V1237" s="11"/>
      <c r="W1237" s="11"/>
      <c r="X1237" s="12"/>
      <c r="Y1237" s="12"/>
      <c r="Z1237" s="12"/>
      <c r="AA1237" s="44"/>
      <c r="AB1237" s="45"/>
      <c r="AC1237" s="12"/>
      <c r="AD1237" s="12"/>
      <c r="AE1237" s="12"/>
      <c r="AF1237" s="12"/>
      <c r="AG1237" s="44"/>
      <c r="AH1237" s="45"/>
      <c r="AI1237" s="12"/>
      <c r="AJ1237" s="12"/>
      <c r="AK1237" s="12"/>
      <c r="AL1237" s="12"/>
      <c r="AM1237" s="44"/>
      <c r="AN1237" s="45"/>
      <c r="AO1237" s="12"/>
      <c r="AP1237" s="12"/>
      <c r="AQ1237" s="12"/>
      <c r="AR1237" s="12"/>
      <c r="AS1237" s="44"/>
      <c r="AT1237" s="45"/>
      <c r="AU1237" s="12"/>
      <c r="AV1237" s="12"/>
      <c r="AW1237" s="12"/>
      <c r="AX1237" s="12"/>
      <c r="AY1237" s="44"/>
      <c r="AZ1237" s="45"/>
      <c r="BA1237" s="12"/>
      <c r="BB1237" s="12"/>
      <c r="BC1237" s="12"/>
      <c r="BD1237" s="12"/>
      <c r="BE1237" s="44"/>
      <c r="BF1237" s="45"/>
      <c r="BG1237" s="12"/>
      <c r="BH1237" s="12"/>
      <c r="BI1237" s="12"/>
      <c r="BJ1237" s="12"/>
      <c r="BK1237" s="44"/>
      <c r="BL1237" s="45"/>
      <c r="BM1237" s="12"/>
      <c r="BN1237" s="12"/>
      <c r="BO1237" s="12"/>
      <c r="BP1237" s="12"/>
      <c r="BQ1237" s="48"/>
      <c r="BR1237" s="49"/>
      <c r="BS1237" s="13"/>
      <c r="BT1237" s="12"/>
      <c r="BV1237" s="14"/>
      <c r="BW1237" s="50"/>
      <c r="BX1237" s="54"/>
      <c r="BY1237" s="14"/>
      <c r="BZ1237" s="14"/>
      <c r="CA1237" s="14"/>
      <c r="CB1237" s="14"/>
      <c r="CC1237" s="14"/>
      <c r="CD1237" s="14"/>
      <c r="CE1237" s="14"/>
      <c r="CF1237" s="15"/>
      <c r="CG1237" s="14"/>
      <c r="CH1237" s="14"/>
      <c r="CI1237" s="50"/>
      <c r="CJ1237" s="54"/>
      <c r="CK1237" s="14"/>
      <c r="CL1237" s="14"/>
      <c r="CM1237" s="14"/>
      <c r="CN1237" s="14"/>
      <c r="CO1237" s="14"/>
      <c r="CP1237" s="14"/>
      <c r="CQ1237" s="14"/>
      <c r="CR1237" s="14"/>
      <c r="CS1237" s="14"/>
      <c r="CT1237" s="14"/>
      <c r="CU1237" s="16"/>
      <c r="CV1237" s="14"/>
      <c r="CW1237" s="50"/>
      <c r="CX1237" s="17"/>
    </row>
    <row r="1238" spans="4:102" x14ac:dyDescent="0.25"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43"/>
      <c r="Q1238" s="11"/>
      <c r="R1238" s="11"/>
      <c r="S1238" s="11"/>
      <c r="T1238" s="11"/>
      <c r="U1238" s="11"/>
      <c r="V1238" s="11"/>
      <c r="W1238" s="11"/>
      <c r="X1238" s="12"/>
      <c r="Y1238" s="12"/>
      <c r="Z1238" s="12"/>
      <c r="AA1238" s="44"/>
      <c r="AB1238" s="45"/>
      <c r="AC1238" s="12"/>
      <c r="AD1238" s="12"/>
      <c r="AE1238" s="12"/>
      <c r="AF1238" s="12"/>
      <c r="AG1238" s="44"/>
      <c r="AH1238" s="45"/>
      <c r="AI1238" s="12"/>
      <c r="AJ1238" s="12"/>
      <c r="AK1238" s="12"/>
      <c r="AL1238" s="12"/>
      <c r="AM1238" s="44"/>
      <c r="AN1238" s="45"/>
      <c r="AO1238" s="12"/>
      <c r="AP1238" s="12"/>
      <c r="AQ1238" s="12"/>
      <c r="AR1238" s="12"/>
      <c r="AS1238" s="44"/>
      <c r="AT1238" s="45"/>
      <c r="AU1238" s="12"/>
      <c r="AV1238" s="12"/>
      <c r="AW1238" s="12"/>
      <c r="AX1238" s="12"/>
      <c r="AY1238" s="44"/>
      <c r="AZ1238" s="45"/>
      <c r="BA1238" s="12"/>
      <c r="BB1238" s="12"/>
      <c r="BC1238" s="12"/>
      <c r="BD1238" s="12"/>
      <c r="BE1238" s="44"/>
      <c r="BF1238" s="45"/>
      <c r="BG1238" s="12"/>
      <c r="BH1238" s="12"/>
      <c r="BI1238" s="12"/>
      <c r="BJ1238" s="12"/>
      <c r="BK1238" s="44"/>
      <c r="BL1238" s="45"/>
      <c r="BM1238" s="12"/>
      <c r="BN1238" s="12"/>
      <c r="BO1238" s="12"/>
      <c r="BP1238" s="12"/>
      <c r="BQ1238" s="48"/>
      <c r="BR1238" s="49"/>
      <c r="BS1238" s="13"/>
      <c r="BT1238" s="12"/>
      <c r="BV1238" s="14"/>
      <c r="BW1238" s="50"/>
      <c r="BX1238" s="54"/>
      <c r="BY1238" s="14"/>
      <c r="BZ1238" s="14"/>
      <c r="CA1238" s="14"/>
      <c r="CB1238" s="14"/>
      <c r="CC1238" s="14"/>
      <c r="CD1238" s="14"/>
      <c r="CE1238" s="14"/>
      <c r="CF1238" s="15"/>
      <c r="CG1238" s="14"/>
      <c r="CH1238" s="14"/>
      <c r="CI1238" s="50"/>
      <c r="CJ1238" s="54"/>
      <c r="CK1238" s="14"/>
      <c r="CL1238" s="14"/>
      <c r="CM1238" s="14"/>
      <c r="CN1238" s="14"/>
      <c r="CO1238" s="14"/>
      <c r="CP1238" s="14"/>
      <c r="CQ1238" s="14"/>
      <c r="CR1238" s="14"/>
      <c r="CS1238" s="14"/>
      <c r="CT1238" s="14"/>
      <c r="CU1238" s="16"/>
      <c r="CV1238" s="14"/>
      <c r="CW1238" s="50"/>
      <c r="CX1238" s="17"/>
    </row>
    <row r="1239" spans="4:102" x14ac:dyDescent="0.25"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43"/>
      <c r="Q1239" s="11"/>
      <c r="R1239" s="11"/>
      <c r="S1239" s="11"/>
      <c r="T1239" s="11"/>
      <c r="U1239" s="11"/>
      <c r="V1239" s="11"/>
      <c r="W1239" s="11"/>
      <c r="X1239" s="12"/>
      <c r="Y1239" s="12"/>
      <c r="Z1239" s="12"/>
      <c r="AA1239" s="44"/>
      <c r="AB1239" s="45"/>
      <c r="AC1239" s="12"/>
      <c r="AD1239" s="12"/>
      <c r="AE1239" s="12"/>
      <c r="AF1239" s="12"/>
      <c r="AG1239" s="44"/>
      <c r="AH1239" s="45"/>
      <c r="AI1239" s="12"/>
      <c r="AJ1239" s="12"/>
      <c r="AK1239" s="12"/>
      <c r="AL1239" s="12"/>
      <c r="AM1239" s="44"/>
      <c r="AN1239" s="45"/>
      <c r="AO1239" s="12"/>
      <c r="AP1239" s="12"/>
      <c r="AQ1239" s="12"/>
      <c r="AR1239" s="12"/>
      <c r="AS1239" s="44"/>
      <c r="AT1239" s="45"/>
      <c r="AU1239" s="12"/>
      <c r="AV1239" s="12"/>
      <c r="AW1239" s="12"/>
      <c r="AX1239" s="12"/>
      <c r="AY1239" s="44"/>
      <c r="AZ1239" s="45"/>
      <c r="BA1239" s="12"/>
      <c r="BB1239" s="12"/>
      <c r="BC1239" s="12"/>
      <c r="BD1239" s="12"/>
      <c r="BE1239" s="44"/>
      <c r="BF1239" s="45"/>
      <c r="BG1239" s="12"/>
      <c r="BH1239" s="12"/>
      <c r="BI1239" s="12"/>
      <c r="BJ1239" s="12"/>
      <c r="BK1239" s="44"/>
      <c r="BL1239" s="45"/>
      <c r="BM1239" s="12"/>
      <c r="BN1239" s="12"/>
      <c r="BO1239" s="12"/>
      <c r="BP1239" s="12"/>
      <c r="BQ1239" s="48"/>
      <c r="BR1239" s="49"/>
      <c r="BS1239" s="13"/>
      <c r="BT1239" s="12"/>
      <c r="BV1239" s="14"/>
      <c r="BW1239" s="50"/>
      <c r="BX1239" s="54"/>
      <c r="BY1239" s="14"/>
      <c r="BZ1239" s="14"/>
      <c r="CA1239" s="14"/>
      <c r="CB1239" s="14"/>
      <c r="CC1239" s="14"/>
      <c r="CD1239" s="14"/>
      <c r="CE1239" s="14"/>
      <c r="CF1239" s="15"/>
      <c r="CG1239" s="14"/>
      <c r="CH1239" s="14"/>
      <c r="CI1239" s="50"/>
      <c r="CJ1239" s="54"/>
      <c r="CK1239" s="14"/>
      <c r="CL1239" s="14"/>
      <c r="CM1239" s="14"/>
      <c r="CN1239" s="14"/>
      <c r="CO1239" s="14"/>
      <c r="CP1239" s="14"/>
      <c r="CQ1239" s="14"/>
      <c r="CR1239" s="14"/>
      <c r="CS1239" s="14"/>
      <c r="CT1239" s="14"/>
      <c r="CU1239" s="16"/>
      <c r="CV1239" s="14"/>
      <c r="CW1239" s="50"/>
      <c r="CX1239" s="17"/>
    </row>
    <row r="1240" spans="4:102" x14ac:dyDescent="0.25"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43"/>
      <c r="Q1240" s="11"/>
      <c r="R1240" s="11"/>
      <c r="S1240" s="11"/>
      <c r="T1240" s="11"/>
      <c r="U1240" s="11"/>
      <c r="V1240" s="11"/>
      <c r="W1240" s="11"/>
      <c r="X1240" s="12"/>
      <c r="Y1240" s="12"/>
      <c r="Z1240" s="12"/>
      <c r="AA1240" s="44"/>
      <c r="AB1240" s="45"/>
      <c r="AC1240" s="12"/>
      <c r="AD1240" s="12"/>
      <c r="AE1240" s="12"/>
      <c r="AF1240" s="12"/>
      <c r="AG1240" s="44"/>
      <c r="AH1240" s="45"/>
      <c r="AI1240" s="12"/>
      <c r="AJ1240" s="12"/>
      <c r="AK1240" s="12"/>
      <c r="AL1240" s="12"/>
      <c r="AM1240" s="44"/>
      <c r="AN1240" s="45"/>
      <c r="AO1240" s="12"/>
      <c r="AP1240" s="12"/>
      <c r="AQ1240" s="12"/>
      <c r="AR1240" s="12"/>
      <c r="AS1240" s="44"/>
      <c r="AT1240" s="45"/>
      <c r="AU1240" s="12"/>
      <c r="AV1240" s="12"/>
      <c r="AW1240" s="12"/>
      <c r="AX1240" s="12"/>
      <c r="AY1240" s="44"/>
      <c r="AZ1240" s="45"/>
      <c r="BA1240" s="12"/>
      <c r="BB1240" s="12"/>
      <c r="BC1240" s="12"/>
      <c r="BD1240" s="12"/>
      <c r="BE1240" s="44"/>
      <c r="BF1240" s="45"/>
      <c r="BG1240" s="12"/>
      <c r="BH1240" s="12"/>
      <c r="BI1240" s="12"/>
      <c r="BJ1240" s="12"/>
      <c r="BK1240" s="44"/>
      <c r="BL1240" s="45"/>
      <c r="BM1240" s="12"/>
      <c r="BN1240" s="12"/>
      <c r="BO1240" s="12"/>
      <c r="BP1240" s="12"/>
      <c r="BQ1240" s="48"/>
      <c r="BR1240" s="49"/>
      <c r="BS1240" s="13"/>
      <c r="BT1240" s="12"/>
      <c r="BV1240" s="14"/>
      <c r="BW1240" s="50"/>
      <c r="BX1240" s="54"/>
      <c r="BY1240" s="14"/>
      <c r="BZ1240" s="14"/>
      <c r="CA1240" s="14"/>
      <c r="CB1240" s="14"/>
      <c r="CC1240" s="14"/>
      <c r="CD1240" s="14"/>
      <c r="CE1240" s="14"/>
      <c r="CF1240" s="15"/>
      <c r="CG1240" s="14"/>
      <c r="CH1240" s="14"/>
      <c r="CI1240" s="50"/>
      <c r="CJ1240" s="54"/>
      <c r="CK1240" s="14"/>
      <c r="CL1240" s="14"/>
      <c r="CM1240" s="14"/>
      <c r="CN1240" s="14"/>
      <c r="CO1240" s="14"/>
      <c r="CP1240" s="14"/>
      <c r="CQ1240" s="14"/>
      <c r="CR1240" s="14"/>
      <c r="CS1240" s="14"/>
      <c r="CT1240" s="14"/>
      <c r="CU1240" s="16"/>
      <c r="CV1240" s="14"/>
      <c r="CW1240" s="50"/>
      <c r="CX1240" s="17"/>
    </row>
    <row r="1241" spans="4:102" x14ac:dyDescent="0.25"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43"/>
      <c r="Q1241" s="11"/>
      <c r="R1241" s="11"/>
      <c r="S1241" s="11"/>
      <c r="T1241" s="11"/>
      <c r="U1241" s="11"/>
      <c r="V1241" s="11"/>
      <c r="W1241" s="11"/>
      <c r="X1241" s="12"/>
      <c r="Y1241" s="12"/>
      <c r="Z1241" s="12"/>
      <c r="AA1241" s="44"/>
      <c r="AB1241" s="45"/>
      <c r="AC1241" s="12"/>
      <c r="AD1241" s="12"/>
      <c r="AE1241" s="12"/>
      <c r="AF1241" s="12"/>
      <c r="AG1241" s="44"/>
      <c r="AH1241" s="45"/>
      <c r="AI1241" s="12"/>
      <c r="AJ1241" s="12"/>
      <c r="AK1241" s="12"/>
      <c r="AL1241" s="12"/>
      <c r="AM1241" s="44"/>
      <c r="AN1241" s="45"/>
      <c r="AO1241" s="12"/>
      <c r="AP1241" s="12"/>
      <c r="AQ1241" s="12"/>
      <c r="AR1241" s="12"/>
      <c r="AS1241" s="44"/>
      <c r="AT1241" s="45"/>
      <c r="AU1241" s="12"/>
      <c r="AV1241" s="12"/>
      <c r="AW1241" s="12"/>
      <c r="AX1241" s="12"/>
      <c r="AY1241" s="44"/>
      <c r="AZ1241" s="45"/>
      <c r="BA1241" s="12"/>
      <c r="BB1241" s="12"/>
      <c r="BC1241" s="12"/>
      <c r="BD1241" s="12"/>
      <c r="BE1241" s="44"/>
      <c r="BF1241" s="45"/>
      <c r="BG1241" s="12"/>
      <c r="BH1241" s="12"/>
      <c r="BI1241" s="12"/>
      <c r="BJ1241" s="12"/>
      <c r="BK1241" s="44"/>
      <c r="BL1241" s="45"/>
      <c r="BM1241" s="12"/>
      <c r="BN1241" s="12"/>
      <c r="BO1241" s="12"/>
      <c r="BP1241" s="12"/>
      <c r="BQ1241" s="48"/>
      <c r="BR1241" s="49"/>
      <c r="BS1241" s="13"/>
      <c r="BT1241" s="12"/>
      <c r="BV1241" s="14"/>
      <c r="BW1241" s="50"/>
      <c r="BX1241" s="54"/>
      <c r="BY1241" s="14"/>
      <c r="BZ1241" s="14"/>
      <c r="CA1241" s="14"/>
      <c r="CB1241" s="14"/>
      <c r="CC1241" s="14"/>
      <c r="CD1241" s="14"/>
      <c r="CE1241" s="14"/>
      <c r="CF1241" s="15"/>
      <c r="CG1241" s="14"/>
      <c r="CH1241" s="14"/>
      <c r="CI1241" s="50"/>
      <c r="CJ1241" s="54"/>
      <c r="CK1241" s="14"/>
      <c r="CL1241" s="14"/>
      <c r="CM1241" s="14"/>
      <c r="CN1241" s="14"/>
      <c r="CO1241" s="14"/>
      <c r="CP1241" s="14"/>
      <c r="CQ1241" s="14"/>
      <c r="CR1241" s="14"/>
      <c r="CS1241" s="14"/>
      <c r="CT1241" s="14"/>
      <c r="CU1241" s="16"/>
      <c r="CV1241" s="14"/>
      <c r="CW1241" s="50"/>
      <c r="CX1241" s="17"/>
    </row>
    <row r="1242" spans="4:102" x14ac:dyDescent="0.25"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43"/>
      <c r="Q1242" s="11"/>
      <c r="R1242" s="11"/>
      <c r="S1242" s="11"/>
      <c r="T1242" s="11"/>
      <c r="U1242" s="11"/>
      <c r="V1242" s="11"/>
      <c r="W1242" s="11"/>
      <c r="X1242" s="12"/>
      <c r="Y1242" s="12"/>
      <c r="Z1242" s="12"/>
      <c r="AA1242" s="44"/>
      <c r="AB1242" s="45"/>
      <c r="AC1242" s="12"/>
      <c r="AD1242" s="12"/>
      <c r="AE1242" s="12"/>
      <c r="AF1242" s="12"/>
      <c r="AG1242" s="44"/>
      <c r="AH1242" s="45"/>
      <c r="AI1242" s="12"/>
      <c r="AJ1242" s="12"/>
      <c r="AK1242" s="12"/>
      <c r="AL1242" s="12"/>
      <c r="AM1242" s="44"/>
      <c r="AN1242" s="45"/>
      <c r="AO1242" s="12"/>
      <c r="AP1242" s="12"/>
      <c r="AQ1242" s="12"/>
      <c r="AR1242" s="12"/>
      <c r="AS1242" s="44"/>
      <c r="AT1242" s="45"/>
      <c r="AU1242" s="12"/>
      <c r="AV1242" s="12"/>
      <c r="AW1242" s="12"/>
      <c r="AX1242" s="12"/>
      <c r="AY1242" s="44"/>
      <c r="AZ1242" s="45"/>
      <c r="BA1242" s="12"/>
      <c r="BB1242" s="12"/>
      <c r="BC1242" s="12"/>
      <c r="BD1242" s="12"/>
      <c r="BE1242" s="44"/>
      <c r="BF1242" s="45"/>
      <c r="BG1242" s="12"/>
      <c r="BH1242" s="12"/>
      <c r="BI1242" s="12"/>
      <c r="BJ1242" s="12"/>
      <c r="BK1242" s="44"/>
      <c r="BL1242" s="45"/>
      <c r="BM1242" s="12"/>
      <c r="BN1242" s="12"/>
      <c r="BO1242" s="12"/>
      <c r="BP1242" s="12"/>
      <c r="BQ1242" s="48"/>
      <c r="BR1242" s="49"/>
      <c r="BS1242" s="13"/>
      <c r="BT1242" s="12"/>
      <c r="BV1242" s="14"/>
      <c r="BW1242" s="50"/>
      <c r="BX1242" s="54"/>
      <c r="BY1242" s="14"/>
      <c r="BZ1242" s="14"/>
      <c r="CA1242" s="14"/>
      <c r="CB1242" s="14"/>
      <c r="CC1242" s="14"/>
      <c r="CD1242" s="14"/>
      <c r="CE1242" s="14"/>
      <c r="CF1242" s="15"/>
      <c r="CG1242" s="14"/>
      <c r="CH1242" s="14"/>
      <c r="CI1242" s="50"/>
      <c r="CJ1242" s="54"/>
      <c r="CK1242" s="14"/>
      <c r="CL1242" s="14"/>
      <c r="CM1242" s="14"/>
      <c r="CN1242" s="14"/>
      <c r="CO1242" s="14"/>
      <c r="CP1242" s="14"/>
      <c r="CQ1242" s="14"/>
      <c r="CR1242" s="14"/>
      <c r="CS1242" s="14"/>
      <c r="CT1242" s="14"/>
      <c r="CU1242" s="16"/>
      <c r="CV1242" s="14"/>
      <c r="CW1242" s="50"/>
      <c r="CX1242" s="17"/>
    </row>
    <row r="1243" spans="4:102" x14ac:dyDescent="0.25"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43"/>
      <c r="Q1243" s="11"/>
      <c r="R1243" s="11"/>
      <c r="S1243" s="11"/>
      <c r="T1243" s="11"/>
      <c r="U1243" s="11"/>
      <c r="V1243" s="11"/>
      <c r="W1243" s="11"/>
      <c r="X1243" s="12"/>
      <c r="Y1243" s="12"/>
      <c r="Z1243" s="12"/>
      <c r="AA1243" s="44"/>
      <c r="AB1243" s="45"/>
      <c r="AC1243" s="12"/>
      <c r="AD1243" s="12"/>
      <c r="AE1243" s="12"/>
      <c r="AF1243" s="12"/>
      <c r="AG1243" s="44"/>
      <c r="AH1243" s="45"/>
      <c r="AI1243" s="12"/>
      <c r="AJ1243" s="12"/>
      <c r="AK1243" s="12"/>
      <c r="AL1243" s="12"/>
      <c r="AM1243" s="44"/>
      <c r="AN1243" s="45"/>
      <c r="AO1243" s="12"/>
      <c r="AP1243" s="12"/>
      <c r="AQ1243" s="12"/>
      <c r="AR1243" s="12"/>
      <c r="AS1243" s="44"/>
      <c r="AT1243" s="45"/>
      <c r="AU1243" s="12"/>
      <c r="AV1243" s="12"/>
      <c r="AW1243" s="12"/>
      <c r="AX1243" s="12"/>
      <c r="AY1243" s="44"/>
      <c r="AZ1243" s="45"/>
      <c r="BA1243" s="12"/>
      <c r="BB1243" s="12"/>
      <c r="BC1243" s="12"/>
      <c r="BD1243" s="12"/>
      <c r="BE1243" s="44"/>
      <c r="BF1243" s="45"/>
      <c r="BG1243" s="12"/>
      <c r="BH1243" s="12"/>
      <c r="BI1243" s="12"/>
      <c r="BJ1243" s="12"/>
      <c r="BK1243" s="44"/>
      <c r="BL1243" s="45"/>
      <c r="BM1243" s="12"/>
      <c r="BN1243" s="12"/>
      <c r="BO1243" s="12"/>
      <c r="BP1243" s="12"/>
      <c r="BQ1243" s="48"/>
      <c r="BR1243" s="49"/>
      <c r="BS1243" s="13"/>
      <c r="BT1243" s="12"/>
      <c r="BV1243" s="14"/>
      <c r="BW1243" s="50"/>
      <c r="BX1243" s="54"/>
      <c r="BY1243" s="14"/>
      <c r="BZ1243" s="14"/>
      <c r="CA1243" s="14"/>
      <c r="CB1243" s="14"/>
      <c r="CC1243" s="14"/>
      <c r="CD1243" s="14"/>
      <c r="CE1243" s="14"/>
      <c r="CF1243" s="15"/>
      <c r="CG1243" s="14"/>
      <c r="CH1243" s="14"/>
      <c r="CI1243" s="50"/>
      <c r="CJ1243" s="54"/>
      <c r="CK1243" s="14"/>
      <c r="CL1243" s="14"/>
      <c r="CM1243" s="14"/>
      <c r="CN1243" s="14"/>
      <c r="CO1243" s="14"/>
      <c r="CP1243" s="14"/>
      <c r="CQ1243" s="14"/>
      <c r="CR1243" s="14"/>
      <c r="CS1243" s="14"/>
      <c r="CT1243" s="14"/>
      <c r="CU1243" s="16"/>
      <c r="CV1243" s="14"/>
      <c r="CW1243" s="50"/>
      <c r="CX1243" s="17"/>
    </row>
    <row r="1244" spans="4:102" x14ac:dyDescent="0.25"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43"/>
      <c r="Q1244" s="11"/>
      <c r="R1244" s="11"/>
      <c r="S1244" s="11"/>
      <c r="T1244" s="11"/>
      <c r="U1244" s="11"/>
      <c r="V1244" s="11"/>
      <c r="W1244" s="11"/>
      <c r="X1244" s="12"/>
      <c r="Y1244" s="12"/>
      <c r="Z1244" s="12"/>
      <c r="AA1244" s="44"/>
      <c r="AB1244" s="45"/>
      <c r="AC1244" s="12"/>
      <c r="AD1244" s="12"/>
      <c r="AE1244" s="12"/>
      <c r="AF1244" s="12"/>
      <c r="AG1244" s="44"/>
      <c r="AH1244" s="45"/>
      <c r="AI1244" s="12"/>
      <c r="AJ1244" s="12"/>
      <c r="AK1244" s="12"/>
      <c r="AL1244" s="12"/>
      <c r="AM1244" s="44"/>
      <c r="AN1244" s="45"/>
      <c r="AO1244" s="12"/>
      <c r="AP1244" s="12"/>
      <c r="AQ1244" s="12"/>
      <c r="AR1244" s="12"/>
      <c r="AS1244" s="44"/>
      <c r="AT1244" s="45"/>
      <c r="AU1244" s="12"/>
      <c r="AV1244" s="12"/>
      <c r="AW1244" s="12"/>
      <c r="AX1244" s="12"/>
      <c r="AY1244" s="44"/>
      <c r="AZ1244" s="45"/>
      <c r="BA1244" s="12"/>
      <c r="BB1244" s="12"/>
      <c r="BC1244" s="12"/>
      <c r="BD1244" s="12"/>
      <c r="BE1244" s="44"/>
      <c r="BF1244" s="45"/>
      <c r="BG1244" s="12"/>
      <c r="BH1244" s="12"/>
      <c r="BI1244" s="12"/>
      <c r="BJ1244" s="12"/>
      <c r="BK1244" s="44"/>
      <c r="BL1244" s="45"/>
      <c r="BM1244" s="12"/>
      <c r="BN1244" s="12"/>
      <c r="BO1244" s="12"/>
      <c r="BP1244" s="12"/>
      <c r="BQ1244" s="48"/>
      <c r="BR1244" s="49"/>
      <c r="BS1244" s="13"/>
      <c r="BT1244" s="12"/>
      <c r="BV1244" s="14"/>
      <c r="BW1244" s="50"/>
      <c r="BX1244" s="54"/>
      <c r="BY1244" s="14"/>
      <c r="BZ1244" s="14"/>
      <c r="CA1244" s="14"/>
      <c r="CB1244" s="14"/>
      <c r="CC1244" s="14"/>
      <c r="CD1244" s="14"/>
      <c r="CE1244" s="14"/>
      <c r="CF1244" s="15"/>
      <c r="CG1244" s="14"/>
      <c r="CH1244" s="14"/>
      <c r="CI1244" s="50"/>
      <c r="CJ1244" s="54"/>
      <c r="CK1244" s="14"/>
      <c r="CL1244" s="14"/>
      <c r="CM1244" s="14"/>
      <c r="CN1244" s="14"/>
      <c r="CO1244" s="14"/>
      <c r="CP1244" s="14"/>
      <c r="CQ1244" s="14"/>
      <c r="CR1244" s="14"/>
      <c r="CS1244" s="14"/>
      <c r="CT1244" s="14"/>
      <c r="CU1244" s="16"/>
      <c r="CV1244" s="14"/>
      <c r="CW1244" s="50"/>
      <c r="CX1244" s="17"/>
    </row>
    <row r="1245" spans="4:102" x14ac:dyDescent="0.25"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43"/>
      <c r="Q1245" s="11"/>
      <c r="R1245" s="11"/>
      <c r="S1245" s="11"/>
      <c r="T1245" s="11"/>
      <c r="U1245" s="11"/>
      <c r="V1245" s="11"/>
      <c r="W1245" s="11"/>
      <c r="X1245" s="12"/>
      <c r="Y1245" s="12"/>
      <c r="Z1245" s="12"/>
      <c r="AA1245" s="44"/>
      <c r="AB1245" s="45"/>
      <c r="AC1245" s="12"/>
      <c r="AD1245" s="12"/>
      <c r="AE1245" s="12"/>
      <c r="AF1245" s="12"/>
      <c r="AG1245" s="44"/>
      <c r="AH1245" s="45"/>
      <c r="AI1245" s="12"/>
      <c r="AJ1245" s="12"/>
      <c r="AK1245" s="12"/>
      <c r="AL1245" s="12"/>
      <c r="AM1245" s="44"/>
      <c r="AN1245" s="45"/>
      <c r="AO1245" s="12"/>
      <c r="AP1245" s="12"/>
      <c r="AQ1245" s="12"/>
      <c r="AR1245" s="12"/>
      <c r="AS1245" s="44"/>
      <c r="AT1245" s="45"/>
      <c r="AU1245" s="12"/>
      <c r="AV1245" s="12"/>
      <c r="AW1245" s="12"/>
      <c r="AX1245" s="12"/>
      <c r="AY1245" s="44"/>
      <c r="AZ1245" s="45"/>
      <c r="BA1245" s="12"/>
      <c r="BB1245" s="12"/>
      <c r="BC1245" s="12"/>
      <c r="BD1245" s="12"/>
      <c r="BE1245" s="44"/>
      <c r="BF1245" s="45"/>
      <c r="BG1245" s="12"/>
      <c r="BH1245" s="12"/>
      <c r="BI1245" s="12"/>
      <c r="BJ1245" s="12"/>
      <c r="BK1245" s="44"/>
      <c r="BL1245" s="45"/>
      <c r="BM1245" s="12"/>
      <c r="BN1245" s="12"/>
      <c r="BO1245" s="12"/>
      <c r="BP1245" s="12"/>
      <c r="BQ1245" s="48"/>
      <c r="BR1245" s="49"/>
      <c r="BS1245" s="13"/>
      <c r="BT1245" s="12"/>
      <c r="BV1245" s="14"/>
      <c r="BW1245" s="50"/>
      <c r="BX1245" s="54"/>
      <c r="BY1245" s="14"/>
      <c r="BZ1245" s="14"/>
      <c r="CA1245" s="14"/>
      <c r="CB1245" s="14"/>
      <c r="CC1245" s="14"/>
      <c r="CD1245" s="14"/>
      <c r="CE1245" s="14"/>
      <c r="CF1245" s="15"/>
      <c r="CG1245" s="14"/>
      <c r="CH1245" s="14"/>
      <c r="CI1245" s="50"/>
      <c r="CJ1245" s="54"/>
      <c r="CK1245" s="14"/>
      <c r="CL1245" s="14"/>
      <c r="CM1245" s="14"/>
      <c r="CN1245" s="14"/>
      <c r="CO1245" s="14"/>
      <c r="CP1245" s="14"/>
      <c r="CQ1245" s="14"/>
      <c r="CR1245" s="14"/>
      <c r="CS1245" s="14"/>
      <c r="CT1245" s="14"/>
      <c r="CU1245" s="16"/>
      <c r="CV1245" s="14"/>
      <c r="CW1245" s="50"/>
      <c r="CX1245" s="17"/>
    </row>
    <row r="1246" spans="4:102" x14ac:dyDescent="0.25"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43"/>
      <c r="Q1246" s="11"/>
      <c r="R1246" s="11"/>
      <c r="S1246" s="11"/>
      <c r="T1246" s="11"/>
      <c r="U1246" s="11"/>
      <c r="V1246" s="11"/>
      <c r="W1246" s="11"/>
      <c r="X1246" s="12"/>
      <c r="Y1246" s="12"/>
      <c r="Z1246" s="12"/>
      <c r="AA1246" s="44"/>
      <c r="AB1246" s="45"/>
      <c r="AC1246" s="12"/>
      <c r="AD1246" s="12"/>
      <c r="AE1246" s="12"/>
      <c r="AF1246" s="12"/>
      <c r="AG1246" s="44"/>
      <c r="AH1246" s="45"/>
      <c r="AI1246" s="12"/>
      <c r="AJ1246" s="12"/>
      <c r="AK1246" s="12"/>
      <c r="AL1246" s="12"/>
      <c r="AM1246" s="44"/>
      <c r="AN1246" s="45"/>
      <c r="AO1246" s="12"/>
      <c r="AP1246" s="12"/>
      <c r="AQ1246" s="12"/>
      <c r="AR1246" s="12"/>
      <c r="AS1246" s="44"/>
      <c r="AT1246" s="45"/>
      <c r="AU1246" s="12"/>
      <c r="AV1246" s="12"/>
      <c r="AW1246" s="12"/>
      <c r="AX1246" s="12"/>
      <c r="AY1246" s="44"/>
      <c r="AZ1246" s="45"/>
      <c r="BA1246" s="12"/>
      <c r="BB1246" s="12"/>
      <c r="BC1246" s="12"/>
      <c r="BD1246" s="12"/>
      <c r="BE1246" s="44"/>
      <c r="BF1246" s="45"/>
      <c r="BG1246" s="12"/>
      <c r="BH1246" s="12"/>
      <c r="BI1246" s="12"/>
      <c r="BJ1246" s="12"/>
      <c r="BK1246" s="44"/>
      <c r="BL1246" s="45"/>
      <c r="BM1246" s="12"/>
      <c r="BN1246" s="12"/>
      <c r="BO1246" s="12"/>
      <c r="BP1246" s="12"/>
      <c r="BQ1246" s="48"/>
      <c r="BR1246" s="49"/>
      <c r="BS1246" s="13"/>
      <c r="BT1246" s="12"/>
      <c r="BV1246" s="14"/>
      <c r="BW1246" s="50"/>
      <c r="BX1246" s="54"/>
      <c r="BY1246" s="14"/>
      <c r="BZ1246" s="14"/>
      <c r="CA1246" s="14"/>
      <c r="CB1246" s="14"/>
      <c r="CC1246" s="14"/>
      <c r="CD1246" s="14"/>
      <c r="CE1246" s="14"/>
      <c r="CF1246" s="15"/>
      <c r="CG1246" s="14"/>
      <c r="CH1246" s="14"/>
      <c r="CI1246" s="50"/>
      <c r="CJ1246" s="54"/>
      <c r="CK1246" s="14"/>
      <c r="CL1246" s="14"/>
      <c r="CM1246" s="14"/>
      <c r="CN1246" s="14"/>
      <c r="CO1246" s="14"/>
      <c r="CP1246" s="14"/>
      <c r="CQ1246" s="14"/>
      <c r="CR1246" s="14"/>
      <c r="CS1246" s="14"/>
      <c r="CT1246" s="14"/>
      <c r="CU1246" s="16"/>
      <c r="CV1246" s="14"/>
      <c r="CW1246" s="50"/>
      <c r="CX1246" s="17"/>
    </row>
    <row r="1247" spans="4:102" x14ac:dyDescent="0.25"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43"/>
      <c r="Q1247" s="11"/>
      <c r="R1247" s="11"/>
      <c r="S1247" s="11"/>
      <c r="T1247" s="11"/>
      <c r="U1247" s="11"/>
      <c r="V1247" s="11"/>
      <c r="W1247" s="11"/>
      <c r="X1247" s="12"/>
      <c r="Y1247" s="12"/>
      <c r="Z1247" s="12"/>
      <c r="AA1247" s="44"/>
      <c r="AB1247" s="45"/>
      <c r="AC1247" s="12"/>
      <c r="AD1247" s="12"/>
      <c r="AE1247" s="12"/>
      <c r="AF1247" s="12"/>
      <c r="AG1247" s="44"/>
      <c r="AH1247" s="45"/>
      <c r="AI1247" s="12"/>
      <c r="AJ1247" s="12"/>
      <c r="AK1247" s="12"/>
      <c r="AL1247" s="12"/>
      <c r="AM1247" s="44"/>
      <c r="AN1247" s="45"/>
      <c r="AO1247" s="12"/>
      <c r="AP1247" s="12"/>
      <c r="AQ1247" s="12"/>
      <c r="AR1247" s="12"/>
      <c r="AS1247" s="44"/>
      <c r="AT1247" s="45"/>
      <c r="AU1247" s="12"/>
      <c r="AV1247" s="12"/>
      <c r="AW1247" s="12"/>
      <c r="AX1247" s="12"/>
      <c r="AY1247" s="44"/>
      <c r="AZ1247" s="45"/>
      <c r="BA1247" s="12"/>
      <c r="BB1247" s="12"/>
      <c r="BC1247" s="12"/>
      <c r="BD1247" s="12"/>
      <c r="BE1247" s="44"/>
      <c r="BF1247" s="45"/>
      <c r="BG1247" s="12"/>
      <c r="BH1247" s="12"/>
      <c r="BI1247" s="12"/>
      <c r="BJ1247" s="12"/>
      <c r="BK1247" s="44"/>
      <c r="BL1247" s="45"/>
      <c r="BM1247" s="12"/>
      <c r="BN1247" s="12"/>
      <c r="BO1247" s="12"/>
      <c r="BP1247" s="12"/>
      <c r="BQ1247" s="48"/>
      <c r="BR1247" s="49"/>
      <c r="BS1247" s="13"/>
      <c r="BT1247" s="12"/>
      <c r="BV1247" s="14"/>
      <c r="BW1247" s="50"/>
      <c r="BX1247" s="54"/>
      <c r="BY1247" s="14"/>
      <c r="BZ1247" s="14"/>
      <c r="CA1247" s="14"/>
      <c r="CB1247" s="14"/>
      <c r="CC1247" s="14"/>
      <c r="CD1247" s="14"/>
      <c r="CE1247" s="14"/>
      <c r="CF1247" s="15"/>
      <c r="CG1247" s="14"/>
      <c r="CH1247" s="14"/>
      <c r="CI1247" s="50"/>
      <c r="CJ1247" s="54"/>
      <c r="CK1247" s="14"/>
      <c r="CL1247" s="14"/>
      <c r="CM1247" s="14"/>
      <c r="CN1247" s="14"/>
      <c r="CO1247" s="14"/>
      <c r="CP1247" s="14"/>
      <c r="CQ1247" s="14"/>
      <c r="CR1247" s="14"/>
      <c r="CS1247" s="14"/>
      <c r="CT1247" s="14"/>
      <c r="CU1247" s="16"/>
      <c r="CV1247" s="14"/>
      <c r="CW1247" s="50"/>
      <c r="CX1247" s="17"/>
    </row>
    <row r="1248" spans="4:102" x14ac:dyDescent="0.25"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43"/>
      <c r="Q1248" s="11"/>
      <c r="R1248" s="11"/>
      <c r="S1248" s="11"/>
      <c r="T1248" s="11"/>
      <c r="U1248" s="11"/>
      <c r="V1248" s="11"/>
      <c r="W1248" s="11"/>
      <c r="X1248" s="12"/>
      <c r="Y1248" s="12"/>
      <c r="Z1248" s="12"/>
      <c r="AA1248" s="44"/>
      <c r="AB1248" s="45"/>
      <c r="AC1248" s="12"/>
      <c r="AD1248" s="12"/>
      <c r="AE1248" s="12"/>
      <c r="AF1248" s="12"/>
      <c r="AG1248" s="44"/>
      <c r="AH1248" s="45"/>
      <c r="AI1248" s="12"/>
      <c r="AJ1248" s="12"/>
      <c r="AK1248" s="12"/>
      <c r="AL1248" s="12"/>
      <c r="AM1248" s="44"/>
      <c r="AN1248" s="45"/>
      <c r="AO1248" s="12"/>
      <c r="AP1248" s="12"/>
      <c r="AQ1248" s="12"/>
      <c r="AR1248" s="12"/>
      <c r="AS1248" s="44"/>
      <c r="AT1248" s="45"/>
      <c r="AU1248" s="12"/>
      <c r="AV1248" s="12"/>
      <c r="AW1248" s="12"/>
      <c r="AX1248" s="12"/>
      <c r="AY1248" s="44"/>
      <c r="AZ1248" s="45"/>
      <c r="BA1248" s="12"/>
      <c r="BB1248" s="12"/>
      <c r="BC1248" s="12"/>
      <c r="BD1248" s="12"/>
      <c r="BE1248" s="44"/>
      <c r="BF1248" s="45"/>
      <c r="BG1248" s="12"/>
      <c r="BH1248" s="12"/>
      <c r="BI1248" s="12"/>
      <c r="BJ1248" s="12"/>
      <c r="BK1248" s="44"/>
      <c r="BL1248" s="45"/>
      <c r="BM1248" s="12"/>
      <c r="BN1248" s="12"/>
      <c r="BO1248" s="12"/>
      <c r="BP1248" s="12"/>
      <c r="BQ1248" s="48"/>
      <c r="BR1248" s="49"/>
      <c r="BS1248" s="13"/>
      <c r="BT1248" s="12"/>
      <c r="BV1248" s="14"/>
      <c r="BW1248" s="50"/>
      <c r="BX1248" s="54"/>
      <c r="BY1248" s="14"/>
      <c r="BZ1248" s="14"/>
      <c r="CA1248" s="14"/>
      <c r="CB1248" s="14"/>
      <c r="CC1248" s="14"/>
      <c r="CD1248" s="14"/>
      <c r="CE1248" s="14"/>
      <c r="CF1248" s="15"/>
      <c r="CG1248" s="14"/>
      <c r="CH1248" s="14"/>
      <c r="CI1248" s="50"/>
      <c r="CJ1248" s="54"/>
      <c r="CK1248" s="14"/>
      <c r="CL1248" s="14"/>
      <c r="CM1248" s="14"/>
      <c r="CN1248" s="14"/>
      <c r="CO1248" s="14"/>
      <c r="CP1248" s="14"/>
      <c r="CQ1248" s="14"/>
      <c r="CR1248" s="14"/>
      <c r="CS1248" s="14"/>
      <c r="CT1248" s="14"/>
      <c r="CU1248" s="16"/>
      <c r="CV1248" s="14"/>
      <c r="CW1248" s="50"/>
      <c r="CX1248" s="17"/>
    </row>
    <row r="1249" spans="4:102" x14ac:dyDescent="0.25"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43"/>
      <c r="Q1249" s="11"/>
      <c r="R1249" s="11"/>
      <c r="S1249" s="11"/>
      <c r="T1249" s="11"/>
      <c r="U1249" s="11"/>
      <c r="V1249" s="11"/>
      <c r="W1249" s="11"/>
      <c r="X1249" s="12"/>
      <c r="Y1249" s="12"/>
      <c r="Z1249" s="12"/>
      <c r="AA1249" s="44"/>
      <c r="AB1249" s="45"/>
      <c r="AC1249" s="12"/>
      <c r="AD1249" s="12"/>
      <c r="AE1249" s="12"/>
      <c r="AF1249" s="12"/>
      <c r="AG1249" s="44"/>
      <c r="AH1249" s="45"/>
      <c r="AI1249" s="12"/>
      <c r="AJ1249" s="12"/>
      <c r="AK1249" s="12"/>
      <c r="AL1249" s="12"/>
      <c r="AM1249" s="44"/>
      <c r="AN1249" s="45"/>
      <c r="AO1249" s="12"/>
      <c r="AP1249" s="12"/>
      <c r="AQ1249" s="12"/>
      <c r="AR1249" s="12"/>
      <c r="AS1249" s="44"/>
      <c r="AT1249" s="45"/>
      <c r="AU1249" s="12"/>
      <c r="AV1249" s="12"/>
      <c r="AW1249" s="12"/>
      <c r="AX1249" s="12"/>
      <c r="AY1249" s="44"/>
      <c r="AZ1249" s="45"/>
      <c r="BA1249" s="12"/>
      <c r="BB1249" s="12"/>
      <c r="BC1249" s="12"/>
      <c r="BD1249" s="12"/>
      <c r="BE1249" s="44"/>
      <c r="BF1249" s="45"/>
      <c r="BG1249" s="12"/>
      <c r="BH1249" s="12"/>
      <c r="BI1249" s="12"/>
      <c r="BJ1249" s="12"/>
      <c r="BK1249" s="44"/>
      <c r="BL1249" s="45"/>
      <c r="BM1249" s="12"/>
      <c r="BN1249" s="12"/>
      <c r="BO1249" s="12"/>
      <c r="BP1249" s="12"/>
      <c r="BQ1249" s="48"/>
      <c r="BR1249" s="49"/>
      <c r="BS1249" s="13"/>
      <c r="BT1249" s="12"/>
      <c r="BV1249" s="14"/>
      <c r="BW1249" s="50"/>
      <c r="BX1249" s="54"/>
      <c r="BY1249" s="14"/>
      <c r="BZ1249" s="14"/>
      <c r="CA1249" s="14"/>
      <c r="CB1249" s="14"/>
      <c r="CC1249" s="14"/>
      <c r="CD1249" s="14"/>
      <c r="CE1249" s="14"/>
      <c r="CF1249" s="15"/>
      <c r="CG1249" s="14"/>
      <c r="CH1249" s="14"/>
      <c r="CI1249" s="50"/>
      <c r="CJ1249" s="54"/>
      <c r="CK1249" s="14"/>
      <c r="CL1249" s="14"/>
      <c r="CM1249" s="14"/>
      <c r="CN1249" s="14"/>
      <c r="CO1249" s="14"/>
      <c r="CP1249" s="14"/>
      <c r="CQ1249" s="14"/>
      <c r="CR1249" s="14"/>
      <c r="CS1249" s="14"/>
      <c r="CT1249" s="14"/>
      <c r="CU1249" s="16"/>
      <c r="CV1249" s="14"/>
      <c r="CW1249" s="50"/>
      <c r="CX1249" s="17"/>
    </row>
    <row r="1250" spans="4:102" x14ac:dyDescent="0.25"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43"/>
      <c r="Q1250" s="11"/>
      <c r="R1250" s="11"/>
      <c r="S1250" s="11"/>
      <c r="T1250" s="11"/>
      <c r="U1250" s="11"/>
      <c r="V1250" s="11"/>
      <c r="W1250" s="11"/>
      <c r="X1250" s="12"/>
      <c r="Y1250" s="12"/>
      <c r="Z1250" s="12"/>
      <c r="AA1250" s="44"/>
      <c r="AB1250" s="45"/>
      <c r="AC1250" s="12"/>
      <c r="AD1250" s="12"/>
      <c r="AE1250" s="12"/>
      <c r="AF1250" s="12"/>
      <c r="AG1250" s="44"/>
      <c r="AH1250" s="45"/>
      <c r="AI1250" s="12"/>
      <c r="AJ1250" s="12"/>
      <c r="AK1250" s="12"/>
      <c r="AL1250" s="12"/>
      <c r="AM1250" s="44"/>
      <c r="AN1250" s="45"/>
      <c r="AO1250" s="12"/>
      <c r="AP1250" s="12"/>
      <c r="AQ1250" s="12"/>
      <c r="AR1250" s="12"/>
      <c r="AS1250" s="44"/>
      <c r="AT1250" s="45"/>
      <c r="AU1250" s="12"/>
      <c r="AV1250" s="12"/>
      <c r="AW1250" s="12"/>
      <c r="AX1250" s="12"/>
      <c r="AY1250" s="44"/>
      <c r="AZ1250" s="45"/>
      <c r="BA1250" s="12"/>
      <c r="BB1250" s="12"/>
      <c r="BC1250" s="12"/>
      <c r="BD1250" s="12"/>
      <c r="BE1250" s="44"/>
      <c r="BF1250" s="45"/>
      <c r="BG1250" s="12"/>
      <c r="BH1250" s="12"/>
      <c r="BI1250" s="12"/>
      <c r="BJ1250" s="12"/>
      <c r="BK1250" s="44"/>
      <c r="BL1250" s="45"/>
      <c r="BM1250" s="12"/>
      <c r="BN1250" s="12"/>
      <c r="BO1250" s="12"/>
      <c r="BP1250" s="12"/>
      <c r="BQ1250" s="48"/>
      <c r="BR1250" s="49"/>
      <c r="BS1250" s="13"/>
      <c r="BT1250" s="12"/>
      <c r="BV1250" s="14"/>
      <c r="BW1250" s="50"/>
      <c r="BX1250" s="54"/>
      <c r="BY1250" s="14"/>
      <c r="BZ1250" s="14"/>
      <c r="CA1250" s="14"/>
      <c r="CB1250" s="14"/>
      <c r="CC1250" s="14"/>
      <c r="CD1250" s="14"/>
      <c r="CE1250" s="14"/>
      <c r="CF1250" s="15"/>
      <c r="CG1250" s="14"/>
      <c r="CH1250" s="14"/>
      <c r="CI1250" s="50"/>
      <c r="CJ1250" s="54"/>
      <c r="CK1250" s="14"/>
      <c r="CL1250" s="14"/>
      <c r="CM1250" s="14"/>
      <c r="CN1250" s="14"/>
      <c r="CO1250" s="14"/>
      <c r="CP1250" s="14"/>
      <c r="CQ1250" s="14"/>
      <c r="CR1250" s="14"/>
      <c r="CS1250" s="14"/>
      <c r="CT1250" s="14"/>
      <c r="CU1250" s="16"/>
      <c r="CV1250" s="14"/>
      <c r="CW1250" s="50"/>
      <c r="CX1250" s="17"/>
    </row>
    <row r="1251" spans="4:102" x14ac:dyDescent="0.25"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43"/>
      <c r="Q1251" s="11"/>
      <c r="R1251" s="11"/>
      <c r="S1251" s="11"/>
      <c r="T1251" s="11"/>
      <c r="U1251" s="11"/>
      <c r="V1251" s="11"/>
      <c r="W1251" s="11"/>
      <c r="X1251" s="12"/>
      <c r="Y1251" s="12"/>
      <c r="Z1251" s="12"/>
      <c r="AA1251" s="44"/>
      <c r="AB1251" s="45"/>
      <c r="AC1251" s="12"/>
      <c r="AD1251" s="12"/>
      <c r="AE1251" s="12"/>
      <c r="AF1251" s="12"/>
      <c r="AG1251" s="44"/>
      <c r="AH1251" s="45"/>
      <c r="AI1251" s="12"/>
      <c r="AJ1251" s="12"/>
      <c r="AK1251" s="12"/>
      <c r="AL1251" s="12"/>
      <c r="AM1251" s="44"/>
      <c r="AN1251" s="45"/>
      <c r="AO1251" s="12"/>
      <c r="AP1251" s="12"/>
      <c r="AQ1251" s="12"/>
      <c r="AR1251" s="12"/>
      <c r="AS1251" s="44"/>
      <c r="AT1251" s="45"/>
      <c r="AU1251" s="12"/>
      <c r="AV1251" s="12"/>
      <c r="AW1251" s="12"/>
      <c r="AX1251" s="12"/>
      <c r="AY1251" s="44"/>
      <c r="AZ1251" s="45"/>
      <c r="BA1251" s="12"/>
      <c r="BB1251" s="12"/>
      <c r="BC1251" s="12"/>
      <c r="BD1251" s="12"/>
      <c r="BE1251" s="44"/>
      <c r="BF1251" s="45"/>
      <c r="BG1251" s="12"/>
      <c r="BH1251" s="12"/>
      <c r="BI1251" s="12"/>
      <c r="BJ1251" s="12"/>
      <c r="BK1251" s="44"/>
      <c r="BL1251" s="45"/>
      <c r="BM1251" s="12"/>
      <c r="BN1251" s="12"/>
      <c r="BO1251" s="12"/>
      <c r="BP1251" s="12"/>
      <c r="BQ1251" s="48"/>
      <c r="BR1251" s="49"/>
      <c r="BS1251" s="13"/>
      <c r="BT1251" s="12"/>
      <c r="BV1251" s="14"/>
      <c r="BW1251" s="50"/>
      <c r="BX1251" s="54"/>
      <c r="BY1251" s="14"/>
      <c r="BZ1251" s="14"/>
      <c r="CA1251" s="14"/>
      <c r="CB1251" s="14"/>
      <c r="CC1251" s="14"/>
      <c r="CD1251" s="14"/>
      <c r="CE1251" s="14"/>
      <c r="CF1251" s="15"/>
      <c r="CG1251" s="14"/>
      <c r="CH1251" s="14"/>
      <c r="CI1251" s="50"/>
      <c r="CJ1251" s="54"/>
      <c r="CK1251" s="14"/>
      <c r="CL1251" s="14"/>
      <c r="CM1251" s="14"/>
      <c r="CN1251" s="14"/>
      <c r="CO1251" s="14"/>
      <c r="CP1251" s="14"/>
      <c r="CQ1251" s="14"/>
      <c r="CR1251" s="14"/>
      <c r="CS1251" s="14"/>
      <c r="CT1251" s="14"/>
      <c r="CU1251" s="16"/>
      <c r="CV1251" s="14"/>
      <c r="CW1251" s="50"/>
      <c r="CX1251" s="17"/>
    </row>
    <row r="1252" spans="4:102" x14ac:dyDescent="0.25"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43"/>
      <c r="Q1252" s="11"/>
      <c r="R1252" s="11"/>
      <c r="S1252" s="11"/>
      <c r="T1252" s="11"/>
      <c r="U1252" s="11"/>
      <c r="V1252" s="11"/>
      <c r="W1252" s="11"/>
      <c r="X1252" s="12"/>
      <c r="Y1252" s="12"/>
      <c r="Z1252" s="12"/>
      <c r="AA1252" s="44"/>
      <c r="AB1252" s="45"/>
      <c r="AC1252" s="12"/>
      <c r="AD1252" s="12"/>
      <c r="AE1252" s="12"/>
      <c r="AF1252" s="12"/>
      <c r="AG1252" s="44"/>
      <c r="AH1252" s="45"/>
      <c r="AI1252" s="12"/>
      <c r="AJ1252" s="12"/>
      <c r="AK1252" s="12"/>
      <c r="AL1252" s="12"/>
      <c r="AM1252" s="44"/>
      <c r="AN1252" s="45"/>
      <c r="AO1252" s="12"/>
      <c r="AP1252" s="12"/>
      <c r="AQ1252" s="12"/>
      <c r="AR1252" s="12"/>
      <c r="AS1252" s="44"/>
      <c r="AT1252" s="45"/>
      <c r="AU1252" s="12"/>
      <c r="AV1252" s="12"/>
      <c r="AW1252" s="12"/>
      <c r="AX1252" s="12"/>
      <c r="AY1252" s="44"/>
      <c r="AZ1252" s="45"/>
      <c r="BA1252" s="12"/>
      <c r="BB1252" s="12"/>
      <c r="BC1252" s="12"/>
      <c r="BD1252" s="12"/>
      <c r="BE1252" s="44"/>
      <c r="BF1252" s="45"/>
      <c r="BG1252" s="12"/>
      <c r="BH1252" s="12"/>
      <c r="BI1252" s="12"/>
      <c r="BJ1252" s="12"/>
      <c r="BK1252" s="44"/>
      <c r="BL1252" s="45"/>
      <c r="BM1252" s="12"/>
      <c r="BN1252" s="12"/>
      <c r="BO1252" s="12"/>
      <c r="BP1252" s="12"/>
      <c r="BQ1252" s="48"/>
      <c r="BR1252" s="49"/>
      <c r="BS1252" s="13"/>
      <c r="BT1252" s="12"/>
      <c r="BV1252" s="14"/>
      <c r="BW1252" s="50"/>
      <c r="BX1252" s="54"/>
      <c r="BY1252" s="14"/>
      <c r="BZ1252" s="14"/>
      <c r="CA1252" s="14"/>
      <c r="CB1252" s="14"/>
      <c r="CC1252" s="14"/>
      <c r="CD1252" s="14"/>
      <c r="CE1252" s="14"/>
      <c r="CF1252" s="15"/>
      <c r="CG1252" s="14"/>
      <c r="CH1252" s="14"/>
      <c r="CI1252" s="50"/>
      <c r="CJ1252" s="54"/>
      <c r="CK1252" s="14"/>
      <c r="CL1252" s="14"/>
      <c r="CM1252" s="14"/>
      <c r="CN1252" s="14"/>
      <c r="CO1252" s="14"/>
      <c r="CP1252" s="14"/>
      <c r="CQ1252" s="14"/>
      <c r="CR1252" s="14"/>
      <c r="CS1252" s="14"/>
      <c r="CT1252" s="14"/>
      <c r="CU1252" s="16"/>
      <c r="CV1252" s="14"/>
      <c r="CW1252" s="50"/>
      <c r="CX1252" s="17"/>
    </row>
    <row r="1253" spans="4:102" x14ac:dyDescent="0.25"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43"/>
      <c r="Q1253" s="11"/>
      <c r="R1253" s="11"/>
      <c r="S1253" s="11"/>
      <c r="T1253" s="11"/>
      <c r="U1253" s="11"/>
      <c r="V1253" s="11"/>
      <c r="W1253" s="11"/>
      <c r="X1253" s="12"/>
      <c r="Y1253" s="12"/>
      <c r="Z1253" s="12"/>
      <c r="AA1253" s="44"/>
      <c r="AB1253" s="45"/>
      <c r="AC1253" s="12"/>
      <c r="AD1253" s="12"/>
      <c r="AE1253" s="12"/>
      <c r="AF1253" s="12"/>
      <c r="AG1253" s="44"/>
      <c r="AH1253" s="45"/>
      <c r="AI1253" s="12"/>
      <c r="AJ1253" s="12"/>
      <c r="AK1253" s="12"/>
      <c r="AL1253" s="12"/>
      <c r="AM1253" s="44"/>
      <c r="AN1253" s="45"/>
      <c r="AO1253" s="12"/>
      <c r="AP1253" s="12"/>
      <c r="AQ1253" s="12"/>
      <c r="AR1253" s="12"/>
      <c r="AS1253" s="44"/>
      <c r="AT1253" s="45"/>
      <c r="AU1253" s="12"/>
      <c r="AV1253" s="12"/>
      <c r="AW1253" s="12"/>
      <c r="AX1253" s="12"/>
      <c r="AY1253" s="44"/>
      <c r="AZ1253" s="45"/>
      <c r="BA1253" s="12"/>
      <c r="BB1253" s="12"/>
      <c r="BC1253" s="12"/>
      <c r="BD1253" s="12"/>
      <c r="BE1253" s="44"/>
      <c r="BF1253" s="45"/>
      <c r="BG1253" s="12"/>
      <c r="BH1253" s="12"/>
      <c r="BI1253" s="12"/>
      <c r="BJ1253" s="12"/>
      <c r="BK1253" s="44"/>
      <c r="BL1253" s="45"/>
      <c r="BM1253" s="12"/>
      <c r="BN1253" s="12"/>
      <c r="BO1253" s="12"/>
      <c r="BP1253" s="12"/>
      <c r="BQ1253" s="48"/>
      <c r="BR1253" s="49"/>
      <c r="BS1253" s="13"/>
      <c r="BT1253" s="12"/>
      <c r="BV1253" s="14"/>
      <c r="BW1253" s="50"/>
      <c r="BX1253" s="54"/>
      <c r="BY1253" s="14"/>
      <c r="BZ1253" s="14"/>
      <c r="CA1253" s="14"/>
      <c r="CB1253" s="14"/>
      <c r="CC1253" s="14"/>
      <c r="CD1253" s="14"/>
      <c r="CE1253" s="14"/>
      <c r="CF1253" s="15"/>
      <c r="CG1253" s="14"/>
      <c r="CH1253" s="14"/>
      <c r="CI1253" s="50"/>
      <c r="CJ1253" s="54"/>
      <c r="CK1253" s="14"/>
      <c r="CL1253" s="14"/>
      <c r="CM1253" s="14"/>
      <c r="CN1253" s="14"/>
      <c r="CO1253" s="14"/>
      <c r="CP1253" s="14"/>
      <c r="CQ1253" s="14"/>
      <c r="CR1253" s="14"/>
      <c r="CS1253" s="14"/>
      <c r="CT1253" s="14"/>
      <c r="CU1253" s="16"/>
      <c r="CV1253" s="14"/>
      <c r="CW1253" s="50"/>
      <c r="CX1253" s="17"/>
    </row>
    <row r="1254" spans="4:102" x14ac:dyDescent="0.25"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43"/>
      <c r="Q1254" s="11"/>
      <c r="R1254" s="11"/>
      <c r="S1254" s="11"/>
      <c r="T1254" s="11"/>
      <c r="U1254" s="11"/>
      <c r="V1254" s="11"/>
      <c r="W1254" s="11"/>
      <c r="X1254" s="12"/>
      <c r="Y1254" s="12"/>
      <c r="Z1254" s="12"/>
      <c r="AA1254" s="44"/>
      <c r="AB1254" s="45"/>
      <c r="AC1254" s="12"/>
      <c r="AD1254" s="12"/>
      <c r="AE1254" s="12"/>
      <c r="AF1254" s="12"/>
      <c r="AG1254" s="44"/>
      <c r="AH1254" s="45"/>
      <c r="AI1254" s="12"/>
      <c r="AJ1254" s="12"/>
      <c r="AK1254" s="12"/>
      <c r="AL1254" s="12"/>
      <c r="AM1254" s="44"/>
      <c r="AN1254" s="45"/>
      <c r="AO1254" s="12"/>
      <c r="AP1254" s="12"/>
      <c r="AQ1254" s="12"/>
      <c r="AR1254" s="12"/>
      <c r="AS1254" s="44"/>
      <c r="AT1254" s="45"/>
      <c r="AU1254" s="12"/>
      <c r="AV1254" s="12"/>
      <c r="AW1254" s="12"/>
      <c r="AX1254" s="12"/>
      <c r="AY1254" s="44"/>
      <c r="AZ1254" s="45"/>
      <c r="BA1254" s="12"/>
      <c r="BB1254" s="12"/>
      <c r="BC1254" s="12"/>
      <c r="BD1254" s="12"/>
      <c r="BE1254" s="44"/>
      <c r="BF1254" s="45"/>
      <c r="BG1254" s="12"/>
      <c r="BH1254" s="12"/>
      <c r="BI1254" s="12"/>
      <c r="BJ1254" s="12"/>
      <c r="BK1254" s="44"/>
      <c r="BL1254" s="45"/>
      <c r="BM1254" s="12"/>
      <c r="BN1254" s="12"/>
      <c r="BO1254" s="12"/>
      <c r="BP1254" s="12"/>
      <c r="BQ1254" s="48"/>
      <c r="BR1254" s="49"/>
      <c r="BS1254" s="13"/>
      <c r="BT1254" s="12"/>
      <c r="BV1254" s="14"/>
      <c r="BW1254" s="50"/>
      <c r="BX1254" s="54"/>
      <c r="BY1254" s="14"/>
      <c r="BZ1254" s="14"/>
      <c r="CA1254" s="14"/>
      <c r="CB1254" s="14"/>
      <c r="CC1254" s="14"/>
      <c r="CD1254" s="14"/>
      <c r="CE1254" s="14"/>
      <c r="CF1254" s="15"/>
      <c r="CG1254" s="14"/>
      <c r="CH1254" s="14"/>
      <c r="CI1254" s="50"/>
      <c r="CJ1254" s="54"/>
      <c r="CK1254" s="14"/>
      <c r="CL1254" s="14"/>
      <c r="CM1254" s="14"/>
      <c r="CN1254" s="14"/>
      <c r="CO1254" s="14"/>
      <c r="CP1254" s="14"/>
      <c r="CQ1254" s="14"/>
      <c r="CR1254" s="14"/>
      <c r="CS1254" s="14"/>
      <c r="CT1254" s="14"/>
      <c r="CU1254" s="16"/>
      <c r="CV1254" s="14"/>
      <c r="CW1254" s="50"/>
      <c r="CX1254" s="17"/>
    </row>
    <row r="1255" spans="4:102" x14ac:dyDescent="0.25"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43"/>
      <c r="Q1255" s="11"/>
      <c r="R1255" s="11"/>
      <c r="S1255" s="11"/>
      <c r="T1255" s="11"/>
      <c r="U1255" s="11"/>
      <c r="V1255" s="11"/>
      <c r="W1255" s="11"/>
      <c r="X1255" s="12"/>
      <c r="Y1255" s="12"/>
      <c r="Z1255" s="12"/>
      <c r="AA1255" s="44"/>
      <c r="AB1255" s="45"/>
      <c r="AC1255" s="12"/>
      <c r="AD1255" s="12"/>
      <c r="AE1255" s="12"/>
      <c r="AF1255" s="12"/>
      <c r="AG1255" s="44"/>
      <c r="AH1255" s="45"/>
      <c r="AI1255" s="12"/>
      <c r="AJ1255" s="12"/>
      <c r="AK1255" s="12"/>
      <c r="AL1255" s="12"/>
      <c r="AM1255" s="44"/>
      <c r="AN1255" s="45"/>
      <c r="AO1255" s="12"/>
      <c r="AP1255" s="12"/>
      <c r="AQ1255" s="12"/>
      <c r="AR1255" s="12"/>
      <c r="AS1255" s="44"/>
      <c r="AT1255" s="45"/>
      <c r="AU1255" s="12"/>
      <c r="AV1255" s="12"/>
      <c r="AW1255" s="12"/>
      <c r="AX1255" s="12"/>
      <c r="AY1255" s="44"/>
      <c r="AZ1255" s="45"/>
      <c r="BA1255" s="12"/>
      <c r="BB1255" s="12"/>
      <c r="BC1255" s="12"/>
      <c r="BD1255" s="12"/>
      <c r="BE1255" s="44"/>
      <c r="BF1255" s="45"/>
      <c r="BG1255" s="12"/>
      <c r="BH1255" s="12"/>
      <c r="BI1255" s="12"/>
      <c r="BJ1255" s="12"/>
      <c r="BK1255" s="44"/>
      <c r="BL1255" s="45"/>
      <c r="BM1255" s="12"/>
      <c r="BN1255" s="12"/>
      <c r="BO1255" s="12"/>
      <c r="BP1255" s="12"/>
      <c r="BQ1255" s="48"/>
      <c r="BR1255" s="49"/>
      <c r="BS1255" s="13"/>
      <c r="BT1255" s="12"/>
      <c r="BV1255" s="14"/>
      <c r="BW1255" s="50"/>
      <c r="BX1255" s="54"/>
      <c r="BY1255" s="14"/>
      <c r="BZ1255" s="14"/>
      <c r="CA1255" s="14"/>
      <c r="CB1255" s="14"/>
      <c r="CC1255" s="14"/>
      <c r="CD1255" s="14"/>
      <c r="CE1255" s="14"/>
      <c r="CF1255" s="15"/>
      <c r="CG1255" s="14"/>
      <c r="CH1255" s="14"/>
      <c r="CI1255" s="50"/>
      <c r="CJ1255" s="54"/>
      <c r="CK1255" s="14"/>
      <c r="CL1255" s="14"/>
      <c r="CM1255" s="14"/>
      <c r="CN1255" s="14"/>
      <c r="CO1255" s="14"/>
      <c r="CP1255" s="14"/>
      <c r="CQ1255" s="14"/>
      <c r="CR1255" s="14"/>
      <c r="CS1255" s="14"/>
      <c r="CT1255" s="14"/>
      <c r="CU1255" s="16"/>
      <c r="CV1255" s="14"/>
      <c r="CW1255" s="50"/>
      <c r="CX1255" s="17"/>
    </row>
    <row r="1256" spans="4:102" x14ac:dyDescent="0.25"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43"/>
      <c r="Q1256" s="11"/>
      <c r="R1256" s="11"/>
      <c r="S1256" s="11"/>
      <c r="T1256" s="11"/>
      <c r="U1256" s="11"/>
      <c r="V1256" s="11"/>
      <c r="W1256" s="11"/>
      <c r="X1256" s="12"/>
      <c r="Y1256" s="12"/>
      <c r="Z1256" s="12"/>
      <c r="AA1256" s="44"/>
      <c r="AB1256" s="45"/>
      <c r="AC1256" s="12"/>
      <c r="AD1256" s="12"/>
      <c r="AE1256" s="12"/>
      <c r="AF1256" s="12"/>
      <c r="AG1256" s="44"/>
      <c r="AH1256" s="45"/>
      <c r="AI1256" s="12"/>
      <c r="AJ1256" s="12"/>
      <c r="AK1256" s="12"/>
      <c r="AL1256" s="12"/>
      <c r="AM1256" s="44"/>
      <c r="AN1256" s="45"/>
      <c r="AO1256" s="12"/>
      <c r="AP1256" s="12"/>
      <c r="AQ1256" s="12"/>
      <c r="AR1256" s="12"/>
      <c r="AS1256" s="44"/>
      <c r="AT1256" s="45"/>
      <c r="AU1256" s="12"/>
      <c r="AV1256" s="12"/>
      <c r="AW1256" s="12"/>
      <c r="AX1256" s="12"/>
      <c r="AY1256" s="44"/>
      <c r="AZ1256" s="45"/>
      <c r="BA1256" s="12"/>
      <c r="BB1256" s="12"/>
      <c r="BC1256" s="12"/>
      <c r="BD1256" s="12"/>
      <c r="BE1256" s="44"/>
      <c r="BF1256" s="45"/>
      <c r="BG1256" s="12"/>
      <c r="BH1256" s="12"/>
      <c r="BI1256" s="12"/>
      <c r="BJ1256" s="12"/>
      <c r="BK1256" s="44"/>
      <c r="BL1256" s="45"/>
      <c r="BM1256" s="12"/>
      <c r="BN1256" s="12"/>
      <c r="BO1256" s="12"/>
      <c r="BP1256" s="12"/>
      <c r="BQ1256" s="48"/>
      <c r="BR1256" s="49"/>
      <c r="BS1256" s="13"/>
      <c r="BT1256" s="12"/>
      <c r="BV1256" s="14"/>
      <c r="BW1256" s="50"/>
      <c r="BX1256" s="54"/>
      <c r="BY1256" s="14"/>
      <c r="BZ1256" s="14"/>
      <c r="CA1256" s="14"/>
      <c r="CB1256" s="14"/>
      <c r="CC1256" s="14"/>
      <c r="CD1256" s="14"/>
      <c r="CE1256" s="14"/>
      <c r="CF1256" s="15"/>
      <c r="CG1256" s="14"/>
      <c r="CH1256" s="14"/>
      <c r="CI1256" s="50"/>
      <c r="CJ1256" s="54"/>
      <c r="CK1256" s="14"/>
      <c r="CL1256" s="14"/>
      <c r="CM1256" s="14"/>
      <c r="CN1256" s="14"/>
      <c r="CO1256" s="14"/>
      <c r="CP1256" s="14"/>
      <c r="CQ1256" s="14"/>
      <c r="CR1256" s="14"/>
      <c r="CS1256" s="14"/>
      <c r="CT1256" s="14"/>
      <c r="CU1256" s="16"/>
      <c r="CV1256" s="14"/>
      <c r="CW1256" s="50"/>
      <c r="CX1256" s="17"/>
    </row>
    <row r="1257" spans="4:102" x14ac:dyDescent="0.25"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43"/>
      <c r="Q1257" s="11"/>
      <c r="R1257" s="11"/>
      <c r="S1257" s="11"/>
      <c r="T1257" s="11"/>
      <c r="U1257" s="11"/>
      <c r="V1257" s="11"/>
      <c r="W1257" s="11"/>
      <c r="X1257" s="12"/>
      <c r="Y1257" s="12"/>
      <c r="Z1257" s="12"/>
      <c r="AA1257" s="44"/>
      <c r="AB1257" s="45"/>
      <c r="AC1257" s="12"/>
      <c r="AD1257" s="12"/>
      <c r="AE1257" s="12"/>
      <c r="AF1257" s="12"/>
      <c r="AG1257" s="44"/>
      <c r="AH1257" s="45"/>
      <c r="AI1257" s="12"/>
      <c r="AJ1257" s="12"/>
      <c r="AK1257" s="12"/>
      <c r="AL1257" s="12"/>
      <c r="AM1257" s="44"/>
      <c r="AN1257" s="45"/>
      <c r="AO1257" s="12"/>
      <c r="AP1257" s="12"/>
      <c r="AQ1257" s="12"/>
      <c r="AR1257" s="12"/>
      <c r="AS1257" s="44"/>
      <c r="AT1257" s="45"/>
      <c r="AU1257" s="12"/>
      <c r="AV1257" s="12"/>
      <c r="AW1257" s="12"/>
      <c r="AX1257" s="12"/>
      <c r="AY1257" s="44"/>
      <c r="AZ1257" s="45"/>
      <c r="BA1257" s="12"/>
      <c r="BB1257" s="12"/>
      <c r="BC1257" s="12"/>
      <c r="BD1257" s="12"/>
      <c r="BE1257" s="44"/>
      <c r="BF1257" s="45"/>
      <c r="BG1257" s="12"/>
      <c r="BH1257" s="12"/>
      <c r="BI1257" s="12"/>
      <c r="BJ1257" s="12"/>
      <c r="BK1257" s="44"/>
      <c r="BL1257" s="45"/>
      <c r="BM1257" s="12"/>
      <c r="BN1257" s="12"/>
      <c r="BO1257" s="12"/>
      <c r="BP1257" s="12"/>
      <c r="BQ1257" s="48"/>
      <c r="BR1257" s="49"/>
      <c r="BS1257" s="13"/>
      <c r="BT1257" s="12"/>
      <c r="BV1257" s="14"/>
      <c r="BW1257" s="50"/>
      <c r="BX1257" s="54"/>
      <c r="BY1257" s="14"/>
      <c r="BZ1257" s="14"/>
      <c r="CA1257" s="14"/>
      <c r="CB1257" s="14"/>
      <c r="CC1257" s="14"/>
      <c r="CD1257" s="14"/>
      <c r="CE1257" s="14"/>
      <c r="CF1257" s="15"/>
      <c r="CG1257" s="14"/>
      <c r="CH1257" s="14"/>
      <c r="CI1257" s="50"/>
      <c r="CJ1257" s="54"/>
      <c r="CK1257" s="14"/>
      <c r="CL1257" s="14"/>
      <c r="CM1257" s="14"/>
      <c r="CN1257" s="14"/>
      <c r="CO1257" s="14"/>
      <c r="CP1257" s="14"/>
      <c r="CQ1257" s="14"/>
      <c r="CR1257" s="14"/>
      <c r="CS1257" s="14"/>
      <c r="CT1257" s="14"/>
      <c r="CU1257" s="16"/>
      <c r="CV1257" s="14"/>
      <c r="CW1257" s="50"/>
      <c r="CX1257" s="17"/>
    </row>
    <row r="1258" spans="4:102" x14ac:dyDescent="0.25"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43"/>
      <c r="Q1258" s="11"/>
      <c r="R1258" s="11"/>
      <c r="S1258" s="11"/>
      <c r="T1258" s="11"/>
      <c r="U1258" s="11"/>
      <c r="V1258" s="11"/>
      <c r="W1258" s="11"/>
      <c r="X1258" s="12"/>
      <c r="Y1258" s="12"/>
      <c r="Z1258" s="12"/>
      <c r="AA1258" s="44"/>
      <c r="AB1258" s="45"/>
      <c r="AC1258" s="12"/>
      <c r="AD1258" s="12"/>
      <c r="AE1258" s="12"/>
      <c r="AF1258" s="12"/>
      <c r="AG1258" s="44"/>
      <c r="AH1258" s="45"/>
      <c r="AI1258" s="12"/>
      <c r="AJ1258" s="12"/>
      <c r="AK1258" s="12"/>
      <c r="AL1258" s="12"/>
      <c r="AM1258" s="44"/>
      <c r="AN1258" s="45"/>
      <c r="AO1258" s="12"/>
      <c r="AP1258" s="12"/>
      <c r="AQ1258" s="12"/>
      <c r="AR1258" s="12"/>
      <c r="AS1258" s="44"/>
      <c r="AT1258" s="45"/>
      <c r="AU1258" s="12"/>
      <c r="AV1258" s="12"/>
      <c r="AW1258" s="12"/>
      <c r="AX1258" s="12"/>
      <c r="AY1258" s="44"/>
      <c r="AZ1258" s="45"/>
      <c r="BA1258" s="12"/>
      <c r="BB1258" s="12"/>
      <c r="BC1258" s="12"/>
      <c r="BD1258" s="12"/>
      <c r="BE1258" s="44"/>
      <c r="BF1258" s="45"/>
      <c r="BG1258" s="12"/>
      <c r="BH1258" s="12"/>
      <c r="BI1258" s="12"/>
      <c r="BJ1258" s="12"/>
      <c r="BK1258" s="44"/>
      <c r="BL1258" s="45"/>
      <c r="BM1258" s="12"/>
      <c r="BN1258" s="12"/>
      <c r="BO1258" s="12"/>
      <c r="BP1258" s="12"/>
      <c r="BQ1258" s="48"/>
      <c r="BR1258" s="49"/>
      <c r="BS1258" s="13"/>
      <c r="BT1258" s="12"/>
      <c r="BV1258" s="14"/>
      <c r="BW1258" s="50"/>
      <c r="BX1258" s="54"/>
      <c r="BY1258" s="14"/>
      <c r="BZ1258" s="14"/>
      <c r="CA1258" s="14"/>
      <c r="CB1258" s="14"/>
      <c r="CC1258" s="14"/>
      <c r="CD1258" s="14"/>
      <c r="CE1258" s="14"/>
      <c r="CF1258" s="15"/>
      <c r="CG1258" s="14"/>
      <c r="CH1258" s="14"/>
      <c r="CI1258" s="50"/>
      <c r="CJ1258" s="54"/>
      <c r="CK1258" s="14"/>
      <c r="CL1258" s="14"/>
      <c r="CM1258" s="14"/>
      <c r="CN1258" s="14"/>
      <c r="CO1258" s="14"/>
      <c r="CP1258" s="14"/>
      <c r="CQ1258" s="14"/>
      <c r="CR1258" s="14"/>
      <c r="CS1258" s="14"/>
      <c r="CT1258" s="14"/>
      <c r="CU1258" s="16"/>
      <c r="CV1258" s="14"/>
      <c r="CW1258" s="50"/>
      <c r="CX1258" s="17"/>
    </row>
    <row r="1259" spans="4:102" x14ac:dyDescent="0.25"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43"/>
      <c r="Q1259" s="11"/>
      <c r="R1259" s="11"/>
      <c r="S1259" s="11"/>
      <c r="T1259" s="11"/>
      <c r="U1259" s="11"/>
      <c r="V1259" s="11"/>
      <c r="W1259" s="11"/>
      <c r="X1259" s="12"/>
      <c r="Y1259" s="12"/>
      <c r="Z1259" s="12"/>
      <c r="AA1259" s="44"/>
      <c r="AB1259" s="45"/>
      <c r="AC1259" s="12"/>
      <c r="AD1259" s="12"/>
      <c r="AE1259" s="12"/>
      <c r="AF1259" s="12"/>
      <c r="AG1259" s="44"/>
      <c r="AH1259" s="45"/>
      <c r="AI1259" s="12"/>
      <c r="AJ1259" s="12"/>
      <c r="AK1259" s="12"/>
      <c r="AL1259" s="12"/>
      <c r="AM1259" s="44"/>
      <c r="AN1259" s="45"/>
      <c r="AO1259" s="12"/>
      <c r="AP1259" s="12"/>
      <c r="AQ1259" s="12"/>
      <c r="AR1259" s="12"/>
      <c r="AS1259" s="44"/>
      <c r="AT1259" s="45"/>
      <c r="AU1259" s="12"/>
      <c r="AV1259" s="12"/>
      <c r="AW1259" s="12"/>
      <c r="AX1259" s="12"/>
      <c r="AY1259" s="44"/>
      <c r="AZ1259" s="45"/>
      <c r="BA1259" s="12"/>
      <c r="BB1259" s="12"/>
      <c r="BC1259" s="12"/>
      <c r="BD1259" s="12"/>
      <c r="BE1259" s="44"/>
      <c r="BF1259" s="45"/>
      <c r="BG1259" s="12"/>
      <c r="BH1259" s="12"/>
      <c r="BI1259" s="12"/>
      <c r="BJ1259" s="12"/>
      <c r="BK1259" s="44"/>
      <c r="BL1259" s="45"/>
      <c r="BM1259" s="12"/>
      <c r="BN1259" s="12"/>
      <c r="BO1259" s="12"/>
      <c r="BP1259" s="12"/>
      <c r="BQ1259" s="48"/>
      <c r="BR1259" s="49"/>
      <c r="BS1259" s="13"/>
      <c r="BT1259" s="12"/>
      <c r="BV1259" s="14"/>
      <c r="BW1259" s="50"/>
      <c r="BX1259" s="54"/>
      <c r="BY1259" s="14"/>
      <c r="BZ1259" s="14"/>
      <c r="CA1259" s="14"/>
      <c r="CB1259" s="14"/>
      <c r="CC1259" s="14"/>
      <c r="CD1259" s="14"/>
      <c r="CE1259" s="14"/>
      <c r="CF1259" s="15"/>
      <c r="CG1259" s="14"/>
      <c r="CH1259" s="14"/>
      <c r="CI1259" s="50"/>
      <c r="CJ1259" s="54"/>
      <c r="CK1259" s="14"/>
      <c r="CL1259" s="14"/>
      <c r="CM1259" s="14"/>
      <c r="CN1259" s="14"/>
      <c r="CO1259" s="14"/>
      <c r="CP1259" s="14"/>
      <c r="CQ1259" s="14"/>
      <c r="CR1259" s="14"/>
      <c r="CS1259" s="14"/>
      <c r="CT1259" s="14"/>
      <c r="CU1259" s="16"/>
      <c r="CV1259" s="14"/>
      <c r="CW1259" s="50"/>
      <c r="CX1259" s="17"/>
    </row>
    <row r="1260" spans="4:102" x14ac:dyDescent="0.25"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43"/>
      <c r="Q1260" s="11"/>
      <c r="R1260" s="11"/>
      <c r="S1260" s="11"/>
      <c r="T1260" s="11"/>
      <c r="U1260" s="11"/>
      <c r="V1260" s="11"/>
      <c r="W1260" s="11"/>
      <c r="X1260" s="12"/>
      <c r="Y1260" s="12"/>
      <c r="Z1260" s="12"/>
      <c r="AA1260" s="44"/>
      <c r="AB1260" s="45"/>
      <c r="AC1260" s="12"/>
      <c r="AD1260" s="12"/>
      <c r="AE1260" s="12"/>
      <c r="AF1260" s="12"/>
      <c r="AG1260" s="44"/>
      <c r="AH1260" s="45"/>
      <c r="AI1260" s="12"/>
      <c r="AJ1260" s="12"/>
      <c r="AK1260" s="12"/>
      <c r="AL1260" s="12"/>
      <c r="AM1260" s="44"/>
      <c r="AN1260" s="45"/>
      <c r="AO1260" s="12"/>
      <c r="AP1260" s="12"/>
      <c r="AQ1260" s="12"/>
      <c r="AR1260" s="12"/>
      <c r="AS1260" s="44"/>
      <c r="AT1260" s="45"/>
      <c r="AU1260" s="12"/>
      <c r="AV1260" s="12"/>
      <c r="AW1260" s="12"/>
      <c r="AX1260" s="12"/>
      <c r="AY1260" s="44"/>
      <c r="AZ1260" s="45"/>
      <c r="BA1260" s="12"/>
      <c r="BB1260" s="12"/>
      <c r="BC1260" s="12"/>
      <c r="BD1260" s="12"/>
      <c r="BE1260" s="44"/>
      <c r="BF1260" s="45"/>
      <c r="BG1260" s="12"/>
      <c r="BH1260" s="12"/>
      <c r="BI1260" s="12"/>
      <c r="BJ1260" s="12"/>
      <c r="BK1260" s="44"/>
      <c r="BL1260" s="45"/>
      <c r="BM1260" s="12"/>
      <c r="BN1260" s="12"/>
      <c r="BO1260" s="12"/>
      <c r="BP1260" s="12"/>
      <c r="BQ1260" s="48"/>
      <c r="BR1260" s="49"/>
      <c r="BS1260" s="13"/>
      <c r="BT1260" s="12"/>
      <c r="BV1260" s="14"/>
      <c r="BW1260" s="50"/>
      <c r="BX1260" s="54"/>
      <c r="BY1260" s="14"/>
      <c r="BZ1260" s="14"/>
      <c r="CA1260" s="14"/>
      <c r="CB1260" s="14"/>
      <c r="CC1260" s="14"/>
      <c r="CD1260" s="14"/>
      <c r="CE1260" s="14"/>
      <c r="CF1260" s="15"/>
      <c r="CG1260" s="14"/>
      <c r="CH1260" s="14"/>
      <c r="CI1260" s="50"/>
      <c r="CJ1260" s="54"/>
      <c r="CK1260" s="14"/>
      <c r="CL1260" s="14"/>
      <c r="CM1260" s="14"/>
      <c r="CN1260" s="14"/>
      <c r="CO1260" s="14"/>
      <c r="CP1260" s="14"/>
      <c r="CQ1260" s="14"/>
      <c r="CR1260" s="14"/>
      <c r="CS1260" s="14"/>
      <c r="CT1260" s="14"/>
      <c r="CU1260" s="16"/>
      <c r="CV1260" s="14"/>
      <c r="CW1260" s="50"/>
      <c r="CX1260" s="17"/>
    </row>
    <row r="1261" spans="4:102" x14ac:dyDescent="0.25"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43"/>
      <c r="Q1261" s="11"/>
      <c r="R1261" s="11"/>
      <c r="S1261" s="11"/>
      <c r="T1261" s="11"/>
      <c r="U1261" s="11"/>
      <c r="V1261" s="11"/>
      <c r="W1261" s="11"/>
      <c r="X1261" s="12"/>
      <c r="Y1261" s="12"/>
      <c r="Z1261" s="12"/>
      <c r="AA1261" s="44"/>
      <c r="AB1261" s="45"/>
      <c r="AC1261" s="12"/>
      <c r="AD1261" s="12"/>
      <c r="AE1261" s="12"/>
      <c r="AF1261" s="12"/>
      <c r="AG1261" s="44"/>
      <c r="AH1261" s="45"/>
      <c r="AI1261" s="12"/>
      <c r="AJ1261" s="12"/>
      <c r="AK1261" s="12"/>
      <c r="AL1261" s="12"/>
      <c r="AM1261" s="44"/>
      <c r="AN1261" s="45"/>
      <c r="AO1261" s="12"/>
      <c r="AP1261" s="12"/>
      <c r="AQ1261" s="12"/>
      <c r="AR1261" s="12"/>
      <c r="AS1261" s="44"/>
      <c r="AT1261" s="45"/>
      <c r="AU1261" s="12"/>
      <c r="AV1261" s="12"/>
      <c r="AW1261" s="12"/>
      <c r="AX1261" s="12"/>
      <c r="AY1261" s="44"/>
      <c r="AZ1261" s="45"/>
      <c r="BA1261" s="12"/>
      <c r="BB1261" s="12"/>
      <c r="BC1261" s="12"/>
      <c r="BD1261" s="12"/>
      <c r="BE1261" s="44"/>
      <c r="BF1261" s="45"/>
      <c r="BG1261" s="12"/>
      <c r="BH1261" s="12"/>
      <c r="BI1261" s="12"/>
      <c r="BJ1261" s="12"/>
      <c r="BK1261" s="44"/>
      <c r="BL1261" s="45"/>
      <c r="BM1261" s="12"/>
      <c r="BN1261" s="12"/>
      <c r="BO1261" s="12"/>
      <c r="BP1261" s="12"/>
      <c r="BQ1261" s="48"/>
      <c r="BR1261" s="49"/>
      <c r="BS1261" s="13"/>
      <c r="BT1261" s="12"/>
      <c r="BV1261" s="14"/>
      <c r="BW1261" s="50"/>
      <c r="BX1261" s="54"/>
      <c r="BY1261" s="14"/>
      <c r="BZ1261" s="14"/>
      <c r="CA1261" s="14"/>
      <c r="CB1261" s="14"/>
      <c r="CC1261" s="14"/>
      <c r="CD1261" s="14"/>
      <c r="CE1261" s="14"/>
      <c r="CF1261" s="15"/>
      <c r="CG1261" s="14"/>
      <c r="CH1261" s="14"/>
      <c r="CI1261" s="50"/>
      <c r="CJ1261" s="54"/>
      <c r="CK1261" s="14"/>
      <c r="CL1261" s="14"/>
      <c r="CM1261" s="14"/>
      <c r="CN1261" s="14"/>
      <c r="CO1261" s="14"/>
      <c r="CP1261" s="14"/>
      <c r="CQ1261" s="14"/>
      <c r="CR1261" s="14"/>
      <c r="CS1261" s="14"/>
      <c r="CT1261" s="14"/>
      <c r="CU1261" s="16"/>
      <c r="CV1261" s="14"/>
      <c r="CW1261" s="50"/>
      <c r="CX1261" s="17"/>
    </row>
    <row r="1262" spans="4:102" x14ac:dyDescent="0.25"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43"/>
      <c r="Q1262" s="11"/>
      <c r="R1262" s="11"/>
      <c r="S1262" s="11"/>
      <c r="T1262" s="11"/>
      <c r="U1262" s="11"/>
      <c r="V1262" s="11"/>
      <c r="W1262" s="11"/>
      <c r="X1262" s="12"/>
      <c r="Y1262" s="12"/>
      <c r="Z1262" s="12"/>
      <c r="AA1262" s="44"/>
      <c r="AB1262" s="45"/>
      <c r="AC1262" s="12"/>
      <c r="AD1262" s="12"/>
      <c r="AE1262" s="12"/>
      <c r="AF1262" s="12"/>
      <c r="AG1262" s="44"/>
      <c r="AH1262" s="45"/>
      <c r="AI1262" s="12"/>
      <c r="AJ1262" s="12"/>
      <c r="AK1262" s="12"/>
      <c r="AL1262" s="12"/>
      <c r="AM1262" s="44"/>
      <c r="AN1262" s="45"/>
      <c r="AO1262" s="12"/>
      <c r="AP1262" s="12"/>
      <c r="AQ1262" s="12"/>
      <c r="AR1262" s="12"/>
      <c r="AS1262" s="44"/>
      <c r="AT1262" s="45"/>
      <c r="AU1262" s="12"/>
      <c r="AV1262" s="12"/>
      <c r="AW1262" s="12"/>
      <c r="AX1262" s="12"/>
      <c r="AY1262" s="44"/>
      <c r="AZ1262" s="45"/>
      <c r="BA1262" s="12"/>
      <c r="BB1262" s="12"/>
      <c r="BC1262" s="12"/>
      <c r="BD1262" s="12"/>
      <c r="BE1262" s="44"/>
      <c r="BF1262" s="45"/>
      <c r="BG1262" s="12"/>
      <c r="BH1262" s="12"/>
      <c r="BI1262" s="12"/>
      <c r="BJ1262" s="12"/>
      <c r="BK1262" s="44"/>
      <c r="BL1262" s="45"/>
      <c r="BM1262" s="12"/>
      <c r="BN1262" s="12"/>
      <c r="BO1262" s="12"/>
      <c r="BP1262" s="12"/>
      <c r="BQ1262" s="48"/>
      <c r="BR1262" s="49"/>
      <c r="BS1262" s="13"/>
      <c r="BT1262" s="12"/>
      <c r="BV1262" s="14"/>
      <c r="BW1262" s="50"/>
      <c r="BX1262" s="54"/>
      <c r="BY1262" s="14"/>
      <c r="BZ1262" s="14"/>
      <c r="CA1262" s="14"/>
      <c r="CB1262" s="14"/>
      <c r="CC1262" s="14"/>
      <c r="CD1262" s="14"/>
      <c r="CE1262" s="14"/>
      <c r="CF1262" s="15"/>
      <c r="CG1262" s="14"/>
      <c r="CH1262" s="14"/>
      <c r="CI1262" s="50"/>
      <c r="CJ1262" s="54"/>
      <c r="CK1262" s="14"/>
      <c r="CL1262" s="14"/>
      <c r="CM1262" s="14"/>
      <c r="CN1262" s="14"/>
      <c r="CO1262" s="14"/>
      <c r="CP1262" s="14"/>
      <c r="CQ1262" s="14"/>
      <c r="CR1262" s="14"/>
      <c r="CS1262" s="14"/>
      <c r="CT1262" s="14"/>
      <c r="CU1262" s="16"/>
      <c r="CV1262" s="14"/>
      <c r="CW1262" s="50"/>
      <c r="CX1262" s="17"/>
    </row>
    <row r="1263" spans="4:102" x14ac:dyDescent="0.25"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43"/>
      <c r="Q1263" s="11"/>
      <c r="R1263" s="11"/>
      <c r="S1263" s="11"/>
      <c r="T1263" s="11"/>
      <c r="U1263" s="11"/>
      <c r="V1263" s="11"/>
      <c r="W1263" s="11"/>
      <c r="X1263" s="12"/>
      <c r="Y1263" s="12"/>
      <c r="Z1263" s="12"/>
      <c r="AA1263" s="44"/>
      <c r="AB1263" s="45"/>
      <c r="AC1263" s="12"/>
      <c r="AD1263" s="12"/>
      <c r="AE1263" s="12"/>
      <c r="AF1263" s="12"/>
      <c r="AG1263" s="44"/>
      <c r="AH1263" s="45"/>
      <c r="AI1263" s="12"/>
      <c r="AJ1263" s="12"/>
      <c r="AK1263" s="12"/>
      <c r="AL1263" s="12"/>
      <c r="AM1263" s="44"/>
      <c r="AN1263" s="45"/>
      <c r="AO1263" s="12"/>
      <c r="AP1263" s="12"/>
      <c r="AQ1263" s="12"/>
      <c r="AR1263" s="12"/>
      <c r="AS1263" s="44"/>
      <c r="AT1263" s="45"/>
      <c r="AU1263" s="12"/>
      <c r="AV1263" s="12"/>
      <c r="AW1263" s="12"/>
      <c r="AX1263" s="12"/>
      <c r="AY1263" s="44"/>
      <c r="AZ1263" s="45"/>
      <c r="BA1263" s="12"/>
      <c r="BB1263" s="12"/>
      <c r="BC1263" s="12"/>
      <c r="BD1263" s="12"/>
      <c r="BE1263" s="44"/>
      <c r="BF1263" s="45"/>
      <c r="BG1263" s="12"/>
      <c r="BH1263" s="12"/>
      <c r="BI1263" s="12"/>
      <c r="BJ1263" s="12"/>
      <c r="BK1263" s="44"/>
      <c r="BL1263" s="45"/>
      <c r="BM1263" s="12"/>
      <c r="BN1263" s="12"/>
      <c r="BO1263" s="12"/>
      <c r="BP1263" s="12"/>
      <c r="BQ1263" s="48"/>
      <c r="BR1263" s="49"/>
      <c r="BS1263" s="13"/>
      <c r="BT1263" s="12"/>
      <c r="BV1263" s="14"/>
      <c r="BW1263" s="50"/>
      <c r="BX1263" s="54"/>
      <c r="BY1263" s="14"/>
      <c r="BZ1263" s="14"/>
      <c r="CA1263" s="14"/>
      <c r="CB1263" s="14"/>
      <c r="CC1263" s="14"/>
      <c r="CD1263" s="14"/>
      <c r="CE1263" s="14"/>
      <c r="CF1263" s="15"/>
      <c r="CG1263" s="14"/>
      <c r="CH1263" s="14"/>
      <c r="CI1263" s="50"/>
      <c r="CJ1263" s="54"/>
      <c r="CK1263" s="14"/>
      <c r="CL1263" s="14"/>
      <c r="CM1263" s="14"/>
      <c r="CN1263" s="14"/>
      <c r="CO1263" s="14"/>
      <c r="CP1263" s="14"/>
      <c r="CQ1263" s="14"/>
      <c r="CR1263" s="14"/>
      <c r="CS1263" s="14"/>
      <c r="CT1263" s="14"/>
      <c r="CU1263" s="16"/>
      <c r="CV1263" s="14"/>
      <c r="CW1263" s="50"/>
      <c r="CX1263" s="17"/>
    </row>
    <row r="1264" spans="4:102" x14ac:dyDescent="0.25"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43"/>
      <c r="Q1264" s="11"/>
      <c r="R1264" s="11"/>
      <c r="S1264" s="11"/>
      <c r="T1264" s="11"/>
      <c r="U1264" s="11"/>
      <c r="V1264" s="11"/>
      <c r="W1264" s="11"/>
      <c r="X1264" s="12"/>
      <c r="Y1264" s="12"/>
      <c r="Z1264" s="12"/>
      <c r="AA1264" s="44"/>
      <c r="AB1264" s="45"/>
      <c r="AC1264" s="12"/>
      <c r="AD1264" s="12"/>
      <c r="AE1264" s="12"/>
      <c r="AF1264" s="12"/>
      <c r="AG1264" s="44"/>
      <c r="AH1264" s="45"/>
      <c r="AI1264" s="12"/>
      <c r="AJ1264" s="12"/>
      <c r="AK1264" s="12"/>
      <c r="AL1264" s="12"/>
      <c r="AM1264" s="44"/>
      <c r="AN1264" s="45"/>
      <c r="AO1264" s="12"/>
      <c r="AP1264" s="12"/>
      <c r="AQ1264" s="12"/>
      <c r="AR1264" s="12"/>
      <c r="AS1264" s="44"/>
      <c r="AT1264" s="45"/>
      <c r="AU1264" s="12"/>
      <c r="AV1264" s="12"/>
      <c r="AW1264" s="12"/>
      <c r="AX1264" s="12"/>
      <c r="AY1264" s="44"/>
      <c r="AZ1264" s="45"/>
      <c r="BA1264" s="12"/>
      <c r="BB1264" s="12"/>
      <c r="BC1264" s="12"/>
      <c r="BD1264" s="12"/>
      <c r="BE1264" s="44"/>
      <c r="BF1264" s="45"/>
      <c r="BG1264" s="12"/>
      <c r="BH1264" s="12"/>
      <c r="BI1264" s="12"/>
      <c r="BJ1264" s="12"/>
      <c r="BK1264" s="44"/>
      <c r="BL1264" s="45"/>
      <c r="BM1264" s="12"/>
      <c r="BN1264" s="12"/>
      <c r="BO1264" s="12"/>
      <c r="BP1264" s="12"/>
      <c r="BQ1264" s="48"/>
      <c r="BR1264" s="49"/>
      <c r="BS1264" s="13"/>
      <c r="BT1264" s="12"/>
      <c r="BV1264" s="14"/>
      <c r="BW1264" s="50"/>
      <c r="BX1264" s="54"/>
      <c r="BY1264" s="14"/>
      <c r="BZ1264" s="14"/>
      <c r="CA1264" s="14"/>
      <c r="CB1264" s="14"/>
      <c r="CC1264" s="14"/>
      <c r="CD1264" s="14"/>
      <c r="CE1264" s="14"/>
      <c r="CF1264" s="15"/>
      <c r="CG1264" s="14"/>
      <c r="CH1264" s="14"/>
      <c r="CI1264" s="50"/>
      <c r="CJ1264" s="54"/>
      <c r="CK1264" s="14"/>
      <c r="CL1264" s="14"/>
      <c r="CM1264" s="14"/>
      <c r="CN1264" s="14"/>
      <c r="CO1264" s="14"/>
      <c r="CP1264" s="14"/>
      <c r="CQ1264" s="14"/>
      <c r="CR1264" s="14"/>
      <c r="CS1264" s="14"/>
      <c r="CT1264" s="14"/>
      <c r="CU1264" s="16"/>
      <c r="CV1264" s="14"/>
      <c r="CW1264" s="50"/>
      <c r="CX1264" s="17"/>
    </row>
    <row r="1265" spans="4:102" x14ac:dyDescent="0.25"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43"/>
      <c r="Q1265" s="11"/>
      <c r="R1265" s="11"/>
      <c r="S1265" s="11"/>
      <c r="T1265" s="11"/>
      <c r="U1265" s="11"/>
      <c r="V1265" s="11"/>
      <c r="W1265" s="11"/>
      <c r="X1265" s="12"/>
      <c r="Y1265" s="12"/>
      <c r="Z1265" s="12"/>
      <c r="AA1265" s="44"/>
      <c r="AB1265" s="45"/>
      <c r="AC1265" s="12"/>
      <c r="AD1265" s="12"/>
      <c r="AE1265" s="12"/>
      <c r="AF1265" s="12"/>
      <c r="AG1265" s="44"/>
      <c r="AH1265" s="45"/>
      <c r="AI1265" s="12"/>
      <c r="AJ1265" s="12"/>
      <c r="AK1265" s="12"/>
      <c r="AL1265" s="12"/>
      <c r="AM1265" s="44"/>
      <c r="AN1265" s="45"/>
      <c r="AO1265" s="12"/>
      <c r="AP1265" s="12"/>
      <c r="AQ1265" s="12"/>
      <c r="AR1265" s="12"/>
      <c r="AS1265" s="44"/>
      <c r="AT1265" s="45"/>
      <c r="AU1265" s="12"/>
      <c r="AV1265" s="12"/>
      <c r="AW1265" s="12"/>
      <c r="AX1265" s="12"/>
      <c r="AY1265" s="44"/>
      <c r="AZ1265" s="45"/>
      <c r="BA1265" s="12"/>
      <c r="BB1265" s="12"/>
      <c r="BC1265" s="12"/>
      <c r="BD1265" s="12"/>
      <c r="BE1265" s="44"/>
      <c r="BF1265" s="45"/>
      <c r="BG1265" s="12"/>
      <c r="BH1265" s="12"/>
      <c r="BI1265" s="12"/>
      <c r="BJ1265" s="12"/>
      <c r="BK1265" s="44"/>
      <c r="BL1265" s="45"/>
      <c r="BM1265" s="12"/>
      <c r="BN1265" s="12"/>
      <c r="BO1265" s="12"/>
      <c r="BP1265" s="12"/>
      <c r="BQ1265" s="48"/>
      <c r="BR1265" s="49"/>
      <c r="BS1265" s="13"/>
      <c r="BT1265" s="12"/>
      <c r="BV1265" s="14"/>
      <c r="BW1265" s="50"/>
      <c r="BX1265" s="54"/>
      <c r="BY1265" s="14"/>
      <c r="BZ1265" s="14"/>
      <c r="CA1265" s="14"/>
      <c r="CB1265" s="14"/>
      <c r="CC1265" s="14"/>
      <c r="CD1265" s="14"/>
      <c r="CE1265" s="14"/>
      <c r="CF1265" s="15"/>
      <c r="CG1265" s="14"/>
      <c r="CH1265" s="14"/>
      <c r="CI1265" s="50"/>
      <c r="CJ1265" s="54"/>
      <c r="CK1265" s="14"/>
      <c r="CL1265" s="14"/>
      <c r="CM1265" s="14"/>
      <c r="CN1265" s="14"/>
      <c r="CO1265" s="14"/>
      <c r="CP1265" s="14"/>
      <c r="CQ1265" s="14"/>
      <c r="CR1265" s="14"/>
      <c r="CS1265" s="14"/>
      <c r="CT1265" s="14"/>
      <c r="CU1265" s="16"/>
      <c r="CV1265" s="14"/>
      <c r="CW1265" s="50"/>
      <c r="CX1265" s="17"/>
    </row>
    <row r="1266" spans="4:102" x14ac:dyDescent="0.25"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43"/>
      <c r="Q1266" s="11"/>
      <c r="R1266" s="11"/>
      <c r="S1266" s="11"/>
      <c r="T1266" s="11"/>
      <c r="U1266" s="11"/>
      <c r="V1266" s="11"/>
      <c r="W1266" s="11"/>
      <c r="X1266" s="12"/>
      <c r="Y1266" s="12"/>
      <c r="Z1266" s="12"/>
      <c r="AA1266" s="44"/>
      <c r="AB1266" s="45"/>
      <c r="AC1266" s="12"/>
      <c r="AD1266" s="12"/>
      <c r="AE1266" s="12"/>
      <c r="AF1266" s="12"/>
      <c r="AG1266" s="44"/>
      <c r="AH1266" s="45"/>
      <c r="AI1266" s="12"/>
      <c r="AJ1266" s="12"/>
      <c r="AK1266" s="12"/>
      <c r="AL1266" s="12"/>
      <c r="AM1266" s="44"/>
      <c r="AN1266" s="45"/>
      <c r="AO1266" s="12"/>
      <c r="AP1266" s="12"/>
      <c r="AQ1266" s="12"/>
      <c r="AR1266" s="12"/>
      <c r="AS1266" s="44"/>
      <c r="AT1266" s="45"/>
      <c r="AU1266" s="12"/>
      <c r="AV1266" s="12"/>
      <c r="AW1266" s="12"/>
      <c r="AX1266" s="12"/>
      <c r="AY1266" s="44"/>
      <c r="AZ1266" s="45"/>
      <c r="BA1266" s="12"/>
      <c r="BB1266" s="12"/>
      <c r="BC1266" s="12"/>
      <c r="BD1266" s="12"/>
      <c r="BE1266" s="44"/>
      <c r="BF1266" s="45"/>
      <c r="BG1266" s="12"/>
      <c r="BH1266" s="12"/>
      <c r="BI1266" s="12"/>
      <c r="BJ1266" s="12"/>
      <c r="BK1266" s="44"/>
      <c r="BL1266" s="45"/>
      <c r="BM1266" s="12"/>
      <c r="BN1266" s="12"/>
      <c r="BO1266" s="12"/>
      <c r="BP1266" s="12"/>
      <c r="BQ1266" s="48"/>
      <c r="BR1266" s="49"/>
      <c r="BS1266" s="13"/>
      <c r="BT1266" s="12"/>
      <c r="BV1266" s="14"/>
      <c r="BW1266" s="50"/>
      <c r="BX1266" s="54"/>
      <c r="BY1266" s="14"/>
      <c r="BZ1266" s="14"/>
      <c r="CA1266" s="14"/>
      <c r="CB1266" s="14"/>
      <c r="CC1266" s="14"/>
      <c r="CD1266" s="14"/>
      <c r="CE1266" s="14"/>
      <c r="CF1266" s="15"/>
      <c r="CG1266" s="14"/>
      <c r="CH1266" s="14"/>
      <c r="CI1266" s="50"/>
      <c r="CJ1266" s="54"/>
      <c r="CK1266" s="14"/>
      <c r="CL1266" s="14"/>
      <c r="CM1266" s="14"/>
      <c r="CN1266" s="14"/>
      <c r="CO1266" s="14"/>
      <c r="CP1266" s="14"/>
      <c r="CQ1266" s="14"/>
      <c r="CR1266" s="14"/>
      <c r="CS1266" s="14"/>
      <c r="CT1266" s="14"/>
      <c r="CU1266" s="16"/>
      <c r="CV1266" s="14"/>
      <c r="CW1266" s="50"/>
      <c r="CX1266" s="17"/>
    </row>
    <row r="1267" spans="4:102" x14ac:dyDescent="0.25"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43"/>
      <c r="Q1267" s="11"/>
      <c r="R1267" s="11"/>
      <c r="S1267" s="11"/>
      <c r="T1267" s="11"/>
      <c r="U1267" s="11"/>
      <c r="V1267" s="11"/>
      <c r="W1267" s="11"/>
      <c r="X1267" s="12"/>
      <c r="Y1267" s="12"/>
      <c r="Z1267" s="12"/>
      <c r="AA1267" s="44"/>
      <c r="AB1267" s="45"/>
      <c r="AC1267" s="12"/>
      <c r="AD1267" s="12"/>
      <c r="AE1267" s="12"/>
      <c r="AF1267" s="12"/>
      <c r="AG1267" s="44"/>
      <c r="AH1267" s="45"/>
      <c r="AI1267" s="12"/>
      <c r="AJ1267" s="12"/>
      <c r="AK1267" s="12"/>
      <c r="AL1267" s="12"/>
      <c r="AM1267" s="44"/>
      <c r="AN1267" s="45"/>
      <c r="AO1267" s="12"/>
      <c r="AP1267" s="12"/>
      <c r="AQ1267" s="12"/>
      <c r="AR1267" s="12"/>
      <c r="AS1267" s="44"/>
      <c r="AT1267" s="45"/>
      <c r="AU1267" s="12"/>
      <c r="AV1267" s="12"/>
      <c r="AW1267" s="12"/>
      <c r="AX1267" s="12"/>
      <c r="AY1267" s="44"/>
      <c r="AZ1267" s="45"/>
      <c r="BA1267" s="12"/>
      <c r="BB1267" s="12"/>
      <c r="BC1267" s="12"/>
      <c r="BD1267" s="12"/>
      <c r="BE1267" s="44"/>
      <c r="BF1267" s="45"/>
      <c r="BG1267" s="12"/>
      <c r="BH1267" s="12"/>
      <c r="BI1267" s="12"/>
      <c r="BJ1267" s="12"/>
      <c r="BK1267" s="44"/>
      <c r="BL1267" s="45"/>
      <c r="BM1267" s="12"/>
      <c r="BN1267" s="12"/>
      <c r="BO1267" s="12"/>
      <c r="BP1267" s="12"/>
      <c r="BQ1267" s="48"/>
      <c r="BR1267" s="49"/>
      <c r="BS1267" s="13"/>
      <c r="BT1267" s="12"/>
      <c r="BV1267" s="14"/>
      <c r="BW1267" s="50"/>
      <c r="BX1267" s="54"/>
      <c r="BY1267" s="14"/>
      <c r="BZ1267" s="14"/>
      <c r="CA1267" s="14"/>
      <c r="CB1267" s="14"/>
      <c r="CC1267" s="14"/>
      <c r="CD1267" s="14"/>
      <c r="CE1267" s="14"/>
      <c r="CF1267" s="15"/>
      <c r="CG1267" s="14"/>
      <c r="CH1267" s="14"/>
      <c r="CI1267" s="50"/>
      <c r="CJ1267" s="54"/>
      <c r="CK1267" s="14"/>
      <c r="CL1267" s="14"/>
      <c r="CM1267" s="14"/>
      <c r="CN1267" s="14"/>
      <c r="CO1267" s="14"/>
      <c r="CP1267" s="14"/>
      <c r="CQ1267" s="14"/>
      <c r="CR1267" s="14"/>
      <c r="CS1267" s="14"/>
      <c r="CT1267" s="14"/>
      <c r="CU1267" s="16"/>
      <c r="CV1267" s="14"/>
      <c r="CW1267" s="50"/>
      <c r="CX1267" s="17"/>
    </row>
    <row r="1268" spans="4:102" x14ac:dyDescent="0.25"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43"/>
      <c r="Q1268" s="11"/>
      <c r="R1268" s="11"/>
      <c r="S1268" s="11"/>
      <c r="T1268" s="11"/>
      <c r="U1268" s="11"/>
      <c r="V1268" s="11"/>
      <c r="W1268" s="11"/>
      <c r="X1268" s="12"/>
      <c r="Y1268" s="12"/>
      <c r="Z1268" s="12"/>
      <c r="AA1268" s="44"/>
      <c r="AB1268" s="45"/>
      <c r="AC1268" s="12"/>
      <c r="AD1268" s="12"/>
      <c r="AE1268" s="12"/>
      <c r="AF1268" s="12"/>
      <c r="AG1268" s="44"/>
      <c r="AH1268" s="45"/>
      <c r="AI1268" s="12"/>
      <c r="AJ1268" s="12"/>
      <c r="AK1268" s="12"/>
      <c r="AL1268" s="12"/>
      <c r="AM1268" s="44"/>
      <c r="AN1268" s="45"/>
      <c r="AO1268" s="12"/>
      <c r="AP1268" s="12"/>
      <c r="AQ1268" s="12"/>
      <c r="AR1268" s="12"/>
      <c r="AS1268" s="44"/>
      <c r="AT1268" s="45"/>
      <c r="AU1268" s="12"/>
      <c r="AV1268" s="12"/>
      <c r="AW1268" s="12"/>
      <c r="AX1268" s="12"/>
      <c r="AY1268" s="44"/>
      <c r="AZ1268" s="45"/>
      <c r="BA1268" s="12"/>
      <c r="BB1268" s="12"/>
      <c r="BC1268" s="12"/>
      <c r="BD1268" s="12"/>
      <c r="BE1268" s="44"/>
      <c r="BF1268" s="45"/>
      <c r="BG1268" s="12"/>
      <c r="BH1268" s="12"/>
      <c r="BI1268" s="12"/>
      <c r="BJ1268" s="12"/>
      <c r="BK1268" s="44"/>
      <c r="BL1268" s="45"/>
      <c r="BM1268" s="12"/>
      <c r="BN1268" s="12"/>
      <c r="BO1268" s="12"/>
      <c r="BP1268" s="12"/>
      <c r="BQ1268" s="48"/>
      <c r="BR1268" s="49"/>
      <c r="BS1268" s="13"/>
      <c r="BT1268" s="12"/>
      <c r="BV1268" s="14"/>
      <c r="BW1268" s="50"/>
      <c r="BX1268" s="54"/>
      <c r="BY1268" s="14"/>
      <c r="BZ1268" s="14"/>
      <c r="CA1268" s="14"/>
      <c r="CB1268" s="14"/>
      <c r="CC1268" s="14"/>
      <c r="CD1268" s="14"/>
      <c r="CE1268" s="14"/>
      <c r="CF1268" s="15"/>
      <c r="CG1268" s="14"/>
      <c r="CH1268" s="14"/>
      <c r="CI1268" s="50"/>
      <c r="CJ1268" s="54"/>
      <c r="CK1268" s="14"/>
      <c r="CL1268" s="14"/>
      <c r="CM1268" s="14"/>
      <c r="CN1268" s="14"/>
      <c r="CO1268" s="14"/>
      <c r="CP1268" s="14"/>
      <c r="CQ1268" s="14"/>
      <c r="CR1268" s="14"/>
      <c r="CS1268" s="14"/>
      <c r="CT1268" s="14"/>
      <c r="CU1268" s="16"/>
      <c r="CV1268" s="14"/>
      <c r="CW1268" s="50"/>
      <c r="CX1268" s="17"/>
    </row>
    <row r="1269" spans="4:102" x14ac:dyDescent="0.25"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43"/>
      <c r="Q1269" s="11"/>
      <c r="R1269" s="11"/>
      <c r="S1269" s="11"/>
      <c r="T1269" s="11"/>
      <c r="U1269" s="11"/>
      <c r="V1269" s="11"/>
      <c r="W1269" s="11"/>
      <c r="X1269" s="12"/>
      <c r="Y1269" s="12"/>
      <c r="Z1269" s="12"/>
      <c r="AA1269" s="44"/>
      <c r="AB1269" s="45"/>
      <c r="AC1269" s="12"/>
      <c r="AD1269" s="12"/>
      <c r="AE1269" s="12"/>
      <c r="AF1269" s="12"/>
      <c r="AG1269" s="44"/>
      <c r="AH1269" s="45"/>
      <c r="AI1269" s="12"/>
      <c r="AJ1269" s="12"/>
      <c r="AK1269" s="12"/>
      <c r="AL1269" s="12"/>
      <c r="AM1269" s="44"/>
      <c r="AN1269" s="45"/>
      <c r="AO1269" s="12"/>
      <c r="AP1269" s="12"/>
      <c r="AQ1269" s="12"/>
      <c r="AR1269" s="12"/>
      <c r="AS1269" s="44"/>
      <c r="AT1269" s="45"/>
      <c r="AU1269" s="12"/>
      <c r="AV1269" s="12"/>
      <c r="AW1269" s="12"/>
      <c r="AX1269" s="12"/>
      <c r="AY1269" s="44"/>
      <c r="AZ1269" s="45"/>
      <c r="BA1269" s="12"/>
      <c r="BB1269" s="12"/>
      <c r="BC1269" s="12"/>
      <c r="BD1269" s="12"/>
      <c r="BE1269" s="44"/>
      <c r="BF1269" s="45"/>
      <c r="BG1269" s="12"/>
      <c r="BH1269" s="12"/>
      <c r="BI1269" s="12"/>
      <c r="BJ1269" s="12"/>
      <c r="BK1269" s="44"/>
      <c r="BL1269" s="45"/>
      <c r="BM1269" s="12"/>
      <c r="BN1269" s="12"/>
      <c r="BO1269" s="12"/>
      <c r="BP1269" s="12"/>
      <c r="BQ1269" s="48"/>
      <c r="BR1269" s="49"/>
      <c r="BS1269" s="13"/>
      <c r="BT1269" s="12"/>
      <c r="BV1269" s="14"/>
      <c r="BW1269" s="50"/>
      <c r="BX1269" s="54"/>
      <c r="BY1269" s="14"/>
      <c r="BZ1269" s="14"/>
      <c r="CA1269" s="14"/>
      <c r="CB1269" s="14"/>
      <c r="CC1269" s="14"/>
      <c r="CD1269" s="14"/>
      <c r="CE1269" s="14"/>
      <c r="CF1269" s="15"/>
      <c r="CG1269" s="14"/>
      <c r="CH1269" s="14"/>
      <c r="CI1269" s="50"/>
      <c r="CJ1269" s="54"/>
      <c r="CK1269" s="14"/>
      <c r="CL1269" s="14"/>
      <c r="CM1269" s="14"/>
      <c r="CN1269" s="14"/>
      <c r="CO1269" s="14"/>
      <c r="CP1269" s="14"/>
      <c r="CQ1269" s="14"/>
      <c r="CR1269" s="14"/>
      <c r="CS1269" s="14"/>
      <c r="CT1269" s="14"/>
      <c r="CU1269" s="16"/>
      <c r="CV1269" s="14"/>
      <c r="CW1269" s="50"/>
      <c r="CX1269" s="17"/>
    </row>
    <row r="1270" spans="4:102" x14ac:dyDescent="0.25"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43"/>
      <c r="Q1270" s="11"/>
      <c r="R1270" s="11"/>
      <c r="S1270" s="11"/>
      <c r="T1270" s="11"/>
      <c r="U1270" s="11"/>
      <c r="V1270" s="11"/>
      <c r="W1270" s="11"/>
      <c r="X1270" s="12"/>
      <c r="Y1270" s="12"/>
      <c r="Z1270" s="12"/>
      <c r="AA1270" s="44"/>
      <c r="AB1270" s="45"/>
      <c r="AC1270" s="12"/>
      <c r="AD1270" s="12"/>
      <c r="AE1270" s="12"/>
      <c r="AF1270" s="12"/>
      <c r="AG1270" s="44"/>
      <c r="AH1270" s="45"/>
      <c r="AI1270" s="12"/>
      <c r="AJ1270" s="12"/>
      <c r="AK1270" s="12"/>
      <c r="AL1270" s="12"/>
      <c r="AM1270" s="44"/>
      <c r="AN1270" s="45"/>
      <c r="AO1270" s="12"/>
      <c r="AP1270" s="12"/>
      <c r="AQ1270" s="12"/>
      <c r="AR1270" s="12"/>
      <c r="AS1270" s="44"/>
      <c r="AT1270" s="45"/>
      <c r="AU1270" s="12"/>
      <c r="AV1270" s="12"/>
      <c r="AW1270" s="12"/>
      <c r="AX1270" s="12"/>
      <c r="AY1270" s="44"/>
      <c r="AZ1270" s="45"/>
      <c r="BA1270" s="12"/>
      <c r="BB1270" s="12"/>
      <c r="BC1270" s="12"/>
      <c r="BD1270" s="12"/>
      <c r="BE1270" s="44"/>
      <c r="BF1270" s="45"/>
      <c r="BG1270" s="12"/>
      <c r="BH1270" s="12"/>
      <c r="BI1270" s="12"/>
      <c r="BJ1270" s="12"/>
      <c r="BK1270" s="44"/>
      <c r="BL1270" s="45"/>
      <c r="BM1270" s="12"/>
      <c r="BN1270" s="12"/>
      <c r="BO1270" s="12"/>
      <c r="BP1270" s="12"/>
      <c r="BQ1270" s="48"/>
      <c r="BR1270" s="49"/>
      <c r="BS1270" s="13"/>
      <c r="BT1270" s="12"/>
      <c r="BV1270" s="14"/>
      <c r="BW1270" s="50"/>
      <c r="BX1270" s="54"/>
      <c r="BY1270" s="14"/>
      <c r="BZ1270" s="14"/>
      <c r="CA1270" s="14"/>
      <c r="CB1270" s="14"/>
      <c r="CC1270" s="14"/>
      <c r="CD1270" s="14"/>
      <c r="CE1270" s="14"/>
      <c r="CF1270" s="15"/>
      <c r="CG1270" s="14"/>
      <c r="CH1270" s="14"/>
      <c r="CI1270" s="50"/>
      <c r="CJ1270" s="54"/>
      <c r="CK1270" s="14"/>
      <c r="CL1270" s="14"/>
      <c r="CM1270" s="14"/>
      <c r="CN1270" s="14"/>
      <c r="CO1270" s="14"/>
      <c r="CP1270" s="14"/>
      <c r="CQ1270" s="14"/>
      <c r="CR1270" s="14"/>
      <c r="CS1270" s="14"/>
      <c r="CT1270" s="14"/>
      <c r="CU1270" s="16"/>
      <c r="CV1270" s="14"/>
      <c r="CW1270" s="50"/>
      <c r="CX1270" s="17"/>
    </row>
    <row r="1271" spans="4:102" x14ac:dyDescent="0.25"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43"/>
      <c r="Q1271" s="11"/>
      <c r="R1271" s="11"/>
      <c r="S1271" s="11"/>
      <c r="T1271" s="11"/>
      <c r="U1271" s="11"/>
      <c r="V1271" s="11"/>
      <c r="W1271" s="11"/>
      <c r="X1271" s="12"/>
      <c r="Y1271" s="12"/>
      <c r="Z1271" s="12"/>
      <c r="AA1271" s="44"/>
      <c r="AB1271" s="45"/>
      <c r="AC1271" s="12"/>
      <c r="AD1271" s="12"/>
      <c r="AE1271" s="12"/>
      <c r="AF1271" s="12"/>
      <c r="AG1271" s="44"/>
      <c r="AH1271" s="45"/>
      <c r="AI1271" s="12"/>
      <c r="AJ1271" s="12"/>
      <c r="AK1271" s="12"/>
      <c r="AL1271" s="12"/>
      <c r="AM1271" s="44"/>
      <c r="AN1271" s="45"/>
      <c r="AO1271" s="12"/>
      <c r="AP1271" s="12"/>
      <c r="AQ1271" s="12"/>
      <c r="AR1271" s="12"/>
      <c r="AS1271" s="44"/>
      <c r="AT1271" s="45"/>
      <c r="AU1271" s="12"/>
      <c r="AV1271" s="12"/>
      <c r="AW1271" s="12"/>
      <c r="AX1271" s="12"/>
      <c r="AY1271" s="44"/>
      <c r="AZ1271" s="45"/>
      <c r="BA1271" s="12"/>
      <c r="BB1271" s="12"/>
      <c r="BC1271" s="12"/>
      <c r="BD1271" s="12"/>
      <c r="BE1271" s="44"/>
      <c r="BF1271" s="45"/>
      <c r="BG1271" s="12"/>
      <c r="BH1271" s="12"/>
      <c r="BI1271" s="12"/>
      <c r="BJ1271" s="12"/>
      <c r="BK1271" s="44"/>
      <c r="BL1271" s="45"/>
      <c r="BM1271" s="12"/>
      <c r="BN1271" s="12"/>
      <c r="BO1271" s="12"/>
      <c r="BP1271" s="12"/>
      <c r="BQ1271" s="48"/>
      <c r="BR1271" s="49"/>
      <c r="BS1271" s="13"/>
      <c r="BT1271" s="12"/>
      <c r="BV1271" s="14"/>
      <c r="BW1271" s="50"/>
      <c r="BX1271" s="54"/>
      <c r="BY1271" s="14"/>
      <c r="BZ1271" s="14"/>
      <c r="CA1271" s="14"/>
      <c r="CB1271" s="14"/>
      <c r="CC1271" s="14"/>
      <c r="CD1271" s="14"/>
      <c r="CE1271" s="14"/>
      <c r="CF1271" s="15"/>
      <c r="CG1271" s="14"/>
      <c r="CH1271" s="14"/>
      <c r="CI1271" s="50"/>
      <c r="CJ1271" s="54"/>
      <c r="CK1271" s="14"/>
      <c r="CL1271" s="14"/>
      <c r="CM1271" s="14"/>
      <c r="CN1271" s="14"/>
      <c r="CO1271" s="14"/>
      <c r="CP1271" s="14"/>
      <c r="CQ1271" s="14"/>
      <c r="CR1271" s="14"/>
      <c r="CS1271" s="14"/>
      <c r="CT1271" s="14"/>
      <c r="CU1271" s="16"/>
      <c r="CV1271" s="14"/>
      <c r="CW1271" s="50"/>
      <c r="CX1271" s="17"/>
    </row>
    <row r="1272" spans="4:102" x14ac:dyDescent="0.25"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43"/>
      <c r="Q1272" s="11"/>
      <c r="R1272" s="11"/>
      <c r="S1272" s="11"/>
      <c r="T1272" s="11"/>
      <c r="U1272" s="11"/>
      <c r="V1272" s="11"/>
      <c r="W1272" s="11"/>
      <c r="X1272" s="12"/>
      <c r="Y1272" s="12"/>
      <c r="Z1272" s="12"/>
      <c r="AA1272" s="44"/>
      <c r="AB1272" s="45"/>
      <c r="AC1272" s="12"/>
      <c r="AD1272" s="12"/>
      <c r="AE1272" s="12"/>
      <c r="AF1272" s="12"/>
      <c r="AG1272" s="44"/>
      <c r="AH1272" s="45"/>
      <c r="AI1272" s="12"/>
      <c r="AJ1272" s="12"/>
      <c r="AK1272" s="12"/>
      <c r="AL1272" s="12"/>
      <c r="AM1272" s="44"/>
      <c r="AN1272" s="45"/>
      <c r="AO1272" s="12"/>
      <c r="AP1272" s="12"/>
      <c r="AQ1272" s="12"/>
      <c r="AR1272" s="12"/>
      <c r="AS1272" s="44"/>
      <c r="AT1272" s="45"/>
      <c r="AU1272" s="12"/>
      <c r="AV1272" s="12"/>
      <c r="AW1272" s="12"/>
      <c r="AX1272" s="12"/>
      <c r="AY1272" s="44"/>
      <c r="AZ1272" s="45"/>
      <c r="BA1272" s="12"/>
      <c r="BB1272" s="12"/>
      <c r="BC1272" s="12"/>
      <c r="BD1272" s="12"/>
      <c r="BE1272" s="44"/>
      <c r="BF1272" s="45"/>
      <c r="BG1272" s="12"/>
      <c r="BH1272" s="12"/>
      <c r="BI1272" s="12"/>
      <c r="BJ1272" s="12"/>
      <c r="BK1272" s="44"/>
      <c r="BL1272" s="45"/>
      <c r="BM1272" s="12"/>
      <c r="BN1272" s="12"/>
      <c r="BO1272" s="12"/>
      <c r="BP1272" s="12"/>
      <c r="BQ1272" s="48"/>
      <c r="BR1272" s="49"/>
      <c r="BS1272" s="13"/>
      <c r="BT1272" s="12"/>
      <c r="BV1272" s="14"/>
      <c r="BW1272" s="50"/>
      <c r="BX1272" s="54"/>
      <c r="BY1272" s="14"/>
      <c r="BZ1272" s="14"/>
      <c r="CA1272" s="14"/>
      <c r="CB1272" s="14"/>
      <c r="CC1272" s="14"/>
      <c r="CD1272" s="14"/>
      <c r="CE1272" s="14"/>
      <c r="CF1272" s="15"/>
      <c r="CG1272" s="14"/>
      <c r="CH1272" s="14"/>
      <c r="CI1272" s="50"/>
      <c r="CJ1272" s="54"/>
      <c r="CK1272" s="14"/>
      <c r="CL1272" s="14"/>
      <c r="CM1272" s="14"/>
      <c r="CN1272" s="14"/>
      <c r="CO1272" s="14"/>
      <c r="CP1272" s="14"/>
      <c r="CQ1272" s="14"/>
      <c r="CR1272" s="14"/>
      <c r="CS1272" s="14"/>
      <c r="CT1272" s="14"/>
      <c r="CU1272" s="16"/>
      <c r="CV1272" s="14"/>
      <c r="CW1272" s="50"/>
      <c r="CX1272" s="17"/>
    </row>
    <row r="1273" spans="4:102" x14ac:dyDescent="0.25"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43"/>
      <c r="Q1273" s="11"/>
      <c r="R1273" s="11"/>
      <c r="S1273" s="11"/>
      <c r="T1273" s="11"/>
      <c r="U1273" s="11"/>
      <c r="V1273" s="11"/>
      <c r="W1273" s="11"/>
      <c r="X1273" s="12"/>
      <c r="Y1273" s="12"/>
      <c r="Z1273" s="12"/>
      <c r="AA1273" s="44"/>
      <c r="AB1273" s="45"/>
      <c r="AC1273" s="12"/>
      <c r="AD1273" s="12"/>
      <c r="AE1273" s="12"/>
      <c r="AF1273" s="12"/>
      <c r="AG1273" s="44"/>
      <c r="AH1273" s="45"/>
      <c r="AI1273" s="12"/>
      <c r="AJ1273" s="12"/>
      <c r="AK1273" s="12"/>
      <c r="AL1273" s="12"/>
      <c r="AM1273" s="44"/>
      <c r="AN1273" s="45"/>
      <c r="AO1273" s="12"/>
      <c r="AP1273" s="12"/>
      <c r="AQ1273" s="12"/>
      <c r="AR1273" s="12"/>
      <c r="AS1273" s="44"/>
      <c r="AT1273" s="45"/>
      <c r="AU1273" s="12"/>
      <c r="AV1273" s="12"/>
      <c r="AW1273" s="12"/>
      <c r="AX1273" s="12"/>
      <c r="AY1273" s="44"/>
      <c r="AZ1273" s="45"/>
      <c r="BA1273" s="12"/>
      <c r="BB1273" s="12"/>
      <c r="BC1273" s="12"/>
      <c r="BD1273" s="12"/>
      <c r="BE1273" s="44"/>
      <c r="BF1273" s="45"/>
      <c r="BG1273" s="12"/>
      <c r="BH1273" s="12"/>
      <c r="BI1273" s="12"/>
      <c r="BJ1273" s="12"/>
      <c r="BK1273" s="44"/>
      <c r="BL1273" s="45"/>
      <c r="BM1273" s="12"/>
      <c r="BN1273" s="12"/>
      <c r="BO1273" s="12"/>
      <c r="BP1273" s="12"/>
      <c r="BQ1273" s="48"/>
      <c r="BR1273" s="49"/>
      <c r="BS1273" s="13"/>
      <c r="BT1273" s="12"/>
      <c r="BV1273" s="14"/>
      <c r="BW1273" s="50"/>
      <c r="BX1273" s="54"/>
      <c r="BY1273" s="14"/>
      <c r="BZ1273" s="14"/>
      <c r="CA1273" s="14"/>
      <c r="CB1273" s="14"/>
      <c r="CC1273" s="14"/>
      <c r="CD1273" s="14"/>
      <c r="CE1273" s="14"/>
      <c r="CF1273" s="15"/>
      <c r="CG1273" s="14"/>
      <c r="CH1273" s="14"/>
      <c r="CI1273" s="50"/>
      <c r="CJ1273" s="54"/>
      <c r="CK1273" s="14"/>
      <c r="CL1273" s="14"/>
      <c r="CM1273" s="14"/>
      <c r="CN1273" s="14"/>
      <c r="CO1273" s="14"/>
      <c r="CP1273" s="14"/>
      <c r="CQ1273" s="14"/>
      <c r="CR1273" s="14"/>
      <c r="CS1273" s="14"/>
      <c r="CT1273" s="14"/>
      <c r="CU1273" s="16"/>
      <c r="CV1273" s="14"/>
      <c r="CW1273" s="50"/>
      <c r="CX1273" s="17"/>
    </row>
    <row r="1274" spans="4:102" x14ac:dyDescent="0.25"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43"/>
      <c r="Q1274" s="11"/>
      <c r="R1274" s="11"/>
      <c r="S1274" s="11"/>
      <c r="T1274" s="11"/>
      <c r="U1274" s="11"/>
      <c r="V1274" s="11"/>
      <c r="W1274" s="11"/>
      <c r="X1274" s="12"/>
      <c r="Y1274" s="12"/>
      <c r="Z1274" s="12"/>
      <c r="AA1274" s="44"/>
      <c r="AB1274" s="45"/>
      <c r="AC1274" s="12"/>
      <c r="AD1274" s="12"/>
      <c r="AE1274" s="12"/>
      <c r="AF1274" s="12"/>
      <c r="AG1274" s="44"/>
      <c r="AH1274" s="45"/>
      <c r="AI1274" s="12"/>
      <c r="AJ1274" s="12"/>
      <c r="AK1274" s="12"/>
      <c r="AL1274" s="12"/>
      <c r="AM1274" s="44"/>
      <c r="AN1274" s="45"/>
      <c r="AO1274" s="12"/>
      <c r="AP1274" s="12"/>
      <c r="AQ1274" s="12"/>
      <c r="AR1274" s="12"/>
      <c r="AS1274" s="44"/>
      <c r="AT1274" s="45"/>
      <c r="AU1274" s="12"/>
      <c r="AV1274" s="12"/>
      <c r="AW1274" s="12"/>
      <c r="AX1274" s="12"/>
      <c r="AY1274" s="44"/>
      <c r="AZ1274" s="45"/>
      <c r="BA1274" s="12"/>
      <c r="BB1274" s="12"/>
      <c r="BC1274" s="12"/>
      <c r="BD1274" s="12"/>
      <c r="BE1274" s="44"/>
      <c r="BF1274" s="45"/>
      <c r="BG1274" s="12"/>
      <c r="BH1274" s="12"/>
      <c r="BI1274" s="12"/>
      <c r="BJ1274" s="12"/>
      <c r="BK1274" s="44"/>
      <c r="BL1274" s="45"/>
      <c r="BM1274" s="12"/>
      <c r="BN1274" s="12"/>
      <c r="BO1274" s="12"/>
      <c r="BP1274" s="12"/>
      <c r="BQ1274" s="48"/>
      <c r="BR1274" s="49"/>
      <c r="BS1274" s="13"/>
      <c r="BT1274" s="12"/>
      <c r="BV1274" s="14"/>
      <c r="BW1274" s="50"/>
      <c r="BX1274" s="54"/>
      <c r="BY1274" s="14"/>
      <c r="BZ1274" s="14"/>
      <c r="CA1274" s="14"/>
      <c r="CB1274" s="14"/>
      <c r="CC1274" s="14"/>
      <c r="CD1274" s="14"/>
      <c r="CE1274" s="14"/>
      <c r="CF1274" s="15"/>
      <c r="CG1274" s="14"/>
      <c r="CH1274" s="14"/>
      <c r="CI1274" s="50"/>
      <c r="CJ1274" s="54"/>
      <c r="CK1274" s="14"/>
      <c r="CL1274" s="14"/>
      <c r="CM1274" s="14"/>
      <c r="CN1274" s="14"/>
      <c r="CO1274" s="14"/>
      <c r="CP1274" s="14"/>
      <c r="CQ1274" s="14"/>
      <c r="CR1274" s="14"/>
      <c r="CS1274" s="14"/>
      <c r="CT1274" s="14"/>
      <c r="CU1274" s="16"/>
      <c r="CV1274" s="14"/>
      <c r="CW1274" s="50"/>
      <c r="CX1274" s="17"/>
    </row>
    <row r="1275" spans="4:102" x14ac:dyDescent="0.25"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43"/>
      <c r="Q1275" s="11"/>
      <c r="R1275" s="11"/>
      <c r="S1275" s="11"/>
      <c r="T1275" s="11"/>
      <c r="U1275" s="11"/>
      <c r="V1275" s="11"/>
      <c r="W1275" s="11"/>
      <c r="X1275" s="12"/>
      <c r="Y1275" s="12"/>
      <c r="Z1275" s="12"/>
      <c r="AA1275" s="44"/>
      <c r="AB1275" s="45"/>
      <c r="AC1275" s="12"/>
      <c r="AD1275" s="12"/>
      <c r="AE1275" s="12"/>
      <c r="AF1275" s="12"/>
      <c r="AG1275" s="44"/>
      <c r="AH1275" s="45"/>
      <c r="AI1275" s="12"/>
      <c r="AJ1275" s="12"/>
      <c r="AK1275" s="12"/>
      <c r="AL1275" s="12"/>
      <c r="AM1275" s="44"/>
      <c r="AN1275" s="45"/>
      <c r="AO1275" s="12"/>
      <c r="AP1275" s="12"/>
      <c r="AQ1275" s="12"/>
      <c r="AR1275" s="12"/>
      <c r="AS1275" s="44"/>
      <c r="AT1275" s="45"/>
      <c r="AU1275" s="12"/>
      <c r="AV1275" s="12"/>
      <c r="AW1275" s="12"/>
      <c r="AX1275" s="12"/>
      <c r="AY1275" s="44"/>
      <c r="AZ1275" s="45"/>
      <c r="BA1275" s="12"/>
      <c r="BB1275" s="12"/>
      <c r="BC1275" s="12"/>
      <c r="BD1275" s="12"/>
      <c r="BE1275" s="44"/>
      <c r="BF1275" s="45"/>
      <c r="BG1275" s="12"/>
      <c r="BH1275" s="12"/>
      <c r="BI1275" s="12"/>
      <c r="BJ1275" s="12"/>
      <c r="BK1275" s="44"/>
      <c r="BL1275" s="45"/>
      <c r="BM1275" s="12"/>
      <c r="BN1275" s="12"/>
      <c r="BO1275" s="12"/>
      <c r="BP1275" s="12"/>
      <c r="BQ1275" s="48"/>
      <c r="BR1275" s="49"/>
      <c r="BS1275" s="13"/>
      <c r="BT1275" s="12"/>
      <c r="BV1275" s="14"/>
      <c r="BW1275" s="50"/>
      <c r="BX1275" s="54"/>
      <c r="BY1275" s="14"/>
      <c r="BZ1275" s="14"/>
      <c r="CA1275" s="14"/>
      <c r="CB1275" s="14"/>
      <c r="CC1275" s="14"/>
      <c r="CD1275" s="14"/>
      <c r="CE1275" s="14"/>
      <c r="CF1275" s="15"/>
      <c r="CG1275" s="14"/>
      <c r="CH1275" s="14"/>
      <c r="CI1275" s="50"/>
      <c r="CJ1275" s="54"/>
      <c r="CK1275" s="14"/>
      <c r="CL1275" s="14"/>
      <c r="CM1275" s="14"/>
      <c r="CN1275" s="14"/>
      <c r="CO1275" s="14"/>
      <c r="CP1275" s="14"/>
      <c r="CQ1275" s="14"/>
      <c r="CR1275" s="14"/>
      <c r="CS1275" s="14"/>
      <c r="CT1275" s="14"/>
      <c r="CU1275" s="16"/>
      <c r="CV1275" s="14"/>
      <c r="CW1275" s="50"/>
      <c r="CX1275" s="17"/>
    </row>
    <row r="1276" spans="4:102" x14ac:dyDescent="0.25"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43"/>
      <c r="Q1276" s="11"/>
      <c r="R1276" s="11"/>
      <c r="S1276" s="11"/>
      <c r="T1276" s="11"/>
      <c r="U1276" s="11"/>
      <c r="V1276" s="11"/>
      <c r="W1276" s="11"/>
      <c r="X1276" s="12"/>
      <c r="Y1276" s="12"/>
      <c r="Z1276" s="12"/>
      <c r="AA1276" s="44"/>
      <c r="AB1276" s="45"/>
      <c r="AC1276" s="12"/>
      <c r="AD1276" s="12"/>
      <c r="AE1276" s="12"/>
      <c r="AF1276" s="12"/>
      <c r="AG1276" s="44"/>
      <c r="AH1276" s="45"/>
      <c r="AI1276" s="12"/>
      <c r="AJ1276" s="12"/>
      <c r="AK1276" s="12"/>
      <c r="AL1276" s="12"/>
      <c r="AM1276" s="44"/>
      <c r="AN1276" s="45"/>
      <c r="AO1276" s="12"/>
      <c r="AP1276" s="12"/>
      <c r="AQ1276" s="12"/>
      <c r="AR1276" s="12"/>
      <c r="AS1276" s="44"/>
      <c r="AT1276" s="45"/>
      <c r="AU1276" s="12"/>
      <c r="AV1276" s="12"/>
      <c r="AW1276" s="12"/>
      <c r="AX1276" s="12"/>
      <c r="AY1276" s="44"/>
      <c r="AZ1276" s="45"/>
      <c r="BA1276" s="12"/>
      <c r="BB1276" s="12"/>
      <c r="BC1276" s="12"/>
      <c r="BD1276" s="12"/>
      <c r="BE1276" s="44"/>
      <c r="BF1276" s="45"/>
      <c r="BG1276" s="12"/>
      <c r="BH1276" s="12"/>
      <c r="BI1276" s="12"/>
      <c r="BJ1276" s="12"/>
      <c r="BK1276" s="44"/>
      <c r="BL1276" s="45"/>
      <c r="BM1276" s="12"/>
      <c r="BN1276" s="12"/>
      <c r="BO1276" s="12"/>
      <c r="BP1276" s="12"/>
      <c r="BQ1276" s="48"/>
      <c r="BR1276" s="49"/>
      <c r="BS1276" s="13"/>
      <c r="BT1276" s="12"/>
      <c r="BV1276" s="14"/>
      <c r="BW1276" s="50"/>
      <c r="BX1276" s="54"/>
      <c r="BY1276" s="14"/>
      <c r="BZ1276" s="14"/>
      <c r="CA1276" s="14"/>
      <c r="CB1276" s="14"/>
      <c r="CC1276" s="14"/>
      <c r="CD1276" s="14"/>
      <c r="CE1276" s="14"/>
      <c r="CF1276" s="15"/>
      <c r="CG1276" s="14"/>
      <c r="CH1276" s="14"/>
      <c r="CI1276" s="50"/>
      <c r="CJ1276" s="54"/>
      <c r="CK1276" s="14"/>
      <c r="CL1276" s="14"/>
      <c r="CM1276" s="14"/>
      <c r="CN1276" s="14"/>
      <c r="CO1276" s="14"/>
      <c r="CP1276" s="14"/>
      <c r="CQ1276" s="14"/>
      <c r="CR1276" s="14"/>
      <c r="CS1276" s="14"/>
      <c r="CT1276" s="14"/>
      <c r="CU1276" s="16"/>
      <c r="CV1276" s="14"/>
      <c r="CW1276" s="50"/>
      <c r="CX1276" s="17"/>
    </row>
    <row r="1277" spans="4:102" x14ac:dyDescent="0.25"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43"/>
      <c r="Q1277" s="11"/>
      <c r="R1277" s="11"/>
      <c r="S1277" s="11"/>
      <c r="T1277" s="11"/>
      <c r="U1277" s="11"/>
      <c r="V1277" s="11"/>
      <c r="W1277" s="11"/>
      <c r="X1277" s="12"/>
      <c r="Y1277" s="12"/>
      <c r="Z1277" s="12"/>
      <c r="AA1277" s="44"/>
      <c r="AB1277" s="45"/>
      <c r="AC1277" s="12"/>
      <c r="AD1277" s="12"/>
      <c r="AE1277" s="12"/>
      <c r="AF1277" s="12"/>
      <c r="AG1277" s="44"/>
      <c r="AH1277" s="45"/>
      <c r="AI1277" s="12"/>
      <c r="AJ1277" s="12"/>
      <c r="AK1277" s="12"/>
      <c r="AL1277" s="12"/>
      <c r="AM1277" s="44"/>
      <c r="AN1277" s="45"/>
      <c r="AO1277" s="12"/>
      <c r="AP1277" s="12"/>
      <c r="AQ1277" s="12"/>
      <c r="AR1277" s="12"/>
      <c r="AS1277" s="44"/>
      <c r="AT1277" s="45"/>
      <c r="AU1277" s="12"/>
      <c r="AV1277" s="12"/>
      <c r="AW1277" s="12"/>
      <c r="AX1277" s="12"/>
      <c r="AY1277" s="44"/>
      <c r="AZ1277" s="45"/>
      <c r="BA1277" s="12"/>
      <c r="BB1277" s="12"/>
      <c r="BC1277" s="12"/>
      <c r="BD1277" s="12"/>
      <c r="BE1277" s="44"/>
      <c r="BF1277" s="45"/>
      <c r="BG1277" s="12"/>
      <c r="BH1277" s="12"/>
      <c r="BI1277" s="12"/>
      <c r="BJ1277" s="12"/>
      <c r="BK1277" s="44"/>
      <c r="BL1277" s="45"/>
      <c r="BM1277" s="12"/>
      <c r="BN1277" s="12"/>
      <c r="BO1277" s="12"/>
      <c r="BP1277" s="12"/>
      <c r="BQ1277" s="48"/>
      <c r="BR1277" s="49"/>
      <c r="BS1277" s="13"/>
      <c r="BT1277" s="12"/>
      <c r="BV1277" s="14"/>
      <c r="BW1277" s="50"/>
      <c r="BX1277" s="54"/>
      <c r="BY1277" s="14"/>
      <c r="BZ1277" s="14"/>
      <c r="CA1277" s="14"/>
      <c r="CB1277" s="14"/>
      <c r="CC1277" s="14"/>
      <c r="CD1277" s="14"/>
      <c r="CE1277" s="14"/>
      <c r="CF1277" s="15"/>
      <c r="CG1277" s="14"/>
      <c r="CH1277" s="14"/>
      <c r="CI1277" s="50"/>
      <c r="CJ1277" s="54"/>
      <c r="CK1277" s="14"/>
      <c r="CL1277" s="14"/>
      <c r="CM1277" s="14"/>
      <c r="CN1277" s="14"/>
      <c r="CO1277" s="14"/>
      <c r="CP1277" s="14"/>
      <c r="CQ1277" s="14"/>
      <c r="CR1277" s="14"/>
      <c r="CS1277" s="14"/>
      <c r="CT1277" s="14"/>
      <c r="CU1277" s="16"/>
      <c r="CV1277" s="14"/>
      <c r="CW1277" s="50"/>
      <c r="CX1277" s="17"/>
    </row>
    <row r="1278" spans="4:102" x14ac:dyDescent="0.25"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43"/>
      <c r="Q1278" s="11"/>
      <c r="R1278" s="11"/>
      <c r="S1278" s="11"/>
      <c r="T1278" s="11"/>
      <c r="U1278" s="11"/>
      <c r="V1278" s="11"/>
      <c r="W1278" s="11"/>
      <c r="X1278" s="12"/>
      <c r="Y1278" s="12"/>
      <c r="Z1278" s="12"/>
      <c r="AA1278" s="44"/>
      <c r="AB1278" s="45"/>
      <c r="AC1278" s="12"/>
      <c r="AD1278" s="12"/>
      <c r="AE1278" s="12"/>
      <c r="AF1278" s="12"/>
      <c r="AG1278" s="44"/>
      <c r="AH1278" s="45"/>
      <c r="AI1278" s="12"/>
      <c r="AJ1278" s="12"/>
      <c r="AK1278" s="12"/>
      <c r="AL1278" s="12"/>
      <c r="AM1278" s="44"/>
      <c r="AN1278" s="45"/>
      <c r="AO1278" s="12"/>
      <c r="AP1278" s="12"/>
      <c r="AQ1278" s="12"/>
      <c r="AR1278" s="12"/>
      <c r="AS1278" s="44"/>
      <c r="AT1278" s="45"/>
      <c r="AU1278" s="12"/>
      <c r="AV1278" s="12"/>
      <c r="AW1278" s="12"/>
      <c r="AX1278" s="12"/>
      <c r="AY1278" s="44"/>
      <c r="AZ1278" s="45"/>
      <c r="BA1278" s="12"/>
      <c r="BB1278" s="12"/>
      <c r="BC1278" s="12"/>
      <c r="BD1278" s="12"/>
      <c r="BE1278" s="44"/>
      <c r="BF1278" s="45"/>
      <c r="BG1278" s="12"/>
      <c r="BH1278" s="12"/>
      <c r="BI1278" s="12"/>
      <c r="BJ1278" s="12"/>
      <c r="BK1278" s="44"/>
      <c r="BL1278" s="45"/>
      <c r="BM1278" s="12"/>
      <c r="BN1278" s="12"/>
      <c r="BO1278" s="12"/>
      <c r="BP1278" s="12"/>
      <c r="BQ1278" s="48"/>
      <c r="BR1278" s="49"/>
      <c r="BS1278" s="13"/>
      <c r="BT1278" s="12"/>
      <c r="BV1278" s="14"/>
      <c r="BW1278" s="50"/>
      <c r="BX1278" s="54"/>
      <c r="BY1278" s="14"/>
      <c r="BZ1278" s="14"/>
      <c r="CA1278" s="14"/>
      <c r="CB1278" s="14"/>
      <c r="CC1278" s="14"/>
      <c r="CD1278" s="14"/>
      <c r="CE1278" s="14"/>
      <c r="CF1278" s="15"/>
      <c r="CG1278" s="14"/>
      <c r="CH1278" s="14"/>
      <c r="CI1278" s="50"/>
      <c r="CJ1278" s="54"/>
      <c r="CK1278" s="14"/>
      <c r="CL1278" s="14"/>
      <c r="CM1278" s="14"/>
      <c r="CN1278" s="14"/>
      <c r="CO1278" s="14"/>
      <c r="CP1278" s="14"/>
      <c r="CQ1278" s="14"/>
      <c r="CR1278" s="14"/>
      <c r="CS1278" s="14"/>
      <c r="CT1278" s="14"/>
      <c r="CU1278" s="16"/>
      <c r="CV1278" s="14"/>
      <c r="CW1278" s="50"/>
      <c r="CX1278" s="17"/>
    </row>
    <row r="1279" spans="4:102" x14ac:dyDescent="0.25"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43"/>
      <c r="Q1279" s="11"/>
      <c r="R1279" s="11"/>
      <c r="S1279" s="11"/>
      <c r="T1279" s="11"/>
      <c r="U1279" s="11"/>
      <c r="V1279" s="11"/>
      <c r="W1279" s="11"/>
      <c r="X1279" s="12"/>
      <c r="Y1279" s="12"/>
      <c r="Z1279" s="12"/>
      <c r="AA1279" s="44"/>
      <c r="AB1279" s="45"/>
      <c r="AC1279" s="12"/>
      <c r="AD1279" s="12"/>
      <c r="AE1279" s="12"/>
      <c r="AF1279" s="12"/>
      <c r="AG1279" s="44"/>
      <c r="AH1279" s="45"/>
      <c r="AI1279" s="12"/>
      <c r="AJ1279" s="12"/>
      <c r="AK1279" s="12"/>
      <c r="AL1279" s="12"/>
      <c r="AM1279" s="44"/>
      <c r="AN1279" s="45"/>
      <c r="AO1279" s="12"/>
      <c r="AP1279" s="12"/>
      <c r="AQ1279" s="12"/>
      <c r="AR1279" s="12"/>
      <c r="AS1279" s="44"/>
      <c r="AT1279" s="45"/>
      <c r="AU1279" s="12"/>
      <c r="AV1279" s="12"/>
      <c r="AW1279" s="12"/>
      <c r="AX1279" s="12"/>
      <c r="AY1279" s="44"/>
      <c r="AZ1279" s="45"/>
      <c r="BA1279" s="12"/>
      <c r="BB1279" s="12"/>
      <c r="BC1279" s="12"/>
      <c r="BD1279" s="12"/>
      <c r="BE1279" s="44"/>
      <c r="BF1279" s="45"/>
      <c r="BG1279" s="12"/>
      <c r="BH1279" s="12"/>
      <c r="BI1279" s="12"/>
      <c r="BJ1279" s="12"/>
      <c r="BK1279" s="44"/>
      <c r="BL1279" s="45"/>
      <c r="BM1279" s="12"/>
      <c r="BN1279" s="12"/>
      <c r="BO1279" s="12"/>
      <c r="BP1279" s="12"/>
      <c r="BQ1279" s="48"/>
      <c r="BR1279" s="49"/>
      <c r="BS1279" s="13"/>
      <c r="BT1279" s="12"/>
      <c r="BV1279" s="14"/>
      <c r="BW1279" s="50"/>
      <c r="BX1279" s="54"/>
      <c r="BY1279" s="14"/>
      <c r="BZ1279" s="14"/>
      <c r="CA1279" s="14"/>
      <c r="CB1279" s="14"/>
      <c r="CC1279" s="14"/>
      <c r="CD1279" s="14"/>
      <c r="CE1279" s="14"/>
      <c r="CF1279" s="15"/>
      <c r="CG1279" s="14"/>
      <c r="CH1279" s="14"/>
      <c r="CI1279" s="50"/>
      <c r="CJ1279" s="54"/>
      <c r="CK1279" s="14"/>
      <c r="CL1279" s="14"/>
      <c r="CM1279" s="14"/>
      <c r="CN1279" s="14"/>
      <c r="CO1279" s="14"/>
      <c r="CP1279" s="14"/>
      <c r="CQ1279" s="14"/>
      <c r="CR1279" s="14"/>
      <c r="CS1279" s="14"/>
      <c r="CT1279" s="14"/>
      <c r="CU1279" s="16"/>
      <c r="CV1279" s="14"/>
      <c r="CW1279" s="50"/>
      <c r="CX1279" s="17"/>
    </row>
    <row r="1280" spans="4:102" x14ac:dyDescent="0.25"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43"/>
      <c r="Q1280" s="11"/>
      <c r="R1280" s="11"/>
      <c r="S1280" s="11"/>
      <c r="T1280" s="11"/>
      <c r="U1280" s="11"/>
      <c r="V1280" s="11"/>
      <c r="W1280" s="11"/>
      <c r="X1280" s="12"/>
      <c r="Y1280" s="12"/>
      <c r="Z1280" s="12"/>
      <c r="AA1280" s="44"/>
      <c r="AB1280" s="45"/>
      <c r="AC1280" s="12"/>
      <c r="AD1280" s="12"/>
      <c r="AE1280" s="12"/>
      <c r="AF1280" s="12"/>
      <c r="AG1280" s="44"/>
      <c r="AH1280" s="45"/>
      <c r="AI1280" s="12"/>
      <c r="AJ1280" s="12"/>
      <c r="AK1280" s="12"/>
      <c r="AL1280" s="12"/>
      <c r="AM1280" s="44"/>
      <c r="AN1280" s="45"/>
      <c r="AO1280" s="12"/>
      <c r="AP1280" s="12"/>
      <c r="AQ1280" s="12"/>
      <c r="AR1280" s="12"/>
      <c r="AS1280" s="44"/>
      <c r="AT1280" s="45"/>
      <c r="AU1280" s="12"/>
      <c r="AV1280" s="12"/>
      <c r="AW1280" s="12"/>
      <c r="AX1280" s="12"/>
      <c r="AY1280" s="44"/>
      <c r="AZ1280" s="45"/>
      <c r="BA1280" s="12"/>
      <c r="BB1280" s="12"/>
      <c r="BC1280" s="12"/>
      <c r="BD1280" s="12"/>
      <c r="BE1280" s="44"/>
      <c r="BF1280" s="45"/>
      <c r="BG1280" s="12"/>
      <c r="BH1280" s="12"/>
      <c r="BI1280" s="12"/>
      <c r="BJ1280" s="12"/>
      <c r="BK1280" s="44"/>
      <c r="BL1280" s="45"/>
      <c r="BM1280" s="12"/>
      <c r="BN1280" s="12"/>
      <c r="BO1280" s="12"/>
      <c r="BP1280" s="12"/>
      <c r="BQ1280" s="48"/>
      <c r="BR1280" s="49"/>
      <c r="BS1280" s="13"/>
      <c r="BT1280" s="12"/>
      <c r="BV1280" s="14"/>
      <c r="BW1280" s="50"/>
      <c r="BX1280" s="54"/>
      <c r="BY1280" s="14"/>
      <c r="BZ1280" s="14"/>
      <c r="CA1280" s="14"/>
      <c r="CB1280" s="14"/>
      <c r="CC1280" s="14"/>
      <c r="CD1280" s="14"/>
      <c r="CE1280" s="14"/>
      <c r="CF1280" s="15"/>
      <c r="CG1280" s="14"/>
      <c r="CH1280" s="14"/>
      <c r="CI1280" s="50"/>
      <c r="CJ1280" s="54"/>
      <c r="CK1280" s="14"/>
      <c r="CL1280" s="14"/>
      <c r="CM1280" s="14"/>
      <c r="CN1280" s="14"/>
      <c r="CO1280" s="14"/>
      <c r="CP1280" s="14"/>
      <c r="CQ1280" s="14"/>
      <c r="CR1280" s="14"/>
      <c r="CS1280" s="14"/>
      <c r="CT1280" s="14"/>
      <c r="CU1280" s="16"/>
      <c r="CV1280" s="14"/>
      <c r="CW1280" s="50"/>
      <c r="CX1280" s="17"/>
    </row>
    <row r="1281" spans="4:102" x14ac:dyDescent="0.25"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43"/>
      <c r="Q1281" s="11"/>
      <c r="R1281" s="11"/>
      <c r="S1281" s="11"/>
      <c r="T1281" s="11"/>
      <c r="U1281" s="11"/>
      <c r="V1281" s="11"/>
      <c r="W1281" s="11"/>
      <c r="X1281" s="12"/>
      <c r="Y1281" s="12"/>
      <c r="Z1281" s="12"/>
      <c r="AA1281" s="44"/>
      <c r="AB1281" s="45"/>
      <c r="AC1281" s="12"/>
      <c r="AD1281" s="12"/>
      <c r="AE1281" s="12"/>
      <c r="AF1281" s="12"/>
      <c r="AG1281" s="44"/>
      <c r="AH1281" s="45"/>
      <c r="AI1281" s="12"/>
      <c r="AJ1281" s="12"/>
      <c r="AK1281" s="12"/>
      <c r="AL1281" s="12"/>
      <c r="AM1281" s="44"/>
      <c r="AN1281" s="45"/>
      <c r="AO1281" s="12"/>
      <c r="AP1281" s="12"/>
      <c r="AQ1281" s="12"/>
      <c r="AR1281" s="12"/>
      <c r="AS1281" s="44"/>
      <c r="AT1281" s="45"/>
      <c r="AU1281" s="12"/>
      <c r="AV1281" s="12"/>
      <c r="AW1281" s="12"/>
      <c r="AX1281" s="12"/>
      <c r="AY1281" s="44"/>
      <c r="AZ1281" s="45"/>
      <c r="BA1281" s="12"/>
      <c r="BB1281" s="12"/>
      <c r="BC1281" s="12"/>
      <c r="BD1281" s="12"/>
      <c r="BE1281" s="44"/>
      <c r="BF1281" s="45"/>
      <c r="BG1281" s="12"/>
      <c r="BH1281" s="12"/>
      <c r="BI1281" s="12"/>
      <c r="BJ1281" s="12"/>
      <c r="BK1281" s="44"/>
      <c r="BL1281" s="45"/>
      <c r="BM1281" s="12"/>
      <c r="BN1281" s="12"/>
      <c r="BO1281" s="12"/>
      <c r="BP1281" s="12"/>
      <c r="BQ1281" s="48"/>
      <c r="BR1281" s="49"/>
      <c r="BS1281" s="13"/>
      <c r="BT1281" s="12"/>
      <c r="BV1281" s="14"/>
      <c r="BW1281" s="50"/>
      <c r="BX1281" s="54"/>
      <c r="BY1281" s="14"/>
      <c r="BZ1281" s="14"/>
      <c r="CA1281" s="14"/>
      <c r="CB1281" s="14"/>
      <c r="CC1281" s="14"/>
      <c r="CD1281" s="14"/>
      <c r="CE1281" s="14"/>
      <c r="CF1281" s="15"/>
      <c r="CG1281" s="14"/>
      <c r="CH1281" s="14"/>
      <c r="CI1281" s="50"/>
      <c r="CJ1281" s="54"/>
      <c r="CK1281" s="14"/>
      <c r="CL1281" s="14"/>
      <c r="CM1281" s="14"/>
      <c r="CN1281" s="14"/>
      <c r="CO1281" s="14"/>
      <c r="CP1281" s="14"/>
      <c r="CQ1281" s="14"/>
      <c r="CR1281" s="14"/>
      <c r="CS1281" s="14"/>
      <c r="CT1281" s="14"/>
      <c r="CU1281" s="16"/>
      <c r="CV1281" s="14"/>
      <c r="CW1281" s="50"/>
      <c r="CX1281" s="17"/>
    </row>
    <row r="1282" spans="4:102" x14ac:dyDescent="0.25"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43"/>
      <c r="Q1282" s="11"/>
      <c r="R1282" s="11"/>
      <c r="S1282" s="11"/>
      <c r="T1282" s="11"/>
      <c r="U1282" s="11"/>
      <c r="V1282" s="11"/>
      <c r="W1282" s="11"/>
      <c r="X1282" s="12"/>
      <c r="Y1282" s="12"/>
      <c r="Z1282" s="12"/>
      <c r="AA1282" s="44"/>
      <c r="AB1282" s="45"/>
      <c r="AC1282" s="12"/>
      <c r="AD1282" s="12"/>
      <c r="AE1282" s="12"/>
      <c r="AF1282" s="12"/>
      <c r="AG1282" s="44"/>
      <c r="AH1282" s="45"/>
      <c r="AI1282" s="12"/>
      <c r="AJ1282" s="12"/>
      <c r="AK1282" s="12"/>
      <c r="AL1282" s="12"/>
      <c r="AM1282" s="44"/>
      <c r="AN1282" s="45"/>
      <c r="AO1282" s="12"/>
      <c r="AP1282" s="12"/>
      <c r="AQ1282" s="12"/>
      <c r="AR1282" s="12"/>
      <c r="AS1282" s="44"/>
      <c r="AT1282" s="45"/>
      <c r="AU1282" s="12"/>
      <c r="AV1282" s="12"/>
      <c r="AW1282" s="12"/>
      <c r="AX1282" s="12"/>
      <c r="AY1282" s="44"/>
      <c r="AZ1282" s="45"/>
      <c r="BA1282" s="12"/>
      <c r="BB1282" s="12"/>
      <c r="BC1282" s="12"/>
      <c r="BD1282" s="12"/>
      <c r="BE1282" s="44"/>
      <c r="BF1282" s="45"/>
      <c r="BG1282" s="12"/>
      <c r="BH1282" s="12"/>
      <c r="BI1282" s="12"/>
      <c r="BJ1282" s="12"/>
      <c r="BK1282" s="44"/>
      <c r="BL1282" s="45"/>
      <c r="BM1282" s="12"/>
      <c r="BN1282" s="12"/>
      <c r="BO1282" s="12"/>
      <c r="BP1282" s="12"/>
      <c r="BQ1282" s="48"/>
      <c r="BR1282" s="49"/>
      <c r="BS1282" s="13"/>
      <c r="BT1282" s="12"/>
      <c r="BV1282" s="14"/>
      <c r="BW1282" s="50"/>
      <c r="BX1282" s="54"/>
      <c r="BY1282" s="14"/>
      <c r="BZ1282" s="14"/>
      <c r="CA1282" s="14"/>
      <c r="CB1282" s="14"/>
      <c r="CC1282" s="14"/>
      <c r="CD1282" s="14"/>
      <c r="CE1282" s="14"/>
      <c r="CF1282" s="15"/>
      <c r="CG1282" s="14"/>
      <c r="CH1282" s="14"/>
      <c r="CI1282" s="50"/>
      <c r="CJ1282" s="54"/>
      <c r="CK1282" s="14"/>
      <c r="CL1282" s="14"/>
      <c r="CM1282" s="14"/>
      <c r="CN1282" s="14"/>
      <c r="CO1282" s="14"/>
      <c r="CP1282" s="14"/>
      <c r="CQ1282" s="14"/>
      <c r="CR1282" s="14"/>
      <c r="CS1282" s="14"/>
      <c r="CT1282" s="14"/>
      <c r="CU1282" s="16"/>
      <c r="CV1282" s="14"/>
      <c r="CW1282" s="50"/>
      <c r="CX1282" s="17"/>
    </row>
    <row r="1283" spans="4:102" x14ac:dyDescent="0.25"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43"/>
      <c r="Q1283" s="11"/>
      <c r="R1283" s="11"/>
      <c r="S1283" s="11"/>
      <c r="T1283" s="11"/>
      <c r="U1283" s="11"/>
      <c r="V1283" s="11"/>
      <c r="W1283" s="11"/>
      <c r="X1283" s="12"/>
      <c r="Y1283" s="12"/>
      <c r="Z1283" s="12"/>
      <c r="AA1283" s="44"/>
      <c r="AB1283" s="45"/>
      <c r="AC1283" s="12"/>
      <c r="AD1283" s="12"/>
      <c r="AE1283" s="12"/>
      <c r="AF1283" s="12"/>
      <c r="AG1283" s="44"/>
      <c r="AH1283" s="45"/>
      <c r="AI1283" s="12"/>
      <c r="AJ1283" s="12"/>
      <c r="AK1283" s="12"/>
      <c r="AL1283" s="12"/>
      <c r="AM1283" s="44"/>
      <c r="AN1283" s="45"/>
      <c r="AO1283" s="12"/>
      <c r="AP1283" s="12"/>
      <c r="AQ1283" s="12"/>
      <c r="AR1283" s="12"/>
      <c r="AS1283" s="44"/>
      <c r="AT1283" s="45"/>
      <c r="AU1283" s="12"/>
      <c r="AV1283" s="12"/>
      <c r="AW1283" s="12"/>
      <c r="AX1283" s="12"/>
      <c r="AY1283" s="44"/>
      <c r="AZ1283" s="45"/>
      <c r="BA1283" s="12"/>
      <c r="BB1283" s="12"/>
      <c r="BC1283" s="12"/>
      <c r="BD1283" s="12"/>
      <c r="BE1283" s="44"/>
      <c r="BF1283" s="45"/>
      <c r="BG1283" s="12"/>
      <c r="BH1283" s="12"/>
      <c r="BI1283" s="12"/>
      <c r="BJ1283" s="12"/>
      <c r="BK1283" s="44"/>
      <c r="BL1283" s="45"/>
      <c r="BM1283" s="12"/>
      <c r="BN1283" s="12"/>
      <c r="BO1283" s="12"/>
      <c r="BP1283" s="12"/>
      <c r="BQ1283" s="48"/>
      <c r="BR1283" s="49"/>
      <c r="BS1283" s="13"/>
      <c r="BT1283" s="12"/>
      <c r="BV1283" s="14"/>
      <c r="BW1283" s="50"/>
      <c r="BX1283" s="54"/>
      <c r="BY1283" s="14"/>
      <c r="BZ1283" s="14"/>
      <c r="CA1283" s="14"/>
      <c r="CB1283" s="14"/>
      <c r="CC1283" s="14"/>
      <c r="CD1283" s="14"/>
      <c r="CE1283" s="14"/>
      <c r="CF1283" s="15"/>
      <c r="CG1283" s="14"/>
      <c r="CH1283" s="14"/>
      <c r="CI1283" s="50"/>
      <c r="CJ1283" s="54"/>
      <c r="CK1283" s="14"/>
      <c r="CL1283" s="14"/>
      <c r="CM1283" s="14"/>
      <c r="CN1283" s="14"/>
      <c r="CO1283" s="14"/>
      <c r="CP1283" s="14"/>
      <c r="CQ1283" s="14"/>
      <c r="CR1283" s="14"/>
      <c r="CS1283" s="14"/>
      <c r="CT1283" s="14"/>
      <c r="CU1283" s="16"/>
      <c r="CV1283" s="14"/>
      <c r="CW1283" s="50"/>
      <c r="CX1283" s="17"/>
    </row>
    <row r="1284" spans="4:102" x14ac:dyDescent="0.25"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43"/>
      <c r="Q1284" s="11"/>
      <c r="R1284" s="11"/>
      <c r="S1284" s="11"/>
      <c r="T1284" s="11"/>
      <c r="U1284" s="11"/>
      <c r="V1284" s="11"/>
      <c r="W1284" s="11"/>
      <c r="X1284" s="12"/>
      <c r="Y1284" s="12"/>
      <c r="Z1284" s="12"/>
      <c r="AA1284" s="44"/>
      <c r="AB1284" s="45"/>
      <c r="AC1284" s="12"/>
      <c r="AD1284" s="12"/>
      <c r="AE1284" s="12"/>
      <c r="AF1284" s="12"/>
      <c r="AG1284" s="44"/>
      <c r="AH1284" s="45"/>
      <c r="AI1284" s="12"/>
      <c r="AJ1284" s="12"/>
      <c r="AK1284" s="12"/>
      <c r="AL1284" s="12"/>
      <c r="AM1284" s="44"/>
      <c r="AN1284" s="45"/>
      <c r="AO1284" s="12"/>
      <c r="AP1284" s="12"/>
      <c r="AQ1284" s="12"/>
      <c r="AR1284" s="12"/>
      <c r="AS1284" s="44"/>
      <c r="AT1284" s="45"/>
      <c r="AU1284" s="12"/>
      <c r="AV1284" s="12"/>
      <c r="AW1284" s="12"/>
      <c r="AX1284" s="12"/>
      <c r="AY1284" s="44"/>
      <c r="AZ1284" s="45"/>
      <c r="BA1284" s="12"/>
      <c r="BB1284" s="12"/>
      <c r="BC1284" s="12"/>
      <c r="BD1284" s="12"/>
      <c r="BE1284" s="44"/>
      <c r="BF1284" s="45"/>
      <c r="BG1284" s="12"/>
      <c r="BH1284" s="12"/>
      <c r="BI1284" s="12"/>
      <c r="BJ1284" s="12"/>
      <c r="BK1284" s="44"/>
      <c r="BL1284" s="45"/>
      <c r="BM1284" s="12"/>
      <c r="BN1284" s="12"/>
      <c r="BO1284" s="12"/>
      <c r="BP1284" s="12"/>
      <c r="BQ1284" s="48"/>
      <c r="BR1284" s="49"/>
      <c r="BS1284" s="13"/>
      <c r="BT1284" s="12"/>
      <c r="BV1284" s="14"/>
      <c r="BW1284" s="50"/>
      <c r="BX1284" s="54"/>
      <c r="BY1284" s="14"/>
      <c r="BZ1284" s="14"/>
      <c r="CA1284" s="14"/>
      <c r="CB1284" s="14"/>
      <c r="CC1284" s="14"/>
      <c r="CD1284" s="14"/>
      <c r="CE1284" s="14"/>
      <c r="CF1284" s="15"/>
      <c r="CG1284" s="14"/>
      <c r="CH1284" s="14"/>
      <c r="CI1284" s="50"/>
      <c r="CJ1284" s="54"/>
      <c r="CK1284" s="14"/>
      <c r="CL1284" s="14"/>
      <c r="CM1284" s="14"/>
      <c r="CN1284" s="14"/>
      <c r="CO1284" s="14"/>
      <c r="CP1284" s="14"/>
      <c r="CQ1284" s="14"/>
      <c r="CR1284" s="14"/>
      <c r="CS1284" s="14"/>
      <c r="CT1284" s="14"/>
      <c r="CU1284" s="16"/>
      <c r="CV1284" s="14"/>
      <c r="CW1284" s="50"/>
      <c r="CX1284" s="17"/>
    </row>
    <row r="1285" spans="4:102" x14ac:dyDescent="0.25"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43"/>
      <c r="Q1285" s="11"/>
      <c r="R1285" s="11"/>
      <c r="S1285" s="11"/>
      <c r="T1285" s="11"/>
      <c r="U1285" s="11"/>
      <c r="V1285" s="11"/>
      <c r="W1285" s="11"/>
      <c r="X1285" s="12"/>
      <c r="Y1285" s="12"/>
      <c r="Z1285" s="12"/>
      <c r="AA1285" s="44"/>
      <c r="AB1285" s="45"/>
      <c r="AC1285" s="12"/>
      <c r="AD1285" s="12"/>
      <c r="AE1285" s="12"/>
      <c r="AF1285" s="12"/>
      <c r="AG1285" s="44"/>
      <c r="AH1285" s="45"/>
      <c r="AI1285" s="12"/>
      <c r="AJ1285" s="12"/>
      <c r="AK1285" s="12"/>
      <c r="AL1285" s="12"/>
      <c r="AM1285" s="44"/>
      <c r="AN1285" s="45"/>
      <c r="AO1285" s="12"/>
      <c r="AP1285" s="12"/>
      <c r="AQ1285" s="12"/>
      <c r="AR1285" s="12"/>
      <c r="AS1285" s="44"/>
      <c r="AT1285" s="45"/>
      <c r="AU1285" s="12"/>
      <c r="AV1285" s="12"/>
      <c r="AW1285" s="12"/>
      <c r="AX1285" s="12"/>
      <c r="AY1285" s="44"/>
      <c r="AZ1285" s="45"/>
      <c r="BA1285" s="12"/>
      <c r="BB1285" s="12"/>
      <c r="BC1285" s="12"/>
      <c r="BD1285" s="12"/>
      <c r="BE1285" s="44"/>
      <c r="BF1285" s="45"/>
      <c r="BG1285" s="12"/>
      <c r="BH1285" s="12"/>
      <c r="BI1285" s="12"/>
      <c r="BJ1285" s="12"/>
      <c r="BK1285" s="44"/>
      <c r="BL1285" s="45"/>
      <c r="BM1285" s="12"/>
      <c r="BN1285" s="12"/>
      <c r="BO1285" s="12"/>
      <c r="BP1285" s="12"/>
      <c r="BQ1285" s="48"/>
      <c r="BR1285" s="49"/>
      <c r="BS1285" s="13"/>
      <c r="BT1285" s="12"/>
      <c r="BV1285" s="14"/>
      <c r="BW1285" s="50"/>
      <c r="BX1285" s="54"/>
      <c r="BY1285" s="14"/>
      <c r="BZ1285" s="14"/>
      <c r="CA1285" s="14"/>
      <c r="CB1285" s="14"/>
      <c r="CC1285" s="14"/>
      <c r="CD1285" s="14"/>
      <c r="CE1285" s="14"/>
      <c r="CF1285" s="15"/>
      <c r="CG1285" s="14"/>
      <c r="CH1285" s="14"/>
      <c r="CI1285" s="50"/>
      <c r="CJ1285" s="54"/>
      <c r="CK1285" s="14"/>
      <c r="CL1285" s="14"/>
      <c r="CM1285" s="14"/>
      <c r="CN1285" s="14"/>
      <c r="CO1285" s="14"/>
      <c r="CP1285" s="14"/>
      <c r="CQ1285" s="14"/>
      <c r="CR1285" s="14"/>
      <c r="CS1285" s="14"/>
      <c r="CT1285" s="14"/>
      <c r="CU1285" s="16"/>
      <c r="CV1285" s="14"/>
      <c r="CW1285" s="50"/>
      <c r="CX1285" s="17"/>
    </row>
    <row r="1286" spans="4:102" x14ac:dyDescent="0.25"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43"/>
      <c r="Q1286" s="11"/>
      <c r="R1286" s="11"/>
      <c r="S1286" s="11"/>
      <c r="T1286" s="11"/>
      <c r="U1286" s="11"/>
      <c r="V1286" s="11"/>
      <c r="W1286" s="11"/>
      <c r="X1286" s="12"/>
      <c r="Y1286" s="12"/>
      <c r="Z1286" s="12"/>
      <c r="AA1286" s="44"/>
      <c r="AB1286" s="45"/>
      <c r="AC1286" s="12"/>
      <c r="AD1286" s="12"/>
      <c r="AE1286" s="12"/>
      <c r="AF1286" s="12"/>
      <c r="AG1286" s="44"/>
      <c r="AH1286" s="45"/>
      <c r="AI1286" s="12"/>
      <c r="AJ1286" s="12"/>
      <c r="AK1286" s="12"/>
      <c r="AL1286" s="12"/>
      <c r="AM1286" s="44"/>
      <c r="AN1286" s="45"/>
      <c r="AO1286" s="12"/>
      <c r="AP1286" s="12"/>
      <c r="AQ1286" s="12"/>
      <c r="AR1286" s="12"/>
      <c r="AS1286" s="44"/>
      <c r="AT1286" s="45"/>
      <c r="AU1286" s="12"/>
      <c r="AV1286" s="12"/>
      <c r="AW1286" s="12"/>
      <c r="AX1286" s="12"/>
      <c r="AY1286" s="44"/>
      <c r="AZ1286" s="45"/>
      <c r="BA1286" s="12"/>
      <c r="BB1286" s="12"/>
      <c r="BC1286" s="12"/>
      <c r="BD1286" s="12"/>
      <c r="BE1286" s="44"/>
      <c r="BF1286" s="45"/>
      <c r="BG1286" s="12"/>
      <c r="BH1286" s="12"/>
      <c r="BI1286" s="12"/>
      <c r="BJ1286" s="12"/>
      <c r="BK1286" s="44"/>
      <c r="BL1286" s="45"/>
      <c r="BM1286" s="12"/>
      <c r="BN1286" s="12"/>
      <c r="BO1286" s="12"/>
      <c r="BP1286" s="12"/>
      <c r="BQ1286" s="48"/>
      <c r="BR1286" s="49"/>
      <c r="BS1286" s="13"/>
      <c r="BT1286" s="12"/>
      <c r="BV1286" s="14"/>
      <c r="BW1286" s="50"/>
      <c r="BX1286" s="54"/>
      <c r="BY1286" s="14"/>
      <c r="BZ1286" s="14"/>
      <c r="CA1286" s="14"/>
      <c r="CB1286" s="14"/>
      <c r="CC1286" s="14"/>
      <c r="CD1286" s="14"/>
      <c r="CE1286" s="14"/>
      <c r="CF1286" s="15"/>
      <c r="CG1286" s="14"/>
      <c r="CH1286" s="14"/>
      <c r="CI1286" s="50"/>
      <c r="CJ1286" s="54"/>
      <c r="CK1286" s="14"/>
      <c r="CL1286" s="14"/>
      <c r="CM1286" s="14"/>
      <c r="CN1286" s="14"/>
      <c r="CO1286" s="14"/>
      <c r="CP1286" s="14"/>
      <c r="CQ1286" s="14"/>
      <c r="CR1286" s="14"/>
      <c r="CS1286" s="14"/>
      <c r="CT1286" s="14"/>
      <c r="CU1286" s="16"/>
      <c r="CV1286" s="14"/>
      <c r="CW1286" s="50"/>
      <c r="CX1286" s="17"/>
    </row>
    <row r="1287" spans="4:102" x14ac:dyDescent="0.25"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43"/>
      <c r="Q1287" s="11"/>
      <c r="R1287" s="11"/>
      <c r="S1287" s="11"/>
      <c r="T1287" s="11"/>
      <c r="U1287" s="11"/>
      <c r="V1287" s="11"/>
      <c r="W1287" s="11"/>
      <c r="X1287" s="12"/>
      <c r="Y1287" s="12"/>
      <c r="Z1287" s="12"/>
      <c r="AA1287" s="44"/>
      <c r="AB1287" s="45"/>
      <c r="AC1287" s="12"/>
      <c r="AD1287" s="12"/>
      <c r="AE1287" s="12"/>
      <c r="AF1287" s="12"/>
      <c r="AG1287" s="44"/>
      <c r="AH1287" s="45"/>
      <c r="AI1287" s="12"/>
      <c r="AJ1287" s="12"/>
      <c r="AK1287" s="12"/>
      <c r="AL1287" s="12"/>
      <c r="AM1287" s="44"/>
      <c r="AN1287" s="45"/>
      <c r="AO1287" s="12"/>
      <c r="AP1287" s="12"/>
      <c r="AQ1287" s="12"/>
      <c r="AR1287" s="12"/>
      <c r="AS1287" s="44"/>
      <c r="AT1287" s="45"/>
      <c r="AU1287" s="12"/>
      <c r="AV1287" s="12"/>
      <c r="AW1287" s="12"/>
      <c r="AX1287" s="12"/>
      <c r="AY1287" s="44"/>
      <c r="AZ1287" s="45"/>
      <c r="BA1287" s="12"/>
      <c r="BB1287" s="12"/>
      <c r="BC1287" s="12"/>
      <c r="BD1287" s="12"/>
      <c r="BE1287" s="44"/>
      <c r="BF1287" s="45"/>
      <c r="BG1287" s="12"/>
      <c r="BH1287" s="12"/>
      <c r="BI1287" s="12"/>
      <c r="BJ1287" s="12"/>
      <c r="BK1287" s="44"/>
      <c r="BL1287" s="45"/>
      <c r="BM1287" s="12"/>
      <c r="BN1287" s="12"/>
      <c r="BO1287" s="12"/>
      <c r="BP1287" s="12"/>
      <c r="BQ1287" s="48"/>
      <c r="BR1287" s="49"/>
      <c r="BS1287" s="13"/>
      <c r="BT1287" s="12"/>
      <c r="BV1287" s="14"/>
      <c r="BW1287" s="50"/>
      <c r="BX1287" s="54"/>
      <c r="BY1287" s="14"/>
      <c r="BZ1287" s="14"/>
      <c r="CA1287" s="14"/>
      <c r="CB1287" s="14"/>
      <c r="CC1287" s="14"/>
      <c r="CD1287" s="14"/>
      <c r="CE1287" s="14"/>
      <c r="CF1287" s="15"/>
      <c r="CG1287" s="14"/>
      <c r="CH1287" s="14"/>
      <c r="CI1287" s="50"/>
      <c r="CJ1287" s="54"/>
      <c r="CK1287" s="14"/>
      <c r="CL1287" s="14"/>
      <c r="CM1287" s="14"/>
      <c r="CN1287" s="14"/>
      <c r="CO1287" s="14"/>
      <c r="CP1287" s="14"/>
      <c r="CQ1287" s="14"/>
      <c r="CR1287" s="14"/>
      <c r="CS1287" s="14"/>
      <c r="CT1287" s="14"/>
      <c r="CU1287" s="16"/>
      <c r="CV1287" s="14"/>
      <c r="CW1287" s="50"/>
      <c r="CX1287" s="17"/>
    </row>
    <row r="1288" spans="4:102" x14ac:dyDescent="0.25"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43"/>
      <c r="Q1288" s="11"/>
      <c r="R1288" s="11"/>
      <c r="S1288" s="11"/>
      <c r="T1288" s="11"/>
      <c r="U1288" s="11"/>
      <c r="V1288" s="11"/>
      <c r="W1288" s="11"/>
      <c r="X1288" s="12"/>
      <c r="Y1288" s="12"/>
      <c r="Z1288" s="12"/>
      <c r="AA1288" s="44"/>
      <c r="AB1288" s="45"/>
      <c r="AC1288" s="12"/>
      <c r="AD1288" s="12"/>
      <c r="AE1288" s="12"/>
      <c r="AF1288" s="12"/>
      <c r="AG1288" s="44"/>
      <c r="AH1288" s="45"/>
      <c r="AI1288" s="12"/>
      <c r="AJ1288" s="12"/>
      <c r="AK1288" s="12"/>
      <c r="AL1288" s="12"/>
      <c r="AM1288" s="44"/>
      <c r="AN1288" s="45"/>
      <c r="AO1288" s="12"/>
      <c r="AP1288" s="12"/>
      <c r="AQ1288" s="12"/>
      <c r="AR1288" s="12"/>
      <c r="AS1288" s="44"/>
      <c r="AT1288" s="45"/>
      <c r="AU1288" s="12"/>
      <c r="AV1288" s="12"/>
      <c r="AW1288" s="12"/>
      <c r="AX1288" s="12"/>
      <c r="AY1288" s="44"/>
      <c r="AZ1288" s="45"/>
      <c r="BA1288" s="12"/>
      <c r="BB1288" s="12"/>
      <c r="BC1288" s="12"/>
      <c r="BD1288" s="12"/>
      <c r="BE1288" s="44"/>
      <c r="BF1288" s="45"/>
      <c r="BG1288" s="12"/>
      <c r="BH1288" s="12"/>
      <c r="BI1288" s="12"/>
      <c r="BJ1288" s="12"/>
      <c r="BK1288" s="44"/>
      <c r="BL1288" s="45"/>
      <c r="BM1288" s="12"/>
      <c r="BN1288" s="12"/>
      <c r="BO1288" s="12"/>
      <c r="BP1288" s="12"/>
      <c r="BQ1288" s="48"/>
      <c r="BR1288" s="49"/>
      <c r="BS1288" s="13"/>
      <c r="BT1288" s="12"/>
      <c r="BV1288" s="14"/>
      <c r="BW1288" s="50"/>
      <c r="BX1288" s="54"/>
      <c r="BY1288" s="14"/>
      <c r="BZ1288" s="14"/>
      <c r="CA1288" s="14"/>
      <c r="CB1288" s="14"/>
      <c r="CC1288" s="14"/>
      <c r="CD1288" s="14"/>
      <c r="CE1288" s="14"/>
      <c r="CF1288" s="15"/>
      <c r="CG1288" s="14"/>
      <c r="CH1288" s="14"/>
      <c r="CI1288" s="50"/>
      <c r="CJ1288" s="54"/>
      <c r="CK1288" s="14"/>
      <c r="CL1288" s="14"/>
      <c r="CM1288" s="14"/>
      <c r="CN1288" s="14"/>
      <c r="CO1288" s="14"/>
      <c r="CP1288" s="14"/>
      <c r="CQ1288" s="14"/>
      <c r="CR1288" s="14"/>
      <c r="CS1288" s="14"/>
      <c r="CT1288" s="14"/>
      <c r="CU1288" s="16"/>
      <c r="CV1288" s="14"/>
      <c r="CW1288" s="50"/>
      <c r="CX1288" s="17"/>
    </row>
    <row r="1289" spans="4:102" x14ac:dyDescent="0.25"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43"/>
      <c r="Q1289" s="11"/>
      <c r="R1289" s="11"/>
      <c r="S1289" s="11"/>
      <c r="T1289" s="11"/>
      <c r="U1289" s="11"/>
      <c r="V1289" s="11"/>
      <c r="W1289" s="11"/>
      <c r="X1289" s="12"/>
      <c r="Y1289" s="12"/>
      <c r="Z1289" s="12"/>
      <c r="AA1289" s="44"/>
      <c r="AB1289" s="45"/>
      <c r="AC1289" s="12"/>
      <c r="AD1289" s="12"/>
      <c r="AE1289" s="12"/>
      <c r="AF1289" s="12"/>
      <c r="AG1289" s="44"/>
      <c r="AH1289" s="45"/>
      <c r="AI1289" s="12"/>
      <c r="AJ1289" s="12"/>
      <c r="AK1289" s="12"/>
      <c r="AL1289" s="12"/>
      <c r="AM1289" s="44"/>
      <c r="AN1289" s="45"/>
      <c r="AO1289" s="12"/>
      <c r="AP1289" s="12"/>
      <c r="AQ1289" s="12"/>
      <c r="AR1289" s="12"/>
      <c r="AS1289" s="44"/>
      <c r="AT1289" s="45"/>
      <c r="AU1289" s="12"/>
      <c r="AV1289" s="12"/>
      <c r="AW1289" s="12"/>
      <c r="AX1289" s="12"/>
      <c r="AY1289" s="44"/>
      <c r="AZ1289" s="45"/>
      <c r="BA1289" s="12"/>
      <c r="BB1289" s="12"/>
      <c r="BC1289" s="12"/>
      <c r="BD1289" s="12"/>
      <c r="BE1289" s="44"/>
      <c r="BF1289" s="45"/>
      <c r="BG1289" s="12"/>
      <c r="BH1289" s="12"/>
      <c r="BI1289" s="12"/>
      <c r="BJ1289" s="12"/>
      <c r="BK1289" s="44"/>
      <c r="BL1289" s="45"/>
      <c r="BM1289" s="12"/>
      <c r="BN1289" s="12"/>
      <c r="BO1289" s="12"/>
      <c r="BP1289" s="12"/>
      <c r="BQ1289" s="48"/>
      <c r="BR1289" s="49"/>
      <c r="BS1289" s="13"/>
      <c r="BT1289" s="12"/>
      <c r="BV1289" s="14"/>
      <c r="BW1289" s="50"/>
      <c r="BX1289" s="54"/>
      <c r="BY1289" s="14"/>
      <c r="BZ1289" s="14"/>
      <c r="CA1289" s="14"/>
      <c r="CB1289" s="14"/>
      <c r="CC1289" s="14"/>
      <c r="CD1289" s="14"/>
      <c r="CE1289" s="14"/>
      <c r="CF1289" s="15"/>
      <c r="CG1289" s="14"/>
      <c r="CH1289" s="14"/>
      <c r="CI1289" s="50"/>
      <c r="CJ1289" s="54"/>
      <c r="CK1289" s="14"/>
      <c r="CL1289" s="14"/>
      <c r="CM1289" s="14"/>
      <c r="CN1289" s="14"/>
      <c r="CO1289" s="14"/>
      <c r="CP1289" s="14"/>
      <c r="CQ1289" s="14"/>
      <c r="CR1289" s="14"/>
      <c r="CS1289" s="14"/>
      <c r="CT1289" s="14"/>
      <c r="CU1289" s="16"/>
      <c r="CV1289" s="14"/>
      <c r="CW1289" s="50"/>
      <c r="CX1289" s="17"/>
    </row>
    <row r="1290" spans="4:102" x14ac:dyDescent="0.25"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43"/>
      <c r="Q1290" s="11"/>
      <c r="R1290" s="11"/>
      <c r="S1290" s="11"/>
      <c r="T1290" s="11"/>
      <c r="U1290" s="11"/>
      <c r="V1290" s="11"/>
      <c r="W1290" s="11"/>
      <c r="X1290" s="12"/>
      <c r="Y1290" s="12"/>
      <c r="Z1290" s="12"/>
      <c r="AA1290" s="44"/>
      <c r="AB1290" s="45"/>
      <c r="AC1290" s="12"/>
      <c r="AD1290" s="12"/>
      <c r="AE1290" s="12"/>
      <c r="AF1290" s="12"/>
      <c r="AG1290" s="44"/>
      <c r="AH1290" s="45"/>
      <c r="AI1290" s="12"/>
      <c r="AJ1290" s="12"/>
      <c r="AK1290" s="12"/>
      <c r="AL1290" s="12"/>
      <c r="AM1290" s="44"/>
      <c r="AN1290" s="45"/>
      <c r="AO1290" s="12"/>
      <c r="AP1290" s="12"/>
      <c r="AQ1290" s="12"/>
      <c r="AR1290" s="12"/>
      <c r="AS1290" s="44"/>
      <c r="AT1290" s="45"/>
      <c r="AU1290" s="12"/>
      <c r="AV1290" s="12"/>
      <c r="AW1290" s="12"/>
      <c r="AX1290" s="12"/>
      <c r="AY1290" s="44"/>
      <c r="AZ1290" s="45"/>
      <c r="BA1290" s="12"/>
      <c r="BB1290" s="12"/>
      <c r="BC1290" s="12"/>
      <c r="BD1290" s="12"/>
      <c r="BE1290" s="44"/>
      <c r="BF1290" s="45"/>
      <c r="BG1290" s="12"/>
      <c r="BH1290" s="12"/>
      <c r="BI1290" s="12"/>
      <c r="BJ1290" s="12"/>
      <c r="BK1290" s="44"/>
      <c r="BL1290" s="45"/>
      <c r="BM1290" s="12"/>
      <c r="BN1290" s="12"/>
      <c r="BO1290" s="12"/>
      <c r="BP1290" s="12"/>
      <c r="BQ1290" s="48"/>
      <c r="BR1290" s="49"/>
      <c r="BS1290" s="13"/>
      <c r="BT1290" s="12"/>
      <c r="BV1290" s="14"/>
      <c r="BW1290" s="50"/>
      <c r="BX1290" s="54"/>
      <c r="BY1290" s="14"/>
      <c r="BZ1290" s="14"/>
      <c r="CA1290" s="14"/>
      <c r="CB1290" s="14"/>
      <c r="CC1290" s="14"/>
      <c r="CD1290" s="14"/>
      <c r="CE1290" s="14"/>
      <c r="CF1290" s="15"/>
      <c r="CG1290" s="14"/>
      <c r="CH1290" s="14"/>
      <c r="CI1290" s="50"/>
      <c r="CJ1290" s="54"/>
      <c r="CK1290" s="14"/>
      <c r="CL1290" s="14"/>
      <c r="CM1290" s="14"/>
      <c r="CN1290" s="14"/>
      <c r="CO1290" s="14"/>
      <c r="CP1290" s="14"/>
      <c r="CQ1290" s="14"/>
      <c r="CR1290" s="14"/>
      <c r="CS1290" s="14"/>
      <c r="CT1290" s="14"/>
      <c r="CU1290" s="16"/>
      <c r="CV1290" s="14"/>
      <c r="CW1290" s="50"/>
      <c r="CX1290" s="17"/>
    </row>
    <row r="1291" spans="4:102" x14ac:dyDescent="0.25"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43"/>
      <c r="Q1291" s="11"/>
      <c r="R1291" s="11"/>
      <c r="S1291" s="11"/>
      <c r="T1291" s="11"/>
      <c r="U1291" s="11"/>
      <c r="V1291" s="11"/>
      <c r="W1291" s="11"/>
      <c r="X1291" s="12"/>
      <c r="Y1291" s="12"/>
      <c r="Z1291" s="12"/>
      <c r="AA1291" s="44"/>
      <c r="AB1291" s="45"/>
      <c r="AC1291" s="12"/>
      <c r="AD1291" s="12"/>
      <c r="AE1291" s="12"/>
      <c r="AF1291" s="12"/>
      <c r="AG1291" s="44"/>
      <c r="AH1291" s="45"/>
      <c r="AI1291" s="12"/>
      <c r="AJ1291" s="12"/>
      <c r="AK1291" s="12"/>
      <c r="AL1291" s="12"/>
      <c r="AM1291" s="44"/>
      <c r="AN1291" s="45"/>
      <c r="AO1291" s="12"/>
      <c r="AP1291" s="12"/>
      <c r="AQ1291" s="12"/>
      <c r="AR1291" s="12"/>
      <c r="AS1291" s="44"/>
      <c r="AT1291" s="45"/>
      <c r="AU1291" s="12"/>
      <c r="AV1291" s="12"/>
      <c r="AW1291" s="12"/>
      <c r="AX1291" s="12"/>
      <c r="AY1291" s="44"/>
      <c r="AZ1291" s="45"/>
      <c r="BA1291" s="12"/>
      <c r="BB1291" s="12"/>
      <c r="BC1291" s="12"/>
      <c r="BD1291" s="12"/>
      <c r="BE1291" s="44"/>
      <c r="BF1291" s="45"/>
      <c r="BG1291" s="12"/>
      <c r="BH1291" s="12"/>
      <c r="BI1291" s="12"/>
      <c r="BJ1291" s="12"/>
      <c r="BK1291" s="44"/>
      <c r="BL1291" s="45"/>
      <c r="BM1291" s="12"/>
      <c r="BN1291" s="12"/>
      <c r="BO1291" s="12"/>
      <c r="BP1291" s="12"/>
      <c r="BQ1291" s="48"/>
      <c r="BR1291" s="49"/>
      <c r="BS1291" s="13"/>
      <c r="BT1291" s="12"/>
      <c r="BV1291" s="14"/>
      <c r="BW1291" s="50"/>
      <c r="BX1291" s="54"/>
      <c r="BY1291" s="14"/>
      <c r="BZ1291" s="14"/>
      <c r="CA1291" s="14"/>
      <c r="CB1291" s="14"/>
      <c r="CC1291" s="14"/>
      <c r="CD1291" s="14"/>
      <c r="CE1291" s="14"/>
      <c r="CF1291" s="15"/>
      <c r="CG1291" s="14"/>
      <c r="CH1291" s="14"/>
      <c r="CI1291" s="50"/>
      <c r="CJ1291" s="54"/>
      <c r="CK1291" s="14"/>
      <c r="CL1291" s="14"/>
      <c r="CM1291" s="14"/>
      <c r="CN1291" s="14"/>
      <c r="CO1291" s="14"/>
      <c r="CP1291" s="14"/>
      <c r="CQ1291" s="14"/>
      <c r="CR1291" s="14"/>
      <c r="CS1291" s="14"/>
      <c r="CT1291" s="14"/>
      <c r="CU1291" s="16"/>
      <c r="CV1291" s="14"/>
      <c r="CW1291" s="50"/>
      <c r="CX1291" s="17"/>
    </row>
    <row r="1292" spans="4:102" x14ac:dyDescent="0.25"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43"/>
      <c r="Q1292" s="11"/>
      <c r="R1292" s="11"/>
      <c r="S1292" s="11"/>
      <c r="T1292" s="11"/>
      <c r="U1292" s="11"/>
      <c r="V1292" s="11"/>
      <c r="W1292" s="11"/>
      <c r="X1292" s="12"/>
      <c r="Y1292" s="12"/>
      <c r="Z1292" s="12"/>
      <c r="AA1292" s="44"/>
      <c r="AB1292" s="45"/>
      <c r="AC1292" s="12"/>
      <c r="AD1292" s="12"/>
      <c r="AE1292" s="12"/>
      <c r="AF1292" s="12"/>
      <c r="AG1292" s="44"/>
      <c r="AH1292" s="45"/>
      <c r="AI1292" s="12"/>
      <c r="AJ1292" s="12"/>
      <c r="AK1292" s="12"/>
      <c r="AL1292" s="12"/>
      <c r="AM1292" s="44"/>
      <c r="AN1292" s="45"/>
      <c r="AO1292" s="12"/>
      <c r="AP1292" s="12"/>
      <c r="AQ1292" s="12"/>
      <c r="AR1292" s="12"/>
      <c r="AS1292" s="44"/>
      <c r="AT1292" s="45"/>
      <c r="AU1292" s="12"/>
      <c r="AV1292" s="12"/>
      <c r="AW1292" s="12"/>
      <c r="AX1292" s="12"/>
      <c r="AY1292" s="44"/>
      <c r="AZ1292" s="45"/>
      <c r="BA1292" s="12"/>
      <c r="BB1292" s="12"/>
      <c r="BC1292" s="12"/>
      <c r="BD1292" s="12"/>
      <c r="BE1292" s="44"/>
      <c r="BF1292" s="45"/>
      <c r="BG1292" s="12"/>
      <c r="BH1292" s="12"/>
      <c r="BI1292" s="12"/>
      <c r="BJ1292" s="12"/>
      <c r="BK1292" s="44"/>
      <c r="BL1292" s="45"/>
      <c r="BM1292" s="12"/>
      <c r="BN1292" s="12"/>
      <c r="BO1292" s="12"/>
      <c r="BP1292" s="12"/>
      <c r="BQ1292" s="48"/>
      <c r="BR1292" s="49"/>
      <c r="BS1292" s="13"/>
      <c r="BT1292" s="12"/>
      <c r="BV1292" s="14"/>
      <c r="BW1292" s="50"/>
      <c r="BX1292" s="54"/>
      <c r="BY1292" s="14"/>
      <c r="BZ1292" s="14"/>
      <c r="CA1292" s="14"/>
      <c r="CB1292" s="14"/>
      <c r="CC1292" s="14"/>
      <c r="CD1292" s="14"/>
      <c r="CE1292" s="14"/>
      <c r="CF1292" s="15"/>
      <c r="CG1292" s="14"/>
      <c r="CH1292" s="14"/>
      <c r="CI1292" s="50"/>
      <c r="CJ1292" s="54"/>
      <c r="CK1292" s="14"/>
      <c r="CL1292" s="14"/>
      <c r="CM1292" s="14"/>
      <c r="CN1292" s="14"/>
      <c r="CO1292" s="14"/>
      <c r="CP1292" s="14"/>
      <c r="CQ1292" s="14"/>
      <c r="CR1292" s="14"/>
      <c r="CS1292" s="14"/>
      <c r="CT1292" s="14"/>
      <c r="CU1292" s="16"/>
      <c r="CV1292" s="14"/>
      <c r="CW1292" s="50"/>
      <c r="CX1292" s="17"/>
    </row>
    <row r="1293" spans="4:102" x14ac:dyDescent="0.25"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43"/>
      <c r="Q1293" s="11"/>
      <c r="R1293" s="11"/>
      <c r="S1293" s="11"/>
      <c r="T1293" s="11"/>
      <c r="U1293" s="11"/>
      <c r="V1293" s="11"/>
      <c r="W1293" s="11"/>
      <c r="X1293" s="12"/>
      <c r="Y1293" s="12"/>
      <c r="Z1293" s="12"/>
      <c r="AA1293" s="44"/>
      <c r="AB1293" s="45"/>
      <c r="AC1293" s="12"/>
      <c r="AD1293" s="12"/>
      <c r="AE1293" s="12"/>
      <c r="AF1293" s="12"/>
      <c r="AG1293" s="44"/>
      <c r="AH1293" s="45"/>
      <c r="AI1293" s="12"/>
      <c r="AJ1293" s="12"/>
      <c r="AK1293" s="12"/>
      <c r="AL1293" s="12"/>
      <c r="AM1293" s="44"/>
      <c r="AN1293" s="45"/>
      <c r="AO1293" s="12"/>
      <c r="AP1293" s="12"/>
      <c r="AQ1293" s="12"/>
      <c r="AR1293" s="12"/>
      <c r="AS1293" s="44"/>
      <c r="AT1293" s="45"/>
      <c r="AU1293" s="12"/>
      <c r="AV1293" s="12"/>
      <c r="AW1293" s="12"/>
      <c r="AX1293" s="12"/>
      <c r="AY1293" s="44"/>
      <c r="AZ1293" s="45"/>
      <c r="BA1293" s="12"/>
      <c r="BB1293" s="12"/>
      <c r="BC1293" s="12"/>
      <c r="BD1293" s="12"/>
      <c r="BE1293" s="44"/>
      <c r="BF1293" s="45"/>
      <c r="BG1293" s="12"/>
      <c r="BH1293" s="12"/>
      <c r="BI1293" s="12"/>
      <c r="BJ1293" s="12"/>
      <c r="BK1293" s="44"/>
      <c r="BL1293" s="45"/>
      <c r="BM1293" s="12"/>
      <c r="BN1293" s="12"/>
      <c r="BO1293" s="12"/>
      <c r="BP1293" s="12"/>
      <c r="BQ1293" s="48"/>
      <c r="BR1293" s="49"/>
      <c r="BS1293" s="13"/>
      <c r="BT1293" s="12"/>
      <c r="BV1293" s="14"/>
      <c r="BW1293" s="50"/>
      <c r="BX1293" s="54"/>
      <c r="BY1293" s="14"/>
      <c r="BZ1293" s="14"/>
      <c r="CA1293" s="14"/>
      <c r="CB1293" s="14"/>
      <c r="CC1293" s="14"/>
      <c r="CD1293" s="14"/>
      <c r="CE1293" s="14"/>
      <c r="CF1293" s="15"/>
      <c r="CG1293" s="14"/>
      <c r="CH1293" s="14"/>
      <c r="CI1293" s="50"/>
      <c r="CJ1293" s="54"/>
      <c r="CK1293" s="14"/>
      <c r="CL1293" s="14"/>
      <c r="CM1293" s="14"/>
      <c r="CN1293" s="14"/>
      <c r="CO1293" s="14"/>
      <c r="CP1293" s="14"/>
      <c r="CQ1293" s="14"/>
      <c r="CR1293" s="14"/>
      <c r="CS1293" s="14"/>
      <c r="CT1293" s="14"/>
      <c r="CU1293" s="16"/>
      <c r="CV1293" s="14"/>
      <c r="CW1293" s="50"/>
      <c r="CX1293" s="17"/>
    </row>
    <row r="1294" spans="4:102" x14ac:dyDescent="0.25"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43"/>
      <c r="Q1294" s="11"/>
      <c r="R1294" s="11"/>
      <c r="S1294" s="11"/>
      <c r="T1294" s="11"/>
      <c r="U1294" s="11"/>
      <c r="V1294" s="11"/>
      <c r="W1294" s="11"/>
      <c r="X1294" s="12"/>
      <c r="Y1294" s="12"/>
      <c r="Z1294" s="12"/>
      <c r="AA1294" s="44"/>
      <c r="AB1294" s="45"/>
      <c r="AC1294" s="12"/>
      <c r="AD1294" s="12"/>
      <c r="AE1294" s="12"/>
      <c r="AF1294" s="12"/>
      <c r="AG1294" s="44"/>
      <c r="AH1294" s="45"/>
      <c r="AI1294" s="12"/>
      <c r="AJ1294" s="12"/>
      <c r="AK1294" s="12"/>
      <c r="AL1294" s="12"/>
      <c r="AM1294" s="44"/>
      <c r="AN1294" s="45"/>
      <c r="AO1294" s="12"/>
      <c r="AP1294" s="12"/>
      <c r="AQ1294" s="12"/>
      <c r="AR1294" s="12"/>
      <c r="AS1294" s="44"/>
      <c r="AT1294" s="45"/>
      <c r="AU1294" s="12"/>
      <c r="AV1294" s="12"/>
      <c r="AW1294" s="12"/>
      <c r="AX1294" s="12"/>
      <c r="AY1294" s="44"/>
      <c r="AZ1294" s="45"/>
      <c r="BA1294" s="12"/>
      <c r="BB1294" s="12"/>
      <c r="BC1294" s="12"/>
      <c r="BD1294" s="12"/>
      <c r="BE1294" s="44"/>
      <c r="BF1294" s="45"/>
      <c r="BG1294" s="12"/>
      <c r="BH1294" s="12"/>
      <c r="BI1294" s="12"/>
      <c r="BJ1294" s="12"/>
      <c r="BK1294" s="44"/>
      <c r="BL1294" s="45"/>
      <c r="BM1294" s="12"/>
      <c r="BN1294" s="12"/>
      <c r="BO1294" s="12"/>
      <c r="BP1294" s="12"/>
      <c r="BQ1294" s="48"/>
      <c r="BR1294" s="49"/>
      <c r="BS1294" s="13"/>
      <c r="BT1294" s="12"/>
      <c r="BV1294" s="14"/>
      <c r="BW1294" s="50"/>
      <c r="BX1294" s="54"/>
      <c r="BY1294" s="14"/>
      <c r="BZ1294" s="14"/>
      <c r="CA1294" s="14"/>
      <c r="CB1294" s="14"/>
      <c r="CC1294" s="14"/>
      <c r="CD1294" s="14"/>
      <c r="CE1294" s="14"/>
      <c r="CF1294" s="15"/>
      <c r="CG1294" s="14"/>
      <c r="CH1294" s="14"/>
      <c r="CI1294" s="50"/>
      <c r="CJ1294" s="54"/>
      <c r="CK1294" s="14"/>
      <c r="CL1294" s="14"/>
      <c r="CM1294" s="14"/>
      <c r="CN1294" s="14"/>
      <c r="CO1294" s="14"/>
      <c r="CP1294" s="14"/>
      <c r="CQ1294" s="14"/>
      <c r="CR1294" s="14"/>
      <c r="CS1294" s="14"/>
      <c r="CT1294" s="14"/>
      <c r="CU1294" s="16"/>
      <c r="CV1294" s="14"/>
      <c r="CW1294" s="50"/>
      <c r="CX1294" s="17"/>
    </row>
    <row r="1295" spans="4:102" x14ac:dyDescent="0.25"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43"/>
      <c r="Q1295" s="11"/>
      <c r="R1295" s="11"/>
      <c r="S1295" s="11"/>
      <c r="T1295" s="11"/>
      <c r="U1295" s="11"/>
      <c r="V1295" s="11"/>
      <c r="W1295" s="11"/>
      <c r="X1295" s="12"/>
      <c r="Y1295" s="12"/>
      <c r="Z1295" s="12"/>
      <c r="AA1295" s="44"/>
      <c r="AB1295" s="45"/>
      <c r="AC1295" s="12"/>
      <c r="AD1295" s="12"/>
      <c r="AE1295" s="12"/>
      <c r="AF1295" s="12"/>
      <c r="AG1295" s="44"/>
      <c r="AH1295" s="45"/>
      <c r="AI1295" s="12"/>
      <c r="AJ1295" s="12"/>
      <c r="AK1295" s="12"/>
      <c r="AL1295" s="12"/>
      <c r="AM1295" s="44"/>
      <c r="AN1295" s="45"/>
      <c r="AO1295" s="12"/>
      <c r="AP1295" s="12"/>
      <c r="AQ1295" s="12"/>
      <c r="AR1295" s="12"/>
      <c r="AS1295" s="44"/>
      <c r="AT1295" s="45"/>
      <c r="AU1295" s="12"/>
      <c r="AV1295" s="12"/>
      <c r="AW1295" s="12"/>
      <c r="AX1295" s="12"/>
      <c r="AY1295" s="44"/>
      <c r="AZ1295" s="45"/>
      <c r="BA1295" s="12"/>
      <c r="BB1295" s="12"/>
      <c r="BC1295" s="12"/>
      <c r="BD1295" s="12"/>
      <c r="BE1295" s="44"/>
      <c r="BF1295" s="45"/>
      <c r="BG1295" s="12"/>
      <c r="BH1295" s="12"/>
      <c r="BI1295" s="12"/>
      <c r="BJ1295" s="12"/>
      <c r="BK1295" s="44"/>
      <c r="BL1295" s="45"/>
      <c r="BM1295" s="12"/>
      <c r="BN1295" s="12"/>
      <c r="BO1295" s="12"/>
      <c r="BP1295" s="12"/>
      <c r="BQ1295" s="48"/>
      <c r="BR1295" s="49"/>
      <c r="BS1295" s="13"/>
      <c r="BT1295" s="12"/>
      <c r="BV1295" s="14"/>
      <c r="BW1295" s="50"/>
      <c r="BX1295" s="54"/>
      <c r="BY1295" s="14"/>
      <c r="BZ1295" s="14"/>
      <c r="CA1295" s="14"/>
      <c r="CB1295" s="14"/>
      <c r="CC1295" s="14"/>
      <c r="CD1295" s="14"/>
      <c r="CE1295" s="14"/>
      <c r="CF1295" s="15"/>
      <c r="CG1295" s="14"/>
      <c r="CH1295" s="14"/>
      <c r="CI1295" s="50"/>
      <c r="CJ1295" s="54"/>
      <c r="CK1295" s="14"/>
      <c r="CL1295" s="14"/>
      <c r="CM1295" s="14"/>
      <c r="CN1295" s="14"/>
      <c r="CO1295" s="14"/>
      <c r="CP1295" s="14"/>
      <c r="CQ1295" s="14"/>
      <c r="CR1295" s="14"/>
      <c r="CS1295" s="14"/>
      <c r="CT1295" s="14"/>
      <c r="CU1295" s="16"/>
      <c r="CV1295" s="14"/>
      <c r="CW1295" s="50"/>
      <c r="CX1295" s="17"/>
    </row>
    <row r="1296" spans="4:102" x14ac:dyDescent="0.25"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43"/>
      <c r="Q1296" s="11"/>
      <c r="R1296" s="11"/>
      <c r="S1296" s="11"/>
      <c r="T1296" s="11"/>
      <c r="U1296" s="11"/>
      <c r="V1296" s="11"/>
      <c r="W1296" s="11"/>
      <c r="X1296" s="12"/>
      <c r="Y1296" s="12"/>
      <c r="Z1296" s="12"/>
      <c r="AA1296" s="44"/>
      <c r="AB1296" s="45"/>
      <c r="AC1296" s="12"/>
      <c r="AD1296" s="12"/>
      <c r="AE1296" s="12"/>
      <c r="AF1296" s="12"/>
      <c r="AG1296" s="44"/>
      <c r="AH1296" s="45"/>
      <c r="AI1296" s="12"/>
      <c r="AJ1296" s="12"/>
      <c r="AK1296" s="12"/>
      <c r="AL1296" s="12"/>
      <c r="AM1296" s="44"/>
      <c r="AN1296" s="45"/>
      <c r="AO1296" s="12"/>
      <c r="AP1296" s="12"/>
      <c r="AQ1296" s="12"/>
      <c r="AR1296" s="12"/>
      <c r="AS1296" s="44"/>
      <c r="AT1296" s="45"/>
      <c r="AU1296" s="12"/>
      <c r="AV1296" s="12"/>
      <c r="AW1296" s="12"/>
      <c r="AX1296" s="12"/>
      <c r="AY1296" s="44"/>
      <c r="AZ1296" s="45"/>
      <c r="BA1296" s="12"/>
      <c r="BB1296" s="12"/>
      <c r="BC1296" s="12"/>
      <c r="BD1296" s="12"/>
      <c r="BE1296" s="44"/>
      <c r="BF1296" s="45"/>
      <c r="BG1296" s="12"/>
      <c r="BH1296" s="12"/>
      <c r="BI1296" s="12"/>
      <c r="BJ1296" s="12"/>
      <c r="BK1296" s="44"/>
      <c r="BL1296" s="45"/>
      <c r="BM1296" s="12"/>
      <c r="BN1296" s="12"/>
      <c r="BO1296" s="12"/>
      <c r="BP1296" s="12"/>
      <c r="BQ1296" s="48"/>
      <c r="BR1296" s="49"/>
      <c r="BS1296" s="13"/>
      <c r="BT1296" s="12"/>
      <c r="BV1296" s="14"/>
      <c r="BW1296" s="50"/>
      <c r="BX1296" s="54"/>
      <c r="BY1296" s="14"/>
      <c r="BZ1296" s="14"/>
      <c r="CA1296" s="14"/>
      <c r="CB1296" s="14"/>
      <c r="CC1296" s="14"/>
      <c r="CD1296" s="14"/>
      <c r="CE1296" s="14"/>
      <c r="CF1296" s="15"/>
      <c r="CG1296" s="14"/>
      <c r="CH1296" s="14"/>
      <c r="CI1296" s="50"/>
      <c r="CJ1296" s="54"/>
      <c r="CK1296" s="14"/>
      <c r="CL1296" s="14"/>
      <c r="CM1296" s="14"/>
      <c r="CN1296" s="14"/>
      <c r="CO1296" s="14"/>
      <c r="CP1296" s="14"/>
      <c r="CQ1296" s="14"/>
      <c r="CR1296" s="14"/>
      <c r="CS1296" s="14"/>
      <c r="CT1296" s="14"/>
      <c r="CU1296" s="16"/>
      <c r="CV1296" s="14"/>
      <c r="CW1296" s="50"/>
      <c r="CX1296" s="17"/>
    </row>
    <row r="1297" spans="4:102" x14ac:dyDescent="0.25"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43"/>
      <c r="Q1297" s="11"/>
      <c r="R1297" s="11"/>
      <c r="S1297" s="11"/>
      <c r="T1297" s="11"/>
      <c r="U1297" s="11"/>
      <c r="V1297" s="11"/>
      <c r="W1297" s="11"/>
      <c r="X1297" s="12"/>
      <c r="Y1297" s="12"/>
      <c r="Z1297" s="12"/>
      <c r="AA1297" s="44"/>
      <c r="AB1297" s="45"/>
      <c r="AC1297" s="12"/>
      <c r="AD1297" s="12"/>
      <c r="AE1297" s="12"/>
      <c r="AF1297" s="12"/>
      <c r="AG1297" s="44"/>
      <c r="AH1297" s="45"/>
      <c r="AI1297" s="12"/>
      <c r="AJ1297" s="12"/>
      <c r="AK1297" s="12"/>
      <c r="AL1297" s="12"/>
      <c r="AM1297" s="44"/>
      <c r="AN1297" s="45"/>
      <c r="AO1297" s="12"/>
      <c r="AP1297" s="12"/>
      <c r="AQ1297" s="12"/>
      <c r="AR1297" s="12"/>
      <c r="AS1297" s="44"/>
      <c r="AT1297" s="45"/>
      <c r="AU1297" s="12"/>
      <c r="AV1297" s="12"/>
      <c r="AW1297" s="12"/>
      <c r="AX1297" s="12"/>
      <c r="AY1297" s="44"/>
      <c r="AZ1297" s="45"/>
      <c r="BA1297" s="12"/>
      <c r="BB1297" s="12"/>
      <c r="BC1297" s="12"/>
      <c r="BD1297" s="12"/>
      <c r="BE1297" s="44"/>
      <c r="BF1297" s="45"/>
      <c r="BG1297" s="12"/>
      <c r="BH1297" s="12"/>
      <c r="BI1297" s="12"/>
      <c r="BJ1297" s="12"/>
      <c r="BK1297" s="44"/>
      <c r="BL1297" s="45"/>
      <c r="BM1297" s="12"/>
      <c r="BN1297" s="12"/>
      <c r="BO1297" s="12"/>
      <c r="BP1297" s="12"/>
      <c r="BQ1297" s="48"/>
      <c r="BR1297" s="49"/>
      <c r="BS1297" s="13"/>
      <c r="BT1297" s="12"/>
      <c r="BV1297" s="14"/>
      <c r="BW1297" s="50"/>
      <c r="BX1297" s="54"/>
      <c r="BY1297" s="14"/>
      <c r="BZ1297" s="14"/>
      <c r="CA1297" s="14"/>
      <c r="CB1297" s="14"/>
      <c r="CC1297" s="14"/>
      <c r="CD1297" s="14"/>
      <c r="CE1297" s="14"/>
      <c r="CF1297" s="15"/>
      <c r="CG1297" s="14"/>
      <c r="CH1297" s="14"/>
      <c r="CI1297" s="50"/>
      <c r="CJ1297" s="54"/>
      <c r="CK1297" s="14"/>
      <c r="CL1297" s="14"/>
      <c r="CM1297" s="14"/>
      <c r="CN1297" s="14"/>
      <c r="CO1297" s="14"/>
      <c r="CP1297" s="14"/>
      <c r="CQ1297" s="14"/>
      <c r="CR1297" s="14"/>
      <c r="CS1297" s="14"/>
      <c r="CT1297" s="14"/>
      <c r="CU1297" s="16"/>
      <c r="CV1297" s="14"/>
      <c r="CW1297" s="50"/>
      <c r="CX1297" s="17"/>
    </row>
    <row r="1298" spans="4:102" x14ac:dyDescent="0.25"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43"/>
      <c r="Q1298" s="11"/>
      <c r="R1298" s="11"/>
      <c r="S1298" s="11"/>
      <c r="T1298" s="11"/>
      <c r="U1298" s="11"/>
      <c r="V1298" s="11"/>
      <c r="W1298" s="11"/>
      <c r="X1298" s="12"/>
      <c r="Y1298" s="12"/>
      <c r="Z1298" s="12"/>
      <c r="AA1298" s="44"/>
      <c r="AB1298" s="45"/>
      <c r="AC1298" s="12"/>
      <c r="AD1298" s="12"/>
      <c r="AE1298" s="12"/>
      <c r="AF1298" s="12"/>
      <c r="AG1298" s="44"/>
      <c r="AH1298" s="45"/>
      <c r="AI1298" s="12"/>
      <c r="AJ1298" s="12"/>
      <c r="AK1298" s="12"/>
      <c r="AL1298" s="12"/>
      <c r="AM1298" s="44"/>
      <c r="AN1298" s="45"/>
      <c r="AO1298" s="12"/>
      <c r="AP1298" s="12"/>
      <c r="AQ1298" s="12"/>
      <c r="AR1298" s="12"/>
      <c r="AS1298" s="44"/>
      <c r="AT1298" s="45"/>
      <c r="AU1298" s="12"/>
      <c r="AV1298" s="12"/>
      <c r="AW1298" s="12"/>
      <c r="AX1298" s="12"/>
      <c r="AY1298" s="44"/>
      <c r="AZ1298" s="45"/>
      <c r="BA1298" s="12"/>
      <c r="BB1298" s="12"/>
      <c r="BC1298" s="12"/>
      <c r="BD1298" s="12"/>
      <c r="BE1298" s="44"/>
      <c r="BF1298" s="45"/>
      <c r="BG1298" s="12"/>
      <c r="BH1298" s="12"/>
      <c r="BI1298" s="12"/>
      <c r="BJ1298" s="12"/>
      <c r="BK1298" s="44"/>
      <c r="BL1298" s="45"/>
      <c r="BM1298" s="12"/>
      <c r="BN1298" s="12"/>
      <c r="BO1298" s="12"/>
      <c r="BP1298" s="12"/>
      <c r="BQ1298" s="48"/>
      <c r="BR1298" s="49"/>
      <c r="BS1298" s="13"/>
      <c r="BT1298" s="12"/>
      <c r="BV1298" s="14"/>
      <c r="BW1298" s="50"/>
      <c r="BX1298" s="54"/>
      <c r="BY1298" s="14"/>
      <c r="BZ1298" s="14"/>
      <c r="CA1298" s="14"/>
      <c r="CB1298" s="14"/>
      <c r="CC1298" s="14"/>
      <c r="CD1298" s="14"/>
      <c r="CE1298" s="14"/>
      <c r="CF1298" s="15"/>
      <c r="CG1298" s="14"/>
      <c r="CH1298" s="14"/>
      <c r="CI1298" s="50"/>
      <c r="CJ1298" s="54"/>
      <c r="CK1298" s="14"/>
      <c r="CL1298" s="14"/>
      <c r="CM1298" s="14"/>
      <c r="CN1298" s="14"/>
      <c r="CO1298" s="14"/>
      <c r="CP1298" s="14"/>
      <c r="CQ1298" s="14"/>
      <c r="CR1298" s="14"/>
      <c r="CS1298" s="14"/>
      <c r="CT1298" s="14"/>
      <c r="CU1298" s="16"/>
      <c r="CV1298" s="14"/>
      <c r="CW1298" s="50"/>
      <c r="CX1298" s="17"/>
    </row>
    <row r="1299" spans="4:102" x14ac:dyDescent="0.25"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43"/>
      <c r="Q1299" s="11"/>
      <c r="R1299" s="11"/>
      <c r="S1299" s="11"/>
      <c r="T1299" s="11"/>
      <c r="U1299" s="11"/>
      <c r="V1299" s="11"/>
      <c r="W1299" s="11"/>
      <c r="X1299" s="12"/>
      <c r="Y1299" s="12"/>
      <c r="Z1299" s="12"/>
      <c r="AA1299" s="44"/>
      <c r="AB1299" s="45"/>
      <c r="AC1299" s="12"/>
      <c r="AD1299" s="12"/>
      <c r="AE1299" s="12"/>
      <c r="AF1299" s="12"/>
      <c r="AG1299" s="44"/>
      <c r="AH1299" s="45"/>
      <c r="AI1299" s="12"/>
      <c r="AJ1299" s="12"/>
      <c r="AK1299" s="12"/>
      <c r="AL1299" s="12"/>
      <c r="AM1299" s="44"/>
      <c r="AN1299" s="45"/>
      <c r="AO1299" s="12"/>
      <c r="AP1299" s="12"/>
      <c r="AQ1299" s="12"/>
      <c r="AR1299" s="12"/>
      <c r="AS1299" s="44"/>
      <c r="AT1299" s="45"/>
      <c r="AU1299" s="12"/>
      <c r="AV1299" s="12"/>
      <c r="AW1299" s="12"/>
      <c r="AX1299" s="12"/>
      <c r="AY1299" s="44"/>
      <c r="AZ1299" s="45"/>
      <c r="BA1299" s="12"/>
      <c r="BB1299" s="12"/>
      <c r="BC1299" s="12"/>
      <c r="BD1299" s="12"/>
      <c r="BE1299" s="44"/>
      <c r="BF1299" s="45"/>
      <c r="BG1299" s="12"/>
      <c r="BH1299" s="12"/>
      <c r="BI1299" s="12"/>
      <c r="BJ1299" s="12"/>
      <c r="BK1299" s="44"/>
      <c r="BL1299" s="45"/>
      <c r="BM1299" s="12"/>
      <c r="BN1299" s="12"/>
      <c r="BO1299" s="12"/>
      <c r="BP1299" s="12"/>
      <c r="BQ1299" s="48"/>
      <c r="BR1299" s="49"/>
      <c r="BS1299" s="13"/>
      <c r="BT1299" s="12"/>
      <c r="BV1299" s="14"/>
      <c r="BW1299" s="50"/>
      <c r="BX1299" s="54"/>
      <c r="BY1299" s="14"/>
      <c r="BZ1299" s="14"/>
      <c r="CA1299" s="14"/>
      <c r="CB1299" s="14"/>
      <c r="CC1299" s="14"/>
      <c r="CD1299" s="14"/>
      <c r="CE1299" s="14"/>
      <c r="CF1299" s="15"/>
      <c r="CG1299" s="14"/>
      <c r="CH1299" s="14"/>
      <c r="CI1299" s="50"/>
      <c r="CJ1299" s="54"/>
      <c r="CK1299" s="14"/>
      <c r="CL1299" s="14"/>
      <c r="CM1299" s="14"/>
      <c r="CN1299" s="14"/>
      <c r="CO1299" s="14"/>
      <c r="CP1299" s="14"/>
      <c r="CQ1299" s="14"/>
      <c r="CR1299" s="14"/>
      <c r="CS1299" s="14"/>
      <c r="CT1299" s="14"/>
      <c r="CU1299" s="16"/>
      <c r="CV1299" s="14"/>
      <c r="CW1299" s="50"/>
      <c r="CX1299" s="17"/>
    </row>
    <row r="1300" spans="4:102" x14ac:dyDescent="0.25"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43"/>
      <c r="Q1300" s="11"/>
      <c r="R1300" s="11"/>
      <c r="S1300" s="11"/>
      <c r="T1300" s="11"/>
      <c r="U1300" s="11"/>
      <c r="V1300" s="11"/>
      <c r="W1300" s="11"/>
      <c r="X1300" s="12"/>
      <c r="Y1300" s="12"/>
      <c r="Z1300" s="12"/>
      <c r="AA1300" s="44"/>
      <c r="AB1300" s="45"/>
      <c r="AC1300" s="12"/>
      <c r="AD1300" s="12"/>
      <c r="AE1300" s="12"/>
      <c r="AF1300" s="12"/>
      <c r="AG1300" s="44"/>
      <c r="AH1300" s="45"/>
      <c r="AI1300" s="12"/>
      <c r="AJ1300" s="12"/>
      <c r="AK1300" s="12"/>
      <c r="AL1300" s="12"/>
      <c r="AM1300" s="44"/>
      <c r="AN1300" s="45"/>
      <c r="AO1300" s="12"/>
      <c r="AP1300" s="12"/>
      <c r="AQ1300" s="12"/>
      <c r="AR1300" s="12"/>
      <c r="AS1300" s="44"/>
      <c r="AT1300" s="45"/>
      <c r="AU1300" s="12"/>
      <c r="AV1300" s="12"/>
      <c r="AW1300" s="12"/>
      <c r="AX1300" s="12"/>
      <c r="AY1300" s="44"/>
      <c r="AZ1300" s="45"/>
      <c r="BA1300" s="12"/>
      <c r="BB1300" s="12"/>
      <c r="BC1300" s="12"/>
      <c r="BD1300" s="12"/>
      <c r="BE1300" s="44"/>
      <c r="BF1300" s="45"/>
      <c r="BG1300" s="12"/>
      <c r="BH1300" s="12"/>
      <c r="BI1300" s="12"/>
      <c r="BJ1300" s="12"/>
      <c r="BK1300" s="44"/>
      <c r="BL1300" s="45"/>
      <c r="BM1300" s="12"/>
      <c r="BN1300" s="12"/>
      <c r="BO1300" s="12"/>
      <c r="BP1300" s="12"/>
      <c r="BQ1300" s="48"/>
      <c r="BR1300" s="49"/>
      <c r="BS1300" s="13"/>
      <c r="BT1300" s="12"/>
      <c r="BV1300" s="14"/>
      <c r="BW1300" s="50"/>
      <c r="BX1300" s="54"/>
      <c r="BY1300" s="14"/>
      <c r="BZ1300" s="14"/>
      <c r="CA1300" s="14"/>
      <c r="CB1300" s="14"/>
      <c r="CC1300" s="14"/>
      <c r="CD1300" s="14"/>
      <c r="CE1300" s="14"/>
      <c r="CF1300" s="15"/>
      <c r="CG1300" s="14"/>
      <c r="CH1300" s="14"/>
      <c r="CI1300" s="50"/>
      <c r="CJ1300" s="54"/>
      <c r="CK1300" s="14"/>
      <c r="CL1300" s="14"/>
      <c r="CM1300" s="14"/>
      <c r="CN1300" s="14"/>
      <c r="CO1300" s="14"/>
      <c r="CP1300" s="14"/>
      <c r="CQ1300" s="14"/>
      <c r="CR1300" s="14"/>
      <c r="CS1300" s="14"/>
      <c r="CT1300" s="14"/>
      <c r="CU1300" s="16"/>
      <c r="CV1300" s="14"/>
      <c r="CW1300" s="50"/>
      <c r="CX1300" s="17"/>
    </row>
    <row r="1301" spans="4:102" x14ac:dyDescent="0.25"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43"/>
      <c r="Q1301" s="11"/>
      <c r="R1301" s="11"/>
      <c r="S1301" s="11"/>
      <c r="T1301" s="11"/>
      <c r="U1301" s="11"/>
      <c r="V1301" s="11"/>
      <c r="W1301" s="11"/>
      <c r="X1301" s="12"/>
      <c r="Y1301" s="12"/>
      <c r="Z1301" s="12"/>
      <c r="AA1301" s="44"/>
      <c r="AB1301" s="45"/>
      <c r="AC1301" s="12"/>
      <c r="AD1301" s="12"/>
      <c r="AE1301" s="12"/>
      <c r="AF1301" s="12"/>
      <c r="AG1301" s="44"/>
      <c r="AH1301" s="45"/>
      <c r="AI1301" s="12"/>
      <c r="AJ1301" s="12"/>
      <c r="AK1301" s="12"/>
      <c r="AL1301" s="12"/>
      <c r="AM1301" s="44"/>
      <c r="AN1301" s="45"/>
      <c r="AO1301" s="12"/>
      <c r="AP1301" s="12"/>
      <c r="AQ1301" s="12"/>
      <c r="AR1301" s="12"/>
      <c r="AS1301" s="44"/>
      <c r="AT1301" s="45"/>
      <c r="AU1301" s="12"/>
      <c r="AV1301" s="12"/>
      <c r="AW1301" s="12"/>
      <c r="AX1301" s="12"/>
      <c r="AY1301" s="44"/>
      <c r="AZ1301" s="45"/>
      <c r="BA1301" s="12"/>
      <c r="BB1301" s="12"/>
      <c r="BC1301" s="12"/>
      <c r="BD1301" s="12"/>
      <c r="BE1301" s="44"/>
      <c r="BF1301" s="45"/>
      <c r="BG1301" s="12"/>
      <c r="BH1301" s="12"/>
      <c r="BI1301" s="12"/>
      <c r="BJ1301" s="12"/>
      <c r="BK1301" s="44"/>
      <c r="BL1301" s="45"/>
      <c r="BM1301" s="12"/>
      <c r="BN1301" s="12"/>
      <c r="BO1301" s="12"/>
      <c r="BP1301" s="12"/>
      <c r="BQ1301" s="48"/>
      <c r="BR1301" s="49"/>
      <c r="BS1301" s="13"/>
      <c r="BT1301" s="12"/>
      <c r="BV1301" s="14"/>
      <c r="BW1301" s="50"/>
      <c r="BX1301" s="54"/>
      <c r="BY1301" s="14"/>
      <c r="BZ1301" s="14"/>
      <c r="CA1301" s="14"/>
      <c r="CB1301" s="14"/>
      <c r="CC1301" s="14"/>
      <c r="CD1301" s="14"/>
      <c r="CE1301" s="14"/>
      <c r="CF1301" s="15"/>
      <c r="CG1301" s="14"/>
      <c r="CH1301" s="14"/>
      <c r="CI1301" s="50"/>
      <c r="CJ1301" s="54"/>
      <c r="CK1301" s="14"/>
      <c r="CL1301" s="14"/>
      <c r="CM1301" s="14"/>
      <c r="CN1301" s="14"/>
      <c r="CO1301" s="14"/>
      <c r="CP1301" s="14"/>
      <c r="CQ1301" s="14"/>
      <c r="CR1301" s="14"/>
      <c r="CS1301" s="14"/>
      <c r="CT1301" s="14"/>
      <c r="CU1301" s="16"/>
      <c r="CV1301" s="14"/>
      <c r="CW1301" s="50"/>
      <c r="CX1301" s="17"/>
    </row>
    <row r="1302" spans="4:102" x14ac:dyDescent="0.25"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43"/>
      <c r="Q1302" s="11"/>
      <c r="R1302" s="11"/>
      <c r="S1302" s="11"/>
      <c r="T1302" s="11"/>
      <c r="U1302" s="11"/>
      <c r="V1302" s="11"/>
      <c r="W1302" s="11"/>
      <c r="X1302" s="12"/>
      <c r="Y1302" s="12"/>
      <c r="Z1302" s="12"/>
      <c r="AA1302" s="44"/>
      <c r="AB1302" s="45"/>
      <c r="AC1302" s="12"/>
      <c r="AD1302" s="12"/>
      <c r="AE1302" s="12"/>
      <c r="AF1302" s="12"/>
      <c r="AG1302" s="44"/>
      <c r="AH1302" s="45"/>
      <c r="AI1302" s="12"/>
      <c r="AJ1302" s="12"/>
      <c r="AK1302" s="12"/>
      <c r="AL1302" s="12"/>
      <c r="AM1302" s="44"/>
      <c r="AN1302" s="45"/>
      <c r="AO1302" s="12"/>
      <c r="AP1302" s="12"/>
      <c r="AQ1302" s="12"/>
      <c r="AR1302" s="12"/>
      <c r="AS1302" s="44"/>
      <c r="AT1302" s="45"/>
      <c r="AU1302" s="12"/>
      <c r="AV1302" s="12"/>
      <c r="AW1302" s="12"/>
      <c r="AX1302" s="12"/>
      <c r="AY1302" s="44"/>
      <c r="AZ1302" s="45"/>
      <c r="BA1302" s="12"/>
      <c r="BB1302" s="12"/>
      <c r="BC1302" s="12"/>
      <c r="BD1302" s="12"/>
      <c r="BE1302" s="44"/>
      <c r="BF1302" s="45"/>
      <c r="BG1302" s="12"/>
      <c r="BH1302" s="12"/>
      <c r="BI1302" s="12"/>
      <c r="BJ1302" s="12"/>
      <c r="BK1302" s="44"/>
      <c r="BL1302" s="45"/>
      <c r="BM1302" s="12"/>
      <c r="BN1302" s="12"/>
      <c r="BO1302" s="12"/>
      <c r="BP1302" s="12"/>
      <c r="BQ1302" s="48"/>
      <c r="BR1302" s="49"/>
      <c r="BS1302" s="13"/>
      <c r="BT1302" s="12"/>
      <c r="BV1302" s="14"/>
      <c r="BW1302" s="50"/>
      <c r="BX1302" s="54"/>
      <c r="BY1302" s="14"/>
      <c r="BZ1302" s="14"/>
      <c r="CA1302" s="14"/>
      <c r="CB1302" s="14"/>
      <c r="CC1302" s="14"/>
      <c r="CD1302" s="14"/>
      <c r="CE1302" s="14"/>
      <c r="CF1302" s="15"/>
      <c r="CG1302" s="14"/>
      <c r="CH1302" s="14"/>
      <c r="CI1302" s="50"/>
      <c r="CJ1302" s="54"/>
      <c r="CK1302" s="14"/>
      <c r="CL1302" s="14"/>
      <c r="CM1302" s="14"/>
      <c r="CN1302" s="14"/>
      <c r="CO1302" s="14"/>
      <c r="CP1302" s="14"/>
      <c r="CQ1302" s="14"/>
      <c r="CR1302" s="14"/>
      <c r="CS1302" s="14"/>
      <c r="CT1302" s="14"/>
      <c r="CU1302" s="16"/>
      <c r="CV1302" s="14"/>
      <c r="CW1302" s="50"/>
      <c r="CX1302" s="17"/>
    </row>
    <row r="1303" spans="4:102" x14ac:dyDescent="0.25"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43"/>
      <c r="Q1303" s="11"/>
      <c r="R1303" s="11"/>
      <c r="S1303" s="11"/>
      <c r="T1303" s="11"/>
      <c r="U1303" s="11"/>
      <c r="V1303" s="11"/>
      <c r="W1303" s="11"/>
      <c r="X1303" s="12"/>
      <c r="Y1303" s="12"/>
      <c r="Z1303" s="12"/>
      <c r="AA1303" s="44"/>
      <c r="AB1303" s="45"/>
      <c r="AC1303" s="12"/>
      <c r="AD1303" s="12"/>
      <c r="AE1303" s="12"/>
      <c r="AF1303" s="12"/>
      <c r="AG1303" s="44"/>
      <c r="AH1303" s="45"/>
      <c r="AI1303" s="12"/>
      <c r="AJ1303" s="12"/>
      <c r="AK1303" s="12"/>
      <c r="AL1303" s="12"/>
      <c r="AM1303" s="44"/>
      <c r="AN1303" s="45"/>
      <c r="AO1303" s="12"/>
      <c r="AP1303" s="12"/>
      <c r="AQ1303" s="12"/>
      <c r="AR1303" s="12"/>
      <c r="AS1303" s="44"/>
      <c r="AT1303" s="45"/>
      <c r="AU1303" s="12"/>
      <c r="AV1303" s="12"/>
      <c r="AW1303" s="12"/>
      <c r="AX1303" s="12"/>
      <c r="AY1303" s="44"/>
      <c r="AZ1303" s="45"/>
      <c r="BA1303" s="12"/>
      <c r="BB1303" s="12"/>
      <c r="BC1303" s="12"/>
      <c r="BD1303" s="12"/>
      <c r="BE1303" s="44"/>
      <c r="BF1303" s="45"/>
      <c r="BG1303" s="12"/>
      <c r="BH1303" s="12"/>
      <c r="BI1303" s="12"/>
      <c r="BJ1303" s="12"/>
      <c r="BK1303" s="44"/>
      <c r="BL1303" s="45"/>
      <c r="BM1303" s="12"/>
      <c r="BN1303" s="12"/>
      <c r="BO1303" s="12"/>
      <c r="BP1303" s="12"/>
      <c r="BQ1303" s="48"/>
      <c r="BR1303" s="49"/>
      <c r="BS1303" s="13"/>
      <c r="BT1303" s="12"/>
      <c r="BV1303" s="14"/>
      <c r="BW1303" s="50"/>
      <c r="BX1303" s="54"/>
      <c r="BY1303" s="14"/>
      <c r="BZ1303" s="14"/>
      <c r="CA1303" s="14"/>
      <c r="CB1303" s="14"/>
      <c r="CC1303" s="14"/>
      <c r="CD1303" s="14"/>
      <c r="CE1303" s="14"/>
      <c r="CF1303" s="15"/>
      <c r="CG1303" s="14"/>
      <c r="CH1303" s="14"/>
      <c r="CI1303" s="50"/>
      <c r="CJ1303" s="54"/>
      <c r="CK1303" s="14"/>
      <c r="CL1303" s="14"/>
      <c r="CM1303" s="14"/>
      <c r="CN1303" s="14"/>
      <c r="CO1303" s="14"/>
      <c r="CP1303" s="14"/>
      <c r="CQ1303" s="14"/>
      <c r="CR1303" s="14"/>
      <c r="CS1303" s="14"/>
      <c r="CT1303" s="14"/>
      <c r="CU1303" s="16"/>
      <c r="CV1303" s="14"/>
      <c r="CW1303" s="50"/>
      <c r="CX1303" s="17"/>
    </row>
    <row r="1304" spans="4:102" x14ac:dyDescent="0.25"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43"/>
      <c r="Q1304" s="11"/>
      <c r="R1304" s="11"/>
      <c r="S1304" s="11"/>
      <c r="T1304" s="11"/>
      <c r="U1304" s="11"/>
      <c r="V1304" s="11"/>
      <c r="W1304" s="11"/>
      <c r="X1304" s="12"/>
      <c r="Y1304" s="12"/>
      <c r="Z1304" s="12"/>
      <c r="AA1304" s="44"/>
      <c r="AB1304" s="45"/>
      <c r="AC1304" s="12"/>
      <c r="AD1304" s="12"/>
      <c r="AE1304" s="12"/>
      <c r="AF1304" s="12"/>
      <c r="AG1304" s="44"/>
      <c r="AH1304" s="45"/>
      <c r="AI1304" s="12"/>
      <c r="AJ1304" s="12"/>
      <c r="AK1304" s="12"/>
      <c r="AL1304" s="12"/>
      <c r="AM1304" s="44"/>
      <c r="AN1304" s="45"/>
      <c r="AO1304" s="12"/>
      <c r="AP1304" s="12"/>
      <c r="AQ1304" s="12"/>
      <c r="AR1304" s="12"/>
      <c r="AS1304" s="44"/>
      <c r="AT1304" s="45"/>
      <c r="AU1304" s="12"/>
      <c r="AV1304" s="12"/>
      <c r="AW1304" s="12"/>
      <c r="AX1304" s="12"/>
      <c r="AY1304" s="44"/>
      <c r="AZ1304" s="45"/>
      <c r="BA1304" s="12"/>
      <c r="BB1304" s="12"/>
      <c r="BC1304" s="12"/>
      <c r="BD1304" s="12"/>
      <c r="BE1304" s="44"/>
      <c r="BF1304" s="45"/>
      <c r="BG1304" s="12"/>
      <c r="BH1304" s="12"/>
      <c r="BI1304" s="12"/>
      <c r="BJ1304" s="12"/>
      <c r="BK1304" s="44"/>
      <c r="BL1304" s="45"/>
      <c r="BM1304" s="12"/>
      <c r="BN1304" s="12"/>
      <c r="BO1304" s="12"/>
      <c r="BP1304" s="12"/>
      <c r="BQ1304" s="48"/>
      <c r="BR1304" s="49"/>
      <c r="BS1304" s="13"/>
      <c r="BT1304" s="12"/>
      <c r="BV1304" s="14"/>
      <c r="BW1304" s="50"/>
      <c r="BX1304" s="54"/>
      <c r="BY1304" s="14"/>
      <c r="BZ1304" s="14"/>
      <c r="CA1304" s="14"/>
      <c r="CB1304" s="14"/>
      <c r="CC1304" s="14"/>
      <c r="CD1304" s="14"/>
      <c r="CE1304" s="14"/>
      <c r="CF1304" s="15"/>
      <c r="CG1304" s="14"/>
      <c r="CH1304" s="14"/>
      <c r="CI1304" s="50"/>
      <c r="CJ1304" s="54"/>
      <c r="CK1304" s="14"/>
      <c r="CL1304" s="14"/>
      <c r="CM1304" s="14"/>
      <c r="CN1304" s="14"/>
      <c r="CO1304" s="14"/>
      <c r="CP1304" s="14"/>
      <c r="CQ1304" s="14"/>
      <c r="CR1304" s="14"/>
      <c r="CS1304" s="14"/>
      <c r="CT1304" s="14"/>
      <c r="CU1304" s="16"/>
      <c r="CV1304" s="14"/>
      <c r="CW1304" s="50"/>
      <c r="CX1304" s="17"/>
    </row>
    <row r="1305" spans="4:102" x14ac:dyDescent="0.25"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43"/>
      <c r="Q1305" s="11"/>
      <c r="R1305" s="11"/>
      <c r="S1305" s="11"/>
      <c r="T1305" s="11"/>
      <c r="U1305" s="11"/>
      <c r="V1305" s="11"/>
      <c r="W1305" s="11"/>
      <c r="X1305" s="12"/>
      <c r="Y1305" s="12"/>
      <c r="Z1305" s="12"/>
      <c r="AA1305" s="44"/>
      <c r="AB1305" s="45"/>
      <c r="AC1305" s="12"/>
      <c r="AD1305" s="12"/>
      <c r="AE1305" s="12"/>
      <c r="AF1305" s="12"/>
      <c r="AG1305" s="44"/>
      <c r="AH1305" s="45"/>
      <c r="AI1305" s="12"/>
      <c r="AJ1305" s="12"/>
      <c r="AK1305" s="12"/>
      <c r="AL1305" s="12"/>
      <c r="AM1305" s="44"/>
      <c r="AN1305" s="45"/>
      <c r="AO1305" s="12"/>
      <c r="AP1305" s="12"/>
      <c r="AQ1305" s="12"/>
      <c r="AR1305" s="12"/>
      <c r="AS1305" s="44"/>
      <c r="AT1305" s="45"/>
      <c r="AU1305" s="12"/>
      <c r="AV1305" s="12"/>
      <c r="AW1305" s="12"/>
      <c r="AX1305" s="12"/>
      <c r="AY1305" s="44"/>
      <c r="AZ1305" s="45"/>
      <c r="BA1305" s="12"/>
      <c r="BB1305" s="12"/>
      <c r="BC1305" s="12"/>
      <c r="BD1305" s="12"/>
      <c r="BE1305" s="44"/>
      <c r="BF1305" s="45"/>
      <c r="BG1305" s="12"/>
      <c r="BH1305" s="12"/>
      <c r="BI1305" s="12"/>
      <c r="BJ1305" s="12"/>
      <c r="BK1305" s="44"/>
      <c r="BL1305" s="45"/>
      <c r="BM1305" s="12"/>
      <c r="BN1305" s="12"/>
      <c r="BO1305" s="12"/>
      <c r="BP1305" s="12"/>
      <c r="BQ1305" s="48"/>
      <c r="BR1305" s="49"/>
      <c r="BS1305" s="13"/>
      <c r="BT1305" s="12"/>
      <c r="BV1305" s="14"/>
      <c r="BW1305" s="50"/>
      <c r="BX1305" s="54"/>
      <c r="BY1305" s="14"/>
      <c r="BZ1305" s="14"/>
      <c r="CA1305" s="14"/>
      <c r="CB1305" s="14"/>
      <c r="CC1305" s="14"/>
      <c r="CD1305" s="14"/>
      <c r="CE1305" s="14"/>
      <c r="CF1305" s="15"/>
      <c r="CG1305" s="14"/>
      <c r="CH1305" s="14"/>
      <c r="CI1305" s="50"/>
      <c r="CJ1305" s="54"/>
      <c r="CK1305" s="14"/>
      <c r="CL1305" s="14"/>
      <c r="CM1305" s="14"/>
      <c r="CN1305" s="14"/>
      <c r="CO1305" s="14"/>
      <c r="CP1305" s="14"/>
      <c r="CQ1305" s="14"/>
      <c r="CR1305" s="14"/>
      <c r="CS1305" s="14"/>
      <c r="CT1305" s="14"/>
      <c r="CU1305" s="16"/>
      <c r="CV1305" s="14"/>
      <c r="CW1305" s="50"/>
      <c r="CX1305" s="17"/>
    </row>
    <row r="1306" spans="4:102" x14ac:dyDescent="0.25"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43"/>
      <c r="Q1306" s="11"/>
      <c r="R1306" s="11"/>
      <c r="S1306" s="11"/>
      <c r="T1306" s="11"/>
      <c r="U1306" s="11"/>
      <c r="V1306" s="11"/>
      <c r="W1306" s="11"/>
      <c r="X1306" s="12"/>
      <c r="Y1306" s="12"/>
      <c r="Z1306" s="12"/>
      <c r="AA1306" s="44"/>
      <c r="AB1306" s="45"/>
      <c r="AC1306" s="12"/>
      <c r="AD1306" s="12"/>
      <c r="AE1306" s="12"/>
      <c r="AF1306" s="12"/>
      <c r="AG1306" s="44"/>
      <c r="AH1306" s="45"/>
      <c r="AI1306" s="12"/>
      <c r="AJ1306" s="12"/>
      <c r="AK1306" s="12"/>
      <c r="AL1306" s="12"/>
      <c r="AM1306" s="44"/>
      <c r="AN1306" s="45"/>
      <c r="AO1306" s="12"/>
      <c r="AP1306" s="12"/>
      <c r="AQ1306" s="12"/>
      <c r="AR1306" s="12"/>
      <c r="AS1306" s="44"/>
      <c r="AT1306" s="45"/>
      <c r="AU1306" s="12"/>
      <c r="AV1306" s="12"/>
      <c r="AW1306" s="12"/>
      <c r="AX1306" s="12"/>
      <c r="AY1306" s="44"/>
      <c r="AZ1306" s="45"/>
      <c r="BA1306" s="12"/>
      <c r="BB1306" s="12"/>
      <c r="BC1306" s="12"/>
      <c r="BD1306" s="12"/>
      <c r="BE1306" s="44"/>
      <c r="BF1306" s="45"/>
      <c r="BG1306" s="12"/>
      <c r="BH1306" s="12"/>
      <c r="BI1306" s="12"/>
      <c r="BJ1306" s="12"/>
      <c r="BK1306" s="44"/>
      <c r="BL1306" s="45"/>
      <c r="BM1306" s="12"/>
      <c r="BN1306" s="12"/>
      <c r="BO1306" s="12"/>
      <c r="BP1306" s="12"/>
      <c r="BQ1306" s="48"/>
      <c r="BR1306" s="49"/>
      <c r="BS1306" s="13"/>
      <c r="BT1306" s="12"/>
      <c r="BV1306" s="14"/>
      <c r="BW1306" s="50"/>
      <c r="BX1306" s="54"/>
      <c r="BY1306" s="14"/>
      <c r="BZ1306" s="14"/>
      <c r="CA1306" s="14"/>
      <c r="CB1306" s="14"/>
      <c r="CC1306" s="14"/>
      <c r="CD1306" s="14"/>
      <c r="CE1306" s="14"/>
      <c r="CF1306" s="15"/>
      <c r="CG1306" s="14"/>
      <c r="CH1306" s="14"/>
      <c r="CI1306" s="50"/>
      <c r="CJ1306" s="54"/>
      <c r="CK1306" s="14"/>
      <c r="CL1306" s="14"/>
      <c r="CM1306" s="14"/>
      <c r="CN1306" s="14"/>
      <c r="CO1306" s="14"/>
      <c r="CP1306" s="14"/>
      <c r="CQ1306" s="14"/>
      <c r="CR1306" s="14"/>
      <c r="CS1306" s="14"/>
      <c r="CT1306" s="14"/>
      <c r="CU1306" s="16"/>
      <c r="CV1306" s="14"/>
      <c r="CW1306" s="50"/>
      <c r="CX1306" s="17"/>
    </row>
    <row r="1307" spans="4:102" x14ac:dyDescent="0.25"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43"/>
      <c r="Q1307" s="11"/>
      <c r="R1307" s="11"/>
      <c r="S1307" s="11"/>
      <c r="T1307" s="11"/>
      <c r="U1307" s="11"/>
      <c r="V1307" s="11"/>
      <c r="W1307" s="11"/>
      <c r="X1307" s="12"/>
      <c r="Y1307" s="12"/>
      <c r="Z1307" s="12"/>
      <c r="AA1307" s="44"/>
      <c r="AB1307" s="45"/>
      <c r="AC1307" s="12"/>
      <c r="AD1307" s="12"/>
      <c r="AE1307" s="12"/>
      <c r="AF1307" s="12"/>
      <c r="AG1307" s="44"/>
      <c r="AH1307" s="45"/>
      <c r="AI1307" s="12"/>
      <c r="AJ1307" s="12"/>
      <c r="AK1307" s="12"/>
      <c r="AL1307" s="12"/>
      <c r="AM1307" s="44"/>
      <c r="AN1307" s="45"/>
      <c r="AO1307" s="12"/>
      <c r="AP1307" s="12"/>
      <c r="AQ1307" s="12"/>
      <c r="AR1307" s="12"/>
      <c r="AS1307" s="44"/>
      <c r="AT1307" s="45"/>
      <c r="AU1307" s="12"/>
      <c r="AV1307" s="12"/>
      <c r="AW1307" s="12"/>
      <c r="AX1307" s="12"/>
      <c r="AY1307" s="44"/>
      <c r="AZ1307" s="45"/>
      <c r="BA1307" s="12"/>
      <c r="BB1307" s="12"/>
      <c r="BC1307" s="12"/>
      <c r="BD1307" s="12"/>
      <c r="BE1307" s="44"/>
      <c r="BF1307" s="45"/>
      <c r="BG1307" s="12"/>
      <c r="BH1307" s="12"/>
      <c r="BI1307" s="12"/>
      <c r="BJ1307" s="12"/>
      <c r="BK1307" s="44"/>
      <c r="BL1307" s="45"/>
      <c r="BM1307" s="12"/>
      <c r="BN1307" s="12"/>
      <c r="BO1307" s="12"/>
      <c r="BP1307" s="12"/>
      <c r="BQ1307" s="48"/>
      <c r="BR1307" s="49"/>
      <c r="BS1307" s="13"/>
      <c r="BT1307" s="12"/>
      <c r="BV1307" s="14"/>
      <c r="BW1307" s="50"/>
      <c r="BX1307" s="54"/>
      <c r="BY1307" s="14"/>
      <c r="BZ1307" s="14"/>
      <c r="CA1307" s="14"/>
      <c r="CB1307" s="14"/>
      <c r="CC1307" s="14"/>
      <c r="CD1307" s="14"/>
      <c r="CE1307" s="14"/>
      <c r="CF1307" s="15"/>
      <c r="CG1307" s="14"/>
      <c r="CH1307" s="14"/>
      <c r="CI1307" s="50"/>
      <c r="CJ1307" s="54"/>
      <c r="CK1307" s="14"/>
      <c r="CL1307" s="14"/>
      <c r="CM1307" s="14"/>
      <c r="CN1307" s="14"/>
      <c r="CO1307" s="14"/>
      <c r="CP1307" s="14"/>
      <c r="CQ1307" s="14"/>
      <c r="CR1307" s="14"/>
      <c r="CS1307" s="14"/>
      <c r="CT1307" s="14"/>
      <c r="CU1307" s="16"/>
      <c r="CV1307" s="14"/>
      <c r="CW1307" s="50"/>
      <c r="CX1307" s="17"/>
    </row>
    <row r="1308" spans="4:102" x14ac:dyDescent="0.25"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43"/>
      <c r="Q1308" s="11"/>
      <c r="R1308" s="11"/>
      <c r="S1308" s="11"/>
      <c r="T1308" s="11"/>
      <c r="U1308" s="11"/>
      <c r="V1308" s="11"/>
      <c r="W1308" s="11"/>
      <c r="X1308" s="12"/>
      <c r="Y1308" s="12"/>
      <c r="Z1308" s="12"/>
      <c r="AA1308" s="44"/>
      <c r="AB1308" s="45"/>
      <c r="AC1308" s="12"/>
      <c r="AD1308" s="12"/>
      <c r="AE1308" s="12"/>
      <c r="AF1308" s="12"/>
      <c r="AG1308" s="44"/>
      <c r="AH1308" s="45"/>
      <c r="AI1308" s="12"/>
      <c r="AJ1308" s="12"/>
      <c r="AK1308" s="12"/>
      <c r="AL1308" s="12"/>
      <c r="AM1308" s="44"/>
      <c r="AN1308" s="45"/>
      <c r="AO1308" s="12"/>
      <c r="AP1308" s="12"/>
      <c r="AQ1308" s="12"/>
      <c r="AR1308" s="12"/>
      <c r="AS1308" s="44"/>
      <c r="AT1308" s="45"/>
      <c r="AU1308" s="12"/>
      <c r="AV1308" s="12"/>
      <c r="AW1308" s="12"/>
      <c r="AX1308" s="12"/>
      <c r="AY1308" s="44"/>
      <c r="AZ1308" s="45"/>
      <c r="BA1308" s="12"/>
      <c r="BB1308" s="12"/>
      <c r="BC1308" s="12"/>
      <c r="BD1308" s="12"/>
      <c r="BE1308" s="44"/>
      <c r="BF1308" s="45"/>
      <c r="BG1308" s="12"/>
      <c r="BH1308" s="12"/>
      <c r="BI1308" s="12"/>
      <c r="BJ1308" s="12"/>
      <c r="BK1308" s="44"/>
      <c r="BL1308" s="45"/>
      <c r="BM1308" s="12"/>
      <c r="BN1308" s="12"/>
      <c r="BO1308" s="12"/>
      <c r="BP1308" s="12"/>
      <c r="BQ1308" s="48"/>
      <c r="BR1308" s="49"/>
      <c r="BS1308" s="13"/>
      <c r="BT1308" s="12"/>
      <c r="BV1308" s="14"/>
      <c r="BW1308" s="50"/>
      <c r="BX1308" s="54"/>
      <c r="BY1308" s="14"/>
      <c r="BZ1308" s="14"/>
      <c r="CA1308" s="14"/>
      <c r="CB1308" s="14"/>
      <c r="CC1308" s="14"/>
      <c r="CD1308" s="14"/>
      <c r="CE1308" s="14"/>
      <c r="CF1308" s="15"/>
      <c r="CG1308" s="14"/>
      <c r="CH1308" s="14"/>
      <c r="CI1308" s="50"/>
      <c r="CJ1308" s="54"/>
      <c r="CK1308" s="14"/>
      <c r="CL1308" s="14"/>
      <c r="CM1308" s="14"/>
      <c r="CN1308" s="14"/>
      <c r="CO1308" s="14"/>
      <c r="CP1308" s="14"/>
      <c r="CQ1308" s="14"/>
      <c r="CR1308" s="14"/>
      <c r="CS1308" s="14"/>
      <c r="CT1308" s="14"/>
      <c r="CU1308" s="16"/>
      <c r="CV1308" s="14"/>
      <c r="CW1308" s="50"/>
      <c r="CX1308" s="17"/>
    </row>
    <row r="1309" spans="4:102" x14ac:dyDescent="0.25"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43"/>
      <c r="Q1309" s="11"/>
      <c r="R1309" s="11"/>
      <c r="S1309" s="11"/>
      <c r="T1309" s="11"/>
      <c r="U1309" s="11"/>
      <c r="V1309" s="11"/>
      <c r="W1309" s="11"/>
      <c r="X1309" s="12"/>
      <c r="Y1309" s="12"/>
      <c r="Z1309" s="12"/>
      <c r="AA1309" s="44"/>
      <c r="AB1309" s="45"/>
      <c r="AC1309" s="12"/>
      <c r="AD1309" s="12"/>
      <c r="AE1309" s="12"/>
      <c r="AF1309" s="12"/>
      <c r="AG1309" s="44"/>
      <c r="AH1309" s="45"/>
      <c r="AI1309" s="12"/>
      <c r="AJ1309" s="12"/>
      <c r="AK1309" s="12"/>
      <c r="AL1309" s="12"/>
      <c r="AM1309" s="44"/>
      <c r="AN1309" s="45"/>
      <c r="AO1309" s="12"/>
      <c r="AP1309" s="12"/>
      <c r="AQ1309" s="12"/>
      <c r="AR1309" s="12"/>
      <c r="AS1309" s="44"/>
      <c r="AT1309" s="45"/>
      <c r="AU1309" s="12"/>
      <c r="AV1309" s="12"/>
      <c r="AW1309" s="12"/>
      <c r="AX1309" s="12"/>
      <c r="AY1309" s="44"/>
      <c r="AZ1309" s="45"/>
      <c r="BA1309" s="12"/>
      <c r="BB1309" s="12"/>
      <c r="BC1309" s="12"/>
      <c r="BD1309" s="12"/>
      <c r="BE1309" s="44"/>
      <c r="BF1309" s="45"/>
      <c r="BG1309" s="12"/>
      <c r="BH1309" s="12"/>
      <c r="BI1309" s="12"/>
      <c r="BJ1309" s="12"/>
      <c r="BK1309" s="44"/>
      <c r="BL1309" s="45"/>
      <c r="BM1309" s="12"/>
      <c r="BN1309" s="12"/>
      <c r="BO1309" s="12"/>
      <c r="BP1309" s="12"/>
      <c r="BQ1309" s="48"/>
      <c r="BR1309" s="49"/>
      <c r="BS1309" s="13"/>
      <c r="BT1309" s="12"/>
      <c r="BV1309" s="14"/>
      <c r="BW1309" s="50"/>
      <c r="BX1309" s="54"/>
      <c r="BY1309" s="14"/>
      <c r="BZ1309" s="14"/>
      <c r="CA1309" s="14"/>
      <c r="CB1309" s="14"/>
      <c r="CC1309" s="14"/>
      <c r="CD1309" s="14"/>
      <c r="CE1309" s="14"/>
      <c r="CF1309" s="15"/>
      <c r="CG1309" s="14"/>
      <c r="CH1309" s="14"/>
      <c r="CI1309" s="50"/>
      <c r="CJ1309" s="54"/>
      <c r="CK1309" s="14"/>
      <c r="CL1309" s="14"/>
      <c r="CM1309" s="14"/>
      <c r="CN1309" s="14"/>
      <c r="CO1309" s="14"/>
      <c r="CP1309" s="14"/>
      <c r="CQ1309" s="14"/>
      <c r="CR1309" s="14"/>
      <c r="CS1309" s="14"/>
      <c r="CT1309" s="14"/>
      <c r="CU1309" s="16"/>
      <c r="CV1309" s="14"/>
      <c r="CW1309" s="50"/>
      <c r="CX1309" s="17"/>
    </row>
    <row r="1310" spans="4:102" x14ac:dyDescent="0.25"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43"/>
      <c r="Q1310" s="11"/>
      <c r="R1310" s="11"/>
      <c r="S1310" s="11"/>
      <c r="T1310" s="11"/>
      <c r="U1310" s="11"/>
      <c r="V1310" s="11"/>
      <c r="W1310" s="11"/>
      <c r="X1310" s="12"/>
      <c r="Y1310" s="12"/>
      <c r="Z1310" s="12"/>
      <c r="AA1310" s="44"/>
      <c r="AB1310" s="45"/>
      <c r="AC1310" s="12"/>
      <c r="AD1310" s="12"/>
      <c r="AE1310" s="12"/>
      <c r="AF1310" s="12"/>
      <c r="AG1310" s="44"/>
      <c r="AH1310" s="45"/>
      <c r="AI1310" s="12"/>
      <c r="AJ1310" s="12"/>
      <c r="AK1310" s="12"/>
      <c r="AL1310" s="12"/>
      <c r="AM1310" s="44"/>
      <c r="AN1310" s="45"/>
      <c r="AO1310" s="12"/>
      <c r="AP1310" s="12"/>
      <c r="AQ1310" s="12"/>
      <c r="AR1310" s="12"/>
      <c r="AS1310" s="44"/>
      <c r="AT1310" s="45"/>
      <c r="AU1310" s="12"/>
      <c r="AV1310" s="12"/>
      <c r="AW1310" s="12"/>
      <c r="AX1310" s="12"/>
      <c r="AY1310" s="44"/>
      <c r="AZ1310" s="45"/>
      <c r="BA1310" s="12"/>
      <c r="BB1310" s="12"/>
      <c r="BC1310" s="12"/>
      <c r="BD1310" s="12"/>
      <c r="BE1310" s="44"/>
      <c r="BF1310" s="45"/>
      <c r="BG1310" s="12"/>
      <c r="BH1310" s="12"/>
      <c r="BI1310" s="12"/>
      <c r="BJ1310" s="12"/>
      <c r="BK1310" s="44"/>
      <c r="BL1310" s="45"/>
      <c r="BM1310" s="12"/>
      <c r="BN1310" s="12"/>
      <c r="BO1310" s="12"/>
      <c r="BP1310" s="12"/>
      <c r="BQ1310" s="48"/>
      <c r="BR1310" s="49"/>
      <c r="BS1310" s="13"/>
      <c r="BT1310" s="12"/>
      <c r="BV1310" s="14"/>
      <c r="BW1310" s="50"/>
      <c r="BX1310" s="54"/>
      <c r="BY1310" s="14"/>
      <c r="BZ1310" s="14"/>
      <c r="CA1310" s="14"/>
      <c r="CB1310" s="14"/>
      <c r="CC1310" s="14"/>
      <c r="CD1310" s="14"/>
      <c r="CE1310" s="14"/>
      <c r="CF1310" s="15"/>
      <c r="CG1310" s="14"/>
      <c r="CH1310" s="14"/>
      <c r="CI1310" s="50"/>
      <c r="CJ1310" s="54"/>
      <c r="CK1310" s="14"/>
      <c r="CL1310" s="14"/>
      <c r="CM1310" s="14"/>
      <c r="CN1310" s="14"/>
      <c r="CO1310" s="14"/>
      <c r="CP1310" s="14"/>
      <c r="CQ1310" s="14"/>
      <c r="CR1310" s="14"/>
      <c r="CS1310" s="14"/>
      <c r="CT1310" s="14"/>
      <c r="CU1310" s="16"/>
      <c r="CV1310" s="14"/>
      <c r="CW1310" s="50"/>
      <c r="CX1310" s="17"/>
    </row>
    <row r="1311" spans="4:102" x14ac:dyDescent="0.25"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43"/>
      <c r="Q1311" s="11"/>
      <c r="R1311" s="11"/>
      <c r="S1311" s="11"/>
      <c r="T1311" s="11"/>
      <c r="U1311" s="11"/>
      <c r="V1311" s="11"/>
      <c r="W1311" s="11"/>
      <c r="X1311" s="12"/>
      <c r="Y1311" s="12"/>
      <c r="Z1311" s="12"/>
      <c r="AA1311" s="44"/>
      <c r="AB1311" s="45"/>
      <c r="AC1311" s="12"/>
      <c r="AD1311" s="12"/>
      <c r="AE1311" s="12"/>
      <c r="AF1311" s="12"/>
      <c r="AG1311" s="44"/>
      <c r="AH1311" s="45"/>
      <c r="AI1311" s="12"/>
      <c r="AJ1311" s="12"/>
      <c r="AK1311" s="12"/>
      <c r="AL1311" s="12"/>
      <c r="AM1311" s="44"/>
      <c r="AN1311" s="45"/>
      <c r="AO1311" s="12"/>
      <c r="AP1311" s="12"/>
      <c r="AQ1311" s="12"/>
      <c r="AR1311" s="12"/>
      <c r="AS1311" s="44"/>
      <c r="AT1311" s="45"/>
      <c r="AU1311" s="12"/>
      <c r="AV1311" s="12"/>
      <c r="AW1311" s="12"/>
      <c r="AX1311" s="12"/>
      <c r="AY1311" s="44"/>
      <c r="AZ1311" s="45"/>
      <c r="BA1311" s="12"/>
      <c r="BB1311" s="12"/>
      <c r="BC1311" s="12"/>
      <c r="BD1311" s="12"/>
      <c r="BE1311" s="44"/>
      <c r="BF1311" s="45"/>
      <c r="BG1311" s="12"/>
      <c r="BH1311" s="12"/>
      <c r="BI1311" s="12"/>
      <c r="BJ1311" s="12"/>
      <c r="BK1311" s="44"/>
      <c r="BL1311" s="45"/>
      <c r="BM1311" s="12"/>
      <c r="BN1311" s="12"/>
      <c r="BO1311" s="12"/>
      <c r="BP1311" s="12"/>
      <c r="BQ1311" s="48"/>
      <c r="BR1311" s="49"/>
      <c r="BS1311" s="13"/>
      <c r="BT1311" s="12"/>
      <c r="BV1311" s="14"/>
      <c r="BW1311" s="50"/>
      <c r="BX1311" s="54"/>
      <c r="BY1311" s="14"/>
      <c r="BZ1311" s="14"/>
      <c r="CA1311" s="14"/>
      <c r="CB1311" s="14"/>
      <c r="CC1311" s="14"/>
      <c r="CD1311" s="14"/>
      <c r="CE1311" s="14"/>
      <c r="CF1311" s="15"/>
      <c r="CG1311" s="14"/>
      <c r="CH1311" s="14"/>
      <c r="CI1311" s="50"/>
      <c r="CJ1311" s="54"/>
      <c r="CK1311" s="14"/>
      <c r="CL1311" s="14"/>
      <c r="CM1311" s="14"/>
      <c r="CN1311" s="14"/>
      <c r="CO1311" s="14"/>
      <c r="CP1311" s="14"/>
      <c r="CQ1311" s="14"/>
      <c r="CR1311" s="14"/>
      <c r="CS1311" s="14"/>
      <c r="CT1311" s="14"/>
      <c r="CU1311" s="16"/>
      <c r="CV1311" s="14"/>
      <c r="CW1311" s="50"/>
      <c r="CX1311" s="17"/>
    </row>
    <row r="1312" spans="4:102" x14ac:dyDescent="0.25"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43"/>
      <c r="Q1312" s="11"/>
      <c r="R1312" s="11"/>
      <c r="S1312" s="11"/>
      <c r="T1312" s="11"/>
      <c r="U1312" s="11"/>
      <c r="V1312" s="11"/>
      <c r="W1312" s="11"/>
      <c r="X1312" s="12"/>
      <c r="Y1312" s="12"/>
      <c r="Z1312" s="12"/>
      <c r="AA1312" s="44"/>
      <c r="AB1312" s="45"/>
      <c r="AC1312" s="12"/>
      <c r="AD1312" s="12"/>
      <c r="AE1312" s="12"/>
      <c r="AF1312" s="12"/>
      <c r="AG1312" s="44"/>
      <c r="AH1312" s="45"/>
      <c r="AI1312" s="12"/>
      <c r="AJ1312" s="12"/>
      <c r="AK1312" s="12"/>
      <c r="AL1312" s="12"/>
      <c r="AM1312" s="44"/>
      <c r="AN1312" s="45"/>
      <c r="AO1312" s="12"/>
      <c r="AP1312" s="12"/>
      <c r="AQ1312" s="12"/>
      <c r="AR1312" s="12"/>
      <c r="AS1312" s="44"/>
      <c r="AT1312" s="45"/>
      <c r="AU1312" s="12"/>
      <c r="AV1312" s="12"/>
      <c r="AW1312" s="12"/>
      <c r="AX1312" s="12"/>
      <c r="AY1312" s="44"/>
      <c r="AZ1312" s="45"/>
      <c r="BA1312" s="12"/>
      <c r="BB1312" s="12"/>
      <c r="BC1312" s="12"/>
      <c r="BD1312" s="12"/>
      <c r="BE1312" s="44"/>
      <c r="BF1312" s="45"/>
      <c r="BG1312" s="12"/>
      <c r="BH1312" s="12"/>
      <c r="BI1312" s="12"/>
      <c r="BJ1312" s="12"/>
      <c r="BK1312" s="44"/>
      <c r="BL1312" s="45"/>
      <c r="BM1312" s="12"/>
      <c r="BN1312" s="12"/>
      <c r="BO1312" s="12"/>
      <c r="BP1312" s="12"/>
      <c r="BQ1312" s="48"/>
      <c r="BR1312" s="49"/>
      <c r="BS1312" s="13"/>
      <c r="BT1312" s="12"/>
      <c r="BV1312" s="14"/>
      <c r="BW1312" s="50"/>
      <c r="BX1312" s="54"/>
      <c r="BY1312" s="14"/>
      <c r="BZ1312" s="14"/>
      <c r="CA1312" s="14"/>
      <c r="CB1312" s="14"/>
      <c r="CC1312" s="14"/>
      <c r="CD1312" s="14"/>
      <c r="CE1312" s="14"/>
      <c r="CF1312" s="15"/>
      <c r="CG1312" s="14"/>
      <c r="CH1312" s="14"/>
      <c r="CI1312" s="50"/>
      <c r="CJ1312" s="54"/>
      <c r="CK1312" s="14"/>
      <c r="CL1312" s="14"/>
      <c r="CM1312" s="14"/>
      <c r="CN1312" s="14"/>
      <c r="CO1312" s="14"/>
      <c r="CP1312" s="14"/>
      <c r="CQ1312" s="14"/>
      <c r="CR1312" s="14"/>
      <c r="CS1312" s="14"/>
      <c r="CT1312" s="14"/>
      <c r="CU1312" s="16"/>
      <c r="CV1312" s="14"/>
      <c r="CW1312" s="50"/>
      <c r="CX1312" s="17"/>
    </row>
    <row r="1313" spans="4:102" x14ac:dyDescent="0.25"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43"/>
      <c r="Q1313" s="11"/>
      <c r="R1313" s="11"/>
      <c r="S1313" s="11"/>
      <c r="T1313" s="11"/>
      <c r="U1313" s="11"/>
      <c r="V1313" s="11"/>
      <c r="W1313" s="11"/>
      <c r="X1313" s="12"/>
      <c r="Y1313" s="12"/>
      <c r="Z1313" s="12"/>
      <c r="AA1313" s="44"/>
      <c r="AB1313" s="45"/>
      <c r="AC1313" s="12"/>
      <c r="AD1313" s="12"/>
      <c r="AE1313" s="12"/>
      <c r="AF1313" s="12"/>
      <c r="AG1313" s="44"/>
      <c r="AH1313" s="45"/>
      <c r="AI1313" s="12"/>
      <c r="AJ1313" s="12"/>
      <c r="AK1313" s="12"/>
      <c r="AL1313" s="12"/>
      <c r="AM1313" s="44"/>
      <c r="AN1313" s="45"/>
      <c r="AO1313" s="12"/>
      <c r="AP1313" s="12"/>
      <c r="AQ1313" s="12"/>
      <c r="AR1313" s="12"/>
      <c r="AS1313" s="44"/>
      <c r="AT1313" s="45"/>
      <c r="AU1313" s="12"/>
      <c r="AV1313" s="12"/>
      <c r="AW1313" s="12"/>
      <c r="AX1313" s="12"/>
      <c r="AY1313" s="44"/>
      <c r="AZ1313" s="45"/>
      <c r="BA1313" s="12"/>
      <c r="BB1313" s="12"/>
      <c r="BC1313" s="12"/>
      <c r="BD1313" s="12"/>
      <c r="BE1313" s="44"/>
      <c r="BF1313" s="45"/>
      <c r="BG1313" s="12"/>
      <c r="BH1313" s="12"/>
      <c r="BI1313" s="12"/>
      <c r="BJ1313" s="12"/>
      <c r="BK1313" s="44"/>
      <c r="BL1313" s="45"/>
      <c r="BM1313" s="12"/>
      <c r="BN1313" s="12"/>
      <c r="BO1313" s="12"/>
      <c r="BP1313" s="12"/>
      <c r="BQ1313" s="48"/>
      <c r="BR1313" s="49"/>
      <c r="BS1313" s="13"/>
      <c r="BT1313" s="12"/>
      <c r="BV1313" s="14"/>
      <c r="BW1313" s="50"/>
      <c r="BX1313" s="54"/>
      <c r="BY1313" s="14"/>
      <c r="BZ1313" s="14"/>
      <c r="CA1313" s="14"/>
      <c r="CB1313" s="14"/>
      <c r="CC1313" s="14"/>
      <c r="CD1313" s="14"/>
      <c r="CE1313" s="14"/>
      <c r="CF1313" s="15"/>
      <c r="CG1313" s="14"/>
      <c r="CH1313" s="14"/>
      <c r="CI1313" s="50"/>
      <c r="CJ1313" s="54"/>
      <c r="CK1313" s="14"/>
      <c r="CL1313" s="14"/>
      <c r="CM1313" s="14"/>
      <c r="CN1313" s="14"/>
      <c r="CO1313" s="14"/>
      <c r="CP1313" s="14"/>
      <c r="CQ1313" s="14"/>
      <c r="CR1313" s="14"/>
      <c r="CS1313" s="14"/>
      <c r="CT1313" s="14"/>
      <c r="CU1313" s="16"/>
      <c r="CV1313" s="14"/>
      <c r="CW1313" s="50"/>
      <c r="CX1313" s="17"/>
    </row>
    <row r="1314" spans="4:102" x14ac:dyDescent="0.25"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43"/>
      <c r="Q1314" s="11"/>
      <c r="R1314" s="11"/>
      <c r="S1314" s="11"/>
      <c r="T1314" s="11"/>
      <c r="U1314" s="11"/>
      <c r="V1314" s="11"/>
      <c r="W1314" s="11"/>
      <c r="X1314" s="12"/>
      <c r="Y1314" s="12"/>
      <c r="Z1314" s="12"/>
      <c r="AA1314" s="44"/>
      <c r="AB1314" s="45"/>
      <c r="AC1314" s="12"/>
      <c r="AD1314" s="12"/>
      <c r="AE1314" s="12"/>
      <c r="AF1314" s="12"/>
      <c r="AG1314" s="44"/>
      <c r="AH1314" s="45"/>
      <c r="AI1314" s="12"/>
      <c r="AJ1314" s="12"/>
      <c r="AK1314" s="12"/>
      <c r="AL1314" s="12"/>
      <c r="AM1314" s="44"/>
      <c r="AN1314" s="45"/>
      <c r="AO1314" s="12"/>
      <c r="AP1314" s="12"/>
      <c r="AQ1314" s="12"/>
      <c r="AR1314" s="12"/>
      <c r="AS1314" s="44"/>
      <c r="AT1314" s="45"/>
      <c r="AU1314" s="12"/>
      <c r="AV1314" s="12"/>
      <c r="AW1314" s="12"/>
      <c r="AX1314" s="12"/>
      <c r="AY1314" s="44"/>
      <c r="AZ1314" s="45"/>
      <c r="BA1314" s="12"/>
      <c r="BB1314" s="12"/>
      <c r="BC1314" s="12"/>
      <c r="BD1314" s="12"/>
      <c r="BE1314" s="44"/>
      <c r="BF1314" s="45"/>
      <c r="BG1314" s="12"/>
      <c r="BH1314" s="12"/>
      <c r="BI1314" s="12"/>
      <c r="BJ1314" s="12"/>
      <c r="BK1314" s="44"/>
      <c r="BL1314" s="45"/>
      <c r="BM1314" s="12"/>
      <c r="BN1314" s="12"/>
      <c r="BO1314" s="12"/>
      <c r="BP1314" s="12"/>
      <c r="BQ1314" s="48"/>
      <c r="BR1314" s="49"/>
      <c r="BS1314" s="13"/>
      <c r="BT1314" s="12"/>
      <c r="BV1314" s="14"/>
      <c r="BW1314" s="50"/>
      <c r="BX1314" s="54"/>
      <c r="BY1314" s="14"/>
      <c r="BZ1314" s="14"/>
      <c r="CA1314" s="14"/>
      <c r="CB1314" s="14"/>
      <c r="CC1314" s="14"/>
      <c r="CD1314" s="14"/>
      <c r="CE1314" s="14"/>
      <c r="CF1314" s="15"/>
      <c r="CG1314" s="14"/>
      <c r="CH1314" s="14"/>
      <c r="CI1314" s="50"/>
      <c r="CJ1314" s="54"/>
      <c r="CK1314" s="14"/>
      <c r="CL1314" s="14"/>
      <c r="CM1314" s="14"/>
      <c r="CN1314" s="14"/>
      <c r="CO1314" s="14"/>
      <c r="CP1314" s="14"/>
      <c r="CQ1314" s="14"/>
      <c r="CR1314" s="14"/>
      <c r="CS1314" s="14"/>
      <c r="CT1314" s="14"/>
      <c r="CU1314" s="16"/>
      <c r="CV1314" s="14"/>
      <c r="CW1314" s="50"/>
      <c r="CX1314" s="17"/>
    </row>
    <row r="1315" spans="4:102" x14ac:dyDescent="0.25"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43"/>
      <c r="Q1315" s="11"/>
      <c r="R1315" s="11"/>
      <c r="S1315" s="11"/>
      <c r="T1315" s="11"/>
      <c r="U1315" s="11"/>
      <c r="V1315" s="11"/>
      <c r="W1315" s="11"/>
      <c r="X1315" s="12"/>
      <c r="Y1315" s="12"/>
      <c r="Z1315" s="12"/>
      <c r="AA1315" s="44"/>
      <c r="AB1315" s="45"/>
      <c r="AC1315" s="12"/>
      <c r="AD1315" s="12"/>
      <c r="AE1315" s="12"/>
      <c r="AF1315" s="12"/>
      <c r="AG1315" s="44"/>
      <c r="AH1315" s="45"/>
      <c r="AI1315" s="12"/>
      <c r="AJ1315" s="12"/>
      <c r="AK1315" s="12"/>
      <c r="AL1315" s="12"/>
      <c r="AM1315" s="44"/>
      <c r="AN1315" s="45"/>
      <c r="AO1315" s="12"/>
      <c r="AP1315" s="12"/>
      <c r="AQ1315" s="12"/>
      <c r="AR1315" s="12"/>
      <c r="AS1315" s="44"/>
      <c r="AT1315" s="45"/>
      <c r="AU1315" s="12"/>
      <c r="AV1315" s="12"/>
      <c r="AW1315" s="12"/>
      <c r="AX1315" s="12"/>
      <c r="AY1315" s="44"/>
      <c r="AZ1315" s="45"/>
      <c r="BA1315" s="12"/>
      <c r="BB1315" s="12"/>
      <c r="BC1315" s="12"/>
      <c r="BD1315" s="12"/>
      <c r="BE1315" s="44"/>
      <c r="BF1315" s="45"/>
      <c r="BG1315" s="12"/>
      <c r="BH1315" s="12"/>
      <c r="BI1315" s="12"/>
      <c r="BJ1315" s="12"/>
      <c r="BK1315" s="44"/>
      <c r="BL1315" s="45"/>
      <c r="BM1315" s="12"/>
      <c r="BN1315" s="12"/>
      <c r="BO1315" s="12"/>
      <c r="BP1315" s="12"/>
      <c r="BQ1315" s="48"/>
      <c r="BR1315" s="49"/>
      <c r="BS1315" s="13"/>
      <c r="BT1315" s="12"/>
      <c r="BV1315" s="14"/>
      <c r="BW1315" s="50"/>
      <c r="BX1315" s="54"/>
      <c r="BY1315" s="14"/>
      <c r="BZ1315" s="14"/>
      <c r="CA1315" s="14"/>
      <c r="CB1315" s="14"/>
      <c r="CC1315" s="14"/>
      <c r="CD1315" s="14"/>
      <c r="CE1315" s="14"/>
      <c r="CF1315" s="15"/>
      <c r="CG1315" s="14"/>
      <c r="CH1315" s="14"/>
      <c r="CI1315" s="50"/>
      <c r="CJ1315" s="54"/>
      <c r="CK1315" s="14"/>
      <c r="CL1315" s="14"/>
      <c r="CM1315" s="14"/>
      <c r="CN1315" s="14"/>
      <c r="CO1315" s="14"/>
      <c r="CP1315" s="14"/>
      <c r="CQ1315" s="14"/>
      <c r="CR1315" s="14"/>
      <c r="CS1315" s="14"/>
      <c r="CT1315" s="14"/>
      <c r="CU1315" s="16"/>
      <c r="CV1315" s="14"/>
      <c r="CW1315" s="50"/>
      <c r="CX1315" s="17"/>
    </row>
    <row r="1316" spans="4:102" x14ac:dyDescent="0.25"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43"/>
      <c r="Q1316" s="11"/>
      <c r="R1316" s="11"/>
      <c r="S1316" s="11"/>
      <c r="T1316" s="11"/>
      <c r="U1316" s="11"/>
      <c r="V1316" s="11"/>
      <c r="W1316" s="11"/>
      <c r="X1316" s="12"/>
      <c r="Y1316" s="12"/>
      <c r="Z1316" s="12"/>
      <c r="AA1316" s="44"/>
      <c r="AB1316" s="45"/>
      <c r="AC1316" s="12"/>
      <c r="AD1316" s="12"/>
      <c r="AE1316" s="12"/>
      <c r="AF1316" s="12"/>
      <c r="AG1316" s="44"/>
      <c r="AH1316" s="45"/>
      <c r="AI1316" s="12"/>
      <c r="AJ1316" s="12"/>
      <c r="AK1316" s="12"/>
      <c r="AL1316" s="12"/>
      <c r="AM1316" s="44"/>
      <c r="AN1316" s="45"/>
      <c r="AO1316" s="12"/>
      <c r="AP1316" s="12"/>
      <c r="AQ1316" s="12"/>
      <c r="AR1316" s="12"/>
      <c r="AS1316" s="44"/>
      <c r="AT1316" s="45"/>
      <c r="AU1316" s="12"/>
      <c r="AV1316" s="12"/>
      <c r="AW1316" s="12"/>
      <c r="AX1316" s="12"/>
      <c r="AY1316" s="44"/>
      <c r="AZ1316" s="45"/>
      <c r="BA1316" s="12"/>
      <c r="BB1316" s="12"/>
      <c r="BC1316" s="12"/>
      <c r="BD1316" s="12"/>
      <c r="BE1316" s="44"/>
      <c r="BF1316" s="45"/>
      <c r="BG1316" s="12"/>
      <c r="BH1316" s="12"/>
      <c r="BI1316" s="12"/>
      <c r="BJ1316" s="12"/>
      <c r="BK1316" s="44"/>
      <c r="BL1316" s="45"/>
      <c r="BM1316" s="12"/>
      <c r="BN1316" s="12"/>
      <c r="BO1316" s="12"/>
      <c r="BP1316" s="12"/>
      <c r="BQ1316" s="48"/>
      <c r="BR1316" s="49"/>
      <c r="BS1316" s="13"/>
      <c r="BT1316" s="12"/>
      <c r="BV1316" s="14"/>
      <c r="BW1316" s="50"/>
      <c r="BX1316" s="54"/>
      <c r="BY1316" s="14"/>
      <c r="BZ1316" s="14"/>
      <c r="CA1316" s="14"/>
      <c r="CB1316" s="14"/>
      <c r="CC1316" s="14"/>
      <c r="CD1316" s="14"/>
      <c r="CE1316" s="14"/>
      <c r="CF1316" s="15"/>
      <c r="CG1316" s="14"/>
      <c r="CH1316" s="14"/>
      <c r="CI1316" s="50"/>
      <c r="CJ1316" s="54"/>
      <c r="CK1316" s="14"/>
      <c r="CL1316" s="14"/>
      <c r="CM1316" s="14"/>
      <c r="CN1316" s="14"/>
      <c r="CO1316" s="14"/>
      <c r="CP1316" s="14"/>
      <c r="CQ1316" s="14"/>
      <c r="CR1316" s="14"/>
      <c r="CS1316" s="14"/>
      <c r="CT1316" s="14"/>
      <c r="CU1316" s="16"/>
      <c r="CV1316" s="14"/>
      <c r="CW1316" s="50"/>
      <c r="CX1316" s="17"/>
    </row>
    <row r="1317" spans="4:102" x14ac:dyDescent="0.25"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43"/>
      <c r="Q1317" s="11"/>
      <c r="R1317" s="11"/>
      <c r="S1317" s="11"/>
      <c r="T1317" s="11"/>
      <c r="U1317" s="11"/>
      <c r="V1317" s="11"/>
      <c r="W1317" s="11"/>
      <c r="X1317" s="12"/>
      <c r="Y1317" s="12"/>
      <c r="Z1317" s="12"/>
      <c r="AA1317" s="44"/>
      <c r="AB1317" s="45"/>
      <c r="AC1317" s="12"/>
      <c r="AD1317" s="12"/>
      <c r="AE1317" s="12"/>
      <c r="AF1317" s="12"/>
      <c r="AG1317" s="44"/>
      <c r="AH1317" s="45"/>
      <c r="AI1317" s="12"/>
      <c r="AJ1317" s="12"/>
      <c r="AK1317" s="12"/>
      <c r="AL1317" s="12"/>
      <c r="AM1317" s="44"/>
      <c r="AN1317" s="45"/>
      <c r="AO1317" s="12"/>
      <c r="AP1317" s="12"/>
      <c r="AQ1317" s="12"/>
      <c r="AR1317" s="12"/>
      <c r="AS1317" s="44"/>
      <c r="AT1317" s="45"/>
      <c r="AU1317" s="12"/>
      <c r="AV1317" s="12"/>
      <c r="AW1317" s="12"/>
      <c r="AX1317" s="12"/>
      <c r="AY1317" s="44"/>
      <c r="AZ1317" s="45"/>
      <c r="BA1317" s="12"/>
      <c r="BB1317" s="12"/>
      <c r="BC1317" s="12"/>
      <c r="BD1317" s="12"/>
      <c r="BE1317" s="44"/>
      <c r="BF1317" s="45"/>
      <c r="BG1317" s="12"/>
      <c r="BH1317" s="12"/>
      <c r="BI1317" s="12"/>
      <c r="BJ1317" s="12"/>
      <c r="BK1317" s="44"/>
      <c r="BL1317" s="45"/>
      <c r="BM1317" s="12"/>
      <c r="BN1317" s="12"/>
      <c r="BO1317" s="12"/>
      <c r="BP1317" s="12"/>
      <c r="BQ1317" s="48"/>
      <c r="BR1317" s="49"/>
      <c r="BS1317" s="13"/>
      <c r="BT1317" s="12"/>
      <c r="BV1317" s="14"/>
      <c r="BW1317" s="50"/>
      <c r="BX1317" s="54"/>
      <c r="BY1317" s="14"/>
      <c r="BZ1317" s="14"/>
      <c r="CA1317" s="14"/>
      <c r="CB1317" s="14"/>
      <c r="CC1317" s="14"/>
      <c r="CD1317" s="14"/>
      <c r="CE1317" s="14"/>
      <c r="CF1317" s="15"/>
      <c r="CG1317" s="14"/>
      <c r="CH1317" s="14"/>
      <c r="CI1317" s="50"/>
      <c r="CJ1317" s="54"/>
      <c r="CK1317" s="14"/>
      <c r="CL1317" s="14"/>
      <c r="CM1317" s="14"/>
      <c r="CN1317" s="14"/>
      <c r="CO1317" s="14"/>
      <c r="CP1317" s="14"/>
      <c r="CQ1317" s="14"/>
      <c r="CR1317" s="14"/>
      <c r="CS1317" s="14"/>
      <c r="CT1317" s="14"/>
      <c r="CU1317" s="16"/>
      <c r="CV1317" s="14"/>
      <c r="CW1317" s="50"/>
      <c r="CX1317" s="17"/>
    </row>
    <row r="1318" spans="4:102" x14ac:dyDescent="0.25"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43"/>
      <c r="Q1318" s="11"/>
      <c r="R1318" s="11"/>
      <c r="S1318" s="11"/>
      <c r="T1318" s="11"/>
      <c r="U1318" s="11"/>
      <c r="V1318" s="11"/>
      <c r="W1318" s="11"/>
      <c r="X1318" s="12"/>
      <c r="Y1318" s="12"/>
      <c r="Z1318" s="12"/>
      <c r="AA1318" s="44"/>
      <c r="AB1318" s="45"/>
      <c r="AC1318" s="12"/>
      <c r="AD1318" s="12"/>
      <c r="AE1318" s="12"/>
      <c r="AF1318" s="12"/>
      <c r="AG1318" s="44"/>
      <c r="AH1318" s="45"/>
      <c r="AI1318" s="12"/>
      <c r="AJ1318" s="12"/>
      <c r="AK1318" s="12"/>
      <c r="AL1318" s="12"/>
      <c r="AM1318" s="44"/>
      <c r="AN1318" s="45"/>
      <c r="AO1318" s="12"/>
      <c r="AP1318" s="12"/>
      <c r="AQ1318" s="12"/>
      <c r="AR1318" s="12"/>
      <c r="AS1318" s="44"/>
      <c r="AT1318" s="45"/>
      <c r="AU1318" s="12"/>
      <c r="AV1318" s="12"/>
      <c r="AW1318" s="12"/>
      <c r="AX1318" s="12"/>
      <c r="AY1318" s="44"/>
      <c r="AZ1318" s="45"/>
      <c r="BA1318" s="12"/>
      <c r="BB1318" s="12"/>
      <c r="BC1318" s="12"/>
      <c r="BD1318" s="12"/>
      <c r="BE1318" s="44"/>
      <c r="BF1318" s="45"/>
      <c r="BG1318" s="12"/>
      <c r="BH1318" s="12"/>
      <c r="BI1318" s="12"/>
      <c r="BJ1318" s="12"/>
      <c r="BK1318" s="44"/>
      <c r="BL1318" s="45"/>
      <c r="BM1318" s="12"/>
      <c r="BN1318" s="12"/>
      <c r="BO1318" s="12"/>
      <c r="BP1318" s="12"/>
      <c r="BQ1318" s="48"/>
      <c r="BR1318" s="49"/>
      <c r="BS1318" s="13"/>
      <c r="BT1318" s="12"/>
      <c r="BV1318" s="14"/>
      <c r="BW1318" s="50"/>
      <c r="BX1318" s="54"/>
      <c r="BY1318" s="14"/>
      <c r="BZ1318" s="14"/>
      <c r="CA1318" s="14"/>
      <c r="CB1318" s="14"/>
      <c r="CC1318" s="14"/>
      <c r="CD1318" s="14"/>
      <c r="CE1318" s="14"/>
      <c r="CF1318" s="15"/>
      <c r="CG1318" s="14"/>
      <c r="CH1318" s="14"/>
      <c r="CI1318" s="50"/>
      <c r="CJ1318" s="54"/>
      <c r="CK1318" s="14"/>
      <c r="CL1318" s="14"/>
      <c r="CM1318" s="14"/>
      <c r="CN1318" s="14"/>
      <c r="CO1318" s="14"/>
      <c r="CP1318" s="14"/>
      <c r="CQ1318" s="14"/>
      <c r="CR1318" s="14"/>
      <c r="CS1318" s="14"/>
      <c r="CT1318" s="14"/>
      <c r="CU1318" s="16"/>
      <c r="CV1318" s="14"/>
      <c r="CW1318" s="50"/>
      <c r="CX1318" s="17"/>
    </row>
    <row r="1319" spans="4:102" x14ac:dyDescent="0.25"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43"/>
      <c r="Q1319" s="11"/>
      <c r="R1319" s="11"/>
      <c r="S1319" s="11"/>
      <c r="T1319" s="11"/>
      <c r="U1319" s="11"/>
      <c r="V1319" s="11"/>
      <c r="W1319" s="11"/>
      <c r="X1319" s="12"/>
      <c r="Y1319" s="12"/>
      <c r="Z1319" s="12"/>
      <c r="AA1319" s="44"/>
      <c r="AB1319" s="45"/>
      <c r="AC1319" s="12"/>
      <c r="AD1319" s="12"/>
      <c r="AE1319" s="12"/>
      <c r="AF1319" s="12"/>
      <c r="AG1319" s="44"/>
      <c r="AH1319" s="45"/>
      <c r="AI1319" s="12"/>
      <c r="AJ1319" s="12"/>
      <c r="AK1319" s="12"/>
      <c r="AL1319" s="12"/>
      <c r="AM1319" s="44"/>
      <c r="AN1319" s="45"/>
      <c r="AO1319" s="12"/>
      <c r="AP1319" s="12"/>
      <c r="AQ1319" s="12"/>
      <c r="AR1319" s="12"/>
      <c r="AS1319" s="44"/>
      <c r="AT1319" s="45"/>
      <c r="AU1319" s="12"/>
      <c r="AV1319" s="12"/>
      <c r="AW1319" s="12"/>
      <c r="AX1319" s="12"/>
      <c r="AY1319" s="44"/>
      <c r="AZ1319" s="45"/>
      <c r="BA1319" s="12"/>
      <c r="BB1319" s="12"/>
      <c r="BC1319" s="12"/>
      <c r="BD1319" s="12"/>
      <c r="BE1319" s="44"/>
      <c r="BF1319" s="45"/>
      <c r="BG1319" s="12"/>
      <c r="BH1319" s="12"/>
      <c r="BI1319" s="12"/>
      <c r="BJ1319" s="12"/>
      <c r="BK1319" s="44"/>
      <c r="BL1319" s="45"/>
      <c r="BM1319" s="12"/>
      <c r="BN1319" s="12"/>
      <c r="BO1319" s="12"/>
      <c r="BP1319" s="12"/>
      <c r="BQ1319" s="48"/>
      <c r="BR1319" s="49"/>
      <c r="BS1319" s="13"/>
      <c r="BT1319" s="12"/>
      <c r="BV1319" s="14"/>
      <c r="BW1319" s="50"/>
      <c r="BX1319" s="54"/>
      <c r="BY1319" s="14"/>
      <c r="BZ1319" s="14"/>
      <c r="CA1319" s="14"/>
      <c r="CB1319" s="14"/>
      <c r="CC1319" s="14"/>
      <c r="CD1319" s="14"/>
      <c r="CE1319" s="14"/>
      <c r="CF1319" s="15"/>
      <c r="CG1319" s="14"/>
      <c r="CH1319" s="14"/>
      <c r="CI1319" s="50"/>
      <c r="CJ1319" s="54"/>
      <c r="CK1319" s="14"/>
      <c r="CL1319" s="14"/>
      <c r="CM1319" s="14"/>
      <c r="CN1319" s="14"/>
      <c r="CO1319" s="14"/>
      <c r="CP1319" s="14"/>
      <c r="CQ1319" s="14"/>
      <c r="CR1319" s="14"/>
      <c r="CS1319" s="14"/>
      <c r="CT1319" s="14"/>
      <c r="CU1319" s="16"/>
      <c r="CV1319" s="14"/>
      <c r="CW1319" s="50"/>
      <c r="CX1319" s="17"/>
    </row>
    <row r="1320" spans="4:102" x14ac:dyDescent="0.25"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43"/>
      <c r="Q1320" s="11"/>
      <c r="R1320" s="11"/>
      <c r="S1320" s="11"/>
      <c r="T1320" s="11"/>
      <c r="U1320" s="11"/>
      <c r="V1320" s="11"/>
      <c r="W1320" s="11"/>
      <c r="X1320" s="12"/>
      <c r="Y1320" s="12"/>
      <c r="Z1320" s="12"/>
      <c r="AA1320" s="44"/>
      <c r="AB1320" s="45"/>
      <c r="AC1320" s="12"/>
      <c r="AD1320" s="12"/>
      <c r="AE1320" s="12"/>
      <c r="AF1320" s="12"/>
      <c r="AG1320" s="44"/>
      <c r="AH1320" s="45"/>
      <c r="AI1320" s="12"/>
      <c r="AJ1320" s="12"/>
      <c r="AK1320" s="12"/>
      <c r="AL1320" s="12"/>
      <c r="AM1320" s="44"/>
      <c r="AN1320" s="45"/>
      <c r="AO1320" s="12"/>
      <c r="AP1320" s="12"/>
      <c r="AQ1320" s="12"/>
      <c r="AR1320" s="12"/>
      <c r="AS1320" s="44"/>
      <c r="AT1320" s="45"/>
      <c r="AU1320" s="12"/>
      <c r="AV1320" s="12"/>
      <c r="AW1320" s="12"/>
      <c r="AX1320" s="12"/>
      <c r="AY1320" s="44"/>
      <c r="AZ1320" s="45"/>
      <c r="BA1320" s="12"/>
      <c r="BB1320" s="12"/>
      <c r="BC1320" s="12"/>
      <c r="BD1320" s="12"/>
      <c r="BE1320" s="44"/>
      <c r="BF1320" s="45"/>
      <c r="BG1320" s="12"/>
      <c r="BH1320" s="12"/>
      <c r="BI1320" s="12"/>
      <c r="BJ1320" s="12"/>
      <c r="BK1320" s="44"/>
      <c r="BL1320" s="45"/>
      <c r="BM1320" s="12"/>
      <c r="BN1320" s="12"/>
      <c r="BO1320" s="12"/>
      <c r="BP1320" s="12"/>
      <c r="BQ1320" s="48"/>
      <c r="BR1320" s="49"/>
      <c r="BS1320" s="13"/>
      <c r="BT1320" s="12"/>
      <c r="BV1320" s="14"/>
      <c r="BW1320" s="50"/>
      <c r="BX1320" s="54"/>
      <c r="BY1320" s="14"/>
      <c r="BZ1320" s="14"/>
      <c r="CA1320" s="14"/>
      <c r="CB1320" s="14"/>
      <c r="CC1320" s="14"/>
      <c r="CD1320" s="14"/>
      <c r="CE1320" s="14"/>
      <c r="CF1320" s="15"/>
      <c r="CG1320" s="14"/>
      <c r="CH1320" s="14"/>
      <c r="CI1320" s="50"/>
      <c r="CJ1320" s="54"/>
      <c r="CK1320" s="14"/>
      <c r="CL1320" s="14"/>
      <c r="CM1320" s="14"/>
      <c r="CN1320" s="14"/>
      <c r="CO1320" s="14"/>
      <c r="CP1320" s="14"/>
      <c r="CQ1320" s="14"/>
      <c r="CR1320" s="14"/>
      <c r="CS1320" s="14"/>
      <c r="CT1320" s="14"/>
      <c r="CU1320" s="16"/>
      <c r="CV1320" s="14"/>
      <c r="CW1320" s="50"/>
      <c r="CX1320" s="17"/>
    </row>
    <row r="1321" spans="4:102" x14ac:dyDescent="0.25"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43"/>
      <c r="Q1321" s="11"/>
      <c r="R1321" s="11"/>
      <c r="S1321" s="11"/>
      <c r="T1321" s="11"/>
      <c r="U1321" s="11"/>
      <c r="V1321" s="11"/>
      <c r="W1321" s="11"/>
      <c r="X1321" s="12"/>
      <c r="Y1321" s="12"/>
      <c r="Z1321" s="12"/>
      <c r="AA1321" s="44"/>
      <c r="AB1321" s="45"/>
      <c r="AC1321" s="12"/>
      <c r="AD1321" s="12"/>
      <c r="AE1321" s="12"/>
      <c r="AF1321" s="12"/>
      <c r="AG1321" s="44"/>
      <c r="AH1321" s="45"/>
      <c r="AI1321" s="12"/>
      <c r="AJ1321" s="12"/>
      <c r="AK1321" s="12"/>
      <c r="AL1321" s="12"/>
      <c r="AM1321" s="44"/>
      <c r="AN1321" s="45"/>
      <c r="AO1321" s="12"/>
      <c r="AP1321" s="12"/>
      <c r="AQ1321" s="12"/>
      <c r="AR1321" s="12"/>
      <c r="AS1321" s="44"/>
      <c r="AT1321" s="45"/>
      <c r="AU1321" s="12"/>
      <c r="AV1321" s="12"/>
      <c r="AW1321" s="12"/>
      <c r="AX1321" s="12"/>
      <c r="AY1321" s="44"/>
      <c r="AZ1321" s="45"/>
      <c r="BA1321" s="12"/>
      <c r="BB1321" s="12"/>
      <c r="BC1321" s="12"/>
      <c r="BD1321" s="12"/>
      <c r="BE1321" s="44"/>
      <c r="BF1321" s="45"/>
      <c r="BG1321" s="12"/>
      <c r="BH1321" s="12"/>
      <c r="BI1321" s="12"/>
      <c r="BJ1321" s="12"/>
      <c r="BK1321" s="44"/>
      <c r="BL1321" s="45"/>
      <c r="BM1321" s="12"/>
      <c r="BN1321" s="12"/>
      <c r="BO1321" s="12"/>
      <c r="BP1321" s="12"/>
      <c r="BQ1321" s="48"/>
      <c r="BR1321" s="49"/>
      <c r="BS1321" s="13"/>
      <c r="BT1321" s="12"/>
      <c r="BV1321" s="14"/>
      <c r="BW1321" s="50"/>
      <c r="BX1321" s="54"/>
      <c r="BY1321" s="14"/>
      <c r="BZ1321" s="14"/>
      <c r="CA1321" s="14"/>
      <c r="CB1321" s="14"/>
      <c r="CC1321" s="14"/>
      <c r="CD1321" s="14"/>
      <c r="CE1321" s="14"/>
      <c r="CF1321" s="15"/>
      <c r="CG1321" s="14"/>
      <c r="CH1321" s="14"/>
      <c r="CI1321" s="50"/>
      <c r="CJ1321" s="54"/>
      <c r="CK1321" s="14"/>
      <c r="CL1321" s="14"/>
      <c r="CM1321" s="14"/>
      <c r="CN1321" s="14"/>
      <c r="CO1321" s="14"/>
      <c r="CP1321" s="14"/>
      <c r="CQ1321" s="14"/>
      <c r="CR1321" s="14"/>
      <c r="CS1321" s="14"/>
      <c r="CT1321" s="14"/>
      <c r="CU1321" s="16"/>
      <c r="CV1321" s="14"/>
      <c r="CW1321" s="50"/>
      <c r="CX1321" s="17"/>
    </row>
    <row r="1322" spans="4:102" x14ac:dyDescent="0.25"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43"/>
      <c r="Q1322" s="11"/>
      <c r="R1322" s="11"/>
      <c r="S1322" s="11"/>
      <c r="T1322" s="11"/>
      <c r="U1322" s="11"/>
      <c r="V1322" s="11"/>
      <c r="W1322" s="11"/>
      <c r="X1322" s="12"/>
      <c r="Y1322" s="12"/>
      <c r="Z1322" s="12"/>
      <c r="AA1322" s="44"/>
      <c r="AB1322" s="45"/>
      <c r="AC1322" s="12"/>
      <c r="AD1322" s="12"/>
      <c r="AE1322" s="12"/>
      <c r="AF1322" s="12"/>
      <c r="AG1322" s="44"/>
      <c r="AH1322" s="45"/>
      <c r="AI1322" s="12"/>
      <c r="AJ1322" s="12"/>
      <c r="AK1322" s="12"/>
      <c r="AL1322" s="12"/>
      <c r="AM1322" s="44"/>
      <c r="AN1322" s="45"/>
      <c r="AO1322" s="12"/>
      <c r="AP1322" s="12"/>
      <c r="AQ1322" s="12"/>
      <c r="AR1322" s="12"/>
      <c r="AS1322" s="44"/>
      <c r="AT1322" s="45"/>
      <c r="AU1322" s="12"/>
      <c r="AV1322" s="12"/>
      <c r="AW1322" s="12"/>
      <c r="AX1322" s="12"/>
      <c r="AY1322" s="44"/>
      <c r="AZ1322" s="45"/>
      <c r="BA1322" s="12"/>
      <c r="BB1322" s="12"/>
      <c r="BC1322" s="12"/>
      <c r="BD1322" s="12"/>
      <c r="BE1322" s="44"/>
      <c r="BF1322" s="45"/>
      <c r="BG1322" s="12"/>
      <c r="BH1322" s="12"/>
      <c r="BI1322" s="12"/>
      <c r="BJ1322" s="12"/>
      <c r="BK1322" s="44"/>
      <c r="BL1322" s="45"/>
      <c r="BM1322" s="12"/>
      <c r="BN1322" s="12"/>
      <c r="BO1322" s="12"/>
      <c r="BP1322" s="12"/>
      <c r="BQ1322" s="48"/>
      <c r="BR1322" s="49"/>
      <c r="BS1322" s="13"/>
      <c r="BT1322" s="12"/>
      <c r="BV1322" s="14"/>
      <c r="BW1322" s="50"/>
      <c r="BX1322" s="54"/>
      <c r="BY1322" s="14"/>
      <c r="BZ1322" s="14"/>
      <c r="CA1322" s="14"/>
      <c r="CB1322" s="14"/>
      <c r="CC1322" s="14"/>
      <c r="CD1322" s="14"/>
      <c r="CE1322" s="14"/>
      <c r="CF1322" s="15"/>
      <c r="CG1322" s="14"/>
      <c r="CH1322" s="14"/>
      <c r="CI1322" s="50"/>
      <c r="CJ1322" s="54"/>
      <c r="CK1322" s="14"/>
      <c r="CL1322" s="14"/>
      <c r="CM1322" s="14"/>
      <c r="CN1322" s="14"/>
      <c r="CO1322" s="14"/>
      <c r="CP1322" s="14"/>
      <c r="CQ1322" s="14"/>
      <c r="CR1322" s="14"/>
      <c r="CS1322" s="14"/>
      <c r="CT1322" s="14"/>
      <c r="CU1322" s="16"/>
      <c r="CV1322" s="14"/>
      <c r="CW1322" s="50"/>
      <c r="CX1322" s="17"/>
    </row>
    <row r="1323" spans="4:102" x14ac:dyDescent="0.25"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43"/>
      <c r="Q1323" s="11"/>
      <c r="R1323" s="11"/>
      <c r="S1323" s="11"/>
      <c r="T1323" s="11"/>
      <c r="U1323" s="11"/>
      <c r="V1323" s="11"/>
      <c r="W1323" s="11"/>
      <c r="X1323" s="12"/>
      <c r="Y1323" s="12"/>
      <c r="Z1323" s="12"/>
      <c r="AA1323" s="44"/>
      <c r="AB1323" s="45"/>
      <c r="AC1323" s="12"/>
      <c r="AD1323" s="12"/>
      <c r="AE1323" s="12"/>
      <c r="AF1323" s="12"/>
      <c r="AG1323" s="44"/>
      <c r="AH1323" s="45"/>
      <c r="AI1323" s="12"/>
      <c r="AJ1323" s="12"/>
      <c r="AK1323" s="12"/>
      <c r="AL1323" s="12"/>
      <c r="AM1323" s="44"/>
      <c r="AN1323" s="45"/>
      <c r="AO1323" s="12"/>
      <c r="AP1323" s="12"/>
      <c r="AQ1323" s="12"/>
      <c r="AR1323" s="12"/>
      <c r="AS1323" s="44"/>
      <c r="AT1323" s="45"/>
      <c r="AU1323" s="12"/>
      <c r="AV1323" s="12"/>
      <c r="AW1323" s="12"/>
      <c r="AX1323" s="12"/>
      <c r="AY1323" s="44"/>
      <c r="AZ1323" s="45"/>
      <c r="BA1323" s="12"/>
      <c r="BB1323" s="12"/>
      <c r="BC1323" s="12"/>
      <c r="BD1323" s="12"/>
      <c r="BE1323" s="44"/>
      <c r="BF1323" s="45"/>
      <c r="BG1323" s="12"/>
      <c r="BH1323" s="12"/>
      <c r="BI1323" s="12"/>
      <c r="BJ1323" s="12"/>
      <c r="BK1323" s="44"/>
      <c r="BL1323" s="45"/>
      <c r="BM1323" s="12"/>
      <c r="BN1323" s="12"/>
      <c r="BO1323" s="12"/>
      <c r="BP1323" s="12"/>
      <c r="BQ1323" s="48"/>
      <c r="BR1323" s="49"/>
      <c r="BS1323" s="13"/>
      <c r="BT1323" s="12"/>
      <c r="BV1323" s="14"/>
      <c r="BW1323" s="50"/>
      <c r="BX1323" s="54"/>
      <c r="BY1323" s="14"/>
      <c r="BZ1323" s="14"/>
      <c r="CA1323" s="14"/>
      <c r="CB1323" s="14"/>
      <c r="CC1323" s="14"/>
      <c r="CD1323" s="14"/>
      <c r="CE1323" s="14"/>
      <c r="CF1323" s="15"/>
      <c r="CG1323" s="14"/>
      <c r="CH1323" s="14"/>
      <c r="CI1323" s="50"/>
      <c r="CJ1323" s="54"/>
      <c r="CK1323" s="14"/>
      <c r="CL1323" s="14"/>
      <c r="CM1323" s="14"/>
      <c r="CN1323" s="14"/>
      <c r="CO1323" s="14"/>
      <c r="CP1323" s="14"/>
      <c r="CQ1323" s="14"/>
      <c r="CR1323" s="14"/>
      <c r="CS1323" s="14"/>
      <c r="CT1323" s="14"/>
      <c r="CU1323" s="16"/>
      <c r="CV1323" s="14"/>
      <c r="CW1323" s="50"/>
      <c r="CX1323" s="17"/>
    </row>
    <row r="1324" spans="4:102" x14ac:dyDescent="0.25"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43"/>
      <c r="Q1324" s="11"/>
      <c r="R1324" s="11"/>
      <c r="S1324" s="11"/>
      <c r="T1324" s="11"/>
      <c r="U1324" s="11"/>
      <c r="V1324" s="11"/>
      <c r="W1324" s="11"/>
      <c r="X1324" s="12"/>
      <c r="Y1324" s="12"/>
      <c r="Z1324" s="12"/>
      <c r="AA1324" s="44"/>
      <c r="AB1324" s="45"/>
      <c r="AC1324" s="12"/>
      <c r="AD1324" s="12"/>
      <c r="AE1324" s="12"/>
      <c r="AF1324" s="12"/>
      <c r="AG1324" s="44"/>
      <c r="AH1324" s="45"/>
      <c r="AI1324" s="12"/>
      <c r="AJ1324" s="12"/>
      <c r="AK1324" s="12"/>
      <c r="AL1324" s="12"/>
      <c r="AM1324" s="44"/>
      <c r="AN1324" s="45"/>
      <c r="AO1324" s="12"/>
      <c r="AP1324" s="12"/>
      <c r="AQ1324" s="12"/>
      <c r="AR1324" s="12"/>
      <c r="AS1324" s="44"/>
      <c r="AT1324" s="45"/>
      <c r="AU1324" s="12"/>
      <c r="AV1324" s="12"/>
      <c r="AW1324" s="12"/>
      <c r="AX1324" s="12"/>
      <c r="AY1324" s="44"/>
      <c r="AZ1324" s="45"/>
      <c r="BA1324" s="12"/>
      <c r="BB1324" s="12"/>
      <c r="BC1324" s="12"/>
      <c r="BD1324" s="12"/>
      <c r="BE1324" s="44"/>
      <c r="BF1324" s="45"/>
      <c r="BG1324" s="12"/>
      <c r="BH1324" s="12"/>
      <c r="BI1324" s="12"/>
      <c r="BJ1324" s="12"/>
      <c r="BK1324" s="44"/>
      <c r="BL1324" s="45"/>
      <c r="BM1324" s="12"/>
      <c r="BN1324" s="12"/>
      <c r="BO1324" s="12"/>
      <c r="BP1324" s="12"/>
      <c r="BQ1324" s="48"/>
      <c r="BR1324" s="49"/>
      <c r="BS1324" s="13"/>
      <c r="BT1324" s="12"/>
      <c r="BV1324" s="14"/>
      <c r="BW1324" s="50"/>
      <c r="BX1324" s="54"/>
      <c r="BY1324" s="14"/>
      <c r="BZ1324" s="14"/>
      <c r="CA1324" s="14"/>
      <c r="CB1324" s="14"/>
      <c r="CC1324" s="14"/>
      <c r="CD1324" s="14"/>
      <c r="CE1324" s="14"/>
      <c r="CF1324" s="15"/>
      <c r="CG1324" s="14"/>
      <c r="CH1324" s="14"/>
      <c r="CI1324" s="50"/>
      <c r="CJ1324" s="54"/>
      <c r="CK1324" s="14"/>
      <c r="CL1324" s="14"/>
      <c r="CM1324" s="14"/>
      <c r="CN1324" s="14"/>
      <c r="CO1324" s="14"/>
      <c r="CP1324" s="14"/>
      <c r="CQ1324" s="14"/>
      <c r="CR1324" s="14"/>
      <c r="CS1324" s="14"/>
      <c r="CT1324" s="14"/>
      <c r="CU1324" s="16"/>
      <c r="CV1324" s="14"/>
      <c r="CW1324" s="50"/>
      <c r="CX1324" s="17"/>
    </row>
    <row r="1325" spans="4:102" x14ac:dyDescent="0.25"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43"/>
      <c r="Q1325" s="11"/>
      <c r="R1325" s="11"/>
      <c r="S1325" s="11"/>
      <c r="T1325" s="11"/>
      <c r="U1325" s="11"/>
      <c r="V1325" s="11"/>
      <c r="W1325" s="11"/>
      <c r="X1325" s="12"/>
      <c r="Y1325" s="12"/>
      <c r="Z1325" s="12"/>
      <c r="AA1325" s="44"/>
      <c r="AB1325" s="45"/>
      <c r="AC1325" s="12"/>
      <c r="AD1325" s="12"/>
      <c r="AE1325" s="12"/>
      <c r="AF1325" s="12"/>
      <c r="AG1325" s="44"/>
      <c r="AH1325" s="45"/>
      <c r="AI1325" s="12"/>
      <c r="AJ1325" s="12"/>
      <c r="AK1325" s="12"/>
      <c r="AL1325" s="12"/>
      <c r="AM1325" s="44"/>
      <c r="AN1325" s="45"/>
      <c r="AO1325" s="12"/>
      <c r="AP1325" s="12"/>
      <c r="AQ1325" s="12"/>
      <c r="AR1325" s="12"/>
      <c r="AS1325" s="44"/>
      <c r="AT1325" s="45"/>
      <c r="AU1325" s="12"/>
      <c r="AV1325" s="12"/>
      <c r="AW1325" s="12"/>
      <c r="AX1325" s="12"/>
      <c r="AY1325" s="44"/>
      <c r="AZ1325" s="45"/>
      <c r="BA1325" s="12"/>
      <c r="BB1325" s="12"/>
      <c r="BC1325" s="12"/>
      <c r="BD1325" s="12"/>
      <c r="BE1325" s="44"/>
      <c r="BF1325" s="45"/>
      <c r="BG1325" s="12"/>
      <c r="BH1325" s="12"/>
      <c r="BI1325" s="12"/>
      <c r="BJ1325" s="12"/>
      <c r="BK1325" s="44"/>
      <c r="BL1325" s="45"/>
      <c r="BM1325" s="12"/>
      <c r="BN1325" s="12"/>
      <c r="BO1325" s="12"/>
      <c r="BP1325" s="12"/>
      <c r="BQ1325" s="48"/>
      <c r="BR1325" s="49"/>
      <c r="BS1325" s="13"/>
      <c r="BT1325" s="12"/>
      <c r="BV1325" s="14"/>
      <c r="BW1325" s="50"/>
      <c r="BX1325" s="54"/>
      <c r="BY1325" s="14"/>
      <c r="BZ1325" s="14"/>
      <c r="CA1325" s="14"/>
      <c r="CB1325" s="14"/>
      <c r="CC1325" s="14"/>
      <c r="CD1325" s="14"/>
      <c r="CE1325" s="14"/>
      <c r="CF1325" s="15"/>
      <c r="CG1325" s="14"/>
      <c r="CH1325" s="14"/>
      <c r="CI1325" s="50"/>
      <c r="CJ1325" s="54"/>
      <c r="CK1325" s="14"/>
      <c r="CL1325" s="14"/>
      <c r="CM1325" s="14"/>
      <c r="CN1325" s="14"/>
      <c r="CO1325" s="14"/>
      <c r="CP1325" s="14"/>
      <c r="CQ1325" s="14"/>
      <c r="CR1325" s="14"/>
      <c r="CS1325" s="14"/>
      <c r="CT1325" s="14"/>
      <c r="CU1325" s="16"/>
      <c r="CV1325" s="14"/>
      <c r="CW1325" s="50"/>
      <c r="CX1325" s="17"/>
    </row>
    <row r="1326" spans="4:102" x14ac:dyDescent="0.25"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43"/>
      <c r="Q1326" s="11"/>
      <c r="R1326" s="11"/>
      <c r="S1326" s="11"/>
      <c r="T1326" s="11"/>
      <c r="U1326" s="11"/>
      <c r="V1326" s="11"/>
      <c r="W1326" s="11"/>
      <c r="X1326" s="12"/>
      <c r="Y1326" s="12"/>
      <c r="Z1326" s="12"/>
      <c r="AA1326" s="44"/>
      <c r="AB1326" s="45"/>
      <c r="AC1326" s="12"/>
      <c r="AD1326" s="12"/>
      <c r="AE1326" s="12"/>
      <c r="AF1326" s="12"/>
      <c r="AG1326" s="44"/>
      <c r="AH1326" s="45"/>
      <c r="AI1326" s="12"/>
      <c r="AJ1326" s="12"/>
      <c r="AK1326" s="12"/>
      <c r="AL1326" s="12"/>
      <c r="AM1326" s="44"/>
      <c r="AN1326" s="45"/>
      <c r="AO1326" s="12"/>
      <c r="AP1326" s="12"/>
      <c r="AQ1326" s="12"/>
      <c r="AR1326" s="12"/>
      <c r="AS1326" s="44"/>
      <c r="AT1326" s="45"/>
      <c r="AU1326" s="12"/>
      <c r="AV1326" s="12"/>
      <c r="AW1326" s="12"/>
      <c r="AX1326" s="12"/>
      <c r="AY1326" s="44"/>
      <c r="AZ1326" s="45"/>
      <c r="BA1326" s="12"/>
      <c r="BB1326" s="12"/>
      <c r="BC1326" s="12"/>
      <c r="BD1326" s="12"/>
      <c r="BE1326" s="44"/>
      <c r="BF1326" s="45"/>
      <c r="BG1326" s="12"/>
      <c r="BH1326" s="12"/>
      <c r="BI1326" s="12"/>
      <c r="BJ1326" s="12"/>
      <c r="BK1326" s="44"/>
      <c r="BL1326" s="45"/>
      <c r="BM1326" s="12"/>
      <c r="BN1326" s="12"/>
      <c r="BO1326" s="12"/>
      <c r="BP1326" s="12"/>
      <c r="BQ1326" s="48"/>
      <c r="BR1326" s="49"/>
      <c r="BS1326" s="13"/>
      <c r="BT1326" s="12"/>
      <c r="BV1326" s="14"/>
      <c r="BW1326" s="50"/>
      <c r="BX1326" s="54"/>
      <c r="BY1326" s="14"/>
      <c r="BZ1326" s="14"/>
      <c r="CA1326" s="14"/>
      <c r="CB1326" s="14"/>
      <c r="CC1326" s="14"/>
      <c r="CD1326" s="14"/>
      <c r="CE1326" s="14"/>
      <c r="CF1326" s="15"/>
      <c r="CG1326" s="14"/>
      <c r="CH1326" s="14"/>
      <c r="CI1326" s="50"/>
      <c r="CJ1326" s="54"/>
      <c r="CK1326" s="14"/>
      <c r="CL1326" s="14"/>
      <c r="CM1326" s="14"/>
      <c r="CN1326" s="14"/>
      <c r="CO1326" s="14"/>
      <c r="CP1326" s="14"/>
      <c r="CQ1326" s="14"/>
      <c r="CR1326" s="14"/>
      <c r="CS1326" s="14"/>
      <c r="CT1326" s="14"/>
      <c r="CU1326" s="16"/>
      <c r="CV1326" s="14"/>
      <c r="CW1326" s="50"/>
      <c r="CX1326" s="17"/>
    </row>
    <row r="1327" spans="4:102" x14ac:dyDescent="0.25"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43"/>
      <c r="Q1327" s="11"/>
      <c r="R1327" s="11"/>
      <c r="S1327" s="11"/>
      <c r="T1327" s="11"/>
      <c r="U1327" s="11"/>
      <c r="V1327" s="11"/>
      <c r="W1327" s="11"/>
      <c r="X1327" s="12"/>
      <c r="Y1327" s="12"/>
      <c r="Z1327" s="12"/>
      <c r="AA1327" s="44"/>
      <c r="AB1327" s="45"/>
      <c r="AC1327" s="12"/>
      <c r="AD1327" s="12"/>
      <c r="AE1327" s="12"/>
      <c r="AF1327" s="12"/>
      <c r="AG1327" s="44"/>
      <c r="AH1327" s="45"/>
      <c r="AI1327" s="12"/>
      <c r="AJ1327" s="12"/>
      <c r="AK1327" s="12"/>
      <c r="AL1327" s="12"/>
      <c r="AM1327" s="44"/>
      <c r="AN1327" s="45"/>
      <c r="AO1327" s="12"/>
      <c r="AP1327" s="12"/>
      <c r="AQ1327" s="12"/>
      <c r="AR1327" s="12"/>
      <c r="AS1327" s="44"/>
      <c r="AT1327" s="45"/>
      <c r="AU1327" s="12"/>
      <c r="AV1327" s="12"/>
      <c r="AW1327" s="12"/>
      <c r="AX1327" s="12"/>
      <c r="AY1327" s="44"/>
      <c r="AZ1327" s="45"/>
      <c r="BA1327" s="12"/>
      <c r="BB1327" s="12"/>
      <c r="BC1327" s="12"/>
      <c r="BD1327" s="12"/>
      <c r="BE1327" s="44"/>
      <c r="BF1327" s="45"/>
      <c r="BG1327" s="12"/>
      <c r="BH1327" s="12"/>
      <c r="BI1327" s="12"/>
      <c r="BJ1327" s="12"/>
      <c r="BK1327" s="44"/>
      <c r="BL1327" s="45"/>
      <c r="BM1327" s="12"/>
      <c r="BN1327" s="12"/>
      <c r="BO1327" s="12"/>
      <c r="BP1327" s="12"/>
      <c r="BQ1327" s="48"/>
      <c r="BR1327" s="49"/>
      <c r="BS1327" s="13"/>
      <c r="BT1327" s="12"/>
      <c r="BV1327" s="14"/>
      <c r="BW1327" s="50"/>
      <c r="BX1327" s="54"/>
      <c r="BY1327" s="14"/>
      <c r="BZ1327" s="14"/>
      <c r="CA1327" s="14"/>
      <c r="CB1327" s="14"/>
      <c r="CC1327" s="14"/>
      <c r="CD1327" s="14"/>
      <c r="CE1327" s="14"/>
      <c r="CF1327" s="15"/>
      <c r="CG1327" s="14"/>
      <c r="CH1327" s="14"/>
      <c r="CI1327" s="50"/>
      <c r="CJ1327" s="54"/>
      <c r="CK1327" s="14"/>
      <c r="CL1327" s="14"/>
      <c r="CM1327" s="14"/>
      <c r="CN1327" s="14"/>
      <c r="CO1327" s="14"/>
      <c r="CP1327" s="14"/>
      <c r="CQ1327" s="14"/>
      <c r="CR1327" s="14"/>
      <c r="CS1327" s="14"/>
      <c r="CT1327" s="14"/>
      <c r="CU1327" s="16"/>
      <c r="CV1327" s="14"/>
      <c r="CW1327" s="50"/>
      <c r="CX1327" s="17"/>
    </row>
    <row r="1328" spans="4:102" x14ac:dyDescent="0.25"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43"/>
      <c r="Q1328" s="11"/>
      <c r="R1328" s="11"/>
      <c r="S1328" s="11"/>
      <c r="T1328" s="11"/>
      <c r="U1328" s="11"/>
      <c r="V1328" s="11"/>
      <c r="W1328" s="11"/>
      <c r="X1328" s="12"/>
      <c r="Y1328" s="12"/>
      <c r="Z1328" s="12"/>
      <c r="AA1328" s="44"/>
      <c r="AB1328" s="45"/>
      <c r="AC1328" s="12"/>
      <c r="AD1328" s="12"/>
      <c r="AE1328" s="12"/>
      <c r="AF1328" s="12"/>
      <c r="AG1328" s="44"/>
      <c r="AH1328" s="45"/>
      <c r="AI1328" s="12"/>
      <c r="AJ1328" s="12"/>
      <c r="AK1328" s="12"/>
      <c r="AL1328" s="12"/>
      <c r="AM1328" s="44"/>
      <c r="AN1328" s="45"/>
      <c r="AO1328" s="12"/>
      <c r="AP1328" s="12"/>
      <c r="AQ1328" s="12"/>
      <c r="AR1328" s="12"/>
      <c r="AS1328" s="44"/>
      <c r="AT1328" s="45"/>
      <c r="AU1328" s="12"/>
      <c r="AV1328" s="12"/>
      <c r="AW1328" s="12"/>
      <c r="AX1328" s="12"/>
      <c r="AY1328" s="44"/>
      <c r="AZ1328" s="45"/>
      <c r="BA1328" s="12"/>
      <c r="BB1328" s="12"/>
      <c r="BC1328" s="12"/>
      <c r="BD1328" s="12"/>
      <c r="BE1328" s="44"/>
      <c r="BF1328" s="45"/>
      <c r="BG1328" s="12"/>
      <c r="BH1328" s="12"/>
      <c r="BI1328" s="12"/>
      <c r="BJ1328" s="12"/>
      <c r="BK1328" s="44"/>
      <c r="BL1328" s="45"/>
      <c r="BM1328" s="12"/>
      <c r="BN1328" s="12"/>
      <c r="BO1328" s="12"/>
      <c r="BP1328" s="12"/>
      <c r="BQ1328" s="48"/>
      <c r="BR1328" s="49"/>
      <c r="BS1328" s="13"/>
      <c r="BT1328" s="12"/>
      <c r="BV1328" s="14"/>
      <c r="BW1328" s="50"/>
      <c r="BX1328" s="54"/>
      <c r="BY1328" s="14"/>
      <c r="BZ1328" s="14"/>
      <c r="CA1328" s="14"/>
      <c r="CB1328" s="14"/>
      <c r="CC1328" s="14"/>
      <c r="CD1328" s="14"/>
      <c r="CE1328" s="14"/>
      <c r="CF1328" s="15"/>
      <c r="CG1328" s="14"/>
      <c r="CH1328" s="14"/>
      <c r="CI1328" s="50"/>
      <c r="CJ1328" s="54"/>
      <c r="CK1328" s="14"/>
      <c r="CL1328" s="14"/>
      <c r="CM1328" s="14"/>
      <c r="CN1328" s="14"/>
      <c r="CO1328" s="14"/>
      <c r="CP1328" s="14"/>
      <c r="CQ1328" s="14"/>
      <c r="CR1328" s="14"/>
      <c r="CS1328" s="14"/>
      <c r="CT1328" s="14"/>
      <c r="CU1328" s="16"/>
      <c r="CV1328" s="14"/>
      <c r="CW1328" s="50"/>
      <c r="CX1328" s="17"/>
    </row>
    <row r="1329" spans="4:102" x14ac:dyDescent="0.25"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43"/>
      <c r="Q1329" s="11"/>
      <c r="R1329" s="11"/>
      <c r="S1329" s="11"/>
      <c r="T1329" s="11"/>
      <c r="U1329" s="11"/>
      <c r="V1329" s="11"/>
      <c r="W1329" s="11"/>
      <c r="X1329" s="12"/>
      <c r="Y1329" s="12"/>
      <c r="Z1329" s="12"/>
      <c r="AA1329" s="44"/>
      <c r="AB1329" s="45"/>
      <c r="AC1329" s="12"/>
      <c r="AD1329" s="12"/>
      <c r="AE1329" s="12"/>
      <c r="AF1329" s="12"/>
      <c r="AG1329" s="44"/>
      <c r="AH1329" s="45"/>
      <c r="AI1329" s="12"/>
      <c r="AJ1329" s="12"/>
      <c r="AK1329" s="12"/>
      <c r="AL1329" s="12"/>
      <c r="AM1329" s="44"/>
      <c r="AN1329" s="45"/>
      <c r="AO1329" s="12"/>
      <c r="AP1329" s="12"/>
      <c r="AQ1329" s="12"/>
      <c r="AR1329" s="12"/>
      <c r="AS1329" s="44"/>
      <c r="AT1329" s="45"/>
      <c r="AU1329" s="12"/>
      <c r="AV1329" s="12"/>
      <c r="AW1329" s="12"/>
      <c r="AX1329" s="12"/>
      <c r="AY1329" s="44"/>
      <c r="AZ1329" s="45"/>
      <c r="BA1329" s="12"/>
      <c r="BB1329" s="12"/>
      <c r="BC1329" s="12"/>
      <c r="BD1329" s="12"/>
      <c r="BE1329" s="44"/>
      <c r="BF1329" s="45"/>
      <c r="BG1329" s="12"/>
      <c r="BH1329" s="12"/>
      <c r="BI1329" s="12"/>
      <c r="BJ1329" s="12"/>
      <c r="BK1329" s="44"/>
      <c r="BL1329" s="45"/>
      <c r="BM1329" s="12"/>
      <c r="BN1329" s="12"/>
      <c r="BO1329" s="12"/>
      <c r="BP1329" s="12"/>
      <c r="BQ1329" s="48"/>
      <c r="BR1329" s="49"/>
      <c r="BS1329" s="13"/>
      <c r="BT1329" s="12"/>
      <c r="BV1329" s="14"/>
      <c r="BW1329" s="50"/>
      <c r="BX1329" s="54"/>
      <c r="BY1329" s="14"/>
      <c r="BZ1329" s="14"/>
      <c r="CA1329" s="14"/>
      <c r="CB1329" s="14"/>
      <c r="CC1329" s="14"/>
      <c r="CD1329" s="14"/>
      <c r="CE1329" s="14"/>
      <c r="CF1329" s="15"/>
      <c r="CG1329" s="14"/>
      <c r="CH1329" s="14"/>
      <c r="CI1329" s="50"/>
      <c r="CJ1329" s="54"/>
      <c r="CK1329" s="14"/>
      <c r="CL1329" s="14"/>
      <c r="CM1329" s="14"/>
      <c r="CN1329" s="14"/>
      <c r="CO1329" s="14"/>
      <c r="CP1329" s="14"/>
      <c r="CQ1329" s="14"/>
      <c r="CR1329" s="14"/>
      <c r="CS1329" s="14"/>
      <c r="CT1329" s="14"/>
      <c r="CU1329" s="16"/>
      <c r="CV1329" s="14"/>
      <c r="CW1329" s="50"/>
      <c r="CX1329" s="17"/>
    </row>
    <row r="1330" spans="4:102" x14ac:dyDescent="0.25"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43"/>
      <c r="Q1330" s="11"/>
      <c r="R1330" s="11"/>
      <c r="S1330" s="11"/>
      <c r="T1330" s="11"/>
      <c r="U1330" s="11"/>
      <c r="V1330" s="11"/>
      <c r="W1330" s="11"/>
      <c r="X1330" s="12"/>
      <c r="Y1330" s="12"/>
      <c r="Z1330" s="12"/>
      <c r="AA1330" s="44"/>
      <c r="AB1330" s="45"/>
      <c r="AC1330" s="12"/>
      <c r="AD1330" s="12"/>
      <c r="AE1330" s="12"/>
      <c r="AF1330" s="12"/>
      <c r="AG1330" s="44"/>
      <c r="AH1330" s="45"/>
      <c r="AI1330" s="12"/>
      <c r="AJ1330" s="12"/>
      <c r="AK1330" s="12"/>
      <c r="AL1330" s="12"/>
      <c r="AM1330" s="44"/>
      <c r="AN1330" s="45"/>
      <c r="AO1330" s="12"/>
      <c r="AP1330" s="12"/>
      <c r="AQ1330" s="12"/>
      <c r="AR1330" s="12"/>
      <c r="AS1330" s="44"/>
      <c r="AT1330" s="45"/>
      <c r="AU1330" s="12"/>
      <c r="AV1330" s="12"/>
      <c r="AW1330" s="12"/>
      <c r="AX1330" s="12"/>
      <c r="AY1330" s="44"/>
      <c r="AZ1330" s="45"/>
      <c r="BA1330" s="12"/>
      <c r="BB1330" s="12"/>
      <c r="BC1330" s="12"/>
      <c r="BD1330" s="12"/>
      <c r="BE1330" s="44"/>
      <c r="BF1330" s="45"/>
      <c r="BG1330" s="12"/>
      <c r="BH1330" s="12"/>
      <c r="BI1330" s="12"/>
      <c r="BJ1330" s="12"/>
      <c r="BK1330" s="44"/>
      <c r="BL1330" s="45"/>
      <c r="BM1330" s="12"/>
      <c r="BN1330" s="12"/>
      <c r="BO1330" s="12"/>
      <c r="BP1330" s="12"/>
      <c r="BQ1330" s="48"/>
      <c r="BR1330" s="49"/>
      <c r="BS1330" s="13"/>
      <c r="BT1330" s="12"/>
      <c r="BV1330" s="14"/>
      <c r="BW1330" s="50"/>
      <c r="BX1330" s="54"/>
      <c r="BY1330" s="14"/>
      <c r="BZ1330" s="14"/>
      <c r="CA1330" s="14"/>
      <c r="CB1330" s="14"/>
      <c r="CC1330" s="14"/>
      <c r="CD1330" s="14"/>
      <c r="CE1330" s="14"/>
      <c r="CF1330" s="15"/>
      <c r="CG1330" s="14"/>
      <c r="CH1330" s="14"/>
      <c r="CI1330" s="50"/>
      <c r="CJ1330" s="54"/>
      <c r="CK1330" s="14"/>
      <c r="CL1330" s="14"/>
      <c r="CM1330" s="14"/>
      <c r="CN1330" s="14"/>
      <c r="CO1330" s="14"/>
      <c r="CP1330" s="14"/>
      <c r="CQ1330" s="14"/>
      <c r="CR1330" s="14"/>
      <c r="CS1330" s="14"/>
      <c r="CT1330" s="14"/>
      <c r="CU1330" s="16"/>
      <c r="CV1330" s="14"/>
      <c r="CW1330" s="50"/>
      <c r="CX1330" s="17"/>
    </row>
    <row r="1331" spans="4:102" x14ac:dyDescent="0.25"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43"/>
      <c r="Q1331" s="11"/>
      <c r="R1331" s="11"/>
      <c r="S1331" s="11"/>
      <c r="T1331" s="11"/>
      <c r="U1331" s="11"/>
      <c r="V1331" s="11"/>
      <c r="W1331" s="11"/>
      <c r="X1331" s="12"/>
      <c r="Y1331" s="12"/>
      <c r="Z1331" s="12"/>
      <c r="AA1331" s="44"/>
      <c r="AB1331" s="45"/>
      <c r="AC1331" s="12"/>
      <c r="AD1331" s="12"/>
      <c r="AE1331" s="12"/>
      <c r="AF1331" s="12"/>
      <c r="AG1331" s="44"/>
      <c r="AH1331" s="45"/>
      <c r="AI1331" s="12"/>
      <c r="AJ1331" s="12"/>
      <c r="AK1331" s="12"/>
      <c r="AL1331" s="12"/>
      <c r="AM1331" s="44"/>
      <c r="AN1331" s="45"/>
      <c r="AO1331" s="12"/>
      <c r="AP1331" s="12"/>
      <c r="AQ1331" s="12"/>
      <c r="AR1331" s="12"/>
      <c r="AS1331" s="44"/>
      <c r="AT1331" s="45"/>
      <c r="AU1331" s="12"/>
      <c r="AV1331" s="12"/>
      <c r="AW1331" s="12"/>
      <c r="AX1331" s="12"/>
      <c r="AY1331" s="44"/>
      <c r="AZ1331" s="45"/>
      <c r="BA1331" s="12"/>
      <c r="BB1331" s="12"/>
      <c r="BC1331" s="12"/>
      <c r="BD1331" s="12"/>
      <c r="BE1331" s="44"/>
      <c r="BF1331" s="45"/>
      <c r="BG1331" s="12"/>
      <c r="BH1331" s="12"/>
      <c r="BI1331" s="12"/>
      <c r="BJ1331" s="12"/>
      <c r="BK1331" s="44"/>
      <c r="BL1331" s="45"/>
      <c r="BM1331" s="12"/>
      <c r="BN1331" s="12"/>
      <c r="BO1331" s="12"/>
      <c r="BP1331" s="12"/>
      <c r="BQ1331" s="48"/>
      <c r="BR1331" s="49"/>
      <c r="BS1331" s="13"/>
      <c r="BT1331" s="12"/>
      <c r="BV1331" s="14"/>
      <c r="BW1331" s="50"/>
      <c r="BX1331" s="54"/>
      <c r="BY1331" s="14"/>
      <c r="BZ1331" s="14"/>
      <c r="CA1331" s="14"/>
      <c r="CB1331" s="14"/>
      <c r="CC1331" s="14"/>
      <c r="CD1331" s="14"/>
      <c r="CE1331" s="14"/>
      <c r="CF1331" s="15"/>
      <c r="CG1331" s="14"/>
      <c r="CH1331" s="14"/>
      <c r="CI1331" s="50"/>
      <c r="CJ1331" s="54"/>
      <c r="CK1331" s="14"/>
      <c r="CL1331" s="14"/>
      <c r="CM1331" s="14"/>
      <c r="CN1331" s="14"/>
      <c r="CO1331" s="14"/>
      <c r="CP1331" s="14"/>
      <c r="CQ1331" s="14"/>
      <c r="CR1331" s="14"/>
      <c r="CS1331" s="14"/>
      <c r="CT1331" s="14"/>
      <c r="CU1331" s="16"/>
      <c r="CV1331" s="14"/>
      <c r="CW1331" s="50"/>
      <c r="CX1331" s="17"/>
    </row>
    <row r="1332" spans="4:102" x14ac:dyDescent="0.25"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43"/>
      <c r="Q1332" s="11"/>
      <c r="R1332" s="11"/>
      <c r="S1332" s="11"/>
      <c r="T1332" s="11"/>
      <c r="U1332" s="11"/>
      <c r="V1332" s="11"/>
      <c r="W1332" s="11"/>
      <c r="X1332" s="12"/>
      <c r="Y1332" s="12"/>
      <c r="Z1332" s="12"/>
      <c r="AA1332" s="44"/>
      <c r="AB1332" s="45"/>
      <c r="AC1332" s="12"/>
      <c r="AD1332" s="12"/>
      <c r="AE1332" s="12"/>
      <c r="AF1332" s="12"/>
      <c r="AG1332" s="44"/>
      <c r="AH1332" s="45"/>
      <c r="AI1332" s="12"/>
      <c r="AJ1332" s="12"/>
      <c r="AK1332" s="12"/>
      <c r="AL1332" s="12"/>
      <c r="AM1332" s="44"/>
      <c r="AN1332" s="45"/>
      <c r="AO1332" s="12"/>
      <c r="AP1332" s="12"/>
      <c r="AQ1332" s="12"/>
      <c r="AR1332" s="12"/>
      <c r="AS1332" s="44"/>
      <c r="AT1332" s="45"/>
      <c r="AU1332" s="12"/>
      <c r="AV1332" s="12"/>
      <c r="AW1332" s="12"/>
      <c r="AX1332" s="12"/>
      <c r="AY1332" s="44"/>
      <c r="AZ1332" s="45"/>
      <c r="BA1332" s="12"/>
      <c r="BB1332" s="12"/>
      <c r="BC1332" s="12"/>
      <c r="BD1332" s="12"/>
      <c r="BE1332" s="44"/>
      <c r="BF1332" s="45"/>
      <c r="BG1332" s="12"/>
      <c r="BH1332" s="12"/>
      <c r="BI1332" s="12"/>
      <c r="BJ1332" s="12"/>
      <c r="BK1332" s="44"/>
      <c r="BL1332" s="45"/>
      <c r="BM1332" s="12"/>
      <c r="BN1332" s="12"/>
      <c r="BO1332" s="12"/>
      <c r="BP1332" s="12"/>
      <c r="BQ1332" s="48"/>
      <c r="BR1332" s="49"/>
      <c r="BS1332" s="13"/>
      <c r="BT1332" s="12"/>
      <c r="BV1332" s="14"/>
      <c r="BW1332" s="50"/>
      <c r="BX1332" s="54"/>
      <c r="BY1332" s="14"/>
      <c r="BZ1332" s="14"/>
      <c r="CA1332" s="14"/>
      <c r="CB1332" s="14"/>
      <c r="CC1332" s="14"/>
      <c r="CD1332" s="14"/>
      <c r="CE1332" s="14"/>
      <c r="CF1332" s="15"/>
      <c r="CG1332" s="14"/>
      <c r="CH1332" s="14"/>
      <c r="CI1332" s="50"/>
      <c r="CJ1332" s="54"/>
      <c r="CK1332" s="14"/>
      <c r="CL1332" s="14"/>
      <c r="CM1332" s="14"/>
      <c r="CN1332" s="14"/>
      <c r="CO1332" s="14"/>
      <c r="CP1332" s="14"/>
      <c r="CQ1332" s="14"/>
      <c r="CR1332" s="14"/>
      <c r="CS1332" s="14"/>
      <c r="CT1332" s="14"/>
      <c r="CU1332" s="16"/>
      <c r="CV1332" s="14"/>
      <c r="CW1332" s="50"/>
      <c r="CX1332" s="17"/>
    </row>
    <row r="1333" spans="4:102" x14ac:dyDescent="0.25"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43"/>
      <c r="Q1333" s="11"/>
      <c r="R1333" s="11"/>
      <c r="S1333" s="11"/>
      <c r="T1333" s="11"/>
      <c r="U1333" s="11"/>
      <c r="V1333" s="11"/>
      <c r="W1333" s="11"/>
      <c r="X1333" s="12"/>
      <c r="Y1333" s="12"/>
      <c r="Z1333" s="12"/>
      <c r="AA1333" s="44"/>
      <c r="AB1333" s="45"/>
      <c r="AC1333" s="12"/>
      <c r="AD1333" s="12"/>
      <c r="AE1333" s="12"/>
      <c r="AF1333" s="12"/>
      <c r="AG1333" s="44"/>
      <c r="AH1333" s="45"/>
      <c r="AI1333" s="12"/>
      <c r="AJ1333" s="12"/>
      <c r="AK1333" s="12"/>
      <c r="AL1333" s="12"/>
      <c r="AM1333" s="44"/>
      <c r="AN1333" s="45"/>
      <c r="AO1333" s="12"/>
      <c r="AP1333" s="12"/>
      <c r="AQ1333" s="12"/>
      <c r="AR1333" s="12"/>
      <c r="AS1333" s="44"/>
      <c r="AT1333" s="45"/>
      <c r="AU1333" s="12"/>
      <c r="AV1333" s="12"/>
      <c r="AW1333" s="12"/>
      <c r="AX1333" s="12"/>
      <c r="AY1333" s="44"/>
      <c r="AZ1333" s="45"/>
      <c r="BA1333" s="12"/>
      <c r="BB1333" s="12"/>
      <c r="BC1333" s="12"/>
      <c r="BD1333" s="12"/>
      <c r="BE1333" s="44"/>
      <c r="BF1333" s="45"/>
      <c r="BG1333" s="12"/>
      <c r="BH1333" s="12"/>
      <c r="BI1333" s="12"/>
      <c r="BJ1333" s="12"/>
      <c r="BK1333" s="44"/>
      <c r="BL1333" s="45"/>
      <c r="BM1333" s="12"/>
      <c r="BN1333" s="12"/>
      <c r="BO1333" s="12"/>
      <c r="BP1333" s="12"/>
      <c r="BQ1333" s="48"/>
      <c r="BR1333" s="49"/>
      <c r="BS1333" s="13"/>
      <c r="BT1333" s="12"/>
      <c r="BV1333" s="14"/>
      <c r="BW1333" s="50"/>
      <c r="BX1333" s="54"/>
      <c r="BY1333" s="14"/>
      <c r="BZ1333" s="14"/>
      <c r="CA1333" s="14"/>
      <c r="CB1333" s="14"/>
      <c r="CC1333" s="14"/>
      <c r="CD1333" s="14"/>
      <c r="CE1333" s="14"/>
      <c r="CF1333" s="15"/>
      <c r="CG1333" s="14"/>
      <c r="CH1333" s="14"/>
      <c r="CI1333" s="50"/>
      <c r="CJ1333" s="54"/>
      <c r="CK1333" s="14"/>
      <c r="CL1333" s="14"/>
      <c r="CM1333" s="14"/>
      <c r="CN1333" s="14"/>
      <c r="CO1333" s="14"/>
      <c r="CP1333" s="14"/>
      <c r="CQ1333" s="14"/>
      <c r="CR1333" s="14"/>
      <c r="CS1333" s="14"/>
      <c r="CT1333" s="14"/>
      <c r="CU1333" s="16"/>
      <c r="CV1333" s="14"/>
      <c r="CW1333" s="50"/>
      <c r="CX1333" s="17"/>
    </row>
    <row r="1334" spans="4:102" x14ac:dyDescent="0.25"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43"/>
      <c r="Q1334" s="11"/>
      <c r="R1334" s="11"/>
      <c r="S1334" s="11"/>
      <c r="T1334" s="11"/>
      <c r="U1334" s="11"/>
      <c r="V1334" s="11"/>
      <c r="W1334" s="11"/>
      <c r="X1334" s="12"/>
      <c r="Y1334" s="12"/>
      <c r="Z1334" s="12"/>
      <c r="AA1334" s="44"/>
      <c r="AB1334" s="45"/>
      <c r="AC1334" s="12"/>
      <c r="AD1334" s="12"/>
      <c r="AE1334" s="12"/>
      <c r="AF1334" s="12"/>
      <c r="AG1334" s="44"/>
      <c r="AH1334" s="45"/>
      <c r="AI1334" s="12"/>
      <c r="AJ1334" s="12"/>
      <c r="AK1334" s="12"/>
      <c r="AL1334" s="12"/>
      <c r="AM1334" s="44"/>
      <c r="AN1334" s="45"/>
      <c r="AO1334" s="12"/>
      <c r="AP1334" s="12"/>
      <c r="AQ1334" s="12"/>
      <c r="AR1334" s="12"/>
      <c r="AS1334" s="44"/>
      <c r="AT1334" s="45"/>
      <c r="AU1334" s="12"/>
      <c r="AV1334" s="12"/>
      <c r="AW1334" s="12"/>
      <c r="AX1334" s="12"/>
      <c r="AY1334" s="44"/>
      <c r="AZ1334" s="45"/>
      <c r="BA1334" s="12"/>
      <c r="BB1334" s="12"/>
      <c r="BC1334" s="12"/>
      <c r="BD1334" s="12"/>
      <c r="BE1334" s="44"/>
      <c r="BF1334" s="45"/>
      <c r="BG1334" s="12"/>
      <c r="BH1334" s="12"/>
      <c r="BI1334" s="12"/>
      <c r="BJ1334" s="12"/>
      <c r="BK1334" s="44"/>
      <c r="BL1334" s="45"/>
      <c r="BM1334" s="12"/>
      <c r="BN1334" s="12"/>
      <c r="BO1334" s="12"/>
      <c r="BP1334" s="12"/>
      <c r="BQ1334" s="48"/>
      <c r="BR1334" s="49"/>
      <c r="BS1334" s="13"/>
      <c r="BT1334" s="12"/>
      <c r="BV1334" s="14"/>
      <c r="BW1334" s="50"/>
      <c r="BX1334" s="54"/>
      <c r="BY1334" s="14"/>
      <c r="BZ1334" s="14"/>
      <c r="CA1334" s="14"/>
      <c r="CB1334" s="14"/>
      <c r="CC1334" s="14"/>
      <c r="CD1334" s="14"/>
      <c r="CE1334" s="14"/>
      <c r="CF1334" s="15"/>
      <c r="CG1334" s="14"/>
      <c r="CH1334" s="14"/>
      <c r="CI1334" s="50"/>
      <c r="CJ1334" s="54"/>
      <c r="CK1334" s="14"/>
      <c r="CL1334" s="14"/>
      <c r="CM1334" s="14"/>
      <c r="CN1334" s="14"/>
      <c r="CO1334" s="14"/>
      <c r="CP1334" s="14"/>
      <c r="CQ1334" s="14"/>
      <c r="CR1334" s="14"/>
      <c r="CS1334" s="14"/>
      <c r="CT1334" s="14"/>
      <c r="CU1334" s="16"/>
      <c r="CV1334" s="14"/>
      <c r="CW1334" s="50"/>
      <c r="CX1334" s="17"/>
    </row>
    <row r="1335" spans="4:102" x14ac:dyDescent="0.25"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43"/>
      <c r="Q1335" s="11"/>
      <c r="R1335" s="11"/>
      <c r="S1335" s="11"/>
      <c r="T1335" s="11"/>
      <c r="U1335" s="11"/>
      <c r="V1335" s="11"/>
      <c r="W1335" s="11"/>
      <c r="X1335" s="12"/>
      <c r="Y1335" s="12"/>
      <c r="Z1335" s="12"/>
      <c r="AA1335" s="44"/>
      <c r="AB1335" s="45"/>
      <c r="AC1335" s="12"/>
      <c r="AD1335" s="12"/>
      <c r="AE1335" s="12"/>
      <c r="AF1335" s="12"/>
      <c r="AG1335" s="44"/>
      <c r="AH1335" s="45"/>
      <c r="AI1335" s="12"/>
      <c r="AJ1335" s="12"/>
      <c r="AK1335" s="12"/>
      <c r="AL1335" s="12"/>
      <c r="AM1335" s="44"/>
      <c r="AN1335" s="45"/>
      <c r="AO1335" s="12"/>
      <c r="AP1335" s="12"/>
      <c r="AQ1335" s="12"/>
      <c r="AR1335" s="12"/>
      <c r="AS1335" s="44"/>
      <c r="AT1335" s="45"/>
      <c r="AU1335" s="12"/>
      <c r="AV1335" s="12"/>
      <c r="AW1335" s="12"/>
      <c r="AX1335" s="12"/>
      <c r="AY1335" s="44"/>
      <c r="AZ1335" s="45"/>
      <c r="BA1335" s="12"/>
      <c r="BB1335" s="12"/>
      <c r="BC1335" s="12"/>
      <c r="BD1335" s="12"/>
      <c r="BE1335" s="44"/>
      <c r="BF1335" s="45"/>
      <c r="BG1335" s="12"/>
      <c r="BH1335" s="12"/>
      <c r="BI1335" s="12"/>
      <c r="BJ1335" s="12"/>
      <c r="BK1335" s="44"/>
      <c r="BL1335" s="45"/>
      <c r="BM1335" s="12"/>
      <c r="BN1335" s="12"/>
      <c r="BO1335" s="12"/>
      <c r="BP1335" s="12"/>
      <c r="BQ1335" s="48"/>
      <c r="BR1335" s="49"/>
      <c r="BS1335" s="13"/>
      <c r="BT1335" s="12"/>
      <c r="BV1335" s="14"/>
      <c r="BW1335" s="50"/>
      <c r="BX1335" s="54"/>
      <c r="BY1335" s="14"/>
      <c r="BZ1335" s="14"/>
      <c r="CA1335" s="14"/>
      <c r="CB1335" s="14"/>
      <c r="CC1335" s="14"/>
      <c r="CD1335" s="14"/>
      <c r="CE1335" s="14"/>
      <c r="CF1335" s="15"/>
      <c r="CG1335" s="14"/>
      <c r="CH1335" s="14"/>
      <c r="CI1335" s="50"/>
      <c r="CJ1335" s="54"/>
      <c r="CK1335" s="14"/>
      <c r="CL1335" s="14"/>
      <c r="CM1335" s="14"/>
      <c r="CN1335" s="14"/>
      <c r="CO1335" s="14"/>
      <c r="CP1335" s="14"/>
      <c r="CQ1335" s="14"/>
      <c r="CR1335" s="14"/>
      <c r="CS1335" s="14"/>
      <c r="CT1335" s="14"/>
      <c r="CU1335" s="16"/>
      <c r="CV1335" s="14"/>
      <c r="CW1335" s="50"/>
      <c r="CX1335" s="17"/>
    </row>
    <row r="1336" spans="4:102" x14ac:dyDescent="0.25"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43"/>
      <c r="Q1336" s="11"/>
      <c r="R1336" s="11"/>
      <c r="S1336" s="11"/>
      <c r="T1336" s="11"/>
      <c r="U1336" s="11"/>
      <c r="V1336" s="11"/>
      <c r="W1336" s="11"/>
      <c r="X1336" s="12"/>
      <c r="Y1336" s="12"/>
      <c r="Z1336" s="12"/>
      <c r="AA1336" s="44"/>
      <c r="AB1336" s="45"/>
      <c r="AC1336" s="12"/>
      <c r="AD1336" s="12"/>
      <c r="AE1336" s="12"/>
      <c r="AF1336" s="12"/>
      <c r="AG1336" s="44"/>
      <c r="AH1336" s="45"/>
      <c r="AI1336" s="12"/>
      <c r="AJ1336" s="12"/>
      <c r="AK1336" s="12"/>
      <c r="AL1336" s="12"/>
      <c r="AM1336" s="44"/>
      <c r="AN1336" s="45"/>
      <c r="AO1336" s="12"/>
      <c r="AP1336" s="12"/>
      <c r="AQ1336" s="12"/>
      <c r="AR1336" s="12"/>
      <c r="AS1336" s="44"/>
      <c r="AT1336" s="45"/>
      <c r="AU1336" s="12"/>
      <c r="AV1336" s="12"/>
      <c r="AW1336" s="12"/>
      <c r="AX1336" s="12"/>
      <c r="AY1336" s="44"/>
      <c r="AZ1336" s="45"/>
      <c r="BA1336" s="12"/>
      <c r="BB1336" s="12"/>
      <c r="BC1336" s="12"/>
      <c r="BD1336" s="12"/>
      <c r="BE1336" s="44"/>
      <c r="BF1336" s="45"/>
      <c r="BG1336" s="12"/>
      <c r="BH1336" s="12"/>
      <c r="BI1336" s="12"/>
      <c r="BJ1336" s="12"/>
      <c r="BK1336" s="44"/>
      <c r="BL1336" s="45"/>
      <c r="BM1336" s="12"/>
      <c r="BN1336" s="12"/>
      <c r="BO1336" s="12"/>
      <c r="BP1336" s="12"/>
      <c r="BQ1336" s="48"/>
      <c r="BR1336" s="49"/>
      <c r="BS1336" s="13"/>
      <c r="BT1336" s="12"/>
      <c r="BV1336" s="14"/>
      <c r="BW1336" s="50"/>
      <c r="BX1336" s="54"/>
      <c r="BY1336" s="14"/>
      <c r="BZ1336" s="14"/>
      <c r="CA1336" s="14"/>
      <c r="CB1336" s="14"/>
      <c r="CC1336" s="14"/>
      <c r="CD1336" s="14"/>
      <c r="CE1336" s="14"/>
      <c r="CF1336" s="15"/>
      <c r="CG1336" s="14"/>
      <c r="CH1336" s="14"/>
      <c r="CI1336" s="50"/>
      <c r="CJ1336" s="54"/>
      <c r="CK1336" s="14"/>
      <c r="CL1336" s="14"/>
      <c r="CM1336" s="14"/>
      <c r="CN1336" s="14"/>
      <c r="CO1336" s="14"/>
      <c r="CP1336" s="14"/>
      <c r="CQ1336" s="14"/>
      <c r="CR1336" s="14"/>
      <c r="CS1336" s="14"/>
      <c r="CT1336" s="14"/>
      <c r="CU1336" s="16"/>
      <c r="CV1336" s="14"/>
      <c r="CW1336" s="50"/>
      <c r="CX1336" s="17"/>
    </row>
    <row r="1337" spans="4:102" x14ac:dyDescent="0.25"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43"/>
      <c r="Q1337" s="11"/>
      <c r="R1337" s="11"/>
      <c r="S1337" s="11"/>
      <c r="T1337" s="11"/>
      <c r="U1337" s="11"/>
      <c r="V1337" s="11"/>
      <c r="W1337" s="11"/>
      <c r="X1337" s="12"/>
      <c r="Y1337" s="12"/>
      <c r="Z1337" s="12"/>
      <c r="AA1337" s="44"/>
      <c r="AB1337" s="45"/>
      <c r="AC1337" s="12"/>
      <c r="AD1337" s="12"/>
      <c r="AE1337" s="12"/>
      <c r="AF1337" s="12"/>
      <c r="AG1337" s="44"/>
      <c r="AH1337" s="45"/>
      <c r="AI1337" s="12"/>
      <c r="AJ1337" s="12"/>
      <c r="AK1337" s="12"/>
      <c r="AL1337" s="12"/>
      <c r="AM1337" s="44"/>
      <c r="AN1337" s="45"/>
      <c r="AO1337" s="12"/>
      <c r="AP1337" s="12"/>
      <c r="AQ1337" s="12"/>
      <c r="AR1337" s="12"/>
      <c r="AS1337" s="44"/>
      <c r="AT1337" s="45"/>
      <c r="AU1337" s="12"/>
      <c r="AV1337" s="12"/>
      <c r="AW1337" s="12"/>
      <c r="AX1337" s="12"/>
      <c r="AY1337" s="44"/>
      <c r="AZ1337" s="45"/>
      <c r="BA1337" s="12"/>
      <c r="BB1337" s="12"/>
      <c r="BC1337" s="12"/>
      <c r="BD1337" s="12"/>
      <c r="BE1337" s="44"/>
      <c r="BF1337" s="45"/>
      <c r="BG1337" s="12"/>
      <c r="BH1337" s="12"/>
      <c r="BI1337" s="12"/>
      <c r="BJ1337" s="12"/>
      <c r="BK1337" s="44"/>
      <c r="BL1337" s="45"/>
      <c r="BM1337" s="12"/>
      <c r="BN1337" s="12"/>
      <c r="BO1337" s="12"/>
      <c r="BP1337" s="12"/>
      <c r="BQ1337" s="48"/>
      <c r="BR1337" s="49"/>
      <c r="BS1337" s="13"/>
      <c r="BT1337" s="12"/>
      <c r="BV1337" s="14"/>
      <c r="BW1337" s="50"/>
      <c r="BX1337" s="54"/>
      <c r="BY1337" s="14"/>
      <c r="BZ1337" s="14"/>
      <c r="CA1337" s="14"/>
      <c r="CB1337" s="14"/>
      <c r="CC1337" s="14"/>
      <c r="CD1337" s="14"/>
      <c r="CE1337" s="14"/>
      <c r="CF1337" s="15"/>
      <c r="CG1337" s="14"/>
      <c r="CH1337" s="14"/>
      <c r="CI1337" s="50"/>
      <c r="CJ1337" s="54"/>
      <c r="CK1337" s="14"/>
      <c r="CL1337" s="14"/>
      <c r="CM1337" s="14"/>
      <c r="CN1337" s="14"/>
      <c r="CO1337" s="14"/>
      <c r="CP1337" s="14"/>
      <c r="CQ1337" s="14"/>
      <c r="CR1337" s="14"/>
      <c r="CS1337" s="14"/>
      <c r="CT1337" s="14"/>
      <c r="CU1337" s="16"/>
      <c r="CV1337" s="14"/>
      <c r="CW1337" s="50"/>
      <c r="CX1337" s="17"/>
    </row>
    <row r="1338" spans="4:102" x14ac:dyDescent="0.25"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43"/>
      <c r="Q1338" s="11"/>
      <c r="R1338" s="11"/>
      <c r="S1338" s="11"/>
      <c r="T1338" s="11"/>
      <c r="U1338" s="11"/>
      <c r="V1338" s="11"/>
      <c r="W1338" s="11"/>
      <c r="X1338" s="12"/>
      <c r="Y1338" s="12"/>
      <c r="Z1338" s="12"/>
      <c r="AA1338" s="44"/>
      <c r="AB1338" s="45"/>
      <c r="AC1338" s="12"/>
      <c r="AD1338" s="12"/>
      <c r="AE1338" s="12"/>
      <c r="AF1338" s="12"/>
      <c r="AG1338" s="44"/>
      <c r="AH1338" s="45"/>
      <c r="AI1338" s="12"/>
      <c r="AJ1338" s="12"/>
      <c r="AK1338" s="12"/>
      <c r="AL1338" s="12"/>
      <c r="AM1338" s="44"/>
      <c r="AN1338" s="45"/>
      <c r="AO1338" s="12"/>
      <c r="AP1338" s="12"/>
      <c r="AQ1338" s="12"/>
      <c r="AR1338" s="12"/>
      <c r="AS1338" s="44"/>
      <c r="AT1338" s="45"/>
      <c r="AU1338" s="12"/>
      <c r="AV1338" s="12"/>
      <c r="AW1338" s="12"/>
      <c r="AX1338" s="12"/>
      <c r="AY1338" s="44"/>
      <c r="AZ1338" s="45"/>
      <c r="BA1338" s="12"/>
      <c r="BB1338" s="12"/>
      <c r="BC1338" s="12"/>
      <c r="BD1338" s="12"/>
      <c r="BE1338" s="44"/>
      <c r="BF1338" s="45"/>
      <c r="BG1338" s="12"/>
      <c r="BH1338" s="12"/>
      <c r="BI1338" s="12"/>
      <c r="BJ1338" s="12"/>
      <c r="BK1338" s="44"/>
      <c r="BL1338" s="45"/>
      <c r="BM1338" s="12"/>
      <c r="BN1338" s="12"/>
      <c r="BO1338" s="12"/>
      <c r="BP1338" s="12"/>
      <c r="BQ1338" s="48"/>
      <c r="BR1338" s="49"/>
      <c r="BS1338" s="13"/>
      <c r="BT1338" s="12"/>
      <c r="BV1338" s="14"/>
      <c r="BW1338" s="50"/>
      <c r="BX1338" s="54"/>
      <c r="BY1338" s="14"/>
      <c r="BZ1338" s="14"/>
      <c r="CA1338" s="14"/>
      <c r="CB1338" s="14"/>
      <c r="CC1338" s="14"/>
      <c r="CD1338" s="14"/>
      <c r="CE1338" s="14"/>
      <c r="CF1338" s="15"/>
      <c r="CG1338" s="14"/>
      <c r="CH1338" s="14"/>
      <c r="CI1338" s="50"/>
      <c r="CJ1338" s="54"/>
      <c r="CK1338" s="14"/>
      <c r="CL1338" s="14"/>
      <c r="CM1338" s="14"/>
      <c r="CN1338" s="14"/>
      <c r="CO1338" s="14"/>
      <c r="CP1338" s="14"/>
      <c r="CQ1338" s="14"/>
      <c r="CR1338" s="14"/>
      <c r="CS1338" s="14"/>
      <c r="CT1338" s="14"/>
      <c r="CU1338" s="16"/>
      <c r="CV1338" s="14"/>
      <c r="CW1338" s="50"/>
      <c r="CX1338" s="17"/>
    </row>
    <row r="1339" spans="4:102" x14ac:dyDescent="0.25"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43"/>
      <c r="Q1339" s="11"/>
      <c r="R1339" s="11"/>
      <c r="S1339" s="11"/>
      <c r="T1339" s="11"/>
      <c r="U1339" s="11"/>
      <c r="V1339" s="11"/>
      <c r="W1339" s="11"/>
      <c r="X1339" s="12"/>
      <c r="Y1339" s="12"/>
      <c r="Z1339" s="12"/>
      <c r="AA1339" s="44"/>
      <c r="AB1339" s="45"/>
      <c r="AC1339" s="12"/>
      <c r="AD1339" s="12"/>
      <c r="AE1339" s="12"/>
      <c r="AF1339" s="12"/>
      <c r="AG1339" s="44"/>
      <c r="AH1339" s="45"/>
      <c r="AI1339" s="12"/>
      <c r="AJ1339" s="12"/>
      <c r="AK1339" s="12"/>
      <c r="AL1339" s="12"/>
      <c r="AM1339" s="44"/>
      <c r="AN1339" s="45"/>
      <c r="AO1339" s="12"/>
      <c r="AP1339" s="12"/>
      <c r="AQ1339" s="12"/>
      <c r="AR1339" s="12"/>
      <c r="AS1339" s="44"/>
      <c r="AT1339" s="45"/>
      <c r="AU1339" s="12"/>
      <c r="AV1339" s="12"/>
      <c r="AW1339" s="12"/>
      <c r="AX1339" s="12"/>
      <c r="AY1339" s="44"/>
      <c r="AZ1339" s="45"/>
      <c r="BA1339" s="12"/>
      <c r="BB1339" s="12"/>
      <c r="BC1339" s="12"/>
      <c r="BD1339" s="12"/>
      <c r="BE1339" s="44"/>
      <c r="BF1339" s="45"/>
      <c r="BG1339" s="12"/>
      <c r="BH1339" s="12"/>
      <c r="BI1339" s="12"/>
      <c r="BJ1339" s="12"/>
      <c r="BK1339" s="44"/>
      <c r="BL1339" s="45"/>
      <c r="BM1339" s="12"/>
      <c r="BN1339" s="12"/>
      <c r="BO1339" s="12"/>
      <c r="BP1339" s="12"/>
      <c r="BQ1339" s="48"/>
      <c r="BR1339" s="49"/>
      <c r="BS1339" s="13"/>
      <c r="BT1339" s="12"/>
      <c r="BV1339" s="14"/>
      <c r="BW1339" s="50"/>
      <c r="BX1339" s="54"/>
      <c r="BY1339" s="14"/>
      <c r="BZ1339" s="14"/>
      <c r="CA1339" s="14"/>
      <c r="CB1339" s="14"/>
      <c r="CC1339" s="14"/>
      <c r="CD1339" s="14"/>
      <c r="CE1339" s="14"/>
      <c r="CF1339" s="15"/>
      <c r="CG1339" s="14"/>
      <c r="CH1339" s="14"/>
      <c r="CI1339" s="50"/>
      <c r="CJ1339" s="54"/>
      <c r="CK1339" s="14"/>
      <c r="CL1339" s="14"/>
      <c r="CM1339" s="14"/>
      <c r="CN1339" s="14"/>
      <c r="CO1339" s="14"/>
      <c r="CP1339" s="14"/>
      <c r="CQ1339" s="14"/>
      <c r="CR1339" s="14"/>
      <c r="CS1339" s="14"/>
      <c r="CT1339" s="14"/>
      <c r="CU1339" s="16"/>
      <c r="CV1339" s="14"/>
      <c r="CW1339" s="50"/>
      <c r="CX1339" s="17"/>
    </row>
    <row r="1340" spans="4:102" x14ac:dyDescent="0.25"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43"/>
      <c r="Q1340" s="11"/>
      <c r="R1340" s="11"/>
      <c r="S1340" s="11"/>
      <c r="T1340" s="11"/>
      <c r="U1340" s="11"/>
      <c r="V1340" s="11"/>
      <c r="W1340" s="11"/>
      <c r="X1340" s="12"/>
      <c r="Y1340" s="12"/>
      <c r="Z1340" s="12"/>
      <c r="AA1340" s="44"/>
      <c r="AB1340" s="45"/>
      <c r="AC1340" s="12"/>
      <c r="AD1340" s="12"/>
      <c r="AE1340" s="12"/>
      <c r="AF1340" s="12"/>
      <c r="AG1340" s="44"/>
      <c r="AH1340" s="45"/>
      <c r="AI1340" s="12"/>
      <c r="AJ1340" s="12"/>
      <c r="AK1340" s="12"/>
      <c r="AL1340" s="12"/>
      <c r="AM1340" s="44"/>
      <c r="AN1340" s="45"/>
      <c r="AO1340" s="12"/>
      <c r="AP1340" s="12"/>
      <c r="AQ1340" s="12"/>
      <c r="AR1340" s="12"/>
      <c r="AS1340" s="44"/>
      <c r="AT1340" s="45"/>
      <c r="AU1340" s="12"/>
      <c r="AV1340" s="12"/>
      <c r="AW1340" s="12"/>
      <c r="AX1340" s="12"/>
      <c r="AY1340" s="44"/>
      <c r="AZ1340" s="45"/>
      <c r="BA1340" s="12"/>
      <c r="BB1340" s="12"/>
      <c r="BC1340" s="12"/>
      <c r="BD1340" s="12"/>
      <c r="BE1340" s="44"/>
      <c r="BF1340" s="45"/>
      <c r="BG1340" s="12"/>
      <c r="BH1340" s="12"/>
      <c r="BI1340" s="12"/>
      <c r="BJ1340" s="12"/>
      <c r="BK1340" s="44"/>
      <c r="BL1340" s="45"/>
      <c r="BM1340" s="12"/>
      <c r="BN1340" s="12"/>
      <c r="BO1340" s="12"/>
      <c r="BP1340" s="12"/>
      <c r="BQ1340" s="48"/>
      <c r="BR1340" s="49"/>
      <c r="BS1340" s="13"/>
      <c r="BT1340" s="12"/>
      <c r="BV1340" s="14"/>
      <c r="BW1340" s="50"/>
      <c r="BX1340" s="54"/>
      <c r="BY1340" s="14"/>
      <c r="BZ1340" s="14"/>
      <c r="CA1340" s="14"/>
      <c r="CB1340" s="14"/>
      <c r="CC1340" s="14"/>
      <c r="CD1340" s="14"/>
      <c r="CE1340" s="14"/>
      <c r="CF1340" s="15"/>
      <c r="CG1340" s="14"/>
      <c r="CH1340" s="14"/>
      <c r="CI1340" s="50"/>
      <c r="CJ1340" s="54"/>
      <c r="CK1340" s="14"/>
      <c r="CL1340" s="14"/>
      <c r="CM1340" s="14"/>
      <c r="CN1340" s="14"/>
      <c r="CO1340" s="14"/>
      <c r="CP1340" s="14"/>
      <c r="CQ1340" s="14"/>
      <c r="CR1340" s="14"/>
      <c r="CS1340" s="14"/>
      <c r="CT1340" s="14"/>
      <c r="CU1340" s="16"/>
      <c r="CV1340" s="14"/>
      <c r="CW1340" s="50"/>
      <c r="CX1340" s="17"/>
    </row>
    <row r="1341" spans="4:102" x14ac:dyDescent="0.25"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43"/>
      <c r="Q1341" s="11"/>
      <c r="R1341" s="11"/>
      <c r="S1341" s="11"/>
      <c r="T1341" s="11"/>
      <c r="U1341" s="11"/>
      <c r="V1341" s="11"/>
      <c r="W1341" s="11"/>
      <c r="X1341" s="12"/>
      <c r="Y1341" s="12"/>
      <c r="Z1341" s="12"/>
      <c r="AA1341" s="44"/>
      <c r="AB1341" s="45"/>
      <c r="AC1341" s="12"/>
      <c r="AD1341" s="12"/>
      <c r="AE1341" s="12"/>
      <c r="AF1341" s="12"/>
      <c r="AG1341" s="44"/>
      <c r="AH1341" s="45"/>
      <c r="AI1341" s="12"/>
      <c r="AJ1341" s="12"/>
      <c r="AK1341" s="12"/>
      <c r="AL1341" s="12"/>
      <c r="AM1341" s="44"/>
      <c r="AN1341" s="45"/>
      <c r="AO1341" s="12"/>
      <c r="AP1341" s="12"/>
      <c r="AQ1341" s="12"/>
      <c r="AR1341" s="12"/>
      <c r="AS1341" s="44"/>
      <c r="AT1341" s="45"/>
      <c r="AU1341" s="12"/>
      <c r="AV1341" s="12"/>
      <c r="AW1341" s="12"/>
      <c r="AX1341" s="12"/>
      <c r="AY1341" s="44"/>
      <c r="AZ1341" s="45"/>
      <c r="BA1341" s="12"/>
      <c r="BB1341" s="12"/>
      <c r="BC1341" s="12"/>
      <c r="BD1341" s="12"/>
      <c r="BE1341" s="44"/>
      <c r="BF1341" s="45"/>
      <c r="BG1341" s="12"/>
      <c r="BH1341" s="12"/>
      <c r="BI1341" s="12"/>
      <c r="BJ1341" s="12"/>
      <c r="BK1341" s="44"/>
      <c r="BL1341" s="45"/>
      <c r="BM1341" s="12"/>
      <c r="BN1341" s="12"/>
      <c r="BO1341" s="12"/>
      <c r="BP1341" s="12"/>
      <c r="BQ1341" s="48"/>
      <c r="BR1341" s="49"/>
      <c r="BS1341" s="13"/>
      <c r="BT1341" s="12"/>
      <c r="BV1341" s="14"/>
      <c r="BW1341" s="50"/>
      <c r="BX1341" s="54"/>
      <c r="BY1341" s="14"/>
      <c r="BZ1341" s="14"/>
      <c r="CA1341" s="14"/>
      <c r="CB1341" s="14"/>
      <c r="CC1341" s="14"/>
      <c r="CD1341" s="14"/>
      <c r="CE1341" s="14"/>
      <c r="CF1341" s="15"/>
      <c r="CG1341" s="14"/>
      <c r="CH1341" s="14"/>
      <c r="CI1341" s="50"/>
      <c r="CJ1341" s="54"/>
      <c r="CK1341" s="14"/>
      <c r="CL1341" s="14"/>
      <c r="CM1341" s="14"/>
      <c r="CN1341" s="14"/>
      <c r="CO1341" s="14"/>
      <c r="CP1341" s="14"/>
      <c r="CQ1341" s="14"/>
      <c r="CR1341" s="14"/>
      <c r="CS1341" s="14"/>
      <c r="CT1341" s="14"/>
      <c r="CU1341" s="16"/>
      <c r="CV1341" s="14"/>
      <c r="CW1341" s="50"/>
      <c r="CX1341" s="17"/>
    </row>
    <row r="1342" spans="4:102" x14ac:dyDescent="0.25"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43"/>
      <c r="Q1342" s="11"/>
      <c r="R1342" s="11"/>
      <c r="S1342" s="11"/>
      <c r="T1342" s="11"/>
      <c r="U1342" s="11"/>
      <c r="V1342" s="11"/>
      <c r="W1342" s="11"/>
      <c r="X1342" s="12"/>
      <c r="Y1342" s="12"/>
      <c r="Z1342" s="12"/>
      <c r="AA1342" s="44"/>
      <c r="AB1342" s="45"/>
      <c r="AC1342" s="12"/>
      <c r="AD1342" s="12"/>
      <c r="AE1342" s="12"/>
      <c r="AF1342" s="12"/>
      <c r="AG1342" s="44"/>
      <c r="AH1342" s="45"/>
      <c r="AI1342" s="12"/>
      <c r="AJ1342" s="12"/>
      <c r="AK1342" s="12"/>
      <c r="AL1342" s="12"/>
      <c r="AM1342" s="44"/>
      <c r="AN1342" s="45"/>
      <c r="AO1342" s="12"/>
      <c r="AP1342" s="12"/>
      <c r="AQ1342" s="12"/>
      <c r="AR1342" s="12"/>
      <c r="AS1342" s="44"/>
      <c r="AT1342" s="45"/>
      <c r="AU1342" s="12"/>
      <c r="AV1342" s="12"/>
      <c r="AW1342" s="12"/>
      <c r="AX1342" s="12"/>
      <c r="AY1342" s="44"/>
      <c r="AZ1342" s="45"/>
      <c r="BA1342" s="12"/>
      <c r="BB1342" s="12"/>
      <c r="BC1342" s="12"/>
      <c r="BD1342" s="12"/>
      <c r="BE1342" s="44"/>
      <c r="BF1342" s="45"/>
      <c r="BG1342" s="12"/>
      <c r="BH1342" s="12"/>
      <c r="BI1342" s="12"/>
      <c r="BJ1342" s="12"/>
      <c r="BK1342" s="44"/>
      <c r="BL1342" s="45"/>
      <c r="BM1342" s="12"/>
      <c r="BN1342" s="12"/>
      <c r="BO1342" s="12"/>
      <c r="BP1342" s="12"/>
      <c r="BQ1342" s="48"/>
      <c r="BR1342" s="49"/>
      <c r="BS1342" s="13"/>
      <c r="BT1342" s="12"/>
      <c r="BV1342" s="14"/>
      <c r="BW1342" s="50"/>
      <c r="BX1342" s="54"/>
      <c r="BY1342" s="14"/>
      <c r="BZ1342" s="14"/>
      <c r="CA1342" s="14"/>
      <c r="CB1342" s="14"/>
      <c r="CC1342" s="14"/>
      <c r="CD1342" s="14"/>
      <c r="CE1342" s="14"/>
      <c r="CF1342" s="15"/>
      <c r="CG1342" s="14"/>
      <c r="CH1342" s="14"/>
      <c r="CI1342" s="50"/>
      <c r="CJ1342" s="54"/>
      <c r="CK1342" s="14"/>
      <c r="CL1342" s="14"/>
      <c r="CM1342" s="14"/>
      <c r="CN1342" s="14"/>
      <c r="CO1342" s="14"/>
      <c r="CP1342" s="14"/>
      <c r="CQ1342" s="14"/>
      <c r="CR1342" s="14"/>
      <c r="CS1342" s="14"/>
      <c r="CT1342" s="14"/>
      <c r="CU1342" s="16"/>
      <c r="CV1342" s="14"/>
      <c r="CW1342" s="50"/>
      <c r="CX1342" s="17"/>
    </row>
    <row r="1343" spans="4:102" x14ac:dyDescent="0.25"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43"/>
      <c r="Q1343" s="11"/>
      <c r="R1343" s="11"/>
      <c r="S1343" s="11"/>
      <c r="T1343" s="11"/>
      <c r="U1343" s="11"/>
      <c r="V1343" s="11"/>
      <c r="W1343" s="11"/>
      <c r="X1343" s="12"/>
      <c r="Y1343" s="12"/>
      <c r="Z1343" s="12"/>
      <c r="AA1343" s="44"/>
      <c r="AB1343" s="45"/>
      <c r="AC1343" s="12"/>
      <c r="AD1343" s="12"/>
      <c r="AE1343" s="12"/>
      <c r="AF1343" s="12"/>
      <c r="AG1343" s="44"/>
      <c r="AH1343" s="45"/>
      <c r="AI1343" s="12"/>
      <c r="AJ1343" s="12"/>
      <c r="AK1343" s="12"/>
      <c r="AL1343" s="12"/>
      <c r="AM1343" s="44"/>
      <c r="AN1343" s="45"/>
      <c r="AO1343" s="12"/>
      <c r="AP1343" s="12"/>
      <c r="AQ1343" s="12"/>
      <c r="AR1343" s="12"/>
      <c r="AS1343" s="44"/>
      <c r="AT1343" s="45"/>
      <c r="AU1343" s="12"/>
      <c r="AV1343" s="12"/>
      <c r="AW1343" s="12"/>
      <c r="AX1343" s="12"/>
      <c r="AY1343" s="44"/>
      <c r="AZ1343" s="45"/>
      <c r="BA1343" s="12"/>
      <c r="BB1343" s="12"/>
      <c r="BC1343" s="12"/>
      <c r="BD1343" s="12"/>
      <c r="BE1343" s="44"/>
      <c r="BF1343" s="45"/>
      <c r="BG1343" s="12"/>
      <c r="BH1343" s="12"/>
      <c r="BI1343" s="12"/>
      <c r="BJ1343" s="12"/>
      <c r="BK1343" s="44"/>
      <c r="BL1343" s="45"/>
      <c r="BM1343" s="12"/>
      <c r="BN1343" s="12"/>
      <c r="BO1343" s="12"/>
      <c r="BP1343" s="12"/>
      <c r="BQ1343" s="48"/>
      <c r="BR1343" s="49"/>
      <c r="BS1343" s="13"/>
      <c r="BT1343" s="12"/>
      <c r="BV1343" s="14"/>
      <c r="BW1343" s="50"/>
      <c r="BX1343" s="54"/>
      <c r="BY1343" s="14"/>
      <c r="BZ1343" s="14"/>
      <c r="CA1343" s="14"/>
      <c r="CB1343" s="14"/>
      <c r="CC1343" s="14"/>
      <c r="CD1343" s="14"/>
      <c r="CE1343" s="14"/>
      <c r="CF1343" s="15"/>
      <c r="CG1343" s="14"/>
      <c r="CH1343" s="14"/>
      <c r="CI1343" s="50"/>
      <c r="CJ1343" s="54"/>
      <c r="CK1343" s="14"/>
      <c r="CL1343" s="14"/>
      <c r="CM1343" s="14"/>
      <c r="CN1343" s="14"/>
      <c r="CO1343" s="14"/>
      <c r="CP1343" s="14"/>
      <c r="CQ1343" s="14"/>
      <c r="CR1343" s="14"/>
      <c r="CS1343" s="14"/>
      <c r="CT1343" s="14"/>
      <c r="CU1343" s="16"/>
      <c r="CV1343" s="14"/>
      <c r="CW1343" s="50"/>
      <c r="CX1343" s="17"/>
    </row>
    <row r="1344" spans="4:102" x14ac:dyDescent="0.25"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43"/>
      <c r="Q1344" s="11"/>
      <c r="R1344" s="11"/>
      <c r="S1344" s="11"/>
      <c r="T1344" s="11"/>
      <c r="U1344" s="11"/>
      <c r="V1344" s="11"/>
      <c r="W1344" s="11"/>
      <c r="X1344" s="12"/>
      <c r="Y1344" s="12"/>
      <c r="Z1344" s="12"/>
      <c r="AA1344" s="44"/>
      <c r="AB1344" s="45"/>
      <c r="AC1344" s="12"/>
      <c r="AD1344" s="12"/>
      <c r="AE1344" s="12"/>
      <c r="AF1344" s="12"/>
      <c r="AG1344" s="44"/>
      <c r="AH1344" s="45"/>
      <c r="AI1344" s="12"/>
      <c r="AJ1344" s="12"/>
      <c r="AK1344" s="12"/>
      <c r="AL1344" s="12"/>
      <c r="AM1344" s="44"/>
      <c r="AN1344" s="45"/>
      <c r="AO1344" s="12"/>
      <c r="AP1344" s="12"/>
      <c r="AQ1344" s="12"/>
      <c r="AR1344" s="12"/>
      <c r="AS1344" s="44"/>
      <c r="AT1344" s="45"/>
      <c r="AU1344" s="12"/>
      <c r="AV1344" s="12"/>
      <c r="AW1344" s="12"/>
      <c r="AX1344" s="12"/>
      <c r="AY1344" s="44"/>
      <c r="AZ1344" s="45"/>
      <c r="BA1344" s="12"/>
      <c r="BB1344" s="12"/>
      <c r="BC1344" s="12"/>
      <c r="BD1344" s="12"/>
      <c r="BE1344" s="44"/>
      <c r="BF1344" s="45"/>
      <c r="BG1344" s="12"/>
      <c r="BH1344" s="12"/>
      <c r="BI1344" s="12"/>
      <c r="BJ1344" s="12"/>
      <c r="BK1344" s="44"/>
      <c r="BL1344" s="45"/>
      <c r="BM1344" s="12"/>
      <c r="BN1344" s="12"/>
      <c r="BO1344" s="12"/>
      <c r="BP1344" s="12"/>
      <c r="BQ1344" s="48"/>
      <c r="BR1344" s="49"/>
      <c r="BS1344" s="13"/>
      <c r="BT1344" s="12"/>
      <c r="BV1344" s="14"/>
      <c r="BW1344" s="50"/>
      <c r="BX1344" s="54"/>
      <c r="BY1344" s="14"/>
      <c r="BZ1344" s="14"/>
      <c r="CA1344" s="14"/>
      <c r="CB1344" s="14"/>
      <c r="CC1344" s="14"/>
      <c r="CD1344" s="14"/>
      <c r="CE1344" s="14"/>
      <c r="CF1344" s="15"/>
      <c r="CG1344" s="14"/>
      <c r="CH1344" s="14"/>
      <c r="CI1344" s="50"/>
      <c r="CJ1344" s="54"/>
      <c r="CK1344" s="14"/>
      <c r="CL1344" s="14"/>
      <c r="CM1344" s="14"/>
      <c r="CN1344" s="14"/>
      <c r="CO1344" s="14"/>
      <c r="CP1344" s="14"/>
      <c r="CQ1344" s="14"/>
      <c r="CR1344" s="14"/>
      <c r="CS1344" s="14"/>
      <c r="CT1344" s="14"/>
      <c r="CU1344" s="16"/>
      <c r="CV1344" s="14"/>
      <c r="CW1344" s="50"/>
      <c r="CX1344" s="17"/>
    </row>
    <row r="1345" spans="4:102" x14ac:dyDescent="0.25"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43"/>
      <c r="Q1345" s="11"/>
      <c r="R1345" s="11"/>
      <c r="S1345" s="11"/>
      <c r="T1345" s="11"/>
      <c r="U1345" s="11"/>
      <c r="V1345" s="11"/>
      <c r="W1345" s="11"/>
      <c r="X1345" s="12"/>
      <c r="Y1345" s="12"/>
      <c r="Z1345" s="12"/>
      <c r="AA1345" s="44"/>
      <c r="AB1345" s="45"/>
      <c r="AC1345" s="12"/>
      <c r="AD1345" s="12"/>
      <c r="AE1345" s="12"/>
      <c r="AF1345" s="12"/>
      <c r="AG1345" s="44"/>
      <c r="AH1345" s="45"/>
      <c r="AI1345" s="12"/>
      <c r="AJ1345" s="12"/>
      <c r="AK1345" s="12"/>
      <c r="AL1345" s="12"/>
      <c r="AM1345" s="44"/>
      <c r="AN1345" s="45"/>
      <c r="AO1345" s="12"/>
      <c r="AP1345" s="12"/>
      <c r="AQ1345" s="12"/>
      <c r="AR1345" s="12"/>
      <c r="AS1345" s="44"/>
      <c r="AT1345" s="45"/>
      <c r="AU1345" s="12"/>
      <c r="AV1345" s="12"/>
      <c r="AW1345" s="12"/>
      <c r="AX1345" s="12"/>
      <c r="AY1345" s="44"/>
      <c r="AZ1345" s="45"/>
      <c r="BA1345" s="12"/>
      <c r="BB1345" s="12"/>
      <c r="BC1345" s="12"/>
      <c r="BD1345" s="12"/>
      <c r="BE1345" s="44"/>
      <c r="BF1345" s="45"/>
      <c r="BG1345" s="12"/>
      <c r="BH1345" s="12"/>
      <c r="BI1345" s="12"/>
      <c r="BJ1345" s="12"/>
      <c r="BK1345" s="44"/>
      <c r="BL1345" s="45"/>
      <c r="BM1345" s="12"/>
      <c r="BN1345" s="12"/>
      <c r="BO1345" s="12"/>
      <c r="BP1345" s="12"/>
      <c r="BQ1345" s="48"/>
      <c r="BR1345" s="49"/>
      <c r="BS1345" s="13"/>
      <c r="BT1345" s="12"/>
      <c r="BV1345" s="14"/>
      <c r="BW1345" s="50"/>
      <c r="BX1345" s="54"/>
      <c r="BY1345" s="14"/>
      <c r="BZ1345" s="14"/>
      <c r="CA1345" s="14"/>
      <c r="CB1345" s="14"/>
      <c r="CC1345" s="14"/>
      <c r="CD1345" s="14"/>
      <c r="CE1345" s="14"/>
      <c r="CF1345" s="15"/>
      <c r="CG1345" s="14"/>
      <c r="CH1345" s="14"/>
      <c r="CI1345" s="50"/>
      <c r="CJ1345" s="54"/>
      <c r="CK1345" s="14"/>
      <c r="CL1345" s="14"/>
      <c r="CM1345" s="14"/>
      <c r="CN1345" s="14"/>
      <c r="CO1345" s="14"/>
      <c r="CP1345" s="14"/>
      <c r="CQ1345" s="14"/>
      <c r="CR1345" s="14"/>
      <c r="CS1345" s="14"/>
      <c r="CT1345" s="14"/>
      <c r="CU1345" s="16"/>
      <c r="CV1345" s="14"/>
      <c r="CW1345" s="50"/>
      <c r="CX1345" s="17"/>
    </row>
    <row r="1346" spans="4:102" x14ac:dyDescent="0.25"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43"/>
      <c r="Q1346" s="11"/>
      <c r="R1346" s="11"/>
      <c r="S1346" s="11"/>
      <c r="T1346" s="11"/>
      <c r="U1346" s="11"/>
      <c r="V1346" s="11"/>
      <c r="W1346" s="11"/>
      <c r="X1346" s="12"/>
      <c r="Y1346" s="12"/>
      <c r="Z1346" s="12"/>
      <c r="AA1346" s="44"/>
      <c r="AB1346" s="45"/>
      <c r="AC1346" s="12"/>
      <c r="AD1346" s="12"/>
      <c r="AE1346" s="12"/>
      <c r="AF1346" s="12"/>
      <c r="AG1346" s="44"/>
      <c r="AH1346" s="45"/>
      <c r="AI1346" s="12"/>
      <c r="AJ1346" s="12"/>
      <c r="AK1346" s="12"/>
      <c r="AL1346" s="12"/>
      <c r="AM1346" s="44"/>
      <c r="AN1346" s="45"/>
      <c r="AO1346" s="12"/>
      <c r="AP1346" s="12"/>
      <c r="AQ1346" s="12"/>
      <c r="AR1346" s="12"/>
      <c r="AS1346" s="44"/>
      <c r="AT1346" s="45"/>
      <c r="AU1346" s="12"/>
      <c r="AV1346" s="12"/>
      <c r="AW1346" s="12"/>
      <c r="AX1346" s="12"/>
      <c r="AY1346" s="44"/>
      <c r="AZ1346" s="45"/>
      <c r="BA1346" s="12"/>
      <c r="BB1346" s="12"/>
      <c r="BC1346" s="12"/>
      <c r="BD1346" s="12"/>
      <c r="BE1346" s="44"/>
      <c r="BF1346" s="45"/>
      <c r="BG1346" s="12"/>
      <c r="BH1346" s="12"/>
      <c r="BI1346" s="12"/>
      <c r="BJ1346" s="12"/>
      <c r="BK1346" s="44"/>
      <c r="BL1346" s="45"/>
      <c r="BM1346" s="12"/>
      <c r="BN1346" s="12"/>
      <c r="BO1346" s="12"/>
      <c r="BP1346" s="12"/>
      <c r="BQ1346" s="48"/>
      <c r="BR1346" s="49"/>
      <c r="BS1346" s="13"/>
      <c r="BT1346" s="12"/>
      <c r="BV1346" s="14"/>
      <c r="BW1346" s="50"/>
      <c r="BX1346" s="54"/>
      <c r="BY1346" s="14"/>
      <c r="BZ1346" s="14"/>
      <c r="CA1346" s="14"/>
      <c r="CB1346" s="14"/>
      <c r="CC1346" s="14"/>
      <c r="CD1346" s="14"/>
      <c r="CE1346" s="14"/>
      <c r="CF1346" s="15"/>
      <c r="CG1346" s="14"/>
      <c r="CH1346" s="14"/>
      <c r="CI1346" s="50"/>
      <c r="CJ1346" s="54"/>
      <c r="CK1346" s="14"/>
      <c r="CL1346" s="14"/>
      <c r="CM1346" s="14"/>
      <c r="CN1346" s="14"/>
      <c r="CO1346" s="14"/>
      <c r="CP1346" s="14"/>
      <c r="CQ1346" s="14"/>
      <c r="CR1346" s="14"/>
      <c r="CS1346" s="14"/>
      <c r="CT1346" s="14"/>
      <c r="CU1346" s="16"/>
      <c r="CV1346" s="14"/>
      <c r="CW1346" s="50"/>
      <c r="CX1346" s="17"/>
    </row>
    <row r="1347" spans="4:102" x14ac:dyDescent="0.25"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43"/>
      <c r="Q1347" s="11"/>
      <c r="R1347" s="11"/>
      <c r="S1347" s="11"/>
      <c r="T1347" s="11"/>
      <c r="U1347" s="11"/>
      <c r="V1347" s="11"/>
      <c r="W1347" s="11"/>
      <c r="X1347" s="12"/>
      <c r="Y1347" s="12"/>
      <c r="Z1347" s="12"/>
      <c r="AA1347" s="44"/>
      <c r="AB1347" s="45"/>
      <c r="AC1347" s="12"/>
      <c r="AD1347" s="12"/>
      <c r="AE1347" s="12"/>
      <c r="AF1347" s="12"/>
      <c r="AG1347" s="44"/>
      <c r="AH1347" s="45"/>
      <c r="AI1347" s="12"/>
      <c r="AJ1347" s="12"/>
      <c r="AK1347" s="12"/>
      <c r="AL1347" s="12"/>
      <c r="AM1347" s="44"/>
      <c r="AN1347" s="45"/>
      <c r="AO1347" s="12"/>
      <c r="AP1347" s="12"/>
      <c r="AQ1347" s="12"/>
      <c r="AR1347" s="12"/>
      <c r="AS1347" s="44"/>
      <c r="AT1347" s="45"/>
      <c r="AU1347" s="12"/>
      <c r="AV1347" s="12"/>
      <c r="AW1347" s="12"/>
      <c r="AX1347" s="12"/>
      <c r="AY1347" s="44"/>
      <c r="AZ1347" s="45"/>
      <c r="BA1347" s="12"/>
      <c r="BB1347" s="12"/>
      <c r="BC1347" s="12"/>
      <c r="BD1347" s="12"/>
      <c r="BE1347" s="44"/>
      <c r="BF1347" s="45"/>
      <c r="BG1347" s="12"/>
      <c r="BH1347" s="12"/>
      <c r="BI1347" s="12"/>
      <c r="BJ1347" s="12"/>
      <c r="BK1347" s="44"/>
      <c r="BL1347" s="45"/>
      <c r="BM1347" s="12"/>
      <c r="BN1347" s="12"/>
      <c r="BO1347" s="12"/>
      <c r="BP1347" s="12"/>
      <c r="BQ1347" s="48"/>
      <c r="BR1347" s="49"/>
      <c r="BS1347" s="13"/>
      <c r="BT1347" s="12"/>
      <c r="BV1347" s="14"/>
      <c r="BW1347" s="50"/>
      <c r="BX1347" s="54"/>
      <c r="BY1347" s="14"/>
      <c r="BZ1347" s="14"/>
      <c r="CA1347" s="14"/>
      <c r="CB1347" s="14"/>
      <c r="CC1347" s="14"/>
      <c r="CD1347" s="14"/>
      <c r="CE1347" s="14"/>
      <c r="CF1347" s="15"/>
      <c r="CG1347" s="14"/>
      <c r="CH1347" s="14"/>
      <c r="CI1347" s="50"/>
      <c r="CJ1347" s="54"/>
      <c r="CK1347" s="14"/>
      <c r="CL1347" s="14"/>
      <c r="CM1347" s="14"/>
      <c r="CN1347" s="14"/>
      <c r="CO1347" s="14"/>
      <c r="CP1347" s="14"/>
      <c r="CQ1347" s="14"/>
      <c r="CR1347" s="14"/>
      <c r="CS1347" s="14"/>
      <c r="CT1347" s="14"/>
      <c r="CU1347" s="16"/>
      <c r="CV1347" s="14"/>
      <c r="CW1347" s="50"/>
      <c r="CX1347" s="17"/>
    </row>
    <row r="1348" spans="4:102" x14ac:dyDescent="0.25"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43"/>
      <c r="Q1348" s="11"/>
      <c r="R1348" s="11"/>
      <c r="S1348" s="11"/>
      <c r="T1348" s="11"/>
      <c r="U1348" s="11"/>
      <c r="V1348" s="11"/>
      <c r="W1348" s="11"/>
      <c r="X1348" s="12"/>
      <c r="Y1348" s="12"/>
      <c r="Z1348" s="12"/>
      <c r="AA1348" s="44"/>
      <c r="AB1348" s="45"/>
      <c r="AC1348" s="12"/>
      <c r="AD1348" s="12"/>
      <c r="AE1348" s="12"/>
      <c r="AF1348" s="12"/>
      <c r="AG1348" s="44"/>
      <c r="AH1348" s="45"/>
      <c r="AI1348" s="12"/>
      <c r="AJ1348" s="12"/>
      <c r="AK1348" s="12"/>
      <c r="AL1348" s="12"/>
      <c r="AM1348" s="44"/>
      <c r="AN1348" s="45"/>
      <c r="AO1348" s="12"/>
      <c r="AP1348" s="12"/>
      <c r="AQ1348" s="12"/>
      <c r="AR1348" s="12"/>
      <c r="AS1348" s="44"/>
      <c r="AT1348" s="45"/>
      <c r="AU1348" s="12"/>
      <c r="AV1348" s="12"/>
      <c r="AW1348" s="12"/>
      <c r="AX1348" s="12"/>
      <c r="AY1348" s="44"/>
      <c r="AZ1348" s="45"/>
      <c r="BA1348" s="12"/>
      <c r="BB1348" s="12"/>
      <c r="BC1348" s="12"/>
      <c r="BD1348" s="12"/>
      <c r="BE1348" s="44"/>
      <c r="BF1348" s="45"/>
      <c r="BG1348" s="12"/>
      <c r="BH1348" s="12"/>
      <c r="BI1348" s="12"/>
      <c r="BJ1348" s="12"/>
      <c r="BK1348" s="44"/>
      <c r="BL1348" s="45"/>
      <c r="BM1348" s="12"/>
      <c r="BN1348" s="12"/>
      <c r="BO1348" s="12"/>
      <c r="BP1348" s="12"/>
      <c r="BQ1348" s="48"/>
      <c r="BR1348" s="49"/>
      <c r="BS1348" s="13"/>
      <c r="BT1348" s="12"/>
      <c r="BV1348" s="14"/>
      <c r="BW1348" s="50"/>
      <c r="BX1348" s="54"/>
      <c r="BY1348" s="14"/>
      <c r="BZ1348" s="14"/>
      <c r="CA1348" s="14"/>
      <c r="CB1348" s="14"/>
      <c r="CC1348" s="14"/>
      <c r="CD1348" s="14"/>
      <c r="CE1348" s="14"/>
      <c r="CF1348" s="15"/>
      <c r="CG1348" s="14"/>
      <c r="CH1348" s="14"/>
      <c r="CI1348" s="50"/>
      <c r="CJ1348" s="54"/>
      <c r="CK1348" s="14"/>
      <c r="CL1348" s="14"/>
      <c r="CM1348" s="14"/>
      <c r="CN1348" s="14"/>
      <c r="CO1348" s="14"/>
      <c r="CP1348" s="14"/>
      <c r="CQ1348" s="14"/>
      <c r="CR1348" s="14"/>
      <c r="CS1348" s="14"/>
      <c r="CT1348" s="14"/>
      <c r="CU1348" s="16"/>
      <c r="CV1348" s="14"/>
      <c r="CW1348" s="50"/>
      <c r="CX1348" s="17"/>
    </row>
    <row r="1349" spans="4:102" x14ac:dyDescent="0.25"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43"/>
      <c r="Q1349" s="11"/>
      <c r="R1349" s="11"/>
      <c r="S1349" s="11"/>
      <c r="T1349" s="11"/>
      <c r="U1349" s="11"/>
      <c r="V1349" s="11"/>
      <c r="W1349" s="11"/>
      <c r="X1349" s="12"/>
      <c r="Y1349" s="12"/>
      <c r="Z1349" s="12"/>
      <c r="AA1349" s="44"/>
      <c r="AB1349" s="45"/>
      <c r="AC1349" s="12"/>
      <c r="AD1349" s="12"/>
      <c r="AE1349" s="12"/>
      <c r="AF1349" s="12"/>
      <c r="AG1349" s="44"/>
      <c r="AH1349" s="45"/>
      <c r="AI1349" s="12"/>
      <c r="AJ1349" s="12"/>
      <c r="AK1349" s="12"/>
      <c r="AL1349" s="12"/>
      <c r="AM1349" s="44"/>
      <c r="AN1349" s="45"/>
      <c r="AO1349" s="12"/>
      <c r="AP1349" s="12"/>
      <c r="AQ1349" s="12"/>
      <c r="AR1349" s="12"/>
      <c r="AS1349" s="44"/>
      <c r="AT1349" s="45"/>
      <c r="AU1349" s="12"/>
      <c r="AV1349" s="12"/>
      <c r="AW1349" s="12"/>
      <c r="AX1349" s="12"/>
      <c r="AY1349" s="44"/>
      <c r="AZ1349" s="45"/>
      <c r="BA1349" s="12"/>
      <c r="BB1349" s="12"/>
      <c r="BC1349" s="12"/>
      <c r="BD1349" s="12"/>
      <c r="BE1349" s="44"/>
      <c r="BF1349" s="45"/>
      <c r="BG1349" s="12"/>
      <c r="BH1349" s="12"/>
      <c r="BI1349" s="12"/>
      <c r="BJ1349" s="12"/>
      <c r="BK1349" s="44"/>
      <c r="BL1349" s="45"/>
      <c r="BM1349" s="12"/>
      <c r="BN1349" s="12"/>
      <c r="BO1349" s="12"/>
      <c r="BP1349" s="12"/>
      <c r="BQ1349" s="48"/>
      <c r="BR1349" s="49"/>
      <c r="BS1349" s="13"/>
      <c r="BT1349" s="12"/>
      <c r="BV1349" s="14"/>
      <c r="BW1349" s="50"/>
      <c r="BX1349" s="54"/>
      <c r="BY1349" s="14"/>
      <c r="BZ1349" s="14"/>
      <c r="CA1349" s="14"/>
      <c r="CB1349" s="14"/>
      <c r="CC1349" s="14"/>
      <c r="CD1349" s="14"/>
      <c r="CE1349" s="14"/>
      <c r="CF1349" s="15"/>
      <c r="CG1349" s="14"/>
      <c r="CH1349" s="14"/>
      <c r="CI1349" s="50"/>
      <c r="CJ1349" s="54"/>
      <c r="CK1349" s="14"/>
      <c r="CL1349" s="14"/>
      <c r="CM1349" s="14"/>
      <c r="CN1349" s="14"/>
      <c r="CO1349" s="14"/>
      <c r="CP1349" s="14"/>
      <c r="CQ1349" s="14"/>
      <c r="CR1349" s="14"/>
      <c r="CS1349" s="14"/>
      <c r="CT1349" s="14"/>
      <c r="CU1349" s="16"/>
      <c r="CV1349" s="14"/>
      <c r="CW1349" s="50"/>
      <c r="CX1349" s="17"/>
    </row>
    <row r="1350" spans="4:102" x14ac:dyDescent="0.25"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43"/>
      <c r="Q1350" s="11"/>
      <c r="R1350" s="11"/>
      <c r="S1350" s="11"/>
      <c r="T1350" s="11"/>
      <c r="U1350" s="11"/>
      <c r="V1350" s="11"/>
      <c r="W1350" s="11"/>
      <c r="X1350" s="12"/>
      <c r="Y1350" s="12"/>
      <c r="Z1350" s="12"/>
      <c r="AA1350" s="44"/>
      <c r="AB1350" s="45"/>
      <c r="AC1350" s="12"/>
      <c r="AD1350" s="12"/>
      <c r="AE1350" s="12"/>
      <c r="AF1350" s="12"/>
      <c r="AG1350" s="44"/>
      <c r="AH1350" s="45"/>
      <c r="AI1350" s="12"/>
      <c r="AJ1350" s="12"/>
      <c r="AK1350" s="12"/>
      <c r="AL1350" s="12"/>
      <c r="AM1350" s="44"/>
      <c r="AN1350" s="45"/>
      <c r="AO1350" s="12"/>
      <c r="AP1350" s="12"/>
      <c r="AQ1350" s="12"/>
      <c r="AR1350" s="12"/>
      <c r="AS1350" s="44"/>
      <c r="AT1350" s="45"/>
      <c r="AU1350" s="12"/>
      <c r="AV1350" s="12"/>
      <c r="AW1350" s="12"/>
      <c r="AX1350" s="12"/>
      <c r="AY1350" s="44"/>
      <c r="AZ1350" s="45"/>
      <c r="BA1350" s="12"/>
      <c r="BB1350" s="12"/>
      <c r="BC1350" s="12"/>
      <c r="BD1350" s="12"/>
      <c r="BE1350" s="44"/>
      <c r="BF1350" s="45"/>
      <c r="BG1350" s="12"/>
      <c r="BH1350" s="12"/>
      <c r="BI1350" s="12"/>
      <c r="BJ1350" s="12"/>
      <c r="BK1350" s="44"/>
      <c r="BL1350" s="45"/>
      <c r="BM1350" s="12"/>
      <c r="BN1350" s="12"/>
      <c r="BO1350" s="12"/>
      <c r="BP1350" s="12"/>
      <c r="BQ1350" s="48"/>
      <c r="BR1350" s="49"/>
      <c r="BS1350" s="13"/>
      <c r="BT1350" s="12"/>
      <c r="BV1350" s="14"/>
      <c r="BW1350" s="50"/>
      <c r="BX1350" s="54"/>
      <c r="BY1350" s="14"/>
      <c r="BZ1350" s="14"/>
      <c r="CA1350" s="14"/>
      <c r="CB1350" s="14"/>
      <c r="CC1350" s="14"/>
      <c r="CD1350" s="14"/>
      <c r="CE1350" s="14"/>
      <c r="CF1350" s="15"/>
      <c r="CG1350" s="14"/>
      <c r="CH1350" s="14"/>
      <c r="CI1350" s="50"/>
      <c r="CJ1350" s="54"/>
      <c r="CK1350" s="14"/>
      <c r="CL1350" s="14"/>
      <c r="CM1350" s="14"/>
      <c r="CN1350" s="14"/>
      <c r="CO1350" s="14"/>
      <c r="CP1350" s="14"/>
      <c r="CQ1350" s="14"/>
      <c r="CR1350" s="14"/>
      <c r="CS1350" s="14"/>
      <c r="CT1350" s="14"/>
      <c r="CU1350" s="16"/>
      <c r="CV1350" s="14"/>
      <c r="CW1350" s="50"/>
      <c r="CX1350" s="17"/>
    </row>
    <row r="1351" spans="4:102" x14ac:dyDescent="0.25"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43"/>
      <c r="Q1351" s="11"/>
      <c r="R1351" s="11"/>
      <c r="S1351" s="11"/>
      <c r="T1351" s="11"/>
      <c r="U1351" s="11"/>
      <c r="V1351" s="11"/>
      <c r="W1351" s="11"/>
      <c r="X1351" s="12"/>
      <c r="Y1351" s="12"/>
      <c r="Z1351" s="12"/>
      <c r="AA1351" s="44"/>
      <c r="AB1351" s="45"/>
      <c r="AC1351" s="12"/>
      <c r="AD1351" s="12"/>
      <c r="AE1351" s="12"/>
      <c r="AF1351" s="12"/>
      <c r="AG1351" s="44"/>
      <c r="AH1351" s="45"/>
      <c r="AI1351" s="12"/>
      <c r="AJ1351" s="12"/>
      <c r="AK1351" s="12"/>
      <c r="AL1351" s="12"/>
      <c r="AM1351" s="44"/>
      <c r="AN1351" s="45"/>
      <c r="AO1351" s="12"/>
      <c r="AP1351" s="12"/>
      <c r="AQ1351" s="12"/>
      <c r="AR1351" s="12"/>
      <c r="AS1351" s="44"/>
      <c r="AT1351" s="45"/>
      <c r="AU1351" s="12"/>
      <c r="AV1351" s="12"/>
      <c r="AW1351" s="12"/>
      <c r="AX1351" s="12"/>
      <c r="AY1351" s="44"/>
      <c r="AZ1351" s="45"/>
      <c r="BA1351" s="12"/>
      <c r="BB1351" s="12"/>
      <c r="BC1351" s="12"/>
      <c r="BD1351" s="12"/>
      <c r="BE1351" s="44"/>
      <c r="BF1351" s="45"/>
      <c r="BG1351" s="12"/>
      <c r="BH1351" s="12"/>
      <c r="BI1351" s="12"/>
      <c r="BJ1351" s="12"/>
      <c r="BK1351" s="44"/>
      <c r="BL1351" s="45"/>
      <c r="BM1351" s="12"/>
      <c r="BN1351" s="12"/>
      <c r="BO1351" s="12"/>
      <c r="BP1351" s="12"/>
      <c r="BQ1351" s="48"/>
      <c r="BR1351" s="49"/>
      <c r="BS1351" s="13"/>
      <c r="BT1351" s="12"/>
      <c r="BV1351" s="14"/>
      <c r="BW1351" s="50"/>
      <c r="BX1351" s="54"/>
      <c r="BY1351" s="14"/>
      <c r="BZ1351" s="14"/>
      <c r="CA1351" s="14"/>
      <c r="CB1351" s="14"/>
      <c r="CC1351" s="14"/>
      <c r="CD1351" s="14"/>
      <c r="CE1351" s="14"/>
      <c r="CF1351" s="15"/>
      <c r="CG1351" s="14"/>
      <c r="CH1351" s="14"/>
      <c r="CI1351" s="50"/>
      <c r="CJ1351" s="54"/>
      <c r="CK1351" s="14"/>
      <c r="CL1351" s="14"/>
      <c r="CM1351" s="14"/>
      <c r="CN1351" s="14"/>
      <c r="CO1351" s="14"/>
      <c r="CP1351" s="14"/>
      <c r="CQ1351" s="14"/>
      <c r="CR1351" s="14"/>
      <c r="CS1351" s="14"/>
      <c r="CT1351" s="14"/>
      <c r="CU1351" s="16"/>
      <c r="CV1351" s="14"/>
      <c r="CW1351" s="50"/>
      <c r="CX1351" s="17"/>
    </row>
    <row r="1352" spans="4:102" x14ac:dyDescent="0.25"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43"/>
      <c r="Q1352" s="11"/>
      <c r="R1352" s="11"/>
      <c r="S1352" s="11"/>
      <c r="T1352" s="11"/>
      <c r="U1352" s="11"/>
      <c r="V1352" s="11"/>
      <c r="W1352" s="11"/>
      <c r="X1352" s="12"/>
      <c r="Y1352" s="12"/>
      <c r="Z1352" s="12"/>
      <c r="AA1352" s="44"/>
      <c r="AB1352" s="45"/>
      <c r="AC1352" s="12"/>
      <c r="AD1352" s="12"/>
      <c r="AE1352" s="12"/>
      <c r="AF1352" s="12"/>
      <c r="AG1352" s="44"/>
      <c r="AH1352" s="45"/>
      <c r="AI1352" s="12"/>
      <c r="AJ1352" s="12"/>
      <c r="AK1352" s="12"/>
      <c r="AL1352" s="12"/>
      <c r="AM1352" s="44"/>
      <c r="AN1352" s="45"/>
      <c r="AO1352" s="12"/>
      <c r="AP1352" s="12"/>
      <c r="AQ1352" s="12"/>
      <c r="AR1352" s="12"/>
      <c r="AS1352" s="44"/>
      <c r="AT1352" s="45"/>
      <c r="AU1352" s="12"/>
      <c r="AV1352" s="12"/>
      <c r="AW1352" s="12"/>
      <c r="AX1352" s="12"/>
      <c r="AY1352" s="44"/>
      <c r="AZ1352" s="45"/>
      <c r="BA1352" s="12"/>
      <c r="BB1352" s="12"/>
      <c r="BC1352" s="12"/>
      <c r="BD1352" s="12"/>
      <c r="BE1352" s="44"/>
      <c r="BF1352" s="45"/>
      <c r="BG1352" s="12"/>
      <c r="BH1352" s="12"/>
      <c r="BI1352" s="12"/>
      <c r="BJ1352" s="12"/>
      <c r="BK1352" s="44"/>
      <c r="BL1352" s="45"/>
      <c r="BM1352" s="12"/>
      <c r="BN1352" s="12"/>
      <c r="BO1352" s="12"/>
      <c r="BP1352" s="12"/>
      <c r="BQ1352" s="48"/>
      <c r="BR1352" s="49"/>
      <c r="BS1352" s="13"/>
      <c r="BT1352" s="12"/>
      <c r="BV1352" s="14"/>
      <c r="BW1352" s="50"/>
      <c r="BX1352" s="54"/>
      <c r="BY1352" s="14"/>
      <c r="BZ1352" s="14"/>
      <c r="CA1352" s="14"/>
      <c r="CB1352" s="14"/>
      <c r="CC1352" s="14"/>
      <c r="CD1352" s="14"/>
      <c r="CE1352" s="14"/>
      <c r="CF1352" s="15"/>
      <c r="CG1352" s="14"/>
      <c r="CH1352" s="14"/>
      <c r="CI1352" s="50"/>
      <c r="CJ1352" s="54"/>
      <c r="CK1352" s="14"/>
      <c r="CL1352" s="14"/>
      <c r="CM1352" s="14"/>
      <c r="CN1352" s="14"/>
      <c r="CO1352" s="14"/>
      <c r="CP1352" s="14"/>
      <c r="CQ1352" s="14"/>
      <c r="CR1352" s="14"/>
      <c r="CS1352" s="14"/>
      <c r="CT1352" s="14"/>
      <c r="CU1352" s="16"/>
      <c r="CV1352" s="14"/>
      <c r="CW1352" s="50"/>
      <c r="CX1352" s="17"/>
    </row>
    <row r="1353" spans="4:102" x14ac:dyDescent="0.25"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43"/>
      <c r="Q1353" s="11"/>
      <c r="R1353" s="11"/>
      <c r="S1353" s="11"/>
      <c r="T1353" s="11"/>
      <c r="U1353" s="11"/>
      <c r="V1353" s="11"/>
      <c r="W1353" s="11"/>
      <c r="X1353" s="12"/>
      <c r="Y1353" s="12"/>
      <c r="Z1353" s="12"/>
      <c r="AA1353" s="44"/>
      <c r="AB1353" s="45"/>
      <c r="AC1353" s="12"/>
      <c r="AD1353" s="12"/>
      <c r="AE1353" s="12"/>
      <c r="AF1353" s="12"/>
      <c r="AG1353" s="44"/>
      <c r="AH1353" s="45"/>
      <c r="AI1353" s="12"/>
      <c r="AJ1353" s="12"/>
      <c r="AK1353" s="12"/>
      <c r="AL1353" s="12"/>
      <c r="AM1353" s="44"/>
      <c r="AN1353" s="45"/>
      <c r="AO1353" s="12"/>
      <c r="AP1353" s="12"/>
      <c r="AQ1353" s="12"/>
      <c r="AR1353" s="12"/>
      <c r="AS1353" s="44"/>
      <c r="AT1353" s="45"/>
      <c r="AU1353" s="12"/>
      <c r="AV1353" s="12"/>
      <c r="AW1353" s="12"/>
      <c r="AX1353" s="12"/>
      <c r="AY1353" s="44"/>
      <c r="AZ1353" s="45"/>
      <c r="BA1353" s="12"/>
      <c r="BB1353" s="12"/>
      <c r="BC1353" s="12"/>
      <c r="BD1353" s="12"/>
      <c r="BE1353" s="44"/>
      <c r="BF1353" s="45"/>
      <c r="BG1353" s="12"/>
      <c r="BH1353" s="12"/>
      <c r="BI1353" s="12"/>
      <c r="BJ1353" s="12"/>
      <c r="BK1353" s="44"/>
      <c r="BL1353" s="45"/>
      <c r="BM1353" s="12"/>
      <c r="BN1353" s="12"/>
      <c r="BO1353" s="12"/>
      <c r="BP1353" s="12"/>
      <c r="BQ1353" s="48"/>
      <c r="BR1353" s="49"/>
      <c r="BS1353" s="13"/>
      <c r="BT1353" s="12"/>
      <c r="BV1353" s="14"/>
      <c r="BW1353" s="50"/>
      <c r="BX1353" s="54"/>
      <c r="BY1353" s="14"/>
      <c r="BZ1353" s="14"/>
      <c r="CA1353" s="14"/>
      <c r="CB1353" s="14"/>
      <c r="CC1353" s="14"/>
      <c r="CD1353" s="14"/>
      <c r="CE1353" s="14"/>
      <c r="CF1353" s="15"/>
      <c r="CG1353" s="14"/>
      <c r="CH1353" s="14"/>
      <c r="CI1353" s="50"/>
      <c r="CJ1353" s="54"/>
      <c r="CK1353" s="14"/>
      <c r="CL1353" s="14"/>
      <c r="CM1353" s="14"/>
      <c r="CN1353" s="14"/>
      <c r="CO1353" s="14"/>
      <c r="CP1353" s="14"/>
      <c r="CQ1353" s="14"/>
      <c r="CR1353" s="14"/>
      <c r="CS1353" s="14"/>
      <c r="CT1353" s="14"/>
      <c r="CU1353" s="16"/>
      <c r="CV1353" s="14"/>
      <c r="CW1353" s="50"/>
      <c r="CX1353" s="17"/>
    </row>
    <row r="1354" spans="4:102" x14ac:dyDescent="0.25"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43"/>
      <c r="Q1354" s="11"/>
      <c r="R1354" s="11"/>
      <c r="S1354" s="11"/>
      <c r="T1354" s="11"/>
      <c r="U1354" s="11"/>
      <c r="V1354" s="11"/>
      <c r="W1354" s="11"/>
      <c r="X1354" s="12"/>
      <c r="Y1354" s="12"/>
      <c r="Z1354" s="12"/>
      <c r="AA1354" s="44"/>
      <c r="AB1354" s="45"/>
      <c r="AC1354" s="12"/>
      <c r="AD1354" s="12"/>
      <c r="AE1354" s="12"/>
      <c r="AF1354" s="12"/>
      <c r="AG1354" s="44"/>
      <c r="AH1354" s="45"/>
      <c r="AI1354" s="12"/>
      <c r="AJ1354" s="12"/>
      <c r="AK1354" s="12"/>
      <c r="AL1354" s="12"/>
      <c r="AM1354" s="44"/>
      <c r="AN1354" s="45"/>
      <c r="AO1354" s="12"/>
      <c r="AP1354" s="12"/>
      <c r="AQ1354" s="12"/>
      <c r="AR1354" s="12"/>
      <c r="AS1354" s="44"/>
      <c r="AT1354" s="45"/>
      <c r="AU1354" s="12"/>
      <c r="AV1354" s="12"/>
      <c r="AW1354" s="12"/>
      <c r="AX1354" s="12"/>
      <c r="AY1354" s="44"/>
      <c r="AZ1354" s="45"/>
      <c r="BA1354" s="12"/>
      <c r="BB1354" s="12"/>
      <c r="BC1354" s="12"/>
      <c r="BD1354" s="12"/>
      <c r="BE1354" s="44"/>
      <c r="BF1354" s="45"/>
      <c r="BG1354" s="12"/>
      <c r="BH1354" s="12"/>
      <c r="BI1354" s="12"/>
      <c r="BJ1354" s="12"/>
      <c r="BK1354" s="44"/>
      <c r="BL1354" s="45"/>
      <c r="BM1354" s="12"/>
      <c r="BN1354" s="12"/>
      <c r="BO1354" s="12"/>
      <c r="BP1354" s="12"/>
      <c r="BQ1354" s="48"/>
      <c r="BR1354" s="49"/>
      <c r="BS1354" s="13"/>
      <c r="BT1354" s="12"/>
      <c r="BV1354" s="14"/>
      <c r="BW1354" s="50"/>
      <c r="BX1354" s="54"/>
      <c r="BY1354" s="14"/>
      <c r="BZ1354" s="14"/>
      <c r="CA1354" s="14"/>
      <c r="CB1354" s="14"/>
      <c r="CC1354" s="14"/>
      <c r="CD1354" s="14"/>
      <c r="CE1354" s="14"/>
      <c r="CF1354" s="15"/>
      <c r="CG1354" s="14"/>
      <c r="CH1354" s="14"/>
      <c r="CI1354" s="50"/>
      <c r="CJ1354" s="54"/>
      <c r="CK1354" s="14"/>
      <c r="CL1354" s="14"/>
      <c r="CM1354" s="14"/>
      <c r="CN1354" s="14"/>
      <c r="CO1354" s="14"/>
      <c r="CP1354" s="14"/>
      <c r="CQ1354" s="14"/>
      <c r="CR1354" s="14"/>
      <c r="CS1354" s="14"/>
      <c r="CT1354" s="14"/>
      <c r="CU1354" s="16"/>
      <c r="CV1354" s="14"/>
      <c r="CW1354" s="50"/>
      <c r="CX1354" s="17"/>
    </row>
    <row r="1355" spans="4:102" x14ac:dyDescent="0.25"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43"/>
      <c r="Q1355" s="11"/>
      <c r="R1355" s="11"/>
      <c r="S1355" s="11"/>
      <c r="T1355" s="11"/>
      <c r="U1355" s="11"/>
      <c r="V1355" s="11"/>
      <c r="W1355" s="11"/>
      <c r="X1355" s="12"/>
      <c r="Y1355" s="12"/>
      <c r="Z1355" s="12"/>
      <c r="AA1355" s="44"/>
      <c r="AB1355" s="45"/>
      <c r="AC1355" s="12"/>
      <c r="AD1355" s="12"/>
      <c r="AE1355" s="12"/>
      <c r="AF1355" s="12"/>
      <c r="AG1355" s="44"/>
      <c r="AH1355" s="45"/>
      <c r="AI1355" s="12"/>
      <c r="AJ1355" s="12"/>
      <c r="AK1355" s="12"/>
      <c r="AL1355" s="12"/>
      <c r="AM1355" s="44"/>
      <c r="AN1355" s="45"/>
      <c r="AO1355" s="12"/>
      <c r="AP1355" s="12"/>
      <c r="AQ1355" s="12"/>
      <c r="AR1355" s="12"/>
      <c r="AS1355" s="44"/>
      <c r="AT1355" s="45"/>
      <c r="AU1355" s="12"/>
      <c r="AV1355" s="12"/>
      <c r="AW1355" s="12"/>
      <c r="AX1355" s="12"/>
      <c r="AY1355" s="44"/>
      <c r="AZ1355" s="45"/>
      <c r="BA1355" s="12"/>
      <c r="BB1355" s="12"/>
      <c r="BC1355" s="12"/>
      <c r="BD1355" s="12"/>
      <c r="BE1355" s="44"/>
      <c r="BF1355" s="45"/>
      <c r="BG1355" s="12"/>
      <c r="BH1355" s="12"/>
      <c r="BI1355" s="12"/>
      <c r="BJ1355" s="12"/>
      <c r="BK1355" s="44"/>
      <c r="BL1355" s="45"/>
      <c r="BM1355" s="12"/>
      <c r="BN1355" s="12"/>
      <c r="BO1355" s="12"/>
      <c r="BP1355" s="12"/>
      <c r="BQ1355" s="48"/>
      <c r="BR1355" s="49"/>
      <c r="BS1355" s="13"/>
      <c r="BT1355" s="12"/>
      <c r="BV1355" s="14"/>
      <c r="BW1355" s="50"/>
      <c r="BX1355" s="54"/>
      <c r="BY1355" s="14"/>
      <c r="BZ1355" s="14"/>
      <c r="CA1355" s="14"/>
      <c r="CB1355" s="14"/>
      <c r="CC1355" s="14"/>
      <c r="CD1355" s="14"/>
      <c r="CE1355" s="14"/>
      <c r="CF1355" s="15"/>
      <c r="CG1355" s="14"/>
      <c r="CH1355" s="14"/>
      <c r="CI1355" s="50"/>
      <c r="CJ1355" s="54"/>
      <c r="CK1355" s="14"/>
      <c r="CL1355" s="14"/>
      <c r="CM1355" s="14"/>
      <c r="CN1355" s="14"/>
      <c r="CO1355" s="14"/>
      <c r="CP1355" s="14"/>
      <c r="CQ1355" s="14"/>
      <c r="CR1355" s="14"/>
      <c r="CS1355" s="14"/>
      <c r="CT1355" s="14"/>
      <c r="CU1355" s="16"/>
      <c r="CV1355" s="14"/>
      <c r="CW1355" s="50"/>
      <c r="CX1355" s="17"/>
    </row>
    <row r="1356" spans="4:102" x14ac:dyDescent="0.25"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43"/>
      <c r="Q1356" s="11"/>
      <c r="R1356" s="11"/>
      <c r="S1356" s="11"/>
      <c r="T1356" s="11"/>
      <c r="U1356" s="11"/>
      <c r="V1356" s="11"/>
      <c r="W1356" s="11"/>
      <c r="X1356" s="12"/>
      <c r="Y1356" s="12"/>
      <c r="Z1356" s="12"/>
      <c r="AA1356" s="44"/>
      <c r="AB1356" s="45"/>
      <c r="AC1356" s="12"/>
      <c r="AD1356" s="12"/>
      <c r="AE1356" s="12"/>
      <c r="AF1356" s="12"/>
      <c r="AG1356" s="44"/>
      <c r="AH1356" s="45"/>
      <c r="AI1356" s="12"/>
      <c r="AJ1356" s="12"/>
      <c r="AK1356" s="12"/>
      <c r="AL1356" s="12"/>
      <c r="AM1356" s="44"/>
      <c r="AN1356" s="45"/>
      <c r="AO1356" s="12"/>
      <c r="AP1356" s="12"/>
      <c r="AQ1356" s="12"/>
      <c r="AR1356" s="12"/>
      <c r="AS1356" s="44"/>
      <c r="AT1356" s="45"/>
      <c r="AU1356" s="12"/>
      <c r="AV1356" s="12"/>
      <c r="AW1356" s="12"/>
      <c r="AX1356" s="12"/>
      <c r="AY1356" s="44"/>
      <c r="AZ1356" s="45"/>
      <c r="BA1356" s="12"/>
      <c r="BB1356" s="12"/>
      <c r="BC1356" s="12"/>
      <c r="BD1356" s="12"/>
      <c r="BE1356" s="44"/>
      <c r="BF1356" s="45"/>
      <c r="BG1356" s="12"/>
      <c r="BH1356" s="12"/>
      <c r="BI1356" s="12"/>
      <c r="BJ1356" s="12"/>
      <c r="BK1356" s="44"/>
      <c r="BL1356" s="45"/>
      <c r="BM1356" s="12"/>
      <c r="BN1356" s="12"/>
      <c r="BO1356" s="12"/>
      <c r="BP1356" s="12"/>
      <c r="BQ1356" s="48"/>
      <c r="BR1356" s="49"/>
      <c r="BS1356" s="13"/>
      <c r="BT1356" s="12"/>
      <c r="BV1356" s="14"/>
      <c r="BW1356" s="50"/>
      <c r="BX1356" s="54"/>
      <c r="BY1356" s="14"/>
      <c r="BZ1356" s="14"/>
      <c r="CA1356" s="14"/>
      <c r="CB1356" s="14"/>
      <c r="CC1356" s="14"/>
      <c r="CD1356" s="14"/>
      <c r="CE1356" s="14"/>
      <c r="CF1356" s="15"/>
      <c r="CG1356" s="14"/>
      <c r="CH1356" s="14"/>
      <c r="CI1356" s="50"/>
      <c r="CJ1356" s="54"/>
      <c r="CK1356" s="14"/>
      <c r="CL1356" s="14"/>
      <c r="CM1356" s="14"/>
      <c r="CN1356" s="14"/>
      <c r="CO1356" s="14"/>
      <c r="CP1356" s="14"/>
      <c r="CQ1356" s="14"/>
      <c r="CR1356" s="14"/>
      <c r="CS1356" s="14"/>
      <c r="CT1356" s="14"/>
      <c r="CU1356" s="16"/>
      <c r="CV1356" s="14"/>
      <c r="CW1356" s="50"/>
      <c r="CX1356" s="17"/>
    </row>
    <row r="1357" spans="4:102" x14ac:dyDescent="0.25"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43"/>
      <c r="Q1357" s="11"/>
      <c r="R1357" s="11"/>
      <c r="S1357" s="11"/>
      <c r="T1357" s="11"/>
      <c r="U1357" s="11"/>
      <c r="V1357" s="11"/>
      <c r="W1357" s="11"/>
      <c r="X1357" s="12"/>
      <c r="Y1357" s="12"/>
      <c r="Z1357" s="12"/>
      <c r="AA1357" s="44"/>
      <c r="AB1357" s="45"/>
      <c r="AC1357" s="12"/>
      <c r="AD1357" s="12"/>
      <c r="AE1357" s="12"/>
      <c r="AF1357" s="12"/>
      <c r="AG1357" s="44"/>
      <c r="AH1357" s="45"/>
      <c r="AI1357" s="12"/>
      <c r="AJ1357" s="12"/>
      <c r="AK1357" s="12"/>
      <c r="AL1357" s="12"/>
      <c r="AM1357" s="44"/>
      <c r="AN1357" s="45"/>
      <c r="AO1357" s="12"/>
      <c r="AP1357" s="12"/>
      <c r="AQ1357" s="12"/>
      <c r="AR1357" s="12"/>
      <c r="AS1357" s="44"/>
      <c r="AT1357" s="45"/>
      <c r="AU1357" s="12"/>
      <c r="AV1357" s="12"/>
      <c r="AW1357" s="12"/>
      <c r="AX1357" s="12"/>
      <c r="AY1357" s="44"/>
      <c r="AZ1357" s="45"/>
      <c r="BA1357" s="12"/>
      <c r="BB1357" s="12"/>
      <c r="BC1357" s="12"/>
      <c r="BD1357" s="12"/>
      <c r="BE1357" s="44"/>
      <c r="BF1357" s="45"/>
      <c r="BG1357" s="12"/>
      <c r="BH1357" s="12"/>
      <c r="BI1357" s="12"/>
      <c r="BJ1357" s="12"/>
      <c r="BK1357" s="44"/>
      <c r="BL1357" s="45"/>
      <c r="BM1357" s="12"/>
      <c r="BN1357" s="12"/>
      <c r="BO1357" s="12"/>
      <c r="BP1357" s="12"/>
      <c r="BQ1357" s="48"/>
      <c r="BR1357" s="49"/>
      <c r="BS1357" s="13"/>
      <c r="BT1357" s="12"/>
      <c r="BV1357" s="14"/>
      <c r="BW1357" s="50"/>
      <c r="BX1357" s="54"/>
      <c r="BY1357" s="14"/>
      <c r="BZ1357" s="14"/>
      <c r="CA1357" s="14"/>
      <c r="CB1357" s="14"/>
      <c r="CC1357" s="14"/>
      <c r="CD1357" s="14"/>
      <c r="CE1357" s="14"/>
      <c r="CF1357" s="15"/>
      <c r="CG1357" s="14"/>
      <c r="CH1357" s="14"/>
      <c r="CI1357" s="50"/>
      <c r="CJ1357" s="54"/>
      <c r="CK1357" s="14"/>
      <c r="CL1357" s="14"/>
      <c r="CM1357" s="14"/>
      <c r="CN1357" s="14"/>
      <c r="CO1357" s="14"/>
      <c r="CP1357" s="14"/>
      <c r="CQ1357" s="14"/>
      <c r="CR1357" s="14"/>
      <c r="CS1357" s="14"/>
      <c r="CT1357" s="14"/>
      <c r="CU1357" s="16"/>
      <c r="CV1357" s="14"/>
      <c r="CW1357" s="50"/>
      <c r="CX1357" s="17"/>
    </row>
    <row r="1358" spans="4:102" x14ac:dyDescent="0.25"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43"/>
      <c r="Q1358" s="11"/>
      <c r="R1358" s="11"/>
      <c r="S1358" s="11"/>
      <c r="T1358" s="11"/>
      <c r="U1358" s="11"/>
      <c r="V1358" s="11"/>
      <c r="W1358" s="11"/>
      <c r="X1358" s="12"/>
      <c r="Y1358" s="12"/>
      <c r="Z1358" s="12"/>
      <c r="AA1358" s="44"/>
      <c r="AB1358" s="45"/>
      <c r="AC1358" s="12"/>
      <c r="AD1358" s="12"/>
      <c r="AE1358" s="12"/>
      <c r="AF1358" s="12"/>
      <c r="AG1358" s="44"/>
      <c r="AH1358" s="45"/>
      <c r="AI1358" s="12"/>
      <c r="AJ1358" s="12"/>
      <c r="AK1358" s="12"/>
      <c r="AL1358" s="12"/>
      <c r="AM1358" s="44"/>
      <c r="AN1358" s="45"/>
      <c r="AO1358" s="12"/>
      <c r="AP1358" s="12"/>
      <c r="AQ1358" s="12"/>
      <c r="AR1358" s="12"/>
      <c r="AS1358" s="44"/>
      <c r="AT1358" s="45"/>
      <c r="AU1358" s="12"/>
      <c r="AV1358" s="12"/>
      <c r="AW1358" s="12"/>
      <c r="AX1358" s="12"/>
      <c r="AY1358" s="44"/>
      <c r="AZ1358" s="45"/>
      <c r="BA1358" s="12"/>
      <c r="BB1358" s="12"/>
      <c r="BC1358" s="12"/>
      <c r="BD1358" s="12"/>
      <c r="BE1358" s="44"/>
      <c r="BF1358" s="45"/>
      <c r="BG1358" s="12"/>
      <c r="BH1358" s="12"/>
      <c r="BI1358" s="12"/>
      <c r="BJ1358" s="12"/>
      <c r="BK1358" s="44"/>
      <c r="BL1358" s="45"/>
      <c r="BM1358" s="12"/>
      <c r="BN1358" s="12"/>
      <c r="BO1358" s="12"/>
      <c r="BP1358" s="12"/>
      <c r="BQ1358" s="48"/>
      <c r="BR1358" s="49"/>
      <c r="BS1358" s="13"/>
      <c r="BT1358" s="12"/>
      <c r="BV1358" s="14"/>
      <c r="BW1358" s="50"/>
      <c r="BX1358" s="54"/>
      <c r="BY1358" s="14"/>
      <c r="BZ1358" s="14"/>
      <c r="CA1358" s="14"/>
      <c r="CB1358" s="14"/>
      <c r="CC1358" s="14"/>
      <c r="CD1358" s="14"/>
      <c r="CE1358" s="14"/>
      <c r="CF1358" s="15"/>
      <c r="CG1358" s="14"/>
      <c r="CH1358" s="14"/>
      <c r="CI1358" s="50"/>
      <c r="CJ1358" s="54"/>
      <c r="CK1358" s="14"/>
      <c r="CL1358" s="14"/>
      <c r="CM1358" s="14"/>
      <c r="CN1358" s="14"/>
      <c r="CO1358" s="14"/>
      <c r="CP1358" s="14"/>
      <c r="CQ1358" s="14"/>
      <c r="CR1358" s="14"/>
      <c r="CS1358" s="14"/>
      <c r="CT1358" s="14"/>
      <c r="CU1358" s="16"/>
      <c r="CV1358" s="14"/>
      <c r="CW1358" s="50"/>
      <c r="CX1358" s="17"/>
    </row>
    <row r="1359" spans="4:102" x14ac:dyDescent="0.25"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43"/>
      <c r="Q1359" s="11"/>
      <c r="R1359" s="11"/>
      <c r="S1359" s="11"/>
      <c r="T1359" s="11"/>
      <c r="U1359" s="11"/>
      <c r="V1359" s="11"/>
      <c r="W1359" s="11"/>
      <c r="X1359" s="12"/>
      <c r="Y1359" s="12"/>
      <c r="Z1359" s="12"/>
      <c r="AA1359" s="44"/>
      <c r="AB1359" s="45"/>
      <c r="AC1359" s="12"/>
      <c r="AD1359" s="12"/>
      <c r="AE1359" s="12"/>
      <c r="AF1359" s="12"/>
      <c r="AG1359" s="44"/>
      <c r="AH1359" s="45"/>
      <c r="AI1359" s="12"/>
      <c r="AJ1359" s="12"/>
      <c r="AK1359" s="12"/>
      <c r="AL1359" s="12"/>
      <c r="AM1359" s="44"/>
      <c r="AN1359" s="45"/>
      <c r="AO1359" s="12"/>
      <c r="AP1359" s="12"/>
      <c r="AQ1359" s="12"/>
      <c r="AR1359" s="12"/>
      <c r="AS1359" s="44"/>
      <c r="AT1359" s="45"/>
      <c r="AU1359" s="12"/>
      <c r="AV1359" s="12"/>
      <c r="AW1359" s="12"/>
      <c r="AX1359" s="12"/>
      <c r="AY1359" s="44"/>
      <c r="AZ1359" s="45"/>
      <c r="BA1359" s="12"/>
      <c r="BB1359" s="12"/>
      <c r="BC1359" s="12"/>
      <c r="BD1359" s="12"/>
      <c r="BE1359" s="44"/>
      <c r="BF1359" s="45"/>
      <c r="BG1359" s="12"/>
      <c r="BH1359" s="12"/>
      <c r="BI1359" s="12"/>
      <c r="BJ1359" s="12"/>
      <c r="BK1359" s="44"/>
      <c r="BL1359" s="45"/>
      <c r="BM1359" s="12"/>
      <c r="BN1359" s="12"/>
      <c r="BO1359" s="12"/>
      <c r="BP1359" s="12"/>
      <c r="BQ1359" s="48"/>
      <c r="BR1359" s="49"/>
      <c r="BS1359" s="13"/>
      <c r="BT1359" s="12"/>
      <c r="BV1359" s="14"/>
      <c r="BW1359" s="50"/>
      <c r="BX1359" s="54"/>
      <c r="BY1359" s="14"/>
      <c r="BZ1359" s="14"/>
      <c r="CA1359" s="14"/>
      <c r="CB1359" s="14"/>
      <c r="CC1359" s="14"/>
      <c r="CD1359" s="14"/>
      <c r="CE1359" s="14"/>
      <c r="CF1359" s="15"/>
      <c r="CG1359" s="14"/>
      <c r="CH1359" s="14"/>
      <c r="CI1359" s="50"/>
      <c r="CJ1359" s="54"/>
      <c r="CK1359" s="14"/>
      <c r="CL1359" s="14"/>
      <c r="CM1359" s="14"/>
      <c r="CN1359" s="14"/>
      <c r="CO1359" s="14"/>
      <c r="CP1359" s="14"/>
      <c r="CQ1359" s="14"/>
      <c r="CR1359" s="14"/>
      <c r="CS1359" s="14"/>
      <c r="CT1359" s="14"/>
      <c r="CU1359" s="16"/>
      <c r="CV1359" s="14"/>
      <c r="CW1359" s="50"/>
      <c r="CX1359" s="17"/>
    </row>
    <row r="1360" spans="4:102" x14ac:dyDescent="0.25"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43"/>
      <c r="Q1360" s="11"/>
      <c r="R1360" s="11"/>
      <c r="S1360" s="11"/>
      <c r="T1360" s="11"/>
      <c r="U1360" s="11"/>
      <c r="V1360" s="11"/>
      <c r="W1360" s="11"/>
      <c r="X1360" s="12"/>
      <c r="Y1360" s="12"/>
      <c r="Z1360" s="12"/>
      <c r="AA1360" s="44"/>
      <c r="AB1360" s="45"/>
      <c r="AC1360" s="12"/>
      <c r="AD1360" s="12"/>
      <c r="AE1360" s="12"/>
      <c r="AF1360" s="12"/>
      <c r="AG1360" s="44"/>
      <c r="AH1360" s="45"/>
      <c r="AI1360" s="12"/>
      <c r="AJ1360" s="12"/>
      <c r="AK1360" s="12"/>
      <c r="AL1360" s="12"/>
      <c r="AM1360" s="44"/>
      <c r="AN1360" s="45"/>
      <c r="AO1360" s="12"/>
      <c r="AP1360" s="12"/>
      <c r="AQ1360" s="12"/>
      <c r="AR1360" s="12"/>
      <c r="AS1360" s="44"/>
      <c r="AT1360" s="45"/>
      <c r="AU1360" s="12"/>
      <c r="AV1360" s="12"/>
      <c r="AW1360" s="12"/>
      <c r="AX1360" s="12"/>
      <c r="AY1360" s="44"/>
      <c r="AZ1360" s="45"/>
      <c r="BA1360" s="12"/>
      <c r="BB1360" s="12"/>
      <c r="BC1360" s="12"/>
      <c r="BD1360" s="12"/>
      <c r="BE1360" s="44"/>
      <c r="BF1360" s="45"/>
      <c r="BG1360" s="12"/>
      <c r="BH1360" s="12"/>
      <c r="BI1360" s="12"/>
      <c r="BJ1360" s="12"/>
      <c r="BK1360" s="44"/>
      <c r="BL1360" s="45"/>
      <c r="BM1360" s="12"/>
      <c r="BN1360" s="12"/>
      <c r="BO1360" s="12"/>
      <c r="BP1360" s="12"/>
      <c r="BQ1360" s="48"/>
      <c r="BR1360" s="49"/>
      <c r="BS1360" s="13"/>
      <c r="BT1360" s="12"/>
      <c r="BV1360" s="14"/>
      <c r="BW1360" s="50"/>
      <c r="BX1360" s="54"/>
      <c r="BY1360" s="14"/>
      <c r="BZ1360" s="14"/>
      <c r="CA1360" s="14"/>
      <c r="CB1360" s="14"/>
      <c r="CC1360" s="14"/>
      <c r="CD1360" s="14"/>
      <c r="CE1360" s="14"/>
      <c r="CF1360" s="15"/>
      <c r="CG1360" s="14"/>
      <c r="CH1360" s="14"/>
      <c r="CI1360" s="50"/>
      <c r="CJ1360" s="54"/>
      <c r="CK1360" s="14"/>
      <c r="CL1360" s="14"/>
      <c r="CM1360" s="14"/>
      <c r="CN1360" s="14"/>
      <c r="CO1360" s="14"/>
      <c r="CP1360" s="14"/>
      <c r="CQ1360" s="14"/>
      <c r="CR1360" s="14"/>
      <c r="CS1360" s="14"/>
      <c r="CT1360" s="14"/>
      <c r="CU1360" s="16"/>
      <c r="CV1360" s="14"/>
      <c r="CW1360" s="50"/>
      <c r="CX1360" s="17"/>
    </row>
    <row r="1361" spans="4:102" x14ac:dyDescent="0.25"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43"/>
      <c r="Q1361" s="11"/>
      <c r="R1361" s="11"/>
      <c r="S1361" s="11"/>
      <c r="T1361" s="11"/>
      <c r="U1361" s="11"/>
      <c r="V1361" s="11"/>
      <c r="W1361" s="11"/>
      <c r="X1361" s="12"/>
      <c r="Y1361" s="12"/>
      <c r="Z1361" s="12"/>
      <c r="AA1361" s="44"/>
      <c r="AB1361" s="45"/>
      <c r="AC1361" s="12"/>
      <c r="AD1361" s="12"/>
      <c r="AE1361" s="12"/>
      <c r="AF1361" s="12"/>
      <c r="AG1361" s="44"/>
      <c r="AH1361" s="45"/>
      <c r="AI1361" s="12"/>
      <c r="AJ1361" s="12"/>
      <c r="AK1361" s="12"/>
      <c r="AL1361" s="12"/>
      <c r="AM1361" s="44"/>
      <c r="AN1361" s="45"/>
      <c r="AO1361" s="12"/>
      <c r="AP1361" s="12"/>
      <c r="AQ1361" s="12"/>
      <c r="AR1361" s="12"/>
      <c r="AS1361" s="44"/>
      <c r="AT1361" s="45"/>
      <c r="AU1361" s="12"/>
      <c r="AV1361" s="12"/>
      <c r="AW1361" s="12"/>
      <c r="AX1361" s="12"/>
      <c r="AY1361" s="44"/>
      <c r="AZ1361" s="45"/>
      <c r="BA1361" s="12"/>
      <c r="BB1361" s="12"/>
      <c r="BC1361" s="12"/>
      <c r="BD1361" s="12"/>
      <c r="BE1361" s="44"/>
      <c r="BF1361" s="45"/>
      <c r="BG1361" s="12"/>
      <c r="BH1361" s="12"/>
      <c r="BI1361" s="12"/>
      <c r="BJ1361" s="12"/>
      <c r="BK1361" s="44"/>
      <c r="BL1361" s="45"/>
      <c r="BM1361" s="12"/>
      <c r="BN1361" s="12"/>
      <c r="BO1361" s="12"/>
      <c r="BP1361" s="12"/>
      <c r="BQ1361" s="48"/>
      <c r="BR1361" s="49"/>
      <c r="BS1361" s="13"/>
      <c r="BT1361" s="12"/>
      <c r="BV1361" s="14"/>
      <c r="BW1361" s="50"/>
      <c r="BX1361" s="54"/>
      <c r="BY1361" s="14"/>
      <c r="BZ1361" s="14"/>
      <c r="CA1361" s="14"/>
      <c r="CB1361" s="14"/>
      <c r="CC1361" s="14"/>
      <c r="CD1361" s="14"/>
      <c r="CE1361" s="14"/>
      <c r="CF1361" s="15"/>
      <c r="CG1361" s="14"/>
      <c r="CH1361" s="14"/>
      <c r="CI1361" s="50"/>
      <c r="CJ1361" s="54"/>
      <c r="CK1361" s="14"/>
      <c r="CL1361" s="14"/>
      <c r="CM1361" s="14"/>
      <c r="CN1361" s="14"/>
      <c r="CO1361" s="14"/>
      <c r="CP1361" s="14"/>
      <c r="CQ1361" s="14"/>
      <c r="CR1361" s="14"/>
      <c r="CS1361" s="14"/>
      <c r="CT1361" s="14"/>
      <c r="CU1361" s="16"/>
      <c r="CV1361" s="14"/>
      <c r="CW1361" s="50"/>
      <c r="CX1361" s="17"/>
    </row>
    <row r="1362" spans="4:102" x14ac:dyDescent="0.25"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43"/>
      <c r="Q1362" s="11"/>
      <c r="R1362" s="11"/>
      <c r="S1362" s="11"/>
      <c r="T1362" s="11"/>
      <c r="U1362" s="11"/>
      <c r="V1362" s="11"/>
      <c r="W1362" s="11"/>
      <c r="X1362" s="12"/>
      <c r="Y1362" s="12"/>
      <c r="Z1362" s="12"/>
      <c r="AA1362" s="44"/>
      <c r="AB1362" s="45"/>
      <c r="AC1362" s="12"/>
      <c r="AD1362" s="12"/>
      <c r="AE1362" s="12"/>
      <c r="AF1362" s="12"/>
      <c r="AG1362" s="44"/>
      <c r="AH1362" s="45"/>
      <c r="AI1362" s="12"/>
      <c r="AJ1362" s="12"/>
      <c r="AK1362" s="12"/>
      <c r="AL1362" s="12"/>
      <c r="AM1362" s="44"/>
      <c r="AN1362" s="45"/>
      <c r="AO1362" s="12"/>
      <c r="AP1362" s="12"/>
      <c r="AQ1362" s="12"/>
      <c r="AR1362" s="12"/>
      <c r="AS1362" s="44"/>
      <c r="AT1362" s="45"/>
      <c r="AU1362" s="12"/>
      <c r="AV1362" s="12"/>
      <c r="AW1362" s="12"/>
      <c r="AX1362" s="12"/>
      <c r="AY1362" s="44"/>
      <c r="AZ1362" s="45"/>
      <c r="BA1362" s="12"/>
      <c r="BB1362" s="12"/>
      <c r="BC1362" s="12"/>
      <c r="BD1362" s="12"/>
      <c r="BE1362" s="44"/>
      <c r="BF1362" s="45"/>
      <c r="BG1362" s="12"/>
      <c r="BH1362" s="12"/>
      <c r="BI1362" s="12"/>
      <c r="BJ1362" s="12"/>
      <c r="BK1362" s="44"/>
      <c r="BL1362" s="45"/>
      <c r="BM1362" s="12"/>
      <c r="BN1362" s="12"/>
      <c r="BO1362" s="12"/>
      <c r="BP1362" s="12"/>
      <c r="BQ1362" s="48"/>
      <c r="BR1362" s="49"/>
      <c r="BS1362" s="13"/>
      <c r="BT1362" s="12"/>
      <c r="BV1362" s="14"/>
      <c r="BW1362" s="50"/>
      <c r="BX1362" s="54"/>
      <c r="BY1362" s="14"/>
      <c r="BZ1362" s="14"/>
      <c r="CA1362" s="14"/>
      <c r="CB1362" s="14"/>
      <c r="CC1362" s="14"/>
      <c r="CD1362" s="14"/>
      <c r="CE1362" s="14"/>
      <c r="CF1362" s="15"/>
      <c r="CG1362" s="14"/>
      <c r="CH1362" s="14"/>
      <c r="CI1362" s="50"/>
      <c r="CJ1362" s="54"/>
      <c r="CK1362" s="14"/>
      <c r="CL1362" s="14"/>
      <c r="CM1362" s="14"/>
      <c r="CN1362" s="14"/>
      <c r="CO1362" s="14"/>
      <c r="CP1362" s="14"/>
      <c r="CQ1362" s="14"/>
      <c r="CR1362" s="14"/>
      <c r="CS1362" s="14"/>
      <c r="CT1362" s="14"/>
      <c r="CU1362" s="16"/>
      <c r="CV1362" s="14"/>
      <c r="CW1362" s="50"/>
      <c r="CX1362" s="17"/>
    </row>
    <row r="1363" spans="4:102" x14ac:dyDescent="0.25"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43"/>
      <c r="Q1363" s="11"/>
      <c r="R1363" s="11"/>
      <c r="S1363" s="11"/>
      <c r="T1363" s="11"/>
      <c r="U1363" s="11"/>
      <c r="V1363" s="11"/>
      <c r="W1363" s="11"/>
      <c r="X1363" s="12"/>
      <c r="Y1363" s="12"/>
      <c r="Z1363" s="12"/>
      <c r="AA1363" s="44"/>
      <c r="AB1363" s="45"/>
      <c r="AC1363" s="12"/>
      <c r="AD1363" s="12"/>
      <c r="AE1363" s="12"/>
      <c r="AF1363" s="12"/>
      <c r="AG1363" s="44"/>
      <c r="AH1363" s="45"/>
      <c r="AI1363" s="12"/>
      <c r="AJ1363" s="12"/>
      <c r="AK1363" s="12"/>
      <c r="AL1363" s="12"/>
      <c r="AM1363" s="44"/>
      <c r="AN1363" s="45"/>
      <c r="AO1363" s="12"/>
      <c r="AP1363" s="12"/>
      <c r="AQ1363" s="12"/>
      <c r="AR1363" s="12"/>
      <c r="AS1363" s="44"/>
      <c r="AT1363" s="45"/>
      <c r="AU1363" s="12"/>
      <c r="AV1363" s="12"/>
      <c r="AW1363" s="12"/>
      <c r="AX1363" s="12"/>
      <c r="AY1363" s="44"/>
      <c r="AZ1363" s="45"/>
      <c r="BA1363" s="12"/>
      <c r="BB1363" s="12"/>
      <c r="BC1363" s="12"/>
      <c r="BD1363" s="12"/>
      <c r="BE1363" s="44"/>
      <c r="BF1363" s="45"/>
      <c r="BG1363" s="12"/>
      <c r="BH1363" s="12"/>
      <c r="BI1363" s="12"/>
      <c r="BJ1363" s="12"/>
      <c r="BK1363" s="44"/>
      <c r="BL1363" s="45"/>
      <c r="BM1363" s="12"/>
      <c r="BN1363" s="12"/>
      <c r="BO1363" s="12"/>
      <c r="BP1363" s="12"/>
      <c r="BQ1363" s="48"/>
      <c r="BR1363" s="49"/>
      <c r="BS1363" s="13"/>
      <c r="BT1363" s="12"/>
      <c r="BV1363" s="14"/>
      <c r="BW1363" s="50"/>
      <c r="BX1363" s="54"/>
      <c r="BY1363" s="14"/>
      <c r="BZ1363" s="14"/>
      <c r="CA1363" s="14"/>
      <c r="CB1363" s="14"/>
      <c r="CC1363" s="14"/>
      <c r="CD1363" s="14"/>
      <c r="CE1363" s="14"/>
      <c r="CF1363" s="15"/>
      <c r="CG1363" s="14"/>
      <c r="CH1363" s="14"/>
      <c r="CI1363" s="50"/>
      <c r="CJ1363" s="54"/>
      <c r="CK1363" s="14"/>
      <c r="CL1363" s="14"/>
      <c r="CM1363" s="14"/>
      <c r="CN1363" s="14"/>
      <c r="CO1363" s="14"/>
      <c r="CP1363" s="14"/>
      <c r="CQ1363" s="14"/>
      <c r="CR1363" s="14"/>
      <c r="CS1363" s="14"/>
      <c r="CT1363" s="14"/>
      <c r="CU1363" s="16"/>
      <c r="CV1363" s="14"/>
      <c r="CW1363" s="50"/>
      <c r="CX1363" s="17"/>
    </row>
    <row r="1364" spans="4:102" x14ac:dyDescent="0.25"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43"/>
      <c r="Q1364" s="11"/>
      <c r="R1364" s="11"/>
      <c r="S1364" s="11"/>
      <c r="T1364" s="11"/>
      <c r="U1364" s="11"/>
      <c r="V1364" s="11"/>
      <c r="W1364" s="11"/>
      <c r="X1364" s="12"/>
      <c r="Y1364" s="12"/>
      <c r="Z1364" s="12"/>
      <c r="AA1364" s="44"/>
      <c r="AB1364" s="45"/>
      <c r="AC1364" s="12"/>
      <c r="AD1364" s="12"/>
      <c r="AE1364" s="12"/>
      <c r="AF1364" s="12"/>
      <c r="AG1364" s="44"/>
      <c r="AH1364" s="45"/>
      <c r="AI1364" s="12"/>
      <c r="AJ1364" s="12"/>
      <c r="AK1364" s="12"/>
      <c r="AL1364" s="12"/>
      <c r="AM1364" s="44"/>
      <c r="AN1364" s="45"/>
      <c r="AO1364" s="12"/>
      <c r="AP1364" s="12"/>
      <c r="AQ1364" s="12"/>
      <c r="AR1364" s="12"/>
      <c r="AS1364" s="44"/>
      <c r="AT1364" s="45"/>
      <c r="AU1364" s="12"/>
      <c r="AV1364" s="12"/>
      <c r="AW1364" s="12"/>
      <c r="AX1364" s="12"/>
      <c r="AY1364" s="44"/>
      <c r="AZ1364" s="45"/>
      <c r="BA1364" s="12"/>
      <c r="BB1364" s="12"/>
      <c r="BC1364" s="12"/>
      <c r="BD1364" s="12"/>
      <c r="BE1364" s="44"/>
      <c r="BF1364" s="45"/>
      <c r="BG1364" s="12"/>
      <c r="BH1364" s="12"/>
      <c r="BI1364" s="12"/>
      <c r="BJ1364" s="12"/>
      <c r="BK1364" s="44"/>
      <c r="BL1364" s="45"/>
      <c r="BM1364" s="12"/>
      <c r="BN1364" s="12"/>
      <c r="BO1364" s="12"/>
      <c r="BP1364" s="12"/>
      <c r="BQ1364" s="48"/>
      <c r="BR1364" s="49"/>
      <c r="BS1364" s="13"/>
      <c r="BT1364" s="12"/>
      <c r="BV1364" s="14"/>
      <c r="BW1364" s="50"/>
      <c r="BX1364" s="54"/>
      <c r="BY1364" s="14"/>
      <c r="BZ1364" s="14"/>
      <c r="CA1364" s="14"/>
      <c r="CB1364" s="14"/>
      <c r="CC1364" s="14"/>
      <c r="CD1364" s="14"/>
      <c r="CE1364" s="14"/>
      <c r="CF1364" s="15"/>
      <c r="CG1364" s="14"/>
      <c r="CH1364" s="14"/>
      <c r="CI1364" s="50"/>
      <c r="CJ1364" s="54"/>
      <c r="CK1364" s="14"/>
      <c r="CL1364" s="14"/>
      <c r="CM1364" s="14"/>
      <c r="CN1364" s="14"/>
      <c r="CO1364" s="14"/>
      <c r="CP1364" s="14"/>
      <c r="CQ1364" s="14"/>
      <c r="CR1364" s="14"/>
      <c r="CS1364" s="14"/>
      <c r="CT1364" s="14"/>
      <c r="CU1364" s="16"/>
      <c r="CV1364" s="14"/>
      <c r="CW1364" s="50"/>
      <c r="CX1364" s="17"/>
    </row>
    <row r="1365" spans="4:102" x14ac:dyDescent="0.25"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43"/>
      <c r="Q1365" s="11"/>
      <c r="R1365" s="11"/>
      <c r="S1365" s="11"/>
      <c r="T1365" s="11"/>
      <c r="U1365" s="11"/>
      <c r="V1365" s="11"/>
      <c r="W1365" s="11"/>
      <c r="X1365" s="12"/>
      <c r="Y1365" s="12"/>
      <c r="Z1365" s="12"/>
      <c r="AA1365" s="44"/>
      <c r="AB1365" s="45"/>
      <c r="AC1365" s="12"/>
      <c r="AD1365" s="12"/>
      <c r="AE1365" s="12"/>
      <c r="AF1365" s="12"/>
      <c r="AG1365" s="44"/>
      <c r="AH1365" s="45"/>
      <c r="AI1365" s="12"/>
      <c r="AJ1365" s="12"/>
      <c r="AK1365" s="12"/>
      <c r="AL1365" s="12"/>
      <c r="AM1365" s="44"/>
      <c r="AN1365" s="45"/>
      <c r="AO1365" s="12"/>
      <c r="AP1365" s="12"/>
      <c r="AQ1365" s="12"/>
      <c r="AR1365" s="12"/>
      <c r="AS1365" s="44"/>
      <c r="AT1365" s="45"/>
      <c r="AU1365" s="12"/>
      <c r="AV1365" s="12"/>
      <c r="AW1365" s="12"/>
      <c r="AX1365" s="12"/>
      <c r="AY1365" s="44"/>
      <c r="AZ1365" s="45"/>
      <c r="BA1365" s="12"/>
      <c r="BB1365" s="12"/>
      <c r="BC1365" s="12"/>
      <c r="BD1365" s="12"/>
      <c r="BE1365" s="44"/>
      <c r="BF1365" s="45"/>
      <c r="BG1365" s="12"/>
      <c r="BH1365" s="12"/>
      <c r="BI1365" s="12"/>
      <c r="BJ1365" s="12"/>
      <c r="BK1365" s="44"/>
      <c r="BL1365" s="45"/>
      <c r="BM1365" s="12"/>
      <c r="BN1365" s="12"/>
      <c r="BO1365" s="12"/>
      <c r="BP1365" s="12"/>
      <c r="BQ1365" s="48"/>
      <c r="BR1365" s="49"/>
      <c r="BS1365" s="13"/>
      <c r="BT1365" s="12"/>
      <c r="BV1365" s="14"/>
      <c r="BW1365" s="50"/>
      <c r="BX1365" s="54"/>
      <c r="BY1365" s="14"/>
      <c r="BZ1365" s="14"/>
      <c r="CA1365" s="14"/>
      <c r="CB1365" s="14"/>
      <c r="CC1365" s="14"/>
      <c r="CD1365" s="14"/>
      <c r="CE1365" s="14"/>
      <c r="CF1365" s="15"/>
      <c r="CG1365" s="14"/>
      <c r="CH1365" s="14"/>
      <c r="CI1365" s="50"/>
      <c r="CJ1365" s="54"/>
      <c r="CK1365" s="14"/>
      <c r="CL1365" s="14"/>
      <c r="CM1365" s="14"/>
      <c r="CN1365" s="14"/>
      <c r="CO1365" s="14"/>
      <c r="CP1365" s="14"/>
      <c r="CQ1365" s="14"/>
      <c r="CR1365" s="14"/>
      <c r="CS1365" s="14"/>
      <c r="CT1365" s="14"/>
      <c r="CU1365" s="16"/>
      <c r="CV1365" s="14"/>
      <c r="CW1365" s="50"/>
      <c r="CX1365" s="17"/>
    </row>
    <row r="1366" spans="4:102" x14ac:dyDescent="0.25"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43"/>
      <c r="Q1366" s="11"/>
      <c r="R1366" s="11"/>
      <c r="S1366" s="11"/>
      <c r="T1366" s="11"/>
      <c r="U1366" s="11"/>
      <c r="V1366" s="11"/>
      <c r="W1366" s="11"/>
      <c r="X1366" s="12"/>
      <c r="Y1366" s="12"/>
      <c r="Z1366" s="12"/>
      <c r="AA1366" s="44"/>
      <c r="AB1366" s="45"/>
      <c r="AC1366" s="12"/>
      <c r="AD1366" s="12"/>
      <c r="AE1366" s="12"/>
      <c r="AF1366" s="12"/>
      <c r="AG1366" s="44"/>
      <c r="AH1366" s="45"/>
      <c r="AI1366" s="12"/>
      <c r="AJ1366" s="12"/>
      <c r="AK1366" s="12"/>
      <c r="AL1366" s="12"/>
      <c r="AM1366" s="44"/>
      <c r="AN1366" s="45"/>
      <c r="AO1366" s="12"/>
      <c r="AP1366" s="12"/>
      <c r="AQ1366" s="12"/>
      <c r="AR1366" s="12"/>
      <c r="AS1366" s="44"/>
      <c r="AT1366" s="45"/>
      <c r="AU1366" s="12"/>
      <c r="AV1366" s="12"/>
      <c r="AW1366" s="12"/>
      <c r="AX1366" s="12"/>
      <c r="AY1366" s="44"/>
      <c r="AZ1366" s="45"/>
      <c r="BA1366" s="12"/>
      <c r="BB1366" s="12"/>
      <c r="BC1366" s="12"/>
      <c r="BD1366" s="12"/>
      <c r="BE1366" s="44"/>
      <c r="BF1366" s="45"/>
      <c r="BG1366" s="12"/>
      <c r="BH1366" s="12"/>
      <c r="BI1366" s="12"/>
      <c r="BJ1366" s="12"/>
      <c r="BK1366" s="44"/>
      <c r="BL1366" s="45"/>
      <c r="BM1366" s="12"/>
      <c r="BN1366" s="12"/>
      <c r="BO1366" s="12"/>
      <c r="BP1366" s="12"/>
      <c r="BQ1366" s="48"/>
      <c r="BR1366" s="49"/>
      <c r="BS1366" s="13"/>
      <c r="BT1366" s="12"/>
      <c r="BV1366" s="14"/>
      <c r="BW1366" s="50"/>
      <c r="BX1366" s="54"/>
      <c r="BY1366" s="14"/>
      <c r="BZ1366" s="14"/>
      <c r="CA1366" s="14"/>
      <c r="CB1366" s="14"/>
      <c r="CC1366" s="14"/>
      <c r="CD1366" s="14"/>
      <c r="CE1366" s="14"/>
      <c r="CF1366" s="15"/>
      <c r="CG1366" s="14"/>
      <c r="CH1366" s="14"/>
      <c r="CI1366" s="50"/>
      <c r="CJ1366" s="54"/>
      <c r="CK1366" s="14"/>
      <c r="CL1366" s="14"/>
      <c r="CM1366" s="14"/>
      <c r="CN1366" s="14"/>
      <c r="CO1366" s="14"/>
      <c r="CP1366" s="14"/>
      <c r="CQ1366" s="14"/>
      <c r="CR1366" s="14"/>
      <c r="CS1366" s="14"/>
      <c r="CT1366" s="14"/>
      <c r="CU1366" s="16"/>
      <c r="CV1366" s="14"/>
      <c r="CW1366" s="50"/>
      <c r="CX1366" s="17"/>
    </row>
    <row r="1367" spans="4:102" x14ac:dyDescent="0.25"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43"/>
      <c r="Q1367" s="11"/>
      <c r="R1367" s="11"/>
      <c r="S1367" s="11"/>
      <c r="T1367" s="11"/>
      <c r="U1367" s="11"/>
      <c r="V1367" s="11"/>
      <c r="W1367" s="11"/>
      <c r="X1367" s="12"/>
      <c r="Y1367" s="12"/>
      <c r="Z1367" s="12"/>
      <c r="AA1367" s="44"/>
      <c r="AB1367" s="45"/>
      <c r="AC1367" s="12"/>
      <c r="AD1367" s="12"/>
      <c r="AE1367" s="12"/>
      <c r="AF1367" s="12"/>
      <c r="AG1367" s="44"/>
      <c r="AH1367" s="45"/>
      <c r="AI1367" s="12"/>
      <c r="AJ1367" s="12"/>
      <c r="AK1367" s="12"/>
      <c r="AL1367" s="12"/>
      <c r="AM1367" s="44"/>
      <c r="AN1367" s="45"/>
      <c r="AO1367" s="12"/>
      <c r="AP1367" s="12"/>
      <c r="AQ1367" s="12"/>
      <c r="AR1367" s="12"/>
      <c r="AS1367" s="44"/>
      <c r="AT1367" s="45"/>
      <c r="AU1367" s="12"/>
      <c r="AV1367" s="12"/>
      <c r="AW1367" s="12"/>
      <c r="AX1367" s="12"/>
      <c r="AY1367" s="44"/>
      <c r="AZ1367" s="45"/>
      <c r="BA1367" s="12"/>
      <c r="BB1367" s="12"/>
      <c r="BC1367" s="12"/>
      <c r="BD1367" s="12"/>
      <c r="BE1367" s="44"/>
      <c r="BF1367" s="45"/>
      <c r="BG1367" s="12"/>
      <c r="BH1367" s="12"/>
      <c r="BI1367" s="12"/>
      <c r="BJ1367" s="12"/>
      <c r="BK1367" s="44"/>
      <c r="BL1367" s="45"/>
      <c r="BM1367" s="12"/>
      <c r="BN1367" s="12"/>
      <c r="BO1367" s="12"/>
      <c r="BP1367" s="12"/>
      <c r="BQ1367" s="48"/>
      <c r="BR1367" s="49"/>
      <c r="BS1367" s="13"/>
      <c r="BT1367" s="12"/>
      <c r="BV1367" s="14"/>
      <c r="BW1367" s="50"/>
      <c r="BX1367" s="54"/>
      <c r="BY1367" s="14"/>
      <c r="BZ1367" s="14"/>
      <c r="CA1367" s="14"/>
      <c r="CB1367" s="14"/>
      <c r="CC1367" s="14"/>
      <c r="CD1367" s="14"/>
      <c r="CE1367" s="14"/>
      <c r="CF1367" s="15"/>
      <c r="CG1367" s="14"/>
      <c r="CH1367" s="14"/>
      <c r="CI1367" s="50"/>
      <c r="CJ1367" s="54"/>
      <c r="CK1367" s="14"/>
      <c r="CL1367" s="14"/>
      <c r="CM1367" s="14"/>
      <c r="CN1367" s="14"/>
      <c r="CO1367" s="14"/>
      <c r="CP1367" s="14"/>
      <c r="CQ1367" s="14"/>
      <c r="CR1367" s="14"/>
      <c r="CS1367" s="14"/>
      <c r="CT1367" s="14"/>
      <c r="CU1367" s="16"/>
      <c r="CV1367" s="14"/>
      <c r="CW1367" s="50"/>
      <c r="CX1367" s="17"/>
    </row>
    <row r="1368" spans="4:102" x14ac:dyDescent="0.25"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43"/>
      <c r="Q1368" s="11"/>
      <c r="R1368" s="11"/>
      <c r="S1368" s="11"/>
      <c r="T1368" s="11"/>
      <c r="U1368" s="11"/>
      <c r="V1368" s="11"/>
      <c r="W1368" s="11"/>
      <c r="X1368" s="12"/>
      <c r="Y1368" s="12"/>
      <c r="Z1368" s="12"/>
      <c r="AA1368" s="44"/>
      <c r="AB1368" s="45"/>
      <c r="AC1368" s="12"/>
      <c r="AD1368" s="12"/>
      <c r="AE1368" s="12"/>
      <c r="AF1368" s="12"/>
      <c r="AG1368" s="44"/>
      <c r="AH1368" s="45"/>
      <c r="AI1368" s="12"/>
      <c r="AJ1368" s="12"/>
      <c r="AK1368" s="12"/>
      <c r="AL1368" s="12"/>
      <c r="AM1368" s="44"/>
      <c r="AN1368" s="45"/>
      <c r="AO1368" s="12"/>
      <c r="AP1368" s="12"/>
      <c r="AQ1368" s="12"/>
      <c r="AR1368" s="12"/>
      <c r="AS1368" s="44"/>
      <c r="AT1368" s="45"/>
      <c r="AU1368" s="12"/>
      <c r="AV1368" s="12"/>
      <c r="AW1368" s="12"/>
      <c r="AX1368" s="12"/>
      <c r="AY1368" s="44"/>
      <c r="AZ1368" s="45"/>
      <c r="BA1368" s="12"/>
      <c r="BB1368" s="12"/>
      <c r="BC1368" s="12"/>
      <c r="BD1368" s="12"/>
      <c r="BE1368" s="44"/>
      <c r="BF1368" s="45"/>
      <c r="BG1368" s="12"/>
      <c r="BH1368" s="12"/>
      <c r="BI1368" s="12"/>
      <c r="BJ1368" s="12"/>
      <c r="BK1368" s="44"/>
      <c r="BL1368" s="45"/>
      <c r="BM1368" s="12"/>
      <c r="BN1368" s="12"/>
      <c r="BO1368" s="12"/>
      <c r="BP1368" s="12"/>
      <c r="BQ1368" s="48"/>
      <c r="BR1368" s="49"/>
      <c r="BS1368" s="13"/>
      <c r="BT1368" s="12"/>
      <c r="BV1368" s="14"/>
      <c r="BW1368" s="50"/>
      <c r="BX1368" s="54"/>
      <c r="BY1368" s="14"/>
      <c r="BZ1368" s="14"/>
      <c r="CA1368" s="14"/>
      <c r="CB1368" s="14"/>
      <c r="CC1368" s="14"/>
      <c r="CD1368" s="14"/>
      <c r="CE1368" s="14"/>
      <c r="CF1368" s="15"/>
      <c r="CG1368" s="14"/>
      <c r="CH1368" s="14"/>
      <c r="CI1368" s="50"/>
      <c r="CJ1368" s="54"/>
      <c r="CK1368" s="14"/>
      <c r="CL1368" s="14"/>
      <c r="CM1368" s="14"/>
      <c r="CN1368" s="14"/>
      <c r="CO1368" s="14"/>
      <c r="CP1368" s="14"/>
      <c r="CQ1368" s="14"/>
      <c r="CR1368" s="14"/>
      <c r="CS1368" s="14"/>
      <c r="CT1368" s="14"/>
      <c r="CU1368" s="16"/>
      <c r="CV1368" s="14"/>
      <c r="CW1368" s="50"/>
      <c r="CX1368" s="17"/>
    </row>
    <row r="1369" spans="4:102" x14ac:dyDescent="0.25"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43"/>
      <c r="Q1369" s="11"/>
      <c r="R1369" s="11"/>
      <c r="S1369" s="11"/>
      <c r="T1369" s="11"/>
      <c r="U1369" s="11"/>
      <c r="V1369" s="11"/>
      <c r="W1369" s="11"/>
      <c r="X1369" s="12"/>
      <c r="Y1369" s="12"/>
      <c r="Z1369" s="12"/>
      <c r="AA1369" s="44"/>
      <c r="AB1369" s="45"/>
      <c r="AC1369" s="12"/>
      <c r="AD1369" s="12"/>
      <c r="AE1369" s="12"/>
      <c r="AF1369" s="12"/>
      <c r="AG1369" s="44"/>
      <c r="AH1369" s="45"/>
      <c r="AI1369" s="12"/>
      <c r="AJ1369" s="12"/>
      <c r="AK1369" s="12"/>
      <c r="AL1369" s="12"/>
      <c r="AM1369" s="44"/>
      <c r="AN1369" s="45"/>
      <c r="AO1369" s="12"/>
      <c r="AP1369" s="12"/>
      <c r="AQ1369" s="12"/>
      <c r="AR1369" s="12"/>
      <c r="AS1369" s="44"/>
      <c r="AT1369" s="45"/>
      <c r="AU1369" s="12"/>
      <c r="AV1369" s="12"/>
      <c r="AW1369" s="12"/>
      <c r="AX1369" s="12"/>
      <c r="AY1369" s="44"/>
      <c r="AZ1369" s="45"/>
      <c r="BA1369" s="12"/>
      <c r="BB1369" s="12"/>
      <c r="BC1369" s="12"/>
      <c r="BD1369" s="12"/>
      <c r="BE1369" s="44"/>
      <c r="BF1369" s="45"/>
      <c r="BG1369" s="12"/>
      <c r="BH1369" s="12"/>
      <c r="BI1369" s="12"/>
      <c r="BJ1369" s="12"/>
      <c r="BK1369" s="44"/>
      <c r="BL1369" s="45"/>
      <c r="BM1369" s="12"/>
      <c r="BN1369" s="12"/>
      <c r="BO1369" s="12"/>
      <c r="BP1369" s="12"/>
      <c r="BQ1369" s="48"/>
      <c r="BR1369" s="49"/>
      <c r="BS1369" s="13"/>
      <c r="BT1369" s="12"/>
      <c r="BV1369" s="14"/>
      <c r="BW1369" s="50"/>
      <c r="BX1369" s="54"/>
      <c r="BY1369" s="14"/>
      <c r="BZ1369" s="14"/>
      <c r="CA1369" s="14"/>
      <c r="CB1369" s="14"/>
      <c r="CC1369" s="14"/>
      <c r="CD1369" s="14"/>
      <c r="CE1369" s="14"/>
      <c r="CF1369" s="15"/>
      <c r="CG1369" s="14"/>
      <c r="CH1369" s="14"/>
      <c r="CI1369" s="50"/>
      <c r="CJ1369" s="54"/>
      <c r="CK1369" s="14"/>
      <c r="CL1369" s="14"/>
      <c r="CM1369" s="14"/>
      <c r="CN1369" s="14"/>
      <c r="CO1369" s="14"/>
      <c r="CP1369" s="14"/>
      <c r="CQ1369" s="14"/>
      <c r="CR1369" s="14"/>
      <c r="CS1369" s="14"/>
      <c r="CT1369" s="14"/>
      <c r="CU1369" s="16"/>
      <c r="CV1369" s="14"/>
      <c r="CW1369" s="50"/>
      <c r="CX1369" s="17"/>
    </row>
    <row r="1370" spans="4:102" x14ac:dyDescent="0.25"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43"/>
      <c r="Q1370" s="11"/>
      <c r="R1370" s="11"/>
      <c r="S1370" s="11"/>
      <c r="T1370" s="11"/>
      <c r="U1370" s="11"/>
      <c r="V1370" s="11"/>
      <c r="W1370" s="11"/>
      <c r="X1370" s="12"/>
      <c r="Y1370" s="12"/>
      <c r="Z1370" s="12"/>
      <c r="AA1370" s="44"/>
      <c r="AB1370" s="45"/>
      <c r="AC1370" s="12"/>
      <c r="AD1370" s="12"/>
      <c r="AE1370" s="12"/>
      <c r="AF1370" s="12"/>
      <c r="AG1370" s="44"/>
      <c r="AH1370" s="45"/>
      <c r="AI1370" s="12"/>
      <c r="AJ1370" s="12"/>
      <c r="AK1370" s="12"/>
      <c r="AL1370" s="12"/>
      <c r="AM1370" s="44"/>
      <c r="AN1370" s="45"/>
      <c r="AO1370" s="12"/>
      <c r="AP1370" s="12"/>
      <c r="AQ1370" s="12"/>
      <c r="AR1370" s="12"/>
      <c r="AS1370" s="44"/>
      <c r="AT1370" s="45"/>
      <c r="AU1370" s="12"/>
      <c r="AV1370" s="12"/>
      <c r="AW1370" s="12"/>
      <c r="AX1370" s="12"/>
      <c r="AY1370" s="44"/>
      <c r="AZ1370" s="45"/>
      <c r="BA1370" s="12"/>
      <c r="BB1370" s="12"/>
      <c r="BC1370" s="12"/>
      <c r="BD1370" s="12"/>
      <c r="BE1370" s="44"/>
      <c r="BF1370" s="45"/>
      <c r="BG1370" s="12"/>
      <c r="BH1370" s="12"/>
      <c r="BI1370" s="12"/>
      <c r="BJ1370" s="12"/>
      <c r="BK1370" s="44"/>
      <c r="BL1370" s="45"/>
      <c r="BM1370" s="12"/>
      <c r="BN1370" s="12"/>
      <c r="BO1370" s="12"/>
      <c r="BP1370" s="12"/>
      <c r="BQ1370" s="48"/>
      <c r="BR1370" s="49"/>
      <c r="BS1370" s="13"/>
      <c r="BT1370" s="12"/>
      <c r="BV1370" s="14"/>
      <c r="BW1370" s="50"/>
      <c r="BX1370" s="54"/>
      <c r="BY1370" s="14"/>
      <c r="BZ1370" s="14"/>
      <c r="CA1370" s="14"/>
      <c r="CB1370" s="14"/>
      <c r="CC1370" s="14"/>
      <c r="CD1370" s="14"/>
      <c r="CE1370" s="14"/>
      <c r="CF1370" s="15"/>
      <c r="CG1370" s="14"/>
      <c r="CH1370" s="14"/>
      <c r="CI1370" s="50"/>
      <c r="CJ1370" s="54"/>
      <c r="CK1370" s="14"/>
      <c r="CL1370" s="14"/>
      <c r="CM1370" s="14"/>
      <c r="CN1370" s="14"/>
      <c r="CO1370" s="14"/>
      <c r="CP1370" s="14"/>
      <c r="CQ1370" s="14"/>
      <c r="CR1370" s="14"/>
      <c r="CS1370" s="14"/>
      <c r="CT1370" s="14"/>
      <c r="CU1370" s="16"/>
      <c r="CV1370" s="14"/>
      <c r="CW1370" s="50"/>
      <c r="CX1370" s="17"/>
    </row>
    <row r="1371" spans="4:102" x14ac:dyDescent="0.25"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43"/>
      <c r="Q1371" s="11"/>
      <c r="R1371" s="11"/>
      <c r="S1371" s="11"/>
      <c r="T1371" s="11"/>
      <c r="U1371" s="11"/>
      <c r="V1371" s="11"/>
      <c r="W1371" s="11"/>
      <c r="X1371" s="12"/>
      <c r="Y1371" s="12"/>
      <c r="Z1371" s="12"/>
      <c r="AA1371" s="44"/>
      <c r="AB1371" s="45"/>
      <c r="AC1371" s="12"/>
      <c r="AD1371" s="12"/>
      <c r="AE1371" s="12"/>
      <c r="AF1371" s="12"/>
      <c r="AG1371" s="44"/>
      <c r="AH1371" s="45"/>
      <c r="AI1371" s="12"/>
      <c r="AJ1371" s="12"/>
      <c r="AK1371" s="12"/>
      <c r="AL1371" s="12"/>
      <c r="AM1371" s="44"/>
      <c r="AN1371" s="45"/>
      <c r="AO1371" s="12"/>
      <c r="AP1371" s="12"/>
      <c r="AQ1371" s="12"/>
      <c r="AR1371" s="12"/>
      <c r="AS1371" s="44"/>
      <c r="AT1371" s="45"/>
      <c r="AU1371" s="12"/>
      <c r="AV1371" s="12"/>
      <c r="AW1371" s="12"/>
      <c r="AX1371" s="12"/>
      <c r="AY1371" s="44"/>
      <c r="AZ1371" s="45"/>
      <c r="BA1371" s="12"/>
      <c r="BB1371" s="12"/>
      <c r="BC1371" s="12"/>
      <c r="BD1371" s="12"/>
      <c r="BE1371" s="44"/>
      <c r="BF1371" s="45"/>
      <c r="BG1371" s="12"/>
      <c r="BH1371" s="12"/>
      <c r="BI1371" s="12"/>
      <c r="BJ1371" s="12"/>
      <c r="BK1371" s="44"/>
      <c r="BL1371" s="45"/>
      <c r="BM1371" s="12"/>
      <c r="BN1371" s="12"/>
      <c r="BO1371" s="12"/>
      <c r="BP1371" s="12"/>
      <c r="BQ1371" s="48"/>
      <c r="BR1371" s="49"/>
      <c r="BS1371" s="13"/>
      <c r="BT1371" s="12"/>
      <c r="BV1371" s="14"/>
      <c r="BW1371" s="50"/>
      <c r="BX1371" s="54"/>
      <c r="BY1371" s="14"/>
      <c r="BZ1371" s="14"/>
      <c r="CA1371" s="14"/>
      <c r="CB1371" s="14"/>
      <c r="CC1371" s="14"/>
      <c r="CD1371" s="14"/>
      <c r="CE1371" s="14"/>
      <c r="CF1371" s="15"/>
      <c r="CG1371" s="14"/>
      <c r="CH1371" s="14"/>
      <c r="CI1371" s="50"/>
      <c r="CJ1371" s="54"/>
      <c r="CK1371" s="14"/>
      <c r="CL1371" s="14"/>
      <c r="CM1371" s="14"/>
      <c r="CN1371" s="14"/>
      <c r="CO1371" s="14"/>
      <c r="CP1371" s="14"/>
      <c r="CQ1371" s="14"/>
      <c r="CR1371" s="14"/>
      <c r="CS1371" s="14"/>
      <c r="CT1371" s="14"/>
      <c r="CU1371" s="16"/>
      <c r="CV1371" s="14"/>
      <c r="CW1371" s="50"/>
      <c r="CX1371" s="17"/>
    </row>
    <row r="1372" spans="4:102" x14ac:dyDescent="0.25"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43"/>
      <c r="Q1372" s="11"/>
      <c r="R1372" s="11"/>
      <c r="S1372" s="11"/>
      <c r="T1372" s="11"/>
      <c r="U1372" s="11"/>
      <c r="V1372" s="11"/>
      <c r="W1372" s="11"/>
      <c r="X1372" s="12"/>
      <c r="Y1372" s="12"/>
      <c r="Z1372" s="12"/>
      <c r="AA1372" s="44"/>
      <c r="AB1372" s="45"/>
      <c r="AC1372" s="12"/>
      <c r="AD1372" s="12"/>
      <c r="AE1372" s="12"/>
      <c r="AF1372" s="12"/>
      <c r="AG1372" s="44"/>
      <c r="AH1372" s="45"/>
      <c r="AI1372" s="12"/>
      <c r="AJ1372" s="12"/>
      <c r="AK1372" s="12"/>
      <c r="AL1372" s="12"/>
      <c r="AM1372" s="44"/>
      <c r="AN1372" s="45"/>
      <c r="AO1372" s="12"/>
      <c r="AP1372" s="12"/>
      <c r="AQ1372" s="12"/>
      <c r="AR1372" s="12"/>
      <c r="AS1372" s="44"/>
      <c r="AT1372" s="45"/>
      <c r="AU1372" s="12"/>
      <c r="AV1372" s="12"/>
      <c r="AW1372" s="12"/>
      <c r="AX1372" s="12"/>
      <c r="AY1372" s="44"/>
      <c r="AZ1372" s="45"/>
      <c r="BA1372" s="12"/>
      <c r="BB1372" s="12"/>
      <c r="BC1372" s="12"/>
      <c r="BD1372" s="12"/>
      <c r="BE1372" s="44"/>
      <c r="BF1372" s="45"/>
      <c r="BG1372" s="12"/>
      <c r="BH1372" s="12"/>
      <c r="BI1372" s="12"/>
      <c r="BJ1372" s="12"/>
      <c r="BK1372" s="44"/>
      <c r="BL1372" s="45"/>
      <c r="BM1372" s="12"/>
      <c r="BN1372" s="12"/>
      <c r="BO1372" s="12"/>
      <c r="BP1372" s="12"/>
      <c r="BQ1372" s="48"/>
      <c r="BR1372" s="49"/>
      <c r="BS1372" s="13"/>
      <c r="BT1372" s="12"/>
      <c r="BV1372" s="14"/>
      <c r="BW1372" s="50"/>
      <c r="BX1372" s="54"/>
      <c r="BY1372" s="14"/>
      <c r="BZ1372" s="14"/>
      <c r="CA1372" s="14"/>
      <c r="CB1372" s="14"/>
      <c r="CC1372" s="14"/>
      <c r="CD1372" s="14"/>
      <c r="CE1372" s="14"/>
      <c r="CF1372" s="15"/>
      <c r="CG1372" s="14"/>
      <c r="CH1372" s="14"/>
      <c r="CI1372" s="50"/>
      <c r="CJ1372" s="54"/>
      <c r="CK1372" s="14"/>
      <c r="CL1372" s="14"/>
      <c r="CM1372" s="14"/>
      <c r="CN1372" s="14"/>
      <c r="CO1372" s="14"/>
      <c r="CP1372" s="14"/>
      <c r="CQ1372" s="14"/>
      <c r="CR1372" s="14"/>
      <c r="CS1372" s="14"/>
      <c r="CT1372" s="14"/>
      <c r="CU1372" s="16"/>
      <c r="CV1372" s="14"/>
      <c r="CW1372" s="50"/>
      <c r="CX1372" s="17"/>
    </row>
    <row r="1373" spans="4:102" x14ac:dyDescent="0.25"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43"/>
      <c r="Q1373" s="11"/>
      <c r="R1373" s="11"/>
      <c r="S1373" s="11"/>
      <c r="T1373" s="11"/>
      <c r="U1373" s="11"/>
      <c r="V1373" s="11"/>
      <c r="W1373" s="11"/>
      <c r="X1373" s="12"/>
      <c r="Y1373" s="12"/>
      <c r="Z1373" s="12"/>
      <c r="AA1373" s="44"/>
      <c r="AB1373" s="45"/>
      <c r="AC1373" s="12"/>
      <c r="AD1373" s="12"/>
      <c r="AE1373" s="12"/>
      <c r="AF1373" s="12"/>
      <c r="AG1373" s="44"/>
      <c r="AH1373" s="45"/>
      <c r="AI1373" s="12"/>
      <c r="AJ1373" s="12"/>
      <c r="AK1373" s="12"/>
      <c r="AL1373" s="12"/>
      <c r="AM1373" s="44"/>
      <c r="AN1373" s="45"/>
      <c r="AO1373" s="12"/>
      <c r="AP1373" s="12"/>
      <c r="AQ1373" s="12"/>
      <c r="AR1373" s="12"/>
      <c r="AS1373" s="44"/>
      <c r="AT1373" s="45"/>
      <c r="AU1373" s="12"/>
      <c r="AV1373" s="12"/>
      <c r="AW1373" s="12"/>
      <c r="AX1373" s="12"/>
      <c r="AY1373" s="44"/>
      <c r="AZ1373" s="45"/>
      <c r="BA1373" s="12"/>
      <c r="BB1373" s="12"/>
      <c r="BC1373" s="12"/>
      <c r="BD1373" s="12"/>
      <c r="BE1373" s="44"/>
      <c r="BF1373" s="45"/>
      <c r="BG1373" s="12"/>
      <c r="BH1373" s="12"/>
      <c r="BI1373" s="12"/>
      <c r="BJ1373" s="12"/>
      <c r="BK1373" s="44"/>
      <c r="BL1373" s="45"/>
      <c r="BM1373" s="12"/>
      <c r="BN1373" s="12"/>
      <c r="BO1373" s="12"/>
      <c r="BP1373" s="12"/>
      <c r="BQ1373" s="48"/>
      <c r="BR1373" s="49"/>
      <c r="BS1373" s="13"/>
      <c r="BT1373" s="12"/>
      <c r="BV1373" s="14"/>
      <c r="BW1373" s="50"/>
      <c r="BX1373" s="54"/>
      <c r="BY1373" s="14"/>
      <c r="BZ1373" s="14"/>
      <c r="CA1373" s="14"/>
      <c r="CB1373" s="14"/>
      <c r="CC1373" s="14"/>
      <c r="CD1373" s="14"/>
      <c r="CE1373" s="14"/>
      <c r="CF1373" s="15"/>
      <c r="CG1373" s="14"/>
      <c r="CH1373" s="14"/>
      <c r="CI1373" s="50"/>
      <c r="CJ1373" s="54"/>
      <c r="CK1373" s="14"/>
      <c r="CL1373" s="14"/>
      <c r="CM1373" s="14"/>
      <c r="CN1373" s="14"/>
      <c r="CO1373" s="14"/>
      <c r="CP1373" s="14"/>
      <c r="CQ1373" s="14"/>
      <c r="CR1373" s="14"/>
      <c r="CS1373" s="14"/>
      <c r="CT1373" s="14"/>
      <c r="CU1373" s="16"/>
      <c r="CV1373" s="14"/>
      <c r="CW1373" s="50"/>
      <c r="CX1373" s="17"/>
    </row>
    <row r="1374" spans="4:102" x14ac:dyDescent="0.25"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43"/>
      <c r="Q1374" s="11"/>
      <c r="R1374" s="11"/>
      <c r="S1374" s="11"/>
      <c r="T1374" s="11"/>
      <c r="U1374" s="11"/>
      <c r="V1374" s="11"/>
      <c r="W1374" s="11"/>
      <c r="X1374" s="12"/>
      <c r="Y1374" s="12"/>
      <c r="Z1374" s="12"/>
      <c r="AA1374" s="44"/>
      <c r="AB1374" s="45"/>
      <c r="AC1374" s="12"/>
      <c r="AD1374" s="12"/>
      <c r="AE1374" s="12"/>
      <c r="AF1374" s="12"/>
      <c r="AG1374" s="44"/>
      <c r="AH1374" s="45"/>
      <c r="AI1374" s="12"/>
      <c r="AJ1374" s="12"/>
      <c r="AK1374" s="12"/>
      <c r="AL1374" s="12"/>
      <c r="AM1374" s="44"/>
      <c r="AN1374" s="45"/>
      <c r="AO1374" s="12"/>
      <c r="AP1374" s="12"/>
      <c r="AQ1374" s="12"/>
      <c r="AR1374" s="12"/>
      <c r="AS1374" s="44"/>
      <c r="AT1374" s="45"/>
      <c r="AU1374" s="12"/>
      <c r="AV1374" s="12"/>
      <c r="AW1374" s="12"/>
      <c r="AX1374" s="12"/>
      <c r="AY1374" s="44"/>
      <c r="AZ1374" s="45"/>
      <c r="BA1374" s="12"/>
      <c r="BB1374" s="12"/>
      <c r="BC1374" s="12"/>
      <c r="BD1374" s="12"/>
      <c r="BE1374" s="44"/>
      <c r="BF1374" s="45"/>
      <c r="BG1374" s="12"/>
      <c r="BH1374" s="12"/>
      <c r="BI1374" s="12"/>
      <c r="BJ1374" s="12"/>
      <c r="BK1374" s="44"/>
      <c r="BL1374" s="45"/>
      <c r="BM1374" s="12"/>
      <c r="BN1374" s="12"/>
      <c r="BO1374" s="12"/>
      <c r="BP1374" s="12"/>
      <c r="BQ1374" s="48"/>
      <c r="BR1374" s="49"/>
      <c r="BS1374" s="13"/>
      <c r="BT1374" s="12"/>
      <c r="BV1374" s="14"/>
      <c r="BW1374" s="50"/>
      <c r="BX1374" s="54"/>
      <c r="BY1374" s="14"/>
      <c r="BZ1374" s="14"/>
      <c r="CA1374" s="14"/>
      <c r="CB1374" s="14"/>
      <c r="CC1374" s="14"/>
      <c r="CD1374" s="14"/>
      <c r="CE1374" s="14"/>
      <c r="CF1374" s="15"/>
      <c r="CG1374" s="14"/>
      <c r="CH1374" s="14"/>
      <c r="CI1374" s="50"/>
      <c r="CJ1374" s="54"/>
      <c r="CK1374" s="14"/>
      <c r="CL1374" s="14"/>
      <c r="CM1374" s="14"/>
      <c r="CN1374" s="14"/>
      <c r="CO1374" s="14"/>
      <c r="CP1374" s="14"/>
      <c r="CQ1374" s="14"/>
      <c r="CR1374" s="14"/>
      <c r="CS1374" s="14"/>
      <c r="CT1374" s="14"/>
      <c r="CU1374" s="16"/>
      <c r="CV1374" s="14"/>
      <c r="CW1374" s="50"/>
      <c r="CX1374" s="17"/>
    </row>
    <row r="1375" spans="4:102" x14ac:dyDescent="0.25"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43"/>
      <c r="Q1375" s="11"/>
      <c r="R1375" s="11"/>
      <c r="S1375" s="11"/>
      <c r="T1375" s="11"/>
      <c r="U1375" s="11"/>
      <c r="V1375" s="11"/>
      <c r="W1375" s="11"/>
      <c r="X1375" s="12"/>
      <c r="Y1375" s="12"/>
      <c r="Z1375" s="12"/>
      <c r="AA1375" s="44"/>
      <c r="AB1375" s="45"/>
      <c r="AC1375" s="12"/>
      <c r="AD1375" s="12"/>
      <c r="AE1375" s="12"/>
      <c r="AF1375" s="12"/>
      <c r="AG1375" s="44"/>
      <c r="AH1375" s="45"/>
      <c r="AI1375" s="12"/>
      <c r="AJ1375" s="12"/>
      <c r="AK1375" s="12"/>
      <c r="AL1375" s="12"/>
      <c r="AM1375" s="44"/>
      <c r="AN1375" s="45"/>
      <c r="AO1375" s="12"/>
      <c r="AP1375" s="12"/>
      <c r="AQ1375" s="12"/>
      <c r="AR1375" s="12"/>
      <c r="AS1375" s="44"/>
      <c r="AT1375" s="45"/>
      <c r="AU1375" s="12"/>
      <c r="AV1375" s="12"/>
      <c r="AW1375" s="12"/>
      <c r="AX1375" s="12"/>
      <c r="AY1375" s="44"/>
      <c r="AZ1375" s="45"/>
      <c r="BA1375" s="12"/>
      <c r="BB1375" s="12"/>
      <c r="BC1375" s="12"/>
      <c r="BD1375" s="12"/>
      <c r="BE1375" s="44"/>
      <c r="BF1375" s="45"/>
      <c r="BG1375" s="12"/>
      <c r="BH1375" s="12"/>
      <c r="BI1375" s="12"/>
      <c r="BJ1375" s="12"/>
      <c r="BK1375" s="44"/>
      <c r="BL1375" s="45"/>
      <c r="BM1375" s="12"/>
      <c r="BN1375" s="12"/>
      <c r="BO1375" s="12"/>
      <c r="BP1375" s="12"/>
      <c r="BQ1375" s="48"/>
      <c r="BR1375" s="49"/>
      <c r="BS1375" s="13"/>
      <c r="BT1375" s="12"/>
      <c r="BV1375" s="14"/>
      <c r="BW1375" s="50"/>
      <c r="BX1375" s="54"/>
      <c r="BY1375" s="14"/>
      <c r="BZ1375" s="14"/>
      <c r="CA1375" s="14"/>
      <c r="CB1375" s="14"/>
      <c r="CC1375" s="14"/>
      <c r="CD1375" s="14"/>
      <c r="CE1375" s="14"/>
      <c r="CF1375" s="15"/>
      <c r="CG1375" s="14"/>
      <c r="CH1375" s="14"/>
      <c r="CI1375" s="50"/>
      <c r="CJ1375" s="54"/>
      <c r="CK1375" s="14"/>
      <c r="CL1375" s="14"/>
      <c r="CM1375" s="14"/>
      <c r="CN1375" s="14"/>
      <c r="CO1375" s="14"/>
      <c r="CP1375" s="14"/>
      <c r="CQ1375" s="14"/>
      <c r="CR1375" s="14"/>
      <c r="CS1375" s="14"/>
      <c r="CT1375" s="14"/>
      <c r="CU1375" s="16"/>
      <c r="CV1375" s="14"/>
      <c r="CW1375" s="50"/>
      <c r="CX1375" s="17"/>
    </row>
    <row r="1376" spans="4:102" x14ac:dyDescent="0.25"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43"/>
      <c r="Q1376" s="11"/>
      <c r="R1376" s="11"/>
      <c r="S1376" s="11"/>
      <c r="T1376" s="11"/>
      <c r="U1376" s="11"/>
      <c r="V1376" s="11"/>
      <c r="W1376" s="11"/>
      <c r="X1376" s="12"/>
      <c r="Y1376" s="12"/>
      <c r="Z1376" s="12"/>
      <c r="AA1376" s="44"/>
      <c r="AB1376" s="45"/>
      <c r="AC1376" s="12"/>
      <c r="AD1376" s="12"/>
      <c r="AE1376" s="12"/>
      <c r="AF1376" s="12"/>
      <c r="AG1376" s="44"/>
      <c r="AH1376" s="45"/>
      <c r="AI1376" s="12"/>
      <c r="AJ1376" s="12"/>
      <c r="AK1376" s="12"/>
      <c r="AL1376" s="12"/>
      <c r="AM1376" s="44"/>
      <c r="AN1376" s="45"/>
      <c r="AO1376" s="12"/>
      <c r="AP1376" s="12"/>
      <c r="AQ1376" s="12"/>
      <c r="AR1376" s="12"/>
      <c r="AS1376" s="44"/>
      <c r="AT1376" s="45"/>
      <c r="AU1376" s="12"/>
      <c r="AV1376" s="12"/>
      <c r="AW1376" s="12"/>
      <c r="AX1376" s="12"/>
      <c r="AY1376" s="44"/>
      <c r="AZ1376" s="45"/>
      <c r="BA1376" s="12"/>
      <c r="BB1376" s="12"/>
      <c r="BC1376" s="12"/>
      <c r="BD1376" s="12"/>
      <c r="BE1376" s="44"/>
      <c r="BF1376" s="45"/>
      <c r="BG1376" s="12"/>
      <c r="BH1376" s="12"/>
      <c r="BI1376" s="12"/>
      <c r="BJ1376" s="12"/>
      <c r="BK1376" s="44"/>
      <c r="BL1376" s="45"/>
      <c r="BM1376" s="12"/>
      <c r="BN1376" s="12"/>
      <c r="BO1376" s="12"/>
      <c r="BP1376" s="12"/>
      <c r="BQ1376" s="48"/>
      <c r="BR1376" s="49"/>
      <c r="BS1376" s="13"/>
      <c r="BT1376" s="12"/>
      <c r="BV1376" s="14"/>
      <c r="BW1376" s="50"/>
      <c r="BX1376" s="54"/>
      <c r="BY1376" s="14"/>
      <c r="BZ1376" s="14"/>
      <c r="CA1376" s="14"/>
      <c r="CB1376" s="14"/>
      <c r="CC1376" s="14"/>
      <c r="CD1376" s="14"/>
      <c r="CE1376" s="14"/>
      <c r="CF1376" s="15"/>
      <c r="CG1376" s="14"/>
      <c r="CH1376" s="14"/>
      <c r="CI1376" s="50"/>
      <c r="CJ1376" s="54"/>
      <c r="CK1376" s="14"/>
      <c r="CL1376" s="14"/>
      <c r="CM1376" s="14"/>
      <c r="CN1376" s="14"/>
      <c r="CO1376" s="14"/>
      <c r="CP1376" s="14"/>
      <c r="CQ1376" s="14"/>
      <c r="CR1376" s="14"/>
      <c r="CS1376" s="14"/>
      <c r="CT1376" s="14"/>
      <c r="CU1376" s="16"/>
      <c r="CV1376" s="14"/>
      <c r="CW1376" s="50"/>
      <c r="CX1376" s="17"/>
    </row>
    <row r="1377" spans="4:102" x14ac:dyDescent="0.25"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43"/>
      <c r="Q1377" s="11"/>
      <c r="R1377" s="11"/>
      <c r="S1377" s="11"/>
      <c r="T1377" s="11"/>
      <c r="U1377" s="11"/>
      <c r="V1377" s="11"/>
      <c r="W1377" s="11"/>
      <c r="X1377" s="12"/>
      <c r="Y1377" s="12"/>
      <c r="Z1377" s="12"/>
      <c r="AA1377" s="44"/>
      <c r="AB1377" s="45"/>
      <c r="AC1377" s="12"/>
      <c r="AD1377" s="12"/>
      <c r="AE1377" s="12"/>
      <c r="AF1377" s="12"/>
      <c r="AG1377" s="44"/>
      <c r="AH1377" s="45"/>
      <c r="AI1377" s="12"/>
      <c r="AJ1377" s="12"/>
      <c r="AK1377" s="12"/>
      <c r="AL1377" s="12"/>
      <c r="AM1377" s="44"/>
      <c r="AN1377" s="45"/>
      <c r="AO1377" s="12"/>
      <c r="AP1377" s="12"/>
      <c r="AQ1377" s="12"/>
      <c r="AR1377" s="12"/>
      <c r="AS1377" s="44"/>
      <c r="AT1377" s="45"/>
      <c r="AU1377" s="12"/>
      <c r="AV1377" s="12"/>
      <c r="AW1377" s="12"/>
      <c r="AX1377" s="12"/>
      <c r="AY1377" s="44"/>
      <c r="AZ1377" s="45"/>
      <c r="BA1377" s="12"/>
      <c r="BB1377" s="12"/>
      <c r="BC1377" s="12"/>
      <c r="BD1377" s="12"/>
      <c r="BE1377" s="44"/>
      <c r="BF1377" s="45"/>
      <c r="BG1377" s="12"/>
      <c r="BH1377" s="12"/>
      <c r="BI1377" s="12"/>
      <c r="BJ1377" s="12"/>
      <c r="BK1377" s="44"/>
      <c r="BL1377" s="45"/>
      <c r="BM1377" s="12"/>
      <c r="BN1377" s="12"/>
      <c r="BO1377" s="12"/>
      <c r="BP1377" s="12"/>
      <c r="BQ1377" s="48"/>
      <c r="BR1377" s="49"/>
      <c r="BS1377" s="13"/>
      <c r="BT1377" s="12"/>
      <c r="BV1377" s="14"/>
      <c r="BW1377" s="50"/>
      <c r="BX1377" s="54"/>
      <c r="BY1377" s="14"/>
      <c r="BZ1377" s="14"/>
      <c r="CA1377" s="14"/>
      <c r="CB1377" s="14"/>
      <c r="CC1377" s="14"/>
      <c r="CD1377" s="14"/>
      <c r="CE1377" s="14"/>
      <c r="CF1377" s="15"/>
      <c r="CG1377" s="14"/>
      <c r="CH1377" s="14"/>
      <c r="CI1377" s="50"/>
      <c r="CJ1377" s="54"/>
      <c r="CK1377" s="14"/>
      <c r="CL1377" s="14"/>
      <c r="CM1377" s="14"/>
      <c r="CN1377" s="14"/>
      <c r="CO1377" s="14"/>
      <c r="CP1377" s="14"/>
      <c r="CQ1377" s="14"/>
      <c r="CR1377" s="14"/>
      <c r="CS1377" s="14"/>
      <c r="CT1377" s="14"/>
      <c r="CU1377" s="16"/>
      <c r="CV1377" s="14"/>
      <c r="CW1377" s="50"/>
      <c r="CX1377" s="17"/>
    </row>
    <row r="1378" spans="4:102" x14ac:dyDescent="0.25"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43"/>
      <c r="Q1378" s="11"/>
      <c r="R1378" s="11"/>
      <c r="S1378" s="11"/>
      <c r="T1378" s="11"/>
      <c r="U1378" s="11"/>
      <c r="V1378" s="11"/>
      <c r="W1378" s="11"/>
      <c r="X1378" s="12"/>
      <c r="Y1378" s="12"/>
      <c r="Z1378" s="12"/>
      <c r="AA1378" s="44"/>
      <c r="AB1378" s="45"/>
      <c r="AC1378" s="12"/>
      <c r="AD1378" s="12"/>
      <c r="AE1378" s="12"/>
      <c r="AF1378" s="12"/>
      <c r="AG1378" s="44"/>
      <c r="AH1378" s="45"/>
      <c r="AI1378" s="12"/>
      <c r="AJ1378" s="12"/>
      <c r="AK1378" s="12"/>
      <c r="AL1378" s="12"/>
      <c r="AM1378" s="44"/>
      <c r="AN1378" s="45"/>
      <c r="AO1378" s="12"/>
      <c r="AP1378" s="12"/>
      <c r="AQ1378" s="12"/>
      <c r="AR1378" s="12"/>
      <c r="AS1378" s="44"/>
      <c r="AT1378" s="45"/>
      <c r="AU1378" s="12"/>
      <c r="AV1378" s="12"/>
      <c r="AW1378" s="12"/>
      <c r="AX1378" s="12"/>
      <c r="AY1378" s="44"/>
      <c r="AZ1378" s="45"/>
      <c r="BA1378" s="12"/>
      <c r="BB1378" s="12"/>
      <c r="BC1378" s="12"/>
      <c r="BD1378" s="12"/>
      <c r="BE1378" s="44"/>
      <c r="BF1378" s="45"/>
      <c r="BG1378" s="12"/>
      <c r="BH1378" s="12"/>
      <c r="BI1378" s="12"/>
      <c r="BJ1378" s="12"/>
      <c r="BK1378" s="44"/>
      <c r="BL1378" s="45"/>
      <c r="BM1378" s="12"/>
      <c r="BN1378" s="12"/>
      <c r="BO1378" s="12"/>
      <c r="BP1378" s="12"/>
      <c r="BQ1378" s="48"/>
      <c r="BR1378" s="49"/>
      <c r="BS1378" s="13"/>
      <c r="BT1378" s="12"/>
      <c r="BV1378" s="14"/>
      <c r="BW1378" s="50"/>
      <c r="BX1378" s="54"/>
      <c r="BY1378" s="14"/>
      <c r="BZ1378" s="14"/>
      <c r="CA1378" s="14"/>
      <c r="CB1378" s="14"/>
      <c r="CC1378" s="14"/>
      <c r="CD1378" s="14"/>
      <c r="CE1378" s="14"/>
      <c r="CF1378" s="15"/>
      <c r="CG1378" s="14"/>
      <c r="CH1378" s="14"/>
      <c r="CI1378" s="50"/>
      <c r="CJ1378" s="54"/>
      <c r="CK1378" s="14"/>
      <c r="CL1378" s="14"/>
      <c r="CM1378" s="14"/>
      <c r="CN1378" s="14"/>
      <c r="CO1378" s="14"/>
      <c r="CP1378" s="14"/>
      <c r="CQ1378" s="14"/>
      <c r="CR1378" s="14"/>
      <c r="CS1378" s="14"/>
      <c r="CT1378" s="14"/>
      <c r="CU1378" s="16"/>
      <c r="CV1378" s="14"/>
      <c r="CW1378" s="50"/>
      <c r="CX1378" s="17"/>
    </row>
    <row r="1379" spans="4:102" x14ac:dyDescent="0.25"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43"/>
      <c r="Q1379" s="11"/>
      <c r="R1379" s="11"/>
      <c r="S1379" s="11"/>
      <c r="T1379" s="11"/>
      <c r="U1379" s="11"/>
      <c r="V1379" s="11"/>
      <c r="W1379" s="11"/>
      <c r="X1379" s="12"/>
      <c r="Y1379" s="12"/>
      <c r="Z1379" s="12"/>
      <c r="AA1379" s="44"/>
      <c r="AB1379" s="45"/>
      <c r="AC1379" s="12"/>
      <c r="AD1379" s="12"/>
      <c r="AE1379" s="12"/>
      <c r="AF1379" s="12"/>
      <c r="AG1379" s="44"/>
      <c r="AH1379" s="45"/>
      <c r="AI1379" s="12"/>
      <c r="AJ1379" s="12"/>
      <c r="AK1379" s="12"/>
      <c r="AL1379" s="12"/>
      <c r="AM1379" s="44"/>
      <c r="AN1379" s="45"/>
      <c r="AO1379" s="12"/>
      <c r="AP1379" s="12"/>
      <c r="AQ1379" s="12"/>
      <c r="AR1379" s="12"/>
      <c r="AS1379" s="44"/>
      <c r="AT1379" s="45"/>
      <c r="AU1379" s="12"/>
      <c r="AV1379" s="12"/>
      <c r="AW1379" s="12"/>
      <c r="AX1379" s="12"/>
      <c r="AY1379" s="44"/>
      <c r="AZ1379" s="45"/>
      <c r="BA1379" s="12"/>
      <c r="BB1379" s="12"/>
      <c r="BC1379" s="12"/>
      <c r="BD1379" s="12"/>
      <c r="BE1379" s="44"/>
      <c r="BF1379" s="45"/>
      <c r="BG1379" s="12"/>
      <c r="BH1379" s="12"/>
      <c r="BI1379" s="12"/>
      <c r="BJ1379" s="12"/>
      <c r="BK1379" s="44"/>
      <c r="BL1379" s="45"/>
      <c r="BM1379" s="12"/>
      <c r="BN1379" s="12"/>
      <c r="BO1379" s="12"/>
      <c r="BP1379" s="12"/>
      <c r="BQ1379" s="48"/>
      <c r="BR1379" s="49"/>
      <c r="BS1379" s="13"/>
      <c r="BT1379" s="12"/>
      <c r="BV1379" s="14"/>
      <c r="BW1379" s="50"/>
      <c r="BX1379" s="54"/>
      <c r="BY1379" s="14"/>
      <c r="BZ1379" s="14"/>
      <c r="CA1379" s="14"/>
      <c r="CB1379" s="14"/>
      <c r="CC1379" s="14"/>
      <c r="CD1379" s="14"/>
      <c r="CE1379" s="14"/>
      <c r="CF1379" s="15"/>
      <c r="CG1379" s="14"/>
      <c r="CH1379" s="14"/>
      <c r="CI1379" s="50"/>
      <c r="CJ1379" s="54"/>
      <c r="CK1379" s="14"/>
      <c r="CL1379" s="14"/>
      <c r="CM1379" s="14"/>
      <c r="CN1379" s="14"/>
      <c r="CO1379" s="14"/>
      <c r="CP1379" s="14"/>
      <c r="CQ1379" s="14"/>
      <c r="CR1379" s="14"/>
      <c r="CS1379" s="14"/>
      <c r="CT1379" s="14"/>
      <c r="CU1379" s="16"/>
      <c r="CV1379" s="14"/>
      <c r="CW1379" s="50"/>
      <c r="CX1379" s="17"/>
    </row>
    <row r="1380" spans="4:102" x14ac:dyDescent="0.25"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43"/>
      <c r="Q1380" s="11"/>
      <c r="R1380" s="11"/>
      <c r="S1380" s="11"/>
      <c r="T1380" s="11"/>
      <c r="U1380" s="11"/>
      <c r="V1380" s="11"/>
      <c r="W1380" s="11"/>
      <c r="X1380" s="12"/>
      <c r="Y1380" s="12"/>
      <c r="Z1380" s="12"/>
      <c r="AA1380" s="44"/>
      <c r="AB1380" s="45"/>
      <c r="AC1380" s="12"/>
      <c r="AD1380" s="12"/>
      <c r="AE1380" s="12"/>
      <c r="AF1380" s="12"/>
      <c r="AG1380" s="44"/>
      <c r="AH1380" s="45"/>
      <c r="AI1380" s="12"/>
      <c r="AJ1380" s="12"/>
      <c r="AK1380" s="12"/>
      <c r="AL1380" s="12"/>
      <c r="AM1380" s="44"/>
      <c r="AN1380" s="45"/>
      <c r="AO1380" s="12"/>
      <c r="AP1380" s="12"/>
      <c r="AQ1380" s="12"/>
      <c r="AR1380" s="12"/>
      <c r="AS1380" s="44"/>
      <c r="AT1380" s="45"/>
      <c r="AU1380" s="12"/>
      <c r="AV1380" s="12"/>
      <c r="AW1380" s="12"/>
      <c r="AX1380" s="12"/>
      <c r="AY1380" s="44"/>
      <c r="AZ1380" s="45"/>
      <c r="BA1380" s="12"/>
      <c r="BB1380" s="12"/>
      <c r="BC1380" s="12"/>
      <c r="BD1380" s="12"/>
      <c r="BE1380" s="44"/>
      <c r="BF1380" s="45"/>
      <c r="BG1380" s="12"/>
      <c r="BH1380" s="12"/>
      <c r="BI1380" s="12"/>
      <c r="BJ1380" s="12"/>
      <c r="BK1380" s="44"/>
      <c r="BL1380" s="45"/>
      <c r="BM1380" s="12"/>
      <c r="BN1380" s="12"/>
      <c r="BO1380" s="12"/>
      <c r="BP1380" s="12"/>
      <c r="BQ1380" s="48"/>
      <c r="BR1380" s="49"/>
      <c r="BS1380" s="13"/>
      <c r="BT1380" s="12"/>
      <c r="BV1380" s="14"/>
      <c r="BW1380" s="50"/>
      <c r="BX1380" s="54"/>
      <c r="BY1380" s="14"/>
      <c r="BZ1380" s="14"/>
      <c r="CA1380" s="14"/>
      <c r="CB1380" s="14"/>
      <c r="CC1380" s="14"/>
      <c r="CD1380" s="14"/>
      <c r="CE1380" s="14"/>
      <c r="CF1380" s="15"/>
      <c r="CG1380" s="14"/>
      <c r="CH1380" s="14"/>
      <c r="CI1380" s="50"/>
      <c r="CJ1380" s="54"/>
      <c r="CK1380" s="14"/>
      <c r="CL1380" s="14"/>
      <c r="CM1380" s="14"/>
      <c r="CN1380" s="14"/>
      <c r="CO1380" s="14"/>
      <c r="CP1380" s="14"/>
      <c r="CQ1380" s="14"/>
      <c r="CR1380" s="14"/>
      <c r="CS1380" s="14"/>
      <c r="CT1380" s="14"/>
      <c r="CU1380" s="16"/>
      <c r="CV1380" s="14"/>
      <c r="CW1380" s="50"/>
      <c r="CX1380" s="17"/>
    </row>
    <row r="1381" spans="4:102" x14ac:dyDescent="0.25"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43"/>
      <c r="Q1381" s="11"/>
      <c r="R1381" s="11"/>
      <c r="S1381" s="11"/>
      <c r="T1381" s="11"/>
      <c r="U1381" s="11"/>
      <c r="V1381" s="11"/>
      <c r="W1381" s="11"/>
      <c r="X1381" s="12"/>
      <c r="Y1381" s="12"/>
      <c r="Z1381" s="12"/>
      <c r="AA1381" s="44"/>
      <c r="AB1381" s="45"/>
      <c r="AC1381" s="12"/>
      <c r="AD1381" s="12"/>
      <c r="AE1381" s="12"/>
      <c r="AF1381" s="12"/>
      <c r="AG1381" s="44"/>
      <c r="AH1381" s="45"/>
      <c r="AI1381" s="12"/>
      <c r="AJ1381" s="12"/>
      <c r="AK1381" s="12"/>
      <c r="AL1381" s="12"/>
      <c r="AM1381" s="44"/>
      <c r="AN1381" s="45"/>
      <c r="AO1381" s="12"/>
      <c r="AP1381" s="12"/>
      <c r="AQ1381" s="12"/>
      <c r="AR1381" s="12"/>
      <c r="AS1381" s="44"/>
      <c r="AT1381" s="45"/>
      <c r="AU1381" s="12"/>
      <c r="AV1381" s="12"/>
      <c r="AW1381" s="12"/>
      <c r="AX1381" s="12"/>
      <c r="AY1381" s="44"/>
      <c r="AZ1381" s="45"/>
      <c r="BA1381" s="12"/>
      <c r="BB1381" s="12"/>
      <c r="BC1381" s="12"/>
      <c r="BD1381" s="12"/>
      <c r="BE1381" s="44"/>
      <c r="BF1381" s="45"/>
      <c r="BG1381" s="12"/>
      <c r="BH1381" s="12"/>
      <c r="BI1381" s="12"/>
      <c r="BJ1381" s="12"/>
      <c r="BK1381" s="44"/>
      <c r="BL1381" s="45"/>
      <c r="BM1381" s="12"/>
      <c r="BN1381" s="12"/>
      <c r="BO1381" s="12"/>
      <c r="BP1381" s="12"/>
      <c r="BQ1381" s="48"/>
      <c r="BR1381" s="49"/>
      <c r="BS1381" s="13"/>
      <c r="BT1381" s="12"/>
      <c r="BV1381" s="14"/>
      <c r="BW1381" s="50"/>
      <c r="BX1381" s="54"/>
      <c r="BY1381" s="14"/>
      <c r="BZ1381" s="14"/>
      <c r="CA1381" s="14"/>
      <c r="CB1381" s="14"/>
      <c r="CC1381" s="14"/>
      <c r="CD1381" s="14"/>
      <c r="CE1381" s="14"/>
      <c r="CF1381" s="15"/>
      <c r="CG1381" s="14"/>
      <c r="CH1381" s="14"/>
      <c r="CI1381" s="50"/>
      <c r="CJ1381" s="54"/>
      <c r="CK1381" s="14"/>
      <c r="CL1381" s="14"/>
      <c r="CM1381" s="14"/>
      <c r="CN1381" s="14"/>
      <c r="CO1381" s="14"/>
      <c r="CP1381" s="14"/>
      <c r="CQ1381" s="14"/>
      <c r="CR1381" s="14"/>
      <c r="CS1381" s="14"/>
      <c r="CT1381" s="14"/>
      <c r="CU1381" s="16"/>
      <c r="CV1381" s="14"/>
      <c r="CW1381" s="50"/>
      <c r="CX1381" s="17"/>
    </row>
    <row r="1382" spans="4:102" x14ac:dyDescent="0.25"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43"/>
      <c r="Q1382" s="11"/>
      <c r="R1382" s="11"/>
      <c r="S1382" s="11"/>
      <c r="T1382" s="11"/>
      <c r="U1382" s="11"/>
      <c r="V1382" s="11"/>
      <c r="W1382" s="11"/>
      <c r="X1382" s="12"/>
      <c r="Y1382" s="12"/>
      <c r="Z1382" s="12"/>
      <c r="AA1382" s="44"/>
      <c r="AB1382" s="45"/>
      <c r="AC1382" s="12"/>
      <c r="AD1382" s="12"/>
      <c r="AE1382" s="12"/>
      <c r="AF1382" s="12"/>
      <c r="AG1382" s="44"/>
      <c r="AH1382" s="45"/>
      <c r="AI1382" s="12"/>
      <c r="AJ1382" s="12"/>
      <c r="AK1382" s="12"/>
      <c r="AL1382" s="12"/>
      <c r="AM1382" s="44"/>
      <c r="AN1382" s="45"/>
      <c r="AO1382" s="12"/>
      <c r="AP1382" s="12"/>
      <c r="AQ1382" s="12"/>
      <c r="AR1382" s="12"/>
      <c r="AS1382" s="44"/>
      <c r="AT1382" s="45"/>
      <c r="AU1382" s="12"/>
      <c r="AV1382" s="12"/>
      <c r="AW1382" s="12"/>
      <c r="AX1382" s="12"/>
      <c r="AY1382" s="44"/>
      <c r="AZ1382" s="45"/>
      <c r="BA1382" s="12"/>
      <c r="BB1382" s="12"/>
      <c r="BC1382" s="12"/>
      <c r="BD1382" s="12"/>
      <c r="BE1382" s="44"/>
      <c r="BF1382" s="45"/>
      <c r="BG1382" s="12"/>
      <c r="BH1382" s="12"/>
      <c r="BI1382" s="12"/>
      <c r="BJ1382" s="12"/>
      <c r="BK1382" s="44"/>
      <c r="BL1382" s="45"/>
      <c r="BM1382" s="12"/>
      <c r="BN1382" s="12"/>
      <c r="BO1382" s="12"/>
      <c r="BP1382" s="12"/>
      <c r="BQ1382" s="48"/>
      <c r="BR1382" s="49"/>
      <c r="BS1382" s="13"/>
      <c r="BT1382" s="12"/>
      <c r="BV1382" s="14"/>
      <c r="BW1382" s="50"/>
      <c r="BX1382" s="54"/>
      <c r="BY1382" s="14"/>
      <c r="BZ1382" s="14"/>
      <c r="CA1382" s="14"/>
      <c r="CB1382" s="14"/>
      <c r="CC1382" s="14"/>
      <c r="CD1382" s="14"/>
      <c r="CE1382" s="14"/>
      <c r="CF1382" s="15"/>
      <c r="CG1382" s="14"/>
      <c r="CH1382" s="14"/>
      <c r="CI1382" s="50"/>
      <c r="CJ1382" s="54"/>
      <c r="CK1382" s="14"/>
      <c r="CL1382" s="14"/>
      <c r="CM1382" s="14"/>
      <c r="CN1382" s="14"/>
      <c r="CO1382" s="14"/>
      <c r="CP1382" s="14"/>
      <c r="CQ1382" s="14"/>
      <c r="CR1382" s="14"/>
      <c r="CS1382" s="14"/>
      <c r="CT1382" s="14"/>
      <c r="CU1382" s="16"/>
      <c r="CV1382" s="14"/>
      <c r="CW1382" s="50"/>
      <c r="CX1382" s="17"/>
    </row>
    <row r="1383" spans="4:102" x14ac:dyDescent="0.25"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43"/>
      <c r="Q1383" s="11"/>
      <c r="R1383" s="11"/>
      <c r="S1383" s="11"/>
      <c r="T1383" s="11"/>
      <c r="U1383" s="11"/>
      <c r="V1383" s="11"/>
      <c r="W1383" s="11"/>
      <c r="X1383" s="12"/>
      <c r="Y1383" s="12"/>
      <c r="Z1383" s="12"/>
      <c r="AA1383" s="44"/>
      <c r="AB1383" s="45"/>
      <c r="AC1383" s="12"/>
      <c r="AD1383" s="12"/>
      <c r="AE1383" s="12"/>
      <c r="AF1383" s="12"/>
      <c r="AG1383" s="44"/>
      <c r="AH1383" s="45"/>
      <c r="AI1383" s="12"/>
      <c r="AJ1383" s="12"/>
      <c r="AK1383" s="12"/>
      <c r="AL1383" s="12"/>
      <c r="AM1383" s="44"/>
      <c r="AN1383" s="45"/>
      <c r="AO1383" s="12"/>
      <c r="AP1383" s="12"/>
      <c r="AQ1383" s="12"/>
      <c r="AR1383" s="12"/>
      <c r="AS1383" s="44"/>
      <c r="AT1383" s="45"/>
      <c r="AU1383" s="12"/>
      <c r="AV1383" s="12"/>
      <c r="AW1383" s="12"/>
      <c r="AX1383" s="12"/>
      <c r="AY1383" s="44"/>
      <c r="AZ1383" s="45"/>
      <c r="BA1383" s="12"/>
      <c r="BB1383" s="12"/>
      <c r="BC1383" s="12"/>
      <c r="BD1383" s="12"/>
      <c r="BE1383" s="44"/>
      <c r="BF1383" s="45"/>
      <c r="BG1383" s="12"/>
      <c r="BH1383" s="12"/>
      <c r="BI1383" s="12"/>
      <c r="BJ1383" s="12"/>
      <c r="BK1383" s="44"/>
      <c r="BL1383" s="45"/>
      <c r="BM1383" s="12"/>
      <c r="BN1383" s="12"/>
      <c r="BO1383" s="12"/>
      <c r="BP1383" s="12"/>
      <c r="BQ1383" s="48"/>
      <c r="BR1383" s="49"/>
      <c r="BS1383" s="13"/>
      <c r="BT1383" s="12"/>
      <c r="BV1383" s="14"/>
      <c r="BW1383" s="50"/>
      <c r="BX1383" s="54"/>
      <c r="BY1383" s="14"/>
      <c r="BZ1383" s="14"/>
      <c r="CA1383" s="14"/>
      <c r="CB1383" s="14"/>
      <c r="CC1383" s="14"/>
      <c r="CD1383" s="14"/>
      <c r="CE1383" s="14"/>
      <c r="CF1383" s="15"/>
      <c r="CG1383" s="14"/>
      <c r="CH1383" s="14"/>
      <c r="CI1383" s="50"/>
      <c r="CJ1383" s="54"/>
      <c r="CK1383" s="14"/>
      <c r="CL1383" s="14"/>
      <c r="CM1383" s="14"/>
      <c r="CN1383" s="14"/>
      <c r="CO1383" s="14"/>
      <c r="CP1383" s="14"/>
      <c r="CQ1383" s="14"/>
      <c r="CR1383" s="14"/>
      <c r="CS1383" s="14"/>
      <c r="CT1383" s="14"/>
      <c r="CU1383" s="16"/>
      <c r="CV1383" s="14"/>
      <c r="CW1383" s="50"/>
      <c r="CX1383" s="17"/>
    </row>
    <row r="1384" spans="4:102" x14ac:dyDescent="0.25"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43"/>
      <c r="Q1384" s="11"/>
      <c r="R1384" s="11"/>
      <c r="S1384" s="11"/>
      <c r="T1384" s="11"/>
      <c r="U1384" s="11"/>
      <c r="V1384" s="11"/>
      <c r="W1384" s="11"/>
      <c r="X1384" s="12"/>
      <c r="Y1384" s="12"/>
      <c r="Z1384" s="12"/>
      <c r="AA1384" s="44"/>
      <c r="AB1384" s="45"/>
      <c r="AC1384" s="12"/>
      <c r="AD1384" s="12"/>
      <c r="AE1384" s="12"/>
      <c r="AF1384" s="12"/>
      <c r="AG1384" s="44"/>
      <c r="AH1384" s="45"/>
      <c r="AI1384" s="12"/>
      <c r="AJ1384" s="12"/>
      <c r="AK1384" s="12"/>
      <c r="AL1384" s="12"/>
      <c r="AM1384" s="44"/>
      <c r="AN1384" s="45"/>
      <c r="AO1384" s="12"/>
      <c r="AP1384" s="12"/>
      <c r="AQ1384" s="12"/>
      <c r="AR1384" s="12"/>
      <c r="AS1384" s="44"/>
      <c r="AT1384" s="45"/>
      <c r="AU1384" s="12"/>
      <c r="AV1384" s="12"/>
      <c r="AW1384" s="12"/>
      <c r="AX1384" s="12"/>
      <c r="AY1384" s="44"/>
      <c r="AZ1384" s="45"/>
      <c r="BA1384" s="12"/>
      <c r="BB1384" s="12"/>
      <c r="BC1384" s="12"/>
      <c r="BD1384" s="12"/>
      <c r="BE1384" s="44"/>
      <c r="BF1384" s="45"/>
      <c r="BG1384" s="12"/>
      <c r="BH1384" s="12"/>
      <c r="BI1384" s="12"/>
      <c r="BJ1384" s="12"/>
      <c r="BK1384" s="44"/>
      <c r="BL1384" s="45"/>
      <c r="BM1384" s="12"/>
      <c r="BN1384" s="12"/>
      <c r="BO1384" s="12"/>
      <c r="BP1384" s="12"/>
      <c r="BQ1384" s="48"/>
      <c r="BR1384" s="49"/>
      <c r="BS1384" s="13"/>
      <c r="BT1384" s="12"/>
      <c r="BV1384" s="14"/>
      <c r="BW1384" s="50"/>
      <c r="BX1384" s="54"/>
      <c r="BY1384" s="14"/>
      <c r="BZ1384" s="14"/>
      <c r="CA1384" s="14"/>
      <c r="CB1384" s="14"/>
      <c r="CC1384" s="14"/>
      <c r="CD1384" s="14"/>
      <c r="CE1384" s="14"/>
      <c r="CF1384" s="15"/>
      <c r="CG1384" s="14"/>
      <c r="CH1384" s="14"/>
      <c r="CI1384" s="50"/>
      <c r="CJ1384" s="54"/>
      <c r="CK1384" s="14"/>
      <c r="CL1384" s="14"/>
      <c r="CM1384" s="14"/>
      <c r="CN1384" s="14"/>
      <c r="CO1384" s="14"/>
      <c r="CP1384" s="14"/>
      <c r="CQ1384" s="14"/>
      <c r="CR1384" s="14"/>
      <c r="CS1384" s="14"/>
      <c r="CT1384" s="14"/>
      <c r="CU1384" s="16"/>
      <c r="CV1384" s="14"/>
      <c r="CW1384" s="50"/>
      <c r="CX1384" s="17"/>
    </row>
    <row r="1385" spans="4:102" x14ac:dyDescent="0.25"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43"/>
      <c r="Q1385" s="11"/>
      <c r="R1385" s="11"/>
      <c r="S1385" s="11"/>
      <c r="T1385" s="11"/>
      <c r="U1385" s="11"/>
      <c r="V1385" s="11"/>
      <c r="W1385" s="11"/>
      <c r="X1385" s="12"/>
      <c r="Y1385" s="12"/>
      <c r="Z1385" s="12"/>
      <c r="AA1385" s="44"/>
      <c r="AB1385" s="45"/>
      <c r="AC1385" s="12"/>
      <c r="AD1385" s="12"/>
      <c r="AE1385" s="12"/>
      <c r="AF1385" s="12"/>
      <c r="AG1385" s="44"/>
      <c r="AH1385" s="45"/>
      <c r="AI1385" s="12"/>
      <c r="AJ1385" s="12"/>
      <c r="AK1385" s="12"/>
      <c r="AL1385" s="12"/>
      <c r="AM1385" s="44"/>
      <c r="AN1385" s="45"/>
      <c r="AO1385" s="12"/>
      <c r="AP1385" s="12"/>
      <c r="AQ1385" s="12"/>
      <c r="AR1385" s="12"/>
      <c r="AS1385" s="44"/>
      <c r="AT1385" s="45"/>
      <c r="AU1385" s="12"/>
      <c r="AV1385" s="12"/>
      <c r="AW1385" s="12"/>
      <c r="AX1385" s="12"/>
      <c r="AY1385" s="44"/>
      <c r="AZ1385" s="45"/>
      <c r="BA1385" s="12"/>
      <c r="BB1385" s="12"/>
      <c r="BC1385" s="12"/>
      <c r="BD1385" s="12"/>
      <c r="BE1385" s="44"/>
      <c r="BF1385" s="45"/>
      <c r="BG1385" s="12"/>
      <c r="BH1385" s="12"/>
      <c r="BI1385" s="12"/>
      <c r="BJ1385" s="12"/>
      <c r="BK1385" s="44"/>
      <c r="BL1385" s="45"/>
      <c r="BM1385" s="12"/>
      <c r="BN1385" s="12"/>
      <c r="BO1385" s="12"/>
      <c r="BP1385" s="12"/>
      <c r="BQ1385" s="48"/>
      <c r="BR1385" s="49"/>
      <c r="BS1385" s="13"/>
      <c r="BT1385" s="12"/>
      <c r="BV1385" s="14"/>
      <c r="BW1385" s="50"/>
      <c r="BX1385" s="54"/>
      <c r="BY1385" s="14"/>
      <c r="BZ1385" s="14"/>
      <c r="CA1385" s="14"/>
      <c r="CB1385" s="14"/>
      <c r="CC1385" s="14"/>
      <c r="CD1385" s="14"/>
      <c r="CE1385" s="14"/>
      <c r="CF1385" s="15"/>
      <c r="CG1385" s="14"/>
      <c r="CH1385" s="14"/>
      <c r="CI1385" s="50"/>
      <c r="CJ1385" s="54"/>
      <c r="CK1385" s="14"/>
      <c r="CL1385" s="14"/>
      <c r="CM1385" s="14"/>
      <c r="CN1385" s="14"/>
      <c r="CO1385" s="14"/>
      <c r="CP1385" s="14"/>
      <c r="CQ1385" s="14"/>
      <c r="CR1385" s="14"/>
      <c r="CS1385" s="14"/>
      <c r="CT1385" s="14"/>
      <c r="CU1385" s="16"/>
      <c r="CV1385" s="14"/>
      <c r="CW1385" s="50"/>
      <c r="CX1385" s="17"/>
    </row>
    <row r="1386" spans="4:102" x14ac:dyDescent="0.25"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43"/>
      <c r="Q1386" s="11"/>
      <c r="R1386" s="11"/>
      <c r="S1386" s="11"/>
      <c r="T1386" s="11"/>
      <c r="U1386" s="11"/>
      <c r="V1386" s="11"/>
      <c r="W1386" s="11"/>
      <c r="X1386" s="12"/>
      <c r="Y1386" s="12"/>
      <c r="Z1386" s="12"/>
      <c r="AA1386" s="44"/>
      <c r="AB1386" s="45"/>
      <c r="AC1386" s="12"/>
      <c r="AD1386" s="12"/>
      <c r="AE1386" s="12"/>
      <c r="AF1386" s="12"/>
      <c r="AG1386" s="44"/>
      <c r="AH1386" s="45"/>
      <c r="AI1386" s="12"/>
      <c r="AJ1386" s="12"/>
      <c r="AK1386" s="12"/>
      <c r="AL1386" s="12"/>
      <c r="AM1386" s="44"/>
      <c r="AN1386" s="45"/>
      <c r="AO1386" s="12"/>
      <c r="AP1386" s="12"/>
      <c r="AQ1386" s="12"/>
      <c r="AR1386" s="12"/>
      <c r="AS1386" s="44"/>
      <c r="AT1386" s="45"/>
      <c r="AU1386" s="12"/>
      <c r="AV1386" s="12"/>
      <c r="AW1386" s="12"/>
      <c r="AX1386" s="12"/>
      <c r="AY1386" s="44"/>
      <c r="AZ1386" s="45"/>
      <c r="BA1386" s="12"/>
      <c r="BB1386" s="12"/>
      <c r="BC1386" s="12"/>
      <c r="BD1386" s="12"/>
      <c r="BE1386" s="44"/>
      <c r="BF1386" s="45"/>
      <c r="BG1386" s="12"/>
      <c r="BH1386" s="12"/>
      <c r="BI1386" s="12"/>
      <c r="BJ1386" s="12"/>
      <c r="BK1386" s="44"/>
      <c r="BL1386" s="45"/>
      <c r="BM1386" s="12"/>
      <c r="BN1386" s="12"/>
      <c r="BO1386" s="12"/>
      <c r="BP1386" s="12"/>
      <c r="BQ1386" s="48"/>
      <c r="BR1386" s="49"/>
      <c r="BS1386" s="13"/>
      <c r="BT1386" s="12"/>
      <c r="BV1386" s="14"/>
      <c r="BW1386" s="50"/>
      <c r="BX1386" s="54"/>
      <c r="BY1386" s="14"/>
      <c r="BZ1386" s="14"/>
      <c r="CA1386" s="14"/>
      <c r="CB1386" s="14"/>
      <c r="CC1386" s="14"/>
      <c r="CD1386" s="14"/>
      <c r="CE1386" s="14"/>
      <c r="CF1386" s="15"/>
      <c r="CG1386" s="14"/>
      <c r="CH1386" s="14"/>
      <c r="CI1386" s="50"/>
      <c r="CJ1386" s="54"/>
      <c r="CK1386" s="14"/>
      <c r="CL1386" s="14"/>
      <c r="CM1386" s="14"/>
      <c r="CN1386" s="14"/>
      <c r="CO1386" s="14"/>
      <c r="CP1386" s="14"/>
      <c r="CQ1386" s="14"/>
      <c r="CR1386" s="14"/>
      <c r="CS1386" s="14"/>
      <c r="CT1386" s="14"/>
      <c r="CU1386" s="16"/>
      <c r="CV1386" s="14"/>
      <c r="CW1386" s="50"/>
      <c r="CX1386" s="17"/>
    </row>
    <row r="1387" spans="4:102" x14ac:dyDescent="0.25"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43"/>
      <c r="Q1387" s="11"/>
      <c r="R1387" s="11"/>
      <c r="S1387" s="11"/>
      <c r="T1387" s="11"/>
      <c r="U1387" s="11"/>
      <c r="V1387" s="11"/>
      <c r="W1387" s="11"/>
      <c r="X1387" s="12"/>
      <c r="Y1387" s="12"/>
      <c r="Z1387" s="12"/>
      <c r="AA1387" s="44"/>
      <c r="AB1387" s="45"/>
      <c r="AC1387" s="12"/>
      <c r="AD1387" s="12"/>
      <c r="AE1387" s="12"/>
      <c r="AF1387" s="12"/>
      <c r="AG1387" s="44"/>
      <c r="AH1387" s="45"/>
      <c r="AI1387" s="12"/>
      <c r="AJ1387" s="12"/>
      <c r="AK1387" s="12"/>
      <c r="AL1387" s="12"/>
      <c r="AM1387" s="44"/>
      <c r="AN1387" s="45"/>
      <c r="AO1387" s="12"/>
      <c r="AP1387" s="12"/>
      <c r="AQ1387" s="12"/>
      <c r="AR1387" s="12"/>
      <c r="AS1387" s="44"/>
      <c r="AT1387" s="45"/>
      <c r="AU1387" s="12"/>
      <c r="AV1387" s="12"/>
      <c r="AW1387" s="12"/>
      <c r="AX1387" s="12"/>
      <c r="AY1387" s="44"/>
      <c r="AZ1387" s="45"/>
      <c r="BA1387" s="12"/>
      <c r="BB1387" s="12"/>
      <c r="BC1387" s="12"/>
      <c r="BD1387" s="12"/>
      <c r="BE1387" s="44"/>
      <c r="BF1387" s="45"/>
      <c r="BG1387" s="12"/>
      <c r="BH1387" s="12"/>
      <c r="BI1387" s="12"/>
      <c r="BJ1387" s="12"/>
      <c r="BK1387" s="44"/>
      <c r="BL1387" s="45"/>
      <c r="BM1387" s="12"/>
      <c r="BN1387" s="12"/>
      <c r="BO1387" s="12"/>
      <c r="BP1387" s="12"/>
      <c r="BQ1387" s="48"/>
      <c r="BR1387" s="49"/>
      <c r="BS1387" s="13"/>
      <c r="BT1387" s="12"/>
      <c r="BV1387" s="14"/>
      <c r="BW1387" s="50"/>
      <c r="BX1387" s="54"/>
      <c r="BY1387" s="14"/>
      <c r="BZ1387" s="14"/>
      <c r="CA1387" s="14"/>
      <c r="CB1387" s="14"/>
      <c r="CC1387" s="14"/>
      <c r="CD1387" s="14"/>
      <c r="CE1387" s="14"/>
      <c r="CF1387" s="15"/>
      <c r="CG1387" s="14"/>
      <c r="CH1387" s="14"/>
      <c r="CI1387" s="50"/>
      <c r="CJ1387" s="54"/>
      <c r="CK1387" s="14"/>
      <c r="CL1387" s="14"/>
      <c r="CM1387" s="14"/>
      <c r="CN1387" s="14"/>
      <c r="CO1387" s="14"/>
      <c r="CP1387" s="14"/>
      <c r="CQ1387" s="14"/>
      <c r="CR1387" s="14"/>
      <c r="CS1387" s="14"/>
      <c r="CT1387" s="14"/>
      <c r="CU1387" s="16"/>
      <c r="CV1387" s="14"/>
      <c r="CW1387" s="50"/>
      <c r="CX1387" s="17"/>
    </row>
    <row r="1388" spans="4:102" x14ac:dyDescent="0.25"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43"/>
      <c r="Q1388" s="11"/>
      <c r="R1388" s="11"/>
      <c r="S1388" s="11"/>
      <c r="T1388" s="11"/>
      <c r="U1388" s="11"/>
      <c r="V1388" s="11"/>
      <c r="W1388" s="11"/>
      <c r="X1388" s="12"/>
      <c r="Y1388" s="12"/>
      <c r="Z1388" s="12"/>
      <c r="AA1388" s="44"/>
      <c r="AB1388" s="45"/>
      <c r="AC1388" s="12"/>
      <c r="AD1388" s="12"/>
      <c r="AE1388" s="12"/>
      <c r="AF1388" s="12"/>
      <c r="AG1388" s="44"/>
      <c r="AH1388" s="45"/>
      <c r="AI1388" s="12"/>
      <c r="AJ1388" s="12"/>
      <c r="AK1388" s="12"/>
      <c r="AL1388" s="12"/>
      <c r="AM1388" s="44"/>
      <c r="AN1388" s="45"/>
      <c r="AO1388" s="12"/>
      <c r="AP1388" s="12"/>
      <c r="AQ1388" s="12"/>
      <c r="AR1388" s="12"/>
      <c r="AS1388" s="44"/>
      <c r="AT1388" s="45"/>
      <c r="AU1388" s="12"/>
      <c r="AV1388" s="12"/>
      <c r="AW1388" s="12"/>
      <c r="AX1388" s="12"/>
      <c r="AY1388" s="44"/>
      <c r="AZ1388" s="45"/>
      <c r="BA1388" s="12"/>
      <c r="BB1388" s="12"/>
      <c r="BC1388" s="12"/>
      <c r="BD1388" s="12"/>
      <c r="BE1388" s="44"/>
      <c r="BF1388" s="45"/>
      <c r="BG1388" s="12"/>
      <c r="BH1388" s="12"/>
      <c r="BI1388" s="12"/>
      <c r="BJ1388" s="12"/>
      <c r="BK1388" s="44"/>
      <c r="BL1388" s="45"/>
      <c r="BM1388" s="12"/>
      <c r="BN1388" s="12"/>
      <c r="BO1388" s="12"/>
      <c r="BP1388" s="12"/>
      <c r="BQ1388" s="48"/>
      <c r="BR1388" s="49"/>
      <c r="BS1388" s="13"/>
      <c r="BT1388" s="12"/>
      <c r="BV1388" s="14"/>
      <c r="BW1388" s="50"/>
      <c r="BX1388" s="54"/>
      <c r="BY1388" s="14"/>
      <c r="BZ1388" s="14"/>
      <c r="CA1388" s="14"/>
      <c r="CB1388" s="14"/>
      <c r="CC1388" s="14"/>
      <c r="CD1388" s="14"/>
      <c r="CE1388" s="14"/>
      <c r="CF1388" s="15"/>
      <c r="CG1388" s="14"/>
      <c r="CH1388" s="14"/>
      <c r="CI1388" s="50"/>
      <c r="CJ1388" s="54"/>
      <c r="CK1388" s="14"/>
      <c r="CL1388" s="14"/>
      <c r="CM1388" s="14"/>
      <c r="CN1388" s="14"/>
      <c r="CO1388" s="14"/>
      <c r="CP1388" s="14"/>
      <c r="CQ1388" s="14"/>
      <c r="CR1388" s="14"/>
      <c r="CS1388" s="14"/>
      <c r="CT1388" s="14"/>
      <c r="CU1388" s="16"/>
      <c r="CV1388" s="14"/>
      <c r="CW1388" s="50"/>
      <c r="CX1388" s="17"/>
    </row>
    <row r="1389" spans="4:102" x14ac:dyDescent="0.25"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43"/>
      <c r="Q1389" s="11"/>
      <c r="R1389" s="11"/>
      <c r="S1389" s="11"/>
      <c r="T1389" s="11"/>
      <c r="U1389" s="11"/>
      <c r="V1389" s="11"/>
      <c r="W1389" s="11"/>
      <c r="X1389" s="12"/>
      <c r="Y1389" s="12"/>
      <c r="Z1389" s="12"/>
      <c r="AA1389" s="44"/>
      <c r="AB1389" s="45"/>
      <c r="AC1389" s="12"/>
      <c r="AD1389" s="12"/>
      <c r="AE1389" s="12"/>
      <c r="AF1389" s="12"/>
      <c r="AG1389" s="44"/>
      <c r="AH1389" s="45"/>
      <c r="AI1389" s="12"/>
      <c r="AJ1389" s="12"/>
      <c r="AK1389" s="12"/>
      <c r="AL1389" s="12"/>
      <c r="AM1389" s="44"/>
      <c r="AN1389" s="45"/>
      <c r="AO1389" s="12"/>
      <c r="AP1389" s="12"/>
      <c r="AQ1389" s="12"/>
      <c r="AR1389" s="12"/>
      <c r="AS1389" s="44"/>
      <c r="AT1389" s="45"/>
      <c r="AU1389" s="12"/>
      <c r="AV1389" s="12"/>
      <c r="AW1389" s="12"/>
      <c r="AX1389" s="12"/>
      <c r="AY1389" s="44"/>
      <c r="AZ1389" s="45"/>
      <c r="BA1389" s="12"/>
      <c r="BB1389" s="12"/>
      <c r="BC1389" s="12"/>
      <c r="BD1389" s="12"/>
      <c r="BE1389" s="44"/>
      <c r="BF1389" s="45"/>
      <c r="BG1389" s="12"/>
      <c r="BH1389" s="12"/>
      <c r="BI1389" s="12"/>
      <c r="BJ1389" s="12"/>
      <c r="BK1389" s="44"/>
      <c r="BL1389" s="45"/>
      <c r="BM1389" s="12"/>
      <c r="BN1389" s="12"/>
      <c r="BO1389" s="12"/>
      <c r="BP1389" s="12"/>
      <c r="BQ1389" s="48"/>
      <c r="BR1389" s="49"/>
      <c r="BS1389" s="13"/>
      <c r="BT1389" s="12"/>
      <c r="BV1389" s="14"/>
      <c r="BW1389" s="50"/>
      <c r="BX1389" s="54"/>
      <c r="BY1389" s="14"/>
      <c r="BZ1389" s="14"/>
      <c r="CA1389" s="14"/>
      <c r="CB1389" s="14"/>
      <c r="CC1389" s="14"/>
      <c r="CD1389" s="14"/>
      <c r="CE1389" s="14"/>
      <c r="CF1389" s="15"/>
      <c r="CG1389" s="14"/>
      <c r="CH1389" s="14"/>
      <c r="CI1389" s="50"/>
      <c r="CJ1389" s="54"/>
      <c r="CK1389" s="14"/>
      <c r="CL1389" s="14"/>
      <c r="CM1389" s="14"/>
      <c r="CN1389" s="14"/>
      <c r="CO1389" s="14"/>
      <c r="CP1389" s="14"/>
      <c r="CQ1389" s="14"/>
      <c r="CR1389" s="14"/>
      <c r="CS1389" s="14"/>
      <c r="CT1389" s="14"/>
      <c r="CU1389" s="16"/>
      <c r="CV1389" s="14"/>
      <c r="CW1389" s="50"/>
      <c r="CX1389" s="17"/>
    </row>
    <row r="1390" spans="4:102" x14ac:dyDescent="0.25"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43"/>
      <c r="Q1390" s="11"/>
      <c r="R1390" s="11"/>
      <c r="S1390" s="11"/>
      <c r="T1390" s="11"/>
      <c r="U1390" s="11"/>
      <c r="V1390" s="11"/>
      <c r="W1390" s="11"/>
      <c r="X1390" s="12"/>
      <c r="Y1390" s="12"/>
      <c r="Z1390" s="12"/>
      <c r="AA1390" s="44"/>
      <c r="AB1390" s="45"/>
      <c r="AC1390" s="12"/>
      <c r="AD1390" s="12"/>
      <c r="AE1390" s="12"/>
      <c r="AF1390" s="12"/>
      <c r="AG1390" s="44"/>
      <c r="AH1390" s="45"/>
      <c r="AI1390" s="12"/>
      <c r="AJ1390" s="12"/>
      <c r="AK1390" s="12"/>
      <c r="AL1390" s="12"/>
      <c r="AM1390" s="44"/>
      <c r="AN1390" s="45"/>
      <c r="AO1390" s="12"/>
      <c r="AP1390" s="12"/>
      <c r="AQ1390" s="12"/>
      <c r="AR1390" s="12"/>
      <c r="AS1390" s="44"/>
      <c r="AT1390" s="45"/>
      <c r="AU1390" s="12"/>
      <c r="AV1390" s="12"/>
      <c r="AW1390" s="12"/>
      <c r="AX1390" s="12"/>
      <c r="AY1390" s="44"/>
      <c r="AZ1390" s="45"/>
      <c r="BA1390" s="12"/>
      <c r="BB1390" s="12"/>
      <c r="BC1390" s="12"/>
      <c r="BD1390" s="12"/>
      <c r="BE1390" s="44"/>
      <c r="BF1390" s="45"/>
      <c r="BG1390" s="12"/>
      <c r="BH1390" s="12"/>
      <c r="BI1390" s="12"/>
      <c r="BJ1390" s="12"/>
      <c r="BK1390" s="44"/>
      <c r="BL1390" s="45"/>
      <c r="BM1390" s="12"/>
      <c r="BN1390" s="12"/>
      <c r="BO1390" s="12"/>
      <c r="BP1390" s="12"/>
      <c r="BQ1390" s="48"/>
      <c r="BR1390" s="49"/>
      <c r="BS1390" s="13"/>
      <c r="BT1390" s="12"/>
      <c r="BV1390" s="14"/>
      <c r="BW1390" s="50"/>
      <c r="BX1390" s="54"/>
      <c r="BY1390" s="14"/>
      <c r="BZ1390" s="14"/>
      <c r="CA1390" s="14"/>
      <c r="CB1390" s="14"/>
      <c r="CC1390" s="14"/>
      <c r="CD1390" s="14"/>
      <c r="CE1390" s="14"/>
      <c r="CF1390" s="15"/>
      <c r="CG1390" s="14"/>
      <c r="CH1390" s="14"/>
      <c r="CI1390" s="50"/>
      <c r="CJ1390" s="54"/>
      <c r="CK1390" s="14"/>
      <c r="CL1390" s="14"/>
      <c r="CM1390" s="14"/>
      <c r="CN1390" s="14"/>
      <c r="CO1390" s="14"/>
      <c r="CP1390" s="14"/>
      <c r="CQ1390" s="14"/>
      <c r="CR1390" s="14"/>
      <c r="CS1390" s="14"/>
      <c r="CT1390" s="14"/>
      <c r="CU1390" s="16"/>
      <c r="CV1390" s="14"/>
      <c r="CW1390" s="50"/>
      <c r="CX1390" s="17"/>
    </row>
    <row r="1391" spans="4:102" x14ac:dyDescent="0.25"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43"/>
      <c r="Q1391" s="11"/>
      <c r="R1391" s="11"/>
      <c r="S1391" s="11"/>
      <c r="T1391" s="11"/>
      <c r="U1391" s="11"/>
      <c r="V1391" s="11"/>
      <c r="W1391" s="11"/>
      <c r="X1391" s="12"/>
      <c r="Y1391" s="12"/>
      <c r="Z1391" s="12"/>
      <c r="AA1391" s="44"/>
      <c r="AB1391" s="45"/>
      <c r="AC1391" s="12"/>
      <c r="AD1391" s="12"/>
      <c r="AE1391" s="12"/>
      <c r="AF1391" s="12"/>
      <c r="AG1391" s="44"/>
      <c r="AH1391" s="45"/>
      <c r="AI1391" s="12"/>
      <c r="AJ1391" s="12"/>
      <c r="AK1391" s="12"/>
      <c r="AL1391" s="12"/>
      <c r="AM1391" s="44"/>
      <c r="AN1391" s="45"/>
      <c r="AO1391" s="12"/>
      <c r="AP1391" s="12"/>
      <c r="AQ1391" s="12"/>
      <c r="AR1391" s="12"/>
      <c r="AS1391" s="44"/>
      <c r="AT1391" s="45"/>
      <c r="AU1391" s="12"/>
      <c r="AV1391" s="12"/>
      <c r="AW1391" s="12"/>
      <c r="AX1391" s="12"/>
      <c r="AY1391" s="44"/>
      <c r="AZ1391" s="45"/>
      <c r="BA1391" s="12"/>
      <c r="BB1391" s="12"/>
      <c r="BC1391" s="12"/>
      <c r="BD1391" s="12"/>
      <c r="BE1391" s="44"/>
      <c r="BF1391" s="45"/>
      <c r="BG1391" s="12"/>
      <c r="BH1391" s="12"/>
      <c r="BI1391" s="12"/>
      <c r="BJ1391" s="12"/>
      <c r="BK1391" s="44"/>
      <c r="BL1391" s="45"/>
      <c r="BM1391" s="12"/>
      <c r="BN1391" s="12"/>
      <c r="BO1391" s="12"/>
      <c r="BP1391" s="12"/>
      <c r="BQ1391" s="48"/>
      <c r="BR1391" s="49"/>
      <c r="BS1391" s="13"/>
      <c r="BT1391" s="12"/>
      <c r="BV1391" s="14"/>
      <c r="BW1391" s="50"/>
      <c r="BX1391" s="54"/>
      <c r="BY1391" s="14"/>
      <c r="BZ1391" s="14"/>
      <c r="CA1391" s="14"/>
      <c r="CB1391" s="14"/>
      <c r="CC1391" s="14"/>
      <c r="CD1391" s="14"/>
      <c r="CE1391" s="14"/>
      <c r="CF1391" s="15"/>
      <c r="CG1391" s="14"/>
      <c r="CH1391" s="14"/>
      <c r="CI1391" s="50"/>
      <c r="CJ1391" s="54"/>
      <c r="CK1391" s="14"/>
      <c r="CL1391" s="14"/>
      <c r="CM1391" s="14"/>
      <c r="CN1391" s="14"/>
      <c r="CO1391" s="14"/>
      <c r="CP1391" s="14"/>
      <c r="CQ1391" s="14"/>
      <c r="CR1391" s="14"/>
      <c r="CS1391" s="14"/>
      <c r="CT1391" s="14"/>
      <c r="CU1391" s="16"/>
      <c r="CV1391" s="14"/>
      <c r="CW1391" s="50"/>
      <c r="CX1391" s="17"/>
    </row>
    <row r="1392" spans="4:102" x14ac:dyDescent="0.25"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43"/>
      <c r="Q1392" s="11"/>
      <c r="R1392" s="11"/>
      <c r="S1392" s="11"/>
      <c r="T1392" s="11"/>
      <c r="U1392" s="11"/>
      <c r="V1392" s="11"/>
      <c r="W1392" s="11"/>
      <c r="X1392" s="12"/>
      <c r="Y1392" s="12"/>
      <c r="Z1392" s="12"/>
      <c r="AA1392" s="44"/>
      <c r="AB1392" s="45"/>
      <c r="AC1392" s="12"/>
      <c r="AD1392" s="12"/>
      <c r="AE1392" s="12"/>
      <c r="AF1392" s="12"/>
      <c r="AG1392" s="44"/>
      <c r="AH1392" s="45"/>
      <c r="AI1392" s="12"/>
      <c r="AJ1392" s="12"/>
      <c r="AK1392" s="12"/>
      <c r="AL1392" s="12"/>
      <c r="AM1392" s="44"/>
      <c r="AN1392" s="45"/>
      <c r="AO1392" s="12"/>
      <c r="AP1392" s="12"/>
      <c r="AQ1392" s="12"/>
      <c r="AR1392" s="12"/>
      <c r="AS1392" s="44"/>
      <c r="AT1392" s="45"/>
      <c r="AU1392" s="12"/>
      <c r="AV1392" s="12"/>
      <c r="AW1392" s="12"/>
      <c r="AX1392" s="12"/>
      <c r="AY1392" s="44"/>
      <c r="AZ1392" s="45"/>
      <c r="BA1392" s="12"/>
      <c r="BB1392" s="12"/>
      <c r="BC1392" s="12"/>
      <c r="BD1392" s="12"/>
      <c r="BE1392" s="44"/>
      <c r="BF1392" s="45"/>
      <c r="BG1392" s="12"/>
      <c r="BH1392" s="12"/>
      <c r="BI1392" s="12"/>
      <c r="BJ1392" s="12"/>
      <c r="BK1392" s="44"/>
      <c r="BL1392" s="45"/>
      <c r="BM1392" s="12"/>
      <c r="BN1392" s="12"/>
      <c r="BO1392" s="12"/>
      <c r="BP1392" s="12"/>
      <c r="BQ1392" s="48"/>
      <c r="BR1392" s="49"/>
      <c r="BS1392" s="13"/>
      <c r="BT1392" s="12"/>
      <c r="BV1392" s="14"/>
      <c r="BW1392" s="50"/>
      <c r="BX1392" s="54"/>
      <c r="BY1392" s="14"/>
      <c r="BZ1392" s="14"/>
      <c r="CA1392" s="14"/>
      <c r="CB1392" s="14"/>
      <c r="CC1392" s="14"/>
      <c r="CD1392" s="14"/>
      <c r="CE1392" s="14"/>
      <c r="CF1392" s="15"/>
      <c r="CG1392" s="14"/>
      <c r="CH1392" s="14"/>
      <c r="CI1392" s="50"/>
      <c r="CJ1392" s="54"/>
      <c r="CK1392" s="14"/>
      <c r="CL1392" s="14"/>
      <c r="CM1392" s="14"/>
      <c r="CN1392" s="14"/>
      <c r="CO1392" s="14"/>
      <c r="CP1392" s="14"/>
      <c r="CQ1392" s="14"/>
      <c r="CR1392" s="14"/>
      <c r="CS1392" s="14"/>
      <c r="CT1392" s="14"/>
      <c r="CU1392" s="16"/>
      <c r="CV1392" s="14"/>
      <c r="CW1392" s="50"/>
      <c r="CX1392" s="17"/>
    </row>
    <row r="1393" spans="4:102" x14ac:dyDescent="0.25"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43"/>
      <c r="Q1393" s="11"/>
      <c r="R1393" s="11"/>
      <c r="S1393" s="11"/>
      <c r="T1393" s="11"/>
      <c r="U1393" s="11"/>
      <c r="V1393" s="11"/>
      <c r="W1393" s="11"/>
      <c r="X1393" s="12"/>
      <c r="Y1393" s="12"/>
      <c r="Z1393" s="12"/>
      <c r="AA1393" s="44"/>
      <c r="AB1393" s="45"/>
      <c r="AC1393" s="12"/>
      <c r="AD1393" s="12"/>
      <c r="AE1393" s="12"/>
      <c r="AF1393" s="12"/>
      <c r="AG1393" s="44"/>
      <c r="AH1393" s="45"/>
      <c r="AI1393" s="12"/>
      <c r="AJ1393" s="12"/>
      <c r="AK1393" s="12"/>
      <c r="AL1393" s="12"/>
      <c r="AM1393" s="44"/>
      <c r="AN1393" s="45"/>
      <c r="AO1393" s="12"/>
      <c r="AP1393" s="12"/>
      <c r="AQ1393" s="12"/>
      <c r="AR1393" s="12"/>
      <c r="AS1393" s="44"/>
      <c r="AT1393" s="45"/>
      <c r="AU1393" s="12"/>
      <c r="AV1393" s="12"/>
      <c r="AW1393" s="12"/>
      <c r="AX1393" s="12"/>
      <c r="AY1393" s="44"/>
      <c r="AZ1393" s="45"/>
      <c r="BA1393" s="12"/>
      <c r="BB1393" s="12"/>
      <c r="BC1393" s="12"/>
      <c r="BD1393" s="12"/>
      <c r="BE1393" s="44"/>
      <c r="BF1393" s="45"/>
      <c r="BG1393" s="12"/>
      <c r="BH1393" s="12"/>
      <c r="BI1393" s="12"/>
      <c r="BJ1393" s="12"/>
      <c r="BK1393" s="44"/>
      <c r="BL1393" s="45"/>
      <c r="BM1393" s="12"/>
      <c r="BN1393" s="12"/>
      <c r="BO1393" s="12"/>
      <c r="BP1393" s="12"/>
      <c r="BQ1393" s="48"/>
      <c r="BR1393" s="49"/>
      <c r="BS1393" s="13"/>
      <c r="BT1393" s="12"/>
      <c r="BV1393" s="14"/>
      <c r="BW1393" s="50"/>
      <c r="BX1393" s="54"/>
      <c r="BY1393" s="14"/>
      <c r="BZ1393" s="14"/>
      <c r="CA1393" s="14"/>
      <c r="CB1393" s="14"/>
      <c r="CC1393" s="14"/>
      <c r="CD1393" s="14"/>
      <c r="CE1393" s="14"/>
      <c r="CF1393" s="15"/>
      <c r="CG1393" s="14"/>
      <c r="CH1393" s="14"/>
      <c r="CI1393" s="50"/>
      <c r="CJ1393" s="54"/>
      <c r="CK1393" s="14"/>
      <c r="CL1393" s="14"/>
      <c r="CM1393" s="14"/>
      <c r="CN1393" s="14"/>
      <c r="CO1393" s="14"/>
      <c r="CP1393" s="14"/>
      <c r="CQ1393" s="14"/>
      <c r="CR1393" s="14"/>
      <c r="CS1393" s="14"/>
      <c r="CT1393" s="14"/>
      <c r="CU1393" s="16"/>
      <c r="CV1393" s="14"/>
      <c r="CW1393" s="50"/>
      <c r="CX1393" s="17"/>
    </row>
    <row r="1394" spans="4:102" x14ac:dyDescent="0.25"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43"/>
      <c r="Q1394" s="11"/>
      <c r="R1394" s="11"/>
      <c r="S1394" s="11"/>
      <c r="T1394" s="11"/>
      <c r="U1394" s="11"/>
      <c r="V1394" s="11"/>
      <c r="W1394" s="11"/>
      <c r="X1394" s="12"/>
      <c r="Y1394" s="12"/>
      <c r="Z1394" s="12"/>
      <c r="AA1394" s="44"/>
      <c r="AB1394" s="45"/>
      <c r="AC1394" s="12"/>
      <c r="AD1394" s="12"/>
      <c r="AE1394" s="12"/>
      <c r="AF1394" s="12"/>
      <c r="AG1394" s="44"/>
      <c r="AH1394" s="45"/>
      <c r="AI1394" s="12"/>
      <c r="AJ1394" s="12"/>
      <c r="AK1394" s="12"/>
      <c r="AL1394" s="12"/>
      <c r="AM1394" s="44"/>
      <c r="AN1394" s="45"/>
      <c r="AO1394" s="12"/>
      <c r="AP1394" s="12"/>
      <c r="AQ1394" s="12"/>
      <c r="AR1394" s="12"/>
      <c r="AS1394" s="44"/>
      <c r="AT1394" s="45"/>
      <c r="AU1394" s="12"/>
      <c r="AV1394" s="12"/>
      <c r="AW1394" s="12"/>
      <c r="AX1394" s="12"/>
      <c r="AY1394" s="44"/>
      <c r="AZ1394" s="45"/>
      <c r="BA1394" s="12"/>
      <c r="BB1394" s="12"/>
      <c r="BC1394" s="12"/>
      <c r="BD1394" s="12"/>
      <c r="BE1394" s="44"/>
      <c r="BF1394" s="45"/>
      <c r="BG1394" s="12"/>
      <c r="BH1394" s="12"/>
      <c r="BI1394" s="12"/>
      <c r="BJ1394" s="12"/>
      <c r="BK1394" s="44"/>
      <c r="BL1394" s="45"/>
      <c r="BM1394" s="12"/>
      <c r="BN1394" s="12"/>
      <c r="BO1394" s="12"/>
      <c r="BP1394" s="12"/>
      <c r="BQ1394" s="48"/>
      <c r="BR1394" s="49"/>
      <c r="BS1394" s="13"/>
      <c r="BT1394" s="12"/>
      <c r="BV1394" s="14"/>
      <c r="BW1394" s="50"/>
      <c r="BX1394" s="54"/>
      <c r="BY1394" s="14"/>
      <c r="BZ1394" s="14"/>
      <c r="CA1394" s="14"/>
      <c r="CB1394" s="14"/>
      <c r="CC1394" s="14"/>
      <c r="CD1394" s="14"/>
      <c r="CE1394" s="14"/>
      <c r="CF1394" s="15"/>
      <c r="CG1394" s="14"/>
      <c r="CH1394" s="14"/>
      <c r="CI1394" s="50"/>
      <c r="CJ1394" s="54"/>
      <c r="CK1394" s="14"/>
      <c r="CL1394" s="14"/>
      <c r="CM1394" s="14"/>
      <c r="CN1394" s="14"/>
      <c r="CO1394" s="14"/>
      <c r="CP1394" s="14"/>
      <c r="CQ1394" s="14"/>
      <c r="CR1394" s="14"/>
      <c r="CS1394" s="14"/>
      <c r="CT1394" s="14"/>
      <c r="CU1394" s="16"/>
      <c r="CV1394" s="14"/>
      <c r="CW1394" s="50"/>
      <c r="CX1394" s="17"/>
    </row>
    <row r="1395" spans="4:102" x14ac:dyDescent="0.25"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43"/>
      <c r="Q1395" s="11"/>
      <c r="R1395" s="11"/>
      <c r="S1395" s="11"/>
      <c r="T1395" s="11"/>
      <c r="U1395" s="11"/>
      <c r="V1395" s="11"/>
      <c r="W1395" s="11"/>
      <c r="X1395" s="12"/>
      <c r="Y1395" s="12"/>
      <c r="Z1395" s="12"/>
      <c r="AA1395" s="44"/>
      <c r="AB1395" s="45"/>
      <c r="AC1395" s="12"/>
      <c r="AD1395" s="12"/>
      <c r="AE1395" s="12"/>
      <c r="AF1395" s="12"/>
      <c r="AG1395" s="44"/>
      <c r="AH1395" s="45"/>
      <c r="AI1395" s="12"/>
      <c r="AJ1395" s="12"/>
      <c r="AK1395" s="12"/>
      <c r="AL1395" s="12"/>
      <c r="AM1395" s="44"/>
      <c r="AN1395" s="45"/>
      <c r="AO1395" s="12"/>
      <c r="AP1395" s="12"/>
      <c r="AQ1395" s="12"/>
      <c r="AR1395" s="12"/>
      <c r="AS1395" s="44"/>
      <c r="AT1395" s="45"/>
      <c r="AU1395" s="12"/>
      <c r="AV1395" s="12"/>
      <c r="AW1395" s="12"/>
      <c r="AX1395" s="12"/>
      <c r="AY1395" s="44"/>
      <c r="AZ1395" s="45"/>
      <c r="BA1395" s="12"/>
      <c r="BB1395" s="12"/>
      <c r="BC1395" s="12"/>
      <c r="BD1395" s="12"/>
      <c r="BE1395" s="44"/>
      <c r="BF1395" s="45"/>
      <c r="BG1395" s="12"/>
      <c r="BH1395" s="12"/>
      <c r="BI1395" s="12"/>
      <c r="BJ1395" s="12"/>
      <c r="BK1395" s="44"/>
      <c r="BL1395" s="45"/>
      <c r="BM1395" s="12"/>
      <c r="BN1395" s="12"/>
      <c r="BO1395" s="12"/>
      <c r="BP1395" s="12"/>
      <c r="BQ1395" s="48"/>
      <c r="BR1395" s="49"/>
      <c r="BS1395" s="13"/>
      <c r="BT1395" s="12"/>
      <c r="BV1395" s="14"/>
      <c r="BW1395" s="50"/>
      <c r="BX1395" s="54"/>
      <c r="BY1395" s="14"/>
      <c r="BZ1395" s="14"/>
      <c r="CA1395" s="14"/>
      <c r="CB1395" s="14"/>
      <c r="CC1395" s="14"/>
      <c r="CD1395" s="14"/>
      <c r="CE1395" s="14"/>
      <c r="CF1395" s="15"/>
      <c r="CG1395" s="14"/>
      <c r="CH1395" s="14"/>
      <c r="CI1395" s="50"/>
      <c r="CJ1395" s="54"/>
      <c r="CK1395" s="14"/>
      <c r="CL1395" s="14"/>
      <c r="CM1395" s="14"/>
      <c r="CN1395" s="14"/>
      <c r="CO1395" s="14"/>
      <c r="CP1395" s="14"/>
      <c r="CQ1395" s="14"/>
      <c r="CR1395" s="14"/>
      <c r="CS1395" s="14"/>
      <c r="CT1395" s="14"/>
      <c r="CU1395" s="16"/>
      <c r="CV1395" s="14"/>
      <c r="CW1395" s="50"/>
      <c r="CX1395" s="17"/>
    </row>
    <row r="1396" spans="4:102" x14ac:dyDescent="0.25"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43"/>
      <c r="Q1396" s="11"/>
      <c r="R1396" s="11"/>
      <c r="S1396" s="11"/>
      <c r="T1396" s="11"/>
      <c r="U1396" s="11"/>
      <c r="V1396" s="11"/>
      <c r="W1396" s="11"/>
      <c r="X1396" s="12"/>
      <c r="Y1396" s="12"/>
      <c r="Z1396" s="12"/>
      <c r="AA1396" s="44"/>
      <c r="AB1396" s="45"/>
      <c r="AC1396" s="12"/>
      <c r="AD1396" s="12"/>
      <c r="AE1396" s="12"/>
      <c r="AF1396" s="12"/>
      <c r="AG1396" s="44"/>
      <c r="AH1396" s="45"/>
      <c r="AI1396" s="12"/>
      <c r="AJ1396" s="12"/>
      <c r="AK1396" s="12"/>
      <c r="AL1396" s="12"/>
      <c r="AM1396" s="44"/>
      <c r="AN1396" s="45"/>
      <c r="AO1396" s="12"/>
      <c r="AP1396" s="12"/>
      <c r="AQ1396" s="12"/>
      <c r="AR1396" s="12"/>
      <c r="AS1396" s="44"/>
      <c r="AT1396" s="45"/>
      <c r="AU1396" s="12"/>
      <c r="AV1396" s="12"/>
      <c r="AW1396" s="12"/>
      <c r="AX1396" s="12"/>
      <c r="AY1396" s="44"/>
      <c r="AZ1396" s="45"/>
      <c r="BA1396" s="12"/>
      <c r="BB1396" s="12"/>
      <c r="BC1396" s="12"/>
      <c r="BD1396" s="12"/>
      <c r="BE1396" s="44"/>
      <c r="BF1396" s="45"/>
      <c r="BG1396" s="12"/>
      <c r="BH1396" s="12"/>
      <c r="BI1396" s="12"/>
      <c r="BJ1396" s="12"/>
      <c r="BK1396" s="44"/>
      <c r="BL1396" s="45"/>
      <c r="BM1396" s="12"/>
      <c r="BN1396" s="12"/>
      <c r="BO1396" s="12"/>
      <c r="BP1396" s="12"/>
      <c r="BQ1396" s="48"/>
      <c r="BR1396" s="49"/>
      <c r="BS1396" s="13"/>
      <c r="BT1396" s="12"/>
      <c r="BV1396" s="14"/>
      <c r="BW1396" s="50"/>
      <c r="BX1396" s="54"/>
      <c r="BY1396" s="14"/>
      <c r="BZ1396" s="14"/>
      <c r="CA1396" s="14"/>
      <c r="CB1396" s="14"/>
      <c r="CC1396" s="14"/>
      <c r="CD1396" s="14"/>
      <c r="CE1396" s="14"/>
      <c r="CF1396" s="15"/>
      <c r="CG1396" s="14"/>
      <c r="CH1396" s="14"/>
      <c r="CI1396" s="50"/>
      <c r="CJ1396" s="54"/>
      <c r="CK1396" s="14"/>
      <c r="CL1396" s="14"/>
      <c r="CM1396" s="14"/>
      <c r="CN1396" s="14"/>
      <c r="CO1396" s="14"/>
      <c r="CP1396" s="14"/>
      <c r="CQ1396" s="14"/>
      <c r="CR1396" s="14"/>
      <c r="CS1396" s="14"/>
      <c r="CT1396" s="14"/>
      <c r="CU1396" s="16"/>
      <c r="CV1396" s="14"/>
      <c r="CW1396" s="50"/>
      <c r="CX1396" s="17"/>
    </row>
    <row r="1397" spans="4:102" x14ac:dyDescent="0.25"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43"/>
      <c r="Q1397" s="11"/>
      <c r="R1397" s="11"/>
      <c r="S1397" s="11"/>
      <c r="T1397" s="11"/>
      <c r="U1397" s="11"/>
      <c r="V1397" s="11"/>
      <c r="W1397" s="11"/>
      <c r="X1397" s="12"/>
      <c r="Y1397" s="12"/>
      <c r="Z1397" s="12"/>
      <c r="AA1397" s="44"/>
      <c r="AB1397" s="45"/>
      <c r="AC1397" s="12"/>
      <c r="AD1397" s="12"/>
      <c r="AE1397" s="12"/>
      <c r="AF1397" s="12"/>
      <c r="AG1397" s="44"/>
      <c r="AH1397" s="45"/>
      <c r="AI1397" s="12"/>
      <c r="AJ1397" s="12"/>
      <c r="AK1397" s="12"/>
      <c r="AL1397" s="12"/>
      <c r="AM1397" s="44"/>
      <c r="AN1397" s="45"/>
      <c r="AO1397" s="12"/>
      <c r="AP1397" s="12"/>
      <c r="AQ1397" s="12"/>
      <c r="AR1397" s="12"/>
      <c r="AS1397" s="44"/>
      <c r="AT1397" s="45"/>
      <c r="AU1397" s="12"/>
      <c r="AV1397" s="12"/>
      <c r="AW1397" s="12"/>
      <c r="AX1397" s="12"/>
      <c r="AY1397" s="44"/>
      <c r="AZ1397" s="45"/>
      <c r="BA1397" s="12"/>
      <c r="BB1397" s="12"/>
      <c r="BC1397" s="12"/>
      <c r="BD1397" s="12"/>
      <c r="BE1397" s="44"/>
      <c r="BF1397" s="45"/>
      <c r="BG1397" s="12"/>
      <c r="BH1397" s="12"/>
      <c r="BI1397" s="12"/>
      <c r="BJ1397" s="12"/>
      <c r="BK1397" s="44"/>
      <c r="BL1397" s="45"/>
      <c r="BM1397" s="12"/>
      <c r="BN1397" s="12"/>
      <c r="BO1397" s="12"/>
      <c r="BP1397" s="12"/>
      <c r="BQ1397" s="48"/>
      <c r="BR1397" s="49"/>
      <c r="BS1397" s="13"/>
      <c r="BT1397" s="12"/>
      <c r="BV1397" s="14"/>
      <c r="BW1397" s="50"/>
      <c r="BX1397" s="54"/>
      <c r="BY1397" s="14"/>
      <c r="BZ1397" s="14"/>
      <c r="CA1397" s="14"/>
      <c r="CB1397" s="14"/>
      <c r="CC1397" s="14"/>
      <c r="CD1397" s="14"/>
      <c r="CE1397" s="14"/>
      <c r="CF1397" s="15"/>
      <c r="CG1397" s="14"/>
      <c r="CH1397" s="14"/>
      <c r="CI1397" s="50"/>
      <c r="CJ1397" s="54"/>
      <c r="CK1397" s="14"/>
      <c r="CL1397" s="14"/>
      <c r="CM1397" s="14"/>
      <c r="CN1397" s="14"/>
      <c r="CO1397" s="14"/>
      <c r="CP1397" s="14"/>
      <c r="CQ1397" s="14"/>
      <c r="CR1397" s="14"/>
      <c r="CS1397" s="14"/>
      <c r="CT1397" s="14"/>
      <c r="CU1397" s="16"/>
      <c r="CV1397" s="14"/>
      <c r="CW1397" s="50"/>
      <c r="CX1397" s="17"/>
    </row>
    <row r="1398" spans="4:102" x14ac:dyDescent="0.25"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43"/>
      <c r="Q1398" s="11"/>
      <c r="R1398" s="11"/>
      <c r="S1398" s="11"/>
      <c r="T1398" s="11"/>
      <c r="U1398" s="11"/>
      <c r="V1398" s="11"/>
      <c r="W1398" s="11"/>
      <c r="X1398" s="12"/>
      <c r="Y1398" s="12"/>
      <c r="Z1398" s="12"/>
      <c r="AA1398" s="44"/>
      <c r="AB1398" s="45"/>
      <c r="AC1398" s="12"/>
      <c r="AD1398" s="12"/>
      <c r="AE1398" s="12"/>
      <c r="AF1398" s="12"/>
      <c r="AG1398" s="44"/>
      <c r="AH1398" s="45"/>
      <c r="AI1398" s="12"/>
      <c r="AJ1398" s="12"/>
      <c r="AK1398" s="12"/>
      <c r="AL1398" s="12"/>
      <c r="AM1398" s="44"/>
      <c r="AN1398" s="45"/>
      <c r="AO1398" s="12"/>
      <c r="AP1398" s="12"/>
      <c r="AQ1398" s="12"/>
      <c r="AR1398" s="12"/>
      <c r="AS1398" s="44"/>
      <c r="AT1398" s="45"/>
      <c r="AU1398" s="12"/>
      <c r="AV1398" s="12"/>
      <c r="AW1398" s="12"/>
      <c r="AX1398" s="12"/>
      <c r="AY1398" s="44"/>
      <c r="AZ1398" s="45"/>
      <c r="BA1398" s="12"/>
      <c r="BB1398" s="12"/>
      <c r="BC1398" s="12"/>
      <c r="BD1398" s="12"/>
      <c r="BE1398" s="44"/>
      <c r="BF1398" s="45"/>
      <c r="BG1398" s="12"/>
      <c r="BH1398" s="12"/>
      <c r="BI1398" s="12"/>
      <c r="BJ1398" s="12"/>
      <c r="BK1398" s="44"/>
      <c r="BL1398" s="45"/>
      <c r="BM1398" s="12"/>
      <c r="BN1398" s="12"/>
      <c r="BO1398" s="12"/>
      <c r="BP1398" s="12"/>
      <c r="BQ1398" s="48"/>
      <c r="BR1398" s="49"/>
      <c r="BS1398" s="13"/>
      <c r="BT1398" s="12"/>
      <c r="BV1398" s="14"/>
      <c r="BW1398" s="50"/>
      <c r="BX1398" s="54"/>
      <c r="BY1398" s="14"/>
      <c r="BZ1398" s="14"/>
      <c r="CA1398" s="14"/>
      <c r="CB1398" s="14"/>
      <c r="CC1398" s="14"/>
      <c r="CD1398" s="14"/>
      <c r="CE1398" s="14"/>
      <c r="CF1398" s="15"/>
      <c r="CG1398" s="14"/>
      <c r="CH1398" s="14"/>
      <c r="CI1398" s="50"/>
      <c r="CJ1398" s="54"/>
      <c r="CK1398" s="14"/>
      <c r="CL1398" s="14"/>
      <c r="CM1398" s="14"/>
      <c r="CN1398" s="14"/>
      <c r="CO1398" s="14"/>
      <c r="CP1398" s="14"/>
      <c r="CQ1398" s="14"/>
      <c r="CR1398" s="14"/>
      <c r="CS1398" s="14"/>
      <c r="CT1398" s="14"/>
      <c r="CU1398" s="16"/>
      <c r="CV1398" s="14"/>
      <c r="CW1398" s="50"/>
      <c r="CX1398" s="17"/>
    </row>
    <row r="1399" spans="4:102" x14ac:dyDescent="0.25"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43"/>
      <c r="Q1399" s="11"/>
      <c r="R1399" s="11"/>
      <c r="S1399" s="11"/>
      <c r="T1399" s="11"/>
      <c r="U1399" s="11"/>
      <c r="V1399" s="11"/>
      <c r="W1399" s="11"/>
      <c r="X1399" s="12"/>
      <c r="Y1399" s="12"/>
      <c r="Z1399" s="12"/>
      <c r="AA1399" s="44"/>
      <c r="AB1399" s="45"/>
      <c r="AC1399" s="12"/>
      <c r="AD1399" s="12"/>
      <c r="AE1399" s="12"/>
      <c r="AF1399" s="12"/>
      <c r="AG1399" s="44"/>
      <c r="AH1399" s="45"/>
      <c r="AI1399" s="12"/>
      <c r="AJ1399" s="12"/>
      <c r="AK1399" s="12"/>
      <c r="AL1399" s="12"/>
      <c r="AM1399" s="44"/>
      <c r="AN1399" s="45"/>
      <c r="AO1399" s="12"/>
      <c r="AP1399" s="12"/>
      <c r="AQ1399" s="12"/>
      <c r="AR1399" s="12"/>
      <c r="AS1399" s="44"/>
      <c r="AT1399" s="45"/>
      <c r="AU1399" s="12"/>
      <c r="AV1399" s="12"/>
      <c r="AW1399" s="12"/>
      <c r="AX1399" s="12"/>
      <c r="AY1399" s="44"/>
      <c r="AZ1399" s="45"/>
      <c r="BA1399" s="12"/>
      <c r="BB1399" s="12"/>
      <c r="BC1399" s="12"/>
      <c r="BD1399" s="12"/>
      <c r="BE1399" s="44"/>
      <c r="BF1399" s="45"/>
      <c r="BG1399" s="12"/>
      <c r="BH1399" s="12"/>
      <c r="BI1399" s="12"/>
      <c r="BJ1399" s="12"/>
      <c r="BK1399" s="44"/>
      <c r="BL1399" s="45"/>
      <c r="BM1399" s="12"/>
      <c r="BN1399" s="12"/>
      <c r="BO1399" s="12"/>
      <c r="BP1399" s="12"/>
      <c r="BQ1399" s="48"/>
      <c r="BR1399" s="49"/>
      <c r="BS1399" s="13"/>
      <c r="BT1399" s="12"/>
      <c r="BV1399" s="14"/>
      <c r="BW1399" s="50"/>
      <c r="BX1399" s="54"/>
      <c r="BY1399" s="14"/>
      <c r="BZ1399" s="14"/>
      <c r="CA1399" s="14"/>
      <c r="CB1399" s="14"/>
      <c r="CC1399" s="14"/>
      <c r="CD1399" s="14"/>
      <c r="CE1399" s="14"/>
      <c r="CF1399" s="15"/>
      <c r="CG1399" s="14"/>
      <c r="CH1399" s="14"/>
      <c r="CI1399" s="50"/>
      <c r="CJ1399" s="54"/>
      <c r="CK1399" s="14"/>
      <c r="CL1399" s="14"/>
      <c r="CM1399" s="14"/>
      <c r="CN1399" s="14"/>
      <c r="CO1399" s="14"/>
      <c r="CP1399" s="14"/>
      <c r="CQ1399" s="14"/>
      <c r="CR1399" s="14"/>
      <c r="CS1399" s="14"/>
      <c r="CT1399" s="14"/>
      <c r="CU1399" s="16"/>
      <c r="CV1399" s="14"/>
      <c r="CW1399" s="50"/>
      <c r="CX1399" s="17"/>
    </row>
    <row r="1400" spans="4:102" x14ac:dyDescent="0.25"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43"/>
      <c r="Q1400" s="11"/>
      <c r="R1400" s="11"/>
      <c r="S1400" s="11"/>
      <c r="T1400" s="11"/>
      <c r="U1400" s="11"/>
      <c r="V1400" s="11"/>
      <c r="W1400" s="11"/>
      <c r="X1400" s="12"/>
      <c r="Y1400" s="12"/>
      <c r="Z1400" s="12"/>
      <c r="AA1400" s="44"/>
      <c r="AB1400" s="45"/>
      <c r="AC1400" s="12"/>
      <c r="AD1400" s="12"/>
      <c r="AE1400" s="12"/>
      <c r="AF1400" s="12"/>
      <c r="AG1400" s="44"/>
      <c r="AH1400" s="45"/>
      <c r="AI1400" s="12"/>
      <c r="AJ1400" s="12"/>
      <c r="AK1400" s="12"/>
      <c r="AL1400" s="12"/>
      <c r="AM1400" s="44"/>
      <c r="AN1400" s="45"/>
      <c r="AO1400" s="12"/>
      <c r="AP1400" s="12"/>
      <c r="AQ1400" s="12"/>
      <c r="AR1400" s="12"/>
      <c r="AS1400" s="44"/>
      <c r="AT1400" s="45"/>
      <c r="AU1400" s="12"/>
      <c r="AV1400" s="12"/>
      <c r="AW1400" s="12"/>
      <c r="AX1400" s="12"/>
      <c r="AY1400" s="44"/>
      <c r="AZ1400" s="45"/>
      <c r="BA1400" s="12"/>
      <c r="BB1400" s="12"/>
      <c r="BC1400" s="12"/>
      <c r="BD1400" s="12"/>
      <c r="BE1400" s="44"/>
      <c r="BF1400" s="45"/>
      <c r="BG1400" s="12"/>
      <c r="BH1400" s="12"/>
      <c r="BI1400" s="12"/>
      <c r="BJ1400" s="12"/>
      <c r="BK1400" s="44"/>
      <c r="BL1400" s="45"/>
      <c r="BM1400" s="12"/>
      <c r="BN1400" s="12"/>
      <c r="BO1400" s="12"/>
      <c r="BP1400" s="12"/>
      <c r="BQ1400" s="48"/>
      <c r="BR1400" s="49"/>
      <c r="BS1400" s="13"/>
      <c r="BT1400" s="12"/>
      <c r="BV1400" s="14"/>
      <c r="BW1400" s="50"/>
      <c r="BX1400" s="54"/>
      <c r="BY1400" s="14"/>
      <c r="BZ1400" s="14"/>
      <c r="CA1400" s="14"/>
      <c r="CB1400" s="14"/>
      <c r="CC1400" s="14"/>
      <c r="CD1400" s="14"/>
      <c r="CE1400" s="14"/>
      <c r="CF1400" s="15"/>
      <c r="CG1400" s="14"/>
      <c r="CH1400" s="14"/>
      <c r="CI1400" s="50"/>
      <c r="CJ1400" s="54"/>
      <c r="CK1400" s="14"/>
      <c r="CL1400" s="14"/>
      <c r="CM1400" s="14"/>
      <c r="CN1400" s="14"/>
      <c r="CO1400" s="14"/>
      <c r="CP1400" s="14"/>
      <c r="CQ1400" s="14"/>
      <c r="CR1400" s="14"/>
      <c r="CS1400" s="14"/>
      <c r="CT1400" s="14"/>
      <c r="CU1400" s="16"/>
      <c r="CV1400" s="14"/>
      <c r="CW1400" s="50"/>
      <c r="CX1400" s="17"/>
    </row>
    <row r="1401" spans="4:102" x14ac:dyDescent="0.25"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43"/>
      <c r="Q1401" s="11"/>
      <c r="R1401" s="11"/>
      <c r="S1401" s="11"/>
      <c r="T1401" s="11"/>
      <c r="U1401" s="11"/>
      <c r="V1401" s="11"/>
      <c r="W1401" s="11"/>
      <c r="X1401" s="12"/>
      <c r="Y1401" s="12"/>
      <c r="Z1401" s="12"/>
      <c r="AA1401" s="44"/>
      <c r="AB1401" s="45"/>
      <c r="AC1401" s="12"/>
      <c r="AD1401" s="12"/>
      <c r="AE1401" s="12"/>
      <c r="AF1401" s="12"/>
      <c r="AG1401" s="44"/>
      <c r="AH1401" s="45"/>
      <c r="AI1401" s="12"/>
      <c r="AJ1401" s="12"/>
      <c r="AK1401" s="12"/>
      <c r="AL1401" s="12"/>
      <c r="AM1401" s="44"/>
      <c r="AN1401" s="45"/>
      <c r="AO1401" s="12"/>
      <c r="AP1401" s="12"/>
      <c r="AQ1401" s="12"/>
      <c r="AR1401" s="12"/>
      <c r="AS1401" s="44"/>
      <c r="AT1401" s="45"/>
      <c r="AU1401" s="12"/>
      <c r="AV1401" s="12"/>
      <c r="AW1401" s="12"/>
      <c r="AX1401" s="12"/>
      <c r="AY1401" s="44"/>
      <c r="AZ1401" s="45"/>
      <c r="BA1401" s="12"/>
      <c r="BB1401" s="12"/>
      <c r="BC1401" s="12"/>
      <c r="BD1401" s="12"/>
      <c r="BE1401" s="44"/>
      <c r="BF1401" s="45"/>
      <c r="BG1401" s="12"/>
      <c r="BH1401" s="12"/>
      <c r="BI1401" s="12"/>
      <c r="BJ1401" s="12"/>
      <c r="BK1401" s="44"/>
      <c r="BL1401" s="45"/>
      <c r="BM1401" s="12"/>
      <c r="BN1401" s="12"/>
      <c r="BO1401" s="12"/>
      <c r="BP1401" s="12"/>
      <c r="BQ1401" s="48"/>
      <c r="BR1401" s="49"/>
      <c r="BS1401" s="13"/>
      <c r="BT1401" s="12"/>
      <c r="BV1401" s="14"/>
      <c r="BW1401" s="50"/>
      <c r="BX1401" s="54"/>
      <c r="BY1401" s="14"/>
      <c r="BZ1401" s="14"/>
      <c r="CA1401" s="14"/>
      <c r="CB1401" s="14"/>
      <c r="CC1401" s="14"/>
      <c r="CD1401" s="14"/>
      <c r="CE1401" s="14"/>
      <c r="CF1401" s="15"/>
      <c r="CG1401" s="14"/>
      <c r="CH1401" s="14"/>
      <c r="CI1401" s="50"/>
      <c r="CJ1401" s="54"/>
      <c r="CK1401" s="14"/>
      <c r="CL1401" s="14"/>
      <c r="CM1401" s="14"/>
      <c r="CN1401" s="14"/>
      <c r="CO1401" s="14"/>
      <c r="CP1401" s="14"/>
      <c r="CQ1401" s="14"/>
      <c r="CR1401" s="14"/>
      <c r="CS1401" s="14"/>
      <c r="CT1401" s="14"/>
      <c r="CU1401" s="16"/>
      <c r="CV1401" s="14"/>
      <c r="CW1401" s="50"/>
      <c r="CX1401" s="17"/>
    </row>
    <row r="1402" spans="4:102" x14ac:dyDescent="0.25"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43"/>
      <c r="Q1402" s="11"/>
      <c r="R1402" s="11"/>
      <c r="S1402" s="11"/>
      <c r="T1402" s="11"/>
      <c r="U1402" s="11"/>
      <c r="V1402" s="11"/>
      <c r="W1402" s="11"/>
      <c r="X1402" s="12"/>
      <c r="Y1402" s="12"/>
      <c r="Z1402" s="12"/>
      <c r="AA1402" s="44"/>
      <c r="AB1402" s="45"/>
      <c r="AC1402" s="12"/>
      <c r="AD1402" s="12"/>
      <c r="AE1402" s="12"/>
      <c r="AF1402" s="12"/>
      <c r="AG1402" s="44"/>
      <c r="AH1402" s="45"/>
      <c r="AI1402" s="12"/>
      <c r="AJ1402" s="12"/>
      <c r="AK1402" s="12"/>
      <c r="AL1402" s="12"/>
      <c r="AM1402" s="44"/>
      <c r="AN1402" s="45"/>
      <c r="AO1402" s="12"/>
      <c r="AP1402" s="12"/>
      <c r="AQ1402" s="12"/>
      <c r="AR1402" s="12"/>
      <c r="AS1402" s="44"/>
      <c r="AT1402" s="45"/>
      <c r="AU1402" s="12"/>
      <c r="AV1402" s="12"/>
      <c r="AW1402" s="12"/>
      <c r="AX1402" s="12"/>
      <c r="AY1402" s="44"/>
      <c r="AZ1402" s="45"/>
      <c r="BA1402" s="12"/>
      <c r="BB1402" s="12"/>
      <c r="BC1402" s="12"/>
      <c r="BD1402" s="12"/>
      <c r="BE1402" s="44"/>
      <c r="BF1402" s="45"/>
      <c r="BG1402" s="12"/>
      <c r="BH1402" s="12"/>
      <c r="BI1402" s="12"/>
      <c r="BJ1402" s="12"/>
      <c r="BK1402" s="44"/>
      <c r="BL1402" s="45"/>
      <c r="BM1402" s="12"/>
      <c r="BN1402" s="12"/>
      <c r="BO1402" s="12"/>
      <c r="BP1402" s="12"/>
      <c r="BQ1402" s="48"/>
      <c r="BR1402" s="49"/>
      <c r="BS1402" s="13"/>
      <c r="BT1402" s="12"/>
      <c r="BV1402" s="14"/>
      <c r="BW1402" s="50"/>
      <c r="BX1402" s="54"/>
      <c r="BY1402" s="14"/>
      <c r="BZ1402" s="14"/>
      <c r="CA1402" s="14"/>
      <c r="CB1402" s="14"/>
      <c r="CC1402" s="14"/>
      <c r="CD1402" s="14"/>
      <c r="CE1402" s="14"/>
      <c r="CF1402" s="15"/>
      <c r="CG1402" s="14"/>
      <c r="CH1402" s="14"/>
      <c r="CI1402" s="50"/>
      <c r="CJ1402" s="54"/>
      <c r="CK1402" s="14"/>
      <c r="CL1402" s="14"/>
      <c r="CM1402" s="14"/>
      <c r="CN1402" s="14"/>
      <c r="CO1402" s="14"/>
      <c r="CP1402" s="14"/>
      <c r="CQ1402" s="14"/>
      <c r="CR1402" s="14"/>
      <c r="CS1402" s="14"/>
      <c r="CT1402" s="14"/>
      <c r="CU1402" s="16"/>
      <c r="CV1402" s="14"/>
      <c r="CW1402" s="50"/>
      <c r="CX1402" s="17"/>
    </row>
    <row r="1403" spans="4:102" x14ac:dyDescent="0.25"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43"/>
      <c r="Q1403" s="11"/>
      <c r="R1403" s="11"/>
      <c r="S1403" s="11"/>
      <c r="T1403" s="11"/>
      <c r="U1403" s="11"/>
      <c r="V1403" s="11"/>
      <c r="W1403" s="11"/>
      <c r="X1403" s="12"/>
      <c r="Y1403" s="12"/>
      <c r="Z1403" s="12"/>
      <c r="AA1403" s="44"/>
      <c r="AB1403" s="45"/>
      <c r="AC1403" s="12"/>
      <c r="AD1403" s="12"/>
      <c r="AE1403" s="12"/>
      <c r="AF1403" s="12"/>
      <c r="AG1403" s="44"/>
      <c r="AH1403" s="45"/>
      <c r="AI1403" s="12"/>
      <c r="AJ1403" s="12"/>
      <c r="AK1403" s="12"/>
      <c r="AL1403" s="12"/>
      <c r="AM1403" s="44"/>
      <c r="AN1403" s="45"/>
      <c r="AO1403" s="12"/>
      <c r="AP1403" s="12"/>
      <c r="AQ1403" s="12"/>
      <c r="AR1403" s="12"/>
      <c r="AS1403" s="44"/>
      <c r="AT1403" s="45"/>
      <c r="AU1403" s="12"/>
      <c r="AV1403" s="12"/>
      <c r="AW1403" s="12"/>
      <c r="AX1403" s="12"/>
      <c r="AY1403" s="44"/>
      <c r="AZ1403" s="45"/>
      <c r="BA1403" s="12"/>
      <c r="BB1403" s="12"/>
      <c r="BC1403" s="12"/>
      <c r="BD1403" s="12"/>
      <c r="BE1403" s="44"/>
      <c r="BF1403" s="45"/>
      <c r="BG1403" s="12"/>
      <c r="BH1403" s="12"/>
      <c r="BI1403" s="12"/>
      <c r="BJ1403" s="12"/>
      <c r="BK1403" s="44"/>
      <c r="BL1403" s="45"/>
      <c r="BM1403" s="12"/>
      <c r="BN1403" s="12"/>
      <c r="BO1403" s="12"/>
      <c r="BP1403" s="12"/>
      <c r="BQ1403" s="48"/>
      <c r="BR1403" s="49"/>
      <c r="BS1403" s="13"/>
      <c r="BT1403" s="12"/>
      <c r="BV1403" s="14"/>
      <c r="BW1403" s="50"/>
      <c r="BX1403" s="54"/>
      <c r="BY1403" s="14"/>
      <c r="BZ1403" s="14"/>
      <c r="CA1403" s="14"/>
      <c r="CB1403" s="14"/>
      <c r="CC1403" s="14"/>
      <c r="CD1403" s="14"/>
      <c r="CE1403" s="14"/>
      <c r="CF1403" s="15"/>
      <c r="CG1403" s="14"/>
      <c r="CH1403" s="14"/>
      <c r="CI1403" s="50"/>
      <c r="CJ1403" s="54"/>
      <c r="CK1403" s="14"/>
      <c r="CL1403" s="14"/>
      <c r="CM1403" s="14"/>
      <c r="CN1403" s="14"/>
      <c r="CO1403" s="14"/>
      <c r="CP1403" s="14"/>
      <c r="CQ1403" s="14"/>
      <c r="CR1403" s="14"/>
      <c r="CS1403" s="14"/>
      <c r="CT1403" s="14"/>
      <c r="CU1403" s="16"/>
      <c r="CV1403" s="14"/>
      <c r="CW1403" s="50"/>
      <c r="CX1403" s="17"/>
    </row>
    <row r="1404" spans="4:102" x14ac:dyDescent="0.25"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43"/>
      <c r="Q1404" s="11"/>
      <c r="R1404" s="11"/>
      <c r="S1404" s="11"/>
      <c r="T1404" s="11"/>
      <c r="U1404" s="11"/>
      <c r="V1404" s="11"/>
      <c r="W1404" s="11"/>
      <c r="X1404" s="12"/>
      <c r="Y1404" s="12"/>
      <c r="Z1404" s="12"/>
      <c r="AA1404" s="44"/>
      <c r="AB1404" s="45"/>
      <c r="AC1404" s="12"/>
      <c r="AD1404" s="12"/>
      <c r="AE1404" s="12"/>
      <c r="AF1404" s="12"/>
      <c r="AG1404" s="44"/>
      <c r="AH1404" s="45"/>
      <c r="AI1404" s="12"/>
      <c r="AJ1404" s="12"/>
      <c r="AK1404" s="12"/>
      <c r="AL1404" s="12"/>
      <c r="AM1404" s="44"/>
      <c r="AN1404" s="45"/>
      <c r="AO1404" s="12"/>
      <c r="AP1404" s="12"/>
      <c r="AQ1404" s="12"/>
      <c r="AR1404" s="12"/>
      <c r="AS1404" s="44"/>
      <c r="AT1404" s="45"/>
      <c r="AU1404" s="12"/>
      <c r="AV1404" s="12"/>
      <c r="AW1404" s="12"/>
      <c r="AX1404" s="12"/>
      <c r="AY1404" s="44"/>
      <c r="AZ1404" s="45"/>
      <c r="BA1404" s="12"/>
      <c r="BB1404" s="12"/>
      <c r="BC1404" s="12"/>
      <c r="BD1404" s="12"/>
      <c r="BE1404" s="44"/>
      <c r="BF1404" s="45"/>
      <c r="BG1404" s="12"/>
      <c r="BH1404" s="12"/>
      <c r="BI1404" s="12"/>
      <c r="BJ1404" s="12"/>
      <c r="BK1404" s="44"/>
      <c r="BL1404" s="45"/>
      <c r="BM1404" s="12"/>
      <c r="BN1404" s="12"/>
      <c r="BO1404" s="12"/>
      <c r="BP1404" s="12"/>
      <c r="BQ1404" s="48"/>
      <c r="BR1404" s="49"/>
      <c r="BS1404" s="13"/>
      <c r="BT1404" s="12"/>
      <c r="BV1404" s="14"/>
      <c r="BW1404" s="50"/>
      <c r="BX1404" s="54"/>
      <c r="BY1404" s="14"/>
      <c r="BZ1404" s="14"/>
      <c r="CA1404" s="14"/>
      <c r="CB1404" s="14"/>
      <c r="CC1404" s="14"/>
      <c r="CD1404" s="14"/>
      <c r="CE1404" s="14"/>
      <c r="CF1404" s="15"/>
      <c r="CG1404" s="14"/>
      <c r="CH1404" s="14"/>
      <c r="CI1404" s="50"/>
      <c r="CJ1404" s="54"/>
      <c r="CK1404" s="14"/>
      <c r="CL1404" s="14"/>
      <c r="CM1404" s="14"/>
      <c r="CN1404" s="14"/>
      <c r="CO1404" s="14"/>
      <c r="CP1404" s="14"/>
      <c r="CQ1404" s="14"/>
      <c r="CR1404" s="14"/>
      <c r="CS1404" s="14"/>
      <c r="CT1404" s="14"/>
      <c r="CU1404" s="16"/>
      <c r="CV1404" s="14"/>
      <c r="CW1404" s="50"/>
      <c r="CX1404" s="17"/>
    </row>
    <row r="1405" spans="4:102" x14ac:dyDescent="0.25"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43"/>
      <c r="Q1405" s="11"/>
      <c r="R1405" s="11"/>
      <c r="S1405" s="11"/>
      <c r="T1405" s="11"/>
      <c r="U1405" s="11"/>
      <c r="V1405" s="11"/>
      <c r="W1405" s="11"/>
      <c r="X1405" s="12"/>
      <c r="Y1405" s="12"/>
      <c r="Z1405" s="12"/>
      <c r="AA1405" s="44"/>
      <c r="AB1405" s="45"/>
      <c r="AC1405" s="12"/>
      <c r="AD1405" s="12"/>
      <c r="AE1405" s="12"/>
      <c r="AF1405" s="12"/>
      <c r="AG1405" s="44"/>
      <c r="AH1405" s="45"/>
      <c r="AI1405" s="12"/>
      <c r="AJ1405" s="12"/>
      <c r="AK1405" s="12"/>
      <c r="AL1405" s="12"/>
      <c r="AM1405" s="44"/>
      <c r="AN1405" s="45"/>
      <c r="AO1405" s="12"/>
      <c r="AP1405" s="12"/>
      <c r="AQ1405" s="12"/>
      <c r="AR1405" s="12"/>
      <c r="AS1405" s="44"/>
      <c r="AT1405" s="45"/>
      <c r="AU1405" s="12"/>
      <c r="AV1405" s="12"/>
      <c r="AW1405" s="12"/>
      <c r="AX1405" s="12"/>
      <c r="AY1405" s="44"/>
      <c r="AZ1405" s="45"/>
      <c r="BA1405" s="12"/>
      <c r="BB1405" s="12"/>
      <c r="BC1405" s="12"/>
      <c r="BD1405" s="12"/>
      <c r="BE1405" s="44"/>
      <c r="BF1405" s="45"/>
      <c r="BG1405" s="12"/>
      <c r="BH1405" s="12"/>
      <c r="BI1405" s="12"/>
      <c r="BJ1405" s="12"/>
      <c r="BK1405" s="44"/>
      <c r="BL1405" s="45"/>
      <c r="BM1405" s="12"/>
      <c r="BN1405" s="12"/>
      <c r="BO1405" s="12"/>
      <c r="BP1405" s="12"/>
      <c r="BQ1405" s="48"/>
      <c r="BR1405" s="49"/>
      <c r="BS1405" s="13"/>
      <c r="BT1405" s="12"/>
      <c r="BV1405" s="14"/>
      <c r="BW1405" s="50"/>
      <c r="BX1405" s="54"/>
      <c r="BY1405" s="14"/>
      <c r="BZ1405" s="14"/>
      <c r="CA1405" s="14"/>
      <c r="CB1405" s="14"/>
      <c r="CC1405" s="14"/>
      <c r="CD1405" s="14"/>
      <c r="CE1405" s="14"/>
      <c r="CF1405" s="15"/>
      <c r="CG1405" s="14"/>
      <c r="CH1405" s="14"/>
      <c r="CI1405" s="50"/>
      <c r="CJ1405" s="54"/>
      <c r="CK1405" s="14"/>
      <c r="CL1405" s="14"/>
      <c r="CM1405" s="14"/>
      <c r="CN1405" s="14"/>
      <c r="CO1405" s="14"/>
      <c r="CP1405" s="14"/>
      <c r="CQ1405" s="14"/>
      <c r="CR1405" s="14"/>
      <c r="CS1405" s="14"/>
      <c r="CT1405" s="14"/>
      <c r="CU1405" s="16"/>
      <c r="CV1405" s="14"/>
      <c r="CW1405" s="50"/>
      <c r="CX1405" s="17"/>
    </row>
    <row r="1406" spans="4:102" x14ac:dyDescent="0.25"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43"/>
      <c r="Q1406" s="11"/>
      <c r="R1406" s="11"/>
      <c r="S1406" s="11"/>
      <c r="T1406" s="11"/>
      <c r="U1406" s="11"/>
      <c r="V1406" s="11"/>
      <c r="W1406" s="11"/>
      <c r="X1406" s="12"/>
      <c r="Y1406" s="12"/>
      <c r="Z1406" s="12"/>
      <c r="AA1406" s="44"/>
      <c r="AB1406" s="45"/>
      <c r="AC1406" s="12"/>
      <c r="AD1406" s="12"/>
      <c r="AE1406" s="12"/>
      <c r="AF1406" s="12"/>
      <c r="AG1406" s="44"/>
      <c r="AH1406" s="45"/>
      <c r="AI1406" s="12"/>
      <c r="AJ1406" s="12"/>
      <c r="AK1406" s="12"/>
      <c r="AL1406" s="12"/>
      <c r="AM1406" s="44"/>
      <c r="AN1406" s="45"/>
      <c r="AO1406" s="12"/>
      <c r="AP1406" s="12"/>
      <c r="AQ1406" s="12"/>
      <c r="AR1406" s="12"/>
      <c r="AS1406" s="44"/>
      <c r="AT1406" s="45"/>
      <c r="AU1406" s="12"/>
      <c r="AV1406" s="12"/>
      <c r="AW1406" s="12"/>
      <c r="AX1406" s="12"/>
      <c r="AY1406" s="44"/>
      <c r="AZ1406" s="45"/>
      <c r="BA1406" s="12"/>
      <c r="BB1406" s="12"/>
      <c r="BC1406" s="12"/>
      <c r="BD1406" s="12"/>
      <c r="BE1406" s="44"/>
      <c r="BF1406" s="45"/>
      <c r="BG1406" s="12"/>
      <c r="BH1406" s="12"/>
      <c r="BI1406" s="12"/>
      <c r="BJ1406" s="12"/>
      <c r="BK1406" s="44"/>
      <c r="BL1406" s="45"/>
      <c r="BM1406" s="12"/>
      <c r="BN1406" s="12"/>
      <c r="BO1406" s="12"/>
      <c r="BP1406" s="12"/>
      <c r="BQ1406" s="48"/>
      <c r="BR1406" s="49"/>
      <c r="BS1406" s="13"/>
      <c r="BT1406" s="12"/>
      <c r="BV1406" s="14"/>
      <c r="BW1406" s="50"/>
      <c r="BX1406" s="54"/>
      <c r="BY1406" s="14"/>
      <c r="BZ1406" s="14"/>
      <c r="CA1406" s="14"/>
      <c r="CB1406" s="14"/>
      <c r="CC1406" s="14"/>
      <c r="CD1406" s="14"/>
      <c r="CE1406" s="14"/>
      <c r="CF1406" s="15"/>
      <c r="CG1406" s="14"/>
      <c r="CH1406" s="14"/>
      <c r="CI1406" s="50"/>
      <c r="CJ1406" s="54"/>
      <c r="CK1406" s="14"/>
      <c r="CL1406" s="14"/>
      <c r="CM1406" s="14"/>
      <c r="CN1406" s="14"/>
      <c r="CO1406" s="14"/>
      <c r="CP1406" s="14"/>
      <c r="CQ1406" s="14"/>
      <c r="CR1406" s="14"/>
      <c r="CS1406" s="14"/>
      <c r="CT1406" s="14"/>
      <c r="CU1406" s="16"/>
      <c r="CV1406" s="14"/>
      <c r="CW1406" s="50"/>
      <c r="CX1406" s="17"/>
    </row>
    <row r="1407" spans="4:102" x14ac:dyDescent="0.25"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43"/>
      <c r="Q1407" s="11"/>
      <c r="R1407" s="11"/>
      <c r="S1407" s="11"/>
      <c r="T1407" s="11"/>
      <c r="U1407" s="11"/>
      <c r="V1407" s="11"/>
      <c r="W1407" s="11"/>
      <c r="X1407" s="12"/>
      <c r="Y1407" s="12"/>
      <c r="Z1407" s="12"/>
      <c r="AA1407" s="44"/>
      <c r="AB1407" s="45"/>
      <c r="AC1407" s="12"/>
      <c r="AD1407" s="12"/>
      <c r="AE1407" s="12"/>
      <c r="AF1407" s="12"/>
      <c r="AG1407" s="44"/>
      <c r="AH1407" s="45"/>
      <c r="AI1407" s="12"/>
      <c r="AJ1407" s="12"/>
      <c r="AK1407" s="12"/>
      <c r="AL1407" s="12"/>
      <c r="AM1407" s="44"/>
      <c r="AN1407" s="45"/>
      <c r="AO1407" s="12"/>
      <c r="AP1407" s="12"/>
      <c r="AQ1407" s="12"/>
      <c r="AR1407" s="12"/>
      <c r="AS1407" s="44"/>
      <c r="AT1407" s="45"/>
      <c r="AU1407" s="12"/>
      <c r="AV1407" s="12"/>
      <c r="AW1407" s="12"/>
      <c r="AX1407" s="12"/>
      <c r="AY1407" s="44"/>
      <c r="AZ1407" s="45"/>
      <c r="BA1407" s="12"/>
      <c r="BB1407" s="12"/>
      <c r="BC1407" s="12"/>
      <c r="BD1407" s="12"/>
      <c r="BE1407" s="44"/>
      <c r="BF1407" s="45"/>
      <c r="BG1407" s="12"/>
      <c r="BH1407" s="12"/>
      <c r="BI1407" s="12"/>
      <c r="BJ1407" s="12"/>
      <c r="BK1407" s="44"/>
      <c r="BL1407" s="45"/>
      <c r="BM1407" s="12"/>
      <c r="BN1407" s="12"/>
      <c r="BO1407" s="12"/>
      <c r="BP1407" s="12"/>
      <c r="BQ1407" s="48"/>
      <c r="BR1407" s="49"/>
      <c r="BS1407" s="13"/>
      <c r="BT1407" s="12"/>
      <c r="BV1407" s="14"/>
      <c r="BW1407" s="50"/>
      <c r="BX1407" s="54"/>
      <c r="BY1407" s="14"/>
      <c r="BZ1407" s="14"/>
      <c r="CA1407" s="14"/>
      <c r="CB1407" s="14"/>
      <c r="CC1407" s="14"/>
      <c r="CD1407" s="14"/>
      <c r="CE1407" s="14"/>
      <c r="CF1407" s="15"/>
      <c r="CG1407" s="14"/>
      <c r="CH1407" s="14"/>
      <c r="CI1407" s="50"/>
      <c r="CJ1407" s="54"/>
      <c r="CK1407" s="14"/>
      <c r="CL1407" s="14"/>
      <c r="CM1407" s="14"/>
      <c r="CN1407" s="14"/>
      <c r="CO1407" s="14"/>
      <c r="CP1407" s="14"/>
      <c r="CQ1407" s="14"/>
      <c r="CR1407" s="14"/>
      <c r="CS1407" s="14"/>
      <c r="CT1407" s="14"/>
      <c r="CU1407" s="16"/>
      <c r="CV1407" s="14"/>
      <c r="CW1407" s="50"/>
      <c r="CX1407" s="17"/>
    </row>
    <row r="1408" spans="4:102" x14ac:dyDescent="0.25"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43"/>
      <c r="Q1408" s="11"/>
      <c r="R1408" s="11"/>
      <c r="S1408" s="11"/>
      <c r="T1408" s="11"/>
      <c r="U1408" s="11"/>
      <c r="V1408" s="11"/>
      <c r="W1408" s="11"/>
      <c r="X1408" s="12"/>
      <c r="Y1408" s="12"/>
      <c r="Z1408" s="12"/>
      <c r="AA1408" s="44"/>
      <c r="AB1408" s="45"/>
      <c r="AC1408" s="12"/>
      <c r="AD1408" s="12"/>
      <c r="AE1408" s="12"/>
      <c r="AF1408" s="12"/>
      <c r="AG1408" s="44"/>
      <c r="AH1408" s="45"/>
      <c r="AI1408" s="12"/>
      <c r="AJ1408" s="12"/>
      <c r="AK1408" s="12"/>
      <c r="AL1408" s="12"/>
      <c r="AM1408" s="44"/>
      <c r="AN1408" s="45"/>
      <c r="AO1408" s="12"/>
      <c r="AP1408" s="12"/>
      <c r="AQ1408" s="12"/>
      <c r="AR1408" s="12"/>
      <c r="AS1408" s="44"/>
      <c r="AT1408" s="45"/>
      <c r="AU1408" s="12"/>
      <c r="AV1408" s="12"/>
      <c r="AW1408" s="12"/>
      <c r="AX1408" s="12"/>
      <c r="AY1408" s="44"/>
      <c r="AZ1408" s="45"/>
      <c r="BA1408" s="12"/>
      <c r="BB1408" s="12"/>
      <c r="BC1408" s="12"/>
      <c r="BD1408" s="12"/>
      <c r="BE1408" s="44"/>
      <c r="BF1408" s="45"/>
      <c r="BG1408" s="12"/>
      <c r="BH1408" s="12"/>
      <c r="BI1408" s="12"/>
      <c r="BJ1408" s="12"/>
      <c r="BK1408" s="44"/>
      <c r="BL1408" s="45"/>
      <c r="BM1408" s="12"/>
      <c r="BN1408" s="12"/>
      <c r="BO1408" s="12"/>
      <c r="BP1408" s="12"/>
      <c r="BQ1408" s="48"/>
      <c r="BR1408" s="49"/>
      <c r="BS1408" s="13"/>
      <c r="BT1408" s="12"/>
      <c r="BV1408" s="14"/>
      <c r="BW1408" s="50"/>
      <c r="BX1408" s="54"/>
      <c r="BY1408" s="14"/>
      <c r="BZ1408" s="14"/>
      <c r="CA1408" s="14"/>
      <c r="CB1408" s="14"/>
      <c r="CC1408" s="14"/>
      <c r="CD1408" s="14"/>
      <c r="CE1408" s="14"/>
      <c r="CF1408" s="15"/>
      <c r="CG1408" s="14"/>
      <c r="CH1408" s="14"/>
      <c r="CI1408" s="50"/>
      <c r="CJ1408" s="54"/>
      <c r="CK1408" s="14"/>
      <c r="CL1408" s="14"/>
      <c r="CM1408" s="14"/>
      <c r="CN1408" s="14"/>
      <c r="CO1408" s="14"/>
      <c r="CP1408" s="14"/>
      <c r="CQ1408" s="14"/>
      <c r="CR1408" s="14"/>
      <c r="CS1408" s="14"/>
      <c r="CT1408" s="14"/>
      <c r="CU1408" s="16"/>
      <c r="CV1408" s="14"/>
      <c r="CW1408" s="50"/>
      <c r="CX1408" s="17"/>
    </row>
    <row r="1409" spans="4:102" x14ac:dyDescent="0.25"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43"/>
      <c r="Q1409" s="11"/>
      <c r="R1409" s="11"/>
      <c r="S1409" s="11"/>
      <c r="T1409" s="11"/>
      <c r="U1409" s="11"/>
      <c r="V1409" s="11"/>
      <c r="W1409" s="11"/>
      <c r="X1409" s="12"/>
      <c r="Y1409" s="12"/>
      <c r="Z1409" s="12"/>
      <c r="AA1409" s="44"/>
      <c r="AB1409" s="45"/>
      <c r="AC1409" s="12"/>
      <c r="AD1409" s="12"/>
      <c r="AE1409" s="12"/>
      <c r="AF1409" s="12"/>
      <c r="AG1409" s="44"/>
      <c r="AH1409" s="45"/>
      <c r="AI1409" s="12"/>
      <c r="AJ1409" s="12"/>
      <c r="AK1409" s="12"/>
      <c r="AL1409" s="12"/>
      <c r="AM1409" s="44"/>
      <c r="AN1409" s="45"/>
      <c r="AO1409" s="12"/>
      <c r="AP1409" s="12"/>
      <c r="AQ1409" s="12"/>
      <c r="AR1409" s="12"/>
      <c r="AS1409" s="44"/>
      <c r="AT1409" s="45"/>
      <c r="AU1409" s="12"/>
      <c r="AV1409" s="12"/>
      <c r="AW1409" s="12"/>
      <c r="AX1409" s="12"/>
      <c r="AY1409" s="44"/>
      <c r="AZ1409" s="45"/>
      <c r="BA1409" s="12"/>
      <c r="BB1409" s="12"/>
      <c r="BC1409" s="12"/>
      <c r="BD1409" s="12"/>
      <c r="BE1409" s="44"/>
      <c r="BF1409" s="45"/>
      <c r="BG1409" s="12"/>
      <c r="BH1409" s="12"/>
      <c r="BI1409" s="12"/>
      <c r="BJ1409" s="12"/>
      <c r="BK1409" s="44"/>
      <c r="BL1409" s="45"/>
      <c r="BM1409" s="12"/>
      <c r="BN1409" s="12"/>
      <c r="BO1409" s="12"/>
      <c r="BP1409" s="12"/>
      <c r="BQ1409" s="48"/>
      <c r="BR1409" s="49"/>
      <c r="BS1409" s="13"/>
      <c r="BT1409" s="12"/>
      <c r="BV1409" s="14"/>
      <c r="BW1409" s="50"/>
      <c r="BX1409" s="54"/>
      <c r="BY1409" s="14"/>
      <c r="BZ1409" s="14"/>
      <c r="CA1409" s="14"/>
      <c r="CB1409" s="14"/>
      <c r="CC1409" s="14"/>
      <c r="CD1409" s="14"/>
      <c r="CE1409" s="14"/>
      <c r="CF1409" s="15"/>
      <c r="CG1409" s="14"/>
      <c r="CH1409" s="14"/>
      <c r="CI1409" s="50"/>
      <c r="CJ1409" s="54"/>
      <c r="CK1409" s="14"/>
      <c r="CL1409" s="14"/>
      <c r="CM1409" s="14"/>
      <c r="CN1409" s="14"/>
      <c r="CO1409" s="14"/>
      <c r="CP1409" s="14"/>
      <c r="CQ1409" s="14"/>
      <c r="CR1409" s="14"/>
      <c r="CS1409" s="14"/>
      <c r="CT1409" s="14"/>
      <c r="CU1409" s="16"/>
      <c r="CV1409" s="14"/>
      <c r="CW1409" s="50"/>
      <c r="CX1409" s="17"/>
    </row>
    <row r="1410" spans="4:102" x14ac:dyDescent="0.25"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43"/>
      <c r="Q1410" s="11"/>
      <c r="R1410" s="11"/>
      <c r="S1410" s="11"/>
      <c r="T1410" s="11"/>
      <c r="U1410" s="11"/>
      <c r="V1410" s="11"/>
      <c r="W1410" s="11"/>
      <c r="X1410" s="12"/>
      <c r="Y1410" s="12"/>
      <c r="Z1410" s="12"/>
      <c r="AA1410" s="44"/>
      <c r="AB1410" s="45"/>
      <c r="AC1410" s="12"/>
      <c r="AD1410" s="12"/>
      <c r="AE1410" s="12"/>
      <c r="AF1410" s="12"/>
      <c r="AG1410" s="44"/>
      <c r="AH1410" s="45"/>
      <c r="AI1410" s="12"/>
      <c r="AJ1410" s="12"/>
      <c r="AK1410" s="12"/>
      <c r="AL1410" s="12"/>
      <c r="AM1410" s="44"/>
      <c r="AN1410" s="45"/>
      <c r="AO1410" s="12"/>
      <c r="AP1410" s="12"/>
      <c r="AQ1410" s="12"/>
      <c r="AR1410" s="12"/>
      <c r="AS1410" s="44"/>
      <c r="AT1410" s="45"/>
      <c r="AU1410" s="12"/>
      <c r="AV1410" s="12"/>
      <c r="AW1410" s="12"/>
      <c r="AX1410" s="12"/>
      <c r="AY1410" s="44"/>
      <c r="AZ1410" s="45"/>
      <c r="BA1410" s="12"/>
      <c r="BB1410" s="12"/>
      <c r="BC1410" s="12"/>
      <c r="BD1410" s="12"/>
      <c r="BE1410" s="44"/>
      <c r="BF1410" s="45"/>
      <c r="BG1410" s="12"/>
      <c r="BH1410" s="12"/>
      <c r="BI1410" s="12"/>
      <c r="BJ1410" s="12"/>
      <c r="BK1410" s="44"/>
      <c r="BL1410" s="45"/>
      <c r="BM1410" s="12"/>
      <c r="BN1410" s="12"/>
      <c r="BO1410" s="12"/>
      <c r="BP1410" s="12"/>
      <c r="BQ1410" s="48"/>
      <c r="BR1410" s="49"/>
      <c r="BS1410" s="13"/>
      <c r="BT1410" s="12"/>
      <c r="BV1410" s="14"/>
      <c r="BW1410" s="50"/>
      <c r="BX1410" s="54"/>
      <c r="BY1410" s="14"/>
      <c r="BZ1410" s="14"/>
      <c r="CA1410" s="14"/>
      <c r="CB1410" s="14"/>
      <c r="CC1410" s="14"/>
      <c r="CD1410" s="14"/>
      <c r="CE1410" s="14"/>
      <c r="CF1410" s="15"/>
      <c r="CG1410" s="14"/>
      <c r="CH1410" s="14"/>
      <c r="CI1410" s="50"/>
      <c r="CJ1410" s="54"/>
      <c r="CK1410" s="14"/>
      <c r="CL1410" s="14"/>
      <c r="CM1410" s="14"/>
      <c r="CN1410" s="14"/>
      <c r="CO1410" s="14"/>
      <c r="CP1410" s="14"/>
      <c r="CQ1410" s="14"/>
      <c r="CR1410" s="14"/>
      <c r="CS1410" s="14"/>
      <c r="CT1410" s="14"/>
      <c r="CU1410" s="16"/>
      <c r="CV1410" s="14"/>
      <c r="CW1410" s="50"/>
      <c r="CX1410" s="17"/>
    </row>
    <row r="1411" spans="4:102" x14ac:dyDescent="0.25"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43"/>
      <c r="Q1411" s="11"/>
      <c r="R1411" s="11"/>
      <c r="S1411" s="11"/>
      <c r="T1411" s="11"/>
      <c r="U1411" s="11"/>
      <c r="V1411" s="11"/>
      <c r="W1411" s="11"/>
      <c r="X1411" s="12"/>
      <c r="Y1411" s="12"/>
      <c r="Z1411" s="12"/>
      <c r="AA1411" s="44"/>
      <c r="AB1411" s="45"/>
      <c r="AC1411" s="12"/>
      <c r="AD1411" s="12"/>
      <c r="AE1411" s="12"/>
      <c r="AF1411" s="12"/>
      <c r="AG1411" s="44"/>
      <c r="AH1411" s="45"/>
      <c r="AI1411" s="12"/>
      <c r="AJ1411" s="12"/>
      <c r="AK1411" s="12"/>
      <c r="AL1411" s="12"/>
      <c r="AM1411" s="44"/>
      <c r="AN1411" s="45"/>
      <c r="AO1411" s="12"/>
      <c r="AP1411" s="12"/>
      <c r="AQ1411" s="12"/>
      <c r="AR1411" s="12"/>
      <c r="AS1411" s="44"/>
      <c r="AT1411" s="45"/>
      <c r="AU1411" s="12"/>
      <c r="AV1411" s="12"/>
      <c r="AW1411" s="12"/>
      <c r="AX1411" s="12"/>
      <c r="AY1411" s="44"/>
      <c r="AZ1411" s="45"/>
      <c r="BA1411" s="12"/>
      <c r="BB1411" s="12"/>
      <c r="BC1411" s="12"/>
      <c r="BD1411" s="12"/>
      <c r="BE1411" s="44"/>
      <c r="BF1411" s="45"/>
      <c r="BG1411" s="12"/>
      <c r="BH1411" s="12"/>
      <c r="BI1411" s="12"/>
      <c r="BJ1411" s="12"/>
      <c r="BK1411" s="44"/>
      <c r="BL1411" s="45"/>
      <c r="BM1411" s="12"/>
      <c r="BN1411" s="12"/>
      <c r="BO1411" s="12"/>
      <c r="BP1411" s="12"/>
      <c r="BQ1411" s="48"/>
      <c r="BR1411" s="49"/>
      <c r="BS1411" s="13"/>
      <c r="BT1411" s="12"/>
      <c r="BV1411" s="14"/>
      <c r="BW1411" s="50"/>
      <c r="BX1411" s="54"/>
      <c r="BY1411" s="14"/>
      <c r="BZ1411" s="14"/>
      <c r="CA1411" s="14"/>
      <c r="CB1411" s="14"/>
      <c r="CC1411" s="14"/>
      <c r="CD1411" s="14"/>
      <c r="CE1411" s="14"/>
      <c r="CF1411" s="15"/>
      <c r="CG1411" s="14"/>
      <c r="CH1411" s="14"/>
      <c r="CI1411" s="50"/>
      <c r="CJ1411" s="54"/>
      <c r="CK1411" s="14"/>
      <c r="CL1411" s="14"/>
      <c r="CM1411" s="14"/>
      <c r="CN1411" s="14"/>
      <c r="CO1411" s="14"/>
      <c r="CP1411" s="14"/>
      <c r="CQ1411" s="14"/>
      <c r="CR1411" s="14"/>
      <c r="CS1411" s="14"/>
      <c r="CT1411" s="14"/>
      <c r="CU1411" s="16"/>
      <c r="CV1411" s="14"/>
      <c r="CW1411" s="50"/>
      <c r="CX1411" s="17"/>
    </row>
    <row r="1412" spans="4:102" x14ac:dyDescent="0.25"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43"/>
      <c r="Q1412" s="11"/>
      <c r="R1412" s="11"/>
      <c r="S1412" s="11"/>
      <c r="T1412" s="11"/>
      <c r="U1412" s="11"/>
      <c r="V1412" s="11"/>
      <c r="W1412" s="11"/>
      <c r="X1412" s="12"/>
      <c r="Y1412" s="12"/>
      <c r="Z1412" s="12"/>
      <c r="AA1412" s="44"/>
      <c r="AB1412" s="45"/>
      <c r="AC1412" s="12"/>
      <c r="AD1412" s="12"/>
      <c r="AE1412" s="12"/>
      <c r="AF1412" s="12"/>
      <c r="AG1412" s="44"/>
      <c r="AH1412" s="45"/>
      <c r="AI1412" s="12"/>
      <c r="AJ1412" s="12"/>
      <c r="AK1412" s="12"/>
      <c r="AL1412" s="12"/>
      <c r="AM1412" s="44"/>
      <c r="AN1412" s="45"/>
      <c r="AO1412" s="12"/>
      <c r="AP1412" s="12"/>
      <c r="AQ1412" s="12"/>
      <c r="AR1412" s="12"/>
      <c r="AS1412" s="44"/>
      <c r="AT1412" s="45"/>
      <c r="AU1412" s="12"/>
      <c r="AV1412" s="12"/>
      <c r="AW1412" s="12"/>
      <c r="AX1412" s="12"/>
      <c r="AY1412" s="44"/>
      <c r="AZ1412" s="45"/>
      <c r="BA1412" s="12"/>
      <c r="BB1412" s="12"/>
      <c r="BC1412" s="12"/>
      <c r="BD1412" s="12"/>
      <c r="BE1412" s="44"/>
      <c r="BF1412" s="45"/>
      <c r="BG1412" s="12"/>
      <c r="BH1412" s="12"/>
      <c r="BI1412" s="12"/>
      <c r="BJ1412" s="12"/>
      <c r="BK1412" s="44"/>
      <c r="BL1412" s="45"/>
      <c r="BM1412" s="12"/>
      <c r="BN1412" s="12"/>
      <c r="BO1412" s="12"/>
      <c r="BP1412" s="12"/>
      <c r="BQ1412" s="48"/>
      <c r="BR1412" s="49"/>
      <c r="BS1412" s="13"/>
      <c r="BT1412" s="12"/>
      <c r="BV1412" s="14"/>
      <c r="BW1412" s="50"/>
      <c r="BX1412" s="54"/>
      <c r="BY1412" s="14"/>
      <c r="BZ1412" s="14"/>
      <c r="CA1412" s="14"/>
      <c r="CB1412" s="14"/>
      <c r="CC1412" s="14"/>
      <c r="CD1412" s="14"/>
      <c r="CE1412" s="14"/>
      <c r="CF1412" s="15"/>
      <c r="CG1412" s="14"/>
      <c r="CH1412" s="14"/>
      <c r="CI1412" s="50"/>
      <c r="CJ1412" s="54"/>
      <c r="CK1412" s="14"/>
      <c r="CL1412" s="14"/>
      <c r="CM1412" s="14"/>
      <c r="CN1412" s="14"/>
      <c r="CO1412" s="14"/>
      <c r="CP1412" s="14"/>
      <c r="CQ1412" s="14"/>
      <c r="CR1412" s="14"/>
      <c r="CS1412" s="14"/>
      <c r="CT1412" s="14"/>
      <c r="CU1412" s="16"/>
      <c r="CV1412" s="14"/>
      <c r="CW1412" s="50"/>
      <c r="CX1412" s="17"/>
    </row>
    <row r="1413" spans="4:102" x14ac:dyDescent="0.25"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43"/>
      <c r="Q1413" s="11"/>
      <c r="R1413" s="11"/>
      <c r="S1413" s="11"/>
      <c r="T1413" s="11"/>
      <c r="U1413" s="11"/>
      <c r="V1413" s="11"/>
      <c r="W1413" s="11"/>
      <c r="X1413" s="12"/>
      <c r="Y1413" s="12"/>
      <c r="Z1413" s="12"/>
      <c r="AA1413" s="44"/>
      <c r="AB1413" s="45"/>
      <c r="AC1413" s="12"/>
      <c r="AD1413" s="12"/>
      <c r="AE1413" s="12"/>
      <c r="AF1413" s="12"/>
      <c r="AG1413" s="44"/>
      <c r="AH1413" s="45"/>
      <c r="AI1413" s="12"/>
      <c r="AJ1413" s="12"/>
      <c r="AK1413" s="12"/>
      <c r="AL1413" s="12"/>
      <c r="AM1413" s="44"/>
      <c r="AN1413" s="45"/>
      <c r="AO1413" s="12"/>
      <c r="AP1413" s="12"/>
      <c r="AQ1413" s="12"/>
      <c r="AR1413" s="12"/>
      <c r="AS1413" s="44"/>
      <c r="AT1413" s="45"/>
      <c r="AU1413" s="12"/>
      <c r="AV1413" s="12"/>
      <c r="AW1413" s="12"/>
      <c r="AX1413" s="12"/>
      <c r="AY1413" s="44"/>
      <c r="AZ1413" s="45"/>
      <c r="BA1413" s="12"/>
      <c r="BB1413" s="12"/>
      <c r="BC1413" s="12"/>
      <c r="BD1413" s="12"/>
      <c r="BE1413" s="44"/>
      <c r="BF1413" s="45"/>
      <c r="BG1413" s="12"/>
      <c r="BH1413" s="12"/>
      <c r="BI1413" s="12"/>
      <c r="BJ1413" s="12"/>
      <c r="BK1413" s="44"/>
      <c r="BL1413" s="45"/>
      <c r="BM1413" s="12"/>
      <c r="BN1413" s="12"/>
      <c r="BO1413" s="12"/>
      <c r="BP1413" s="12"/>
      <c r="BQ1413" s="48"/>
      <c r="BR1413" s="49"/>
      <c r="BS1413" s="13"/>
      <c r="BT1413" s="12"/>
      <c r="BV1413" s="14"/>
      <c r="BW1413" s="50"/>
      <c r="BX1413" s="54"/>
      <c r="BY1413" s="14"/>
      <c r="BZ1413" s="14"/>
      <c r="CA1413" s="14"/>
      <c r="CB1413" s="14"/>
      <c r="CC1413" s="14"/>
      <c r="CD1413" s="14"/>
      <c r="CE1413" s="14"/>
      <c r="CF1413" s="15"/>
      <c r="CG1413" s="14"/>
      <c r="CH1413" s="14"/>
      <c r="CI1413" s="50"/>
      <c r="CJ1413" s="54"/>
      <c r="CK1413" s="14"/>
      <c r="CL1413" s="14"/>
      <c r="CM1413" s="14"/>
      <c r="CN1413" s="14"/>
      <c r="CO1413" s="14"/>
      <c r="CP1413" s="14"/>
      <c r="CQ1413" s="14"/>
      <c r="CR1413" s="14"/>
      <c r="CS1413" s="14"/>
      <c r="CT1413" s="14"/>
      <c r="CU1413" s="16"/>
      <c r="CV1413" s="14"/>
      <c r="CW1413" s="50"/>
      <c r="CX1413" s="17"/>
    </row>
    <row r="1414" spans="4:102" x14ac:dyDescent="0.25"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43"/>
      <c r="Q1414" s="11"/>
      <c r="R1414" s="11"/>
      <c r="S1414" s="11"/>
      <c r="T1414" s="11"/>
      <c r="U1414" s="11"/>
      <c r="V1414" s="11"/>
      <c r="W1414" s="11"/>
      <c r="X1414" s="12"/>
      <c r="Y1414" s="12"/>
      <c r="Z1414" s="12"/>
      <c r="AA1414" s="44"/>
      <c r="AB1414" s="45"/>
      <c r="AC1414" s="12"/>
      <c r="AD1414" s="12"/>
      <c r="AE1414" s="12"/>
      <c r="AF1414" s="12"/>
      <c r="AG1414" s="44"/>
      <c r="AH1414" s="45"/>
      <c r="AI1414" s="12"/>
      <c r="AJ1414" s="12"/>
      <c r="AK1414" s="12"/>
      <c r="AL1414" s="12"/>
      <c r="AM1414" s="44"/>
      <c r="AN1414" s="45"/>
      <c r="AO1414" s="12"/>
      <c r="AP1414" s="12"/>
      <c r="AQ1414" s="12"/>
      <c r="AR1414" s="12"/>
      <c r="AS1414" s="44"/>
      <c r="AT1414" s="45"/>
      <c r="AU1414" s="12"/>
      <c r="AV1414" s="12"/>
      <c r="AW1414" s="12"/>
      <c r="AX1414" s="12"/>
      <c r="AY1414" s="44"/>
      <c r="AZ1414" s="45"/>
      <c r="BA1414" s="12"/>
      <c r="BB1414" s="12"/>
      <c r="BC1414" s="12"/>
      <c r="BD1414" s="12"/>
      <c r="BE1414" s="44"/>
      <c r="BF1414" s="45"/>
      <c r="BG1414" s="12"/>
      <c r="BH1414" s="12"/>
      <c r="BI1414" s="12"/>
      <c r="BJ1414" s="12"/>
      <c r="BK1414" s="44"/>
      <c r="BL1414" s="45"/>
      <c r="BM1414" s="12"/>
      <c r="BN1414" s="12"/>
      <c r="BO1414" s="12"/>
      <c r="BP1414" s="12"/>
      <c r="BQ1414" s="48"/>
      <c r="BR1414" s="49"/>
      <c r="BS1414" s="13"/>
      <c r="BT1414" s="12"/>
      <c r="BV1414" s="14"/>
      <c r="BW1414" s="50"/>
      <c r="BX1414" s="54"/>
      <c r="BY1414" s="14"/>
      <c r="BZ1414" s="14"/>
      <c r="CA1414" s="14"/>
      <c r="CB1414" s="14"/>
      <c r="CC1414" s="14"/>
      <c r="CD1414" s="14"/>
      <c r="CE1414" s="14"/>
      <c r="CF1414" s="15"/>
      <c r="CG1414" s="14"/>
      <c r="CH1414" s="14"/>
      <c r="CI1414" s="50"/>
      <c r="CJ1414" s="54"/>
      <c r="CK1414" s="14"/>
      <c r="CL1414" s="14"/>
      <c r="CM1414" s="14"/>
      <c r="CN1414" s="14"/>
      <c r="CO1414" s="14"/>
      <c r="CP1414" s="14"/>
      <c r="CQ1414" s="14"/>
      <c r="CR1414" s="14"/>
      <c r="CS1414" s="14"/>
      <c r="CT1414" s="14"/>
      <c r="CU1414" s="16"/>
      <c r="CV1414" s="14"/>
      <c r="CW1414" s="50"/>
      <c r="CX1414" s="17"/>
    </row>
    <row r="1415" spans="4:102" x14ac:dyDescent="0.25"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43"/>
      <c r="Q1415" s="11"/>
      <c r="R1415" s="11"/>
      <c r="S1415" s="11"/>
      <c r="T1415" s="11"/>
      <c r="U1415" s="11"/>
      <c r="V1415" s="11"/>
      <c r="W1415" s="11"/>
      <c r="X1415" s="12"/>
      <c r="Y1415" s="12"/>
      <c r="Z1415" s="12"/>
      <c r="AA1415" s="44"/>
      <c r="AB1415" s="45"/>
      <c r="AC1415" s="12"/>
      <c r="AD1415" s="12"/>
      <c r="AE1415" s="12"/>
      <c r="AF1415" s="12"/>
      <c r="AG1415" s="44"/>
      <c r="AH1415" s="45"/>
      <c r="AI1415" s="12"/>
      <c r="AJ1415" s="12"/>
      <c r="AK1415" s="12"/>
      <c r="AL1415" s="12"/>
      <c r="AM1415" s="44"/>
      <c r="AN1415" s="45"/>
      <c r="AO1415" s="12"/>
      <c r="AP1415" s="12"/>
      <c r="AQ1415" s="12"/>
      <c r="AR1415" s="12"/>
      <c r="AS1415" s="44"/>
      <c r="AT1415" s="45"/>
      <c r="AU1415" s="12"/>
      <c r="AV1415" s="12"/>
      <c r="AW1415" s="12"/>
      <c r="AX1415" s="12"/>
      <c r="AY1415" s="44"/>
      <c r="AZ1415" s="45"/>
      <c r="BA1415" s="12"/>
      <c r="BB1415" s="12"/>
      <c r="BC1415" s="12"/>
      <c r="BD1415" s="12"/>
      <c r="BE1415" s="44"/>
      <c r="BF1415" s="45"/>
      <c r="BG1415" s="12"/>
      <c r="BH1415" s="12"/>
      <c r="BI1415" s="12"/>
      <c r="BJ1415" s="12"/>
      <c r="BK1415" s="44"/>
      <c r="BL1415" s="45"/>
      <c r="BM1415" s="12"/>
      <c r="BN1415" s="12"/>
      <c r="BO1415" s="12"/>
      <c r="BP1415" s="12"/>
      <c r="BQ1415" s="48"/>
      <c r="BR1415" s="49"/>
      <c r="BS1415" s="13"/>
      <c r="BT1415" s="12"/>
      <c r="BV1415" s="14"/>
      <c r="BW1415" s="50"/>
      <c r="BX1415" s="54"/>
      <c r="BY1415" s="14"/>
      <c r="BZ1415" s="14"/>
      <c r="CA1415" s="14"/>
      <c r="CB1415" s="14"/>
      <c r="CC1415" s="14"/>
      <c r="CD1415" s="14"/>
      <c r="CE1415" s="14"/>
      <c r="CF1415" s="15"/>
      <c r="CG1415" s="14"/>
      <c r="CH1415" s="14"/>
      <c r="CI1415" s="50"/>
      <c r="CJ1415" s="54"/>
      <c r="CK1415" s="14"/>
      <c r="CL1415" s="14"/>
      <c r="CM1415" s="14"/>
      <c r="CN1415" s="14"/>
      <c r="CO1415" s="14"/>
      <c r="CP1415" s="14"/>
      <c r="CQ1415" s="14"/>
      <c r="CR1415" s="14"/>
      <c r="CS1415" s="14"/>
      <c r="CT1415" s="14"/>
      <c r="CU1415" s="16"/>
      <c r="CV1415" s="14"/>
      <c r="CW1415" s="50"/>
      <c r="CX1415" s="17"/>
    </row>
    <row r="1416" spans="4:102" x14ac:dyDescent="0.25"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43"/>
      <c r="Q1416" s="11"/>
      <c r="R1416" s="11"/>
      <c r="S1416" s="11"/>
      <c r="T1416" s="11"/>
      <c r="U1416" s="11"/>
      <c r="V1416" s="11"/>
      <c r="W1416" s="11"/>
      <c r="X1416" s="12"/>
      <c r="Y1416" s="12"/>
      <c r="Z1416" s="12"/>
      <c r="AA1416" s="44"/>
      <c r="AB1416" s="45"/>
      <c r="AC1416" s="12"/>
      <c r="AD1416" s="12"/>
      <c r="AE1416" s="12"/>
      <c r="AF1416" s="12"/>
      <c r="AG1416" s="44"/>
      <c r="AH1416" s="45"/>
      <c r="AI1416" s="12"/>
      <c r="AJ1416" s="12"/>
      <c r="AK1416" s="12"/>
      <c r="AL1416" s="12"/>
      <c r="AM1416" s="44"/>
      <c r="AN1416" s="45"/>
      <c r="AO1416" s="12"/>
      <c r="AP1416" s="12"/>
      <c r="AQ1416" s="12"/>
      <c r="AR1416" s="12"/>
      <c r="AS1416" s="44"/>
      <c r="AT1416" s="45"/>
      <c r="AU1416" s="12"/>
      <c r="AV1416" s="12"/>
      <c r="AW1416" s="12"/>
      <c r="AX1416" s="12"/>
      <c r="AY1416" s="44"/>
      <c r="AZ1416" s="45"/>
      <c r="BA1416" s="12"/>
      <c r="BB1416" s="12"/>
      <c r="BC1416" s="12"/>
      <c r="BD1416" s="12"/>
      <c r="BE1416" s="44"/>
      <c r="BF1416" s="45"/>
      <c r="BG1416" s="12"/>
      <c r="BH1416" s="12"/>
      <c r="BI1416" s="12"/>
      <c r="BJ1416" s="12"/>
      <c r="BK1416" s="44"/>
      <c r="BL1416" s="45"/>
      <c r="BM1416" s="12"/>
      <c r="BN1416" s="12"/>
      <c r="BO1416" s="12"/>
      <c r="BP1416" s="12"/>
      <c r="BQ1416" s="48"/>
      <c r="BR1416" s="49"/>
      <c r="BS1416" s="13"/>
      <c r="BT1416" s="12"/>
      <c r="BV1416" s="14"/>
      <c r="BW1416" s="50"/>
      <c r="BX1416" s="54"/>
      <c r="BY1416" s="14"/>
      <c r="BZ1416" s="14"/>
      <c r="CA1416" s="14"/>
      <c r="CB1416" s="14"/>
      <c r="CC1416" s="14"/>
      <c r="CD1416" s="14"/>
      <c r="CE1416" s="14"/>
      <c r="CF1416" s="15"/>
      <c r="CG1416" s="14"/>
      <c r="CH1416" s="14"/>
      <c r="CI1416" s="50"/>
      <c r="CJ1416" s="54"/>
      <c r="CK1416" s="14"/>
      <c r="CL1416" s="14"/>
      <c r="CM1416" s="14"/>
      <c r="CN1416" s="14"/>
      <c r="CO1416" s="14"/>
      <c r="CP1416" s="14"/>
      <c r="CQ1416" s="14"/>
      <c r="CR1416" s="14"/>
      <c r="CS1416" s="14"/>
      <c r="CT1416" s="14"/>
      <c r="CU1416" s="16"/>
      <c r="CV1416" s="14"/>
      <c r="CW1416" s="50"/>
      <c r="CX1416" s="17"/>
    </row>
    <row r="1417" spans="4:102" x14ac:dyDescent="0.25"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43"/>
      <c r="Q1417" s="11"/>
      <c r="R1417" s="11"/>
      <c r="S1417" s="11"/>
      <c r="T1417" s="11"/>
      <c r="U1417" s="11"/>
      <c r="V1417" s="11"/>
      <c r="W1417" s="11"/>
      <c r="X1417" s="12"/>
      <c r="Y1417" s="12"/>
      <c r="Z1417" s="12"/>
      <c r="AA1417" s="44"/>
      <c r="AB1417" s="45"/>
      <c r="AC1417" s="12"/>
      <c r="AD1417" s="12"/>
      <c r="AE1417" s="12"/>
      <c r="AF1417" s="12"/>
      <c r="AG1417" s="44"/>
      <c r="AH1417" s="45"/>
      <c r="AI1417" s="12"/>
      <c r="AJ1417" s="12"/>
      <c r="AK1417" s="12"/>
      <c r="AL1417" s="12"/>
      <c r="AM1417" s="44"/>
      <c r="AN1417" s="45"/>
      <c r="AO1417" s="12"/>
      <c r="AP1417" s="12"/>
      <c r="AQ1417" s="12"/>
      <c r="AR1417" s="12"/>
      <c r="AS1417" s="44"/>
      <c r="AT1417" s="45"/>
      <c r="AU1417" s="12"/>
      <c r="AV1417" s="12"/>
      <c r="AW1417" s="12"/>
      <c r="AX1417" s="12"/>
      <c r="AY1417" s="44"/>
      <c r="AZ1417" s="45"/>
      <c r="BA1417" s="12"/>
      <c r="BB1417" s="12"/>
      <c r="BC1417" s="12"/>
      <c r="BD1417" s="12"/>
      <c r="BE1417" s="44"/>
      <c r="BF1417" s="45"/>
      <c r="BG1417" s="12"/>
      <c r="BH1417" s="12"/>
      <c r="BI1417" s="12"/>
      <c r="BJ1417" s="12"/>
      <c r="BK1417" s="44"/>
      <c r="BL1417" s="45"/>
      <c r="BM1417" s="12"/>
      <c r="BN1417" s="12"/>
      <c r="BO1417" s="12"/>
      <c r="BP1417" s="12"/>
      <c r="BQ1417" s="48"/>
      <c r="BR1417" s="49"/>
      <c r="BS1417" s="13"/>
      <c r="BT1417" s="12"/>
      <c r="BV1417" s="14"/>
      <c r="BW1417" s="50"/>
      <c r="BX1417" s="54"/>
      <c r="BY1417" s="14"/>
      <c r="BZ1417" s="14"/>
      <c r="CA1417" s="14"/>
      <c r="CB1417" s="14"/>
      <c r="CC1417" s="14"/>
      <c r="CD1417" s="14"/>
      <c r="CE1417" s="14"/>
      <c r="CF1417" s="15"/>
      <c r="CG1417" s="14"/>
      <c r="CH1417" s="14"/>
      <c r="CI1417" s="50"/>
      <c r="CJ1417" s="54"/>
      <c r="CK1417" s="14"/>
      <c r="CL1417" s="14"/>
      <c r="CM1417" s="14"/>
      <c r="CN1417" s="14"/>
      <c r="CO1417" s="14"/>
      <c r="CP1417" s="14"/>
      <c r="CQ1417" s="14"/>
      <c r="CR1417" s="14"/>
      <c r="CS1417" s="14"/>
      <c r="CT1417" s="14"/>
      <c r="CU1417" s="16"/>
      <c r="CV1417" s="14"/>
      <c r="CW1417" s="50"/>
      <c r="CX1417" s="17"/>
    </row>
    <row r="1418" spans="4:102" x14ac:dyDescent="0.25"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43"/>
      <c r="Q1418" s="11"/>
      <c r="R1418" s="11"/>
      <c r="S1418" s="11"/>
      <c r="T1418" s="11"/>
      <c r="U1418" s="11"/>
      <c r="V1418" s="11"/>
      <c r="W1418" s="11"/>
      <c r="X1418" s="12"/>
      <c r="Y1418" s="12"/>
      <c r="Z1418" s="12"/>
      <c r="AA1418" s="44"/>
      <c r="AB1418" s="45"/>
      <c r="AC1418" s="12"/>
      <c r="AD1418" s="12"/>
      <c r="AE1418" s="12"/>
      <c r="AF1418" s="12"/>
      <c r="AG1418" s="44"/>
      <c r="AH1418" s="45"/>
      <c r="AI1418" s="12"/>
      <c r="AJ1418" s="12"/>
      <c r="AK1418" s="12"/>
      <c r="AL1418" s="12"/>
      <c r="AM1418" s="44"/>
      <c r="AN1418" s="45"/>
      <c r="AO1418" s="12"/>
      <c r="AP1418" s="12"/>
      <c r="AQ1418" s="12"/>
      <c r="AR1418" s="12"/>
      <c r="AS1418" s="44"/>
      <c r="AT1418" s="45"/>
      <c r="AU1418" s="12"/>
      <c r="AV1418" s="12"/>
      <c r="AW1418" s="12"/>
      <c r="AX1418" s="12"/>
      <c r="AY1418" s="44"/>
      <c r="AZ1418" s="45"/>
      <c r="BA1418" s="12"/>
      <c r="BB1418" s="12"/>
      <c r="BC1418" s="12"/>
      <c r="BD1418" s="12"/>
      <c r="BE1418" s="44"/>
      <c r="BF1418" s="45"/>
      <c r="BG1418" s="12"/>
      <c r="BH1418" s="12"/>
      <c r="BI1418" s="12"/>
      <c r="BJ1418" s="12"/>
      <c r="BK1418" s="44"/>
      <c r="BL1418" s="45"/>
      <c r="BM1418" s="12"/>
      <c r="BN1418" s="12"/>
      <c r="BO1418" s="12"/>
      <c r="BP1418" s="12"/>
      <c r="BQ1418" s="48"/>
      <c r="BR1418" s="49"/>
      <c r="BS1418" s="13"/>
      <c r="BT1418" s="12"/>
      <c r="BV1418" s="14"/>
      <c r="BW1418" s="50"/>
      <c r="BX1418" s="54"/>
      <c r="BY1418" s="14"/>
      <c r="BZ1418" s="14"/>
      <c r="CA1418" s="14"/>
      <c r="CB1418" s="14"/>
      <c r="CC1418" s="14"/>
      <c r="CD1418" s="14"/>
      <c r="CE1418" s="14"/>
      <c r="CF1418" s="15"/>
      <c r="CG1418" s="14"/>
      <c r="CH1418" s="14"/>
      <c r="CI1418" s="50"/>
      <c r="CJ1418" s="54"/>
      <c r="CK1418" s="14"/>
      <c r="CL1418" s="14"/>
      <c r="CM1418" s="14"/>
      <c r="CN1418" s="14"/>
      <c r="CO1418" s="14"/>
      <c r="CP1418" s="14"/>
      <c r="CQ1418" s="14"/>
      <c r="CR1418" s="14"/>
      <c r="CS1418" s="14"/>
      <c r="CT1418" s="14"/>
      <c r="CU1418" s="16"/>
      <c r="CV1418" s="14"/>
      <c r="CW1418" s="50"/>
      <c r="CX1418" s="17"/>
    </row>
    <row r="1419" spans="4:102" x14ac:dyDescent="0.25"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43"/>
      <c r="Q1419" s="11"/>
      <c r="R1419" s="11"/>
      <c r="S1419" s="11"/>
      <c r="T1419" s="11"/>
      <c r="U1419" s="11"/>
      <c r="V1419" s="11"/>
      <c r="W1419" s="11"/>
      <c r="X1419" s="12"/>
      <c r="Y1419" s="12"/>
      <c r="Z1419" s="12"/>
      <c r="AA1419" s="44"/>
      <c r="AB1419" s="45"/>
      <c r="AC1419" s="12"/>
      <c r="AD1419" s="12"/>
      <c r="AE1419" s="12"/>
      <c r="AF1419" s="12"/>
      <c r="AG1419" s="44"/>
      <c r="AH1419" s="45"/>
      <c r="AI1419" s="12"/>
      <c r="AJ1419" s="12"/>
      <c r="AK1419" s="12"/>
      <c r="AL1419" s="12"/>
      <c r="AM1419" s="44"/>
      <c r="AN1419" s="45"/>
      <c r="AO1419" s="12"/>
      <c r="AP1419" s="12"/>
      <c r="AQ1419" s="12"/>
      <c r="AR1419" s="12"/>
      <c r="AS1419" s="44"/>
      <c r="AT1419" s="45"/>
      <c r="AU1419" s="12"/>
      <c r="AV1419" s="12"/>
      <c r="AW1419" s="12"/>
      <c r="AX1419" s="12"/>
      <c r="AY1419" s="44"/>
      <c r="AZ1419" s="45"/>
      <c r="BA1419" s="12"/>
      <c r="BB1419" s="12"/>
      <c r="BC1419" s="12"/>
      <c r="BD1419" s="12"/>
      <c r="BE1419" s="44"/>
      <c r="BF1419" s="45"/>
      <c r="BG1419" s="12"/>
      <c r="BH1419" s="12"/>
      <c r="BI1419" s="12"/>
      <c r="BJ1419" s="12"/>
      <c r="BK1419" s="44"/>
      <c r="BL1419" s="45"/>
      <c r="BM1419" s="12"/>
      <c r="BN1419" s="12"/>
      <c r="BO1419" s="12"/>
      <c r="BP1419" s="12"/>
      <c r="BQ1419" s="48"/>
      <c r="BR1419" s="49"/>
      <c r="BS1419" s="13"/>
      <c r="BT1419" s="12"/>
      <c r="BV1419" s="14"/>
      <c r="BW1419" s="50"/>
      <c r="BX1419" s="54"/>
      <c r="BY1419" s="14"/>
      <c r="BZ1419" s="14"/>
      <c r="CA1419" s="14"/>
      <c r="CB1419" s="14"/>
      <c r="CC1419" s="14"/>
      <c r="CD1419" s="14"/>
      <c r="CE1419" s="14"/>
      <c r="CF1419" s="15"/>
      <c r="CG1419" s="14"/>
      <c r="CH1419" s="14"/>
      <c r="CI1419" s="50"/>
      <c r="CJ1419" s="54"/>
      <c r="CK1419" s="14"/>
      <c r="CL1419" s="14"/>
      <c r="CM1419" s="14"/>
      <c r="CN1419" s="14"/>
      <c r="CO1419" s="14"/>
      <c r="CP1419" s="14"/>
      <c r="CQ1419" s="14"/>
      <c r="CR1419" s="14"/>
      <c r="CS1419" s="14"/>
      <c r="CT1419" s="14"/>
      <c r="CU1419" s="16"/>
      <c r="CV1419" s="14"/>
      <c r="CW1419" s="50"/>
      <c r="CX1419" s="17"/>
    </row>
    <row r="1420" spans="4:102" x14ac:dyDescent="0.25"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43"/>
      <c r="Q1420" s="11"/>
      <c r="R1420" s="11"/>
      <c r="S1420" s="11"/>
      <c r="T1420" s="11"/>
      <c r="U1420" s="11"/>
      <c r="V1420" s="11"/>
      <c r="W1420" s="11"/>
      <c r="X1420" s="12"/>
      <c r="Y1420" s="12"/>
      <c r="Z1420" s="12"/>
      <c r="AA1420" s="44"/>
      <c r="AB1420" s="45"/>
      <c r="AC1420" s="12"/>
      <c r="AD1420" s="12"/>
      <c r="AE1420" s="12"/>
      <c r="AF1420" s="12"/>
      <c r="AG1420" s="44"/>
      <c r="AH1420" s="45"/>
      <c r="AI1420" s="12"/>
      <c r="AJ1420" s="12"/>
      <c r="AK1420" s="12"/>
      <c r="AL1420" s="12"/>
      <c r="AM1420" s="44"/>
      <c r="AN1420" s="45"/>
      <c r="AO1420" s="12"/>
      <c r="AP1420" s="12"/>
      <c r="AQ1420" s="12"/>
      <c r="AR1420" s="12"/>
      <c r="AS1420" s="44"/>
      <c r="AT1420" s="45"/>
      <c r="AU1420" s="12"/>
      <c r="AV1420" s="12"/>
      <c r="AW1420" s="12"/>
      <c r="AX1420" s="12"/>
      <c r="AY1420" s="44"/>
      <c r="AZ1420" s="45"/>
      <c r="BA1420" s="12"/>
      <c r="BB1420" s="12"/>
      <c r="BC1420" s="12"/>
      <c r="BD1420" s="12"/>
      <c r="BE1420" s="44"/>
      <c r="BF1420" s="45"/>
      <c r="BG1420" s="12"/>
      <c r="BH1420" s="12"/>
      <c r="BI1420" s="12"/>
      <c r="BJ1420" s="12"/>
      <c r="BK1420" s="44"/>
      <c r="BL1420" s="45"/>
      <c r="BM1420" s="12"/>
      <c r="BN1420" s="12"/>
      <c r="BO1420" s="12"/>
      <c r="BP1420" s="12"/>
      <c r="BQ1420" s="48"/>
      <c r="BR1420" s="49"/>
      <c r="BS1420" s="13"/>
      <c r="BT1420" s="12"/>
      <c r="BV1420" s="14"/>
      <c r="BW1420" s="50"/>
      <c r="BX1420" s="54"/>
      <c r="BY1420" s="14"/>
      <c r="BZ1420" s="14"/>
      <c r="CA1420" s="14"/>
      <c r="CB1420" s="14"/>
      <c r="CC1420" s="14"/>
      <c r="CD1420" s="14"/>
      <c r="CE1420" s="14"/>
      <c r="CF1420" s="15"/>
      <c r="CG1420" s="14"/>
      <c r="CH1420" s="14"/>
      <c r="CI1420" s="50"/>
      <c r="CJ1420" s="54"/>
      <c r="CK1420" s="14"/>
      <c r="CL1420" s="14"/>
      <c r="CM1420" s="14"/>
      <c r="CN1420" s="14"/>
      <c r="CO1420" s="14"/>
      <c r="CP1420" s="14"/>
      <c r="CQ1420" s="14"/>
      <c r="CR1420" s="14"/>
      <c r="CS1420" s="14"/>
      <c r="CT1420" s="14"/>
      <c r="CU1420" s="16"/>
      <c r="CV1420" s="14"/>
      <c r="CW1420" s="50"/>
      <c r="CX1420" s="17"/>
    </row>
    <row r="1421" spans="4:102" x14ac:dyDescent="0.25"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43"/>
      <c r="Q1421" s="11"/>
      <c r="R1421" s="11"/>
      <c r="S1421" s="11"/>
      <c r="T1421" s="11"/>
      <c r="U1421" s="11"/>
      <c r="V1421" s="11"/>
      <c r="W1421" s="11"/>
      <c r="X1421" s="12"/>
      <c r="Y1421" s="12"/>
      <c r="Z1421" s="12"/>
      <c r="AA1421" s="44"/>
      <c r="AB1421" s="45"/>
      <c r="AC1421" s="12"/>
      <c r="AD1421" s="12"/>
      <c r="AE1421" s="12"/>
      <c r="AF1421" s="12"/>
      <c r="AG1421" s="44"/>
      <c r="AH1421" s="45"/>
      <c r="AI1421" s="12"/>
      <c r="AJ1421" s="12"/>
      <c r="AK1421" s="12"/>
      <c r="AL1421" s="12"/>
      <c r="AM1421" s="44"/>
      <c r="AN1421" s="45"/>
      <c r="AO1421" s="12"/>
      <c r="AP1421" s="12"/>
      <c r="AQ1421" s="12"/>
      <c r="AR1421" s="12"/>
      <c r="AS1421" s="44"/>
      <c r="AT1421" s="45"/>
      <c r="AU1421" s="12"/>
      <c r="AV1421" s="12"/>
      <c r="AW1421" s="12"/>
      <c r="AX1421" s="12"/>
      <c r="AY1421" s="44"/>
      <c r="AZ1421" s="45"/>
      <c r="BA1421" s="12"/>
      <c r="BB1421" s="12"/>
      <c r="BC1421" s="12"/>
      <c r="BD1421" s="12"/>
      <c r="BE1421" s="44"/>
      <c r="BF1421" s="45"/>
      <c r="BG1421" s="12"/>
      <c r="BH1421" s="12"/>
      <c r="BI1421" s="12"/>
      <c r="BJ1421" s="12"/>
      <c r="BK1421" s="44"/>
      <c r="BL1421" s="45"/>
      <c r="BM1421" s="12"/>
      <c r="BN1421" s="12"/>
      <c r="BO1421" s="12"/>
      <c r="BP1421" s="12"/>
      <c r="BQ1421" s="48"/>
      <c r="BR1421" s="49"/>
      <c r="BS1421" s="13"/>
      <c r="BT1421" s="12"/>
      <c r="BV1421" s="14"/>
      <c r="BW1421" s="50"/>
      <c r="BX1421" s="54"/>
      <c r="BY1421" s="14"/>
      <c r="BZ1421" s="14"/>
      <c r="CA1421" s="14"/>
      <c r="CB1421" s="14"/>
      <c r="CC1421" s="14"/>
      <c r="CD1421" s="14"/>
      <c r="CE1421" s="14"/>
      <c r="CF1421" s="15"/>
      <c r="CG1421" s="14"/>
      <c r="CH1421" s="14"/>
      <c r="CI1421" s="50"/>
      <c r="CJ1421" s="54"/>
      <c r="CK1421" s="14"/>
      <c r="CL1421" s="14"/>
      <c r="CM1421" s="14"/>
      <c r="CN1421" s="14"/>
      <c r="CO1421" s="14"/>
      <c r="CP1421" s="14"/>
      <c r="CQ1421" s="14"/>
      <c r="CR1421" s="14"/>
      <c r="CS1421" s="14"/>
      <c r="CT1421" s="14"/>
      <c r="CU1421" s="16"/>
      <c r="CV1421" s="14"/>
      <c r="CW1421" s="50"/>
      <c r="CX1421" s="17"/>
    </row>
    <row r="1422" spans="4:102" x14ac:dyDescent="0.25"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43"/>
      <c r="Q1422" s="11"/>
      <c r="R1422" s="11"/>
      <c r="S1422" s="11"/>
      <c r="T1422" s="11"/>
      <c r="U1422" s="11"/>
      <c r="V1422" s="11"/>
      <c r="W1422" s="11"/>
      <c r="X1422" s="12"/>
      <c r="Y1422" s="12"/>
      <c r="Z1422" s="12"/>
      <c r="AA1422" s="44"/>
      <c r="AB1422" s="45"/>
      <c r="AC1422" s="12"/>
      <c r="AD1422" s="12"/>
      <c r="AE1422" s="12"/>
      <c r="AF1422" s="12"/>
      <c r="AG1422" s="44"/>
      <c r="AH1422" s="45"/>
      <c r="AI1422" s="12"/>
      <c r="AJ1422" s="12"/>
      <c r="AK1422" s="12"/>
      <c r="AL1422" s="12"/>
      <c r="AM1422" s="44"/>
      <c r="AN1422" s="45"/>
      <c r="AO1422" s="12"/>
      <c r="AP1422" s="12"/>
      <c r="AQ1422" s="12"/>
      <c r="AR1422" s="12"/>
      <c r="AS1422" s="44"/>
      <c r="AT1422" s="45"/>
      <c r="AU1422" s="12"/>
      <c r="AV1422" s="12"/>
      <c r="AW1422" s="12"/>
      <c r="AX1422" s="12"/>
      <c r="AY1422" s="44"/>
      <c r="AZ1422" s="45"/>
      <c r="BA1422" s="12"/>
      <c r="BB1422" s="12"/>
      <c r="BC1422" s="12"/>
      <c r="BD1422" s="12"/>
      <c r="BE1422" s="44"/>
      <c r="BF1422" s="45"/>
      <c r="BG1422" s="12"/>
      <c r="BH1422" s="12"/>
      <c r="BI1422" s="12"/>
      <c r="BJ1422" s="12"/>
      <c r="BK1422" s="44"/>
      <c r="BL1422" s="45"/>
      <c r="BM1422" s="12"/>
      <c r="BN1422" s="12"/>
      <c r="BO1422" s="12"/>
      <c r="BP1422" s="12"/>
      <c r="BQ1422" s="48"/>
      <c r="BR1422" s="49"/>
      <c r="BS1422" s="13"/>
      <c r="BT1422" s="12"/>
      <c r="BV1422" s="14"/>
      <c r="BW1422" s="50"/>
      <c r="BX1422" s="54"/>
      <c r="BY1422" s="14"/>
      <c r="BZ1422" s="14"/>
      <c r="CA1422" s="14"/>
      <c r="CB1422" s="14"/>
      <c r="CC1422" s="14"/>
      <c r="CD1422" s="14"/>
      <c r="CE1422" s="14"/>
      <c r="CF1422" s="15"/>
      <c r="CG1422" s="14"/>
      <c r="CH1422" s="14"/>
      <c r="CI1422" s="50"/>
      <c r="CJ1422" s="54"/>
      <c r="CK1422" s="14"/>
      <c r="CL1422" s="14"/>
      <c r="CM1422" s="14"/>
      <c r="CN1422" s="14"/>
      <c r="CO1422" s="14"/>
      <c r="CP1422" s="14"/>
      <c r="CQ1422" s="14"/>
      <c r="CR1422" s="14"/>
      <c r="CS1422" s="14"/>
      <c r="CT1422" s="14"/>
      <c r="CU1422" s="16"/>
      <c r="CV1422" s="14"/>
      <c r="CW1422" s="50"/>
      <c r="CX1422" s="17"/>
    </row>
    <row r="1423" spans="4:102" x14ac:dyDescent="0.25"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43"/>
      <c r="Q1423" s="11"/>
      <c r="R1423" s="11"/>
      <c r="S1423" s="11"/>
      <c r="T1423" s="11"/>
      <c r="U1423" s="11"/>
      <c r="V1423" s="11"/>
      <c r="W1423" s="11"/>
      <c r="X1423" s="12"/>
      <c r="Y1423" s="12"/>
      <c r="Z1423" s="12"/>
      <c r="AA1423" s="44"/>
      <c r="AB1423" s="45"/>
      <c r="AC1423" s="12"/>
      <c r="AD1423" s="12"/>
      <c r="AE1423" s="12"/>
      <c r="AF1423" s="12"/>
      <c r="AG1423" s="44"/>
      <c r="AH1423" s="45"/>
      <c r="AI1423" s="12"/>
      <c r="AJ1423" s="12"/>
      <c r="AK1423" s="12"/>
      <c r="AL1423" s="12"/>
      <c r="AM1423" s="44"/>
      <c r="AN1423" s="45"/>
      <c r="AO1423" s="12"/>
      <c r="AP1423" s="12"/>
      <c r="AQ1423" s="12"/>
      <c r="AR1423" s="12"/>
      <c r="AS1423" s="44"/>
      <c r="AT1423" s="45"/>
      <c r="AU1423" s="12"/>
      <c r="AV1423" s="12"/>
      <c r="AW1423" s="12"/>
      <c r="AX1423" s="12"/>
      <c r="AY1423" s="44"/>
      <c r="AZ1423" s="45"/>
      <c r="BA1423" s="12"/>
      <c r="BB1423" s="12"/>
      <c r="BC1423" s="12"/>
      <c r="BD1423" s="12"/>
      <c r="BE1423" s="44"/>
      <c r="BF1423" s="45"/>
      <c r="BG1423" s="12"/>
      <c r="BH1423" s="12"/>
      <c r="BI1423" s="12"/>
      <c r="BJ1423" s="12"/>
      <c r="BK1423" s="44"/>
      <c r="BL1423" s="45"/>
      <c r="BM1423" s="12"/>
      <c r="BN1423" s="12"/>
      <c r="BO1423" s="12"/>
      <c r="BP1423" s="12"/>
      <c r="BQ1423" s="48"/>
      <c r="BR1423" s="49"/>
      <c r="BS1423" s="13"/>
      <c r="BT1423" s="12"/>
      <c r="BV1423" s="14"/>
      <c r="BW1423" s="50"/>
      <c r="BX1423" s="54"/>
      <c r="BY1423" s="14"/>
      <c r="BZ1423" s="14"/>
      <c r="CA1423" s="14"/>
      <c r="CB1423" s="14"/>
      <c r="CC1423" s="14"/>
      <c r="CD1423" s="14"/>
      <c r="CE1423" s="14"/>
      <c r="CF1423" s="15"/>
      <c r="CG1423" s="14"/>
      <c r="CH1423" s="14"/>
      <c r="CI1423" s="50"/>
      <c r="CJ1423" s="54"/>
      <c r="CK1423" s="14"/>
      <c r="CL1423" s="14"/>
      <c r="CM1423" s="14"/>
      <c r="CN1423" s="14"/>
      <c r="CO1423" s="14"/>
      <c r="CP1423" s="14"/>
      <c r="CQ1423" s="14"/>
      <c r="CR1423" s="14"/>
      <c r="CS1423" s="14"/>
      <c r="CT1423" s="14"/>
      <c r="CU1423" s="16"/>
      <c r="CV1423" s="14"/>
      <c r="CW1423" s="50"/>
      <c r="CX1423" s="17"/>
    </row>
    <row r="1424" spans="4:102" x14ac:dyDescent="0.25"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43"/>
      <c r="Q1424" s="11"/>
      <c r="R1424" s="11"/>
      <c r="S1424" s="11"/>
      <c r="T1424" s="11"/>
      <c r="U1424" s="11"/>
      <c r="V1424" s="11"/>
      <c r="W1424" s="11"/>
      <c r="X1424" s="12"/>
      <c r="Y1424" s="12"/>
      <c r="Z1424" s="12"/>
      <c r="AA1424" s="44"/>
      <c r="AB1424" s="45"/>
      <c r="AC1424" s="12"/>
      <c r="AD1424" s="12"/>
      <c r="AE1424" s="12"/>
      <c r="AF1424" s="12"/>
      <c r="AG1424" s="44"/>
      <c r="AH1424" s="45"/>
      <c r="AI1424" s="12"/>
      <c r="AJ1424" s="12"/>
      <c r="AK1424" s="12"/>
      <c r="AL1424" s="12"/>
      <c r="AM1424" s="44"/>
      <c r="AN1424" s="45"/>
      <c r="AO1424" s="12"/>
      <c r="AP1424" s="12"/>
      <c r="AQ1424" s="12"/>
      <c r="AR1424" s="12"/>
      <c r="AS1424" s="44"/>
      <c r="AT1424" s="45"/>
      <c r="AU1424" s="12"/>
      <c r="AV1424" s="12"/>
      <c r="AW1424" s="12"/>
      <c r="AX1424" s="12"/>
      <c r="AY1424" s="44"/>
      <c r="AZ1424" s="45"/>
      <c r="BA1424" s="12"/>
      <c r="BB1424" s="12"/>
      <c r="BC1424" s="12"/>
      <c r="BD1424" s="12"/>
      <c r="BE1424" s="44"/>
      <c r="BF1424" s="45"/>
      <c r="BG1424" s="12"/>
      <c r="BH1424" s="12"/>
      <c r="BI1424" s="12"/>
      <c r="BJ1424" s="12"/>
      <c r="BK1424" s="44"/>
      <c r="BL1424" s="45"/>
      <c r="BM1424" s="12"/>
      <c r="BN1424" s="12"/>
      <c r="BO1424" s="12"/>
      <c r="BP1424" s="12"/>
      <c r="BQ1424" s="48"/>
      <c r="BR1424" s="49"/>
      <c r="BS1424" s="13"/>
      <c r="BT1424" s="12"/>
      <c r="BV1424" s="14"/>
      <c r="BW1424" s="50"/>
      <c r="BX1424" s="54"/>
      <c r="BY1424" s="14"/>
      <c r="BZ1424" s="14"/>
      <c r="CA1424" s="14"/>
      <c r="CB1424" s="14"/>
      <c r="CC1424" s="14"/>
      <c r="CD1424" s="14"/>
      <c r="CE1424" s="14"/>
      <c r="CF1424" s="15"/>
      <c r="CG1424" s="14"/>
      <c r="CH1424" s="14"/>
      <c r="CI1424" s="50"/>
      <c r="CJ1424" s="54"/>
      <c r="CK1424" s="14"/>
      <c r="CL1424" s="14"/>
      <c r="CM1424" s="14"/>
      <c r="CN1424" s="14"/>
      <c r="CO1424" s="14"/>
      <c r="CP1424" s="14"/>
      <c r="CQ1424" s="14"/>
      <c r="CR1424" s="14"/>
      <c r="CS1424" s="14"/>
      <c r="CT1424" s="14"/>
      <c r="CU1424" s="16"/>
      <c r="CV1424" s="14"/>
      <c r="CW1424" s="50"/>
      <c r="CX1424" s="17"/>
    </row>
    <row r="1425" spans="4:102" x14ac:dyDescent="0.25"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43"/>
      <c r="Q1425" s="11"/>
      <c r="R1425" s="11"/>
      <c r="S1425" s="11"/>
      <c r="T1425" s="11"/>
      <c r="U1425" s="11"/>
      <c r="V1425" s="11"/>
      <c r="W1425" s="11"/>
      <c r="X1425" s="12"/>
      <c r="Y1425" s="12"/>
      <c r="Z1425" s="12"/>
      <c r="AA1425" s="44"/>
      <c r="AB1425" s="45"/>
      <c r="AC1425" s="12"/>
      <c r="AD1425" s="12"/>
      <c r="AE1425" s="12"/>
      <c r="AF1425" s="12"/>
      <c r="AG1425" s="44"/>
      <c r="AH1425" s="45"/>
      <c r="AI1425" s="12"/>
      <c r="AJ1425" s="12"/>
      <c r="AK1425" s="12"/>
      <c r="AL1425" s="12"/>
      <c r="AM1425" s="44"/>
      <c r="AN1425" s="45"/>
      <c r="AO1425" s="12"/>
      <c r="AP1425" s="12"/>
      <c r="AQ1425" s="12"/>
      <c r="AR1425" s="12"/>
      <c r="AS1425" s="44"/>
      <c r="AT1425" s="45"/>
      <c r="AU1425" s="12"/>
      <c r="AV1425" s="12"/>
      <c r="AW1425" s="12"/>
      <c r="AX1425" s="12"/>
      <c r="AY1425" s="44"/>
      <c r="AZ1425" s="45"/>
      <c r="BA1425" s="12"/>
      <c r="BB1425" s="12"/>
      <c r="BC1425" s="12"/>
      <c r="BD1425" s="12"/>
      <c r="BE1425" s="44"/>
      <c r="BF1425" s="45"/>
      <c r="BG1425" s="12"/>
      <c r="BH1425" s="12"/>
      <c r="BI1425" s="12"/>
      <c r="BJ1425" s="12"/>
      <c r="BK1425" s="44"/>
      <c r="BL1425" s="45"/>
      <c r="BM1425" s="12"/>
      <c r="BN1425" s="12"/>
      <c r="BO1425" s="12"/>
      <c r="BP1425" s="12"/>
      <c r="BQ1425" s="48"/>
      <c r="BR1425" s="49"/>
      <c r="BS1425" s="13"/>
      <c r="BT1425" s="12"/>
      <c r="BV1425" s="14"/>
      <c r="BW1425" s="50"/>
      <c r="BX1425" s="54"/>
      <c r="BY1425" s="14"/>
      <c r="BZ1425" s="14"/>
      <c r="CA1425" s="14"/>
      <c r="CB1425" s="14"/>
      <c r="CC1425" s="14"/>
      <c r="CD1425" s="14"/>
      <c r="CE1425" s="14"/>
      <c r="CF1425" s="15"/>
      <c r="CG1425" s="14"/>
      <c r="CH1425" s="14"/>
      <c r="CI1425" s="50"/>
      <c r="CJ1425" s="54"/>
      <c r="CK1425" s="14"/>
      <c r="CL1425" s="14"/>
      <c r="CM1425" s="14"/>
      <c r="CN1425" s="14"/>
      <c r="CO1425" s="14"/>
      <c r="CP1425" s="14"/>
      <c r="CQ1425" s="14"/>
      <c r="CR1425" s="14"/>
      <c r="CS1425" s="14"/>
      <c r="CT1425" s="14"/>
      <c r="CU1425" s="16"/>
      <c r="CV1425" s="14"/>
      <c r="CW1425" s="50"/>
      <c r="CX1425" s="17"/>
    </row>
    <row r="1426" spans="4:102" x14ac:dyDescent="0.25"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43"/>
      <c r="Q1426" s="11"/>
      <c r="R1426" s="11"/>
      <c r="S1426" s="11"/>
      <c r="T1426" s="11"/>
      <c r="U1426" s="11"/>
      <c r="V1426" s="11"/>
      <c r="W1426" s="11"/>
      <c r="X1426" s="12"/>
      <c r="Y1426" s="12"/>
      <c r="Z1426" s="12"/>
      <c r="AA1426" s="44"/>
      <c r="AB1426" s="45"/>
      <c r="AC1426" s="12"/>
      <c r="AD1426" s="12"/>
      <c r="AE1426" s="12"/>
      <c r="AF1426" s="12"/>
      <c r="AG1426" s="44"/>
      <c r="AH1426" s="45"/>
      <c r="AI1426" s="12"/>
      <c r="AJ1426" s="12"/>
      <c r="AK1426" s="12"/>
      <c r="AL1426" s="12"/>
      <c r="AM1426" s="44"/>
      <c r="AN1426" s="45"/>
      <c r="AO1426" s="12"/>
      <c r="AP1426" s="12"/>
      <c r="AQ1426" s="12"/>
      <c r="AR1426" s="12"/>
      <c r="AS1426" s="44"/>
      <c r="AT1426" s="45"/>
      <c r="AU1426" s="12"/>
      <c r="AV1426" s="12"/>
      <c r="AW1426" s="12"/>
      <c r="AX1426" s="12"/>
      <c r="AY1426" s="44"/>
      <c r="AZ1426" s="45"/>
      <c r="BA1426" s="12"/>
      <c r="BB1426" s="12"/>
      <c r="BC1426" s="12"/>
      <c r="BD1426" s="12"/>
      <c r="BE1426" s="44"/>
      <c r="BF1426" s="45"/>
      <c r="BG1426" s="12"/>
      <c r="BH1426" s="12"/>
      <c r="BI1426" s="12"/>
      <c r="BJ1426" s="12"/>
      <c r="BK1426" s="44"/>
      <c r="BL1426" s="45"/>
      <c r="BM1426" s="12"/>
      <c r="BN1426" s="12"/>
      <c r="BO1426" s="12"/>
      <c r="BP1426" s="12"/>
      <c r="BQ1426" s="48"/>
      <c r="BR1426" s="49"/>
      <c r="BS1426" s="13"/>
      <c r="BT1426" s="12"/>
      <c r="BV1426" s="14"/>
      <c r="BW1426" s="50"/>
      <c r="BX1426" s="54"/>
      <c r="BY1426" s="14"/>
      <c r="BZ1426" s="14"/>
      <c r="CA1426" s="14"/>
      <c r="CB1426" s="14"/>
      <c r="CC1426" s="14"/>
      <c r="CD1426" s="14"/>
      <c r="CE1426" s="14"/>
      <c r="CF1426" s="15"/>
      <c r="CG1426" s="14"/>
      <c r="CH1426" s="14"/>
      <c r="CI1426" s="50"/>
      <c r="CJ1426" s="54"/>
      <c r="CK1426" s="14"/>
      <c r="CL1426" s="14"/>
      <c r="CM1426" s="14"/>
      <c r="CN1426" s="14"/>
      <c r="CO1426" s="14"/>
      <c r="CP1426" s="14"/>
      <c r="CQ1426" s="14"/>
      <c r="CR1426" s="14"/>
      <c r="CS1426" s="14"/>
      <c r="CT1426" s="14"/>
      <c r="CU1426" s="16"/>
      <c r="CV1426" s="14"/>
      <c r="CW1426" s="50"/>
      <c r="CX1426" s="17"/>
    </row>
    <row r="1427" spans="4:102" x14ac:dyDescent="0.25"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43"/>
      <c r="Q1427" s="11"/>
      <c r="R1427" s="11"/>
      <c r="S1427" s="11"/>
      <c r="T1427" s="11"/>
      <c r="U1427" s="11"/>
      <c r="V1427" s="11"/>
      <c r="W1427" s="11"/>
      <c r="X1427" s="12"/>
      <c r="Y1427" s="12"/>
      <c r="Z1427" s="12"/>
      <c r="AA1427" s="44"/>
      <c r="AB1427" s="45"/>
      <c r="AC1427" s="12"/>
      <c r="AD1427" s="12"/>
      <c r="AE1427" s="12"/>
      <c r="AF1427" s="12"/>
      <c r="AG1427" s="44"/>
      <c r="AH1427" s="45"/>
      <c r="AI1427" s="12"/>
      <c r="AJ1427" s="12"/>
      <c r="AK1427" s="12"/>
      <c r="AL1427" s="12"/>
      <c r="AM1427" s="44"/>
      <c r="AN1427" s="45"/>
      <c r="AO1427" s="12"/>
      <c r="AP1427" s="12"/>
      <c r="AQ1427" s="12"/>
      <c r="AR1427" s="12"/>
      <c r="AS1427" s="44"/>
      <c r="AT1427" s="45"/>
      <c r="AU1427" s="12"/>
      <c r="AV1427" s="12"/>
      <c r="AW1427" s="12"/>
      <c r="AX1427" s="12"/>
      <c r="AY1427" s="44"/>
      <c r="AZ1427" s="45"/>
      <c r="BA1427" s="12"/>
      <c r="BB1427" s="12"/>
      <c r="BC1427" s="12"/>
      <c r="BD1427" s="12"/>
      <c r="BE1427" s="44"/>
      <c r="BF1427" s="45"/>
      <c r="BG1427" s="12"/>
      <c r="BH1427" s="12"/>
      <c r="BI1427" s="12"/>
      <c r="BJ1427" s="12"/>
      <c r="BK1427" s="44"/>
      <c r="BL1427" s="45"/>
      <c r="BM1427" s="12"/>
      <c r="BN1427" s="12"/>
      <c r="BO1427" s="12"/>
      <c r="BP1427" s="12"/>
      <c r="BQ1427" s="48"/>
      <c r="BR1427" s="49"/>
      <c r="BS1427" s="13"/>
      <c r="BT1427" s="12"/>
      <c r="BV1427" s="14"/>
      <c r="BW1427" s="50"/>
      <c r="BX1427" s="54"/>
      <c r="BY1427" s="14"/>
      <c r="BZ1427" s="14"/>
      <c r="CA1427" s="14"/>
      <c r="CB1427" s="14"/>
      <c r="CC1427" s="14"/>
      <c r="CD1427" s="14"/>
      <c r="CE1427" s="14"/>
      <c r="CF1427" s="15"/>
      <c r="CG1427" s="14"/>
      <c r="CH1427" s="14"/>
      <c r="CI1427" s="50"/>
      <c r="CJ1427" s="54"/>
      <c r="CK1427" s="14"/>
      <c r="CL1427" s="14"/>
      <c r="CM1427" s="14"/>
      <c r="CN1427" s="14"/>
      <c r="CO1427" s="14"/>
      <c r="CP1427" s="14"/>
      <c r="CQ1427" s="14"/>
      <c r="CR1427" s="14"/>
      <c r="CS1427" s="14"/>
      <c r="CT1427" s="14"/>
      <c r="CU1427" s="16"/>
      <c r="CV1427" s="14"/>
      <c r="CW1427" s="50"/>
      <c r="CX1427" s="17"/>
    </row>
    <row r="1428" spans="4:102" x14ac:dyDescent="0.25"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43"/>
      <c r="Q1428" s="11"/>
      <c r="R1428" s="11"/>
      <c r="S1428" s="11"/>
      <c r="T1428" s="11"/>
      <c r="U1428" s="11"/>
      <c r="V1428" s="11"/>
      <c r="W1428" s="11"/>
      <c r="X1428" s="12"/>
      <c r="Y1428" s="12"/>
      <c r="Z1428" s="12"/>
      <c r="AA1428" s="44"/>
      <c r="AB1428" s="45"/>
      <c r="AC1428" s="12"/>
      <c r="AD1428" s="12"/>
      <c r="AE1428" s="12"/>
      <c r="AF1428" s="12"/>
      <c r="AG1428" s="44"/>
      <c r="AH1428" s="45"/>
      <c r="AI1428" s="12"/>
      <c r="AJ1428" s="12"/>
      <c r="AK1428" s="12"/>
      <c r="AL1428" s="12"/>
      <c r="AM1428" s="44"/>
      <c r="AN1428" s="45"/>
      <c r="AO1428" s="12"/>
      <c r="AP1428" s="12"/>
      <c r="AQ1428" s="12"/>
      <c r="AR1428" s="12"/>
      <c r="AS1428" s="44"/>
      <c r="AT1428" s="45"/>
      <c r="AU1428" s="12"/>
      <c r="AV1428" s="12"/>
      <c r="AW1428" s="12"/>
      <c r="AX1428" s="12"/>
      <c r="AY1428" s="44"/>
      <c r="AZ1428" s="45"/>
      <c r="BA1428" s="12"/>
      <c r="BB1428" s="12"/>
      <c r="BC1428" s="12"/>
      <c r="BD1428" s="12"/>
      <c r="BE1428" s="44"/>
      <c r="BF1428" s="45"/>
      <c r="BG1428" s="12"/>
      <c r="BH1428" s="12"/>
      <c r="BI1428" s="12"/>
      <c r="BJ1428" s="12"/>
      <c r="BK1428" s="44"/>
      <c r="BL1428" s="45"/>
      <c r="BM1428" s="12"/>
      <c r="BN1428" s="12"/>
      <c r="BO1428" s="12"/>
      <c r="BP1428" s="12"/>
      <c r="BQ1428" s="48"/>
      <c r="BR1428" s="49"/>
      <c r="BS1428" s="13"/>
      <c r="BT1428" s="12"/>
      <c r="BV1428" s="14"/>
      <c r="BW1428" s="50"/>
      <c r="BX1428" s="54"/>
      <c r="BY1428" s="14"/>
      <c r="BZ1428" s="14"/>
      <c r="CA1428" s="14"/>
      <c r="CB1428" s="14"/>
      <c r="CC1428" s="14"/>
      <c r="CD1428" s="14"/>
      <c r="CE1428" s="14"/>
      <c r="CF1428" s="15"/>
      <c r="CG1428" s="14"/>
      <c r="CH1428" s="14"/>
      <c r="CI1428" s="50"/>
      <c r="CJ1428" s="54"/>
      <c r="CK1428" s="14"/>
      <c r="CL1428" s="14"/>
      <c r="CM1428" s="14"/>
      <c r="CN1428" s="14"/>
      <c r="CO1428" s="14"/>
      <c r="CP1428" s="14"/>
      <c r="CQ1428" s="14"/>
      <c r="CR1428" s="14"/>
      <c r="CS1428" s="14"/>
      <c r="CT1428" s="14"/>
      <c r="CU1428" s="16"/>
      <c r="CV1428" s="14"/>
      <c r="CW1428" s="50"/>
      <c r="CX1428" s="17"/>
    </row>
    <row r="1429" spans="4:102" x14ac:dyDescent="0.25"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43"/>
      <c r="Q1429" s="11"/>
      <c r="R1429" s="11"/>
      <c r="S1429" s="11"/>
      <c r="T1429" s="11"/>
      <c r="U1429" s="11"/>
      <c r="V1429" s="11"/>
      <c r="W1429" s="11"/>
      <c r="X1429" s="12"/>
      <c r="Y1429" s="12"/>
      <c r="Z1429" s="12"/>
      <c r="AA1429" s="44"/>
      <c r="AB1429" s="45"/>
      <c r="AC1429" s="12"/>
      <c r="AD1429" s="12"/>
      <c r="AE1429" s="12"/>
      <c r="AF1429" s="12"/>
      <c r="AG1429" s="44"/>
      <c r="AH1429" s="45"/>
      <c r="AI1429" s="12"/>
      <c r="AJ1429" s="12"/>
      <c r="AK1429" s="12"/>
      <c r="AL1429" s="12"/>
      <c r="AM1429" s="44"/>
      <c r="AN1429" s="45"/>
      <c r="AO1429" s="12"/>
      <c r="AP1429" s="12"/>
      <c r="AQ1429" s="12"/>
      <c r="AR1429" s="12"/>
      <c r="AS1429" s="44"/>
      <c r="AT1429" s="45"/>
      <c r="AU1429" s="12"/>
      <c r="AV1429" s="12"/>
      <c r="AW1429" s="12"/>
      <c r="AX1429" s="12"/>
      <c r="AY1429" s="44"/>
      <c r="AZ1429" s="45"/>
      <c r="BA1429" s="12"/>
      <c r="BB1429" s="12"/>
      <c r="BC1429" s="12"/>
      <c r="BD1429" s="12"/>
      <c r="BE1429" s="44"/>
      <c r="BF1429" s="45"/>
      <c r="BG1429" s="12"/>
      <c r="BH1429" s="12"/>
      <c r="BI1429" s="12"/>
      <c r="BJ1429" s="12"/>
      <c r="BK1429" s="44"/>
      <c r="BL1429" s="45"/>
      <c r="BM1429" s="12"/>
      <c r="BN1429" s="12"/>
      <c r="BO1429" s="12"/>
      <c r="BP1429" s="12"/>
      <c r="BQ1429" s="48"/>
      <c r="BR1429" s="49"/>
      <c r="BS1429" s="13"/>
      <c r="BT1429" s="12"/>
      <c r="BV1429" s="14"/>
      <c r="BW1429" s="50"/>
      <c r="BX1429" s="54"/>
      <c r="BY1429" s="14"/>
      <c r="BZ1429" s="14"/>
      <c r="CA1429" s="14"/>
      <c r="CB1429" s="14"/>
      <c r="CC1429" s="14"/>
      <c r="CD1429" s="14"/>
      <c r="CE1429" s="14"/>
      <c r="CF1429" s="15"/>
      <c r="CG1429" s="14"/>
      <c r="CH1429" s="14"/>
      <c r="CI1429" s="50"/>
      <c r="CJ1429" s="54"/>
      <c r="CK1429" s="14"/>
      <c r="CL1429" s="14"/>
      <c r="CM1429" s="14"/>
      <c r="CN1429" s="14"/>
      <c r="CO1429" s="14"/>
      <c r="CP1429" s="14"/>
      <c r="CQ1429" s="14"/>
      <c r="CR1429" s="14"/>
      <c r="CS1429" s="14"/>
      <c r="CT1429" s="14"/>
      <c r="CU1429" s="16"/>
      <c r="CV1429" s="14"/>
      <c r="CW1429" s="50"/>
      <c r="CX1429" s="17"/>
    </row>
    <row r="1430" spans="4:102" x14ac:dyDescent="0.25"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43"/>
      <c r="Q1430" s="11"/>
      <c r="R1430" s="11"/>
      <c r="S1430" s="11"/>
      <c r="T1430" s="11"/>
      <c r="U1430" s="11"/>
      <c r="V1430" s="11"/>
      <c r="W1430" s="11"/>
      <c r="X1430" s="12"/>
      <c r="Y1430" s="12"/>
      <c r="Z1430" s="12"/>
      <c r="AA1430" s="44"/>
      <c r="AB1430" s="45"/>
      <c r="AC1430" s="12"/>
      <c r="AD1430" s="12"/>
      <c r="AE1430" s="12"/>
      <c r="AF1430" s="12"/>
      <c r="AG1430" s="44"/>
      <c r="AH1430" s="45"/>
      <c r="AI1430" s="12"/>
      <c r="AJ1430" s="12"/>
      <c r="AK1430" s="12"/>
      <c r="AL1430" s="12"/>
      <c r="AM1430" s="44"/>
      <c r="AN1430" s="45"/>
      <c r="AO1430" s="12"/>
      <c r="AP1430" s="12"/>
      <c r="AQ1430" s="12"/>
      <c r="AR1430" s="12"/>
      <c r="AS1430" s="44"/>
      <c r="AT1430" s="45"/>
      <c r="AU1430" s="12"/>
      <c r="AV1430" s="12"/>
      <c r="AW1430" s="12"/>
      <c r="AX1430" s="12"/>
      <c r="AY1430" s="44"/>
      <c r="AZ1430" s="45"/>
      <c r="BA1430" s="12"/>
      <c r="BB1430" s="12"/>
      <c r="BC1430" s="12"/>
      <c r="BD1430" s="12"/>
      <c r="BE1430" s="44"/>
      <c r="BF1430" s="45"/>
      <c r="BG1430" s="12"/>
      <c r="BH1430" s="12"/>
      <c r="BI1430" s="12"/>
      <c r="BJ1430" s="12"/>
      <c r="BK1430" s="44"/>
      <c r="BL1430" s="45"/>
      <c r="BM1430" s="12"/>
      <c r="BN1430" s="12"/>
      <c r="BO1430" s="12"/>
      <c r="BP1430" s="12"/>
      <c r="BQ1430" s="48"/>
      <c r="BR1430" s="49"/>
      <c r="BS1430" s="13"/>
      <c r="BT1430" s="12"/>
      <c r="BV1430" s="14"/>
      <c r="BW1430" s="50"/>
      <c r="BX1430" s="54"/>
      <c r="BY1430" s="14"/>
      <c r="BZ1430" s="14"/>
      <c r="CA1430" s="14"/>
      <c r="CB1430" s="14"/>
      <c r="CC1430" s="14"/>
      <c r="CD1430" s="14"/>
      <c r="CE1430" s="14"/>
      <c r="CF1430" s="15"/>
      <c r="CG1430" s="14"/>
      <c r="CH1430" s="14"/>
      <c r="CI1430" s="50"/>
      <c r="CJ1430" s="54"/>
      <c r="CK1430" s="14"/>
      <c r="CL1430" s="14"/>
      <c r="CM1430" s="14"/>
      <c r="CN1430" s="14"/>
      <c r="CO1430" s="14"/>
      <c r="CP1430" s="14"/>
      <c r="CQ1430" s="14"/>
      <c r="CR1430" s="14"/>
      <c r="CS1430" s="14"/>
      <c r="CT1430" s="14"/>
      <c r="CU1430" s="16"/>
      <c r="CV1430" s="14"/>
      <c r="CW1430" s="50"/>
      <c r="CX1430" s="17"/>
    </row>
    <row r="1431" spans="4:102" x14ac:dyDescent="0.25"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43"/>
      <c r="Q1431" s="11"/>
      <c r="R1431" s="11"/>
      <c r="S1431" s="11"/>
      <c r="T1431" s="11"/>
      <c r="U1431" s="11"/>
      <c r="V1431" s="11"/>
      <c r="W1431" s="11"/>
      <c r="X1431" s="12"/>
      <c r="Y1431" s="12"/>
      <c r="Z1431" s="12"/>
      <c r="AA1431" s="44"/>
      <c r="AB1431" s="45"/>
      <c r="AC1431" s="12"/>
      <c r="AD1431" s="12"/>
      <c r="AE1431" s="12"/>
      <c r="AF1431" s="12"/>
      <c r="AG1431" s="44"/>
      <c r="AH1431" s="45"/>
      <c r="AI1431" s="12"/>
      <c r="AJ1431" s="12"/>
      <c r="AK1431" s="12"/>
      <c r="AL1431" s="12"/>
      <c r="AM1431" s="44"/>
      <c r="AN1431" s="45"/>
      <c r="AO1431" s="12"/>
      <c r="AP1431" s="12"/>
      <c r="AQ1431" s="12"/>
      <c r="AR1431" s="12"/>
      <c r="AS1431" s="44"/>
      <c r="AT1431" s="45"/>
      <c r="AU1431" s="12"/>
      <c r="AV1431" s="12"/>
      <c r="AW1431" s="12"/>
      <c r="AX1431" s="12"/>
      <c r="AY1431" s="44"/>
      <c r="AZ1431" s="45"/>
      <c r="BA1431" s="12"/>
      <c r="BB1431" s="12"/>
      <c r="BC1431" s="12"/>
      <c r="BD1431" s="12"/>
      <c r="BE1431" s="44"/>
      <c r="BF1431" s="45"/>
      <c r="BG1431" s="12"/>
      <c r="BH1431" s="12"/>
      <c r="BI1431" s="12"/>
      <c r="BJ1431" s="12"/>
      <c r="BK1431" s="44"/>
      <c r="BL1431" s="45"/>
      <c r="BM1431" s="12"/>
      <c r="BN1431" s="12"/>
      <c r="BO1431" s="12"/>
      <c r="BP1431" s="12"/>
      <c r="BQ1431" s="48"/>
      <c r="BR1431" s="49"/>
      <c r="BS1431" s="13"/>
      <c r="BT1431" s="12"/>
      <c r="BV1431" s="14"/>
      <c r="BW1431" s="50"/>
      <c r="BX1431" s="54"/>
      <c r="BY1431" s="14"/>
      <c r="BZ1431" s="14"/>
      <c r="CA1431" s="14"/>
      <c r="CB1431" s="14"/>
      <c r="CC1431" s="14"/>
      <c r="CD1431" s="14"/>
      <c r="CE1431" s="14"/>
      <c r="CF1431" s="15"/>
      <c r="CG1431" s="14"/>
      <c r="CH1431" s="14"/>
      <c r="CI1431" s="50"/>
      <c r="CJ1431" s="54"/>
      <c r="CK1431" s="14"/>
      <c r="CL1431" s="14"/>
      <c r="CM1431" s="14"/>
      <c r="CN1431" s="14"/>
      <c r="CO1431" s="14"/>
      <c r="CP1431" s="14"/>
      <c r="CQ1431" s="14"/>
      <c r="CR1431" s="14"/>
      <c r="CS1431" s="14"/>
      <c r="CT1431" s="14"/>
      <c r="CU1431" s="16"/>
      <c r="CV1431" s="14"/>
      <c r="CW1431" s="50"/>
      <c r="CX1431" s="17"/>
    </row>
    <row r="1432" spans="4:102" x14ac:dyDescent="0.25"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43"/>
      <c r="Q1432" s="11"/>
      <c r="R1432" s="11"/>
      <c r="S1432" s="11"/>
      <c r="T1432" s="11"/>
      <c r="U1432" s="11"/>
      <c r="V1432" s="11"/>
      <c r="W1432" s="11"/>
      <c r="X1432" s="12"/>
      <c r="Y1432" s="12"/>
      <c r="Z1432" s="12"/>
      <c r="AA1432" s="44"/>
      <c r="AB1432" s="45"/>
      <c r="AC1432" s="12"/>
      <c r="AD1432" s="12"/>
      <c r="AE1432" s="12"/>
      <c r="AF1432" s="12"/>
      <c r="AG1432" s="44"/>
      <c r="AH1432" s="45"/>
      <c r="AI1432" s="12"/>
      <c r="AJ1432" s="12"/>
      <c r="AK1432" s="12"/>
      <c r="AL1432" s="12"/>
      <c r="AM1432" s="44"/>
      <c r="AN1432" s="45"/>
      <c r="AO1432" s="12"/>
      <c r="AP1432" s="12"/>
      <c r="AQ1432" s="12"/>
      <c r="AR1432" s="12"/>
      <c r="AS1432" s="44"/>
      <c r="AT1432" s="45"/>
      <c r="AU1432" s="12"/>
      <c r="AV1432" s="12"/>
      <c r="AW1432" s="12"/>
      <c r="AX1432" s="12"/>
      <c r="AY1432" s="44"/>
      <c r="AZ1432" s="45"/>
      <c r="BA1432" s="12"/>
      <c r="BB1432" s="12"/>
      <c r="BC1432" s="12"/>
      <c r="BD1432" s="12"/>
      <c r="BE1432" s="44"/>
      <c r="BF1432" s="45"/>
      <c r="BG1432" s="12"/>
      <c r="BH1432" s="12"/>
      <c r="BI1432" s="12"/>
      <c r="BJ1432" s="12"/>
      <c r="BK1432" s="44"/>
      <c r="BL1432" s="45"/>
      <c r="BM1432" s="12"/>
      <c r="BN1432" s="12"/>
      <c r="BO1432" s="12"/>
      <c r="BP1432" s="12"/>
      <c r="BQ1432" s="48"/>
      <c r="BR1432" s="49"/>
      <c r="BS1432" s="13"/>
      <c r="BT1432" s="12"/>
      <c r="BV1432" s="14"/>
      <c r="BW1432" s="50"/>
      <c r="BX1432" s="54"/>
      <c r="BY1432" s="14"/>
      <c r="BZ1432" s="14"/>
      <c r="CA1432" s="14"/>
      <c r="CB1432" s="14"/>
      <c r="CC1432" s="14"/>
      <c r="CD1432" s="14"/>
      <c r="CE1432" s="14"/>
      <c r="CF1432" s="15"/>
      <c r="CG1432" s="14"/>
      <c r="CH1432" s="14"/>
      <c r="CI1432" s="50"/>
      <c r="CJ1432" s="54"/>
      <c r="CK1432" s="14"/>
      <c r="CL1432" s="14"/>
      <c r="CM1432" s="14"/>
      <c r="CN1432" s="14"/>
      <c r="CO1432" s="14"/>
      <c r="CP1432" s="14"/>
      <c r="CQ1432" s="14"/>
      <c r="CR1432" s="14"/>
      <c r="CS1432" s="14"/>
      <c r="CT1432" s="14"/>
      <c r="CU1432" s="16"/>
      <c r="CV1432" s="14"/>
      <c r="CW1432" s="50"/>
      <c r="CX1432" s="17"/>
    </row>
    <row r="1433" spans="4:102" x14ac:dyDescent="0.25"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43"/>
      <c r="Q1433" s="11"/>
      <c r="R1433" s="11"/>
      <c r="S1433" s="11"/>
      <c r="T1433" s="11"/>
      <c r="U1433" s="11"/>
      <c r="V1433" s="11"/>
      <c r="W1433" s="11"/>
      <c r="X1433" s="12"/>
      <c r="Y1433" s="12"/>
      <c r="Z1433" s="12"/>
      <c r="AA1433" s="44"/>
      <c r="AB1433" s="45"/>
      <c r="AC1433" s="12"/>
      <c r="AD1433" s="12"/>
      <c r="AE1433" s="12"/>
      <c r="AF1433" s="12"/>
      <c r="AG1433" s="44"/>
      <c r="AH1433" s="45"/>
      <c r="AI1433" s="12"/>
      <c r="AJ1433" s="12"/>
      <c r="AK1433" s="12"/>
      <c r="AL1433" s="12"/>
      <c r="AM1433" s="44"/>
      <c r="AN1433" s="45"/>
      <c r="AO1433" s="12"/>
      <c r="AP1433" s="12"/>
      <c r="AQ1433" s="12"/>
      <c r="AR1433" s="12"/>
      <c r="AS1433" s="44"/>
      <c r="AT1433" s="45"/>
      <c r="AU1433" s="12"/>
      <c r="AV1433" s="12"/>
      <c r="AW1433" s="12"/>
      <c r="AX1433" s="12"/>
      <c r="AY1433" s="44"/>
      <c r="AZ1433" s="45"/>
      <c r="BA1433" s="12"/>
      <c r="BB1433" s="12"/>
      <c r="BC1433" s="12"/>
      <c r="BD1433" s="12"/>
      <c r="BE1433" s="44"/>
      <c r="BF1433" s="45"/>
      <c r="BG1433" s="12"/>
      <c r="BH1433" s="12"/>
      <c r="BI1433" s="12"/>
      <c r="BJ1433" s="12"/>
      <c r="BK1433" s="44"/>
      <c r="BL1433" s="45"/>
      <c r="BM1433" s="12"/>
      <c r="BN1433" s="12"/>
      <c r="BO1433" s="12"/>
      <c r="BP1433" s="12"/>
      <c r="BQ1433" s="48"/>
      <c r="BR1433" s="49"/>
      <c r="BS1433" s="13"/>
      <c r="BT1433" s="12"/>
      <c r="BV1433" s="14"/>
      <c r="BW1433" s="50"/>
      <c r="BX1433" s="54"/>
      <c r="BY1433" s="14"/>
      <c r="BZ1433" s="14"/>
      <c r="CA1433" s="14"/>
      <c r="CB1433" s="14"/>
      <c r="CC1433" s="14"/>
      <c r="CD1433" s="14"/>
      <c r="CE1433" s="14"/>
      <c r="CF1433" s="15"/>
      <c r="CG1433" s="14"/>
      <c r="CH1433" s="14"/>
      <c r="CI1433" s="50"/>
      <c r="CJ1433" s="54"/>
      <c r="CK1433" s="14"/>
      <c r="CL1433" s="14"/>
      <c r="CM1433" s="14"/>
      <c r="CN1433" s="14"/>
      <c r="CO1433" s="14"/>
      <c r="CP1433" s="14"/>
      <c r="CQ1433" s="14"/>
      <c r="CR1433" s="14"/>
      <c r="CS1433" s="14"/>
      <c r="CT1433" s="14"/>
      <c r="CU1433" s="16"/>
      <c r="CV1433" s="14"/>
      <c r="CW1433" s="50"/>
      <c r="CX1433" s="17"/>
    </row>
    <row r="1434" spans="4:102" x14ac:dyDescent="0.25"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43"/>
      <c r="Q1434" s="11"/>
      <c r="R1434" s="11"/>
      <c r="S1434" s="11"/>
      <c r="T1434" s="11"/>
      <c r="U1434" s="11"/>
      <c r="V1434" s="11"/>
      <c r="W1434" s="11"/>
      <c r="X1434" s="12"/>
      <c r="Y1434" s="12"/>
      <c r="Z1434" s="12"/>
      <c r="AA1434" s="44"/>
      <c r="AB1434" s="45"/>
      <c r="AC1434" s="12"/>
      <c r="AD1434" s="12"/>
      <c r="AE1434" s="12"/>
      <c r="AF1434" s="12"/>
      <c r="AG1434" s="44"/>
      <c r="AH1434" s="45"/>
      <c r="AI1434" s="12"/>
      <c r="AJ1434" s="12"/>
      <c r="AK1434" s="12"/>
      <c r="AL1434" s="12"/>
      <c r="AM1434" s="44"/>
      <c r="AN1434" s="45"/>
      <c r="AO1434" s="12"/>
      <c r="AP1434" s="12"/>
      <c r="AQ1434" s="12"/>
      <c r="AR1434" s="12"/>
      <c r="AS1434" s="44"/>
      <c r="AT1434" s="45"/>
      <c r="AU1434" s="12"/>
      <c r="AV1434" s="12"/>
      <c r="AW1434" s="12"/>
      <c r="AX1434" s="12"/>
      <c r="AY1434" s="44"/>
      <c r="AZ1434" s="45"/>
      <c r="BA1434" s="12"/>
      <c r="BB1434" s="12"/>
      <c r="BC1434" s="12"/>
      <c r="BD1434" s="12"/>
      <c r="BE1434" s="44"/>
      <c r="BF1434" s="45"/>
      <c r="BG1434" s="12"/>
      <c r="BH1434" s="12"/>
      <c r="BI1434" s="12"/>
      <c r="BJ1434" s="12"/>
      <c r="BK1434" s="44"/>
      <c r="BL1434" s="45"/>
      <c r="BM1434" s="12"/>
      <c r="BN1434" s="12"/>
      <c r="BO1434" s="12"/>
      <c r="BP1434" s="12"/>
      <c r="BQ1434" s="48"/>
      <c r="BR1434" s="49"/>
      <c r="BS1434" s="13"/>
      <c r="BT1434" s="12"/>
      <c r="BV1434" s="14"/>
      <c r="BW1434" s="50"/>
      <c r="BX1434" s="54"/>
      <c r="BY1434" s="14"/>
      <c r="BZ1434" s="14"/>
      <c r="CA1434" s="14"/>
      <c r="CB1434" s="14"/>
      <c r="CC1434" s="14"/>
      <c r="CD1434" s="14"/>
      <c r="CE1434" s="14"/>
      <c r="CF1434" s="15"/>
      <c r="CG1434" s="14"/>
      <c r="CH1434" s="14"/>
      <c r="CI1434" s="50"/>
      <c r="CJ1434" s="54"/>
      <c r="CK1434" s="14"/>
      <c r="CL1434" s="14"/>
      <c r="CM1434" s="14"/>
      <c r="CN1434" s="14"/>
      <c r="CO1434" s="14"/>
      <c r="CP1434" s="14"/>
      <c r="CQ1434" s="14"/>
      <c r="CR1434" s="14"/>
      <c r="CS1434" s="14"/>
      <c r="CT1434" s="14"/>
      <c r="CU1434" s="16"/>
      <c r="CV1434" s="14"/>
      <c r="CW1434" s="50"/>
      <c r="CX1434" s="17"/>
    </row>
    <row r="1435" spans="4:102" x14ac:dyDescent="0.25"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43"/>
      <c r="Q1435" s="11"/>
      <c r="R1435" s="11"/>
      <c r="S1435" s="11"/>
      <c r="T1435" s="11"/>
      <c r="U1435" s="11"/>
      <c r="V1435" s="11"/>
      <c r="W1435" s="11"/>
      <c r="X1435" s="12"/>
      <c r="Y1435" s="12"/>
      <c r="Z1435" s="12"/>
      <c r="AA1435" s="44"/>
      <c r="AB1435" s="45"/>
      <c r="AC1435" s="12"/>
      <c r="AD1435" s="12"/>
      <c r="AE1435" s="12"/>
      <c r="AF1435" s="12"/>
      <c r="AG1435" s="44"/>
      <c r="AH1435" s="45"/>
      <c r="AI1435" s="12"/>
      <c r="AJ1435" s="12"/>
      <c r="AK1435" s="12"/>
      <c r="AL1435" s="12"/>
      <c r="AM1435" s="44"/>
      <c r="AN1435" s="45"/>
      <c r="AO1435" s="12"/>
      <c r="AP1435" s="12"/>
      <c r="AQ1435" s="12"/>
      <c r="AR1435" s="12"/>
      <c r="AS1435" s="44"/>
      <c r="AT1435" s="45"/>
      <c r="AU1435" s="12"/>
      <c r="AV1435" s="12"/>
      <c r="AW1435" s="12"/>
      <c r="AX1435" s="12"/>
      <c r="AY1435" s="44"/>
      <c r="AZ1435" s="45"/>
      <c r="BA1435" s="12"/>
      <c r="BB1435" s="12"/>
      <c r="BC1435" s="12"/>
      <c r="BD1435" s="12"/>
      <c r="BE1435" s="44"/>
      <c r="BF1435" s="45"/>
      <c r="BG1435" s="12"/>
      <c r="BH1435" s="12"/>
      <c r="BI1435" s="12"/>
      <c r="BJ1435" s="12"/>
      <c r="BK1435" s="44"/>
      <c r="BL1435" s="45"/>
      <c r="BM1435" s="12"/>
      <c r="BN1435" s="12"/>
      <c r="BO1435" s="12"/>
      <c r="BP1435" s="12"/>
      <c r="BQ1435" s="48"/>
      <c r="BR1435" s="49"/>
      <c r="BS1435" s="13"/>
      <c r="BT1435" s="12"/>
      <c r="BV1435" s="14"/>
      <c r="BW1435" s="50"/>
      <c r="BX1435" s="54"/>
      <c r="BY1435" s="14"/>
      <c r="BZ1435" s="14"/>
      <c r="CA1435" s="14"/>
      <c r="CB1435" s="14"/>
      <c r="CC1435" s="14"/>
      <c r="CD1435" s="14"/>
      <c r="CE1435" s="14"/>
      <c r="CF1435" s="15"/>
      <c r="CG1435" s="14"/>
      <c r="CH1435" s="14"/>
      <c r="CI1435" s="50"/>
      <c r="CJ1435" s="54"/>
      <c r="CK1435" s="14"/>
      <c r="CL1435" s="14"/>
      <c r="CM1435" s="14"/>
      <c r="CN1435" s="14"/>
      <c r="CO1435" s="14"/>
      <c r="CP1435" s="14"/>
      <c r="CQ1435" s="14"/>
      <c r="CR1435" s="14"/>
      <c r="CS1435" s="14"/>
      <c r="CT1435" s="14"/>
      <c r="CU1435" s="16"/>
      <c r="CV1435" s="14"/>
      <c r="CW1435" s="50"/>
      <c r="CX1435" s="17"/>
    </row>
    <row r="1436" spans="4:102" x14ac:dyDescent="0.25"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43"/>
      <c r="Q1436" s="11"/>
      <c r="R1436" s="11"/>
      <c r="S1436" s="11"/>
      <c r="T1436" s="11"/>
      <c r="U1436" s="11"/>
      <c r="V1436" s="11"/>
      <c r="W1436" s="11"/>
      <c r="X1436" s="12"/>
      <c r="Y1436" s="12"/>
      <c r="Z1436" s="12"/>
      <c r="AA1436" s="44"/>
      <c r="AB1436" s="45"/>
      <c r="AC1436" s="12"/>
      <c r="AD1436" s="12"/>
      <c r="AE1436" s="12"/>
      <c r="AF1436" s="12"/>
      <c r="AG1436" s="44"/>
      <c r="AH1436" s="45"/>
      <c r="AI1436" s="12"/>
      <c r="AJ1436" s="12"/>
      <c r="AK1436" s="12"/>
      <c r="AL1436" s="12"/>
      <c r="AM1436" s="44"/>
      <c r="AN1436" s="45"/>
      <c r="AO1436" s="12"/>
      <c r="AP1436" s="12"/>
      <c r="AQ1436" s="12"/>
      <c r="AR1436" s="12"/>
      <c r="AS1436" s="44"/>
      <c r="AT1436" s="45"/>
      <c r="AU1436" s="12"/>
      <c r="AV1436" s="12"/>
      <c r="AW1436" s="12"/>
      <c r="AX1436" s="12"/>
      <c r="AY1436" s="44"/>
      <c r="AZ1436" s="45"/>
      <c r="BA1436" s="12"/>
      <c r="BB1436" s="12"/>
      <c r="BC1436" s="12"/>
      <c r="BD1436" s="12"/>
      <c r="BE1436" s="44"/>
      <c r="BF1436" s="45"/>
      <c r="BG1436" s="12"/>
      <c r="BH1436" s="12"/>
      <c r="BI1436" s="12"/>
      <c r="BJ1436" s="12"/>
      <c r="BK1436" s="44"/>
      <c r="BL1436" s="45"/>
      <c r="BM1436" s="12"/>
      <c r="BN1436" s="12"/>
      <c r="BO1436" s="12"/>
      <c r="BP1436" s="12"/>
      <c r="BQ1436" s="48"/>
      <c r="BR1436" s="49"/>
      <c r="BS1436" s="13"/>
      <c r="BT1436" s="12"/>
      <c r="BV1436" s="14"/>
      <c r="BW1436" s="50"/>
      <c r="BX1436" s="54"/>
      <c r="BY1436" s="14"/>
      <c r="BZ1436" s="14"/>
      <c r="CA1436" s="14"/>
      <c r="CB1436" s="14"/>
      <c r="CC1436" s="14"/>
      <c r="CD1436" s="14"/>
      <c r="CE1436" s="14"/>
      <c r="CF1436" s="15"/>
      <c r="CG1436" s="14"/>
      <c r="CH1436" s="14"/>
      <c r="CI1436" s="50"/>
      <c r="CJ1436" s="54"/>
      <c r="CK1436" s="14"/>
      <c r="CL1436" s="14"/>
      <c r="CM1436" s="14"/>
      <c r="CN1436" s="14"/>
      <c r="CO1436" s="14"/>
      <c r="CP1436" s="14"/>
      <c r="CQ1436" s="14"/>
      <c r="CR1436" s="14"/>
      <c r="CS1436" s="14"/>
      <c r="CT1436" s="14"/>
      <c r="CU1436" s="16"/>
      <c r="CV1436" s="14"/>
      <c r="CW1436" s="50"/>
      <c r="CX1436" s="17"/>
    </row>
    <row r="1437" spans="4:102" x14ac:dyDescent="0.25"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43"/>
      <c r="Q1437" s="11"/>
      <c r="R1437" s="11"/>
      <c r="S1437" s="11"/>
      <c r="T1437" s="11"/>
      <c r="U1437" s="11"/>
      <c r="V1437" s="11"/>
      <c r="W1437" s="11"/>
      <c r="X1437" s="12"/>
      <c r="Y1437" s="12"/>
      <c r="Z1437" s="12"/>
      <c r="AA1437" s="44"/>
      <c r="AB1437" s="45"/>
      <c r="AC1437" s="12"/>
      <c r="AD1437" s="12"/>
      <c r="AE1437" s="12"/>
      <c r="AF1437" s="12"/>
      <c r="AG1437" s="44"/>
      <c r="AH1437" s="45"/>
      <c r="AI1437" s="12"/>
      <c r="AJ1437" s="12"/>
      <c r="AK1437" s="12"/>
      <c r="AL1437" s="12"/>
      <c r="AM1437" s="44"/>
      <c r="AN1437" s="45"/>
      <c r="AO1437" s="12"/>
      <c r="AP1437" s="12"/>
      <c r="AQ1437" s="12"/>
      <c r="AR1437" s="12"/>
      <c r="AS1437" s="44"/>
      <c r="AT1437" s="45"/>
      <c r="AU1437" s="12"/>
      <c r="AV1437" s="12"/>
      <c r="AW1437" s="12"/>
      <c r="AX1437" s="12"/>
      <c r="AY1437" s="44"/>
      <c r="AZ1437" s="45"/>
      <c r="BA1437" s="12"/>
      <c r="BB1437" s="12"/>
      <c r="BC1437" s="12"/>
      <c r="BD1437" s="12"/>
      <c r="BE1437" s="44"/>
      <c r="BF1437" s="45"/>
      <c r="BG1437" s="12"/>
      <c r="BH1437" s="12"/>
      <c r="BI1437" s="12"/>
      <c r="BJ1437" s="12"/>
      <c r="BK1437" s="44"/>
      <c r="BL1437" s="45"/>
      <c r="BM1437" s="12"/>
      <c r="BN1437" s="12"/>
      <c r="BO1437" s="12"/>
      <c r="BP1437" s="12"/>
      <c r="BQ1437" s="48"/>
      <c r="BR1437" s="49"/>
      <c r="BS1437" s="13"/>
      <c r="BT1437" s="12"/>
      <c r="BV1437" s="14"/>
      <c r="BW1437" s="50"/>
      <c r="BX1437" s="54"/>
      <c r="BY1437" s="14"/>
      <c r="BZ1437" s="14"/>
      <c r="CA1437" s="14"/>
      <c r="CB1437" s="14"/>
      <c r="CC1437" s="14"/>
      <c r="CD1437" s="14"/>
      <c r="CE1437" s="14"/>
      <c r="CF1437" s="15"/>
      <c r="CG1437" s="14"/>
      <c r="CH1437" s="14"/>
      <c r="CI1437" s="50"/>
      <c r="CJ1437" s="54"/>
      <c r="CK1437" s="14"/>
      <c r="CL1437" s="14"/>
      <c r="CM1437" s="14"/>
      <c r="CN1437" s="14"/>
      <c r="CO1437" s="14"/>
      <c r="CP1437" s="14"/>
      <c r="CQ1437" s="14"/>
      <c r="CR1437" s="14"/>
      <c r="CS1437" s="14"/>
      <c r="CT1437" s="14"/>
      <c r="CU1437" s="16"/>
      <c r="CV1437" s="14"/>
      <c r="CW1437" s="50"/>
      <c r="CX1437" s="17"/>
    </row>
    <row r="1438" spans="4:102" x14ac:dyDescent="0.25"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43"/>
      <c r="Q1438" s="11"/>
      <c r="R1438" s="11"/>
      <c r="S1438" s="11"/>
      <c r="T1438" s="11"/>
      <c r="U1438" s="11"/>
      <c r="V1438" s="11"/>
      <c r="W1438" s="11"/>
      <c r="X1438" s="12"/>
      <c r="Y1438" s="12"/>
      <c r="Z1438" s="12"/>
      <c r="AA1438" s="44"/>
      <c r="AB1438" s="45"/>
      <c r="AC1438" s="12"/>
      <c r="AD1438" s="12"/>
      <c r="AE1438" s="12"/>
      <c r="AF1438" s="12"/>
      <c r="AG1438" s="44"/>
      <c r="AH1438" s="45"/>
      <c r="AI1438" s="12"/>
      <c r="AJ1438" s="12"/>
      <c r="AK1438" s="12"/>
      <c r="AL1438" s="12"/>
      <c r="AM1438" s="44"/>
      <c r="AN1438" s="45"/>
      <c r="AO1438" s="12"/>
      <c r="AP1438" s="12"/>
      <c r="AQ1438" s="12"/>
      <c r="AR1438" s="12"/>
      <c r="AS1438" s="44"/>
      <c r="AT1438" s="45"/>
      <c r="AU1438" s="12"/>
      <c r="AV1438" s="12"/>
      <c r="AW1438" s="12"/>
      <c r="AX1438" s="12"/>
      <c r="AY1438" s="44"/>
      <c r="AZ1438" s="45"/>
      <c r="BA1438" s="12"/>
      <c r="BB1438" s="12"/>
      <c r="BC1438" s="12"/>
      <c r="BD1438" s="12"/>
      <c r="BE1438" s="44"/>
      <c r="BF1438" s="45"/>
      <c r="BG1438" s="12"/>
      <c r="BH1438" s="12"/>
      <c r="BI1438" s="12"/>
      <c r="BJ1438" s="12"/>
      <c r="BK1438" s="44"/>
      <c r="BL1438" s="45"/>
      <c r="BM1438" s="12"/>
      <c r="BN1438" s="12"/>
      <c r="BO1438" s="12"/>
      <c r="BP1438" s="12"/>
      <c r="BQ1438" s="48"/>
      <c r="BR1438" s="49"/>
      <c r="BS1438" s="13"/>
      <c r="BT1438" s="12"/>
      <c r="BV1438" s="14"/>
      <c r="BW1438" s="50"/>
      <c r="BX1438" s="54"/>
      <c r="BY1438" s="14"/>
      <c r="BZ1438" s="14"/>
      <c r="CA1438" s="14"/>
      <c r="CB1438" s="14"/>
      <c r="CC1438" s="14"/>
      <c r="CD1438" s="14"/>
      <c r="CE1438" s="14"/>
      <c r="CF1438" s="15"/>
      <c r="CG1438" s="14"/>
      <c r="CH1438" s="14"/>
      <c r="CI1438" s="50"/>
      <c r="CJ1438" s="54"/>
      <c r="CK1438" s="14"/>
      <c r="CL1438" s="14"/>
      <c r="CM1438" s="14"/>
      <c r="CN1438" s="14"/>
      <c r="CO1438" s="14"/>
      <c r="CP1438" s="14"/>
      <c r="CQ1438" s="14"/>
      <c r="CR1438" s="14"/>
      <c r="CS1438" s="14"/>
      <c r="CT1438" s="14"/>
      <c r="CU1438" s="16"/>
      <c r="CV1438" s="14"/>
      <c r="CW1438" s="50"/>
      <c r="CX1438" s="17"/>
    </row>
    <row r="1439" spans="4:102" x14ac:dyDescent="0.25"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43"/>
      <c r="Q1439" s="11"/>
      <c r="R1439" s="11"/>
      <c r="S1439" s="11"/>
      <c r="T1439" s="11"/>
      <c r="U1439" s="11"/>
      <c r="V1439" s="11"/>
      <c r="W1439" s="11"/>
      <c r="X1439" s="12"/>
      <c r="Y1439" s="12"/>
      <c r="Z1439" s="12"/>
      <c r="AA1439" s="44"/>
      <c r="AB1439" s="45"/>
      <c r="AC1439" s="12"/>
      <c r="AD1439" s="12"/>
      <c r="AE1439" s="12"/>
      <c r="AF1439" s="12"/>
      <c r="AG1439" s="44"/>
      <c r="AH1439" s="45"/>
      <c r="AI1439" s="12"/>
      <c r="AJ1439" s="12"/>
      <c r="AK1439" s="12"/>
      <c r="AL1439" s="12"/>
      <c r="AM1439" s="44"/>
      <c r="AN1439" s="45"/>
      <c r="AO1439" s="12"/>
      <c r="AP1439" s="12"/>
      <c r="AQ1439" s="12"/>
      <c r="AR1439" s="12"/>
      <c r="AS1439" s="44"/>
      <c r="AT1439" s="45"/>
      <c r="AU1439" s="12"/>
      <c r="AV1439" s="12"/>
      <c r="AW1439" s="12"/>
      <c r="AX1439" s="12"/>
      <c r="AY1439" s="44"/>
      <c r="AZ1439" s="45"/>
      <c r="BA1439" s="12"/>
      <c r="BB1439" s="12"/>
      <c r="BC1439" s="12"/>
      <c r="BD1439" s="12"/>
      <c r="BE1439" s="44"/>
      <c r="BF1439" s="45"/>
      <c r="BG1439" s="12"/>
      <c r="BH1439" s="12"/>
      <c r="BI1439" s="12"/>
      <c r="BJ1439" s="12"/>
      <c r="BK1439" s="44"/>
      <c r="BL1439" s="45"/>
      <c r="BM1439" s="12"/>
      <c r="BN1439" s="12"/>
      <c r="BO1439" s="12"/>
      <c r="BP1439" s="12"/>
      <c r="BQ1439" s="48"/>
      <c r="BR1439" s="49"/>
      <c r="BS1439" s="13"/>
      <c r="BT1439" s="12"/>
      <c r="BV1439" s="14"/>
      <c r="BW1439" s="50"/>
      <c r="BX1439" s="54"/>
      <c r="BY1439" s="14"/>
      <c r="BZ1439" s="14"/>
      <c r="CA1439" s="14"/>
      <c r="CB1439" s="14"/>
      <c r="CC1439" s="14"/>
      <c r="CD1439" s="14"/>
      <c r="CE1439" s="14"/>
      <c r="CF1439" s="15"/>
      <c r="CG1439" s="14"/>
      <c r="CH1439" s="14"/>
      <c r="CI1439" s="50"/>
      <c r="CJ1439" s="54"/>
      <c r="CK1439" s="14"/>
      <c r="CL1439" s="14"/>
      <c r="CM1439" s="14"/>
      <c r="CN1439" s="14"/>
      <c r="CO1439" s="14"/>
      <c r="CP1439" s="14"/>
      <c r="CQ1439" s="14"/>
      <c r="CR1439" s="14"/>
      <c r="CS1439" s="14"/>
      <c r="CT1439" s="14"/>
      <c r="CU1439" s="16"/>
      <c r="CV1439" s="14"/>
      <c r="CW1439" s="50"/>
      <c r="CX1439" s="17"/>
    </row>
    <row r="1440" spans="4:102" x14ac:dyDescent="0.25"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43"/>
      <c r="Q1440" s="11"/>
      <c r="R1440" s="11"/>
      <c r="S1440" s="11"/>
      <c r="T1440" s="11"/>
      <c r="U1440" s="11"/>
      <c r="V1440" s="11"/>
      <c r="W1440" s="11"/>
      <c r="X1440" s="12"/>
      <c r="Y1440" s="12"/>
      <c r="Z1440" s="12"/>
      <c r="AA1440" s="44"/>
      <c r="AB1440" s="45"/>
      <c r="AC1440" s="12"/>
      <c r="AD1440" s="12"/>
      <c r="AE1440" s="12"/>
      <c r="AF1440" s="12"/>
      <c r="AG1440" s="44"/>
      <c r="AH1440" s="45"/>
      <c r="AI1440" s="12"/>
      <c r="AJ1440" s="12"/>
      <c r="AK1440" s="12"/>
      <c r="AL1440" s="12"/>
      <c r="AM1440" s="44"/>
      <c r="AN1440" s="45"/>
      <c r="AO1440" s="12"/>
      <c r="AP1440" s="12"/>
      <c r="AQ1440" s="12"/>
      <c r="AR1440" s="12"/>
      <c r="AS1440" s="44"/>
      <c r="AT1440" s="45"/>
      <c r="AU1440" s="12"/>
      <c r="AV1440" s="12"/>
      <c r="AW1440" s="12"/>
      <c r="AX1440" s="12"/>
      <c r="AY1440" s="44"/>
      <c r="AZ1440" s="45"/>
      <c r="BA1440" s="12"/>
      <c r="BB1440" s="12"/>
      <c r="BC1440" s="12"/>
      <c r="BD1440" s="12"/>
      <c r="BE1440" s="44"/>
      <c r="BF1440" s="45"/>
      <c r="BG1440" s="12"/>
      <c r="BH1440" s="12"/>
      <c r="BI1440" s="12"/>
      <c r="BJ1440" s="12"/>
      <c r="BK1440" s="44"/>
      <c r="BL1440" s="45"/>
      <c r="BM1440" s="12"/>
      <c r="BN1440" s="12"/>
      <c r="BO1440" s="12"/>
      <c r="BP1440" s="12"/>
      <c r="BQ1440" s="48"/>
      <c r="BR1440" s="49"/>
      <c r="BS1440" s="13"/>
      <c r="BT1440" s="12"/>
      <c r="BV1440" s="14"/>
      <c r="BW1440" s="50"/>
      <c r="BX1440" s="54"/>
      <c r="BY1440" s="14"/>
      <c r="BZ1440" s="14"/>
      <c r="CA1440" s="14"/>
      <c r="CB1440" s="14"/>
      <c r="CC1440" s="14"/>
      <c r="CD1440" s="14"/>
      <c r="CE1440" s="14"/>
      <c r="CF1440" s="15"/>
      <c r="CG1440" s="14"/>
      <c r="CH1440" s="14"/>
      <c r="CI1440" s="50"/>
      <c r="CJ1440" s="54"/>
      <c r="CK1440" s="14"/>
      <c r="CL1440" s="14"/>
      <c r="CM1440" s="14"/>
      <c r="CN1440" s="14"/>
      <c r="CO1440" s="14"/>
      <c r="CP1440" s="14"/>
      <c r="CQ1440" s="14"/>
      <c r="CR1440" s="14"/>
      <c r="CS1440" s="14"/>
      <c r="CT1440" s="14"/>
      <c r="CU1440" s="16"/>
      <c r="CV1440" s="14"/>
      <c r="CW1440" s="50"/>
      <c r="CX1440" s="17"/>
    </row>
    <row r="1441" spans="4:102" x14ac:dyDescent="0.25"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43"/>
      <c r="Q1441" s="11"/>
      <c r="R1441" s="11"/>
      <c r="S1441" s="11"/>
      <c r="T1441" s="11"/>
      <c r="U1441" s="11"/>
      <c r="V1441" s="11"/>
      <c r="W1441" s="11"/>
      <c r="X1441" s="12"/>
      <c r="Y1441" s="12"/>
      <c r="Z1441" s="12"/>
      <c r="AA1441" s="44"/>
      <c r="AB1441" s="45"/>
      <c r="AC1441" s="12"/>
      <c r="AD1441" s="12"/>
      <c r="AE1441" s="12"/>
      <c r="AF1441" s="12"/>
      <c r="AG1441" s="44"/>
      <c r="AH1441" s="45"/>
      <c r="AI1441" s="12"/>
      <c r="AJ1441" s="12"/>
      <c r="AK1441" s="12"/>
      <c r="AL1441" s="12"/>
      <c r="AM1441" s="44"/>
      <c r="AN1441" s="45"/>
      <c r="AO1441" s="12"/>
      <c r="AP1441" s="12"/>
      <c r="AQ1441" s="12"/>
      <c r="AR1441" s="12"/>
      <c r="AS1441" s="44"/>
      <c r="AT1441" s="45"/>
      <c r="AU1441" s="12"/>
      <c r="AV1441" s="12"/>
      <c r="AW1441" s="12"/>
      <c r="AX1441" s="12"/>
      <c r="AY1441" s="44"/>
      <c r="AZ1441" s="45"/>
      <c r="BA1441" s="12"/>
      <c r="BB1441" s="12"/>
      <c r="BC1441" s="12"/>
      <c r="BD1441" s="12"/>
      <c r="BE1441" s="44"/>
      <c r="BF1441" s="45"/>
      <c r="BG1441" s="12"/>
      <c r="BH1441" s="12"/>
      <c r="BI1441" s="12"/>
      <c r="BJ1441" s="12"/>
      <c r="BK1441" s="44"/>
      <c r="BL1441" s="45"/>
      <c r="BM1441" s="12"/>
      <c r="BN1441" s="12"/>
      <c r="BO1441" s="12"/>
      <c r="BP1441" s="12"/>
      <c r="BQ1441" s="48"/>
      <c r="BR1441" s="49"/>
      <c r="BS1441" s="13"/>
      <c r="BT1441" s="12"/>
      <c r="BV1441" s="14"/>
      <c r="BW1441" s="50"/>
      <c r="BX1441" s="54"/>
      <c r="BY1441" s="14"/>
      <c r="BZ1441" s="14"/>
      <c r="CA1441" s="14"/>
      <c r="CB1441" s="14"/>
      <c r="CC1441" s="14"/>
      <c r="CD1441" s="14"/>
      <c r="CE1441" s="14"/>
      <c r="CF1441" s="15"/>
      <c r="CG1441" s="14"/>
      <c r="CH1441" s="14"/>
      <c r="CI1441" s="50"/>
      <c r="CJ1441" s="54"/>
      <c r="CK1441" s="14"/>
      <c r="CL1441" s="14"/>
      <c r="CM1441" s="14"/>
      <c r="CN1441" s="14"/>
      <c r="CO1441" s="14"/>
      <c r="CP1441" s="14"/>
      <c r="CQ1441" s="14"/>
      <c r="CR1441" s="14"/>
      <c r="CS1441" s="14"/>
      <c r="CT1441" s="14"/>
      <c r="CU1441" s="16"/>
      <c r="CV1441" s="14"/>
      <c r="CW1441" s="50"/>
      <c r="CX1441" s="17"/>
    </row>
    <row r="1442" spans="4:102" x14ac:dyDescent="0.25"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43"/>
      <c r="Q1442" s="11"/>
      <c r="R1442" s="11"/>
      <c r="S1442" s="11"/>
      <c r="T1442" s="11"/>
      <c r="U1442" s="11"/>
      <c r="V1442" s="11"/>
      <c r="W1442" s="11"/>
      <c r="X1442" s="12"/>
      <c r="Y1442" s="12"/>
      <c r="Z1442" s="12"/>
      <c r="AA1442" s="44"/>
      <c r="AB1442" s="45"/>
      <c r="AC1442" s="12"/>
      <c r="AD1442" s="12"/>
      <c r="AE1442" s="12"/>
      <c r="AF1442" s="12"/>
      <c r="AG1442" s="44"/>
      <c r="AH1442" s="45"/>
      <c r="AI1442" s="12"/>
      <c r="AJ1442" s="12"/>
      <c r="AK1442" s="12"/>
      <c r="AL1442" s="12"/>
      <c r="AM1442" s="44"/>
      <c r="AN1442" s="45"/>
      <c r="AO1442" s="12"/>
      <c r="AP1442" s="12"/>
      <c r="AQ1442" s="12"/>
      <c r="AR1442" s="12"/>
      <c r="AS1442" s="44"/>
      <c r="AT1442" s="45"/>
      <c r="AU1442" s="12"/>
      <c r="AV1442" s="12"/>
      <c r="AW1442" s="12"/>
      <c r="AX1442" s="12"/>
      <c r="AY1442" s="44"/>
      <c r="AZ1442" s="45"/>
      <c r="BA1442" s="12"/>
      <c r="BB1442" s="12"/>
      <c r="BC1442" s="12"/>
      <c r="BD1442" s="12"/>
      <c r="BE1442" s="44"/>
      <c r="BF1442" s="45"/>
      <c r="BG1442" s="12"/>
      <c r="BH1442" s="12"/>
      <c r="BI1442" s="12"/>
      <c r="BJ1442" s="12"/>
      <c r="BK1442" s="44"/>
      <c r="BL1442" s="45"/>
      <c r="BM1442" s="12"/>
      <c r="BN1442" s="12"/>
      <c r="BO1442" s="12"/>
      <c r="BP1442" s="12"/>
      <c r="BQ1442" s="48"/>
      <c r="BR1442" s="49"/>
      <c r="BS1442" s="13"/>
      <c r="BT1442" s="12"/>
      <c r="BV1442" s="14"/>
      <c r="BW1442" s="50"/>
      <c r="BX1442" s="54"/>
      <c r="BY1442" s="14"/>
      <c r="BZ1442" s="14"/>
      <c r="CA1442" s="14"/>
      <c r="CB1442" s="14"/>
      <c r="CC1442" s="14"/>
      <c r="CD1442" s="14"/>
      <c r="CE1442" s="14"/>
      <c r="CF1442" s="15"/>
      <c r="CG1442" s="14"/>
      <c r="CH1442" s="14"/>
      <c r="CI1442" s="50"/>
      <c r="CJ1442" s="54"/>
      <c r="CK1442" s="14"/>
      <c r="CL1442" s="14"/>
      <c r="CM1442" s="14"/>
      <c r="CN1442" s="14"/>
      <c r="CO1442" s="14"/>
      <c r="CP1442" s="14"/>
      <c r="CQ1442" s="14"/>
      <c r="CR1442" s="14"/>
      <c r="CS1442" s="14"/>
      <c r="CT1442" s="14"/>
      <c r="CU1442" s="16"/>
      <c r="CV1442" s="14"/>
      <c r="CW1442" s="50"/>
      <c r="CX1442" s="17"/>
    </row>
    <row r="1443" spans="4:102" x14ac:dyDescent="0.25"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43"/>
      <c r="Q1443" s="11"/>
      <c r="R1443" s="11"/>
      <c r="S1443" s="11"/>
      <c r="T1443" s="11"/>
      <c r="U1443" s="11"/>
      <c r="V1443" s="11"/>
      <c r="W1443" s="11"/>
      <c r="X1443" s="12"/>
      <c r="Y1443" s="12"/>
      <c r="Z1443" s="12"/>
      <c r="AA1443" s="44"/>
      <c r="AB1443" s="45"/>
      <c r="AC1443" s="12"/>
      <c r="AD1443" s="12"/>
      <c r="AE1443" s="12"/>
      <c r="AF1443" s="12"/>
      <c r="AG1443" s="44"/>
      <c r="AH1443" s="45"/>
      <c r="AI1443" s="12"/>
      <c r="AJ1443" s="12"/>
      <c r="AK1443" s="12"/>
      <c r="AL1443" s="12"/>
      <c r="AM1443" s="44"/>
      <c r="AN1443" s="45"/>
      <c r="AO1443" s="12"/>
      <c r="AP1443" s="12"/>
      <c r="AQ1443" s="12"/>
      <c r="AR1443" s="12"/>
      <c r="AS1443" s="44"/>
      <c r="AT1443" s="45"/>
      <c r="AU1443" s="12"/>
      <c r="AV1443" s="12"/>
      <c r="AW1443" s="12"/>
      <c r="AX1443" s="12"/>
      <c r="AY1443" s="44"/>
      <c r="AZ1443" s="45"/>
      <c r="BA1443" s="12"/>
      <c r="BB1443" s="12"/>
      <c r="BC1443" s="12"/>
      <c r="BD1443" s="12"/>
      <c r="BE1443" s="44"/>
      <c r="BF1443" s="45"/>
      <c r="BG1443" s="12"/>
      <c r="BH1443" s="12"/>
      <c r="BI1443" s="12"/>
      <c r="BJ1443" s="12"/>
      <c r="BK1443" s="44"/>
      <c r="BL1443" s="45"/>
      <c r="BM1443" s="12"/>
      <c r="BN1443" s="12"/>
      <c r="BO1443" s="12"/>
      <c r="BP1443" s="12"/>
      <c r="BQ1443" s="48"/>
      <c r="BR1443" s="49"/>
      <c r="BS1443" s="13"/>
      <c r="BT1443" s="12"/>
      <c r="BV1443" s="14"/>
      <c r="BW1443" s="50"/>
      <c r="BX1443" s="54"/>
      <c r="BY1443" s="14"/>
      <c r="BZ1443" s="14"/>
      <c r="CA1443" s="14"/>
      <c r="CB1443" s="14"/>
      <c r="CC1443" s="14"/>
      <c r="CD1443" s="14"/>
      <c r="CE1443" s="14"/>
      <c r="CF1443" s="15"/>
      <c r="CG1443" s="14"/>
      <c r="CH1443" s="14"/>
      <c r="CI1443" s="50"/>
      <c r="CJ1443" s="54"/>
      <c r="CK1443" s="14"/>
      <c r="CL1443" s="14"/>
      <c r="CM1443" s="14"/>
      <c r="CN1443" s="14"/>
      <c r="CO1443" s="14"/>
      <c r="CP1443" s="14"/>
      <c r="CQ1443" s="14"/>
      <c r="CR1443" s="14"/>
      <c r="CS1443" s="14"/>
      <c r="CT1443" s="14"/>
      <c r="CU1443" s="16"/>
      <c r="CV1443" s="14"/>
      <c r="CW1443" s="50"/>
      <c r="CX1443" s="17"/>
    </row>
    <row r="1444" spans="4:102" x14ac:dyDescent="0.25"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43"/>
      <c r="Q1444" s="11"/>
      <c r="R1444" s="11"/>
      <c r="S1444" s="11"/>
      <c r="T1444" s="11"/>
      <c r="U1444" s="11"/>
      <c r="V1444" s="11"/>
      <c r="W1444" s="11"/>
      <c r="X1444" s="12"/>
      <c r="Y1444" s="12"/>
      <c r="Z1444" s="12"/>
      <c r="AA1444" s="44"/>
      <c r="AB1444" s="45"/>
      <c r="AC1444" s="12"/>
      <c r="AD1444" s="12"/>
      <c r="AE1444" s="12"/>
      <c r="AF1444" s="12"/>
      <c r="AG1444" s="44"/>
      <c r="AH1444" s="45"/>
      <c r="AI1444" s="12"/>
      <c r="AJ1444" s="12"/>
      <c r="AK1444" s="12"/>
      <c r="AL1444" s="12"/>
      <c r="AM1444" s="44"/>
      <c r="AN1444" s="45"/>
      <c r="AO1444" s="12"/>
      <c r="AP1444" s="12"/>
      <c r="AQ1444" s="12"/>
      <c r="AR1444" s="12"/>
      <c r="AS1444" s="44"/>
      <c r="AT1444" s="45"/>
      <c r="AU1444" s="12"/>
      <c r="AV1444" s="12"/>
      <c r="AW1444" s="12"/>
      <c r="AX1444" s="12"/>
      <c r="AY1444" s="44"/>
      <c r="AZ1444" s="45"/>
      <c r="BA1444" s="12"/>
      <c r="BB1444" s="12"/>
      <c r="BC1444" s="12"/>
      <c r="BD1444" s="12"/>
      <c r="BE1444" s="44"/>
      <c r="BF1444" s="45"/>
      <c r="BG1444" s="12"/>
      <c r="BH1444" s="12"/>
      <c r="BI1444" s="12"/>
      <c r="BJ1444" s="12"/>
      <c r="BK1444" s="44"/>
      <c r="BL1444" s="45"/>
      <c r="BM1444" s="12"/>
      <c r="BN1444" s="12"/>
      <c r="BO1444" s="12"/>
      <c r="BP1444" s="12"/>
      <c r="BQ1444" s="48"/>
      <c r="BR1444" s="49"/>
      <c r="BS1444" s="13"/>
      <c r="BT1444" s="12"/>
      <c r="BV1444" s="14"/>
      <c r="BW1444" s="50"/>
      <c r="BX1444" s="54"/>
      <c r="BY1444" s="14"/>
      <c r="BZ1444" s="14"/>
      <c r="CA1444" s="14"/>
      <c r="CB1444" s="14"/>
      <c r="CC1444" s="14"/>
      <c r="CD1444" s="14"/>
      <c r="CE1444" s="14"/>
      <c r="CF1444" s="15"/>
      <c r="CG1444" s="14"/>
      <c r="CH1444" s="14"/>
      <c r="CI1444" s="50"/>
      <c r="CJ1444" s="54"/>
      <c r="CK1444" s="14"/>
      <c r="CL1444" s="14"/>
      <c r="CM1444" s="14"/>
      <c r="CN1444" s="14"/>
      <c r="CO1444" s="14"/>
      <c r="CP1444" s="14"/>
      <c r="CQ1444" s="14"/>
      <c r="CR1444" s="14"/>
      <c r="CS1444" s="14"/>
      <c r="CT1444" s="14"/>
      <c r="CU1444" s="16"/>
      <c r="CV1444" s="14"/>
      <c r="CW1444" s="50"/>
      <c r="CX1444" s="17"/>
    </row>
    <row r="1445" spans="4:102" x14ac:dyDescent="0.25"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43"/>
      <c r="Q1445" s="11"/>
      <c r="R1445" s="11"/>
      <c r="S1445" s="11"/>
      <c r="T1445" s="11"/>
      <c r="U1445" s="11"/>
      <c r="V1445" s="11"/>
      <c r="W1445" s="11"/>
      <c r="X1445" s="12"/>
      <c r="Y1445" s="12"/>
      <c r="Z1445" s="12"/>
      <c r="AA1445" s="44"/>
      <c r="AB1445" s="45"/>
      <c r="AC1445" s="12"/>
      <c r="AD1445" s="12"/>
      <c r="AE1445" s="12"/>
      <c r="AF1445" s="12"/>
      <c r="AG1445" s="44"/>
      <c r="AH1445" s="45"/>
      <c r="AI1445" s="12"/>
      <c r="AJ1445" s="12"/>
      <c r="AK1445" s="12"/>
      <c r="AL1445" s="12"/>
      <c r="AM1445" s="44"/>
      <c r="AN1445" s="45"/>
      <c r="AO1445" s="12"/>
      <c r="AP1445" s="12"/>
      <c r="AQ1445" s="12"/>
      <c r="AR1445" s="12"/>
      <c r="AS1445" s="44"/>
      <c r="AT1445" s="45"/>
      <c r="AU1445" s="12"/>
      <c r="AV1445" s="12"/>
      <c r="AW1445" s="12"/>
      <c r="AX1445" s="12"/>
      <c r="AY1445" s="44"/>
      <c r="AZ1445" s="45"/>
      <c r="BA1445" s="12"/>
      <c r="BB1445" s="12"/>
      <c r="BC1445" s="12"/>
      <c r="BD1445" s="12"/>
      <c r="BE1445" s="44"/>
      <c r="BF1445" s="45"/>
      <c r="BG1445" s="12"/>
      <c r="BH1445" s="12"/>
      <c r="BI1445" s="12"/>
      <c r="BJ1445" s="12"/>
      <c r="BK1445" s="44"/>
      <c r="BL1445" s="45"/>
      <c r="BM1445" s="12"/>
      <c r="BN1445" s="12"/>
      <c r="BO1445" s="12"/>
      <c r="BP1445" s="12"/>
      <c r="BQ1445" s="48"/>
      <c r="BR1445" s="49"/>
      <c r="BS1445" s="13"/>
      <c r="BT1445" s="12"/>
      <c r="BV1445" s="14"/>
      <c r="BW1445" s="50"/>
      <c r="BX1445" s="54"/>
      <c r="BY1445" s="14"/>
      <c r="BZ1445" s="14"/>
      <c r="CA1445" s="14"/>
      <c r="CB1445" s="14"/>
      <c r="CC1445" s="14"/>
      <c r="CD1445" s="14"/>
      <c r="CE1445" s="14"/>
      <c r="CF1445" s="15"/>
      <c r="CG1445" s="14"/>
      <c r="CH1445" s="14"/>
      <c r="CI1445" s="50"/>
      <c r="CJ1445" s="54"/>
      <c r="CK1445" s="14"/>
      <c r="CL1445" s="14"/>
      <c r="CM1445" s="14"/>
      <c r="CN1445" s="14"/>
      <c r="CO1445" s="14"/>
      <c r="CP1445" s="14"/>
      <c r="CQ1445" s="14"/>
      <c r="CR1445" s="14"/>
      <c r="CS1445" s="14"/>
      <c r="CT1445" s="14"/>
      <c r="CU1445" s="16"/>
      <c r="CV1445" s="14"/>
      <c r="CW1445" s="50"/>
      <c r="CX1445" s="17"/>
    </row>
    <row r="1446" spans="4:102" x14ac:dyDescent="0.25"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43"/>
      <c r="Q1446" s="11"/>
      <c r="R1446" s="11"/>
      <c r="S1446" s="11"/>
      <c r="T1446" s="11"/>
      <c r="U1446" s="11"/>
      <c r="V1446" s="11"/>
      <c r="W1446" s="11"/>
      <c r="X1446" s="12"/>
      <c r="Y1446" s="12"/>
      <c r="Z1446" s="12"/>
      <c r="AA1446" s="44"/>
      <c r="AB1446" s="45"/>
      <c r="AC1446" s="12"/>
      <c r="AD1446" s="12"/>
      <c r="AE1446" s="12"/>
      <c r="AF1446" s="12"/>
      <c r="AG1446" s="44"/>
      <c r="AH1446" s="45"/>
      <c r="AI1446" s="12"/>
      <c r="AJ1446" s="12"/>
      <c r="AK1446" s="12"/>
      <c r="AL1446" s="12"/>
      <c r="AM1446" s="44"/>
      <c r="AN1446" s="45"/>
      <c r="AO1446" s="12"/>
      <c r="AP1446" s="12"/>
      <c r="AQ1446" s="12"/>
      <c r="AR1446" s="12"/>
      <c r="AS1446" s="44"/>
      <c r="AT1446" s="45"/>
      <c r="AU1446" s="12"/>
      <c r="AV1446" s="12"/>
      <c r="AW1446" s="12"/>
      <c r="AX1446" s="12"/>
      <c r="AY1446" s="44"/>
      <c r="AZ1446" s="45"/>
      <c r="BA1446" s="12"/>
      <c r="BB1446" s="12"/>
      <c r="BC1446" s="12"/>
      <c r="BD1446" s="12"/>
      <c r="BE1446" s="44"/>
      <c r="BF1446" s="45"/>
      <c r="BG1446" s="12"/>
      <c r="BH1446" s="12"/>
      <c r="BI1446" s="12"/>
      <c r="BJ1446" s="12"/>
      <c r="BK1446" s="44"/>
      <c r="BL1446" s="45"/>
      <c r="BM1446" s="12"/>
      <c r="BN1446" s="12"/>
      <c r="BO1446" s="12"/>
      <c r="BP1446" s="12"/>
      <c r="BQ1446" s="48"/>
      <c r="BR1446" s="49"/>
      <c r="BS1446" s="13"/>
      <c r="BT1446" s="12"/>
      <c r="BV1446" s="14"/>
      <c r="BW1446" s="50"/>
      <c r="BX1446" s="54"/>
      <c r="BY1446" s="14"/>
      <c r="BZ1446" s="14"/>
      <c r="CA1446" s="14"/>
      <c r="CB1446" s="14"/>
      <c r="CC1446" s="14"/>
      <c r="CD1446" s="14"/>
      <c r="CE1446" s="14"/>
      <c r="CF1446" s="15"/>
      <c r="CG1446" s="14"/>
      <c r="CH1446" s="14"/>
      <c r="CI1446" s="50"/>
      <c r="CJ1446" s="54"/>
      <c r="CK1446" s="14"/>
      <c r="CL1446" s="14"/>
      <c r="CM1446" s="14"/>
      <c r="CN1446" s="14"/>
      <c r="CO1446" s="14"/>
      <c r="CP1446" s="14"/>
      <c r="CQ1446" s="14"/>
      <c r="CR1446" s="14"/>
      <c r="CS1446" s="14"/>
      <c r="CT1446" s="14"/>
      <c r="CU1446" s="16"/>
      <c r="CV1446" s="14"/>
      <c r="CW1446" s="50"/>
      <c r="CX1446" s="17"/>
    </row>
    <row r="1447" spans="4:102" x14ac:dyDescent="0.25"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43"/>
      <c r="Q1447" s="11"/>
      <c r="R1447" s="11"/>
      <c r="S1447" s="11"/>
      <c r="T1447" s="11"/>
      <c r="U1447" s="11"/>
      <c r="V1447" s="11"/>
      <c r="W1447" s="11"/>
      <c r="X1447" s="12"/>
      <c r="Y1447" s="12"/>
      <c r="Z1447" s="12"/>
      <c r="AA1447" s="44"/>
      <c r="AB1447" s="45"/>
      <c r="AC1447" s="12"/>
      <c r="AD1447" s="12"/>
      <c r="AE1447" s="12"/>
      <c r="AF1447" s="12"/>
      <c r="AG1447" s="44"/>
      <c r="AH1447" s="45"/>
      <c r="AI1447" s="12"/>
      <c r="AJ1447" s="12"/>
      <c r="AK1447" s="12"/>
      <c r="AL1447" s="12"/>
      <c r="AM1447" s="44"/>
      <c r="AN1447" s="45"/>
      <c r="AO1447" s="12"/>
      <c r="AP1447" s="12"/>
      <c r="AQ1447" s="12"/>
      <c r="AR1447" s="12"/>
      <c r="AS1447" s="44"/>
      <c r="AT1447" s="45"/>
      <c r="AU1447" s="12"/>
      <c r="AV1447" s="12"/>
      <c r="AW1447" s="12"/>
      <c r="AX1447" s="12"/>
      <c r="AY1447" s="44"/>
      <c r="AZ1447" s="45"/>
      <c r="BA1447" s="12"/>
      <c r="BB1447" s="12"/>
      <c r="BC1447" s="12"/>
      <c r="BD1447" s="12"/>
      <c r="BE1447" s="44"/>
      <c r="BF1447" s="45"/>
      <c r="BG1447" s="12"/>
      <c r="BH1447" s="12"/>
      <c r="BI1447" s="12"/>
      <c r="BJ1447" s="12"/>
      <c r="BK1447" s="44"/>
      <c r="BL1447" s="45"/>
      <c r="BM1447" s="12"/>
      <c r="BN1447" s="12"/>
      <c r="BO1447" s="12"/>
      <c r="BP1447" s="12"/>
      <c r="BQ1447" s="48"/>
      <c r="BR1447" s="49"/>
      <c r="BS1447" s="13"/>
      <c r="BT1447" s="12"/>
      <c r="BV1447" s="14"/>
      <c r="BW1447" s="50"/>
      <c r="BX1447" s="54"/>
      <c r="BY1447" s="14"/>
      <c r="BZ1447" s="14"/>
      <c r="CA1447" s="14"/>
      <c r="CB1447" s="14"/>
      <c r="CC1447" s="14"/>
      <c r="CD1447" s="14"/>
      <c r="CE1447" s="14"/>
      <c r="CF1447" s="15"/>
      <c r="CG1447" s="14"/>
      <c r="CH1447" s="14"/>
      <c r="CI1447" s="50"/>
      <c r="CJ1447" s="54"/>
      <c r="CK1447" s="14"/>
      <c r="CL1447" s="14"/>
      <c r="CM1447" s="14"/>
      <c r="CN1447" s="14"/>
      <c r="CO1447" s="14"/>
      <c r="CP1447" s="14"/>
      <c r="CQ1447" s="14"/>
      <c r="CR1447" s="14"/>
      <c r="CS1447" s="14"/>
      <c r="CT1447" s="14"/>
      <c r="CU1447" s="16"/>
      <c r="CV1447" s="14"/>
      <c r="CW1447" s="50"/>
      <c r="CX1447" s="17"/>
    </row>
    <row r="1448" spans="4:102" x14ac:dyDescent="0.25"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43"/>
      <c r="Q1448" s="11"/>
      <c r="R1448" s="11"/>
      <c r="S1448" s="11"/>
      <c r="T1448" s="11"/>
      <c r="U1448" s="11"/>
      <c r="V1448" s="11"/>
      <c r="W1448" s="11"/>
      <c r="X1448" s="12"/>
      <c r="Y1448" s="12"/>
      <c r="Z1448" s="12"/>
      <c r="AA1448" s="44"/>
      <c r="AB1448" s="45"/>
      <c r="AC1448" s="12"/>
      <c r="AD1448" s="12"/>
      <c r="AE1448" s="12"/>
      <c r="AF1448" s="12"/>
      <c r="AG1448" s="44"/>
      <c r="AH1448" s="45"/>
      <c r="AI1448" s="12"/>
      <c r="AJ1448" s="12"/>
      <c r="AK1448" s="12"/>
      <c r="AL1448" s="12"/>
      <c r="AM1448" s="44"/>
      <c r="AN1448" s="45"/>
      <c r="AO1448" s="12"/>
      <c r="AP1448" s="12"/>
      <c r="AQ1448" s="12"/>
      <c r="AR1448" s="12"/>
      <c r="AS1448" s="44"/>
      <c r="AT1448" s="45"/>
      <c r="AU1448" s="12"/>
      <c r="AV1448" s="12"/>
      <c r="AW1448" s="12"/>
      <c r="AX1448" s="12"/>
      <c r="AY1448" s="44"/>
      <c r="AZ1448" s="45"/>
      <c r="BA1448" s="12"/>
      <c r="BB1448" s="12"/>
      <c r="BC1448" s="12"/>
      <c r="BD1448" s="12"/>
      <c r="BE1448" s="44"/>
      <c r="BF1448" s="45"/>
      <c r="BG1448" s="12"/>
      <c r="BH1448" s="12"/>
      <c r="BI1448" s="12"/>
      <c r="BJ1448" s="12"/>
      <c r="BK1448" s="44"/>
      <c r="BL1448" s="45"/>
      <c r="BM1448" s="12"/>
      <c r="BN1448" s="12"/>
      <c r="BO1448" s="12"/>
      <c r="BP1448" s="12"/>
      <c r="BQ1448" s="48"/>
      <c r="BR1448" s="49"/>
      <c r="BS1448" s="13"/>
      <c r="BT1448" s="12"/>
      <c r="BV1448" s="14"/>
      <c r="BW1448" s="50"/>
      <c r="BX1448" s="54"/>
      <c r="BY1448" s="14"/>
      <c r="BZ1448" s="14"/>
      <c r="CA1448" s="14"/>
      <c r="CB1448" s="14"/>
      <c r="CC1448" s="14"/>
      <c r="CD1448" s="14"/>
      <c r="CE1448" s="14"/>
      <c r="CF1448" s="15"/>
      <c r="CG1448" s="14"/>
      <c r="CH1448" s="14"/>
      <c r="CI1448" s="50"/>
      <c r="CJ1448" s="54"/>
      <c r="CK1448" s="14"/>
      <c r="CL1448" s="14"/>
      <c r="CM1448" s="14"/>
      <c r="CN1448" s="14"/>
      <c r="CO1448" s="14"/>
      <c r="CP1448" s="14"/>
      <c r="CQ1448" s="14"/>
      <c r="CR1448" s="14"/>
      <c r="CS1448" s="14"/>
      <c r="CT1448" s="14"/>
      <c r="CU1448" s="16"/>
      <c r="CV1448" s="14"/>
      <c r="CW1448" s="50"/>
      <c r="CX1448" s="17"/>
    </row>
    <row r="1449" spans="4:102" x14ac:dyDescent="0.25"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43"/>
      <c r="Q1449" s="11"/>
      <c r="R1449" s="11"/>
      <c r="S1449" s="11"/>
      <c r="T1449" s="11"/>
      <c r="U1449" s="11"/>
      <c r="V1449" s="11"/>
      <c r="W1449" s="11"/>
      <c r="X1449" s="12"/>
      <c r="Y1449" s="12"/>
      <c r="Z1449" s="12"/>
      <c r="AA1449" s="44"/>
      <c r="AB1449" s="45"/>
      <c r="AC1449" s="12"/>
      <c r="AD1449" s="12"/>
      <c r="AE1449" s="12"/>
      <c r="AF1449" s="12"/>
      <c r="AG1449" s="44"/>
      <c r="AH1449" s="45"/>
      <c r="AI1449" s="12"/>
      <c r="AJ1449" s="12"/>
      <c r="AK1449" s="12"/>
      <c r="AL1449" s="12"/>
      <c r="AM1449" s="44"/>
      <c r="AN1449" s="45"/>
      <c r="AO1449" s="12"/>
      <c r="AP1449" s="12"/>
      <c r="AQ1449" s="12"/>
      <c r="AR1449" s="12"/>
      <c r="AS1449" s="44"/>
      <c r="AT1449" s="45"/>
      <c r="AU1449" s="12"/>
      <c r="AV1449" s="12"/>
      <c r="AW1449" s="12"/>
      <c r="AX1449" s="12"/>
      <c r="AY1449" s="44"/>
      <c r="AZ1449" s="45"/>
      <c r="BA1449" s="12"/>
      <c r="BB1449" s="12"/>
      <c r="BC1449" s="12"/>
      <c r="BD1449" s="12"/>
      <c r="BE1449" s="44"/>
      <c r="BF1449" s="45"/>
      <c r="BG1449" s="12"/>
      <c r="BH1449" s="12"/>
      <c r="BI1449" s="12"/>
      <c r="BJ1449" s="12"/>
      <c r="BK1449" s="44"/>
      <c r="BL1449" s="45"/>
      <c r="BM1449" s="12"/>
      <c r="BN1449" s="12"/>
      <c r="BO1449" s="12"/>
      <c r="BP1449" s="12"/>
      <c r="BQ1449" s="48"/>
      <c r="BR1449" s="49"/>
      <c r="BS1449" s="13"/>
      <c r="BT1449" s="12"/>
      <c r="BV1449" s="14"/>
      <c r="BW1449" s="50"/>
      <c r="BX1449" s="54"/>
      <c r="BY1449" s="14"/>
      <c r="BZ1449" s="14"/>
      <c r="CA1449" s="14"/>
      <c r="CB1449" s="14"/>
      <c r="CC1449" s="14"/>
      <c r="CD1449" s="14"/>
      <c r="CE1449" s="14"/>
      <c r="CF1449" s="15"/>
      <c r="CG1449" s="14"/>
      <c r="CH1449" s="14"/>
      <c r="CI1449" s="50"/>
      <c r="CJ1449" s="54"/>
      <c r="CK1449" s="14"/>
      <c r="CL1449" s="14"/>
      <c r="CM1449" s="14"/>
      <c r="CN1449" s="14"/>
      <c r="CO1449" s="14"/>
      <c r="CP1449" s="14"/>
      <c r="CQ1449" s="14"/>
      <c r="CR1449" s="14"/>
      <c r="CS1449" s="14"/>
      <c r="CT1449" s="14"/>
      <c r="CU1449" s="16"/>
      <c r="CV1449" s="14"/>
      <c r="CW1449" s="50"/>
      <c r="CX1449" s="17"/>
    </row>
    <row r="1450" spans="4:102" x14ac:dyDescent="0.25"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43"/>
      <c r="Q1450" s="11"/>
      <c r="R1450" s="11"/>
      <c r="S1450" s="11"/>
      <c r="T1450" s="11"/>
      <c r="U1450" s="11"/>
      <c r="V1450" s="11"/>
      <c r="W1450" s="11"/>
      <c r="X1450" s="12"/>
      <c r="Y1450" s="12"/>
      <c r="Z1450" s="12"/>
      <c r="AA1450" s="44"/>
      <c r="AB1450" s="45"/>
      <c r="AC1450" s="12"/>
      <c r="AD1450" s="12"/>
      <c r="AE1450" s="12"/>
      <c r="AF1450" s="12"/>
      <c r="AG1450" s="44"/>
      <c r="AH1450" s="45"/>
      <c r="AI1450" s="12"/>
      <c r="AJ1450" s="12"/>
      <c r="AK1450" s="12"/>
      <c r="AL1450" s="12"/>
      <c r="AM1450" s="44"/>
      <c r="AN1450" s="45"/>
      <c r="AO1450" s="12"/>
      <c r="AP1450" s="12"/>
      <c r="AQ1450" s="12"/>
      <c r="AR1450" s="12"/>
      <c r="AS1450" s="44"/>
      <c r="AT1450" s="45"/>
      <c r="AU1450" s="12"/>
      <c r="AV1450" s="12"/>
      <c r="AW1450" s="12"/>
      <c r="AX1450" s="12"/>
      <c r="AY1450" s="44"/>
      <c r="AZ1450" s="45"/>
      <c r="BA1450" s="12"/>
      <c r="BB1450" s="12"/>
      <c r="BC1450" s="12"/>
      <c r="BD1450" s="12"/>
      <c r="BE1450" s="44"/>
      <c r="BF1450" s="45"/>
      <c r="BG1450" s="12"/>
      <c r="BH1450" s="12"/>
      <c r="BI1450" s="12"/>
      <c r="BJ1450" s="12"/>
      <c r="BK1450" s="44"/>
      <c r="BL1450" s="45"/>
      <c r="BM1450" s="12"/>
      <c r="BN1450" s="12"/>
      <c r="BO1450" s="12"/>
      <c r="BP1450" s="12"/>
      <c r="BQ1450" s="48"/>
      <c r="BR1450" s="49"/>
      <c r="BS1450" s="13"/>
      <c r="BT1450" s="12"/>
      <c r="BV1450" s="14"/>
      <c r="BW1450" s="50"/>
      <c r="BX1450" s="54"/>
      <c r="BY1450" s="14"/>
      <c r="BZ1450" s="14"/>
      <c r="CA1450" s="14"/>
      <c r="CB1450" s="14"/>
      <c r="CC1450" s="14"/>
      <c r="CD1450" s="14"/>
      <c r="CE1450" s="14"/>
      <c r="CF1450" s="15"/>
      <c r="CG1450" s="14"/>
      <c r="CH1450" s="14"/>
      <c r="CI1450" s="50"/>
      <c r="CJ1450" s="54"/>
      <c r="CK1450" s="14"/>
      <c r="CL1450" s="14"/>
      <c r="CM1450" s="14"/>
      <c r="CN1450" s="14"/>
      <c r="CO1450" s="14"/>
      <c r="CP1450" s="14"/>
      <c r="CQ1450" s="14"/>
      <c r="CR1450" s="14"/>
      <c r="CS1450" s="14"/>
      <c r="CT1450" s="14"/>
      <c r="CU1450" s="16"/>
      <c r="CV1450" s="14"/>
      <c r="CW1450" s="50"/>
      <c r="CX1450" s="17"/>
    </row>
    <row r="1451" spans="4:102" x14ac:dyDescent="0.25"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43"/>
      <c r="Q1451" s="11"/>
      <c r="R1451" s="11"/>
      <c r="S1451" s="11"/>
      <c r="T1451" s="11"/>
      <c r="U1451" s="11"/>
      <c r="V1451" s="11"/>
      <c r="W1451" s="11"/>
      <c r="X1451" s="12"/>
      <c r="Y1451" s="12"/>
      <c r="Z1451" s="12"/>
      <c r="AA1451" s="44"/>
      <c r="AB1451" s="45"/>
      <c r="AC1451" s="12"/>
      <c r="AD1451" s="12"/>
      <c r="AE1451" s="12"/>
      <c r="AF1451" s="12"/>
      <c r="AG1451" s="44"/>
      <c r="AH1451" s="45"/>
      <c r="AI1451" s="12"/>
      <c r="AJ1451" s="12"/>
      <c r="AK1451" s="12"/>
      <c r="AL1451" s="12"/>
      <c r="AM1451" s="44"/>
      <c r="AN1451" s="45"/>
      <c r="AO1451" s="12"/>
      <c r="AP1451" s="12"/>
      <c r="AQ1451" s="12"/>
      <c r="AR1451" s="12"/>
      <c r="AS1451" s="44"/>
      <c r="AT1451" s="45"/>
      <c r="AU1451" s="12"/>
      <c r="AV1451" s="12"/>
      <c r="AW1451" s="12"/>
      <c r="AX1451" s="12"/>
      <c r="AY1451" s="44"/>
      <c r="AZ1451" s="45"/>
      <c r="BA1451" s="12"/>
      <c r="BB1451" s="12"/>
      <c r="BC1451" s="12"/>
      <c r="BD1451" s="12"/>
      <c r="BE1451" s="44"/>
      <c r="BF1451" s="45"/>
      <c r="BG1451" s="12"/>
      <c r="BH1451" s="12"/>
      <c r="BI1451" s="12"/>
      <c r="BJ1451" s="12"/>
      <c r="BK1451" s="44"/>
      <c r="BL1451" s="45"/>
      <c r="BM1451" s="12"/>
      <c r="BN1451" s="12"/>
      <c r="BO1451" s="12"/>
      <c r="BP1451" s="12"/>
      <c r="BQ1451" s="48"/>
      <c r="BR1451" s="49"/>
      <c r="BS1451" s="13"/>
      <c r="BT1451" s="12"/>
      <c r="BV1451" s="14"/>
      <c r="BW1451" s="50"/>
      <c r="BX1451" s="54"/>
      <c r="BY1451" s="14"/>
      <c r="BZ1451" s="14"/>
      <c r="CA1451" s="14"/>
      <c r="CB1451" s="14"/>
      <c r="CC1451" s="14"/>
      <c r="CD1451" s="14"/>
      <c r="CE1451" s="14"/>
      <c r="CF1451" s="15"/>
      <c r="CG1451" s="14"/>
      <c r="CH1451" s="14"/>
      <c r="CI1451" s="50"/>
      <c r="CJ1451" s="54"/>
      <c r="CK1451" s="14"/>
      <c r="CL1451" s="14"/>
      <c r="CM1451" s="14"/>
      <c r="CN1451" s="14"/>
      <c r="CO1451" s="14"/>
      <c r="CP1451" s="14"/>
      <c r="CQ1451" s="14"/>
      <c r="CR1451" s="14"/>
      <c r="CS1451" s="14"/>
      <c r="CT1451" s="14"/>
      <c r="CU1451" s="16"/>
      <c r="CV1451" s="14"/>
      <c r="CW1451" s="50"/>
      <c r="CX1451" s="17"/>
    </row>
    <row r="1452" spans="4:102" x14ac:dyDescent="0.25"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43"/>
      <c r="Q1452" s="11"/>
      <c r="R1452" s="11"/>
      <c r="S1452" s="11"/>
      <c r="T1452" s="11"/>
      <c r="U1452" s="11"/>
      <c r="V1452" s="11"/>
      <c r="W1452" s="11"/>
      <c r="X1452" s="12"/>
      <c r="Y1452" s="12"/>
      <c r="Z1452" s="12"/>
      <c r="AA1452" s="44"/>
      <c r="AB1452" s="45"/>
      <c r="AC1452" s="12"/>
      <c r="AD1452" s="12"/>
      <c r="AE1452" s="12"/>
      <c r="AF1452" s="12"/>
      <c r="AG1452" s="44"/>
      <c r="AH1452" s="45"/>
      <c r="AI1452" s="12"/>
      <c r="AJ1452" s="12"/>
      <c r="AK1452" s="12"/>
      <c r="AL1452" s="12"/>
      <c r="AM1452" s="44"/>
      <c r="AN1452" s="45"/>
      <c r="AO1452" s="12"/>
      <c r="AP1452" s="12"/>
      <c r="AQ1452" s="12"/>
      <c r="AR1452" s="12"/>
      <c r="AS1452" s="44"/>
      <c r="AT1452" s="45"/>
      <c r="AU1452" s="12"/>
      <c r="AV1452" s="12"/>
      <c r="AW1452" s="12"/>
      <c r="AX1452" s="12"/>
      <c r="AY1452" s="44"/>
      <c r="AZ1452" s="45"/>
      <c r="BA1452" s="12"/>
      <c r="BB1452" s="12"/>
      <c r="BC1452" s="12"/>
      <c r="BD1452" s="12"/>
      <c r="BE1452" s="44"/>
      <c r="BF1452" s="45"/>
      <c r="BG1452" s="12"/>
      <c r="BH1452" s="12"/>
      <c r="BI1452" s="12"/>
      <c r="BJ1452" s="12"/>
      <c r="BK1452" s="44"/>
      <c r="BL1452" s="45"/>
      <c r="BM1452" s="12"/>
      <c r="BN1452" s="12"/>
      <c r="BO1452" s="12"/>
      <c r="BP1452" s="12"/>
      <c r="BQ1452" s="48"/>
      <c r="BR1452" s="49"/>
      <c r="BS1452" s="13"/>
      <c r="BT1452" s="12"/>
      <c r="BV1452" s="14"/>
      <c r="BW1452" s="50"/>
      <c r="BX1452" s="54"/>
      <c r="BY1452" s="14"/>
      <c r="BZ1452" s="14"/>
      <c r="CA1452" s="14"/>
      <c r="CB1452" s="14"/>
      <c r="CC1452" s="14"/>
      <c r="CD1452" s="14"/>
      <c r="CE1452" s="14"/>
      <c r="CF1452" s="15"/>
      <c r="CG1452" s="14"/>
      <c r="CH1452" s="14"/>
      <c r="CI1452" s="50"/>
      <c r="CJ1452" s="54"/>
      <c r="CK1452" s="14"/>
      <c r="CL1452" s="14"/>
      <c r="CM1452" s="14"/>
      <c r="CN1452" s="14"/>
      <c r="CO1452" s="14"/>
      <c r="CP1452" s="14"/>
      <c r="CQ1452" s="14"/>
      <c r="CR1452" s="14"/>
      <c r="CS1452" s="14"/>
      <c r="CT1452" s="14"/>
      <c r="CU1452" s="16"/>
      <c r="CV1452" s="14"/>
      <c r="CW1452" s="50"/>
      <c r="CX1452" s="17"/>
    </row>
    <row r="1453" spans="4:102" x14ac:dyDescent="0.25"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43"/>
      <c r="Q1453" s="11"/>
      <c r="R1453" s="11"/>
      <c r="S1453" s="11"/>
      <c r="T1453" s="11"/>
      <c r="U1453" s="11"/>
      <c r="V1453" s="11"/>
      <c r="W1453" s="11"/>
      <c r="X1453" s="12"/>
      <c r="Y1453" s="12"/>
      <c r="Z1453" s="12"/>
      <c r="AA1453" s="44"/>
      <c r="AB1453" s="45"/>
      <c r="AC1453" s="12"/>
      <c r="AD1453" s="12"/>
      <c r="AE1453" s="12"/>
      <c r="AF1453" s="12"/>
      <c r="AG1453" s="44"/>
      <c r="AH1453" s="45"/>
      <c r="AI1453" s="12"/>
      <c r="AJ1453" s="12"/>
      <c r="AK1453" s="12"/>
      <c r="AL1453" s="12"/>
      <c r="AM1453" s="44"/>
      <c r="AN1453" s="45"/>
      <c r="AO1453" s="12"/>
      <c r="AP1453" s="12"/>
      <c r="AQ1453" s="12"/>
      <c r="AR1453" s="12"/>
      <c r="AS1453" s="44"/>
      <c r="AT1453" s="45"/>
      <c r="AU1453" s="12"/>
      <c r="AV1453" s="12"/>
      <c r="AW1453" s="12"/>
      <c r="AX1453" s="12"/>
      <c r="AY1453" s="44"/>
      <c r="AZ1453" s="45"/>
      <c r="BA1453" s="12"/>
      <c r="BB1453" s="12"/>
      <c r="BC1453" s="12"/>
      <c r="BD1453" s="12"/>
      <c r="BE1453" s="44"/>
      <c r="BF1453" s="45"/>
      <c r="BG1453" s="12"/>
      <c r="BH1453" s="12"/>
      <c r="BI1453" s="12"/>
      <c r="BJ1453" s="12"/>
      <c r="BK1453" s="44"/>
      <c r="BL1453" s="45"/>
      <c r="BM1453" s="12"/>
      <c r="BN1453" s="12"/>
      <c r="BO1453" s="12"/>
      <c r="BP1453" s="12"/>
      <c r="BQ1453" s="48"/>
      <c r="BR1453" s="49"/>
      <c r="BS1453" s="13"/>
      <c r="BT1453" s="12"/>
      <c r="BV1453" s="14"/>
      <c r="BW1453" s="50"/>
      <c r="BX1453" s="54"/>
      <c r="BY1453" s="14"/>
      <c r="BZ1453" s="14"/>
      <c r="CA1453" s="14"/>
      <c r="CB1453" s="14"/>
      <c r="CC1453" s="14"/>
      <c r="CD1453" s="14"/>
      <c r="CE1453" s="14"/>
      <c r="CF1453" s="15"/>
      <c r="CG1453" s="14"/>
      <c r="CH1453" s="14"/>
      <c r="CI1453" s="50"/>
      <c r="CJ1453" s="54"/>
      <c r="CK1453" s="14"/>
      <c r="CL1453" s="14"/>
      <c r="CM1453" s="14"/>
      <c r="CN1453" s="14"/>
      <c r="CO1453" s="14"/>
      <c r="CP1453" s="14"/>
      <c r="CQ1453" s="14"/>
      <c r="CR1453" s="14"/>
      <c r="CS1453" s="14"/>
      <c r="CT1453" s="14"/>
      <c r="CU1453" s="16"/>
      <c r="CV1453" s="14"/>
      <c r="CW1453" s="50"/>
      <c r="CX1453" s="17"/>
    </row>
    <row r="1454" spans="4:102" x14ac:dyDescent="0.25"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43"/>
      <c r="Q1454" s="11"/>
      <c r="R1454" s="11"/>
      <c r="S1454" s="11"/>
      <c r="T1454" s="11"/>
      <c r="U1454" s="11"/>
      <c r="V1454" s="11"/>
      <c r="W1454" s="11"/>
      <c r="X1454" s="12"/>
      <c r="Y1454" s="12"/>
      <c r="Z1454" s="12"/>
      <c r="AA1454" s="44"/>
      <c r="AB1454" s="45"/>
      <c r="AC1454" s="12"/>
      <c r="AD1454" s="12"/>
      <c r="AE1454" s="12"/>
      <c r="AF1454" s="12"/>
      <c r="AG1454" s="44"/>
      <c r="AH1454" s="45"/>
      <c r="AI1454" s="12"/>
      <c r="AJ1454" s="12"/>
      <c r="AK1454" s="12"/>
      <c r="AL1454" s="12"/>
      <c r="AM1454" s="44"/>
      <c r="AN1454" s="45"/>
      <c r="AO1454" s="12"/>
      <c r="AP1454" s="12"/>
      <c r="AQ1454" s="12"/>
      <c r="AR1454" s="12"/>
      <c r="AS1454" s="44"/>
      <c r="AT1454" s="45"/>
      <c r="AU1454" s="12"/>
      <c r="AV1454" s="12"/>
      <c r="AW1454" s="12"/>
      <c r="AX1454" s="12"/>
      <c r="AY1454" s="44"/>
      <c r="AZ1454" s="45"/>
      <c r="BA1454" s="12"/>
      <c r="BB1454" s="12"/>
      <c r="BC1454" s="12"/>
      <c r="BD1454" s="12"/>
      <c r="BE1454" s="44"/>
      <c r="BF1454" s="45"/>
      <c r="BG1454" s="12"/>
      <c r="BH1454" s="12"/>
      <c r="BI1454" s="12"/>
      <c r="BJ1454" s="12"/>
      <c r="BK1454" s="44"/>
      <c r="BL1454" s="45"/>
      <c r="BM1454" s="12"/>
      <c r="BN1454" s="12"/>
      <c r="BO1454" s="12"/>
      <c r="BP1454" s="12"/>
      <c r="BQ1454" s="48"/>
      <c r="BR1454" s="49"/>
      <c r="BS1454" s="13"/>
      <c r="BT1454" s="12"/>
      <c r="BV1454" s="14"/>
      <c r="BW1454" s="50"/>
      <c r="BX1454" s="54"/>
      <c r="BY1454" s="14"/>
      <c r="BZ1454" s="14"/>
      <c r="CA1454" s="14"/>
      <c r="CB1454" s="14"/>
      <c r="CC1454" s="14"/>
      <c r="CD1454" s="14"/>
      <c r="CE1454" s="14"/>
      <c r="CF1454" s="15"/>
      <c r="CG1454" s="14"/>
      <c r="CH1454" s="14"/>
      <c r="CI1454" s="50"/>
      <c r="CJ1454" s="54"/>
      <c r="CK1454" s="14"/>
      <c r="CL1454" s="14"/>
      <c r="CM1454" s="14"/>
      <c r="CN1454" s="14"/>
      <c r="CO1454" s="14"/>
      <c r="CP1454" s="14"/>
      <c r="CQ1454" s="14"/>
      <c r="CR1454" s="14"/>
      <c r="CS1454" s="14"/>
      <c r="CT1454" s="14"/>
      <c r="CU1454" s="16"/>
      <c r="CV1454" s="14"/>
      <c r="CW1454" s="50"/>
      <c r="CX1454" s="17"/>
    </row>
    <row r="1455" spans="4:102" x14ac:dyDescent="0.25"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43"/>
      <c r="Q1455" s="11"/>
      <c r="R1455" s="11"/>
      <c r="S1455" s="11"/>
      <c r="T1455" s="11"/>
      <c r="U1455" s="11"/>
      <c r="V1455" s="11"/>
      <c r="W1455" s="11"/>
      <c r="X1455" s="12"/>
      <c r="Y1455" s="12"/>
      <c r="Z1455" s="12"/>
      <c r="AA1455" s="44"/>
      <c r="AB1455" s="45"/>
      <c r="AC1455" s="12"/>
      <c r="AD1455" s="12"/>
      <c r="AE1455" s="12"/>
      <c r="AF1455" s="12"/>
      <c r="AG1455" s="44"/>
      <c r="AH1455" s="45"/>
      <c r="AI1455" s="12"/>
      <c r="AJ1455" s="12"/>
      <c r="AK1455" s="12"/>
      <c r="AL1455" s="12"/>
      <c r="AM1455" s="44"/>
      <c r="AN1455" s="45"/>
      <c r="AO1455" s="12"/>
      <c r="AP1455" s="12"/>
      <c r="AQ1455" s="12"/>
      <c r="AR1455" s="12"/>
      <c r="AS1455" s="44"/>
      <c r="AT1455" s="45"/>
      <c r="AU1455" s="12"/>
      <c r="AV1455" s="12"/>
      <c r="AW1455" s="12"/>
      <c r="AX1455" s="12"/>
      <c r="AY1455" s="44"/>
      <c r="AZ1455" s="45"/>
      <c r="BA1455" s="12"/>
      <c r="BB1455" s="12"/>
      <c r="BC1455" s="12"/>
      <c r="BD1455" s="12"/>
      <c r="BE1455" s="44"/>
      <c r="BF1455" s="45"/>
      <c r="BG1455" s="12"/>
      <c r="BH1455" s="12"/>
      <c r="BI1455" s="12"/>
      <c r="BJ1455" s="12"/>
      <c r="BK1455" s="44"/>
      <c r="BL1455" s="45"/>
      <c r="BM1455" s="12"/>
      <c r="BN1455" s="12"/>
      <c r="BO1455" s="12"/>
      <c r="BP1455" s="12"/>
      <c r="BQ1455" s="48"/>
      <c r="BR1455" s="49"/>
      <c r="BS1455" s="13"/>
      <c r="BT1455" s="12"/>
      <c r="BV1455" s="14"/>
      <c r="BW1455" s="50"/>
      <c r="BX1455" s="54"/>
      <c r="BY1455" s="14"/>
      <c r="BZ1455" s="14"/>
      <c r="CA1455" s="14"/>
      <c r="CB1455" s="14"/>
      <c r="CC1455" s="14"/>
      <c r="CD1455" s="14"/>
      <c r="CE1455" s="14"/>
      <c r="CF1455" s="15"/>
      <c r="CG1455" s="14"/>
      <c r="CH1455" s="14"/>
      <c r="CI1455" s="50"/>
      <c r="CJ1455" s="54"/>
      <c r="CK1455" s="14"/>
      <c r="CL1455" s="14"/>
      <c r="CM1455" s="14"/>
      <c r="CN1455" s="14"/>
      <c r="CO1455" s="14"/>
      <c r="CP1455" s="14"/>
      <c r="CQ1455" s="14"/>
      <c r="CR1455" s="14"/>
      <c r="CS1455" s="14"/>
      <c r="CT1455" s="14"/>
      <c r="CU1455" s="16"/>
      <c r="CV1455" s="14"/>
      <c r="CW1455" s="50"/>
      <c r="CX1455" s="17"/>
    </row>
    <row r="1456" spans="4:102" x14ac:dyDescent="0.25"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43"/>
      <c r="Q1456" s="11"/>
      <c r="R1456" s="11"/>
      <c r="S1456" s="11"/>
      <c r="T1456" s="11"/>
      <c r="U1456" s="11"/>
      <c r="V1456" s="11"/>
      <c r="W1456" s="11"/>
      <c r="X1456" s="12"/>
      <c r="Y1456" s="12"/>
      <c r="Z1456" s="12"/>
      <c r="AA1456" s="44"/>
      <c r="AB1456" s="45"/>
      <c r="AC1456" s="12"/>
      <c r="AD1456" s="12"/>
      <c r="AE1456" s="12"/>
      <c r="AF1456" s="12"/>
      <c r="AG1456" s="44"/>
      <c r="AH1456" s="45"/>
      <c r="AI1456" s="12"/>
      <c r="AJ1456" s="12"/>
      <c r="AK1456" s="12"/>
      <c r="AL1456" s="12"/>
      <c r="AM1456" s="44"/>
      <c r="AN1456" s="45"/>
      <c r="AO1456" s="12"/>
      <c r="AP1456" s="12"/>
      <c r="AQ1456" s="12"/>
      <c r="AR1456" s="12"/>
      <c r="AS1456" s="44"/>
      <c r="AT1456" s="45"/>
      <c r="AU1456" s="12"/>
      <c r="AV1456" s="12"/>
      <c r="AW1456" s="12"/>
      <c r="AX1456" s="12"/>
      <c r="AY1456" s="44"/>
      <c r="AZ1456" s="45"/>
      <c r="BA1456" s="12"/>
      <c r="BB1456" s="12"/>
      <c r="BC1456" s="12"/>
      <c r="BD1456" s="12"/>
      <c r="BE1456" s="44"/>
      <c r="BF1456" s="45"/>
      <c r="BG1456" s="12"/>
      <c r="BH1456" s="12"/>
      <c r="BI1456" s="12"/>
      <c r="BJ1456" s="12"/>
      <c r="BK1456" s="44"/>
      <c r="BL1456" s="45"/>
      <c r="BM1456" s="12"/>
      <c r="BN1456" s="12"/>
      <c r="BO1456" s="12"/>
      <c r="BP1456" s="12"/>
      <c r="BQ1456" s="48"/>
      <c r="BR1456" s="49"/>
      <c r="BS1456" s="13"/>
      <c r="BT1456" s="12"/>
      <c r="BV1456" s="14"/>
      <c r="BW1456" s="50"/>
      <c r="BX1456" s="54"/>
      <c r="BY1456" s="14"/>
      <c r="BZ1456" s="14"/>
      <c r="CA1456" s="14"/>
      <c r="CB1456" s="14"/>
      <c r="CC1456" s="14"/>
      <c r="CD1456" s="14"/>
      <c r="CE1456" s="14"/>
      <c r="CF1456" s="15"/>
      <c r="CG1456" s="14"/>
      <c r="CH1456" s="14"/>
      <c r="CI1456" s="50"/>
      <c r="CJ1456" s="54"/>
      <c r="CK1456" s="14"/>
      <c r="CL1456" s="14"/>
      <c r="CM1456" s="14"/>
      <c r="CN1456" s="14"/>
      <c r="CO1456" s="14"/>
      <c r="CP1456" s="14"/>
      <c r="CQ1456" s="14"/>
      <c r="CR1456" s="14"/>
      <c r="CS1456" s="14"/>
      <c r="CT1456" s="14"/>
      <c r="CU1456" s="16"/>
      <c r="CV1456" s="14"/>
      <c r="CW1456" s="50"/>
      <c r="CX1456" s="17"/>
    </row>
    <row r="1457" spans="4:102" x14ac:dyDescent="0.25"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43"/>
      <c r="Q1457" s="11"/>
      <c r="R1457" s="11"/>
      <c r="S1457" s="11"/>
      <c r="T1457" s="11"/>
      <c r="U1457" s="11"/>
      <c r="V1457" s="11"/>
      <c r="W1457" s="11"/>
      <c r="X1457" s="12"/>
      <c r="Y1457" s="12"/>
      <c r="Z1457" s="12"/>
      <c r="AA1457" s="44"/>
      <c r="AB1457" s="45"/>
      <c r="AC1457" s="12"/>
      <c r="AD1457" s="12"/>
      <c r="AE1457" s="12"/>
      <c r="AF1457" s="12"/>
      <c r="AG1457" s="44"/>
      <c r="AH1457" s="45"/>
      <c r="AI1457" s="12"/>
      <c r="AJ1457" s="12"/>
      <c r="AK1457" s="12"/>
      <c r="AL1457" s="12"/>
      <c r="AM1457" s="44"/>
      <c r="AN1457" s="45"/>
      <c r="AO1457" s="12"/>
      <c r="AP1457" s="12"/>
      <c r="AQ1457" s="12"/>
      <c r="AR1457" s="12"/>
      <c r="AS1457" s="44"/>
      <c r="AT1457" s="45"/>
      <c r="AU1457" s="12"/>
      <c r="AV1457" s="12"/>
      <c r="AW1457" s="12"/>
      <c r="AX1457" s="12"/>
      <c r="AY1457" s="44"/>
      <c r="AZ1457" s="45"/>
      <c r="BA1457" s="12"/>
      <c r="BB1457" s="12"/>
      <c r="BC1457" s="12"/>
      <c r="BD1457" s="12"/>
      <c r="BE1457" s="44"/>
      <c r="BF1457" s="45"/>
      <c r="BG1457" s="12"/>
      <c r="BH1457" s="12"/>
      <c r="BI1457" s="12"/>
      <c r="BJ1457" s="12"/>
      <c r="BK1457" s="44"/>
      <c r="BL1457" s="45"/>
      <c r="BM1457" s="12"/>
      <c r="BN1457" s="12"/>
      <c r="BO1457" s="12"/>
      <c r="BP1457" s="12"/>
      <c r="BQ1457" s="48"/>
      <c r="BR1457" s="49"/>
      <c r="BS1457" s="13"/>
      <c r="BT1457" s="12"/>
      <c r="BV1457" s="14"/>
      <c r="BW1457" s="50"/>
      <c r="BX1457" s="54"/>
      <c r="BY1457" s="14"/>
      <c r="BZ1457" s="14"/>
      <c r="CA1457" s="14"/>
      <c r="CB1457" s="14"/>
      <c r="CC1457" s="14"/>
      <c r="CD1457" s="14"/>
      <c r="CE1457" s="14"/>
      <c r="CF1457" s="15"/>
      <c r="CG1457" s="14"/>
      <c r="CH1457" s="14"/>
      <c r="CI1457" s="50"/>
      <c r="CJ1457" s="54"/>
      <c r="CK1457" s="14"/>
      <c r="CL1457" s="14"/>
      <c r="CM1457" s="14"/>
      <c r="CN1457" s="14"/>
      <c r="CO1457" s="14"/>
      <c r="CP1457" s="14"/>
      <c r="CQ1457" s="14"/>
      <c r="CR1457" s="14"/>
      <c r="CS1457" s="14"/>
      <c r="CT1457" s="14"/>
      <c r="CU1457" s="16"/>
      <c r="CV1457" s="14"/>
      <c r="CW1457" s="50"/>
      <c r="CX1457" s="17"/>
    </row>
    <row r="1458" spans="4:102" x14ac:dyDescent="0.25"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43"/>
      <c r="Q1458" s="11"/>
      <c r="R1458" s="11"/>
      <c r="S1458" s="11"/>
      <c r="T1458" s="11"/>
      <c r="U1458" s="11"/>
      <c r="V1458" s="11"/>
      <c r="W1458" s="11"/>
      <c r="X1458" s="12"/>
      <c r="Y1458" s="12"/>
      <c r="Z1458" s="12"/>
      <c r="AA1458" s="44"/>
      <c r="AB1458" s="45"/>
      <c r="AC1458" s="12"/>
      <c r="AD1458" s="12"/>
      <c r="AE1458" s="12"/>
      <c r="AF1458" s="12"/>
      <c r="AG1458" s="44"/>
      <c r="AH1458" s="45"/>
      <c r="AI1458" s="12"/>
      <c r="AJ1458" s="12"/>
      <c r="AK1458" s="12"/>
      <c r="AL1458" s="12"/>
      <c r="AM1458" s="44"/>
      <c r="AN1458" s="45"/>
      <c r="AO1458" s="12"/>
      <c r="AP1458" s="12"/>
      <c r="AQ1458" s="12"/>
      <c r="AR1458" s="12"/>
      <c r="AS1458" s="44"/>
      <c r="AT1458" s="45"/>
      <c r="AU1458" s="12"/>
      <c r="AV1458" s="12"/>
      <c r="AW1458" s="12"/>
      <c r="AX1458" s="12"/>
      <c r="AY1458" s="44"/>
      <c r="AZ1458" s="45"/>
      <c r="BA1458" s="12"/>
      <c r="BB1458" s="12"/>
      <c r="BC1458" s="12"/>
      <c r="BD1458" s="12"/>
      <c r="BE1458" s="44"/>
      <c r="BF1458" s="45"/>
      <c r="BG1458" s="12"/>
      <c r="BH1458" s="12"/>
      <c r="BI1458" s="12"/>
      <c r="BJ1458" s="12"/>
      <c r="BK1458" s="44"/>
      <c r="BL1458" s="45"/>
      <c r="BM1458" s="12"/>
      <c r="BN1458" s="12"/>
      <c r="BO1458" s="12"/>
      <c r="BP1458" s="12"/>
      <c r="BQ1458" s="48"/>
      <c r="BR1458" s="49"/>
      <c r="BS1458" s="13"/>
      <c r="BT1458" s="12"/>
      <c r="BV1458" s="14"/>
      <c r="BW1458" s="50"/>
      <c r="BX1458" s="54"/>
      <c r="BY1458" s="14"/>
      <c r="BZ1458" s="14"/>
      <c r="CA1458" s="14"/>
      <c r="CB1458" s="14"/>
      <c r="CC1458" s="14"/>
      <c r="CD1458" s="14"/>
      <c r="CE1458" s="14"/>
      <c r="CF1458" s="15"/>
      <c r="CG1458" s="14"/>
      <c r="CH1458" s="14"/>
      <c r="CI1458" s="50"/>
      <c r="CJ1458" s="54"/>
      <c r="CK1458" s="14"/>
      <c r="CL1458" s="14"/>
      <c r="CM1458" s="14"/>
      <c r="CN1458" s="14"/>
      <c r="CO1458" s="14"/>
      <c r="CP1458" s="14"/>
      <c r="CQ1458" s="14"/>
      <c r="CR1458" s="14"/>
      <c r="CS1458" s="14"/>
      <c r="CT1458" s="14"/>
      <c r="CU1458" s="16"/>
      <c r="CV1458" s="14"/>
      <c r="CW1458" s="50"/>
      <c r="CX1458" s="17"/>
    </row>
    <row r="1459" spans="4:102" x14ac:dyDescent="0.25"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43"/>
      <c r="Q1459" s="11"/>
      <c r="R1459" s="11"/>
      <c r="S1459" s="11"/>
      <c r="T1459" s="11"/>
      <c r="U1459" s="11"/>
      <c r="V1459" s="11"/>
      <c r="W1459" s="11"/>
      <c r="X1459" s="12"/>
      <c r="Y1459" s="12"/>
      <c r="Z1459" s="12"/>
      <c r="AA1459" s="44"/>
      <c r="AB1459" s="45"/>
      <c r="AC1459" s="12"/>
      <c r="AD1459" s="12"/>
      <c r="AE1459" s="12"/>
      <c r="AF1459" s="12"/>
      <c r="AG1459" s="44"/>
      <c r="AH1459" s="45"/>
      <c r="AI1459" s="12"/>
      <c r="AJ1459" s="12"/>
      <c r="AK1459" s="12"/>
      <c r="AL1459" s="12"/>
      <c r="AM1459" s="44"/>
      <c r="AN1459" s="45"/>
      <c r="AO1459" s="12"/>
      <c r="AP1459" s="12"/>
      <c r="AQ1459" s="12"/>
      <c r="AR1459" s="12"/>
      <c r="AS1459" s="44"/>
      <c r="AT1459" s="45"/>
      <c r="AU1459" s="12"/>
      <c r="AV1459" s="12"/>
      <c r="AW1459" s="12"/>
      <c r="AX1459" s="12"/>
      <c r="AY1459" s="44"/>
      <c r="AZ1459" s="45"/>
      <c r="BA1459" s="12"/>
      <c r="BB1459" s="12"/>
      <c r="BC1459" s="12"/>
      <c r="BD1459" s="12"/>
      <c r="BE1459" s="44"/>
      <c r="BF1459" s="45"/>
      <c r="BG1459" s="12"/>
      <c r="BH1459" s="12"/>
      <c r="BI1459" s="12"/>
      <c r="BJ1459" s="12"/>
      <c r="BK1459" s="44"/>
      <c r="BL1459" s="45"/>
      <c r="BM1459" s="12"/>
      <c r="BN1459" s="12"/>
      <c r="BO1459" s="12"/>
      <c r="BP1459" s="12"/>
      <c r="BQ1459" s="48"/>
      <c r="BR1459" s="49"/>
      <c r="BS1459" s="13"/>
      <c r="BT1459" s="12"/>
      <c r="BV1459" s="14"/>
      <c r="BW1459" s="50"/>
      <c r="BX1459" s="54"/>
      <c r="BY1459" s="14"/>
      <c r="BZ1459" s="14"/>
      <c r="CA1459" s="14"/>
      <c r="CB1459" s="14"/>
      <c r="CC1459" s="14"/>
      <c r="CD1459" s="14"/>
      <c r="CE1459" s="14"/>
      <c r="CF1459" s="15"/>
      <c r="CG1459" s="14"/>
      <c r="CH1459" s="14"/>
      <c r="CI1459" s="50"/>
      <c r="CJ1459" s="54"/>
      <c r="CK1459" s="14"/>
      <c r="CL1459" s="14"/>
      <c r="CM1459" s="14"/>
      <c r="CN1459" s="14"/>
      <c r="CO1459" s="14"/>
      <c r="CP1459" s="14"/>
      <c r="CQ1459" s="14"/>
      <c r="CR1459" s="14"/>
      <c r="CS1459" s="14"/>
      <c r="CT1459" s="14"/>
      <c r="CU1459" s="16"/>
      <c r="CV1459" s="14"/>
      <c r="CW1459" s="50"/>
      <c r="CX1459" s="17"/>
    </row>
    <row r="1460" spans="4:102" x14ac:dyDescent="0.25"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43"/>
      <c r="Q1460" s="11"/>
      <c r="R1460" s="11"/>
      <c r="S1460" s="11"/>
      <c r="T1460" s="11"/>
      <c r="U1460" s="11"/>
      <c r="V1460" s="11"/>
      <c r="W1460" s="11"/>
      <c r="X1460" s="12"/>
      <c r="Y1460" s="12"/>
      <c r="Z1460" s="12"/>
      <c r="AA1460" s="44"/>
      <c r="AB1460" s="45"/>
      <c r="AC1460" s="12"/>
      <c r="AD1460" s="12"/>
      <c r="AE1460" s="12"/>
      <c r="AF1460" s="12"/>
      <c r="AG1460" s="44"/>
      <c r="AH1460" s="45"/>
      <c r="AI1460" s="12"/>
      <c r="AJ1460" s="12"/>
      <c r="AK1460" s="12"/>
      <c r="AL1460" s="12"/>
      <c r="AM1460" s="44"/>
      <c r="AN1460" s="45"/>
      <c r="AO1460" s="12"/>
      <c r="AP1460" s="12"/>
      <c r="AQ1460" s="12"/>
      <c r="AR1460" s="12"/>
      <c r="AS1460" s="44"/>
      <c r="AT1460" s="45"/>
      <c r="AU1460" s="12"/>
      <c r="AV1460" s="12"/>
      <c r="AW1460" s="12"/>
      <c r="AX1460" s="12"/>
      <c r="AY1460" s="44"/>
      <c r="AZ1460" s="45"/>
      <c r="BA1460" s="12"/>
      <c r="BB1460" s="12"/>
      <c r="BC1460" s="12"/>
      <c r="BD1460" s="12"/>
      <c r="BE1460" s="44"/>
      <c r="BF1460" s="45"/>
      <c r="BG1460" s="12"/>
      <c r="BH1460" s="12"/>
      <c r="BI1460" s="12"/>
      <c r="BJ1460" s="12"/>
      <c r="BK1460" s="44"/>
      <c r="BL1460" s="45"/>
      <c r="BM1460" s="12"/>
      <c r="BN1460" s="12"/>
      <c r="BO1460" s="12"/>
      <c r="BP1460" s="12"/>
      <c r="BQ1460" s="48"/>
      <c r="BR1460" s="49"/>
      <c r="BS1460" s="13"/>
      <c r="BT1460" s="12"/>
      <c r="BV1460" s="14"/>
      <c r="BW1460" s="50"/>
      <c r="BX1460" s="54"/>
      <c r="BY1460" s="14"/>
      <c r="BZ1460" s="14"/>
      <c r="CA1460" s="14"/>
      <c r="CB1460" s="14"/>
      <c r="CC1460" s="14"/>
      <c r="CD1460" s="14"/>
      <c r="CE1460" s="14"/>
      <c r="CF1460" s="15"/>
      <c r="CG1460" s="14"/>
      <c r="CH1460" s="14"/>
      <c r="CI1460" s="50"/>
      <c r="CJ1460" s="54"/>
      <c r="CK1460" s="14"/>
      <c r="CL1460" s="14"/>
      <c r="CM1460" s="14"/>
      <c r="CN1460" s="14"/>
      <c r="CO1460" s="14"/>
      <c r="CP1460" s="14"/>
      <c r="CQ1460" s="14"/>
      <c r="CR1460" s="14"/>
      <c r="CS1460" s="14"/>
      <c r="CT1460" s="14"/>
      <c r="CU1460" s="16"/>
      <c r="CV1460" s="14"/>
      <c r="CW1460" s="50"/>
      <c r="CX1460" s="17"/>
    </row>
    <row r="1461" spans="4:102" x14ac:dyDescent="0.25"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43"/>
      <c r="Q1461" s="11"/>
      <c r="R1461" s="11"/>
      <c r="S1461" s="11"/>
      <c r="T1461" s="11"/>
      <c r="U1461" s="11"/>
      <c r="V1461" s="11"/>
      <c r="W1461" s="11"/>
      <c r="X1461" s="12"/>
      <c r="Y1461" s="12"/>
      <c r="Z1461" s="12"/>
      <c r="AA1461" s="44"/>
      <c r="AB1461" s="45"/>
      <c r="AC1461" s="12"/>
      <c r="AD1461" s="12"/>
      <c r="AE1461" s="12"/>
      <c r="AF1461" s="12"/>
      <c r="AG1461" s="44"/>
      <c r="AH1461" s="45"/>
      <c r="AI1461" s="12"/>
      <c r="AJ1461" s="12"/>
      <c r="AK1461" s="12"/>
      <c r="AL1461" s="12"/>
      <c r="AM1461" s="44"/>
      <c r="AN1461" s="45"/>
      <c r="AO1461" s="12"/>
      <c r="AP1461" s="12"/>
      <c r="AQ1461" s="12"/>
      <c r="AR1461" s="12"/>
      <c r="AS1461" s="44"/>
      <c r="AT1461" s="45"/>
      <c r="AU1461" s="12"/>
      <c r="AV1461" s="12"/>
      <c r="AW1461" s="12"/>
      <c r="AX1461" s="12"/>
      <c r="AY1461" s="44"/>
      <c r="AZ1461" s="45"/>
      <c r="BA1461" s="12"/>
      <c r="BB1461" s="12"/>
      <c r="BC1461" s="12"/>
      <c r="BD1461" s="12"/>
      <c r="BE1461" s="44"/>
      <c r="BF1461" s="45"/>
      <c r="BG1461" s="12"/>
      <c r="BH1461" s="12"/>
      <c r="BI1461" s="12"/>
      <c r="BJ1461" s="12"/>
      <c r="BK1461" s="44"/>
      <c r="BL1461" s="45"/>
      <c r="BM1461" s="12"/>
      <c r="BN1461" s="12"/>
      <c r="BO1461" s="12"/>
      <c r="BP1461" s="12"/>
      <c r="BQ1461" s="48"/>
      <c r="BR1461" s="49"/>
      <c r="BS1461" s="13"/>
      <c r="BT1461" s="12"/>
      <c r="BV1461" s="14"/>
      <c r="BW1461" s="50"/>
      <c r="BX1461" s="54"/>
      <c r="BY1461" s="14"/>
      <c r="BZ1461" s="14"/>
      <c r="CA1461" s="14"/>
      <c r="CB1461" s="14"/>
      <c r="CC1461" s="14"/>
      <c r="CD1461" s="14"/>
      <c r="CE1461" s="14"/>
      <c r="CF1461" s="15"/>
      <c r="CG1461" s="14"/>
      <c r="CH1461" s="14"/>
      <c r="CI1461" s="50"/>
      <c r="CJ1461" s="54"/>
      <c r="CK1461" s="14"/>
      <c r="CL1461" s="14"/>
      <c r="CM1461" s="14"/>
      <c r="CN1461" s="14"/>
      <c r="CO1461" s="14"/>
      <c r="CP1461" s="14"/>
      <c r="CQ1461" s="14"/>
      <c r="CR1461" s="14"/>
      <c r="CS1461" s="14"/>
      <c r="CT1461" s="14"/>
      <c r="CU1461" s="16"/>
      <c r="CV1461" s="14"/>
      <c r="CW1461" s="50"/>
      <c r="CX1461" s="17"/>
    </row>
    <row r="1462" spans="4:102" x14ac:dyDescent="0.25"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43"/>
      <c r="Q1462" s="11"/>
      <c r="R1462" s="11"/>
      <c r="S1462" s="11"/>
      <c r="T1462" s="11"/>
      <c r="U1462" s="11"/>
      <c r="V1462" s="11"/>
      <c r="W1462" s="11"/>
      <c r="X1462" s="12"/>
      <c r="Y1462" s="12"/>
      <c r="Z1462" s="12"/>
      <c r="AA1462" s="44"/>
      <c r="AB1462" s="45"/>
      <c r="AC1462" s="12"/>
      <c r="AD1462" s="12"/>
      <c r="AE1462" s="12"/>
      <c r="AF1462" s="12"/>
      <c r="AG1462" s="44"/>
      <c r="AH1462" s="45"/>
      <c r="AI1462" s="12"/>
      <c r="AJ1462" s="12"/>
      <c r="AK1462" s="12"/>
      <c r="AL1462" s="12"/>
      <c r="AM1462" s="44"/>
      <c r="AN1462" s="45"/>
      <c r="AO1462" s="12"/>
      <c r="AP1462" s="12"/>
      <c r="AQ1462" s="12"/>
      <c r="AR1462" s="12"/>
      <c r="AS1462" s="44"/>
      <c r="AT1462" s="45"/>
      <c r="AU1462" s="12"/>
      <c r="AV1462" s="12"/>
      <c r="AW1462" s="12"/>
      <c r="AX1462" s="12"/>
      <c r="AY1462" s="44"/>
      <c r="AZ1462" s="45"/>
      <c r="BA1462" s="12"/>
      <c r="BB1462" s="12"/>
      <c r="BC1462" s="12"/>
      <c r="BD1462" s="12"/>
      <c r="BE1462" s="44"/>
      <c r="BF1462" s="45"/>
      <c r="BG1462" s="12"/>
      <c r="BH1462" s="12"/>
      <c r="BI1462" s="12"/>
      <c r="BJ1462" s="12"/>
      <c r="BK1462" s="44"/>
      <c r="BL1462" s="45"/>
      <c r="BM1462" s="12"/>
      <c r="BN1462" s="12"/>
      <c r="BO1462" s="12"/>
      <c r="BP1462" s="12"/>
      <c r="BQ1462" s="48"/>
      <c r="BR1462" s="49"/>
      <c r="BS1462" s="13"/>
      <c r="BT1462" s="12"/>
      <c r="BV1462" s="14"/>
      <c r="BW1462" s="50"/>
      <c r="BX1462" s="54"/>
      <c r="BY1462" s="14"/>
      <c r="BZ1462" s="14"/>
      <c r="CA1462" s="14"/>
      <c r="CB1462" s="14"/>
      <c r="CC1462" s="14"/>
      <c r="CD1462" s="14"/>
      <c r="CE1462" s="14"/>
      <c r="CF1462" s="15"/>
      <c r="CG1462" s="14"/>
      <c r="CH1462" s="14"/>
      <c r="CI1462" s="50"/>
      <c r="CJ1462" s="54"/>
      <c r="CK1462" s="14"/>
      <c r="CL1462" s="14"/>
      <c r="CM1462" s="14"/>
      <c r="CN1462" s="14"/>
      <c r="CO1462" s="14"/>
      <c r="CP1462" s="14"/>
      <c r="CQ1462" s="14"/>
      <c r="CR1462" s="14"/>
      <c r="CS1462" s="14"/>
      <c r="CT1462" s="14"/>
      <c r="CU1462" s="16"/>
      <c r="CV1462" s="14"/>
      <c r="CW1462" s="50"/>
      <c r="CX1462" s="17"/>
    </row>
    <row r="1463" spans="4:102" x14ac:dyDescent="0.25"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43"/>
      <c r="Q1463" s="11"/>
      <c r="R1463" s="11"/>
      <c r="S1463" s="11"/>
      <c r="T1463" s="11"/>
      <c r="U1463" s="11"/>
      <c r="V1463" s="11"/>
      <c r="W1463" s="11"/>
      <c r="X1463" s="12"/>
      <c r="Y1463" s="12"/>
      <c r="Z1463" s="12"/>
      <c r="AA1463" s="44"/>
      <c r="AB1463" s="45"/>
      <c r="AC1463" s="12"/>
      <c r="AD1463" s="12"/>
      <c r="AE1463" s="12"/>
      <c r="AF1463" s="12"/>
      <c r="AG1463" s="44"/>
      <c r="AH1463" s="45"/>
      <c r="AI1463" s="12"/>
      <c r="AJ1463" s="12"/>
      <c r="AK1463" s="12"/>
      <c r="AL1463" s="12"/>
      <c r="AM1463" s="44"/>
      <c r="AN1463" s="45"/>
      <c r="AO1463" s="12"/>
      <c r="AP1463" s="12"/>
      <c r="AQ1463" s="12"/>
      <c r="AR1463" s="12"/>
      <c r="AS1463" s="44"/>
      <c r="AT1463" s="45"/>
      <c r="AU1463" s="12"/>
      <c r="AV1463" s="12"/>
      <c r="AW1463" s="12"/>
      <c r="AX1463" s="12"/>
      <c r="AY1463" s="44"/>
      <c r="AZ1463" s="45"/>
      <c r="BA1463" s="12"/>
      <c r="BB1463" s="12"/>
      <c r="BC1463" s="12"/>
      <c r="BD1463" s="12"/>
      <c r="BE1463" s="44"/>
      <c r="BF1463" s="45"/>
      <c r="BG1463" s="12"/>
      <c r="BH1463" s="12"/>
      <c r="BI1463" s="12"/>
      <c r="BJ1463" s="12"/>
      <c r="BK1463" s="44"/>
      <c r="BL1463" s="45"/>
      <c r="BM1463" s="12"/>
      <c r="BN1463" s="12"/>
      <c r="BO1463" s="12"/>
      <c r="BP1463" s="12"/>
      <c r="BQ1463" s="48"/>
      <c r="BR1463" s="49"/>
      <c r="BS1463" s="13"/>
      <c r="BT1463" s="12"/>
      <c r="BV1463" s="14"/>
      <c r="BW1463" s="50"/>
      <c r="BX1463" s="54"/>
      <c r="BY1463" s="14"/>
      <c r="BZ1463" s="14"/>
      <c r="CA1463" s="14"/>
      <c r="CB1463" s="14"/>
      <c r="CC1463" s="14"/>
      <c r="CD1463" s="14"/>
      <c r="CE1463" s="14"/>
      <c r="CF1463" s="15"/>
      <c r="CG1463" s="14"/>
      <c r="CH1463" s="14"/>
      <c r="CI1463" s="50"/>
      <c r="CJ1463" s="54"/>
      <c r="CK1463" s="14"/>
      <c r="CL1463" s="14"/>
      <c r="CM1463" s="14"/>
      <c r="CN1463" s="14"/>
      <c r="CO1463" s="14"/>
      <c r="CP1463" s="14"/>
      <c r="CQ1463" s="14"/>
      <c r="CR1463" s="14"/>
      <c r="CS1463" s="14"/>
      <c r="CT1463" s="14"/>
      <c r="CU1463" s="16"/>
      <c r="CV1463" s="14"/>
      <c r="CW1463" s="50"/>
      <c r="CX1463" s="17"/>
    </row>
    <row r="1464" spans="4:102" x14ac:dyDescent="0.25"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43"/>
      <c r="Q1464" s="11"/>
      <c r="R1464" s="11"/>
      <c r="S1464" s="11"/>
      <c r="T1464" s="11"/>
      <c r="U1464" s="11"/>
      <c r="V1464" s="11"/>
      <c r="W1464" s="11"/>
      <c r="X1464" s="12"/>
      <c r="Y1464" s="12"/>
      <c r="Z1464" s="12"/>
      <c r="AA1464" s="44"/>
      <c r="AB1464" s="45"/>
      <c r="AC1464" s="12"/>
      <c r="AD1464" s="12"/>
      <c r="AE1464" s="12"/>
      <c r="AF1464" s="12"/>
      <c r="AG1464" s="44"/>
      <c r="AH1464" s="45"/>
      <c r="AI1464" s="12"/>
      <c r="AJ1464" s="12"/>
      <c r="AK1464" s="12"/>
      <c r="AL1464" s="12"/>
      <c r="AM1464" s="44"/>
      <c r="AN1464" s="45"/>
      <c r="AO1464" s="12"/>
      <c r="AP1464" s="12"/>
      <c r="AQ1464" s="12"/>
      <c r="AR1464" s="12"/>
      <c r="AS1464" s="44"/>
      <c r="AT1464" s="45"/>
      <c r="AU1464" s="12"/>
      <c r="AV1464" s="12"/>
      <c r="AW1464" s="12"/>
      <c r="AX1464" s="12"/>
      <c r="AY1464" s="44"/>
      <c r="AZ1464" s="45"/>
      <c r="BA1464" s="12"/>
      <c r="BB1464" s="12"/>
      <c r="BC1464" s="12"/>
      <c r="BD1464" s="12"/>
      <c r="BE1464" s="44"/>
      <c r="BF1464" s="45"/>
      <c r="BG1464" s="12"/>
      <c r="BH1464" s="12"/>
      <c r="BI1464" s="12"/>
      <c r="BJ1464" s="12"/>
      <c r="BK1464" s="44"/>
      <c r="BL1464" s="45"/>
      <c r="BM1464" s="12"/>
      <c r="BN1464" s="12"/>
      <c r="BO1464" s="12"/>
      <c r="BP1464" s="12"/>
      <c r="BQ1464" s="48"/>
      <c r="BR1464" s="49"/>
      <c r="BS1464" s="13"/>
      <c r="BT1464" s="12"/>
      <c r="BV1464" s="14"/>
      <c r="BW1464" s="50"/>
      <c r="BX1464" s="54"/>
      <c r="BY1464" s="14"/>
      <c r="BZ1464" s="14"/>
      <c r="CA1464" s="14"/>
      <c r="CB1464" s="14"/>
      <c r="CC1464" s="14"/>
      <c r="CD1464" s="14"/>
      <c r="CE1464" s="14"/>
      <c r="CF1464" s="15"/>
      <c r="CG1464" s="14"/>
      <c r="CH1464" s="14"/>
      <c r="CI1464" s="50"/>
      <c r="CJ1464" s="54"/>
      <c r="CK1464" s="14"/>
      <c r="CL1464" s="14"/>
      <c r="CM1464" s="14"/>
      <c r="CN1464" s="14"/>
      <c r="CO1464" s="14"/>
      <c r="CP1464" s="14"/>
      <c r="CQ1464" s="14"/>
      <c r="CR1464" s="14"/>
      <c r="CS1464" s="14"/>
      <c r="CT1464" s="14"/>
      <c r="CU1464" s="16"/>
      <c r="CV1464" s="14"/>
      <c r="CW1464" s="50"/>
      <c r="CX1464" s="17"/>
    </row>
    <row r="1465" spans="4:102" x14ac:dyDescent="0.25"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43"/>
      <c r="Q1465" s="11"/>
      <c r="R1465" s="11"/>
      <c r="S1465" s="11"/>
      <c r="T1465" s="11"/>
      <c r="U1465" s="11"/>
      <c r="V1465" s="11"/>
      <c r="W1465" s="11"/>
      <c r="X1465" s="12"/>
      <c r="Y1465" s="12"/>
      <c r="Z1465" s="12"/>
      <c r="AA1465" s="44"/>
      <c r="AB1465" s="45"/>
      <c r="AC1465" s="12"/>
      <c r="AD1465" s="12"/>
      <c r="AE1465" s="12"/>
      <c r="AF1465" s="12"/>
      <c r="AG1465" s="44"/>
      <c r="AH1465" s="45"/>
      <c r="AI1465" s="12"/>
      <c r="AJ1465" s="12"/>
      <c r="AK1465" s="12"/>
      <c r="AL1465" s="12"/>
      <c r="AM1465" s="44"/>
      <c r="AN1465" s="45"/>
      <c r="AO1465" s="12"/>
      <c r="AP1465" s="12"/>
      <c r="AQ1465" s="12"/>
      <c r="AR1465" s="12"/>
      <c r="AS1465" s="44"/>
      <c r="AT1465" s="45"/>
      <c r="AU1465" s="12"/>
      <c r="AV1465" s="12"/>
      <c r="AW1465" s="12"/>
      <c r="AX1465" s="12"/>
      <c r="AY1465" s="44"/>
      <c r="AZ1465" s="45"/>
      <c r="BA1465" s="12"/>
      <c r="BB1465" s="12"/>
      <c r="BC1465" s="12"/>
      <c r="BD1465" s="12"/>
      <c r="BE1465" s="44"/>
      <c r="BF1465" s="45"/>
      <c r="BG1465" s="12"/>
      <c r="BH1465" s="12"/>
      <c r="BI1465" s="12"/>
      <c r="BJ1465" s="12"/>
      <c r="BK1465" s="44"/>
      <c r="BL1465" s="45"/>
      <c r="BM1465" s="12"/>
      <c r="BN1465" s="12"/>
      <c r="BO1465" s="12"/>
      <c r="BP1465" s="12"/>
      <c r="BQ1465" s="48"/>
      <c r="BR1465" s="49"/>
      <c r="BS1465" s="13"/>
      <c r="BT1465" s="12"/>
      <c r="BV1465" s="14"/>
      <c r="BW1465" s="50"/>
      <c r="BX1465" s="54"/>
      <c r="BY1465" s="14"/>
      <c r="BZ1465" s="14"/>
      <c r="CA1465" s="14"/>
      <c r="CB1465" s="14"/>
      <c r="CC1465" s="14"/>
      <c r="CD1465" s="14"/>
      <c r="CE1465" s="14"/>
      <c r="CF1465" s="15"/>
      <c r="CG1465" s="14"/>
      <c r="CH1465" s="14"/>
      <c r="CI1465" s="50"/>
      <c r="CJ1465" s="54"/>
      <c r="CK1465" s="14"/>
      <c r="CL1465" s="14"/>
      <c r="CM1465" s="14"/>
      <c r="CN1465" s="14"/>
      <c r="CO1465" s="14"/>
      <c r="CP1465" s="14"/>
      <c r="CQ1465" s="14"/>
      <c r="CR1465" s="14"/>
      <c r="CS1465" s="14"/>
      <c r="CT1465" s="14"/>
      <c r="CU1465" s="16"/>
      <c r="CV1465" s="14"/>
      <c r="CW1465" s="50"/>
      <c r="CX1465" s="17"/>
    </row>
    <row r="1466" spans="4:102" x14ac:dyDescent="0.25"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43"/>
      <c r="Q1466" s="11"/>
      <c r="R1466" s="11"/>
      <c r="S1466" s="11"/>
      <c r="T1466" s="11"/>
      <c r="U1466" s="11"/>
      <c r="V1466" s="11"/>
      <c r="W1466" s="11"/>
      <c r="X1466" s="12"/>
      <c r="Y1466" s="12"/>
      <c r="Z1466" s="12"/>
      <c r="AA1466" s="44"/>
      <c r="AB1466" s="45"/>
      <c r="AC1466" s="12"/>
      <c r="AD1466" s="12"/>
      <c r="AE1466" s="12"/>
      <c r="AF1466" s="12"/>
      <c r="AG1466" s="44"/>
      <c r="AH1466" s="45"/>
      <c r="AI1466" s="12"/>
      <c r="AJ1466" s="12"/>
      <c r="AK1466" s="12"/>
      <c r="AL1466" s="12"/>
      <c r="AM1466" s="44"/>
      <c r="AN1466" s="45"/>
      <c r="AO1466" s="12"/>
      <c r="AP1466" s="12"/>
      <c r="AQ1466" s="12"/>
      <c r="AR1466" s="12"/>
      <c r="AS1466" s="44"/>
      <c r="AT1466" s="45"/>
      <c r="AU1466" s="12"/>
      <c r="AV1466" s="12"/>
      <c r="AW1466" s="12"/>
      <c r="AX1466" s="12"/>
      <c r="AY1466" s="44"/>
      <c r="AZ1466" s="45"/>
      <c r="BA1466" s="12"/>
      <c r="BB1466" s="12"/>
      <c r="BC1466" s="12"/>
      <c r="BD1466" s="12"/>
      <c r="BE1466" s="44"/>
      <c r="BF1466" s="45"/>
      <c r="BG1466" s="12"/>
      <c r="BH1466" s="12"/>
      <c r="BI1466" s="12"/>
      <c r="BJ1466" s="12"/>
      <c r="BK1466" s="44"/>
      <c r="BL1466" s="45"/>
      <c r="BM1466" s="12"/>
      <c r="BN1466" s="12"/>
      <c r="BO1466" s="12"/>
      <c r="BP1466" s="12"/>
      <c r="BQ1466" s="48"/>
      <c r="BR1466" s="49"/>
      <c r="BS1466" s="13"/>
      <c r="BT1466" s="12"/>
      <c r="BV1466" s="14"/>
      <c r="BW1466" s="50"/>
      <c r="BX1466" s="54"/>
      <c r="BY1466" s="14"/>
      <c r="BZ1466" s="14"/>
      <c r="CA1466" s="14"/>
      <c r="CB1466" s="14"/>
      <c r="CC1466" s="14"/>
      <c r="CD1466" s="14"/>
      <c r="CE1466" s="14"/>
      <c r="CF1466" s="15"/>
      <c r="CG1466" s="14"/>
      <c r="CH1466" s="14"/>
      <c r="CI1466" s="50"/>
      <c r="CJ1466" s="54"/>
      <c r="CK1466" s="14"/>
      <c r="CL1466" s="14"/>
      <c r="CM1466" s="14"/>
      <c r="CN1466" s="14"/>
      <c r="CO1466" s="14"/>
      <c r="CP1466" s="14"/>
      <c r="CQ1466" s="14"/>
      <c r="CR1466" s="14"/>
      <c r="CS1466" s="14"/>
      <c r="CT1466" s="14"/>
      <c r="CU1466" s="16"/>
      <c r="CV1466" s="14"/>
      <c r="CW1466" s="50"/>
      <c r="CX1466" s="17"/>
    </row>
    <row r="1467" spans="4:102" x14ac:dyDescent="0.25"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43"/>
      <c r="Q1467" s="11"/>
      <c r="R1467" s="11"/>
      <c r="S1467" s="11"/>
      <c r="T1467" s="11"/>
      <c r="U1467" s="11"/>
      <c r="V1467" s="11"/>
      <c r="W1467" s="11"/>
      <c r="X1467" s="12"/>
      <c r="Y1467" s="12"/>
      <c r="Z1467" s="12"/>
      <c r="AA1467" s="44"/>
      <c r="AB1467" s="45"/>
      <c r="AC1467" s="12"/>
      <c r="AD1467" s="12"/>
      <c r="AE1467" s="12"/>
      <c r="AF1467" s="12"/>
      <c r="AG1467" s="44"/>
      <c r="AH1467" s="45"/>
      <c r="AI1467" s="12"/>
      <c r="AJ1467" s="12"/>
      <c r="AK1467" s="12"/>
      <c r="AL1467" s="12"/>
      <c r="AM1467" s="44"/>
      <c r="AN1467" s="45"/>
      <c r="AO1467" s="12"/>
      <c r="AP1467" s="12"/>
      <c r="AQ1467" s="12"/>
      <c r="AR1467" s="12"/>
      <c r="AS1467" s="44"/>
      <c r="AT1467" s="45"/>
      <c r="AU1467" s="12"/>
      <c r="AV1467" s="12"/>
      <c r="AW1467" s="12"/>
      <c r="AX1467" s="12"/>
      <c r="AY1467" s="44"/>
      <c r="AZ1467" s="45"/>
      <c r="BA1467" s="12"/>
      <c r="BB1467" s="12"/>
      <c r="BC1467" s="12"/>
      <c r="BD1467" s="12"/>
      <c r="BE1467" s="44"/>
      <c r="BF1467" s="45"/>
      <c r="BG1467" s="12"/>
      <c r="BH1467" s="12"/>
      <c r="BI1467" s="12"/>
      <c r="BJ1467" s="12"/>
      <c r="BK1467" s="44"/>
      <c r="BL1467" s="45"/>
      <c r="BM1467" s="12"/>
      <c r="BN1467" s="12"/>
      <c r="BO1467" s="12"/>
      <c r="BP1467" s="12"/>
      <c r="BQ1467" s="48"/>
      <c r="BR1467" s="49"/>
      <c r="BS1467" s="13"/>
      <c r="BT1467" s="12"/>
      <c r="BV1467" s="14"/>
      <c r="BW1467" s="50"/>
      <c r="BX1467" s="54"/>
      <c r="BY1467" s="14"/>
      <c r="BZ1467" s="14"/>
      <c r="CA1467" s="14"/>
      <c r="CB1467" s="14"/>
      <c r="CC1467" s="14"/>
      <c r="CD1467" s="14"/>
      <c r="CE1467" s="14"/>
      <c r="CF1467" s="15"/>
      <c r="CG1467" s="14"/>
      <c r="CH1467" s="14"/>
      <c r="CI1467" s="50"/>
      <c r="CJ1467" s="54"/>
      <c r="CK1467" s="14"/>
      <c r="CL1467" s="14"/>
      <c r="CM1467" s="14"/>
      <c r="CN1467" s="14"/>
      <c r="CO1467" s="14"/>
      <c r="CP1467" s="14"/>
      <c r="CQ1467" s="14"/>
      <c r="CR1467" s="14"/>
      <c r="CS1467" s="14"/>
      <c r="CT1467" s="14"/>
      <c r="CU1467" s="16"/>
      <c r="CV1467" s="14"/>
      <c r="CW1467" s="50"/>
      <c r="CX1467" s="17"/>
    </row>
    <row r="1468" spans="4:102" x14ac:dyDescent="0.25"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43"/>
      <c r="Q1468" s="11"/>
      <c r="R1468" s="11"/>
      <c r="S1468" s="11"/>
      <c r="T1468" s="11"/>
      <c r="U1468" s="11"/>
      <c r="V1468" s="11"/>
      <c r="W1468" s="11"/>
      <c r="X1468" s="12"/>
      <c r="Y1468" s="12"/>
      <c r="Z1468" s="12"/>
      <c r="AA1468" s="44"/>
      <c r="AB1468" s="45"/>
      <c r="AC1468" s="12"/>
      <c r="AD1468" s="12"/>
      <c r="AE1468" s="12"/>
      <c r="AF1468" s="12"/>
      <c r="AG1468" s="44"/>
      <c r="AH1468" s="45"/>
      <c r="AI1468" s="12"/>
      <c r="AJ1468" s="12"/>
      <c r="AK1468" s="12"/>
      <c r="AL1468" s="12"/>
      <c r="AM1468" s="44"/>
      <c r="AN1468" s="45"/>
      <c r="AO1468" s="12"/>
      <c r="AP1468" s="12"/>
      <c r="AQ1468" s="12"/>
      <c r="AR1468" s="12"/>
      <c r="AS1468" s="44"/>
      <c r="AT1468" s="45"/>
      <c r="AU1468" s="12"/>
      <c r="AV1468" s="12"/>
      <c r="AW1468" s="12"/>
      <c r="AX1468" s="12"/>
      <c r="AY1468" s="44"/>
      <c r="AZ1468" s="45"/>
      <c r="BA1468" s="12"/>
      <c r="BB1468" s="12"/>
      <c r="BC1468" s="12"/>
      <c r="BD1468" s="12"/>
      <c r="BE1468" s="44"/>
      <c r="BF1468" s="45"/>
      <c r="BG1468" s="12"/>
      <c r="BH1468" s="12"/>
      <c r="BI1468" s="12"/>
      <c r="BJ1468" s="12"/>
      <c r="BK1468" s="44"/>
      <c r="BL1468" s="45"/>
      <c r="BM1468" s="12"/>
      <c r="BN1468" s="12"/>
      <c r="BO1468" s="12"/>
      <c r="BP1468" s="12"/>
      <c r="BQ1468" s="48"/>
      <c r="BR1468" s="49"/>
      <c r="BS1468" s="13"/>
      <c r="BT1468" s="12"/>
      <c r="BV1468" s="14"/>
      <c r="BW1468" s="50"/>
      <c r="BX1468" s="54"/>
      <c r="BY1468" s="14"/>
      <c r="BZ1468" s="14"/>
      <c r="CA1468" s="14"/>
      <c r="CB1468" s="14"/>
      <c r="CC1468" s="14"/>
      <c r="CD1468" s="14"/>
      <c r="CE1468" s="14"/>
      <c r="CF1468" s="15"/>
      <c r="CG1468" s="14"/>
      <c r="CH1468" s="14"/>
      <c r="CI1468" s="50"/>
      <c r="CJ1468" s="54"/>
      <c r="CK1468" s="14"/>
      <c r="CL1468" s="14"/>
      <c r="CM1468" s="14"/>
      <c r="CN1468" s="14"/>
      <c r="CO1468" s="14"/>
      <c r="CP1468" s="14"/>
      <c r="CQ1468" s="14"/>
      <c r="CR1468" s="14"/>
      <c r="CS1468" s="14"/>
      <c r="CT1468" s="14"/>
      <c r="CU1468" s="16"/>
      <c r="CV1468" s="14"/>
      <c r="CW1468" s="50"/>
      <c r="CX1468" s="17"/>
    </row>
    <row r="1469" spans="4:102" x14ac:dyDescent="0.25"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43"/>
      <c r="Q1469" s="11"/>
      <c r="R1469" s="11"/>
      <c r="S1469" s="11"/>
      <c r="T1469" s="11"/>
      <c r="U1469" s="11"/>
      <c r="V1469" s="11"/>
      <c r="W1469" s="11"/>
      <c r="X1469" s="12"/>
      <c r="Y1469" s="12"/>
      <c r="Z1469" s="12"/>
      <c r="AA1469" s="44"/>
      <c r="AB1469" s="45"/>
      <c r="AC1469" s="12"/>
      <c r="AD1469" s="12"/>
      <c r="AE1469" s="12"/>
      <c r="AF1469" s="12"/>
      <c r="AG1469" s="44"/>
      <c r="AH1469" s="45"/>
      <c r="AI1469" s="12"/>
      <c r="AJ1469" s="12"/>
      <c r="AK1469" s="12"/>
      <c r="AL1469" s="12"/>
      <c r="AM1469" s="44"/>
      <c r="AN1469" s="45"/>
      <c r="AO1469" s="12"/>
      <c r="AP1469" s="12"/>
      <c r="AQ1469" s="12"/>
      <c r="AR1469" s="12"/>
      <c r="AS1469" s="44"/>
      <c r="AT1469" s="45"/>
      <c r="AU1469" s="12"/>
      <c r="AV1469" s="12"/>
      <c r="AW1469" s="12"/>
      <c r="AX1469" s="12"/>
      <c r="AY1469" s="44"/>
      <c r="AZ1469" s="45"/>
      <c r="BA1469" s="12"/>
      <c r="BB1469" s="12"/>
      <c r="BC1469" s="12"/>
      <c r="BD1469" s="12"/>
      <c r="BE1469" s="44"/>
      <c r="BF1469" s="45"/>
      <c r="BG1469" s="12"/>
      <c r="BH1469" s="12"/>
      <c r="BI1469" s="12"/>
      <c r="BJ1469" s="12"/>
      <c r="BK1469" s="44"/>
      <c r="BL1469" s="45"/>
      <c r="BM1469" s="12"/>
      <c r="BN1469" s="12"/>
      <c r="BO1469" s="12"/>
      <c r="BP1469" s="12"/>
      <c r="BQ1469" s="48"/>
      <c r="BR1469" s="49"/>
      <c r="BS1469" s="13"/>
      <c r="BT1469" s="12"/>
      <c r="BV1469" s="14"/>
      <c r="BW1469" s="50"/>
      <c r="BX1469" s="54"/>
      <c r="BY1469" s="14"/>
      <c r="BZ1469" s="14"/>
      <c r="CA1469" s="14"/>
      <c r="CB1469" s="14"/>
      <c r="CC1469" s="14"/>
      <c r="CD1469" s="14"/>
      <c r="CE1469" s="14"/>
      <c r="CF1469" s="15"/>
      <c r="CG1469" s="14"/>
      <c r="CH1469" s="14"/>
      <c r="CI1469" s="50"/>
      <c r="CJ1469" s="54"/>
      <c r="CK1469" s="14"/>
      <c r="CL1469" s="14"/>
      <c r="CM1469" s="14"/>
      <c r="CN1469" s="14"/>
      <c r="CO1469" s="14"/>
      <c r="CP1469" s="14"/>
      <c r="CQ1469" s="14"/>
      <c r="CR1469" s="14"/>
      <c r="CS1469" s="14"/>
      <c r="CT1469" s="14"/>
      <c r="CU1469" s="16"/>
      <c r="CV1469" s="14"/>
      <c r="CW1469" s="50"/>
      <c r="CX1469" s="17"/>
    </row>
    <row r="1470" spans="4:102" x14ac:dyDescent="0.25"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43"/>
      <c r="Q1470" s="11"/>
      <c r="R1470" s="11"/>
      <c r="S1470" s="11"/>
      <c r="T1470" s="11"/>
      <c r="U1470" s="11"/>
      <c r="V1470" s="11"/>
      <c r="W1470" s="11"/>
      <c r="X1470" s="12"/>
      <c r="Y1470" s="12"/>
      <c r="Z1470" s="12"/>
      <c r="AA1470" s="44"/>
      <c r="AB1470" s="45"/>
      <c r="AC1470" s="12"/>
      <c r="AD1470" s="12"/>
      <c r="AE1470" s="12"/>
      <c r="AF1470" s="12"/>
      <c r="AG1470" s="44"/>
      <c r="AH1470" s="45"/>
      <c r="AI1470" s="12"/>
      <c r="AJ1470" s="12"/>
      <c r="AK1470" s="12"/>
      <c r="AL1470" s="12"/>
      <c r="AM1470" s="44"/>
      <c r="AN1470" s="45"/>
      <c r="AO1470" s="12"/>
      <c r="AP1470" s="12"/>
      <c r="AQ1470" s="12"/>
      <c r="AR1470" s="12"/>
      <c r="AS1470" s="44"/>
      <c r="AT1470" s="45"/>
      <c r="AU1470" s="12"/>
      <c r="AV1470" s="12"/>
      <c r="AW1470" s="12"/>
      <c r="AX1470" s="12"/>
      <c r="AY1470" s="44"/>
      <c r="AZ1470" s="45"/>
      <c r="BA1470" s="12"/>
      <c r="BB1470" s="12"/>
      <c r="BC1470" s="12"/>
      <c r="BD1470" s="12"/>
      <c r="BE1470" s="44"/>
      <c r="BF1470" s="45"/>
      <c r="BG1470" s="12"/>
      <c r="BH1470" s="12"/>
      <c r="BI1470" s="12"/>
      <c r="BJ1470" s="12"/>
      <c r="BK1470" s="44"/>
      <c r="BL1470" s="45"/>
      <c r="BM1470" s="12"/>
      <c r="BN1470" s="12"/>
      <c r="BO1470" s="12"/>
      <c r="BP1470" s="12"/>
      <c r="BQ1470" s="48"/>
      <c r="BR1470" s="49"/>
      <c r="BS1470" s="13"/>
      <c r="BT1470" s="12"/>
      <c r="BV1470" s="14"/>
      <c r="BW1470" s="50"/>
      <c r="BX1470" s="54"/>
      <c r="BY1470" s="14"/>
      <c r="BZ1470" s="14"/>
      <c r="CA1470" s="14"/>
      <c r="CB1470" s="14"/>
      <c r="CC1470" s="14"/>
      <c r="CD1470" s="14"/>
      <c r="CE1470" s="14"/>
      <c r="CF1470" s="15"/>
      <c r="CG1470" s="14"/>
      <c r="CH1470" s="14"/>
      <c r="CI1470" s="50"/>
      <c r="CJ1470" s="54"/>
      <c r="CK1470" s="14"/>
      <c r="CL1470" s="14"/>
      <c r="CM1470" s="14"/>
      <c r="CN1470" s="14"/>
      <c r="CO1470" s="14"/>
      <c r="CP1470" s="14"/>
      <c r="CQ1470" s="14"/>
      <c r="CR1470" s="14"/>
      <c r="CS1470" s="14"/>
      <c r="CT1470" s="14"/>
      <c r="CU1470" s="16"/>
      <c r="CV1470" s="14"/>
      <c r="CW1470" s="50"/>
      <c r="CX1470" s="17"/>
    </row>
    <row r="1471" spans="4:102" x14ac:dyDescent="0.25"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43"/>
      <c r="Q1471" s="11"/>
      <c r="R1471" s="11"/>
      <c r="S1471" s="11"/>
      <c r="T1471" s="11"/>
      <c r="U1471" s="11"/>
      <c r="V1471" s="11"/>
      <c r="W1471" s="11"/>
      <c r="X1471" s="12"/>
      <c r="Y1471" s="12"/>
      <c r="Z1471" s="12"/>
      <c r="AA1471" s="44"/>
      <c r="AB1471" s="45"/>
      <c r="AC1471" s="12"/>
      <c r="AD1471" s="12"/>
      <c r="AE1471" s="12"/>
      <c r="AF1471" s="12"/>
      <c r="AG1471" s="44"/>
      <c r="AH1471" s="45"/>
      <c r="AI1471" s="12"/>
      <c r="AJ1471" s="12"/>
      <c r="AK1471" s="12"/>
      <c r="AL1471" s="12"/>
      <c r="AM1471" s="44"/>
      <c r="AN1471" s="45"/>
      <c r="AO1471" s="12"/>
      <c r="AP1471" s="12"/>
      <c r="AQ1471" s="12"/>
      <c r="AR1471" s="12"/>
      <c r="AS1471" s="44"/>
      <c r="AT1471" s="45"/>
      <c r="AU1471" s="12"/>
      <c r="AV1471" s="12"/>
      <c r="AW1471" s="12"/>
      <c r="AX1471" s="12"/>
      <c r="AY1471" s="44"/>
      <c r="AZ1471" s="45"/>
      <c r="BA1471" s="12"/>
      <c r="BB1471" s="12"/>
      <c r="BC1471" s="12"/>
      <c r="BD1471" s="12"/>
      <c r="BE1471" s="44"/>
      <c r="BF1471" s="45"/>
      <c r="BG1471" s="12"/>
      <c r="BH1471" s="12"/>
      <c r="BI1471" s="12"/>
      <c r="BJ1471" s="12"/>
      <c r="BK1471" s="44"/>
      <c r="BL1471" s="45"/>
      <c r="BM1471" s="12"/>
      <c r="BN1471" s="12"/>
      <c r="BO1471" s="12"/>
      <c r="BP1471" s="12"/>
      <c r="BQ1471" s="48"/>
      <c r="BR1471" s="49"/>
      <c r="BS1471" s="13"/>
      <c r="BT1471" s="12"/>
      <c r="BV1471" s="14"/>
      <c r="BW1471" s="50"/>
      <c r="BX1471" s="54"/>
      <c r="BY1471" s="14"/>
      <c r="BZ1471" s="14"/>
      <c r="CA1471" s="14"/>
      <c r="CB1471" s="14"/>
      <c r="CC1471" s="14"/>
      <c r="CD1471" s="14"/>
      <c r="CE1471" s="14"/>
      <c r="CF1471" s="15"/>
      <c r="CG1471" s="14"/>
      <c r="CH1471" s="14"/>
      <c r="CI1471" s="50"/>
      <c r="CJ1471" s="54"/>
      <c r="CK1471" s="14"/>
      <c r="CL1471" s="14"/>
      <c r="CM1471" s="14"/>
      <c r="CN1471" s="14"/>
      <c r="CO1471" s="14"/>
      <c r="CP1471" s="14"/>
      <c r="CQ1471" s="14"/>
      <c r="CR1471" s="14"/>
      <c r="CS1471" s="14"/>
      <c r="CT1471" s="14"/>
      <c r="CU1471" s="16"/>
      <c r="CV1471" s="14"/>
      <c r="CW1471" s="50"/>
      <c r="CX1471" s="17"/>
    </row>
    <row r="1472" spans="4:102" x14ac:dyDescent="0.25"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43"/>
      <c r="Q1472" s="11"/>
      <c r="R1472" s="11"/>
      <c r="S1472" s="11"/>
      <c r="T1472" s="11"/>
      <c r="U1472" s="11"/>
      <c r="V1472" s="11"/>
      <c r="W1472" s="11"/>
      <c r="X1472" s="12"/>
      <c r="Y1472" s="12"/>
      <c r="Z1472" s="12"/>
      <c r="AA1472" s="44"/>
      <c r="AB1472" s="45"/>
      <c r="AC1472" s="12"/>
      <c r="AD1472" s="12"/>
      <c r="AE1472" s="12"/>
      <c r="AF1472" s="12"/>
      <c r="AG1472" s="44"/>
      <c r="AH1472" s="45"/>
      <c r="AI1472" s="12"/>
      <c r="AJ1472" s="12"/>
      <c r="AK1472" s="12"/>
      <c r="AL1472" s="12"/>
      <c r="AM1472" s="44"/>
      <c r="AN1472" s="45"/>
      <c r="AO1472" s="12"/>
      <c r="AP1472" s="12"/>
      <c r="AQ1472" s="12"/>
      <c r="AR1472" s="12"/>
      <c r="AS1472" s="44"/>
      <c r="AT1472" s="45"/>
      <c r="AU1472" s="12"/>
      <c r="AV1472" s="12"/>
      <c r="AW1472" s="12"/>
      <c r="AX1472" s="12"/>
      <c r="AY1472" s="44"/>
      <c r="AZ1472" s="45"/>
      <c r="BA1472" s="12"/>
      <c r="BB1472" s="12"/>
      <c r="BC1472" s="12"/>
      <c r="BD1472" s="12"/>
      <c r="BE1472" s="44"/>
      <c r="BF1472" s="45"/>
      <c r="BG1472" s="12"/>
      <c r="BH1472" s="12"/>
      <c r="BI1472" s="12"/>
      <c r="BJ1472" s="12"/>
      <c r="BK1472" s="44"/>
      <c r="BL1472" s="45"/>
      <c r="BM1472" s="12"/>
      <c r="BN1472" s="12"/>
      <c r="BO1472" s="12"/>
      <c r="BP1472" s="12"/>
      <c r="BQ1472" s="48"/>
      <c r="BR1472" s="49"/>
      <c r="BS1472" s="13"/>
      <c r="BT1472" s="12"/>
      <c r="BV1472" s="14"/>
      <c r="BW1472" s="50"/>
      <c r="BX1472" s="54"/>
      <c r="BY1472" s="14"/>
      <c r="BZ1472" s="14"/>
      <c r="CA1472" s="14"/>
      <c r="CB1472" s="14"/>
      <c r="CC1472" s="14"/>
      <c r="CD1472" s="14"/>
      <c r="CE1472" s="14"/>
      <c r="CF1472" s="15"/>
      <c r="CG1472" s="14"/>
      <c r="CH1472" s="14"/>
      <c r="CI1472" s="50"/>
      <c r="CJ1472" s="54"/>
      <c r="CK1472" s="14"/>
      <c r="CL1472" s="14"/>
      <c r="CM1472" s="14"/>
      <c r="CN1472" s="14"/>
      <c r="CO1472" s="14"/>
      <c r="CP1472" s="14"/>
      <c r="CQ1472" s="14"/>
      <c r="CR1472" s="14"/>
      <c r="CS1472" s="14"/>
      <c r="CT1472" s="14"/>
      <c r="CU1472" s="16"/>
      <c r="CV1472" s="14"/>
      <c r="CW1472" s="50"/>
      <c r="CX1472" s="17"/>
    </row>
    <row r="1473" spans="4:102" x14ac:dyDescent="0.25"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43"/>
      <c r="Q1473" s="11"/>
      <c r="R1473" s="11"/>
      <c r="S1473" s="11"/>
      <c r="T1473" s="11"/>
      <c r="U1473" s="11"/>
      <c r="V1473" s="11"/>
      <c r="W1473" s="11"/>
      <c r="X1473" s="12"/>
      <c r="Y1473" s="12"/>
      <c r="Z1473" s="12"/>
      <c r="AA1473" s="44"/>
      <c r="AB1473" s="45"/>
      <c r="AC1473" s="12"/>
      <c r="AD1473" s="12"/>
      <c r="AE1473" s="12"/>
      <c r="AF1473" s="12"/>
      <c r="AG1473" s="44"/>
      <c r="AH1473" s="45"/>
      <c r="AI1473" s="12"/>
      <c r="AJ1473" s="12"/>
      <c r="AK1473" s="12"/>
      <c r="AL1473" s="12"/>
      <c r="AM1473" s="44"/>
      <c r="AN1473" s="45"/>
      <c r="AO1473" s="12"/>
      <c r="AP1473" s="12"/>
      <c r="AQ1473" s="12"/>
      <c r="AR1473" s="12"/>
      <c r="AS1473" s="44"/>
      <c r="AT1473" s="45"/>
      <c r="AU1473" s="12"/>
      <c r="AV1473" s="12"/>
      <c r="AW1473" s="12"/>
      <c r="AX1473" s="12"/>
      <c r="AY1473" s="44"/>
      <c r="AZ1473" s="45"/>
      <c r="BA1473" s="12"/>
      <c r="BB1473" s="12"/>
      <c r="BC1473" s="12"/>
      <c r="BD1473" s="12"/>
      <c r="BE1473" s="44"/>
      <c r="BF1473" s="45"/>
      <c r="BG1473" s="12"/>
      <c r="BH1473" s="12"/>
      <c r="BI1473" s="12"/>
      <c r="BJ1473" s="12"/>
      <c r="BK1473" s="44"/>
      <c r="BL1473" s="45"/>
      <c r="BM1473" s="12"/>
      <c r="BN1473" s="12"/>
      <c r="BO1473" s="12"/>
      <c r="BP1473" s="12"/>
      <c r="BQ1473" s="48"/>
      <c r="BR1473" s="49"/>
      <c r="BS1473" s="13"/>
      <c r="BT1473" s="12"/>
      <c r="BV1473" s="14"/>
      <c r="BW1473" s="50"/>
      <c r="BX1473" s="54"/>
      <c r="BY1473" s="14"/>
      <c r="BZ1473" s="14"/>
      <c r="CA1473" s="14"/>
      <c r="CB1473" s="14"/>
      <c r="CC1473" s="14"/>
      <c r="CD1473" s="14"/>
      <c r="CE1473" s="14"/>
      <c r="CF1473" s="15"/>
      <c r="CG1473" s="14"/>
      <c r="CH1473" s="14"/>
      <c r="CI1473" s="50"/>
      <c r="CJ1473" s="54"/>
      <c r="CK1473" s="14"/>
      <c r="CL1473" s="14"/>
      <c r="CM1473" s="14"/>
      <c r="CN1473" s="14"/>
      <c r="CO1473" s="14"/>
      <c r="CP1473" s="14"/>
      <c r="CQ1473" s="14"/>
      <c r="CR1473" s="14"/>
      <c r="CS1473" s="14"/>
      <c r="CT1473" s="14"/>
      <c r="CU1473" s="16"/>
      <c r="CV1473" s="14"/>
      <c r="CW1473" s="50"/>
      <c r="CX1473" s="17"/>
    </row>
    <row r="1474" spans="4:102" x14ac:dyDescent="0.25"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43"/>
      <c r="Q1474" s="11"/>
      <c r="R1474" s="11"/>
      <c r="S1474" s="11"/>
      <c r="T1474" s="11"/>
      <c r="U1474" s="11"/>
      <c r="V1474" s="11"/>
      <c r="W1474" s="11"/>
      <c r="X1474" s="12"/>
      <c r="Y1474" s="12"/>
      <c r="Z1474" s="12"/>
      <c r="AA1474" s="44"/>
      <c r="AB1474" s="45"/>
      <c r="AC1474" s="12"/>
      <c r="AD1474" s="12"/>
      <c r="AE1474" s="12"/>
      <c r="AF1474" s="12"/>
      <c r="AG1474" s="44"/>
      <c r="AH1474" s="45"/>
      <c r="AI1474" s="12"/>
      <c r="AJ1474" s="12"/>
      <c r="AK1474" s="12"/>
      <c r="AL1474" s="12"/>
      <c r="AM1474" s="44"/>
      <c r="AN1474" s="45"/>
      <c r="AO1474" s="12"/>
      <c r="AP1474" s="12"/>
      <c r="AQ1474" s="12"/>
      <c r="AR1474" s="12"/>
      <c r="AS1474" s="44"/>
      <c r="AT1474" s="45"/>
      <c r="AU1474" s="12"/>
      <c r="AV1474" s="12"/>
      <c r="AW1474" s="12"/>
      <c r="AX1474" s="12"/>
      <c r="AY1474" s="44"/>
      <c r="AZ1474" s="45"/>
      <c r="BA1474" s="12"/>
      <c r="BB1474" s="12"/>
      <c r="BC1474" s="12"/>
      <c r="BD1474" s="12"/>
      <c r="BE1474" s="44"/>
      <c r="BF1474" s="45"/>
      <c r="BG1474" s="12"/>
      <c r="BH1474" s="12"/>
      <c r="BI1474" s="12"/>
      <c r="BJ1474" s="12"/>
      <c r="BK1474" s="44"/>
      <c r="BL1474" s="45"/>
      <c r="BM1474" s="12"/>
      <c r="BN1474" s="12"/>
      <c r="BO1474" s="12"/>
      <c r="BP1474" s="12"/>
      <c r="BQ1474" s="48"/>
      <c r="BR1474" s="49"/>
      <c r="BS1474" s="13"/>
      <c r="BT1474" s="12"/>
      <c r="BV1474" s="14"/>
      <c r="BW1474" s="50"/>
      <c r="BX1474" s="54"/>
      <c r="BY1474" s="14"/>
      <c r="BZ1474" s="14"/>
      <c r="CA1474" s="14"/>
      <c r="CB1474" s="14"/>
      <c r="CC1474" s="14"/>
      <c r="CD1474" s="14"/>
      <c r="CE1474" s="14"/>
      <c r="CF1474" s="15"/>
      <c r="CG1474" s="14"/>
      <c r="CH1474" s="14"/>
      <c r="CI1474" s="50"/>
      <c r="CJ1474" s="54"/>
      <c r="CK1474" s="14"/>
      <c r="CL1474" s="14"/>
      <c r="CM1474" s="14"/>
      <c r="CN1474" s="14"/>
      <c r="CO1474" s="14"/>
      <c r="CP1474" s="14"/>
      <c r="CQ1474" s="14"/>
      <c r="CR1474" s="14"/>
      <c r="CS1474" s="14"/>
      <c r="CT1474" s="14"/>
      <c r="CU1474" s="16"/>
      <c r="CV1474" s="14"/>
      <c r="CW1474" s="50"/>
      <c r="CX1474" s="17"/>
    </row>
    <row r="1475" spans="4:102" x14ac:dyDescent="0.25"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43"/>
      <c r="Q1475" s="11"/>
      <c r="R1475" s="11"/>
      <c r="S1475" s="11"/>
      <c r="T1475" s="11"/>
      <c r="U1475" s="11"/>
      <c r="V1475" s="11"/>
      <c r="W1475" s="11"/>
      <c r="X1475" s="12"/>
      <c r="Y1475" s="12"/>
      <c r="Z1475" s="12"/>
      <c r="AA1475" s="44"/>
      <c r="AB1475" s="45"/>
      <c r="AC1475" s="12"/>
      <c r="AD1475" s="12"/>
      <c r="AE1475" s="12"/>
      <c r="AF1475" s="12"/>
      <c r="AG1475" s="44"/>
      <c r="AH1475" s="45"/>
      <c r="AI1475" s="12"/>
      <c r="AJ1475" s="12"/>
      <c r="AK1475" s="12"/>
      <c r="AL1475" s="12"/>
      <c r="AM1475" s="44"/>
      <c r="AN1475" s="45"/>
      <c r="AO1475" s="12"/>
      <c r="AP1475" s="12"/>
      <c r="AQ1475" s="12"/>
      <c r="AR1475" s="12"/>
      <c r="AS1475" s="44"/>
      <c r="AT1475" s="45"/>
      <c r="AU1475" s="12"/>
      <c r="AV1475" s="12"/>
      <c r="AW1475" s="12"/>
      <c r="AX1475" s="12"/>
      <c r="AY1475" s="44"/>
      <c r="AZ1475" s="45"/>
      <c r="BA1475" s="12"/>
      <c r="BB1475" s="12"/>
      <c r="BC1475" s="12"/>
      <c r="BD1475" s="12"/>
      <c r="BE1475" s="44"/>
      <c r="BF1475" s="45"/>
      <c r="BG1475" s="12"/>
      <c r="BH1475" s="12"/>
      <c r="BI1475" s="12"/>
      <c r="BJ1475" s="12"/>
      <c r="BK1475" s="44"/>
      <c r="BL1475" s="45"/>
      <c r="BM1475" s="12"/>
      <c r="BN1475" s="12"/>
      <c r="BO1475" s="12"/>
      <c r="BP1475" s="12"/>
      <c r="BQ1475" s="48"/>
      <c r="BR1475" s="49"/>
      <c r="BS1475" s="13"/>
      <c r="BT1475" s="12"/>
      <c r="BV1475" s="14"/>
      <c r="BW1475" s="50"/>
      <c r="BX1475" s="54"/>
      <c r="BY1475" s="14"/>
      <c r="BZ1475" s="14"/>
      <c r="CA1475" s="14"/>
      <c r="CB1475" s="14"/>
      <c r="CC1475" s="14"/>
      <c r="CD1475" s="14"/>
      <c r="CE1475" s="14"/>
      <c r="CF1475" s="15"/>
      <c r="CG1475" s="14"/>
      <c r="CH1475" s="14"/>
      <c r="CI1475" s="50"/>
      <c r="CJ1475" s="54"/>
      <c r="CK1475" s="14"/>
      <c r="CL1475" s="14"/>
      <c r="CM1475" s="14"/>
      <c r="CN1475" s="14"/>
      <c r="CO1475" s="14"/>
      <c r="CP1475" s="14"/>
      <c r="CQ1475" s="14"/>
      <c r="CR1475" s="14"/>
      <c r="CS1475" s="14"/>
      <c r="CT1475" s="14"/>
      <c r="CU1475" s="16"/>
      <c r="CV1475" s="14"/>
      <c r="CW1475" s="50"/>
      <c r="CX1475" s="17"/>
    </row>
    <row r="1476" spans="4:102" x14ac:dyDescent="0.25"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43"/>
      <c r="Q1476" s="11"/>
      <c r="R1476" s="11"/>
      <c r="S1476" s="11"/>
      <c r="T1476" s="11"/>
      <c r="U1476" s="11"/>
      <c r="V1476" s="11"/>
      <c r="W1476" s="11"/>
      <c r="X1476" s="12"/>
      <c r="Y1476" s="12"/>
      <c r="Z1476" s="12"/>
      <c r="AA1476" s="44"/>
      <c r="AB1476" s="45"/>
      <c r="AC1476" s="12"/>
      <c r="AD1476" s="12"/>
      <c r="AE1476" s="12"/>
      <c r="AF1476" s="12"/>
      <c r="AG1476" s="44"/>
      <c r="AH1476" s="45"/>
      <c r="AI1476" s="12"/>
      <c r="AJ1476" s="12"/>
      <c r="AK1476" s="12"/>
      <c r="AL1476" s="12"/>
      <c r="AM1476" s="44"/>
      <c r="AN1476" s="45"/>
      <c r="AO1476" s="12"/>
      <c r="AP1476" s="12"/>
      <c r="AQ1476" s="12"/>
      <c r="AR1476" s="12"/>
      <c r="AS1476" s="44"/>
      <c r="AT1476" s="45"/>
      <c r="AU1476" s="12"/>
      <c r="AV1476" s="12"/>
      <c r="AW1476" s="12"/>
      <c r="AX1476" s="12"/>
      <c r="AY1476" s="44"/>
      <c r="AZ1476" s="45"/>
      <c r="BA1476" s="12"/>
      <c r="BB1476" s="12"/>
      <c r="BC1476" s="12"/>
      <c r="BD1476" s="12"/>
      <c r="BE1476" s="44"/>
      <c r="BF1476" s="45"/>
      <c r="BG1476" s="12"/>
      <c r="BH1476" s="12"/>
      <c r="BI1476" s="12"/>
      <c r="BJ1476" s="12"/>
      <c r="BK1476" s="44"/>
      <c r="BL1476" s="45"/>
      <c r="BM1476" s="12"/>
      <c r="BN1476" s="12"/>
      <c r="BO1476" s="12"/>
      <c r="BP1476" s="12"/>
      <c r="BQ1476" s="48"/>
      <c r="BR1476" s="49"/>
      <c r="BS1476" s="13"/>
      <c r="BT1476" s="12"/>
      <c r="BV1476" s="14"/>
      <c r="BW1476" s="50"/>
      <c r="BX1476" s="54"/>
      <c r="BY1476" s="14"/>
      <c r="BZ1476" s="14"/>
      <c r="CA1476" s="14"/>
      <c r="CB1476" s="14"/>
      <c r="CC1476" s="14"/>
      <c r="CD1476" s="14"/>
      <c r="CE1476" s="14"/>
      <c r="CF1476" s="15"/>
      <c r="CG1476" s="14"/>
      <c r="CH1476" s="14"/>
      <c r="CI1476" s="50"/>
      <c r="CJ1476" s="54"/>
      <c r="CK1476" s="14"/>
      <c r="CL1476" s="14"/>
      <c r="CM1476" s="14"/>
      <c r="CN1476" s="14"/>
      <c r="CO1476" s="14"/>
      <c r="CP1476" s="14"/>
      <c r="CQ1476" s="14"/>
      <c r="CR1476" s="14"/>
      <c r="CS1476" s="14"/>
      <c r="CT1476" s="14"/>
      <c r="CU1476" s="16"/>
      <c r="CV1476" s="14"/>
      <c r="CW1476" s="50"/>
      <c r="CX1476" s="17"/>
    </row>
    <row r="1477" spans="4:102" x14ac:dyDescent="0.25"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43"/>
      <c r="Q1477" s="11"/>
      <c r="R1477" s="11"/>
      <c r="S1477" s="11"/>
      <c r="T1477" s="11"/>
      <c r="U1477" s="11"/>
      <c r="V1477" s="11"/>
      <c r="W1477" s="11"/>
      <c r="X1477" s="12"/>
      <c r="Y1477" s="12"/>
      <c r="Z1477" s="12"/>
      <c r="AA1477" s="44"/>
      <c r="AB1477" s="45"/>
      <c r="AC1477" s="12"/>
      <c r="AD1477" s="12"/>
      <c r="AE1477" s="12"/>
      <c r="AF1477" s="12"/>
      <c r="AG1477" s="44"/>
      <c r="AH1477" s="45"/>
      <c r="AI1477" s="12"/>
      <c r="AJ1477" s="12"/>
      <c r="AK1477" s="12"/>
      <c r="AL1477" s="12"/>
      <c r="AM1477" s="44"/>
      <c r="AN1477" s="45"/>
      <c r="AO1477" s="12"/>
      <c r="AP1477" s="12"/>
      <c r="AQ1477" s="12"/>
      <c r="AR1477" s="12"/>
      <c r="AS1477" s="44"/>
      <c r="AT1477" s="45"/>
      <c r="AU1477" s="12"/>
      <c r="AV1477" s="12"/>
      <c r="AW1477" s="12"/>
      <c r="AX1477" s="12"/>
      <c r="AY1477" s="44"/>
      <c r="AZ1477" s="45"/>
      <c r="BA1477" s="12"/>
      <c r="BB1477" s="12"/>
      <c r="BC1477" s="12"/>
      <c r="BD1477" s="12"/>
      <c r="BE1477" s="44"/>
      <c r="BF1477" s="45"/>
      <c r="BG1477" s="12"/>
      <c r="BH1477" s="12"/>
      <c r="BI1477" s="12"/>
      <c r="BJ1477" s="12"/>
      <c r="BK1477" s="44"/>
      <c r="BL1477" s="45"/>
      <c r="BM1477" s="12"/>
      <c r="BN1477" s="12"/>
      <c r="BO1477" s="12"/>
      <c r="BP1477" s="12"/>
      <c r="BQ1477" s="48"/>
      <c r="BR1477" s="49"/>
      <c r="BS1477" s="13"/>
      <c r="BT1477" s="12"/>
      <c r="BV1477" s="14"/>
      <c r="BW1477" s="50"/>
      <c r="BX1477" s="54"/>
      <c r="BY1477" s="14"/>
      <c r="BZ1477" s="14"/>
      <c r="CA1477" s="14"/>
      <c r="CB1477" s="14"/>
      <c r="CC1477" s="14"/>
      <c r="CD1477" s="14"/>
      <c r="CE1477" s="14"/>
      <c r="CF1477" s="15"/>
      <c r="CG1477" s="14"/>
      <c r="CH1477" s="14"/>
      <c r="CI1477" s="50"/>
      <c r="CJ1477" s="54"/>
      <c r="CK1477" s="14"/>
      <c r="CL1477" s="14"/>
      <c r="CM1477" s="14"/>
      <c r="CN1477" s="14"/>
      <c r="CO1477" s="14"/>
      <c r="CP1477" s="14"/>
      <c r="CQ1477" s="14"/>
      <c r="CR1477" s="14"/>
      <c r="CS1477" s="14"/>
      <c r="CT1477" s="14"/>
      <c r="CU1477" s="16"/>
      <c r="CV1477" s="14"/>
      <c r="CW1477" s="50"/>
      <c r="CX1477" s="17"/>
    </row>
    <row r="1478" spans="4:102" x14ac:dyDescent="0.25"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43"/>
      <c r="Q1478" s="11"/>
      <c r="R1478" s="11"/>
      <c r="S1478" s="11"/>
      <c r="T1478" s="11"/>
      <c r="U1478" s="11"/>
      <c r="V1478" s="11"/>
      <c r="W1478" s="11"/>
      <c r="X1478" s="12"/>
      <c r="Y1478" s="12"/>
      <c r="Z1478" s="12"/>
      <c r="AA1478" s="44"/>
      <c r="AB1478" s="45"/>
      <c r="AC1478" s="12"/>
      <c r="AD1478" s="12"/>
      <c r="AE1478" s="12"/>
      <c r="AF1478" s="12"/>
      <c r="AG1478" s="44"/>
      <c r="AH1478" s="45"/>
      <c r="AI1478" s="12"/>
      <c r="AJ1478" s="12"/>
      <c r="AK1478" s="12"/>
      <c r="AL1478" s="12"/>
      <c r="AM1478" s="44"/>
      <c r="AN1478" s="45"/>
      <c r="AO1478" s="12"/>
      <c r="AP1478" s="12"/>
      <c r="AQ1478" s="12"/>
      <c r="AR1478" s="12"/>
      <c r="AS1478" s="44"/>
      <c r="AT1478" s="45"/>
      <c r="AU1478" s="12"/>
      <c r="AV1478" s="12"/>
      <c r="AW1478" s="12"/>
      <c r="AX1478" s="12"/>
      <c r="AY1478" s="44"/>
      <c r="AZ1478" s="45"/>
      <c r="BA1478" s="12"/>
      <c r="BB1478" s="12"/>
      <c r="BC1478" s="12"/>
      <c r="BD1478" s="12"/>
      <c r="BE1478" s="44"/>
      <c r="BF1478" s="45"/>
      <c r="BG1478" s="12"/>
      <c r="BH1478" s="12"/>
      <c r="BI1478" s="12"/>
      <c r="BJ1478" s="12"/>
      <c r="BK1478" s="44"/>
      <c r="BL1478" s="45"/>
      <c r="BM1478" s="12"/>
      <c r="BN1478" s="12"/>
      <c r="BO1478" s="12"/>
      <c r="BP1478" s="12"/>
      <c r="BQ1478" s="48"/>
      <c r="BR1478" s="49"/>
      <c r="BS1478" s="13"/>
      <c r="BT1478" s="12"/>
      <c r="BV1478" s="14"/>
      <c r="BW1478" s="50"/>
      <c r="BX1478" s="54"/>
      <c r="BY1478" s="14"/>
      <c r="BZ1478" s="14"/>
      <c r="CA1478" s="14"/>
      <c r="CB1478" s="14"/>
      <c r="CC1478" s="14"/>
      <c r="CD1478" s="14"/>
      <c r="CE1478" s="14"/>
      <c r="CF1478" s="15"/>
      <c r="CG1478" s="14"/>
      <c r="CH1478" s="14"/>
      <c r="CI1478" s="50"/>
      <c r="CJ1478" s="54"/>
      <c r="CK1478" s="14"/>
      <c r="CL1478" s="14"/>
      <c r="CM1478" s="14"/>
      <c r="CN1478" s="14"/>
      <c r="CO1478" s="14"/>
      <c r="CP1478" s="14"/>
      <c r="CQ1478" s="14"/>
      <c r="CR1478" s="14"/>
      <c r="CS1478" s="14"/>
      <c r="CT1478" s="14"/>
      <c r="CU1478" s="16"/>
      <c r="CV1478" s="14"/>
      <c r="CW1478" s="50"/>
      <c r="CX1478" s="17"/>
    </row>
    <row r="1479" spans="4:102" x14ac:dyDescent="0.25"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43"/>
      <c r="Q1479" s="11"/>
      <c r="R1479" s="11"/>
      <c r="S1479" s="11"/>
      <c r="T1479" s="11"/>
      <c r="U1479" s="11"/>
      <c r="V1479" s="11"/>
      <c r="W1479" s="11"/>
      <c r="X1479" s="12"/>
      <c r="Y1479" s="12"/>
      <c r="Z1479" s="12"/>
      <c r="AA1479" s="44"/>
      <c r="AB1479" s="45"/>
      <c r="AC1479" s="12"/>
      <c r="AD1479" s="12"/>
      <c r="AE1479" s="12"/>
      <c r="AF1479" s="12"/>
      <c r="AG1479" s="44"/>
      <c r="AH1479" s="45"/>
      <c r="AI1479" s="12"/>
      <c r="AJ1479" s="12"/>
      <c r="AK1479" s="12"/>
      <c r="AL1479" s="12"/>
      <c r="AM1479" s="44"/>
      <c r="AN1479" s="45"/>
      <c r="AO1479" s="12"/>
      <c r="AP1479" s="12"/>
      <c r="AQ1479" s="12"/>
      <c r="AR1479" s="12"/>
      <c r="AS1479" s="44"/>
      <c r="AT1479" s="45"/>
      <c r="AU1479" s="12"/>
      <c r="AV1479" s="12"/>
      <c r="AW1479" s="12"/>
      <c r="AX1479" s="12"/>
      <c r="AY1479" s="44"/>
      <c r="AZ1479" s="45"/>
      <c r="BA1479" s="12"/>
      <c r="BB1479" s="12"/>
      <c r="BC1479" s="12"/>
      <c r="BD1479" s="12"/>
      <c r="BE1479" s="44"/>
      <c r="BF1479" s="45"/>
      <c r="BG1479" s="12"/>
      <c r="BH1479" s="12"/>
      <c r="BI1479" s="12"/>
      <c r="BJ1479" s="12"/>
      <c r="BK1479" s="44"/>
      <c r="BL1479" s="45"/>
      <c r="BM1479" s="12"/>
      <c r="BN1479" s="12"/>
      <c r="BO1479" s="12"/>
      <c r="BP1479" s="12"/>
      <c r="BQ1479" s="48"/>
      <c r="BR1479" s="49"/>
      <c r="BS1479" s="13"/>
      <c r="BT1479" s="12"/>
      <c r="BV1479" s="14"/>
      <c r="BW1479" s="50"/>
      <c r="BX1479" s="54"/>
      <c r="BY1479" s="14"/>
      <c r="BZ1479" s="14"/>
      <c r="CA1479" s="14"/>
      <c r="CB1479" s="14"/>
      <c r="CC1479" s="14"/>
      <c r="CD1479" s="14"/>
      <c r="CE1479" s="14"/>
      <c r="CF1479" s="15"/>
      <c r="CG1479" s="14"/>
      <c r="CH1479" s="14"/>
      <c r="CI1479" s="50"/>
      <c r="CJ1479" s="54"/>
      <c r="CK1479" s="14"/>
      <c r="CL1479" s="14"/>
      <c r="CM1479" s="14"/>
      <c r="CN1479" s="14"/>
      <c r="CO1479" s="14"/>
      <c r="CP1479" s="14"/>
      <c r="CQ1479" s="14"/>
      <c r="CR1479" s="14"/>
      <c r="CS1479" s="14"/>
      <c r="CT1479" s="14"/>
      <c r="CU1479" s="16"/>
      <c r="CV1479" s="14"/>
      <c r="CW1479" s="50"/>
      <c r="CX1479" s="17"/>
    </row>
    <row r="1480" spans="4:102" x14ac:dyDescent="0.25"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43"/>
      <c r="Q1480" s="11"/>
      <c r="R1480" s="11"/>
      <c r="S1480" s="11"/>
      <c r="T1480" s="11"/>
      <c r="U1480" s="11"/>
      <c r="V1480" s="11"/>
      <c r="W1480" s="11"/>
      <c r="X1480" s="12"/>
      <c r="Y1480" s="12"/>
      <c r="Z1480" s="12"/>
      <c r="AA1480" s="44"/>
      <c r="AB1480" s="45"/>
      <c r="AC1480" s="12"/>
      <c r="AD1480" s="12"/>
      <c r="AE1480" s="12"/>
      <c r="AF1480" s="12"/>
      <c r="AG1480" s="44"/>
      <c r="AH1480" s="45"/>
      <c r="AI1480" s="12"/>
      <c r="AJ1480" s="12"/>
      <c r="AK1480" s="12"/>
      <c r="AL1480" s="12"/>
      <c r="AM1480" s="44"/>
      <c r="AN1480" s="45"/>
      <c r="AO1480" s="12"/>
      <c r="AP1480" s="12"/>
      <c r="AQ1480" s="12"/>
      <c r="AR1480" s="12"/>
      <c r="AS1480" s="44"/>
      <c r="AT1480" s="45"/>
      <c r="AU1480" s="12"/>
      <c r="AV1480" s="12"/>
      <c r="AW1480" s="12"/>
      <c r="AX1480" s="12"/>
      <c r="AY1480" s="44"/>
      <c r="AZ1480" s="45"/>
      <c r="BA1480" s="12"/>
      <c r="BB1480" s="12"/>
      <c r="BC1480" s="12"/>
      <c r="BD1480" s="12"/>
      <c r="BE1480" s="44"/>
      <c r="BF1480" s="45"/>
      <c r="BG1480" s="12"/>
      <c r="BH1480" s="12"/>
      <c r="BI1480" s="12"/>
      <c r="BJ1480" s="12"/>
      <c r="BK1480" s="44"/>
      <c r="BL1480" s="45"/>
      <c r="BM1480" s="12"/>
      <c r="BN1480" s="12"/>
      <c r="BO1480" s="12"/>
      <c r="BP1480" s="12"/>
      <c r="BQ1480" s="48"/>
      <c r="BR1480" s="49"/>
      <c r="BS1480" s="13"/>
      <c r="BT1480" s="12"/>
      <c r="BV1480" s="14"/>
      <c r="BW1480" s="50"/>
      <c r="BX1480" s="54"/>
      <c r="BY1480" s="14"/>
      <c r="BZ1480" s="14"/>
      <c r="CA1480" s="14"/>
      <c r="CB1480" s="14"/>
      <c r="CC1480" s="14"/>
      <c r="CD1480" s="14"/>
      <c r="CE1480" s="14"/>
      <c r="CF1480" s="15"/>
      <c r="CG1480" s="14"/>
      <c r="CH1480" s="14"/>
      <c r="CI1480" s="50"/>
      <c r="CJ1480" s="54"/>
      <c r="CK1480" s="14"/>
      <c r="CL1480" s="14"/>
      <c r="CM1480" s="14"/>
      <c r="CN1480" s="14"/>
      <c r="CO1480" s="14"/>
      <c r="CP1480" s="14"/>
      <c r="CQ1480" s="14"/>
      <c r="CR1480" s="14"/>
      <c r="CS1480" s="14"/>
      <c r="CT1480" s="14"/>
      <c r="CU1480" s="16"/>
      <c r="CV1480" s="14"/>
      <c r="CW1480" s="50"/>
      <c r="CX1480" s="17"/>
    </row>
    <row r="1481" spans="4:102" x14ac:dyDescent="0.25"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43"/>
      <c r="Q1481" s="11"/>
      <c r="R1481" s="11"/>
      <c r="S1481" s="11"/>
      <c r="T1481" s="11"/>
      <c r="U1481" s="11"/>
      <c r="V1481" s="11"/>
      <c r="W1481" s="11"/>
      <c r="X1481" s="12"/>
      <c r="Y1481" s="12"/>
      <c r="Z1481" s="12"/>
      <c r="AA1481" s="44"/>
      <c r="AB1481" s="45"/>
      <c r="AC1481" s="12"/>
      <c r="AD1481" s="12"/>
      <c r="AE1481" s="12"/>
      <c r="AF1481" s="12"/>
      <c r="AG1481" s="44"/>
      <c r="AH1481" s="45"/>
      <c r="AI1481" s="12"/>
      <c r="AJ1481" s="12"/>
      <c r="AK1481" s="12"/>
      <c r="AL1481" s="12"/>
      <c r="AM1481" s="44"/>
      <c r="AN1481" s="45"/>
      <c r="AO1481" s="12"/>
      <c r="AP1481" s="12"/>
      <c r="AQ1481" s="12"/>
      <c r="AR1481" s="12"/>
      <c r="AS1481" s="44"/>
      <c r="AT1481" s="45"/>
      <c r="AU1481" s="12"/>
      <c r="AV1481" s="12"/>
      <c r="AW1481" s="12"/>
      <c r="AX1481" s="12"/>
      <c r="AY1481" s="44"/>
      <c r="AZ1481" s="45"/>
      <c r="BA1481" s="12"/>
      <c r="BB1481" s="12"/>
      <c r="BC1481" s="12"/>
      <c r="BD1481" s="12"/>
      <c r="BE1481" s="44"/>
      <c r="BF1481" s="45"/>
      <c r="BG1481" s="12"/>
      <c r="BH1481" s="12"/>
      <c r="BI1481" s="12"/>
      <c r="BJ1481" s="12"/>
      <c r="BK1481" s="44"/>
      <c r="BL1481" s="45"/>
      <c r="BM1481" s="12"/>
      <c r="BN1481" s="12"/>
      <c r="BO1481" s="12"/>
      <c r="BP1481" s="12"/>
      <c r="BQ1481" s="48"/>
      <c r="BR1481" s="49"/>
      <c r="BS1481" s="13"/>
      <c r="BT1481" s="12"/>
      <c r="BV1481" s="14"/>
      <c r="BW1481" s="50"/>
      <c r="BX1481" s="54"/>
      <c r="BY1481" s="14"/>
      <c r="BZ1481" s="14"/>
      <c r="CA1481" s="14"/>
      <c r="CB1481" s="14"/>
      <c r="CC1481" s="14"/>
      <c r="CD1481" s="14"/>
      <c r="CE1481" s="14"/>
      <c r="CF1481" s="15"/>
      <c r="CG1481" s="14"/>
      <c r="CH1481" s="14"/>
      <c r="CI1481" s="50"/>
      <c r="CJ1481" s="54"/>
      <c r="CK1481" s="14"/>
      <c r="CL1481" s="14"/>
      <c r="CM1481" s="14"/>
      <c r="CN1481" s="14"/>
      <c r="CO1481" s="14"/>
      <c r="CP1481" s="14"/>
      <c r="CQ1481" s="14"/>
      <c r="CR1481" s="14"/>
      <c r="CS1481" s="14"/>
      <c r="CT1481" s="14"/>
      <c r="CU1481" s="16"/>
      <c r="CV1481" s="14"/>
      <c r="CW1481" s="50"/>
      <c r="CX1481" s="17"/>
    </row>
    <row r="1482" spans="4:102" x14ac:dyDescent="0.25"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43"/>
      <c r="Q1482" s="11"/>
      <c r="R1482" s="11"/>
      <c r="S1482" s="11"/>
      <c r="T1482" s="11"/>
      <c r="U1482" s="11"/>
      <c r="V1482" s="11"/>
      <c r="W1482" s="11"/>
      <c r="X1482" s="12"/>
      <c r="Y1482" s="12"/>
      <c r="Z1482" s="12"/>
      <c r="AA1482" s="44"/>
      <c r="AB1482" s="45"/>
      <c r="AC1482" s="12"/>
      <c r="AD1482" s="12"/>
      <c r="AE1482" s="12"/>
      <c r="AF1482" s="12"/>
      <c r="AG1482" s="44"/>
      <c r="AH1482" s="45"/>
      <c r="AI1482" s="12"/>
      <c r="AJ1482" s="12"/>
      <c r="AK1482" s="12"/>
      <c r="AL1482" s="12"/>
      <c r="AM1482" s="44"/>
      <c r="AN1482" s="45"/>
      <c r="AO1482" s="12"/>
      <c r="AP1482" s="12"/>
      <c r="AQ1482" s="12"/>
      <c r="AR1482" s="12"/>
      <c r="AS1482" s="44"/>
      <c r="AT1482" s="45"/>
      <c r="AU1482" s="12"/>
      <c r="AV1482" s="12"/>
      <c r="AW1482" s="12"/>
      <c r="AX1482" s="12"/>
      <c r="AY1482" s="44"/>
      <c r="AZ1482" s="45"/>
      <c r="BA1482" s="12"/>
      <c r="BB1482" s="12"/>
      <c r="BC1482" s="12"/>
      <c r="BD1482" s="12"/>
      <c r="BE1482" s="44"/>
      <c r="BF1482" s="45"/>
      <c r="BG1482" s="12"/>
      <c r="BH1482" s="12"/>
      <c r="BI1482" s="12"/>
      <c r="BJ1482" s="12"/>
      <c r="BK1482" s="44"/>
      <c r="BL1482" s="45"/>
      <c r="BM1482" s="12"/>
      <c r="BN1482" s="12"/>
      <c r="BO1482" s="12"/>
      <c r="BP1482" s="12"/>
      <c r="BQ1482" s="48"/>
      <c r="BR1482" s="49"/>
      <c r="BS1482" s="13"/>
      <c r="BT1482" s="12"/>
      <c r="BV1482" s="14"/>
      <c r="BW1482" s="50"/>
      <c r="BX1482" s="54"/>
      <c r="BY1482" s="14"/>
      <c r="BZ1482" s="14"/>
      <c r="CA1482" s="14"/>
      <c r="CB1482" s="14"/>
      <c r="CC1482" s="14"/>
      <c r="CD1482" s="14"/>
      <c r="CE1482" s="14"/>
      <c r="CF1482" s="15"/>
      <c r="CG1482" s="14"/>
      <c r="CH1482" s="14"/>
      <c r="CI1482" s="50"/>
      <c r="CJ1482" s="54"/>
      <c r="CK1482" s="14"/>
      <c r="CL1482" s="14"/>
      <c r="CM1482" s="14"/>
      <c r="CN1482" s="14"/>
      <c r="CO1482" s="14"/>
      <c r="CP1482" s="14"/>
      <c r="CQ1482" s="14"/>
      <c r="CR1482" s="14"/>
      <c r="CS1482" s="14"/>
      <c r="CT1482" s="14"/>
      <c r="CU1482" s="16"/>
      <c r="CV1482" s="14"/>
      <c r="CW1482" s="50"/>
      <c r="CX1482" s="17"/>
    </row>
    <row r="1483" spans="4:102" x14ac:dyDescent="0.25"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43"/>
      <c r="Q1483" s="11"/>
      <c r="R1483" s="11"/>
      <c r="S1483" s="11"/>
      <c r="T1483" s="11"/>
      <c r="U1483" s="11"/>
      <c r="V1483" s="11"/>
      <c r="W1483" s="11"/>
      <c r="X1483" s="12"/>
      <c r="Y1483" s="12"/>
      <c r="Z1483" s="12"/>
      <c r="AA1483" s="44"/>
      <c r="AB1483" s="45"/>
      <c r="AC1483" s="12"/>
      <c r="AD1483" s="12"/>
      <c r="AE1483" s="12"/>
      <c r="AF1483" s="12"/>
      <c r="AG1483" s="44"/>
      <c r="AH1483" s="45"/>
      <c r="AI1483" s="12"/>
      <c r="AJ1483" s="12"/>
      <c r="AK1483" s="12"/>
      <c r="AL1483" s="12"/>
      <c r="AM1483" s="44"/>
      <c r="AN1483" s="45"/>
      <c r="AO1483" s="12"/>
      <c r="AP1483" s="12"/>
      <c r="AQ1483" s="12"/>
      <c r="AR1483" s="12"/>
      <c r="AS1483" s="44"/>
      <c r="AT1483" s="45"/>
      <c r="AU1483" s="12"/>
      <c r="AV1483" s="12"/>
      <c r="AW1483" s="12"/>
      <c r="AX1483" s="12"/>
      <c r="AY1483" s="44"/>
      <c r="AZ1483" s="45"/>
      <c r="BA1483" s="12"/>
      <c r="BB1483" s="12"/>
      <c r="BC1483" s="12"/>
      <c r="BD1483" s="12"/>
      <c r="BE1483" s="44"/>
      <c r="BF1483" s="45"/>
      <c r="BG1483" s="12"/>
      <c r="BH1483" s="12"/>
      <c r="BI1483" s="12"/>
      <c r="BJ1483" s="12"/>
      <c r="BK1483" s="44"/>
      <c r="BL1483" s="45"/>
      <c r="BM1483" s="12"/>
      <c r="BN1483" s="12"/>
      <c r="BO1483" s="12"/>
      <c r="BP1483" s="12"/>
      <c r="BQ1483" s="48"/>
      <c r="BR1483" s="49"/>
      <c r="BS1483" s="13"/>
      <c r="BT1483" s="12"/>
      <c r="BV1483" s="14"/>
      <c r="BW1483" s="50"/>
      <c r="BX1483" s="54"/>
      <c r="BY1483" s="14"/>
      <c r="BZ1483" s="14"/>
      <c r="CA1483" s="14"/>
      <c r="CB1483" s="14"/>
      <c r="CC1483" s="14"/>
      <c r="CD1483" s="14"/>
      <c r="CE1483" s="14"/>
      <c r="CF1483" s="15"/>
      <c r="CG1483" s="14"/>
      <c r="CH1483" s="14"/>
      <c r="CI1483" s="50"/>
      <c r="CJ1483" s="54"/>
      <c r="CK1483" s="14"/>
      <c r="CL1483" s="14"/>
      <c r="CM1483" s="14"/>
      <c r="CN1483" s="14"/>
      <c r="CO1483" s="14"/>
      <c r="CP1483" s="14"/>
      <c r="CQ1483" s="14"/>
      <c r="CR1483" s="14"/>
      <c r="CS1483" s="14"/>
      <c r="CT1483" s="14"/>
      <c r="CU1483" s="16"/>
      <c r="CV1483" s="14"/>
      <c r="CW1483" s="50"/>
      <c r="CX1483" s="17"/>
    </row>
    <row r="1484" spans="4:102" x14ac:dyDescent="0.25"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43"/>
      <c r="Q1484" s="11"/>
      <c r="R1484" s="11"/>
      <c r="S1484" s="11"/>
      <c r="T1484" s="11"/>
      <c r="U1484" s="11"/>
      <c r="V1484" s="11"/>
      <c r="W1484" s="11"/>
      <c r="X1484" s="12"/>
      <c r="Y1484" s="12"/>
      <c r="Z1484" s="12"/>
      <c r="AA1484" s="44"/>
      <c r="AB1484" s="45"/>
      <c r="AC1484" s="12"/>
      <c r="AD1484" s="12"/>
      <c r="AE1484" s="12"/>
      <c r="AF1484" s="12"/>
      <c r="AG1484" s="44"/>
      <c r="AH1484" s="45"/>
      <c r="AI1484" s="12"/>
      <c r="AJ1484" s="12"/>
      <c r="AK1484" s="12"/>
      <c r="AL1484" s="12"/>
      <c r="AM1484" s="44"/>
      <c r="AN1484" s="45"/>
      <c r="AO1484" s="12"/>
      <c r="AP1484" s="12"/>
      <c r="AQ1484" s="12"/>
      <c r="AR1484" s="12"/>
      <c r="AS1484" s="44"/>
      <c r="AT1484" s="45"/>
      <c r="AU1484" s="12"/>
      <c r="AV1484" s="12"/>
      <c r="AW1484" s="12"/>
      <c r="AX1484" s="12"/>
      <c r="AY1484" s="44"/>
      <c r="AZ1484" s="45"/>
      <c r="BA1484" s="12"/>
      <c r="BB1484" s="12"/>
      <c r="BC1484" s="12"/>
      <c r="BD1484" s="12"/>
      <c r="BE1484" s="44"/>
      <c r="BF1484" s="45"/>
      <c r="BG1484" s="12"/>
      <c r="BH1484" s="12"/>
      <c r="BI1484" s="12"/>
      <c r="BJ1484" s="12"/>
      <c r="BK1484" s="44"/>
      <c r="BL1484" s="45"/>
      <c r="BM1484" s="12"/>
      <c r="BN1484" s="12"/>
      <c r="BO1484" s="12"/>
      <c r="BP1484" s="12"/>
      <c r="BQ1484" s="48"/>
      <c r="BR1484" s="49"/>
      <c r="BS1484" s="13"/>
      <c r="BT1484" s="12"/>
      <c r="BV1484" s="14"/>
      <c r="BW1484" s="50"/>
      <c r="BX1484" s="54"/>
      <c r="BY1484" s="14"/>
      <c r="BZ1484" s="14"/>
      <c r="CA1484" s="14"/>
      <c r="CB1484" s="14"/>
      <c r="CC1484" s="14"/>
      <c r="CD1484" s="14"/>
      <c r="CE1484" s="14"/>
      <c r="CF1484" s="15"/>
      <c r="CG1484" s="14"/>
      <c r="CH1484" s="14"/>
      <c r="CI1484" s="50"/>
      <c r="CJ1484" s="54"/>
      <c r="CK1484" s="14"/>
      <c r="CL1484" s="14"/>
      <c r="CM1484" s="14"/>
      <c r="CN1484" s="14"/>
      <c r="CO1484" s="14"/>
      <c r="CP1484" s="14"/>
      <c r="CQ1484" s="14"/>
      <c r="CR1484" s="14"/>
      <c r="CS1484" s="14"/>
      <c r="CT1484" s="14"/>
      <c r="CU1484" s="16"/>
      <c r="CV1484" s="14"/>
      <c r="CW1484" s="50"/>
      <c r="CX1484" s="17"/>
    </row>
    <row r="1485" spans="4:102" x14ac:dyDescent="0.25"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43"/>
      <c r="Q1485" s="11"/>
      <c r="R1485" s="11"/>
      <c r="S1485" s="11"/>
      <c r="T1485" s="11"/>
      <c r="U1485" s="11"/>
      <c r="V1485" s="11"/>
      <c r="W1485" s="11"/>
      <c r="X1485" s="12"/>
      <c r="Y1485" s="12"/>
      <c r="Z1485" s="12"/>
      <c r="AA1485" s="44"/>
      <c r="AB1485" s="45"/>
      <c r="AC1485" s="12"/>
      <c r="AD1485" s="12"/>
      <c r="AE1485" s="12"/>
      <c r="AF1485" s="12"/>
      <c r="AG1485" s="44"/>
      <c r="AH1485" s="45"/>
      <c r="AI1485" s="12"/>
      <c r="AJ1485" s="12"/>
      <c r="AK1485" s="12"/>
      <c r="AL1485" s="12"/>
      <c r="AM1485" s="44"/>
      <c r="AN1485" s="45"/>
      <c r="AO1485" s="12"/>
      <c r="AP1485" s="12"/>
      <c r="AQ1485" s="12"/>
      <c r="AR1485" s="12"/>
      <c r="AS1485" s="44"/>
      <c r="AT1485" s="45"/>
      <c r="AU1485" s="12"/>
      <c r="AV1485" s="12"/>
      <c r="AW1485" s="12"/>
      <c r="AX1485" s="12"/>
      <c r="AY1485" s="44"/>
      <c r="AZ1485" s="45"/>
      <c r="BA1485" s="12"/>
      <c r="BB1485" s="12"/>
      <c r="BC1485" s="12"/>
      <c r="BD1485" s="12"/>
      <c r="BE1485" s="44"/>
      <c r="BF1485" s="45"/>
      <c r="BG1485" s="12"/>
      <c r="BH1485" s="12"/>
      <c r="BI1485" s="12"/>
      <c r="BJ1485" s="12"/>
      <c r="BK1485" s="44"/>
      <c r="BL1485" s="45"/>
      <c r="BM1485" s="12"/>
      <c r="BN1485" s="12"/>
      <c r="BO1485" s="12"/>
      <c r="BP1485" s="12"/>
      <c r="BQ1485" s="48"/>
      <c r="BR1485" s="49"/>
      <c r="BS1485" s="13"/>
      <c r="BT1485" s="12"/>
      <c r="BV1485" s="14"/>
      <c r="BW1485" s="50"/>
      <c r="BX1485" s="54"/>
      <c r="BY1485" s="14"/>
      <c r="BZ1485" s="14"/>
      <c r="CA1485" s="14"/>
      <c r="CB1485" s="14"/>
      <c r="CC1485" s="14"/>
      <c r="CD1485" s="14"/>
      <c r="CE1485" s="14"/>
      <c r="CF1485" s="15"/>
      <c r="CG1485" s="14"/>
      <c r="CH1485" s="14"/>
      <c r="CI1485" s="50"/>
      <c r="CJ1485" s="54"/>
      <c r="CK1485" s="14"/>
      <c r="CL1485" s="14"/>
      <c r="CM1485" s="14"/>
      <c r="CN1485" s="14"/>
      <c r="CO1485" s="14"/>
      <c r="CP1485" s="14"/>
      <c r="CQ1485" s="14"/>
      <c r="CR1485" s="14"/>
      <c r="CS1485" s="14"/>
      <c r="CT1485" s="14"/>
      <c r="CU1485" s="16"/>
      <c r="CV1485" s="14"/>
      <c r="CW1485" s="50"/>
      <c r="CX1485" s="17"/>
    </row>
    <row r="1486" spans="4:102" x14ac:dyDescent="0.25"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43"/>
      <c r="Q1486" s="11"/>
      <c r="R1486" s="11"/>
      <c r="S1486" s="11"/>
      <c r="T1486" s="11"/>
      <c r="U1486" s="11"/>
      <c r="V1486" s="11"/>
      <c r="W1486" s="11"/>
      <c r="X1486" s="12"/>
      <c r="Y1486" s="12"/>
      <c r="Z1486" s="12"/>
      <c r="AA1486" s="44"/>
      <c r="AB1486" s="45"/>
      <c r="AC1486" s="12"/>
      <c r="AD1486" s="12"/>
      <c r="AE1486" s="12"/>
      <c r="AF1486" s="12"/>
      <c r="AG1486" s="44"/>
      <c r="AH1486" s="45"/>
      <c r="AI1486" s="12"/>
      <c r="AJ1486" s="12"/>
      <c r="AK1486" s="12"/>
      <c r="AL1486" s="12"/>
      <c r="AM1486" s="44"/>
      <c r="AN1486" s="45"/>
      <c r="AO1486" s="12"/>
      <c r="AP1486" s="12"/>
      <c r="AQ1486" s="12"/>
      <c r="AR1486" s="12"/>
      <c r="AS1486" s="44"/>
      <c r="AT1486" s="45"/>
      <c r="AU1486" s="12"/>
      <c r="AV1486" s="12"/>
      <c r="AW1486" s="12"/>
      <c r="AX1486" s="12"/>
      <c r="AY1486" s="44"/>
      <c r="AZ1486" s="45"/>
      <c r="BA1486" s="12"/>
      <c r="BB1486" s="12"/>
      <c r="BC1486" s="12"/>
      <c r="BD1486" s="12"/>
      <c r="BE1486" s="44"/>
      <c r="BF1486" s="45"/>
      <c r="BG1486" s="12"/>
      <c r="BH1486" s="12"/>
      <c r="BI1486" s="12"/>
      <c r="BJ1486" s="12"/>
      <c r="BK1486" s="44"/>
      <c r="BL1486" s="45"/>
      <c r="BM1486" s="12"/>
      <c r="BN1486" s="12"/>
      <c r="BO1486" s="12"/>
      <c r="BP1486" s="12"/>
      <c r="BQ1486" s="48"/>
      <c r="BR1486" s="49"/>
      <c r="BS1486" s="13"/>
      <c r="BT1486" s="12"/>
      <c r="BV1486" s="14"/>
      <c r="BW1486" s="50"/>
      <c r="BX1486" s="54"/>
      <c r="BY1486" s="14"/>
      <c r="BZ1486" s="14"/>
      <c r="CA1486" s="14"/>
      <c r="CB1486" s="14"/>
      <c r="CC1486" s="14"/>
      <c r="CD1486" s="14"/>
      <c r="CE1486" s="14"/>
      <c r="CF1486" s="15"/>
      <c r="CG1486" s="14"/>
      <c r="CH1486" s="14"/>
      <c r="CI1486" s="50"/>
      <c r="CJ1486" s="54"/>
      <c r="CK1486" s="14"/>
      <c r="CL1486" s="14"/>
      <c r="CM1486" s="14"/>
      <c r="CN1486" s="14"/>
      <c r="CO1486" s="14"/>
      <c r="CP1486" s="14"/>
      <c r="CQ1486" s="14"/>
      <c r="CR1486" s="14"/>
      <c r="CS1486" s="14"/>
      <c r="CT1486" s="14"/>
      <c r="CU1486" s="16"/>
      <c r="CV1486" s="14"/>
      <c r="CW1486" s="50"/>
      <c r="CX1486" s="17"/>
    </row>
    <row r="1487" spans="4:102" x14ac:dyDescent="0.25"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43"/>
      <c r="Q1487" s="11"/>
      <c r="R1487" s="11"/>
      <c r="S1487" s="11"/>
      <c r="T1487" s="11"/>
      <c r="U1487" s="11"/>
      <c r="V1487" s="11"/>
      <c r="W1487" s="11"/>
      <c r="X1487" s="12"/>
      <c r="Y1487" s="12"/>
      <c r="Z1487" s="12"/>
      <c r="AA1487" s="44"/>
      <c r="AB1487" s="45"/>
      <c r="AC1487" s="12"/>
      <c r="AD1487" s="12"/>
      <c r="AE1487" s="12"/>
      <c r="AF1487" s="12"/>
      <c r="AG1487" s="44"/>
      <c r="AH1487" s="45"/>
      <c r="AI1487" s="12"/>
      <c r="AJ1487" s="12"/>
      <c r="AK1487" s="12"/>
      <c r="AL1487" s="12"/>
      <c r="AM1487" s="44"/>
      <c r="AN1487" s="45"/>
      <c r="AO1487" s="12"/>
      <c r="AP1487" s="12"/>
      <c r="AQ1487" s="12"/>
      <c r="AR1487" s="12"/>
      <c r="AS1487" s="44"/>
      <c r="AT1487" s="45"/>
      <c r="AU1487" s="12"/>
      <c r="AV1487" s="12"/>
      <c r="AW1487" s="12"/>
      <c r="AX1487" s="12"/>
      <c r="AY1487" s="44"/>
      <c r="AZ1487" s="45"/>
      <c r="BA1487" s="12"/>
      <c r="BB1487" s="12"/>
      <c r="BC1487" s="12"/>
      <c r="BD1487" s="12"/>
      <c r="BE1487" s="44"/>
      <c r="BF1487" s="45"/>
      <c r="BG1487" s="12"/>
      <c r="BH1487" s="12"/>
      <c r="BI1487" s="12"/>
      <c r="BJ1487" s="12"/>
      <c r="BK1487" s="44"/>
      <c r="BL1487" s="45"/>
      <c r="BM1487" s="12"/>
      <c r="BN1487" s="12"/>
      <c r="BO1487" s="12"/>
      <c r="BP1487" s="12"/>
      <c r="BQ1487" s="48"/>
      <c r="BR1487" s="49"/>
      <c r="BS1487" s="13"/>
      <c r="BT1487" s="12"/>
      <c r="BV1487" s="14"/>
      <c r="BW1487" s="50"/>
      <c r="BX1487" s="54"/>
      <c r="BY1487" s="14"/>
      <c r="BZ1487" s="14"/>
      <c r="CA1487" s="14"/>
      <c r="CB1487" s="14"/>
      <c r="CC1487" s="14"/>
      <c r="CD1487" s="14"/>
      <c r="CE1487" s="14"/>
      <c r="CF1487" s="15"/>
      <c r="CG1487" s="14"/>
      <c r="CH1487" s="14"/>
      <c r="CI1487" s="50"/>
      <c r="CJ1487" s="54"/>
      <c r="CK1487" s="14"/>
      <c r="CL1487" s="14"/>
      <c r="CM1487" s="14"/>
      <c r="CN1487" s="14"/>
      <c r="CO1487" s="14"/>
      <c r="CP1487" s="14"/>
      <c r="CQ1487" s="14"/>
      <c r="CR1487" s="14"/>
      <c r="CS1487" s="14"/>
      <c r="CT1487" s="14"/>
      <c r="CU1487" s="16"/>
      <c r="CV1487" s="14"/>
      <c r="CW1487" s="50"/>
      <c r="CX1487" s="17"/>
    </row>
    <row r="1488" spans="4:102" x14ac:dyDescent="0.25"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43"/>
      <c r="Q1488" s="11"/>
      <c r="R1488" s="11"/>
      <c r="S1488" s="11"/>
      <c r="T1488" s="11"/>
      <c r="U1488" s="11"/>
      <c r="V1488" s="11"/>
      <c r="W1488" s="11"/>
      <c r="X1488" s="12"/>
      <c r="Y1488" s="12"/>
      <c r="Z1488" s="12"/>
      <c r="AA1488" s="44"/>
      <c r="AB1488" s="45"/>
      <c r="AC1488" s="12"/>
      <c r="AD1488" s="12"/>
      <c r="AE1488" s="12"/>
      <c r="AF1488" s="12"/>
      <c r="AG1488" s="44"/>
      <c r="AH1488" s="45"/>
      <c r="AI1488" s="12"/>
      <c r="AJ1488" s="12"/>
      <c r="AK1488" s="12"/>
      <c r="AL1488" s="12"/>
      <c r="AM1488" s="44"/>
      <c r="AN1488" s="45"/>
      <c r="AO1488" s="12"/>
      <c r="AP1488" s="12"/>
      <c r="AQ1488" s="12"/>
      <c r="AR1488" s="12"/>
      <c r="AS1488" s="44"/>
      <c r="AT1488" s="45"/>
      <c r="AU1488" s="12"/>
      <c r="AV1488" s="12"/>
      <c r="AW1488" s="12"/>
      <c r="AX1488" s="12"/>
      <c r="AY1488" s="44"/>
      <c r="AZ1488" s="45"/>
      <c r="BA1488" s="12"/>
      <c r="BB1488" s="12"/>
      <c r="BC1488" s="12"/>
      <c r="BD1488" s="12"/>
      <c r="BE1488" s="44"/>
      <c r="BF1488" s="45"/>
      <c r="BG1488" s="12"/>
      <c r="BH1488" s="12"/>
      <c r="BI1488" s="12"/>
      <c r="BJ1488" s="12"/>
      <c r="BK1488" s="44"/>
      <c r="BL1488" s="45"/>
      <c r="BM1488" s="12"/>
      <c r="BN1488" s="12"/>
      <c r="BO1488" s="12"/>
      <c r="BP1488" s="12"/>
      <c r="BQ1488" s="48"/>
      <c r="BR1488" s="49"/>
      <c r="BS1488" s="13"/>
      <c r="BT1488" s="12"/>
      <c r="BV1488" s="14"/>
      <c r="BW1488" s="50"/>
      <c r="BX1488" s="54"/>
      <c r="BY1488" s="14"/>
      <c r="BZ1488" s="14"/>
      <c r="CA1488" s="14"/>
      <c r="CB1488" s="14"/>
      <c r="CC1488" s="14"/>
      <c r="CD1488" s="14"/>
      <c r="CE1488" s="14"/>
      <c r="CF1488" s="15"/>
      <c r="CG1488" s="14"/>
      <c r="CH1488" s="14"/>
      <c r="CI1488" s="50"/>
      <c r="CJ1488" s="54"/>
      <c r="CK1488" s="14"/>
      <c r="CL1488" s="14"/>
      <c r="CM1488" s="14"/>
      <c r="CN1488" s="14"/>
      <c r="CO1488" s="14"/>
      <c r="CP1488" s="14"/>
      <c r="CQ1488" s="14"/>
      <c r="CR1488" s="14"/>
      <c r="CS1488" s="14"/>
      <c r="CT1488" s="14"/>
      <c r="CU1488" s="16"/>
      <c r="CV1488" s="14"/>
      <c r="CW1488" s="50"/>
      <c r="CX1488" s="17"/>
    </row>
    <row r="1489" spans="4:102" x14ac:dyDescent="0.25"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43"/>
      <c r="Q1489" s="11"/>
      <c r="R1489" s="11"/>
      <c r="S1489" s="11"/>
      <c r="T1489" s="11"/>
      <c r="U1489" s="11"/>
      <c r="V1489" s="11"/>
      <c r="W1489" s="11"/>
      <c r="X1489" s="12"/>
      <c r="Y1489" s="12"/>
      <c r="Z1489" s="12"/>
      <c r="AA1489" s="44"/>
      <c r="AB1489" s="45"/>
      <c r="AC1489" s="12"/>
      <c r="AD1489" s="12"/>
      <c r="AE1489" s="12"/>
      <c r="AF1489" s="12"/>
      <c r="AG1489" s="44"/>
      <c r="AH1489" s="45"/>
      <c r="AI1489" s="12"/>
      <c r="AJ1489" s="12"/>
      <c r="AK1489" s="12"/>
      <c r="AL1489" s="12"/>
      <c r="AM1489" s="44"/>
      <c r="AN1489" s="45"/>
      <c r="AO1489" s="12"/>
      <c r="AP1489" s="12"/>
      <c r="AQ1489" s="12"/>
      <c r="AR1489" s="12"/>
      <c r="AS1489" s="44"/>
      <c r="AT1489" s="45"/>
      <c r="AU1489" s="12"/>
      <c r="AV1489" s="12"/>
      <c r="AW1489" s="12"/>
      <c r="AX1489" s="12"/>
      <c r="AY1489" s="44"/>
      <c r="AZ1489" s="45"/>
      <c r="BA1489" s="12"/>
      <c r="BB1489" s="12"/>
      <c r="BC1489" s="12"/>
      <c r="BD1489" s="12"/>
      <c r="BE1489" s="44"/>
      <c r="BF1489" s="45"/>
      <c r="BG1489" s="12"/>
      <c r="BH1489" s="12"/>
      <c r="BI1489" s="12"/>
      <c r="BJ1489" s="12"/>
      <c r="BK1489" s="44"/>
      <c r="BL1489" s="45"/>
      <c r="BM1489" s="12"/>
      <c r="BN1489" s="12"/>
      <c r="BO1489" s="12"/>
      <c r="BP1489" s="12"/>
      <c r="BQ1489" s="48"/>
      <c r="BR1489" s="49"/>
      <c r="BS1489" s="13"/>
      <c r="BT1489" s="12"/>
      <c r="BV1489" s="14"/>
      <c r="BW1489" s="50"/>
      <c r="BX1489" s="54"/>
      <c r="BY1489" s="14"/>
      <c r="BZ1489" s="14"/>
      <c r="CA1489" s="14"/>
      <c r="CB1489" s="14"/>
      <c r="CC1489" s="14"/>
      <c r="CD1489" s="14"/>
      <c r="CE1489" s="14"/>
      <c r="CF1489" s="15"/>
      <c r="CG1489" s="14"/>
      <c r="CH1489" s="14"/>
      <c r="CI1489" s="50"/>
      <c r="CJ1489" s="54"/>
      <c r="CK1489" s="14"/>
      <c r="CL1489" s="14"/>
      <c r="CM1489" s="14"/>
      <c r="CN1489" s="14"/>
      <c r="CO1489" s="14"/>
      <c r="CP1489" s="14"/>
      <c r="CQ1489" s="14"/>
      <c r="CR1489" s="14"/>
      <c r="CS1489" s="14"/>
      <c r="CT1489" s="14"/>
      <c r="CU1489" s="16"/>
      <c r="CV1489" s="14"/>
      <c r="CW1489" s="50"/>
      <c r="CX1489" s="17"/>
    </row>
    <row r="1490" spans="4:102" x14ac:dyDescent="0.25"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43"/>
      <c r="Q1490" s="11"/>
      <c r="R1490" s="11"/>
      <c r="S1490" s="11"/>
      <c r="T1490" s="11"/>
      <c r="U1490" s="11"/>
      <c r="V1490" s="11"/>
      <c r="W1490" s="11"/>
      <c r="X1490" s="12"/>
      <c r="Y1490" s="12"/>
      <c r="Z1490" s="12"/>
      <c r="AA1490" s="44"/>
      <c r="AB1490" s="45"/>
      <c r="AC1490" s="12"/>
      <c r="AD1490" s="12"/>
      <c r="AE1490" s="12"/>
      <c r="AF1490" s="12"/>
      <c r="AG1490" s="44"/>
      <c r="AH1490" s="45"/>
      <c r="AI1490" s="12"/>
      <c r="AJ1490" s="12"/>
      <c r="AK1490" s="12"/>
      <c r="AL1490" s="12"/>
      <c r="AM1490" s="44"/>
      <c r="AN1490" s="45"/>
      <c r="AO1490" s="12"/>
      <c r="AP1490" s="12"/>
      <c r="AQ1490" s="12"/>
      <c r="AR1490" s="12"/>
      <c r="AS1490" s="44"/>
      <c r="AT1490" s="45"/>
      <c r="AU1490" s="12"/>
      <c r="AV1490" s="12"/>
      <c r="AW1490" s="12"/>
      <c r="AX1490" s="12"/>
      <c r="AY1490" s="44"/>
      <c r="AZ1490" s="45"/>
      <c r="BA1490" s="12"/>
      <c r="BB1490" s="12"/>
      <c r="BC1490" s="12"/>
      <c r="BD1490" s="12"/>
      <c r="BE1490" s="44"/>
      <c r="BF1490" s="45"/>
      <c r="BG1490" s="12"/>
      <c r="BH1490" s="12"/>
      <c r="BI1490" s="12"/>
      <c r="BJ1490" s="12"/>
      <c r="BK1490" s="44"/>
      <c r="BL1490" s="45"/>
      <c r="BM1490" s="12"/>
      <c r="BN1490" s="12"/>
      <c r="BO1490" s="12"/>
      <c r="BP1490" s="12"/>
      <c r="BQ1490" s="48"/>
      <c r="BR1490" s="49"/>
      <c r="BS1490" s="13"/>
      <c r="BT1490" s="12"/>
      <c r="BV1490" s="14"/>
      <c r="BW1490" s="50"/>
      <c r="BX1490" s="54"/>
      <c r="BY1490" s="14"/>
      <c r="BZ1490" s="14"/>
      <c r="CA1490" s="14"/>
      <c r="CB1490" s="14"/>
      <c r="CC1490" s="14"/>
      <c r="CD1490" s="14"/>
      <c r="CE1490" s="14"/>
      <c r="CF1490" s="15"/>
      <c r="CG1490" s="14"/>
      <c r="CH1490" s="14"/>
      <c r="CI1490" s="50"/>
      <c r="CJ1490" s="54"/>
      <c r="CK1490" s="14"/>
      <c r="CL1490" s="14"/>
      <c r="CM1490" s="14"/>
      <c r="CN1490" s="14"/>
      <c r="CO1490" s="14"/>
      <c r="CP1490" s="14"/>
      <c r="CQ1490" s="14"/>
      <c r="CR1490" s="14"/>
      <c r="CS1490" s="14"/>
      <c r="CT1490" s="14"/>
      <c r="CU1490" s="16"/>
      <c r="CV1490" s="14"/>
      <c r="CW1490" s="50"/>
      <c r="CX1490" s="17"/>
    </row>
    <row r="1491" spans="4:102" x14ac:dyDescent="0.25"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43"/>
      <c r="Q1491" s="11"/>
      <c r="R1491" s="11"/>
      <c r="S1491" s="11"/>
      <c r="T1491" s="11"/>
      <c r="U1491" s="11"/>
      <c r="V1491" s="11"/>
      <c r="W1491" s="11"/>
      <c r="X1491" s="12"/>
      <c r="Y1491" s="12"/>
      <c r="Z1491" s="12"/>
      <c r="AA1491" s="44"/>
      <c r="AB1491" s="45"/>
      <c r="AC1491" s="12"/>
      <c r="AD1491" s="12"/>
      <c r="AE1491" s="12"/>
      <c r="AF1491" s="12"/>
      <c r="AG1491" s="44"/>
      <c r="AH1491" s="45"/>
      <c r="AI1491" s="12"/>
      <c r="AJ1491" s="12"/>
      <c r="AK1491" s="12"/>
      <c r="AL1491" s="12"/>
      <c r="AM1491" s="44"/>
      <c r="AN1491" s="45"/>
      <c r="AO1491" s="12"/>
      <c r="AP1491" s="12"/>
      <c r="AQ1491" s="12"/>
      <c r="AR1491" s="12"/>
      <c r="AS1491" s="44"/>
      <c r="AT1491" s="45"/>
      <c r="AU1491" s="12"/>
      <c r="AV1491" s="12"/>
      <c r="AW1491" s="12"/>
      <c r="AX1491" s="12"/>
      <c r="AY1491" s="44"/>
      <c r="AZ1491" s="45"/>
      <c r="BA1491" s="12"/>
      <c r="BB1491" s="12"/>
      <c r="BC1491" s="12"/>
      <c r="BD1491" s="12"/>
      <c r="BE1491" s="44"/>
      <c r="BF1491" s="45"/>
      <c r="BG1491" s="12"/>
      <c r="BH1491" s="12"/>
      <c r="BI1491" s="12"/>
      <c r="BJ1491" s="12"/>
      <c r="BK1491" s="44"/>
      <c r="BL1491" s="45"/>
      <c r="BM1491" s="12"/>
      <c r="BN1491" s="12"/>
      <c r="BO1491" s="12"/>
      <c r="BP1491" s="12"/>
      <c r="BQ1491" s="48"/>
      <c r="BR1491" s="49"/>
      <c r="BS1491" s="13"/>
      <c r="BT1491" s="12"/>
      <c r="BV1491" s="14"/>
      <c r="BW1491" s="50"/>
      <c r="BX1491" s="54"/>
      <c r="BY1491" s="14"/>
      <c r="BZ1491" s="14"/>
      <c r="CA1491" s="14"/>
      <c r="CB1491" s="14"/>
      <c r="CC1491" s="14"/>
      <c r="CD1491" s="14"/>
      <c r="CE1491" s="14"/>
      <c r="CF1491" s="15"/>
      <c r="CG1491" s="14"/>
      <c r="CH1491" s="14"/>
      <c r="CI1491" s="50"/>
      <c r="CJ1491" s="54"/>
      <c r="CK1491" s="14"/>
      <c r="CL1491" s="14"/>
      <c r="CM1491" s="14"/>
      <c r="CN1491" s="14"/>
      <c r="CO1491" s="14"/>
      <c r="CP1491" s="14"/>
      <c r="CQ1491" s="14"/>
      <c r="CR1491" s="14"/>
      <c r="CS1491" s="14"/>
      <c r="CT1491" s="14"/>
      <c r="CU1491" s="16"/>
      <c r="CV1491" s="14"/>
      <c r="CW1491" s="50"/>
      <c r="CX1491" s="17"/>
    </row>
    <row r="1492" spans="4:102" x14ac:dyDescent="0.25"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43"/>
      <c r="Q1492" s="11"/>
      <c r="R1492" s="11"/>
      <c r="S1492" s="11"/>
      <c r="T1492" s="11"/>
      <c r="U1492" s="11"/>
      <c r="V1492" s="11"/>
      <c r="W1492" s="11"/>
      <c r="X1492" s="12"/>
      <c r="Y1492" s="12"/>
      <c r="Z1492" s="12"/>
      <c r="AA1492" s="44"/>
      <c r="AB1492" s="45"/>
      <c r="AC1492" s="12"/>
      <c r="AD1492" s="12"/>
      <c r="AE1492" s="12"/>
      <c r="AF1492" s="12"/>
      <c r="AG1492" s="44"/>
      <c r="AH1492" s="45"/>
      <c r="AI1492" s="12"/>
      <c r="AJ1492" s="12"/>
      <c r="AK1492" s="12"/>
      <c r="AL1492" s="12"/>
      <c r="AM1492" s="44"/>
      <c r="AN1492" s="45"/>
      <c r="AO1492" s="12"/>
      <c r="AP1492" s="12"/>
      <c r="AQ1492" s="12"/>
      <c r="AR1492" s="12"/>
      <c r="AS1492" s="44"/>
      <c r="AT1492" s="45"/>
      <c r="AU1492" s="12"/>
      <c r="AV1492" s="12"/>
      <c r="AW1492" s="12"/>
      <c r="AX1492" s="12"/>
      <c r="AY1492" s="44"/>
      <c r="AZ1492" s="45"/>
      <c r="BA1492" s="12"/>
      <c r="BB1492" s="12"/>
      <c r="BC1492" s="12"/>
      <c r="BD1492" s="12"/>
      <c r="BE1492" s="44"/>
      <c r="BF1492" s="45"/>
      <c r="BG1492" s="12"/>
      <c r="BH1492" s="12"/>
      <c r="BI1492" s="12"/>
      <c r="BJ1492" s="12"/>
      <c r="BK1492" s="44"/>
      <c r="BL1492" s="45"/>
      <c r="BM1492" s="12"/>
      <c r="BN1492" s="12"/>
      <c r="BO1492" s="12"/>
      <c r="BP1492" s="12"/>
      <c r="BQ1492" s="48"/>
      <c r="BR1492" s="49"/>
      <c r="BS1492" s="13"/>
      <c r="BT1492" s="12"/>
      <c r="BV1492" s="14"/>
      <c r="BW1492" s="50"/>
      <c r="BX1492" s="54"/>
      <c r="BY1492" s="14"/>
      <c r="BZ1492" s="14"/>
      <c r="CA1492" s="14"/>
      <c r="CB1492" s="14"/>
      <c r="CC1492" s="14"/>
      <c r="CD1492" s="14"/>
      <c r="CE1492" s="14"/>
      <c r="CF1492" s="15"/>
      <c r="CG1492" s="14"/>
      <c r="CH1492" s="14"/>
      <c r="CI1492" s="50"/>
      <c r="CJ1492" s="54"/>
      <c r="CK1492" s="14"/>
      <c r="CL1492" s="14"/>
      <c r="CM1492" s="14"/>
      <c r="CN1492" s="14"/>
      <c r="CO1492" s="14"/>
      <c r="CP1492" s="14"/>
      <c r="CQ1492" s="14"/>
      <c r="CR1492" s="14"/>
      <c r="CS1492" s="14"/>
      <c r="CT1492" s="14"/>
      <c r="CU1492" s="16"/>
      <c r="CV1492" s="14"/>
      <c r="CW1492" s="50"/>
      <c r="CX1492" s="17"/>
    </row>
    <row r="1493" spans="4:102" x14ac:dyDescent="0.25"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43"/>
      <c r="Q1493" s="11"/>
      <c r="R1493" s="11"/>
      <c r="S1493" s="11"/>
      <c r="T1493" s="11"/>
      <c r="U1493" s="11"/>
      <c r="V1493" s="11"/>
      <c r="W1493" s="11"/>
      <c r="X1493" s="12"/>
      <c r="Y1493" s="12"/>
      <c r="Z1493" s="12"/>
      <c r="AA1493" s="44"/>
      <c r="AB1493" s="45"/>
      <c r="AC1493" s="12"/>
      <c r="AD1493" s="12"/>
      <c r="AE1493" s="12"/>
      <c r="AF1493" s="12"/>
      <c r="AG1493" s="44"/>
      <c r="AH1493" s="45"/>
      <c r="AI1493" s="12"/>
      <c r="AJ1493" s="12"/>
      <c r="AK1493" s="12"/>
      <c r="AL1493" s="12"/>
      <c r="AM1493" s="44"/>
      <c r="AN1493" s="45"/>
      <c r="AO1493" s="12"/>
      <c r="AP1493" s="12"/>
      <c r="AQ1493" s="12"/>
      <c r="AR1493" s="12"/>
      <c r="AS1493" s="44"/>
      <c r="AT1493" s="45"/>
      <c r="AU1493" s="12"/>
      <c r="AV1493" s="12"/>
      <c r="AW1493" s="12"/>
      <c r="AX1493" s="12"/>
      <c r="AY1493" s="44"/>
      <c r="AZ1493" s="45"/>
      <c r="BA1493" s="12"/>
      <c r="BB1493" s="12"/>
      <c r="BC1493" s="12"/>
      <c r="BD1493" s="12"/>
      <c r="BE1493" s="44"/>
      <c r="BF1493" s="45"/>
      <c r="BG1493" s="12"/>
      <c r="BH1493" s="12"/>
      <c r="BI1493" s="12"/>
      <c r="BJ1493" s="12"/>
      <c r="BK1493" s="44"/>
      <c r="BL1493" s="45"/>
      <c r="BM1493" s="12"/>
      <c r="BN1493" s="12"/>
      <c r="BO1493" s="12"/>
      <c r="BP1493" s="12"/>
      <c r="BQ1493" s="48"/>
      <c r="BR1493" s="49"/>
      <c r="BS1493" s="13"/>
      <c r="BT1493" s="12"/>
      <c r="BV1493" s="14"/>
      <c r="BW1493" s="50"/>
      <c r="BX1493" s="54"/>
      <c r="BY1493" s="14"/>
      <c r="BZ1493" s="14"/>
      <c r="CA1493" s="14"/>
      <c r="CB1493" s="14"/>
      <c r="CC1493" s="14"/>
      <c r="CD1493" s="14"/>
      <c r="CE1493" s="14"/>
      <c r="CF1493" s="15"/>
      <c r="CG1493" s="14"/>
      <c r="CH1493" s="14"/>
      <c r="CI1493" s="50"/>
      <c r="CJ1493" s="54"/>
      <c r="CK1493" s="14"/>
      <c r="CL1493" s="14"/>
      <c r="CM1493" s="14"/>
      <c r="CN1493" s="14"/>
      <c r="CO1493" s="14"/>
      <c r="CP1493" s="14"/>
      <c r="CQ1493" s="14"/>
      <c r="CR1493" s="14"/>
      <c r="CS1493" s="14"/>
      <c r="CT1493" s="14"/>
      <c r="CU1493" s="16"/>
      <c r="CV1493" s="14"/>
      <c r="CW1493" s="50"/>
      <c r="CX1493" s="17"/>
    </row>
    <row r="1494" spans="4:102" x14ac:dyDescent="0.25"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43"/>
      <c r="Q1494" s="11"/>
      <c r="R1494" s="11"/>
      <c r="S1494" s="11"/>
      <c r="T1494" s="11"/>
      <c r="U1494" s="11"/>
      <c r="V1494" s="11"/>
      <c r="W1494" s="11"/>
      <c r="X1494" s="12"/>
      <c r="Y1494" s="12"/>
      <c r="Z1494" s="12"/>
      <c r="AA1494" s="44"/>
      <c r="AB1494" s="45"/>
      <c r="AC1494" s="12"/>
      <c r="AD1494" s="12"/>
      <c r="AE1494" s="12"/>
      <c r="AF1494" s="12"/>
      <c r="AG1494" s="44"/>
      <c r="AH1494" s="45"/>
      <c r="AI1494" s="12"/>
      <c r="AJ1494" s="12"/>
      <c r="AK1494" s="12"/>
      <c r="AL1494" s="12"/>
      <c r="AM1494" s="44"/>
      <c r="AN1494" s="45"/>
      <c r="AO1494" s="12"/>
      <c r="AP1494" s="12"/>
      <c r="AQ1494" s="12"/>
      <c r="AR1494" s="12"/>
      <c r="AS1494" s="44"/>
      <c r="AT1494" s="45"/>
      <c r="AU1494" s="12"/>
      <c r="AV1494" s="12"/>
      <c r="AW1494" s="12"/>
      <c r="AX1494" s="12"/>
      <c r="AY1494" s="44"/>
      <c r="AZ1494" s="45"/>
      <c r="BA1494" s="12"/>
      <c r="BB1494" s="12"/>
      <c r="BC1494" s="12"/>
      <c r="BD1494" s="12"/>
      <c r="BE1494" s="44"/>
      <c r="BF1494" s="45"/>
      <c r="BG1494" s="12"/>
      <c r="BH1494" s="12"/>
      <c r="BI1494" s="12"/>
      <c r="BJ1494" s="12"/>
      <c r="BK1494" s="44"/>
      <c r="BL1494" s="45"/>
      <c r="BM1494" s="12"/>
      <c r="BN1494" s="12"/>
      <c r="BO1494" s="12"/>
      <c r="BP1494" s="12"/>
      <c r="BQ1494" s="48"/>
      <c r="BR1494" s="49"/>
      <c r="BS1494" s="13"/>
      <c r="BT1494" s="12"/>
      <c r="BV1494" s="14"/>
      <c r="BW1494" s="50"/>
      <c r="BX1494" s="54"/>
      <c r="BY1494" s="14"/>
      <c r="BZ1494" s="14"/>
      <c r="CA1494" s="14"/>
      <c r="CB1494" s="14"/>
      <c r="CC1494" s="14"/>
      <c r="CD1494" s="14"/>
      <c r="CE1494" s="14"/>
      <c r="CF1494" s="15"/>
      <c r="CG1494" s="14"/>
      <c r="CH1494" s="14"/>
      <c r="CI1494" s="50"/>
      <c r="CJ1494" s="54"/>
      <c r="CK1494" s="14"/>
      <c r="CL1494" s="14"/>
      <c r="CM1494" s="14"/>
      <c r="CN1494" s="14"/>
      <c r="CO1494" s="14"/>
      <c r="CP1494" s="14"/>
      <c r="CQ1494" s="14"/>
      <c r="CR1494" s="14"/>
      <c r="CS1494" s="14"/>
      <c r="CT1494" s="14"/>
      <c r="CU1494" s="16"/>
      <c r="CV1494" s="14"/>
      <c r="CW1494" s="50"/>
      <c r="CX1494" s="17"/>
    </row>
    <row r="1495" spans="4:102" x14ac:dyDescent="0.25"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43"/>
      <c r="Q1495" s="11"/>
      <c r="R1495" s="11"/>
      <c r="S1495" s="11"/>
      <c r="T1495" s="11"/>
      <c r="U1495" s="11"/>
      <c r="V1495" s="11"/>
      <c r="W1495" s="11"/>
      <c r="X1495" s="12"/>
      <c r="Y1495" s="12"/>
      <c r="Z1495" s="12"/>
      <c r="AA1495" s="44"/>
      <c r="AB1495" s="45"/>
      <c r="AC1495" s="12"/>
      <c r="AD1495" s="12"/>
      <c r="AE1495" s="12"/>
      <c r="AF1495" s="12"/>
      <c r="AG1495" s="44"/>
      <c r="AH1495" s="45"/>
      <c r="AI1495" s="12"/>
      <c r="AJ1495" s="12"/>
      <c r="AK1495" s="12"/>
      <c r="AL1495" s="12"/>
      <c r="AM1495" s="44"/>
      <c r="AN1495" s="45"/>
      <c r="AO1495" s="12"/>
      <c r="AP1495" s="12"/>
      <c r="AQ1495" s="12"/>
      <c r="AR1495" s="12"/>
      <c r="AS1495" s="44"/>
      <c r="AT1495" s="45"/>
      <c r="AU1495" s="12"/>
      <c r="AV1495" s="12"/>
      <c r="AW1495" s="12"/>
      <c r="AX1495" s="12"/>
      <c r="AY1495" s="44"/>
      <c r="AZ1495" s="45"/>
      <c r="BA1495" s="12"/>
      <c r="BB1495" s="12"/>
      <c r="BC1495" s="12"/>
      <c r="BD1495" s="12"/>
      <c r="BE1495" s="44"/>
      <c r="BF1495" s="45"/>
      <c r="BG1495" s="12"/>
      <c r="BH1495" s="12"/>
      <c r="BI1495" s="12"/>
      <c r="BJ1495" s="12"/>
      <c r="BK1495" s="44"/>
      <c r="BL1495" s="45"/>
      <c r="BM1495" s="12"/>
      <c r="BN1495" s="12"/>
      <c r="BO1495" s="12"/>
      <c r="BP1495" s="12"/>
      <c r="BQ1495" s="48"/>
      <c r="BR1495" s="49"/>
      <c r="BS1495" s="13"/>
      <c r="BT1495" s="12"/>
      <c r="BV1495" s="14"/>
      <c r="BW1495" s="50"/>
      <c r="BX1495" s="54"/>
      <c r="BY1495" s="14"/>
      <c r="BZ1495" s="14"/>
      <c r="CA1495" s="14"/>
      <c r="CB1495" s="14"/>
      <c r="CC1495" s="14"/>
      <c r="CD1495" s="14"/>
      <c r="CE1495" s="14"/>
      <c r="CF1495" s="15"/>
      <c r="CG1495" s="14"/>
      <c r="CH1495" s="14"/>
      <c r="CI1495" s="50"/>
      <c r="CJ1495" s="54"/>
      <c r="CK1495" s="14"/>
      <c r="CL1495" s="14"/>
      <c r="CM1495" s="14"/>
      <c r="CN1495" s="14"/>
      <c r="CO1495" s="14"/>
      <c r="CP1495" s="14"/>
      <c r="CQ1495" s="14"/>
      <c r="CR1495" s="14"/>
      <c r="CS1495" s="14"/>
      <c r="CT1495" s="14"/>
      <c r="CU1495" s="16"/>
      <c r="CV1495" s="14"/>
      <c r="CW1495" s="50"/>
      <c r="CX1495" s="17"/>
    </row>
    <row r="1496" spans="4:102" x14ac:dyDescent="0.25"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43"/>
      <c r="Q1496" s="11"/>
      <c r="R1496" s="11"/>
      <c r="S1496" s="11"/>
      <c r="T1496" s="11"/>
      <c r="U1496" s="11"/>
      <c r="V1496" s="11"/>
      <c r="W1496" s="11"/>
      <c r="X1496" s="12"/>
      <c r="Y1496" s="12"/>
      <c r="Z1496" s="12"/>
      <c r="AA1496" s="44"/>
      <c r="AB1496" s="45"/>
      <c r="AC1496" s="12"/>
      <c r="AD1496" s="12"/>
      <c r="AE1496" s="12"/>
      <c r="AF1496" s="12"/>
      <c r="AG1496" s="44"/>
      <c r="AH1496" s="45"/>
      <c r="AI1496" s="12"/>
      <c r="AJ1496" s="12"/>
      <c r="AK1496" s="12"/>
      <c r="AL1496" s="12"/>
      <c r="AM1496" s="44"/>
      <c r="AN1496" s="45"/>
      <c r="AO1496" s="12"/>
      <c r="AP1496" s="12"/>
      <c r="AQ1496" s="12"/>
      <c r="AR1496" s="12"/>
      <c r="AS1496" s="44"/>
      <c r="AT1496" s="45"/>
      <c r="AU1496" s="12"/>
      <c r="AV1496" s="12"/>
      <c r="AW1496" s="12"/>
      <c r="AX1496" s="12"/>
      <c r="AY1496" s="44"/>
      <c r="AZ1496" s="45"/>
      <c r="BA1496" s="12"/>
      <c r="BB1496" s="12"/>
      <c r="BC1496" s="12"/>
      <c r="BD1496" s="12"/>
      <c r="BE1496" s="44"/>
      <c r="BF1496" s="45"/>
      <c r="BG1496" s="12"/>
      <c r="BH1496" s="12"/>
      <c r="BI1496" s="12"/>
      <c r="BJ1496" s="12"/>
      <c r="BK1496" s="44"/>
      <c r="BL1496" s="45"/>
      <c r="BM1496" s="12"/>
      <c r="BN1496" s="12"/>
      <c r="BO1496" s="12"/>
      <c r="BP1496" s="12"/>
      <c r="BQ1496" s="48"/>
      <c r="BR1496" s="49"/>
      <c r="BS1496" s="13"/>
      <c r="BT1496" s="12"/>
      <c r="BV1496" s="14"/>
      <c r="BW1496" s="50"/>
      <c r="BX1496" s="54"/>
      <c r="BY1496" s="14"/>
      <c r="BZ1496" s="14"/>
      <c r="CA1496" s="14"/>
      <c r="CB1496" s="14"/>
      <c r="CC1496" s="14"/>
      <c r="CD1496" s="14"/>
      <c r="CE1496" s="14"/>
      <c r="CF1496" s="15"/>
      <c r="CG1496" s="14"/>
      <c r="CH1496" s="14"/>
      <c r="CI1496" s="50"/>
      <c r="CJ1496" s="54"/>
      <c r="CK1496" s="14"/>
      <c r="CL1496" s="14"/>
      <c r="CM1496" s="14"/>
      <c r="CN1496" s="14"/>
      <c r="CO1496" s="14"/>
      <c r="CP1496" s="14"/>
      <c r="CQ1496" s="14"/>
      <c r="CR1496" s="14"/>
      <c r="CS1496" s="14"/>
      <c r="CT1496" s="14"/>
      <c r="CU1496" s="16"/>
      <c r="CV1496" s="14"/>
      <c r="CW1496" s="50"/>
      <c r="CX1496" s="17"/>
    </row>
    <row r="1497" spans="4:102" x14ac:dyDescent="0.25"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43"/>
      <c r="Q1497" s="11"/>
      <c r="R1497" s="11"/>
      <c r="S1497" s="11"/>
      <c r="T1497" s="11"/>
      <c r="U1497" s="11"/>
      <c r="V1497" s="11"/>
      <c r="W1497" s="11"/>
      <c r="X1497" s="12"/>
      <c r="Y1497" s="12"/>
      <c r="Z1497" s="12"/>
      <c r="AA1497" s="44"/>
      <c r="AB1497" s="45"/>
      <c r="AC1497" s="12"/>
      <c r="AD1497" s="12"/>
      <c r="AE1497" s="12"/>
      <c r="AF1497" s="12"/>
      <c r="AG1497" s="44"/>
      <c r="AH1497" s="45"/>
      <c r="AI1497" s="12"/>
      <c r="AJ1497" s="12"/>
      <c r="AK1497" s="12"/>
      <c r="AL1497" s="12"/>
      <c r="AM1497" s="44"/>
      <c r="AN1497" s="45"/>
      <c r="AO1497" s="12"/>
      <c r="AP1497" s="12"/>
      <c r="AQ1497" s="12"/>
      <c r="AR1497" s="12"/>
      <c r="AS1497" s="44"/>
      <c r="AT1497" s="45"/>
      <c r="AU1497" s="12"/>
      <c r="AV1497" s="12"/>
      <c r="AW1497" s="12"/>
      <c r="AX1497" s="12"/>
      <c r="AY1497" s="44"/>
      <c r="AZ1497" s="45"/>
      <c r="BA1497" s="12"/>
      <c r="BB1497" s="12"/>
      <c r="BC1497" s="12"/>
      <c r="BD1497" s="12"/>
      <c r="BE1497" s="44"/>
      <c r="BF1497" s="45"/>
      <c r="BG1497" s="12"/>
      <c r="BH1497" s="12"/>
      <c r="BI1497" s="12"/>
      <c r="BJ1497" s="12"/>
      <c r="BK1497" s="44"/>
      <c r="BL1497" s="45"/>
      <c r="BM1497" s="12"/>
      <c r="BN1497" s="12"/>
      <c r="BO1497" s="12"/>
      <c r="BP1497" s="12"/>
      <c r="BQ1497" s="48"/>
      <c r="BR1497" s="49"/>
      <c r="BS1497" s="13"/>
      <c r="BT1497" s="12"/>
      <c r="BV1497" s="14"/>
      <c r="BW1497" s="50"/>
      <c r="BX1497" s="54"/>
      <c r="BY1497" s="14"/>
      <c r="BZ1497" s="14"/>
      <c r="CA1497" s="14"/>
      <c r="CB1497" s="14"/>
      <c r="CC1497" s="14"/>
      <c r="CD1497" s="14"/>
      <c r="CE1497" s="14"/>
      <c r="CF1497" s="15"/>
      <c r="CG1497" s="14"/>
      <c r="CH1497" s="14"/>
      <c r="CI1497" s="50"/>
      <c r="CJ1497" s="54"/>
      <c r="CK1497" s="14"/>
      <c r="CL1497" s="14"/>
      <c r="CM1497" s="14"/>
      <c r="CN1497" s="14"/>
      <c r="CO1497" s="14"/>
      <c r="CP1497" s="14"/>
      <c r="CQ1497" s="14"/>
      <c r="CR1497" s="14"/>
      <c r="CS1497" s="14"/>
      <c r="CT1497" s="14"/>
      <c r="CU1497" s="16"/>
      <c r="CV1497" s="14"/>
      <c r="CW1497" s="50"/>
      <c r="CX1497" s="17"/>
    </row>
    <row r="1498" spans="4:102" x14ac:dyDescent="0.25"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43"/>
      <c r="Q1498" s="11"/>
      <c r="R1498" s="11"/>
      <c r="S1498" s="11"/>
      <c r="T1498" s="11"/>
      <c r="U1498" s="11"/>
      <c r="V1498" s="11"/>
      <c r="W1498" s="11"/>
      <c r="X1498" s="12"/>
      <c r="Y1498" s="12"/>
      <c r="Z1498" s="12"/>
      <c r="AA1498" s="44"/>
      <c r="AB1498" s="45"/>
      <c r="AC1498" s="12"/>
      <c r="AD1498" s="12"/>
      <c r="AE1498" s="12"/>
      <c r="AF1498" s="12"/>
      <c r="AG1498" s="44"/>
      <c r="AH1498" s="45"/>
      <c r="AI1498" s="12"/>
      <c r="AJ1498" s="12"/>
      <c r="AK1498" s="12"/>
      <c r="AL1498" s="12"/>
      <c r="AM1498" s="44"/>
      <c r="AN1498" s="45"/>
      <c r="AO1498" s="12"/>
      <c r="AP1498" s="12"/>
      <c r="AQ1498" s="12"/>
      <c r="AR1498" s="12"/>
      <c r="AS1498" s="44"/>
      <c r="AT1498" s="45"/>
      <c r="AU1498" s="12"/>
      <c r="AV1498" s="12"/>
      <c r="AW1498" s="12"/>
      <c r="AX1498" s="12"/>
      <c r="AY1498" s="44"/>
      <c r="AZ1498" s="45"/>
      <c r="BA1498" s="12"/>
      <c r="BB1498" s="12"/>
      <c r="BC1498" s="12"/>
      <c r="BD1498" s="12"/>
      <c r="BE1498" s="44"/>
      <c r="BF1498" s="45"/>
      <c r="BG1498" s="12"/>
      <c r="BH1498" s="12"/>
      <c r="BI1498" s="12"/>
      <c r="BJ1498" s="12"/>
      <c r="BK1498" s="44"/>
      <c r="BL1498" s="45"/>
      <c r="BM1498" s="12"/>
      <c r="BN1498" s="12"/>
      <c r="BO1498" s="12"/>
      <c r="BP1498" s="12"/>
      <c r="BQ1498" s="48"/>
      <c r="BR1498" s="49"/>
      <c r="BS1498" s="13"/>
      <c r="BT1498" s="12"/>
      <c r="BV1498" s="14"/>
      <c r="BW1498" s="50"/>
      <c r="BX1498" s="54"/>
      <c r="BY1498" s="14"/>
      <c r="BZ1498" s="14"/>
      <c r="CA1498" s="14"/>
      <c r="CB1498" s="14"/>
      <c r="CC1498" s="14"/>
      <c r="CD1498" s="14"/>
      <c r="CE1498" s="14"/>
      <c r="CF1498" s="15"/>
      <c r="CG1498" s="14"/>
      <c r="CH1498" s="14"/>
      <c r="CI1498" s="50"/>
      <c r="CJ1498" s="54"/>
      <c r="CK1498" s="14"/>
      <c r="CL1498" s="14"/>
      <c r="CM1498" s="14"/>
      <c r="CN1498" s="14"/>
      <c r="CO1498" s="14"/>
      <c r="CP1498" s="14"/>
      <c r="CQ1498" s="14"/>
      <c r="CR1498" s="14"/>
      <c r="CS1498" s="14"/>
      <c r="CT1498" s="14"/>
      <c r="CU1498" s="16"/>
      <c r="CV1498" s="14"/>
      <c r="CW1498" s="50"/>
      <c r="CX1498" s="17"/>
    </row>
    <row r="1499" spans="4:102" x14ac:dyDescent="0.25"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43"/>
      <c r="Q1499" s="11"/>
      <c r="R1499" s="11"/>
      <c r="S1499" s="11"/>
      <c r="T1499" s="11"/>
      <c r="U1499" s="11"/>
      <c r="V1499" s="11"/>
      <c r="W1499" s="11"/>
      <c r="X1499" s="12"/>
      <c r="Y1499" s="12"/>
      <c r="Z1499" s="12"/>
      <c r="AA1499" s="44"/>
      <c r="AB1499" s="45"/>
      <c r="AC1499" s="12"/>
      <c r="AD1499" s="12"/>
      <c r="AE1499" s="12"/>
      <c r="AF1499" s="12"/>
      <c r="AG1499" s="44"/>
      <c r="AH1499" s="45"/>
      <c r="AI1499" s="12"/>
      <c r="AJ1499" s="12"/>
      <c r="AK1499" s="12"/>
      <c r="AL1499" s="12"/>
      <c r="AM1499" s="44"/>
      <c r="AN1499" s="45"/>
      <c r="AO1499" s="12"/>
      <c r="AP1499" s="12"/>
      <c r="AQ1499" s="12"/>
      <c r="AR1499" s="12"/>
      <c r="AS1499" s="44"/>
      <c r="AT1499" s="45"/>
      <c r="AU1499" s="12"/>
      <c r="AV1499" s="12"/>
      <c r="AW1499" s="12"/>
      <c r="AX1499" s="12"/>
      <c r="AY1499" s="44"/>
      <c r="AZ1499" s="45"/>
      <c r="BA1499" s="12"/>
      <c r="BB1499" s="12"/>
      <c r="BC1499" s="12"/>
      <c r="BD1499" s="12"/>
      <c r="BE1499" s="44"/>
      <c r="BF1499" s="45"/>
      <c r="BG1499" s="12"/>
      <c r="BH1499" s="12"/>
      <c r="BI1499" s="12"/>
      <c r="BJ1499" s="12"/>
      <c r="BK1499" s="44"/>
      <c r="BL1499" s="45"/>
      <c r="BM1499" s="12"/>
      <c r="BN1499" s="12"/>
      <c r="BO1499" s="12"/>
      <c r="BP1499" s="12"/>
      <c r="BQ1499" s="48"/>
      <c r="BR1499" s="49"/>
      <c r="BS1499" s="13"/>
      <c r="BT1499" s="12"/>
      <c r="BV1499" s="14"/>
      <c r="BW1499" s="50"/>
      <c r="BX1499" s="54"/>
      <c r="BY1499" s="14"/>
      <c r="BZ1499" s="14"/>
      <c r="CA1499" s="14"/>
      <c r="CB1499" s="14"/>
      <c r="CC1499" s="14"/>
      <c r="CD1499" s="14"/>
      <c r="CE1499" s="14"/>
      <c r="CF1499" s="15"/>
      <c r="CG1499" s="14"/>
      <c r="CH1499" s="14"/>
      <c r="CI1499" s="50"/>
      <c r="CJ1499" s="54"/>
      <c r="CK1499" s="14"/>
      <c r="CL1499" s="14"/>
      <c r="CM1499" s="14"/>
      <c r="CN1499" s="14"/>
      <c r="CO1499" s="14"/>
      <c r="CP1499" s="14"/>
      <c r="CQ1499" s="14"/>
      <c r="CR1499" s="14"/>
      <c r="CS1499" s="14"/>
      <c r="CT1499" s="14"/>
      <c r="CU1499" s="16"/>
      <c r="CV1499" s="14"/>
      <c r="CW1499" s="50"/>
      <c r="CX1499" s="17"/>
    </row>
    <row r="1500" spans="4:102" x14ac:dyDescent="0.25"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43"/>
      <c r="Q1500" s="11"/>
      <c r="R1500" s="11"/>
      <c r="S1500" s="11"/>
      <c r="T1500" s="11"/>
      <c r="U1500" s="11"/>
      <c r="V1500" s="11"/>
      <c r="W1500" s="11"/>
      <c r="X1500" s="12"/>
      <c r="Y1500" s="12"/>
      <c r="Z1500" s="12"/>
      <c r="AA1500" s="44"/>
      <c r="AB1500" s="45"/>
      <c r="AC1500" s="12"/>
      <c r="AD1500" s="12"/>
      <c r="AE1500" s="12"/>
      <c r="AF1500" s="12"/>
      <c r="AG1500" s="44"/>
      <c r="AH1500" s="45"/>
      <c r="AI1500" s="12"/>
      <c r="AJ1500" s="12"/>
      <c r="AK1500" s="12"/>
      <c r="AL1500" s="12"/>
      <c r="AM1500" s="44"/>
      <c r="AN1500" s="45"/>
      <c r="AO1500" s="12"/>
      <c r="AP1500" s="12"/>
      <c r="AQ1500" s="12"/>
      <c r="AR1500" s="12"/>
      <c r="AS1500" s="44"/>
      <c r="AT1500" s="45"/>
      <c r="AU1500" s="12"/>
      <c r="AV1500" s="12"/>
      <c r="AW1500" s="12"/>
      <c r="AX1500" s="12"/>
      <c r="AY1500" s="44"/>
      <c r="AZ1500" s="45"/>
      <c r="BA1500" s="12"/>
      <c r="BB1500" s="12"/>
      <c r="BC1500" s="12"/>
      <c r="BD1500" s="12"/>
      <c r="BE1500" s="44"/>
      <c r="BF1500" s="45"/>
      <c r="BG1500" s="12"/>
      <c r="BH1500" s="12"/>
      <c r="BI1500" s="12"/>
      <c r="BJ1500" s="12"/>
      <c r="BK1500" s="44"/>
      <c r="BL1500" s="45"/>
      <c r="BM1500" s="12"/>
      <c r="BN1500" s="12"/>
      <c r="BO1500" s="12"/>
      <c r="BP1500" s="12"/>
      <c r="BQ1500" s="48"/>
      <c r="BR1500" s="49"/>
      <c r="BS1500" s="13"/>
      <c r="BT1500" s="12"/>
      <c r="BV1500" s="14"/>
      <c r="BW1500" s="50"/>
      <c r="BX1500" s="54"/>
      <c r="BY1500" s="14"/>
      <c r="BZ1500" s="14"/>
      <c r="CA1500" s="14"/>
      <c r="CB1500" s="14"/>
      <c r="CC1500" s="14"/>
      <c r="CD1500" s="14"/>
      <c r="CE1500" s="14"/>
      <c r="CF1500" s="15"/>
      <c r="CG1500" s="14"/>
      <c r="CH1500" s="14"/>
      <c r="CI1500" s="50"/>
      <c r="CJ1500" s="54"/>
      <c r="CK1500" s="14"/>
      <c r="CL1500" s="14"/>
      <c r="CM1500" s="14"/>
      <c r="CN1500" s="14"/>
      <c r="CO1500" s="14"/>
      <c r="CP1500" s="14"/>
      <c r="CQ1500" s="14"/>
      <c r="CR1500" s="14"/>
      <c r="CS1500" s="14"/>
      <c r="CT1500" s="14"/>
      <c r="CU1500" s="16"/>
      <c r="CV1500" s="14"/>
      <c r="CW1500" s="50"/>
      <c r="CX1500" s="17"/>
    </row>
    <row r="1501" spans="4:102" x14ac:dyDescent="0.25"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43"/>
      <c r="Q1501" s="11"/>
      <c r="R1501" s="11"/>
      <c r="S1501" s="11"/>
      <c r="T1501" s="11"/>
      <c r="U1501" s="11"/>
      <c r="V1501" s="11"/>
      <c r="W1501" s="11"/>
      <c r="X1501" s="12"/>
      <c r="Y1501" s="12"/>
      <c r="Z1501" s="12"/>
      <c r="AA1501" s="44"/>
      <c r="AB1501" s="45"/>
      <c r="AC1501" s="12"/>
      <c r="AD1501" s="12"/>
      <c r="AE1501" s="12"/>
      <c r="AF1501" s="12"/>
      <c r="AG1501" s="44"/>
      <c r="AH1501" s="45"/>
      <c r="AI1501" s="12"/>
      <c r="AJ1501" s="12"/>
      <c r="AK1501" s="12"/>
      <c r="AL1501" s="12"/>
      <c r="AM1501" s="44"/>
      <c r="AN1501" s="45"/>
      <c r="AO1501" s="12"/>
      <c r="AP1501" s="12"/>
      <c r="AQ1501" s="12"/>
      <c r="AR1501" s="12"/>
      <c r="AS1501" s="44"/>
      <c r="AT1501" s="45"/>
      <c r="AU1501" s="12"/>
      <c r="AV1501" s="12"/>
      <c r="AW1501" s="12"/>
      <c r="AX1501" s="12"/>
      <c r="AY1501" s="44"/>
      <c r="AZ1501" s="45"/>
      <c r="BA1501" s="12"/>
      <c r="BB1501" s="12"/>
      <c r="BC1501" s="12"/>
      <c r="BD1501" s="12"/>
      <c r="BE1501" s="44"/>
      <c r="BF1501" s="45"/>
      <c r="BG1501" s="12"/>
      <c r="BH1501" s="12"/>
      <c r="BI1501" s="12"/>
      <c r="BJ1501" s="12"/>
      <c r="BK1501" s="44"/>
      <c r="BL1501" s="45"/>
      <c r="BM1501" s="12"/>
      <c r="BN1501" s="12"/>
      <c r="BO1501" s="12"/>
      <c r="BP1501" s="12"/>
      <c r="BQ1501" s="48"/>
      <c r="BR1501" s="49"/>
      <c r="BS1501" s="13"/>
      <c r="BT1501" s="12"/>
      <c r="BV1501" s="14"/>
      <c r="BW1501" s="50"/>
      <c r="BX1501" s="54"/>
      <c r="BY1501" s="14"/>
      <c r="BZ1501" s="14"/>
      <c r="CA1501" s="14"/>
      <c r="CB1501" s="14"/>
      <c r="CC1501" s="14"/>
      <c r="CD1501" s="14"/>
      <c r="CE1501" s="14"/>
      <c r="CF1501" s="15"/>
      <c r="CG1501" s="14"/>
      <c r="CH1501" s="14"/>
      <c r="CI1501" s="50"/>
      <c r="CJ1501" s="54"/>
      <c r="CK1501" s="14"/>
      <c r="CL1501" s="14"/>
      <c r="CM1501" s="14"/>
      <c r="CN1501" s="14"/>
      <c r="CO1501" s="14"/>
      <c r="CP1501" s="14"/>
      <c r="CQ1501" s="14"/>
      <c r="CR1501" s="14"/>
      <c r="CS1501" s="14"/>
      <c r="CT1501" s="14"/>
      <c r="CU1501" s="16"/>
      <c r="CV1501" s="14"/>
      <c r="CW1501" s="50"/>
      <c r="CX1501" s="17"/>
    </row>
    <row r="1502" spans="4:102" x14ac:dyDescent="0.25"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43"/>
      <c r="Q1502" s="11"/>
      <c r="R1502" s="11"/>
      <c r="S1502" s="11"/>
      <c r="T1502" s="11"/>
      <c r="U1502" s="11"/>
      <c r="V1502" s="11"/>
      <c r="W1502" s="11"/>
      <c r="X1502" s="12"/>
      <c r="Y1502" s="12"/>
      <c r="Z1502" s="12"/>
      <c r="AA1502" s="44"/>
      <c r="AB1502" s="45"/>
      <c r="AC1502" s="12"/>
      <c r="AD1502" s="12"/>
      <c r="AE1502" s="12"/>
      <c r="AF1502" s="12"/>
      <c r="AG1502" s="44"/>
      <c r="AH1502" s="45"/>
      <c r="AI1502" s="12"/>
      <c r="AJ1502" s="12"/>
      <c r="AK1502" s="12"/>
      <c r="AL1502" s="12"/>
      <c r="AM1502" s="44"/>
      <c r="AN1502" s="45"/>
      <c r="AO1502" s="12"/>
      <c r="AP1502" s="12"/>
      <c r="AQ1502" s="12"/>
      <c r="AR1502" s="12"/>
      <c r="AS1502" s="44"/>
      <c r="AT1502" s="45"/>
      <c r="AU1502" s="12"/>
      <c r="AV1502" s="12"/>
      <c r="AW1502" s="12"/>
      <c r="AX1502" s="12"/>
      <c r="AY1502" s="44"/>
      <c r="AZ1502" s="45"/>
      <c r="BA1502" s="12"/>
      <c r="BB1502" s="12"/>
      <c r="BC1502" s="12"/>
      <c r="BD1502" s="12"/>
      <c r="BE1502" s="44"/>
      <c r="BF1502" s="45"/>
      <c r="BG1502" s="12"/>
      <c r="BH1502" s="12"/>
      <c r="BI1502" s="12"/>
      <c r="BJ1502" s="12"/>
      <c r="BK1502" s="44"/>
      <c r="BL1502" s="45"/>
      <c r="BM1502" s="12"/>
      <c r="BN1502" s="12"/>
      <c r="BO1502" s="12"/>
      <c r="BP1502" s="12"/>
      <c r="BQ1502" s="48"/>
      <c r="BR1502" s="49"/>
      <c r="BS1502" s="13"/>
      <c r="BT1502" s="12"/>
      <c r="BV1502" s="14"/>
      <c r="BW1502" s="50"/>
      <c r="BX1502" s="54"/>
      <c r="BY1502" s="14"/>
      <c r="BZ1502" s="14"/>
      <c r="CA1502" s="14"/>
      <c r="CB1502" s="14"/>
      <c r="CC1502" s="14"/>
      <c r="CD1502" s="14"/>
      <c r="CE1502" s="14"/>
      <c r="CF1502" s="15"/>
      <c r="CG1502" s="14"/>
      <c r="CH1502" s="14"/>
      <c r="CI1502" s="50"/>
      <c r="CJ1502" s="54"/>
      <c r="CK1502" s="14"/>
      <c r="CL1502" s="14"/>
      <c r="CM1502" s="14"/>
      <c r="CN1502" s="14"/>
      <c r="CO1502" s="14"/>
      <c r="CP1502" s="14"/>
      <c r="CQ1502" s="14"/>
      <c r="CR1502" s="14"/>
      <c r="CS1502" s="14"/>
      <c r="CT1502" s="14"/>
      <c r="CU1502" s="16"/>
      <c r="CV1502" s="14"/>
      <c r="CW1502" s="50"/>
      <c r="CX1502" s="17"/>
    </row>
    <row r="1503" spans="4:102" x14ac:dyDescent="0.25"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43"/>
      <c r="Q1503" s="11"/>
      <c r="R1503" s="11"/>
      <c r="S1503" s="11"/>
      <c r="T1503" s="11"/>
      <c r="U1503" s="11"/>
      <c r="V1503" s="11"/>
      <c r="W1503" s="11"/>
      <c r="X1503" s="12"/>
      <c r="Y1503" s="12"/>
      <c r="Z1503" s="12"/>
      <c r="AA1503" s="44"/>
      <c r="AB1503" s="45"/>
      <c r="AC1503" s="12"/>
      <c r="AD1503" s="12"/>
      <c r="AE1503" s="12"/>
      <c r="AF1503" s="12"/>
      <c r="AG1503" s="44"/>
      <c r="AH1503" s="45"/>
      <c r="AI1503" s="12"/>
      <c r="AJ1503" s="12"/>
      <c r="AK1503" s="12"/>
      <c r="AL1503" s="12"/>
      <c r="AM1503" s="44"/>
      <c r="AN1503" s="45"/>
      <c r="AO1503" s="12"/>
      <c r="AP1503" s="12"/>
      <c r="AQ1503" s="12"/>
      <c r="AR1503" s="12"/>
      <c r="AS1503" s="44"/>
      <c r="AT1503" s="45"/>
      <c r="AU1503" s="12"/>
      <c r="AV1503" s="12"/>
      <c r="AW1503" s="12"/>
      <c r="AX1503" s="12"/>
      <c r="AY1503" s="44"/>
      <c r="AZ1503" s="45"/>
      <c r="BA1503" s="12"/>
      <c r="BB1503" s="12"/>
      <c r="BC1503" s="12"/>
      <c r="BD1503" s="12"/>
      <c r="BE1503" s="44"/>
      <c r="BF1503" s="45"/>
      <c r="BG1503" s="12"/>
      <c r="BH1503" s="12"/>
      <c r="BI1503" s="12"/>
      <c r="BJ1503" s="12"/>
      <c r="BK1503" s="44"/>
      <c r="BL1503" s="45"/>
      <c r="BM1503" s="12"/>
      <c r="BN1503" s="12"/>
      <c r="BO1503" s="12"/>
      <c r="BP1503" s="12"/>
      <c r="BQ1503" s="48"/>
      <c r="BR1503" s="49"/>
      <c r="BS1503" s="13"/>
      <c r="BT1503" s="12"/>
      <c r="BV1503" s="14"/>
      <c r="BW1503" s="50"/>
      <c r="BX1503" s="54"/>
      <c r="BY1503" s="14"/>
      <c r="BZ1503" s="14"/>
      <c r="CA1503" s="14"/>
      <c r="CB1503" s="14"/>
      <c r="CC1503" s="14"/>
      <c r="CD1503" s="14"/>
      <c r="CE1503" s="14"/>
      <c r="CF1503" s="15"/>
      <c r="CG1503" s="14"/>
      <c r="CH1503" s="14"/>
      <c r="CI1503" s="50"/>
      <c r="CJ1503" s="54"/>
      <c r="CK1503" s="14"/>
      <c r="CL1503" s="14"/>
      <c r="CM1503" s="14"/>
      <c r="CN1503" s="14"/>
      <c r="CO1503" s="14"/>
      <c r="CP1503" s="14"/>
      <c r="CQ1503" s="14"/>
      <c r="CR1503" s="14"/>
      <c r="CS1503" s="14"/>
      <c r="CT1503" s="14"/>
      <c r="CU1503" s="16"/>
      <c r="CV1503" s="14"/>
      <c r="CW1503" s="50"/>
      <c r="CX1503" s="17"/>
    </row>
    <row r="1504" spans="4:102" x14ac:dyDescent="0.25"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43"/>
      <c r="Q1504" s="11"/>
      <c r="R1504" s="11"/>
      <c r="S1504" s="11"/>
      <c r="T1504" s="11"/>
      <c r="U1504" s="11"/>
      <c r="V1504" s="11"/>
      <c r="W1504" s="11"/>
      <c r="X1504" s="12"/>
      <c r="Y1504" s="12"/>
      <c r="Z1504" s="12"/>
      <c r="AA1504" s="44"/>
      <c r="AB1504" s="45"/>
      <c r="AC1504" s="12"/>
      <c r="AD1504" s="12"/>
      <c r="AE1504" s="12"/>
      <c r="AF1504" s="12"/>
      <c r="AG1504" s="44"/>
      <c r="AH1504" s="45"/>
      <c r="AI1504" s="12"/>
      <c r="AJ1504" s="12"/>
      <c r="AK1504" s="12"/>
      <c r="AL1504" s="12"/>
      <c r="AM1504" s="44"/>
      <c r="AN1504" s="45"/>
      <c r="AO1504" s="12"/>
      <c r="AP1504" s="12"/>
      <c r="AQ1504" s="12"/>
      <c r="AR1504" s="12"/>
      <c r="AS1504" s="44"/>
      <c r="AT1504" s="45"/>
      <c r="AU1504" s="12"/>
      <c r="AV1504" s="12"/>
      <c r="AW1504" s="12"/>
      <c r="AX1504" s="12"/>
      <c r="AY1504" s="44"/>
      <c r="AZ1504" s="45"/>
      <c r="BA1504" s="12"/>
      <c r="BB1504" s="12"/>
      <c r="BC1504" s="12"/>
      <c r="BD1504" s="12"/>
      <c r="BE1504" s="44"/>
      <c r="BF1504" s="45"/>
      <c r="BG1504" s="12"/>
      <c r="BH1504" s="12"/>
      <c r="BI1504" s="12"/>
      <c r="BJ1504" s="12"/>
      <c r="BK1504" s="44"/>
      <c r="BL1504" s="45"/>
      <c r="BM1504" s="12"/>
      <c r="BN1504" s="12"/>
      <c r="BO1504" s="12"/>
      <c r="BP1504" s="12"/>
      <c r="BQ1504" s="48"/>
      <c r="BR1504" s="49"/>
      <c r="BS1504" s="13"/>
      <c r="BT1504" s="12"/>
      <c r="BV1504" s="14"/>
      <c r="BW1504" s="50"/>
      <c r="BX1504" s="54"/>
      <c r="BY1504" s="14"/>
      <c r="BZ1504" s="14"/>
      <c r="CA1504" s="14"/>
      <c r="CB1504" s="14"/>
      <c r="CC1504" s="14"/>
      <c r="CD1504" s="14"/>
      <c r="CE1504" s="14"/>
      <c r="CF1504" s="15"/>
      <c r="CG1504" s="14"/>
      <c r="CH1504" s="14"/>
      <c r="CI1504" s="50"/>
      <c r="CJ1504" s="54"/>
      <c r="CK1504" s="14"/>
      <c r="CL1504" s="14"/>
      <c r="CM1504" s="14"/>
      <c r="CN1504" s="14"/>
      <c r="CO1504" s="14"/>
      <c r="CP1504" s="14"/>
      <c r="CQ1504" s="14"/>
      <c r="CR1504" s="14"/>
      <c r="CS1504" s="14"/>
      <c r="CT1504" s="14"/>
      <c r="CU1504" s="16"/>
      <c r="CV1504" s="14"/>
      <c r="CW1504" s="50"/>
      <c r="CX1504" s="17"/>
    </row>
    <row r="1505" spans="4:102" x14ac:dyDescent="0.25"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43"/>
      <c r="Q1505" s="11"/>
      <c r="R1505" s="11"/>
      <c r="S1505" s="11"/>
      <c r="T1505" s="11"/>
      <c r="U1505" s="11"/>
      <c r="V1505" s="11"/>
      <c r="W1505" s="11"/>
      <c r="X1505" s="12"/>
      <c r="Y1505" s="12"/>
      <c r="Z1505" s="12"/>
      <c r="AA1505" s="44"/>
      <c r="AB1505" s="45"/>
      <c r="AC1505" s="12"/>
      <c r="AD1505" s="12"/>
      <c r="AE1505" s="12"/>
      <c r="AF1505" s="12"/>
      <c r="AG1505" s="44"/>
      <c r="AH1505" s="45"/>
      <c r="AI1505" s="12"/>
      <c r="AJ1505" s="12"/>
      <c r="AK1505" s="12"/>
      <c r="AL1505" s="12"/>
      <c r="AM1505" s="44"/>
      <c r="AN1505" s="45"/>
      <c r="AO1505" s="12"/>
      <c r="AP1505" s="12"/>
      <c r="AQ1505" s="12"/>
      <c r="AR1505" s="12"/>
      <c r="AS1505" s="44"/>
      <c r="AT1505" s="45"/>
      <c r="AU1505" s="12"/>
      <c r="AV1505" s="12"/>
      <c r="AW1505" s="12"/>
      <c r="AX1505" s="12"/>
      <c r="AY1505" s="44"/>
      <c r="AZ1505" s="45"/>
      <c r="BA1505" s="12"/>
      <c r="BB1505" s="12"/>
      <c r="BC1505" s="12"/>
      <c r="BD1505" s="12"/>
      <c r="BE1505" s="44"/>
      <c r="BF1505" s="45"/>
      <c r="BG1505" s="12"/>
      <c r="BH1505" s="12"/>
      <c r="BI1505" s="12"/>
      <c r="BJ1505" s="12"/>
      <c r="BK1505" s="44"/>
      <c r="BL1505" s="45"/>
      <c r="BM1505" s="12"/>
      <c r="BN1505" s="12"/>
      <c r="BO1505" s="12"/>
      <c r="BP1505" s="12"/>
      <c r="BQ1505" s="48"/>
      <c r="BR1505" s="49"/>
      <c r="BS1505" s="13"/>
      <c r="BT1505" s="12"/>
      <c r="BV1505" s="14"/>
      <c r="BW1505" s="50"/>
      <c r="BX1505" s="54"/>
      <c r="BY1505" s="14"/>
      <c r="BZ1505" s="14"/>
      <c r="CA1505" s="14"/>
      <c r="CB1505" s="14"/>
      <c r="CC1505" s="14"/>
      <c r="CD1505" s="14"/>
      <c r="CE1505" s="14"/>
      <c r="CF1505" s="15"/>
      <c r="CG1505" s="14"/>
      <c r="CH1505" s="14"/>
      <c r="CI1505" s="50"/>
      <c r="CJ1505" s="54"/>
      <c r="CK1505" s="14"/>
      <c r="CL1505" s="14"/>
      <c r="CM1505" s="14"/>
      <c r="CN1505" s="14"/>
      <c r="CO1505" s="14"/>
      <c r="CP1505" s="14"/>
      <c r="CQ1505" s="14"/>
      <c r="CR1505" s="14"/>
      <c r="CS1505" s="14"/>
      <c r="CT1505" s="14"/>
      <c r="CU1505" s="16"/>
      <c r="CV1505" s="14"/>
      <c r="CW1505" s="50"/>
      <c r="CX1505" s="17"/>
    </row>
    <row r="1506" spans="4:102" x14ac:dyDescent="0.25"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43"/>
      <c r="Q1506" s="11"/>
      <c r="R1506" s="11"/>
      <c r="S1506" s="11"/>
      <c r="T1506" s="11"/>
      <c r="U1506" s="11"/>
      <c r="V1506" s="11"/>
      <c r="W1506" s="11"/>
      <c r="X1506" s="12"/>
      <c r="Y1506" s="12"/>
      <c r="Z1506" s="12"/>
      <c r="AA1506" s="44"/>
      <c r="AB1506" s="45"/>
      <c r="AC1506" s="12"/>
      <c r="AD1506" s="12"/>
      <c r="AE1506" s="12"/>
      <c r="AF1506" s="12"/>
      <c r="AG1506" s="44"/>
      <c r="AH1506" s="45"/>
      <c r="AI1506" s="12"/>
      <c r="AJ1506" s="12"/>
      <c r="AK1506" s="12"/>
      <c r="AL1506" s="12"/>
      <c r="AM1506" s="44"/>
      <c r="AN1506" s="45"/>
      <c r="AO1506" s="12"/>
      <c r="AP1506" s="12"/>
      <c r="AQ1506" s="12"/>
      <c r="AR1506" s="12"/>
      <c r="AS1506" s="44"/>
      <c r="AT1506" s="45"/>
      <c r="AU1506" s="12"/>
      <c r="AV1506" s="12"/>
      <c r="AW1506" s="12"/>
      <c r="AX1506" s="12"/>
      <c r="AY1506" s="44"/>
      <c r="AZ1506" s="45"/>
      <c r="BA1506" s="12"/>
      <c r="BB1506" s="12"/>
      <c r="BC1506" s="12"/>
      <c r="BD1506" s="12"/>
      <c r="BE1506" s="44"/>
      <c r="BF1506" s="45"/>
      <c r="BG1506" s="12"/>
      <c r="BH1506" s="12"/>
      <c r="BI1506" s="12"/>
      <c r="BJ1506" s="12"/>
      <c r="BK1506" s="44"/>
      <c r="BL1506" s="45"/>
      <c r="BM1506" s="12"/>
      <c r="BN1506" s="12"/>
      <c r="BO1506" s="12"/>
      <c r="BP1506" s="12"/>
      <c r="BQ1506" s="48"/>
      <c r="BR1506" s="49"/>
      <c r="BS1506" s="13"/>
      <c r="BT1506" s="12"/>
      <c r="BV1506" s="14"/>
      <c r="BW1506" s="50"/>
      <c r="BX1506" s="54"/>
      <c r="BY1506" s="14"/>
      <c r="BZ1506" s="14"/>
      <c r="CA1506" s="14"/>
      <c r="CB1506" s="14"/>
      <c r="CC1506" s="14"/>
      <c r="CD1506" s="14"/>
      <c r="CE1506" s="14"/>
      <c r="CF1506" s="15"/>
      <c r="CG1506" s="14"/>
      <c r="CH1506" s="14"/>
      <c r="CI1506" s="50"/>
      <c r="CJ1506" s="54"/>
      <c r="CK1506" s="14"/>
      <c r="CL1506" s="14"/>
      <c r="CM1506" s="14"/>
      <c r="CN1506" s="14"/>
      <c r="CO1506" s="14"/>
      <c r="CP1506" s="14"/>
      <c r="CQ1506" s="14"/>
      <c r="CR1506" s="14"/>
      <c r="CS1506" s="14"/>
      <c r="CT1506" s="14"/>
      <c r="CU1506" s="16"/>
      <c r="CV1506" s="14"/>
      <c r="CW1506" s="50"/>
      <c r="CX1506" s="17"/>
    </row>
    <row r="1507" spans="4:102" x14ac:dyDescent="0.25"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43"/>
      <c r="Q1507" s="11"/>
      <c r="R1507" s="11"/>
      <c r="S1507" s="11"/>
      <c r="T1507" s="11"/>
      <c r="U1507" s="11"/>
      <c r="V1507" s="11"/>
      <c r="W1507" s="11"/>
      <c r="X1507" s="12"/>
      <c r="Y1507" s="12"/>
      <c r="Z1507" s="12"/>
      <c r="AA1507" s="44"/>
      <c r="AB1507" s="45"/>
      <c r="AC1507" s="12"/>
      <c r="AD1507" s="12"/>
      <c r="AE1507" s="12"/>
      <c r="AF1507" s="12"/>
      <c r="AG1507" s="44"/>
      <c r="AH1507" s="45"/>
      <c r="AI1507" s="12"/>
      <c r="AJ1507" s="12"/>
      <c r="AK1507" s="12"/>
      <c r="AL1507" s="12"/>
      <c r="AM1507" s="44"/>
      <c r="AN1507" s="45"/>
      <c r="AO1507" s="12"/>
      <c r="AP1507" s="12"/>
      <c r="AQ1507" s="12"/>
      <c r="AR1507" s="12"/>
      <c r="AS1507" s="44"/>
      <c r="AT1507" s="45"/>
      <c r="AU1507" s="12"/>
      <c r="AV1507" s="12"/>
      <c r="AW1507" s="12"/>
      <c r="AX1507" s="12"/>
      <c r="AY1507" s="44"/>
      <c r="AZ1507" s="45"/>
      <c r="BA1507" s="12"/>
      <c r="BB1507" s="12"/>
      <c r="BC1507" s="12"/>
      <c r="BD1507" s="12"/>
      <c r="BE1507" s="44"/>
      <c r="BF1507" s="45"/>
      <c r="BG1507" s="12"/>
      <c r="BH1507" s="12"/>
      <c r="BI1507" s="12"/>
      <c r="BJ1507" s="12"/>
      <c r="BK1507" s="44"/>
      <c r="BL1507" s="45"/>
      <c r="BM1507" s="12"/>
      <c r="BN1507" s="12"/>
      <c r="BO1507" s="12"/>
      <c r="BP1507" s="12"/>
      <c r="BQ1507" s="48"/>
      <c r="BR1507" s="49"/>
      <c r="BS1507" s="13"/>
      <c r="BT1507" s="12"/>
      <c r="BV1507" s="14"/>
      <c r="BW1507" s="50"/>
      <c r="BX1507" s="54"/>
      <c r="BY1507" s="14"/>
      <c r="BZ1507" s="14"/>
      <c r="CA1507" s="14"/>
      <c r="CB1507" s="14"/>
      <c r="CC1507" s="14"/>
      <c r="CD1507" s="14"/>
      <c r="CE1507" s="14"/>
      <c r="CF1507" s="15"/>
      <c r="CG1507" s="14"/>
      <c r="CH1507" s="14"/>
      <c r="CI1507" s="50"/>
      <c r="CJ1507" s="54"/>
      <c r="CK1507" s="14"/>
      <c r="CL1507" s="14"/>
      <c r="CM1507" s="14"/>
      <c r="CN1507" s="14"/>
      <c r="CO1507" s="14"/>
      <c r="CP1507" s="14"/>
      <c r="CQ1507" s="14"/>
      <c r="CR1507" s="14"/>
      <c r="CS1507" s="14"/>
      <c r="CT1507" s="14"/>
      <c r="CU1507" s="16"/>
      <c r="CV1507" s="14"/>
      <c r="CW1507" s="50"/>
      <c r="CX1507" s="17"/>
    </row>
    <row r="1508" spans="4:102" x14ac:dyDescent="0.25"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43"/>
      <c r="Q1508" s="11"/>
      <c r="R1508" s="11"/>
      <c r="S1508" s="11"/>
      <c r="T1508" s="11"/>
      <c r="U1508" s="11"/>
      <c r="V1508" s="11"/>
      <c r="W1508" s="11"/>
      <c r="X1508" s="12"/>
      <c r="Y1508" s="12"/>
      <c r="Z1508" s="12"/>
      <c r="AA1508" s="44"/>
      <c r="AB1508" s="45"/>
      <c r="AC1508" s="12"/>
      <c r="AD1508" s="12"/>
      <c r="AE1508" s="12"/>
      <c r="AF1508" s="12"/>
      <c r="AG1508" s="44"/>
      <c r="AH1508" s="45"/>
      <c r="AI1508" s="12"/>
      <c r="AJ1508" s="12"/>
      <c r="AK1508" s="12"/>
      <c r="AL1508" s="12"/>
      <c r="AM1508" s="44"/>
      <c r="AN1508" s="45"/>
      <c r="AO1508" s="12"/>
      <c r="AP1508" s="12"/>
      <c r="AQ1508" s="12"/>
      <c r="AR1508" s="12"/>
      <c r="AS1508" s="44"/>
      <c r="AT1508" s="45"/>
      <c r="AU1508" s="12"/>
      <c r="AV1508" s="12"/>
      <c r="AW1508" s="12"/>
      <c r="AX1508" s="12"/>
      <c r="AY1508" s="44"/>
      <c r="AZ1508" s="45"/>
      <c r="BA1508" s="12"/>
      <c r="BB1508" s="12"/>
      <c r="BC1508" s="12"/>
      <c r="BD1508" s="12"/>
      <c r="BE1508" s="44"/>
      <c r="BF1508" s="45"/>
      <c r="BG1508" s="12"/>
      <c r="BH1508" s="12"/>
      <c r="BI1508" s="12"/>
      <c r="BJ1508" s="12"/>
      <c r="BK1508" s="44"/>
      <c r="BL1508" s="45"/>
      <c r="BM1508" s="12"/>
      <c r="BN1508" s="12"/>
      <c r="BO1508" s="12"/>
      <c r="BP1508" s="12"/>
      <c r="BQ1508" s="48"/>
      <c r="BR1508" s="49"/>
      <c r="BS1508" s="13"/>
      <c r="BT1508" s="12"/>
      <c r="BV1508" s="14"/>
      <c r="BW1508" s="50"/>
      <c r="BX1508" s="54"/>
      <c r="BY1508" s="14"/>
      <c r="BZ1508" s="14"/>
      <c r="CA1508" s="14"/>
      <c r="CB1508" s="14"/>
      <c r="CC1508" s="14"/>
      <c r="CD1508" s="14"/>
      <c r="CE1508" s="14"/>
      <c r="CF1508" s="15"/>
      <c r="CG1508" s="14"/>
      <c r="CH1508" s="14"/>
      <c r="CI1508" s="50"/>
      <c r="CJ1508" s="54"/>
      <c r="CK1508" s="14"/>
      <c r="CL1508" s="14"/>
      <c r="CM1508" s="14"/>
      <c r="CN1508" s="14"/>
      <c r="CO1508" s="14"/>
      <c r="CP1508" s="14"/>
      <c r="CQ1508" s="14"/>
      <c r="CR1508" s="14"/>
      <c r="CS1508" s="14"/>
      <c r="CT1508" s="14"/>
      <c r="CU1508" s="16"/>
      <c r="CV1508" s="14"/>
      <c r="CW1508" s="50"/>
      <c r="CX1508" s="17"/>
    </row>
    <row r="1509" spans="4:102" x14ac:dyDescent="0.25"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43"/>
      <c r="Q1509" s="11"/>
      <c r="R1509" s="11"/>
      <c r="S1509" s="11"/>
      <c r="T1509" s="11"/>
      <c r="U1509" s="11"/>
      <c r="V1509" s="11"/>
      <c r="W1509" s="11"/>
      <c r="X1509" s="12"/>
      <c r="Y1509" s="12"/>
      <c r="Z1509" s="12"/>
      <c r="AA1509" s="44"/>
      <c r="AB1509" s="45"/>
      <c r="AC1509" s="12"/>
      <c r="AD1509" s="12"/>
      <c r="AE1509" s="12"/>
      <c r="AF1509" s="12"/>
      <c r="AG1509" s="44"/>
      <c r="AH1509" s="45"/>
      <c r="AI1509" s="12"/>
      <c r="AJ1509" s="12"/>
      <c r="AK1509" s="12"/>
      <c r="AL1509" s="12"/>
      <c r="AM1509" s="44"/>
      <c r="AN1509" s="45"/>
      <c r="AO1509" s="12"/>
      <c r="AP1509" s="12"/>
      <c r="AQ1509" s="12"/>
      <c r="AR1509" s="12"/>
      <c r="AS1509" s="44"/>
      <c r="AT1509" s="45"/>
      <c r="AU1509" s="12"/>
      <c r="AV1509" s="12"/>
      <c r="AW1509" s="12"/>
      <c r="AX1509" s="12"/>
      <c r="AY1509" s="44"/>
      <c r="AZ1509" s="45"/>
      <c r="BA1509" s="12"/>
      <c r="BB1509" s="12"/>
      <c r="BC1509" s="12"/>
      <c r="BD1509" s="12"/>
      <c r="BE1509" s="44"/>
      <c r="BF1509" s="45"/>
      <c r="BG1509" s="12"/>
      <c r="BH1509" s="12"/>
      <c r="BI1509" s="12"/>
      <c r="BJ1509" s="12"/>
      <c r="BK1509" s="44"/>
      <c r="BL1509" s="45"/>
      <c r="BM1509" s="12"/>
      <c r="BN1509" s="12"/>
      <c r="BO1509" s="12"/>
      <c r="BP1509" s="12"/>
      <c r="BQ1509" s="48"/>
      <c r="BR1509" s="49"/>
      <c r="BS1509" s="13"/>
      <c r="BT1509" s="12"/>
      <c r="BV1509" s="14"/>
      <c r="BW1509" s="50"/>
      <c r="BX1509" s="54"/>
      <c r="BY1509" s="14"/>
      <c r="BZ1509" s="14"/>
      <c r="CA1509" s="14"/>
      <c r="CB1509" s="14"/>
      <c r="CC1509" s="14"/>
      <c r="CD1509" s="14"/>
      <c r="CE1509" s="14"/>
      <c r="CF1509" s="15"/>
      <c r="CG1509" s="14"/>
      <c r="CH1509" s="14"/>
      <c r="CI1509" s="50"/>
      <c r="CJ1509" s="54"/>
      <c r="CK1509" s="14"/>
      <c r="CL1509" s="14"/>
      <c r="CM1509" s="14"/>
      <c r="CN1509" s="14"/>
      <c r="CO1509" s="14"/>
      <c r="CP1509" s="14"/>
      <c r="CQ1509" s="14"/>
      <c r="CR1509" s="14"/>
      <c r="CS1509" s="14"/>
      <c r="CT1509" s="14"/>
      <c r="CU1509" s="16"/>
      <c r="CV1509" s="14"/>
      <c r="CW1509" s="50"/>
      <c r="CX1509" s="17"/>
    </row>
    <row r="1510" spans="4:102" x14ac:dyDescent="0.25"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43"/>
      <c r="Q1510" s="11"/>
      <c r="R1510" s="11"/>
      <c r="S1510" s="11"/>
      <c r="T1510" s="11"/>
      <c r="U1510" s="11"/>
      <c r="V1510" s="11"/>
      <c r="W1510" s="11"/>
      <c r="X1510" s="12"/>
      <c r="Y1510" s="12"/>
      <c r="Z1510" s="12"/>
      <c r="AA1510" s="44"/>
      <c r="AB1510" s="45"/>
      <c r="AC1510" s="12"/>
      <c r="AD1510" s="12"/>
      <c r="AE1510" s="12"/>
      <c r="AF1510" s="12"/>
      <c r="AG1510" s="44"/>
      <c r="AH1510" s="45"/>
      <c r="AI1510" s="12"/>
      <c r="AJ1510" s="12"/>
      <c r="AK1510" s="12"/>
      <c r="AL1510" s="12"/>
      <c r="AM1510" s="44"/>
      <c r="AN1510" s="45"/>
      <c r="AO1510" s="12"/>
      <c r="AP1510" s="12"/>
      <c r="AQ1510" s="12"/>
      <c r="AR1510" s="12"/>
      <c r="AS1510" s="44"/>
      <c r="AT1510" s="45"/>
      <c r="AU1510" s="12"/>
      <c r="AV1510" s="12"/>
      <c r="AW1510" s="12"/>
      <c r="AX1510" s="12"/>
      <c r="AY1510" s="44"/>
      <c r="AZ1510" s="45"/>
      <c r="BA1510" s="12"/>
      <c r="BB1510" s="12"/>
      <c r="BC1510" s="12"/>
      <c r="BD1510" s="12"/>
      <c r="BE1510" s="44"/>
      <c r="BF1510" s="45"/>
      <c r="BG1510" s="12"/>
      <c r="BH1510" s="12"/>
      <c r="BI1510" s="12"/>
      <c r="BJ1510" s="12"/>
      <c r="BK1510" s="44"/>
      <c r="BL1510" s="45"/>
      <c r="BM1510" s="12"/>
      <c r="BN1510" s="12"/>
      <c r="BO1510" s="12"/>
      <c r="BP1510" s="12"/>
      <c r="BQ1510" s="48"/>
      <c r="BR1510" s="49"/>
      <c r="BS1510" s="13"/>
      <c r="BT1510" s="12"/>
      <c r="BV1510" s="14"/>
      <c r="BW1510" s="50"/>
      <c r="BX1510" s="54"/>
      <c r="BY1510" s="14"/>
      <c r="BZ1510" s="14"/>
      <c r="CA1510" s="14"/>
      <c r="CB1510" s="14"/>
      <c r="CC1510" s="14"/>
      <c r="CD1510" s="14"/>
      <c r="CE1510" s="14"/>
      <c r="CF1510" s="15"/>
      <c r="CG1510" s="14"/>
      <c r="CH1510" s="14"/>
      <c r="CI1510" s="50"/>
      <c r="CJ1510" s="54"/>
      <c r="CK1510" s="14"/>
      <c r="CL1510" s="14"/>
      <c r="CM1510" s="14"/>
      <c r="CN1510" s="14"/>
      <c r="CO1510" s="14"/>
      <c r="CP1510" s="14"/>
      <c r="CQ1510" s="14"/>
      <c r="CR1510" s="14"/>
      <c r="CS1510" s="14"/>
      <c r="CT1510" s="14"/>
      <c r="CU1510" s="16"/>
      <c r="CV1510" s="14"/>
      <c r="CW1510" s="50"/>
      <c r="CX1510" s="17"/>
    </row>
    <row r="1511" spans="4:102" x14ac:dyDescent="0.25"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43"/>
      <c r="Q1511" s="11"/>
      <c r="R1511" s="11"/>
      <c r="S1511" s="11"/>
      <c r="T1511" s="11"/>
      <c r="U1511" s="11"/>
      <c r="V1511" s="11"/>
      <c r="W1511" s="11"/>
      <c r="X1511" s="12"/>
      <c r="Y1511" s="12"/>
      <c r="Z1511" s="12"/>
      <c r="AA1511" s="44"/>
      <c r="AB1511" s="45"/>
      <c r="AC1511" s="12"/>
      <c r="AD1511" s="12"/>
      <c r="AE1511" s="12"/>
      <c r="AF1511" s="12"/>
      <c r="AG1511" s="44"/>
      <c r="AH1511" s="45"/>
      <c r="AI1511" s="12"/>
      <c r="AJ1511" s="12"/>
      <c r="AK1511" s="12"/>
      <c r="AL1511" s="12"/>
      <c r="AM1511" s="44"/>
      <c r="AN1511" s="45"/>
      <c r="AO1511" s="12"/>
      <c r="AP1511" s="12"/>
      <c r="AQ1511" s="12"/>
      <c r="AR1511" s="12"/>
      <c r="AS1511" s="44"/>
      <c r="AT1511" s="45"/>
      <c r="AU1511" s="12"/>
      <c r="AV1511" s="12"/>
      <c r="AW1511" s="12"/>
      <c r="AX1511" s="12"/>
      <c r="AY1511" s="44"/>
      <c r="AZ1511" s="45"/>
      <c r="BA1511" s="12"/>
      <c r="BB1511" s="12"/>
      <c r="BC1511" s="12"/>
      <c r="BD1511" s="12"/>
      <c r="BE1511" s="44"/>
      <c r="BF1511" s="45"/>
      <c r="BG1511" s="12"/>
      <c r="BH1511" s="12"/>
      <c r="BI1511" s="12"/>
      <c r="BJ1511" s="12"/>
      <c r="BK1511" s="44"/>
      <c r="BL1511" s="45"/>
      <c r="BM1511" s="12"/>
      <c r="BN1511" s="12"/>
      <c r="BO1511" s="12"/>
      <c r="BP1511" s="12"/>
      <c r="BQ1511" s="48"/>
      <c r="BR1511" s="49"/>
      <c r="BS1511" s="13"/>
      <c r="BT1511" s="12"/>
      <c r="BV1511" s="14"/>
      <c r="BW1511" s="50"/>
      <c r="BX1511" s="54"/>
      <c r="BY1511" s="14"/>
      <c r="BZ1511" s="14"/>
      <c r="CA1511" s="14"/>
      <c r="CB1511" s="14"/>
      <c r="CC1511" s="14"/>
      <c r="CD1511" s="14"/>
      <c r="CE1511" s="14"/>
      <c r="CF1511" s="15"/>
      <c r="CG1511" s="14"/>
      <c r="CH1511" s="14"/>
      <c r="CI1511" s="50"/>
      <c r="CJ1511" s="54"/>
      <c r="CK1511" s="14"/>
      <c r="CL1511" s="14"/>
      <c r="CM1511" s="14"/>
      <c r="CN1511" s="14"/>
      <c r="CO1511" s="14"/>
      <c r="CP1511" s="14"/>
      <c r="CQ1511" s="14"/>
      <c r="CR1511" s="14"/>
      <c r="CS1511" s="14"/>
      <c r="CT1511" s="14"/>
      <c r="CU1511" s="16"/>
      <c r="CV1511" s="14"/>
      <c r="CW1511" s="50"/>
      <c r="CX1511" s="17"/>
    </row>
    <row r="1512" spans="4:102" x14ac:dyDescent="0.25"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43"/>
      <c r="Q1512" s="11"/>
      <c r="R1512" s="11"/>
      <c r="S1512" s="11"/>
      <c r="T1512" s="11"/>
      <c r="U1512" s="11"/>
      <c r="V1512" s="11"/>
      <c r="W1512" s="11"/>
      <c r="X1512" s="12"/>
      <c r="Y1512" s="12"/>
      <c r="Z1512" s="12"/>
      <c r="AA1512" s="44"/>
      <c r="AB1512" s="45"/>
      <c r="AC1512" s="12"/>
      <c r="AD1512" s="12"/>
      <c r="AE1512" s="12"/>
      <c r="AF1512" s="12"/>
      <c r="AG1512" s="44"/>
      <c r="AH1512" s="45"/>
      <c r="AI1512" s="12"/>
      <c r="AJ1512" s="12"/>
      <c r="AK1512" s="12"/>
      <c r="AL1512" s="12"/>
      <c r="AM1512" s="44"/>
      <c r="AN1512" s="45"/>
      <c r="AO1512" s="12"/>
      <c r="AP1512" s="12"/>
      <c r="AQ1512" s="12"/>
      <c r="AR1512" s="12"/>
      <c r="AS1512" s="44"/>
      <c r="AT1512" s="45"/>
      <c r="AU1512" s="12"/>
      <c r="AV1512" s="12"/>
      <c r="AW1512" s="12"/>
      <c r="AX1512" s="12"/>
      <c r="AY1512" s="44"/>
      <c r="AZ1512" s="45"/>
      <c r="BA1512" s="12"/>
      <c r="BB1512" s="12"/>
      <c r="BC1512" s="12"/>
      <c r="BD1512" s="12"/>
      <c r="BE1512" s="44"/>
      <c r="BF1512" s="45"/>
      <c r="BG1512" s="12"/>
      <c r="BH1512" s="12"/>
      <c r="BI1512" s="12"/>
      <c r="BJ1512" s="12"/>
      <c r="BK1512" s="44"/>
      <c r="BL1512" s="45"/>
      <c r="BM1512" s="12"/>
      <c r="BN1512" s="12"/>
      <c r="BO1512" s="12"/>
      <c r="BP1512" s="12"/>
      <c r="BQ1512" s="48"/>
      <c r="BR1512" s="49"/>
      <c r="BS1512" s="13"/>
      <c r="BT1512" s="12"/>
      <c r="BV1512" s="14"/>
      <c r="BW1512" s="50"/>
      <c r="BX1512" s="54"/>
      <c r="BY1512" s="14"/>
      <c r="BZ1512" s="14"/>
      <c r="CA1512" s="14"/>
      <c r="CB1512" s="14"/>
      <c r="CC1512" s="14"/>
      <c r="CD1512" s="14"/>
      <c r="CE1512" s="14"/>
      <c r="CF1512" s="15"/>
      <c r="CG1512" s="14"/>
      <c r="CH1512" s="14"/>
      <c r="CI1512" s="50"/>
      <c r="CJ1512" s="54"/>
      <c r="CK1512" s="14"/>
      <c r="CL1512" s="14"/>
      <c r="CM1512" s="14"/>
      <c r="CN1512" s="14"/>
      <c r="CO1512" s="14"/>
      <c r="CP1512" s="14"/>
      <c r="CQ1512" s="14"/>
      <c r="CR1512" s="14"/>
      <c r="CS1512" s="14"/>
      <c r="CT1512" s="14"/>
      <c r="CU1512" s="16"/>
      <c r="CV1512" s="14"/>
      <c r="CW1512" s="50"/>
      <c r="CX1512" s="17"/>
    </row>
    <row r="1513" spans="4:102" x14ac:dyDescent="0.25"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43"/>
      <c r="Q1513" s="11"/>
      <c r="R1513" s="11"/>
      <c r="S1513" s="11"/>
      <c r="T1513" s="11"/>
      <c r="U1513" s="11"/>
      <c r="V1513" s="11"/>
      <c r="W1513" s="11"/>
      <c r="X1513" s="12"/>
      <c r="Y1513" s="12"/>
      <c r="Z1513" s="12"/>
      <c r="AA1513" s="44"/>
      <c r="AB1513" s="45"/>
      <c r="AC1513" s="12"/>
      <c r="AD1513" s="12"/>
      <c r="AE1513" s="12"/>
      <c r="AF1513" s="12"/>
      <c r="AG1513" s="44"/>
      <c r="AH1513" s="45"/>
      <c r="AI1513" s="12"/>
      <c r="AJ1513" s="12"/>
      <c r="AK1513" s="12"/>
      <c r="AL1513" s="12"/>
      <c r="AM1513" s="44"/>
      <c r="AN1513" s="45"/>
      <c r="AO1513" s="12"/>
      <c r="AP1513" s="12"/>
      <c r="AQ1513" s="12"/>
      <c r="AR1513" s="12"/>
      <c r="AS1513" s="44"/>
      <c r="AT1513" s="45"/>
      <c r="AU1513" s="12"/>
      <c r="AV1513" s="12"/>
      <c r="AW1513" s="12"/>
      <c r="AX1513" s="12"/>
      <c r="AY1513" s="44"/>
      <c r="AZ1513" s="45"/>
      <c r="BA1513" s="12"/>
      <c r="BB1513" s="12"/>
      <c r="BC1513" s="12"/>
      <c r="BD1513" s="12"/>
      <c r="BE1513" s="44"/>
      <c r="BF1513" s="45"/>
      <c r="BG1513" s="12"/>
      <c r="BH1513" s="12"/>
      <c r="BI1513" s="12"/>
      <c r="BJ1513" s="12"/>
      <c r="BK1513" s="44"/>
      <c r="BL1513" s="45"/>
      <c r="BM1513" s="12"/>
      <c r="BN1513" s="12"/>
      <c r="BO1513" s="12"/>
      <c r="BP1513" s="12"/>
      <c r="BQ1513" s="48"/>
      <c r="BR1513" s="49"/>
      <c r="BS1513" s="13"/>
      <c r="BT1513" s="12"/>
      <c r="BV1513" s="14"/>
      <c r="BW1513" s="50"/>
      <c r="BX1513" s="54"/>
      <c r="BY1513" s="14"/>
      <c r="BZ1513" s="14"/>
      <c r="CA1513" s="14"/>
      <c r="CB1513" s="14"/>
      <c r="CC1513" s="14"/>
      <c r="CD1513" s="14"/>
      <c r="CE1513" s="14"/>
      <c r="CF1513" s="15"/>
      <c r="CG1513" s="14"/>
      <c r="CH1513" s="14"/>
      <c r="CI1513" s="50"/>
      <c r="CJ1513" s="54"/>
      <c r="CK1513" s="14"/>
      <c r="CL1513" s="14"/>
      <c r="CM1513" s="14"/>
      <c r="CN1513" s="14"/>
      <c r="CO1513" s="14"/>
      <c r="CP1513" s="14"/>
      <c r="CQ1513" s="14"/>
      <c r="CR1513" s="14"/>
      <c r="CS1513" s="14"/>
      <c r="CT1513" s="14"/>
      <c r="CU1513" s="16"/>
      <c r="CV1513" s="14"/>
      <c r="CW1513" s="50"/>
      <c r="CX1513" s="17"/>
    </row>
    <row r="1514" spans="4:102" x14ac:dyDescent="0.25"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43"/>
      <c r="Q1514" s="11"/>
      <c r="R1514" s="11"/>
      <c r="S1514" s="11"/>
      <c r="T1514" s="11"/>
      <c r="U1514" s="11"/>
      <c r="V1514" s="11"/>
      <c r="W1514" s="11"/>
      <c r="X1514" s="12"/>
      <c r="Y1514" s="12"/>
      <c r="Z1514" s="12"/>
      <c r="AA1514" s="44"/>
      <c r="AB1514" s="45"/>
      <c r="AC1514" s="12"/>
      <c r="AD1514" s="12"/>
      <c r="AE1514" s="12"/>
      <c r="AF1514" s="12"/>
      <c r="AG1514" s="44"/>
      <c r="AH1514" s="45"/>
      <c r="AI1514" s="12"/>
      <c r="AJ1514" s="12"/>
      <c r="AK1514" s="12"/>
      <c r="AL1514" s="12"/>
      <c r="AM1514" s="44"/>
      <c r="AN1514" s="45"/>
      <c r="AO1514" s="12"/>
      <c r="AP1514" s="12"/>
      <c r="AQ1514" s="12"/>
      <c r="AR1514" s="12"/>
      <c r="AS1514" s="44"/>
      <c r="AT1514" s="45"/>
      <c r="AU1514" s="12"/>
      <c r="AV1514" s="12"/>
      <c r="AW1514" s="12"/>
      <c r="AX1514" s="12"/>
      <c r="AY1514" s="44"/>
      <c r="AZ1514" s="45"/>
      <c r="BA1514" s="12"/>
      <c r="BB1514" s="12"/>
      <c r="BC1514" s="12"/>
      <c r="BD1514" s="12"/>
      <c r="BE1514" s="44"/>
      <c r="BF1514" s="45"/>
      <c r="BG1514" s="12"/>
      <c r="BH1514" s="12"/>
      <c r="BI1514" s="12"/>
      <c r="BJ1514" s="12"/>
      <c r="BK1514" s="44"/>
      <c r="BL1514" s="45"/>
      <c r="BM1514" s="12"/>
      <c r="BN1514" s="12"/>
      <c r="BO1514" s="12"/>
      <c r="BP1514" s="12"/>
      <c r="BQ1514" s="48"/>
      <c r="BR1514" s="49"/>
      <c r="BS1514" s="13"/>
      <c r="BT1514" s="12"/>
      <c r="BV1514" s="14"/>
      <c r="BW1514" s="50"/>
      <c r="BX1514" s="54"/>
      <c r="BY1514" s="14"/>
      <c r="BZ1514" s="14"/>
      <c r="CA1514" s="14"/>
      <c r="CB1514" s="14"/>
      <c r="CC1514" s="14"/>
      <c r="CD1514" s="14"/>
      <c r="CE1514" s="14"/>
      <c r="CF1514" s="15"/>
      <c r="CG1514" s="14"/>
      <c r="CH1514" s="14"/>
      <c r="CI1514" s="50"/>
      <c r="CJ1514" s="54"/>
      <c r="CK1514" s="14"/>
      <c r="CL1514" s="14"/>
      <c r="CM1514" s="14"/>
      <c r="CN1514" s="14"/>
      <c r="CO1514" s="14"/>
      <c r="CP1514" s="14"/>
      <c r="CQ1514" s="14"/>
      <c r="CR1514" s="14"/>
      <c r="CS1514" s="14"/>
      <c r="CT1514" s="14"/>
      <c r="CU1514" s="16"/>
      <c r="CV1514" s="14"/>
      <c r="CW1514" s="50"/>
      <c r="CX1514" s="17"/>
    </row>
    <row r="1515" spans="4:102" x14ac:dyDescent="0.25"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43"/>
      <c r="Q1515" s="11"/>
      <c r="R1515" s="11"/>
      <c r="S1515" s="11"/>
      <c r="T1515" s="11"/>
      <c r="U1515" s="11"/>
      <c r="V1515" s="11"/>
      <c r="W1515" s="11"/>
      <c r="X1515" s="12"/>
      <c r="Y1515" s="12"/>
      <c r="Z1515" s="12"/>
      <c r="AA1515" s="44"/>
      <c r="AB1515" s="45"/>
      <c r="AC1515" s="12"/>
      <c r="AD1515" s="12"/>
      <c r="AE1515" s="12"/>
      <c r="AF1515" s="12"/>
      <c r="AG1515" s="44"/>
      <c r="AH1515" s="45"/>
      <c r="AI1515" s="12"/>
      <c r="AJ1515" s="12"/>
      <c r="AK1515" s="12"/>
      <c r="AL1515" s="12"/>
      <c r="AM1515" s="44"/>
      <c r="AN1515" s="45"/>
      <c r="AO1515" s="12"/>
      <c r="AP1515" s="12"/>
      <c r="AQ1515" s="12"/>
      <c r="AR1515" s="12"/>
      <c r="AS1515" s="44"/>
      <c r="AT1515" s="45"/>
      <c r="AU1515" s="12"/>
      <c r="AV1515" s="12"/>
      <c r="AW1515" s="12"/>
      <c r="AX1515" s="12"/>
      <c r="AY1515" s="44"/>
      <c r="AZ1515" s="45"/>
      <c r="BA1515" s="12"/>
      <c r="BB1515" s="12"/>
      <c r="BC1515" s="12"/>
      <c r="BD1515" s="12"/>
      <c r="BE1515" s="44"/>
      <c r="BF1515" s="45"/>
      <c r="BG1515" s="12"/>
      <c r="BH1515" s="12"/>
      <c r="BI1515" s="12"/>
      <c r="BJ1515" s="12"/>
      <c r="BK1515" s="44"/>
      <c r="BL1515" s="45"/>
      <c r="BM1515" s="12"/>
      <c r="BN1515" s="12"/>
      <c r="BO1515" s="12"/>
      <c r="BP1515" s="12"/>
      <c r="BQ1515" s="48"/>
      <c r="BR1515" s="49"/>
      <c r="BS1515" s="13"/>
      <c r="BT1515" s="12"/>
      <c r="BV1515" s="14"/>
      <c r="BW1515" s="50"/>
      <c r="BX1515" s="54"/>
      <c r="BY1515" s="14"/>
      <c r="BZ1515" s="14"/>
      <c r="CA1515" s="14"/>
      <c r="CB1515" s="14"/>
      <c r="CC1515" s="14"/>
      <c r="CD1515" s="14"/>
      <c r="CE1515" s="14"/>
      <c r="CF1515" s="15"/>
      <c r="CG1515" s="14"/>
      <c r="CH1515" s="14"/>
      <c r="CI1515" s="50"/>
      <c r="CJ1515" s="54"/>
      <c r="CK1515" s="14"/>
      <c r="CL1515" s="14"/>
      <c r="CM1515" s="14"/>
      <c r="CN1515" s="14"/>
      <c r="CO1515" s="14"/>
      <c r="CP1515" s="14"/>
      <c r="CQ1515" s="14"/>
      <c r="CR1515" s="14"/>
      <c r="CS1515" s="14"/>
      <c r="CT1515" s="14"/>
      <c r="CU1515" s="16"/>
      <c r="CV1515" s="14"/>
      <c r="CW1515" s="50"/>
      <c r="CX1515" s="17"/>
    </row>
    <row r="1516" spans="4:102" x14ac:dyDescent="0.25"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43"/>
      <c r="Q1516" s="11"/>
      <c r="R1516" s="11"/>
      <c r="S1516" s="11"/>
      <c r="T1516" s="11"/>
      <c r="U1516" s="11"/>
      <c r="V1516" s="11"/>
      <c r="W1516" s="11"/>
      <c r="X1516" s="12"/>
      <c r="Y1516" s="12"/>
      <c r="Z1516" s="12"/>
      <c r="AA1516" s="44"/>
      <c r="AB1516" s="45"/>
      <c r="AC1516" s="12"/>
      <c r="AD1516" s="12"/>
      <c r="AE1516" s="12"/>
      <c r="AF1516" s="12"/>
      <c r="AG1516" s="44"/>
      <c r="AH1516" s="45"/>
      <c r="AI1516" s="12"/>
      <c r="AJ1516" s="12"/>
      <c r="AK1516" s="12"/>
      <c r="AL1516" s="12"/>
      <c r="AM1516" s="44"/>
      <c r="AN1516" s="45"/>
      <c r="AO1516" s="12"/>
      <c r="AP1516" s="12"/>
      <c r="AQ1516" s="12"/>
      <c r="AR1516" s="12"/>
      <c r="AS1516" s="44"/>
      <c r="AT1516" s="45"/>
      <c r="AU1516" s="12"/>
      <c r="AV1516" s="12"/>
      <c r="AW1516" s="12"/>
      <c r="AX1516" s="12"/>
      <c r="AY1516" s="44"/>
      <c r="AZ1516" s="45"/>
      <c r="BA1516" s="12"/>
      <c r="BB1516" s="12"/>
      <c r="BC1516" s="12"/>
      <c r="BD1516" s="12"/>
      <c r="BE1516" s="44"/>
      <c r="BF1516" s="45"/>
      <c r="BG1516" s="12"/>
      <c r="BH1516" s="12"/>
      <c r="BI1516" s="12"/>
      <c r="BJ1516" s="12"/>
      <c r="BK1516" s="44"/>
      <c r="BL1516" s="45"/>
      <c r="BM1516" s="12"/>
      <c r="BN1516" s="12"/>
      <c r="BO1516" s="12"/>
      <c r="BP1516" s="12"/>
      <c r="BQ1516" s="48"/>
      <c r="BR1516" s="49"/>
      <c r="BS1516" s="13"/>
      <c r="BT1516" s="12"/>
      <c r="BV1516" s="14"/>
      <c r="BW1516" s="50"/>
      <c r="BX1516" s="54"/>
      <c r="BY1516" s="14"/>
      <c r="BZ1516" s="14"/>
      <c r="CA1516" s="14"/>
      <c r="CB1516" s="14"/>
      <c r="CC1516" s="14"/>
      <c r="CD1516" s="14"/>
      <c r="CE1516" s="14"/>
      <c r="CF1516" s="15"/>
      <c r="CG1516" s="14"/>
      <c r="CH1516" s="14"/>
      <c r="CI1516" s="50"/>
      <c r="CJ1516" s="54"/>
      <c r="CK1516" s="14"/>
      <c r="CL1516" s="14"/>
      <c r="CM1516" s="14"/>
      <c r="CN1516" s="14"/>
      <c r="CO1516" s="14"/>
      <c r="CP1516" s="14"/>
      <c r="CQ1516" s="14"/>
      <c r="CR1516" s="14"/>
      <c r="CS1516" s="14"/>
      <c r="CT1516" s="14"/>
      <c r="CU1516" s="16"/>
      <c r="CV1516" s="14"/>
      <c r="CW1516" s="50"/>
      <c r="CX1516" s="17"/>
    </row>
    <row r="1517" spans="4:102" x14ac:dyDescent="0.25"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43"/>
      <c r="Q1517" s="11"/>
      <c r="R1517" s="11"/>
      <c r="S1517" s="11"/>
      <c r="T1517" s="11"/>
      <c r="U1517" s="11"/>
      <c r="V1517" s="11"/>
      <c r="W1517" s="11"/>
      <c r="X1517" s="12"/>
      <c r="Y1517" s="12"/>
      <c r="Z1517" s="12"/>
      <c r="AA1517" s="44"/>
      <c r="AB1517" s="45"/>
      <c r="AC1517" s="12"/>
      <c r="AD1517" s="12"/>
      <c r="AE1517" s="12"/>
      <c r="AF1517" s="12"/>
      <c r="AG1517" s="44"/>
      <c r="AH1517" s="45"/>
      <c r="AI1517" s="12"/>
      <c r="AJ1517" s="12"/>
      <c r="AK1517" s="12"/>
      <c r="AL1517" s="12"/>
      <c r="AM1517" s="44"/>
      <c r="AN1517" s="45"/>
      <c r="AO1517" s="12"/>
      <c r="AP1517" s="12"/>
      <c r="AQ1517" s="12"/>
      <c r="AR1517" s="12"/>
      <c r="AS1517" s="44"/>
      <c r="AT1517" s="45"/>
      <c r="AU1517" s="12"/>
      <c r="AV1517" s="12"/>
      <c r="AW1517" s="12"/>
      <c r="AX1517" s="12"/>
      <c r="AY1517" s="44"/>
      <c r="AZ1517" s="45"/>
      <c r="BA1517" s="12"/>
      <c r="BB1517" s="12"/>
      <c r="BC1517" s="12"/>
      <c r="BD1517" s="12"/>
      <c r="BE1517" s="44"/>
      <c r="BF1517" s="45"/>
      <c r="BG1517" s="12"/>
      <c r="BH1517" s="12"/>
      <c r="BI1517" s="12"/>
      <c r="BJ1517" s="12"/>
      <c r="BK1517" s="44"/>
      <c r="BL1517" s="45"/>
      <c r="BM1517" s="12"/>
      <c r="BN1517" s="12"/>
      <c r="BO1517" s="12"/>
      <c r="BP1517" s="12"/>
      <c r="BQ1517" s="48"/>
      <c r="BR1517" s="49"/>
      <c r="BS1517" s="13"/>
      <c r="BT1517" s="12"/>
      <c r="BV1517" s="14"/>
      <c r="BW1517" s="50"/>
      <c r="BX1517" s="54"/>
      <c r="BY1517" s="14"/>
      <c r="BZ1517" s="14"/>
      <c r="CA1517" s="14"/>
      <c r="CB1517" s="14"/>
      <c r="CC1517" s="14"/>
      <c r="CD1517" s="14"/>
      <c r="CE1517" s="14"/>
      <c r="CF1517" s="15"/>
      <c r="CG1517" s="14"/>
      <c r="CH1517" s="14"/>
      <c r="CI1517" s="50"/>
      <c r="CJ1517" s="54"/>
      <c r="CK1517" s="14"/>
      <c r="CL1517" s="14"/>
      <c r="CM1517" s="14"/>
      <c r="CN1517" s="14"/>
      <c r="CO1517" s="14"/>
      <c r="CP1517" s="14"/>
      <c r="CQ1517" s="14"/>
      <c r="CR1517" s="14"/>
      <c r="CS1517" s="14"/>
      <c r="CT1517" s="14"/>
      <c r="CU1517" s="16"/>
      <c r="CV1517" s="14"/>
      <c r="CW1517" s="50"/>
      <c r="CX1517" s="17"/>
    </row>
    <row r="1518" spans="4:102" x14ac:dyDescent="0.25"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43"/>
      <c r="Q1518" s="11"/>
      <c r="R1518" s="11"/>
      <c r="S1518" s="11"/>
      <c r="T1518" s="11"/>
      <c r="U1518" s="11"/>
      <c r="V1518" s="11"/>
      <c r="W1518" s="11"/>
      <c r="X1518" s="12"/>
      <c r="Y1518" s="12"/>
      <c r="Z1518" s="12"/>
      <c r="AA1518" s="44"/>
      <c r="AB1518" s="45"/>
      <c r="AC1518" s="12"/>
      <c r="AD1518" s="12"/>
      <c r="AE1518" s="12"/>
      <c r="AF1518" s="12"/>
      <c r="AG1518" s="44"/>
      <c r="AH1518" s="45"/>
      <c r="AI1518" s="12"/>
      <c r="AJ1518" s="12"/>
      <c r="AK1518" s="12"/>
      <c r="AL1518" s="12"/>
      <c r="AM1518" s="44"/>
      <c r="AN1518" s="45"/>
      <c r="AO1518" s="12"/>
      <c r="AP1518" s="12"/>
      <c r="AQ1518" s="12"/>
      <c r="AR1518" s="12"/>
      <c r="AS1518" s="44"/>
      <c r="AT1518" s="45"/>
      <c r="AU1518" s="12"/>
      <c r="AV1518" s="12"/>
      <c r="AW1518" s="12"/>
      <c r="AX1518" s="12"/>
      <c r="AY1518" s="44"/>
      <c r="AZ1518" s="45"/>
      <c r="BA1518" s="12"/>
      <c r="BB1518" s="12"/>
      <c r="BC1518" s="12"/>
      <c r="BD1518" s="12"/>
      <c r="BE1518" s="44"/>
      <c r="BF1518" s="45"/>
      <c r="BG1518" s="12"/>
      <c r="BH1518" s="12"/>
      <c r="BI1518" s="12"/>
      <c r="BJ1518" s="12"/>
      <c r="BK1518" s="44"/>
      <c r="BL1518" s="45"/>
      <c r="BM1518" s="12"/>
      <c r="BN1518" s="12"/>
      <c r="BO1518" s="12"/>
      <c r="BP1518" s="12"/>
      <c r="BQ1518" s="48"/>
      <c r="BR1518" s="49"/>
      <c r="BS1518" s="13"/>
      <c r="BT1518" s="12"/>
      <c r="BV1518" s="14"/>
      <c r="BW1518" s="50"/>
      <c r="BX1518" s="54"/>
      <c r="BY1518" s="14"/>
      <c r="BZ1518" s="14"/>
      <c r="CA1518" s="14"/>
      <c r="CB1518" s="14"/>
      <c r="CC1518" s="14"/>
      <c r="CD1518" s="14"/>
      <c r="CE1518" s="14"/>
      <c r="CF1518" s="15"/>
      <c r="CG1518" s="14"/>
      <c r="CH1518" s="14"/>
      <c r="CI1518" s="50"/>
      <c r="CJ1518" s="54"/>
      <c r="CK1518" s="14"/>
      <c r="CL1518" s="14"/>
      <c r="CM1518" s="14"/>
      <c r="CN1518" s="14"/>
      <c r="CO1518" s="14"/>
      <c r="CP1518" s="14"/>
      <c r="CQ1518" s="14"/>
      <c r="CR1518" s="14"/>
      <c r="CS1518" s="14"/>
      <c r="CT1518" s="14"/>
      <c r="CU1518" s="16"/>
      <c r="CV1518" s="14"/>
      <c r="CW1518" s="50"/>
      <c r="CX1518" s="17"/>
    </row>
    <row r="1519" spans="4:102" x14ac:dyDescent="0.25"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43"/>
      <c r="Q1519" s="11"/>
      <c r="R1519" s="11"/>
      <c r="S1519" s="11"/>
      <c r="T1519" s="11"/>
      <c r="U1519" s="11"/>
      <c r="V1519" s="11"/>
      <c r="W1519" s="11"/>
      <c r="X1519" s="12"/>
      <c r="Y1519" s="12"/>
      <c r="Z1519" s="12"/>
      <c r="AA1519" s="44"/>
      <c r="AB1519" s="45"/>
      <c r="AC1519" s="12"/>
      <c r="AD1519" s="12"/>
      <c r="AE1519" s="12"/>
      <c r="AF1519" s="12"/>
      <c r="AG1519" s="44"/>
      <c r="AH1519" s="45"/>
      <c r="AI1519" s="12"/>
      <c r="AJ1519" s="12"/>
      <c r="AK1519" s="12"/>
      <c r="AL1519" s="12"/>
      <c r="AM1519" s="44"/>
      <c r="AN1519" s="45"/>
      <c r="AO1519" s="12"/>
      <c r="AP1519" s="12"/>
      <c r="AQ1519" s="12"/>
      <c r="AR1519" s="12"/>
      <c r="AS1519" s="44"/>
      <c r="AT1519" s="45"/>
      <c r="AU1519" s="12"/>
      <c r="AV1519" s="12"/>
      <c r="AW1519" s="12"/>
      <c r="AX1519" s="12"/>
      <c r="AY1519" s="44"/>
      <c r="AZ1519" s="45"/>
      <c r="BA1519" s="12"/>
      <c r="BB1519" s="12"/>
      <c r="BC1519" s="12"/>
      <c r="BD1519" s="12"/>
      <c r="BE1519" s="44"/>
      <c r="BF1519" s="45"/>
      <c r="BG1519" s="12"/>
      <c r="BH1519" s="12"/>
      <c r="BI1519" s="12"/>
      <c r="BJ1519" s="12"/>
      <c r="BK1519" s="44"/>
      <c r="BL1519" s="45"/>
      <c r="BM1519" s="12"/>
      <c r="BN1519" s="12"/>
      <c r="BO1519" s="12"/>
      <c r="BP1519" s="12"/>
      <c r="BQ1519" s="48"/>
      <c r="BR1519" s="49"/>
      <c r="BS1519" s="13"/>
      <c r="BT1519" s="12"/>
      <c r="BV1519" s="14"/>
      <c r="BW1519" s="50"/>
      <c r="BX1519" s="54"/>
      <c r="BY1519" s="14"/>
      <c r="BZ1519" s="14"/>
      <c r="CA1519" s="14"/>
      <c r="CB1519" s="14"/>
      <c r="CC1519" s="14"/>
      <c r="CD1519" s="14"/>
      <c r="CE1519" s="14"/>
      <c r="CF1519" s="15"/>
      <c r="CG1519" s="14"/>
      <c r="CH1519" s="14"/>
      <c r="CI1519" s="50"/>
      <c r="CJ1519" s="54"/>
      <c r="CK1519" s="14"/>
      <c r="CL1519" s="14"/>
      <c r="CM1519" s="14"/>
      <c r="CN1519" s="14"/>
      <c r="CO1519" s="14"/>
      <c r="CP1519" s="14"/>
      <c r="CQ1519" s="14"/>
      <c r="CR1519" s="14"/>
      <c r="CS1519" s="14"/>
      <c r="CT1519" s="14"/>
      <c r="CU1519" s="16"/>
      <c r="CV1519" s="14"/>
      <c r="CW1519" s="50"/>
      <c r="CX1519" s="17"/>
    </row>
    <row r="1520" spans="4:102" x14ac:dyDescent="0.25"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43"/>
      <c r="Q1520" s="11"/>
      <c r="R1520" s="11"/>
      <c r="S1520" s="11"/>
      <c r="T1520" s="11"/>
      <c r="U1520" s="11"/>
      <c r="V1520" s="11"/>
      <c r="W1520" s="11"/>
      <c r="X1520" s="12"/>
      <c r="Y1520" s="12"/>
      <c r="Z1520" s="12"/>
      <c r="AA1520" s="44"/>
      <c r="AB1520" s="45"/>
      <c r="AC1520" s="12"/>
      <c r="AD1520" s="12"/>
      <c r="AE1520" s="12"/>
      <c r="AF1520" s="12"/>
      <c r="AG1520" s="44"/>
      <c r="AH1520" s="45"/>
      <c r="AI1520" s="12"/>
      <c r="AJ1520" s="12"/>
      <c r="AK1520" s="12"/>
      <c r="AL1520" s="12"/>
      <c r="AM1520" s="44"/>
      <c r="AN1520" s="45"/>
      <c r="AO1520" s="12"/>
      <c r="AP1520" s="12"/>
      <c r="AQ1520" s="12"/>
      <c r="AR1520" s="12"/>
      <c r="AS1520" s="44"/>
      <c r="AT1520" s="45"/>
      <c r="AU1520" s="12"/>
      <c r="AV1520" s="12"/>
      <c r="AW1520" s="12"/>
      <c r="AX1520" s="12"/>
      <c r="AY1520" s="44"/>
      <c r="AZ1520" s="45"/>
      <c r="BA1520" s="12"/>
      <c r="BB1520" s="12"/>
      <c r="BC1520" s="12"/>
      <c r="BD1520" s="12"/>
      <c r="BE1520" s="44"/>
      <c r="BF1520" s="45"/>
      <c r="BG1520" s="12"/>
      <c r="BH1520" s="12"/>
      <c r="BI1520" s="12"/>
      <c r="BJ1520" s="12"/>
      <c r="BK1520" s="44"/>
      <c r="BL1520" s="45"/>
      <c r="BM1520" s="12"/>
      <c r="BN1520" s="12"/>
      <c r="BO1520" s="12"/>
      <c r="BP1520" s="12"/>
      <c r="BQ1520" s="48"/>
      <c r="BR1520" s="49"/>
      <c r="BS1520" s="13"/>
      <c r="BT1520" s="12"/>
      <c r="BV1520" s="14"/>
      <c r="BW1520" s="50"/>
      <c r="BX1520" s="54"/>
      <c r="BY1520" s="14"/>
      <c r="BZ1520" s="14"/>
      <c r="CA1520" s="14"/>
      <c r="CB1520" s="14"/>
      <c r="CC1520" s="14"/>
      <c r="CD1520" s="14"/>
      <c r="CE1520" s="14"/>
      <c r="CF1520" s="15"/>
      <c r="CG1520" s="14"/>
      <c r="CH1520" s="14"/>
      <c r="CI1520" s="50"/>
      <c r="CJ1520" s="54"/>
      <c r="CK1520" s="14"/>
      <c r="CL1520" s="14"/>
      <c r="CM1520" s="14"/>
      <c r="CN1520" s="14"/>
      <c r="CO1520" s="14"/>
      <c r="CP1520" s="14"/>
      <c r="CQ1520" s="14"/>
      <c r="CR1520" s="14"/>
      <c r="CS1520" s="14"/>
      <c r="CT1520" s="14"/>
      <c r="CU1520" s="16"/>
      <c r="CV1520" s="14"/>
      <c r="CW1520" s="50"/>
      <c r="CX1520" s="17"/>
    </row>
    <row r="1521" spans="4:102" x14ac:dyDescent="0.25"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43"/>
      <c r="Q1521" s="11"/>
      <c r="R1521" s="11"/>
      <c r="S1521" s="11"/>
      <c r="T1521" s="11"/>
      <c r="U1521" s="11"/>
      <c r="V1521" s="11"/>
      <c r="W1521" s="11"/>
      <c r="X1521" s="12"/>
      <c r="Y1521" s="12"/>
      <c r="Z1521" s="12"/>
      <c r="AA1521" s="44"/>
      <c r="AB1521" s="45"/>
      <c r="AC1521" s="12"/>
      <c r="AD1521" s="12"/>
      <c r="AE1521" s="12"/>
      <c r="AF1521" s="12"/>
      <c r="AG1521" s="44"/>
      <c r="AH1521" s="45"/>
      <c r="AI1521" s="12"/>
      <c r="AJ1521" s="12"/>
      <c r="AK1521" s="12"/>
      <c r="AL1521" s="12"/>
      <c r="AM1521" s="44"/>
      <c r="AN1521" s="45"/>
      <c r="AO1521" s="12"/>
      <c r="AP1521" s="12"/>
      <c r="AQ1521" s="12"/>
      <c r="AR1521" s="12"/>
      <c r="AS1521" s="44"/>
      <c r="AT1521" s="45"/>
      <c r="AU1521" s="12"/>
      <c r="AV1521" s="12"/>
      <c r="AW1521" s="12"/>
      <c r="AX1521" s="12"/>
      <c r="AY1521" s="44"/>
      <c r="AZ1521" s="45"/>
      <c r="BA1521" s="12"/>
      <c r="BB1521" s="12"/>
      <c r="BC1521" s="12"/>
      <c r="BD1521" s="12"/>
      <c r="BE1521" s="44"/>
      <c r="BF1521" s="45"/>
      <c r="BG1521" s="12"/>
      <c r="BH1521" s="12"/>
      <c r="BI1521" s="12"/>
      <c r="BJ1521" s="12"/>
      <c r="BK1521" s="44"/>
      <c r="BL1521" s="45"/>
      <c r="BM1521" s="12"/>
      <c r="BN1521" s="12"/>
      <c r="BO1521" s="12"/>
      <c r="BP1521" s="12"/>
      <c r="BQ1521" s="48"/>
      <c r="BR1521" s="49"/>
      <c r="BS1521" s="13"/>
      <c r="BT1521" s="12"/>
      <c r="BV1521" s="14"/>
      <c r="BW1521" s="50"/>
      <c r="BX1521" s="54"/>
      <c r="BY1521" s="14"/>
      <c r="BZ1521" s="14"/>
      <c r="CA1521" s="14"/>
      <c r="CB1521" s="14"/>
      <c r="CC1521" s="14"/>
      <c r="CD1521" s="14"/>
      <c r="CE1521" s="14"/>
      <c r="CF1521" s="15"/>
      <c r="CG1521" s="14"/>
      <c r="CH1521" s="14"/>
      <c r="CI1521" s="50"/>
      <c r="CJ1521" s="54"/>
      <c r="CK1521" s="14"/>
      <c r="CL1521" s="14"/>
      <c r="CM1521" s="14"/>
      <c r="CN1521" s="14"/>
      <c r="CO1521" s="14"/>
      <c r="CP1521" s="14"/>
      <c r="CQ1521" s="14"/>
      <c r="CR1521" s="14"/>
      <c r="CS1521" s="14"/>
      <c r="CT1521" s="14"/>
      <c r="CU1521" s="16"/>
      <c r="CV1521" s="14"/>
      <c r="CW1521" s="50"/>
      <c r="CX1521" s="17"/>
    </row>
    <row r="1522" spans="4:102" x14ac:dyDescent="0.25"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43"/>
      <c r="Q1522" s="11"/>
      <c r="R1522" s="11"/>
      <c r="S1522" s="11"/>
      <c r="T1522" s="11"/>
      <c r="U1522" s="11"/>
      <c r="V1522" s="11"/>
      <c r="W1522" s="11"/>
      <c r="X1522" s="12"/>
      <c r="Y1522" s="12"/>
      <c r="Z1522" s="12"/>
      <c r="AA1522" s="44"/>
      <c r="AB1522" s="45"/>
      <c r="AC1522" s="12"/>
      <c r="AD1522" s="12"/>
      <c r="AE1522" s="12"/>
      <c r="AF1522" s="12"/>
      <c r="AG1522" s="44"/>
      <c r="AH1522" s="45"/>
      <c r="AI1522" s="12"/>
      <c r="AJ1522" s="12"/>
      <c r="AK1522" s="12"/>
      <c r="AL1522" s="12"/>
      <c r="AM1522" s="44"/>
      <c r="AN1522" s="45"/>
      <c r="AO1522" s="12"/>
      <c r="AP1522" s="12"/>
      <c r="AQ1522" s="12"/>
      <c r="AR1522" s="12"/>
      <c r="AS1522" s="44"/>
      <c r="AT1522" s="45"/>
      <c r="AU1522" s="12"/>
      <c r="AV1522" s="12"/>
      <c r="AW1522" s="12"/>
      <c r="AX1522" s="12"/>
      <c r="AY1522" s="44"/>
      <c r="AZ1522" s="45"/>
      <c r="BA1522" s="12"/>
      <c r="BB1522" s="12"/>
      <c r="BC1522" s="12"/>
      <c r="BD1522" s="12"/>
      <c r="BE1522" s="44"/>
      <c r="BF1522" s="45"/>
      <c r="BG1522" s="12"/>
      <c r="BH1522" s="12"/>
      <c r="BI1522" s="12"/>
      <c r="BJ1522" s="12"/>
      <c r="BK1522" s="44"/>
      <c r="BL1522" s="45"/>
      <c r="BM1522" s="12"/>
      <c r="BN1522" s="12"/>
      <c r="BO1522" s="12"/>
      <c r="BP1522" s="12"/>
      <c r="BQ1522" s="48"/>
      <c r="BR1522" s="49"/>
      <c r="BS1522" s="13"/>
      <c r="BT1522" s="12"/>
      <c r="BV1522" s="14"/>
      <c r="BW1522" s="50"/>
      <c r="BX1522" s="54"/>
      <c r="BY1522" s="14"/>
      <c r="BZ1522" s="14"/>
      <c r="CA1522" s="14"/>
      <c r="CB1522" s="14"/>
      <c r="CC1522" s="14"/>
      <c r="CD1522" s="14"/>
      <c r="CE1522" s="14"/>
      <c r="CF1522" s="15"/>
      <c r="CG1522" s="14"/>
      <c r="CH1522" s="14"/>
      <c r="CI1522" s="50"/>
      <c r="CJ1522" s="54"/>
      <c r="CK1522" s="14"/>
      <c r="CL1522" s="14"/>
      <c r="CM1522" s="14"/>
      <c r="CN1522" s="14"/>
      <c r="CO1522" s="14"/>
      <c r="CP1522" s="14"/>
      <c r="CQ1522" s="14"/>
      <c r="CR1522" s="14"/>
      <c r="CS1522" s="14"/>
      <c r="CT1522" s="14"/>
      <c r="CU1522" s="16"/>
      <c r="CV1522" s="14"/>
      <c r="CW1522" s="50"/>
      <c r="CX1522" s="17"/>
    </row>
    <row r="1523" spans="4:102" x14ac:dyDescent="0.25"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43"/>
      <c r="Q1523" s="11"/>
      <c r="R1523" s="11"/>
      <c r="S1523" s="11"/>
      <c r="T1523" s="11"/>
      <c r="U1523" s="11"/>
      <c r="V1523" s="11"/>
      <c r="W1523" s="11"/>
      <c r="X1523" s="12"/>
      <c r="Y1523" s="12"/>
      <c r="Z1523" s="12"/>
      <c r="AA1523" s="44"/>
      <c r="AB1523" s="45"/>
      <c r="AC1523" s="12"/>
      <c r="AD1523" s="12"/>
      <c r="AE1523" s="12"/>
      <c r="AF1523" s="12"/>
      <c r="AG1523" s="44"/>
      <c r="AH1523" s="45"/>
      <c r="AI1523" s="12"/>
      <c r="AJ1523" s="12"/>
      <c r="AK1523" s="12"/>
      <c r="AL1523" s="12"/>
      <c r="AM1523" s="44"/>
      <c r="AN1523" s="45"/>
      <c r="AO1523" s="12"/>
      <c r="AP1523" s="12"/>
      <c r="AQ1523" s="12"/>
      <c r="AR1523" s="12"/>
      <c r="AS1523" s="44"/>
      <c r="AT1523" s="45"/>
      <c r="AU1523" s="12"/>
      <c r="AV1523" s="12"/>
      <c r="AW1523" s="12"/>
      <c r="AX1523" s="12"/>
      <c r="AY1523" s="44"/>
      <c r="AZ1523" s="45"/>
      <c r="BA1523" s="12"/>
      <c r="BB1523" s="12"/>
      <c r="BC1523" s="12"/>
      <c r="BD1523" s="12"/>
      <c r="BE1523" s="44"/>
      <c r="BF1523" s="45"/>
      <c r="BG1523" s="12"/>
      <c r="BH1523" s="12"/>
      <c r="BI1523" s="12"/>
      <c r="BJ1523" s="12"/>
      <c r="BK1523" s="44"/>
      <c r="BL1523" s="45"/>
      <c r="BM1523" s="12"/>
      <c r="BN1523" s="12"/>
      <c r="BO1523" s="12"/>
      <c r="BP1523" s="12"/>
      <c r="BQ1523" s="48"/>
      <c r="BR1523" s="49"/>
      <c r="BS1523" s="13"/>
      <c r="BT1523" s="12"/>
      <c r="BV1523" s="14"/>
      <c r="BW1523" s="50"/>
      <c r="BX1523" s="54"/>
      <c r="BY1523" s="14"/>
      <c r="BZ1523" s="14"/>
      <c r="CA1523" s="14"/>
      <c r="CB1523" s="14"/>
      <c r="CC1523" s="14"/>
      <c r="CD1523" s="14"/>
      <c r="CE1523" s="14"/>
      <c r="CF1523" s="15"/>
      <c r="CG1523" s="14"/>
      <c r="CH1523" s="14"/>
      <c r="CI1523" s="50"/>
      <c r="CJ1523" s="54"/>
      <c r="CK1523" s="14"/>
      <c r="CL1523" s="14"/>
      <c r="CM1523" s="14"/>
      <c r="CN1523" s="14"/>
      <c r="CO1523" s="14"/>
      <c r="CP1523" s="14"/>
      <c r="CQ1523" s="14"/>
      <c r="CR1523" s="14"/>
      <c r="CS1523" s="14"/>
      <c r="CT1523" s="14"/>
      <c r="CU1523" s="16"/>
      <c r="CV1523" s="14"/>
      <c r="CW1523" s="50"/>
      <c r="CX1523" s="17"/>
    </row>
    <row r="1524" spans="4:102" x14ac:dyDescent="0.25"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43"/>
      <c r="Q1524" s="11"/>
      <c r="R1524" s="11"/>
      <c r="S1524" s="11"/>
      <c r="T1524" s="11"/>
      <c r="U1524" s="11"/>
      <c r="V1524" s="11"/>
      <c r="W1524" s="11"/>
      <c r="X1524" s="12"/>
      <c r="Y1524" s="12"/>
      <c r="Z1524" s="12"/>
      <c r="AA1524" s="44"/>
      <c r="AB1524" s="45"/>
      <c r="AC1524" s="12"/>
      <c r="AD1524" s="12"/>
      <c r="AE1524" s="12"/>
      <c r="AF1524" s="12"/>
      <c r="AG1524" s="44"/>
      <c r="AH1524" s="45"/>
      <c r="AI1524" s="12"/>
      <c r="AJ1524" s="12"/>
      <c r="AK1524" s="12"/>
      <c r="AL1524" s="12"/>
      <c r="AM1524" s="44"/>
      <c r="AN1524" s="45"/>
      <c r="AO1524" s="12"/>
      <c r="AP1524" s="12"/>
      <c r="AQ1524" s="12"/>
      <c r="AR1524" s="12"/>
      <c r="AS1524" s="44"/>
      <c r="AT1524" s="45"/>
      <c r="AU1524" s="12"/>
      <c r="AV1524" s="12"/>
      <c r="AW1524" s="12"/>
      <c r="AX1524" s="12"/>
      <c r="AY1524" s="44"/>
      <c r="AZ1524" s="45"/>
      <c r="BA1524" s="12"/>
      <c r="BB1524" s="12"/>
      <c r="BC1524" s="12"/>
      <c r="BD1524" s="12"/>
      <c r="BE1524" s="44"/>
      <c r="BF1524" s="45"/>
      <c r="BG1524" s="12"/>
      <c r="BH1524" s="12"/>
      <c r="BI1524" s="12"/>
      <c r="BJ1524" s="12"/>
      <c r="BK1524" s="44"/>
      <c r="BL1524" s="45"/>
      <c r="BM1524" s="12"/>
      <c r="BN1524" s="12"/>
      <c r="BO1524" s="12"/>
      <c r="BP1524" s="12"/>
      <c r="BQ1524" s="48"/>
      <c r="BR1524" s="49"/>
      <c r="BS1524" s="13"/>
      <c r="BT1524" s="12"/>
      <c r="BV1524" s="14"/>
      <c r="BW1524" s="50"/>
      <c r="BX1524" s="54"/>
      <c r="BY1524" s="14"/>
      <c r="BZ1524" s="14"/>
      <c r="CA1524" s="14"/>
      <c r="CB1524" s="14"/>
      <c r="CC1524" s="14"/>
      <c r="CD1524" s="14"/>
      <c r="CE1524" s="14"/>
      <c r="CF1524" s="15"/>
      <c r="CG1524" s="14"/>
      <c r="CH1524" s="14"/>
      <c r="CI1524" s="50"/>
      <c r="CJ1524" s="54"/>
      <c r="CK1524" s="14"/>
      <c r="CL1524" s="14"/>
      <c r="CM1524" s="14"/>
      <c r="CN1524" s="14"/>
      <c r="CO1524" s="14"/>
      <c r="CP1524" s="14"/>
      <c r="CQ1524" s="14"/>
      <c r="CR1524" s="14"/>
      <c r="CS1524" s="14"/>
      <c r="CT1524" s="14"/>
      <c r="CU1524" s="16"/>
      <c r="CV1524" s="14"/>
      <c r="CW1524" s="50"/>
      <c r="CX1524" s="17"/>
    </row>
    <row r="1525" spans="4:102" x14ac:dyDescent="0.25"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43"/>
      <c r="Q1525" s="11"/>
      <c r="R1525" s="11"/>
      <c r="S1525" s="11"/>
      <c r="T1525" s="11"/>
      <c r="U1525" s="11"/>
      <c r="V1525" s="11"/>
      <c r="W1525" s="11"/>
      <c r="X1525" s="12"/>
      <c r="Y1525" s="12"/>
      <c r="Z1525" s="12"/>
      <c r="AA1525" s="44"/>
      <c r="AB1525" s="45"/>
      <c r="AC1525" s="12"/>
      <c r="AD1525" s="12"/>
      <c r="AE1525" s="12"/>
      <c r="AF1525" s="12"/>
      <c r="AG1525" s="44"/>
      <c r="AH1525" s="45"/>
      <c r="AI1525" s="12"/>
      <c r="AJ1525" s="12"/>
      <c r="AK1525" s="12"/>
      <c r="AL1525" s="12"/>
      <c r="AM1525" s="44"/>
      <c r="AN1525" s="45"/>
      <c r="AO1525" s="12"/>
      <c r="AP1525" s="12"/>
      <c r="AQ1525" s="12"/>
      <c r="AR1525" s="12"/>
      <c r="AS1525" s="44"/>
      <c r="AT1525" s="45"/>
      <c r="AU1525" s="12"/>
      <c r="AV1525" s="12"/>
      <c r="AW1525" s="12"/>
      <c r="AX1525" s="12"/>
      <c r="AY1525" s="44"/>
      <c r="AZ1525" s="45"/>
      <c r="BA1525" s="12"/>
      <c r="BB1525" s="12"/>
      <c r="BC1525" s="12"/>
      <c r="BD1525" s="12"/>
      <c r="BE1525" s="44"/>
      <c r="BF1525" s="45"/>
      <c r="BG1525" s="12"/>
      <c r="BH1525" s="12"/>
      <c r="BI1525" s="12"/>
      <c r="BJ1525" s="12"/>
      <c r="BK1525" s="44"/>
      <c r="BL1525" s="45"/>
      <c r="BM1525" s="12"/>
      <c r="BN1525" s="12"/>
      <c r="BO1525" s="12"/>
      <c r="BP1525" s="12"/>
      <c r="BQ1525" s="48"/>
      <c r="BR1525" s="49"/>
      <c r="BS1525" s="13"/>
      <c r="BT1525" s="12"/>
      <c r="BV1525" s="14"/>
      <c r="BW1525" s="50"/>
      <c r="BX1525" s="54"/>
      <c r="BY1525" s="14"/>
      <c r="BZ1525" s="14"/>
      <c r="CA1525" s="14"/>
      <c r="CB1525" s="14"/>
      <c r="CC1525" s="14"/>
      <c r="CD1525" s="14"/>
      <c r="CE1525" s="14"/>
      <c r="CF1525" s="15"/>
      <c r="CG1525" s="14"/>
      <c r="CH1525" s="14"/>
      <c r="CI1525" s="50"/>
      <c r="CJ1525" s="54"/>
      <c r="CK1525" s="14"/>
      <c r="CL1525" s="14"/>
      <c r="CM1525" s="14"/>
      <c r="CN1525" s="14"/>
      <c r="CO1525" s="14"/>
      <c r="CP1525" s="14"/>
      <c r="CQ1525" s="14"/>
      <c r="CR1525" s="14"/>
      <c r="CS1525" s="14"/>
      <c r="CT1525" s="14"/>
      <c r="CU1525" s="16"/>
      <c r="CV1525" s="14"/>
      <c r="CW1525" s="50"/>
      <c r="CX1525" s="17"/>
    </row>
    <row r="1526" spans="4:102" x14ac:dyDescent="0.25"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43"/>
      <c r="Q1526" s="11"/>
      <c r="R1526" s="11"/>
      <c r="S1526" s="11"/>
      <c r="T1526" s="11"/>
      <c r="U1526" s="11"/>
      <c r="V1526" s="11"/>
      <c r="W1526" s="11"/>
      <c r="X1526" s="12"/>
      <c r="Y1526" s="12"/>
      <c r="Z1526" s="12"/>
      <c r="AA1526" s="44"/>
      <c r="AB1526" s="45"/>
      <c r="AC1526" s="12"/>
      <c r="AD1526" s="12"/>
      <c r="AE1526" s="12"/>
      <c r="AF1526" s="12"/>
      <c r="AG1526" s="44"/>
      <c r="AH1526" s="45"/>
      <c r="AI1526" s="12"/>
      <c r="AJ1526" s="12"/>
      <c r="AK1526" s="12"/>
      <c r="AL1526" s="12"/>
      <c r="AM1526" s="44"/>
      <c r="AN1526" s="45"/>
      <c r="AO1526" s="12"/>
      <c r="AP1526" s="12"/>
      <c r="AQ1526" s="12"/>
      <c r="AR1526" s="12"/>
      <c r="AS1526" s="44"/>
      <c r="AT1526" s="45"/>
      <c r="AU1526" s="12"/>
      <c r="AV1526" s="12"/>
      <c r="AW1526" s="12"/>
      <c r="AX1526" s="12"/>
      <c r="AY1526" s="44"/>
      <c r="AZ1526" s="45"/>
      <c r="BA1526" s="12"/>
      <c r="BB1526" s="12"/>
      <c r="BC1526" s="12"/>
      <c r="BD1526" s="12"/>
      <c r="BE1526" s="44"/>
      <c r="BF1526" s="45"/>
      <c r="BG1526" s="12"/>
      <c r="BH1526" s="12"/>
      <c r="BI1526" s="12"/>
      <c r="BJ1526" s="12"/>
      <c r="BK1526" s="44"/>
      <c r="BL1526" s="45"/>
      <c r="BM1526" s="12"/>
      <c r="BN1526" s="12"/>
      <c r="BO1526" s="12"/>
      <c r="BP1526" s="12"/>
      <c r="BQ1526" s="48"/>
      <c r="BR1526" s="49"/>
      <c r="BS1526" s="13"/>
      <c r="BT1526" s="12"/>
      <c r="BV1526" s="14"/>
      <c r="BW1526" s="50"/>
      <c r="BX1526" s="54"/>
      <c r="BY1526" s="14"/>
      <c r="BZ1526" s="14"/>
      <c r="CA1526" s="14"/>
      <c r="CB1526" s="14"/>
      <c r="CC1526" s="14"/>
      <c r="CD1526" s="14"/>
      <c r="CE1526" s="14"/>
      <c r="CF1526" s="15"/>
      <c r="CG1526" s="14"/>
      <c r="CH1526" s="14"/>
      <c r="CI1526" s="50"/>
      <c r="CJ1526" s="54"/>
      <c r="CK1526" s="14"/>
      <c r="CL1526" s="14"/>
      <c r="CM1526" s="14"/>
      <c r="CN1526" s="14"/>
      <c r="CO1526" s="14"/>
      <c r="CP1526" s="14"/>
      <c r="CQ1526" s="14"/>
      <c r="CR1526" s="14"/>
      <c r="CS1526" s="14"/>
      <c r="CT1526" s="14"/>
      <c r="CU1526" s="16"/>
      <c r="CV1526" s="14"/>
      <c r="CW1526" s="50"/>
      <c r="CX1526" s="17"/>
    </row>
    <row r="1527" spans="4:102" x14ac:dyDescent="0.25"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43"/>
      <c r="Q1527" s="11"/>
      <c r="R1527" s="11"/>
      <c r="S1527" s="11"/>
      <c r="T1527" s="11"/>
      <c r="U1527" s="11"/>
      <c r="V1527" s="11"/>
      <c r="W1527" s="11"/>
      <c r="X1527" s="12"/>
      <c r="Y1527" s="12"/>
      <c r="Z1527" s="12"/>
      <c r="AA1527" s="44"/>
      <c r="AB1527" s="45"/>
      <c r="AC1527" s="12"/>
      <c r="AD1527" s="12"/>
      <c r="AE1527" s="12"/>
      <c r="AF1527" s="12"/>
      <c r="AG1527" s="44"/>
      <c r="AH1527" s="45"/>
      <c r="AI1527" s="12"/>
      <c r="AJ1527" s="12"/>
      <c r="AK1527" s="12"/>
      <c r="AL1527" s="12"/>
      <c r="AM1527" s="44"/>
      <c r="AN1527" s="45"/>
      <c r="AO1527" s="12"/>
      <c r="AP1527" s="12"/>
      <c r="AQ1527" s="12"/>
      <c r="AR1527" s="12"/>
      <c r="AS1527" s="44"/>
      <c r="AT1527" s="45"/>
      <c r="AU1527" s="12"/>
      <c r="AV1527" s="12"/>
      <c r="AW1527" s="12"/>
      <c r="AX1527" s="12"/>
      <c r="AY1527" s="44"/>
      <c r="AZ1527" s="45"/>
      <c r="BA1527" s="12"/>
      <c r="BB1527" s="12"/>
      <c r="BC1527" s="12"/>
      <c r="BD1527" s="12"/>
      <c r="BE1527" s="44"/>
      <c r="BF1527" s="45"/>
      <c r="BG1527" s="12"/>
      <c r="BH1527" s="12"/>
      <c r="BI1527" s="12"/>
      <c r="BJ1527" s="12"/>
      <c r="BK1527" s="44"/>
      <c r="BL1527" s="45"/>
      <c r="BM1527" s="12"/>
      <c r="BN1527" s="12"/>
      <c r="BO1527" s="12"/>
      <c r="BP1527" s="12"/>
      <c r="BQ1527" s="48"/>
      <c r="BR1527" s="49"/>
      <c r="BS1527" s="13"/>
      <c r="BT1527" s="12"/>
      <c r="BV1527" s="14"/>
      <c r="BW1527" s="50"/>
      <c r="BX1527" s="54"/>
      <c r="BY1527" s="14"/>
      <c r="BZ1527" s="14"/>
      <c r="CA1527" s="14"/>
      <c r="CB1527" s="14"/>
      <c r="CC1527" s="14"/>
      <c r="CD1527" s="14"/>
      <c r="CE1527" s="14"/>
      <c r="CF1527" s="15"/>
      <c r="CG1527" s="14"/>
      <c r="CH1527" s="14"/>
      <c r="CI1527" s="50"/>
      <c r="CJ1527" s="54"/>
      <c r="CK1527" s="14"/>
      <c r="CL1527" s="14"/>
      <c r="CM1527" s="14"/>
      <c r="CN1527" s="14"/>
      <c r="CO1527" s="14"/>
      <c r="CP1527" s="14"/>
      <c r="CQ1527" s="14"/>
      <c r="CR1527" s="14"/>
      <c r="CS1527" s="14"/>
      <c r="CT1527" s="14"/>
      <c r="CU1527" s="16"/>
      <c r="CV1527" s="14"/>
      <c r="CW1527" s="50"/>
      <c r="CX1527" s="17"/>
    </row>
    <row r="1528" spans="4:102" x14ac:dyDescent="0.25"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43"/>
      <c r="Q1528" s="11"/>
      <c r="R1528" s="11"/>
      <c r="S1528" s="11"/>
      <c r="T1528" s="11"/>
      <c r="U1528" s="11"/>
      <c r="V1528" s="11"/>
      <c r="W1528" s="11"/>
      <c r="X1528" s="12"/>
      <c r="Y1528" s="12"/>
      <c r="Z1528" s="12"/>
      <c r="AA1528" s="44"/>
      <c r="AB1528" s="45"/>
      <c r="AC1528" s="12"/>
      <c r="AD1528" s="12"/>
      <c r="AE1528" s="12"/>
      <c r="AF1528" s="12"/>
      <c r="AG1528" s="44"/>
      <c r="AH1528" s="45"/>
      <c r="AI1528" s="12"/>
      <c r="AJ1528" s="12"/>
      <c r="AK1528" s="12"/>
      <c r="AL1528" s="12"/>
      <c r="AM1528" s="44"/>
      <c r="AN1528" s="45"/>
      <c r="AO1528" s="12"/>
      <c r="AP1528" s="12"/>
      <c r="AQ1528" s="12"/>
      <c r="AR1528" s="12"/>
      <c r="AS1528" s="44"/>
      <c r="AT1528" s="45"/>
      <c r="AU1528" s="12"/>
      <c r="AV1528" s="12"/>
      <c r="AW1528" s="12"/>
      <c r="AX1528" s="12"/>
      <c r="AY1528" s="44"/>
      <c r="AZ1528" s="45"/>
      <c r="BA1528" s="12"/>
      <c r="BB1528" s="12"/>
      <c r="BC1528" s="12"/>
      <c r="BD1528" s="12"/>
      <c r="BE1528" s="44"/>
      <c r="BF1528" s="45"/>
      <c r="BG1528" s="12"/>
      <c r="BH1528" s="12"/>
      <c r="BI1528" s="12"/>
      <c r="BJ1528" s="12"/>
      <c r="BK1528" s="44"/>
      <c r="BL1528" s="45"/>
      <c r="BM1528" s="12"/>
      <c r="BN1528" s="12"/>
      <c r="BO1528" s="12"/>
      <c r="BP1528" s="12"/>
      <c r="BQ1528" s="48"/>
      <c r="BR1528" s="49"/>
      <c r="BS1528" s="13"/>
      <c r="BT1528" s="12"/>
      <c r="BV1528" s="14"/>
      <c r="BW1528" s="50"/>
      <c r="BX1528" s="54"/>
      <c r="BY1528" s="14"/>
      <c r="BZ1528" s="14"/>
      <c r="CA1528" s="14"/>
      <c r="CB1528" s="14"/>
      <c r="CC1528" s="14"/>
      <c r="CD1528" s="14"/>
      <c r="CE1528" s="14"/>
      <c r="CF1528" s="15"/>
      <c r="CG1528" s="14"/>
      <c r="CH1528" s="14"/>
      <c r="CI1528" s="50"/>
      <c r="CJ1528" s="54"/>
      <c r="CK1528" s="14"/>
      <c r="CL1528" s="14"/>
      <c r="CM1528" s="14"/>
      <c r="CN1528" s="14"/>
      <c r="CO1528" s="14"/>
      <c r="CP1528" s="14"/>
      <c r="CQ1528" s="14"/>
      <c r="CR1528" s="14"/>
      <c r="CS1528" s="14"/>
      <c r="CT1528" s="14"/>
      <c r="CU1528" s="16"/>
      <c r="CV1528" s="14"/>
      <c r="CW1528" s="50"/>
      <c r="CX1528" s="17"/>
    </row>
    <row r="1529" spans="4:102" x14ac:dyDescent="0.25"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43"/>
      <c r="Q1529" s="11"/>
      <c r="R1529" s="11"/>
      <c r="S1529" s="11"/>
      <c r="T1529" s="11"/>
      <c r="U1529" s="11"/>
      <c r="V1529" s="11"/>
      <c r="W1529" s="11"/>
      <c r="X1529" s="12"/>
      <c r="Y1529" s="12"/>
      <c r="Z1529" s="12"/>
      <c r="AA1529" s="44"/>
      <c r="AB1529" s="45"/>
      <c r="AC1529" s="12"/>
      <c r="AD1529" s="12"/>
      <c r="AE1529" s="12"/>
      <c r="AF1529" s="12"/>
      <c r="AG1529" s="44"/>
      <c r="AH1529" s="45"/>
      <c r="AI1529" s="12"/>
      <c r="AJ1529" s="12"/>
      <c r="AK1529" s="12"/>
      <c r="AL1529" s="12"/>
      <c r="AM1529" s="44"/>
      <c r="AN1529" s="45"/>
      <c r="AO1529" s="12"/>
      <c r="AP1529" s="12"/>
      <c r="AQ1529" s="12"/>
      <c r="AR1529" s="12"/>
      <c r="AS1529" s="44"/>
      <c r="AT1529" s="45"/>
      <c r="AU1529" s="12"/>
      <c r="AV1529" s="12"/>
      <c r="AW1529" s="12"/>
      <c r="AX1529" s="12"/>
      <c r="AY1529" s="44"/>
      <c r="AZ1529" s="45"/>
      <c r="BA1529" s="12"/>
      <c r="BB1529" s="12"/>
      <c r="BC1529" s="12"/>
      <c r="BD1529" s="12"/>
      <c r="BE1529" s="44"/>
      <c r="BF1529" s="45"/>
      <c r="BG1529" s="12"/>
      <c r="BH1529" s="12"/>
      <c r="BI1529" s="12"/>
      <c r="BJ1529" s="12"/>
      <c r="BK1529" s="44"/>
      <c r="BL1529" s="45"/>
      <c r="BM1529" s="12"/>
      <c r="BN1529" s="12"/>
      <c r="BO1529" s="12"/>
      <c r="BP1529" s="12"/>
      <c r="BQ1529" s="48"/>
      <c r="BR1529" s="49"/>
      <c r="BS1529" s="13"/>
      <c r="BT1529" s="12"/>
      <c r="BV1529" s="14"/>
      <c r="BW1529" s="50"/>
      <c r="BX1529" s="54"/>
      <c r="BY1529" s="14"/>
      <c r="BZ1529" s="14"/>
      <c r="CA1529" s="14"/>
      <c r="CB1529" s="14"/>
      <c r="CC1529" s="14"/>
      <c r="CD1529" s="14"/>
      <c r="CE1529" s="14"/>
      <c r="CF1529" s="15"/>
      <c r="CG1529" s="14"/>
      <c r="CH1529" s="14"/>
      <c r="CI1529" s="50"/>
      <c r="CJ1529" s="54"/>
      <c r="CK1529" s="14"/>
      <c r="CL1529" s="14"/>
      <c r="CM1529" s="14"/>
      <c r="CN1529" s="14"/>
      <c r="CO1529" s="14"/>
      <c r="CP1529" s="14"/>
      <c r="CQ1529" s="14"/>
      <c r="CR1529" s="14"/>
      <c r="CS1529" s="14"/>
      <c r="CT1529" s="14"/>
      <c r="CU1529" s="16"/>
      <c r="CV1529" s="14"/>
      <c r="CW1529" s="50"/>
      <c r="CX1529" s="17"/>
    </row>
    <row r="1530" spans="4:102" x14ac:dyDescent="0.25"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43"/>
      <c r="Q1530" s="11"/>
      <c r="R1530" s="11"/>
      <c r="S1530" s="11"/>
      <c r="T1530" s="11"/>
      <c r="U1530" s="11"/>
      <c r="V1530" s="11"/>
      <c r="W1530" s="11"/>
      <c r="X1530" s="12"/>
      <c r="Y1530" s="12"/>
      <c r="Z1530" s="12"/>
      <c r="AA1530" s="44"/>
      <c r="AB1530" s="45"/>
      <c r="AC1530" s="12"/>
      <c r="AD1530" s="12"/>
      <c r="AE1530" s="12"/>
      <c r="AF1530" s="12"/>
      <c r="AG1530" s="44"/>
      <c r="AH1530" s="45"/>
      <c r="AI1530" s="12"/>
      <c r="AJ1530" s="12"/>
      <c r="AK1530" s="12"/>
      <c r="AL1530" s="12"/>
      <c r="AM1530" s="44"/>
      <c r="AN1530" s="45"/>
      <c r="AO1530" s="12"/>
      <c r="AP1530" s="12"/>
      <c r="AQ1530" s="12"/>
      <c r="AR1530" s="12"/>
      <c r="AS1530" s="44"/>
      <c r="AT1530" s="45"/>
      <c r="AU1530" s="12"/>
      <c r="AV1530" s="12"/>
      <c r="AW1530" s="12"/>
      <c r="AX1530" s="12"/>
      <c r="AY1530" s="44"/>
      <c r="AZ1530" s="45"/>
      <c r="BA1530" s="12"/>
      <c r="BB1530" s="12"/>
      <c r="BC1530" s="12"/>
      <c r="BD1530" s="12"/>
      <c r="BE1530" s="44"/>
      <c r="BF1530" s="45"/>
      <c r="BG1530" s="12"/>
      <c r="BH1530" s="12"/>
      <c r="BI1530" s="12"/>
      <c r="BJ1530" s="12"/>
      <c r="BK1530" s="44"/>
      <c r="BL1530" s="45"/>
      <c r="BM1530" s="12"/>
      <c r="BN1530" s="12"/>
      <c r="BO1530" s="12"/>
      <c r="BP1530" s="12"/>
      <c r="BQ1530" s="48"/>
      <c r="BR1530" s="49"/>
      <c r="BS1530" s="13"/>
      <c r="BT1530" s="12"/>
      <c r="BV1530" s="14"/>
      <c r="BW1530" s="50"/>
      <c r="BX1530" s="54"/>
      <c r="BY1530" s="14"/>
      <c r="BZ1530" s="14"/>
      <c r="CA1530" s="14"/>
      <c r="CB1530" s="14"/>
      <c r="CC1530" s="14"/>
      <c r="CD1530" s="14"/>
      <c r="CE1530" s="14"/>
      <c r="CF1530" s="15"/>
      <c r="CG1530" s="14"/>
      <c r="CH1530" s="14"/>
      <c r="CI1530" s="50"/>
      <c r="CJ1530" s="54"/>
      <c r="CK1530" s="14"/>
      <c r="CL1530" s="14"/>
      <c r="CM1530" s="14"/>
      <c r="CN1530" s="14"/>
      <c r="CO1530" s="14"/>
      <c r="CP1530" s="14"/>
      <c r="CQ1530" s="14"/>
      <c r="CR1530" s="14"/>
      <c r="CS1530" s="14"/>
      <c r="CT1530" s="14"/>
      <c r="CU1530" s="16"/>
      <c r="CV1530" s="14"/>
      <c r="CW1530" s="50"/>
      <c r="CX1530" s="17"/>
    </row>
    <row r="1531" spans="4:102" x14ac:dyDescent="0.25"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43"/>
      <c r="Q1531" s="11"/>
      <c r="R1531" s="11"/>
      <c r="S1531" s="11"/>
      <c r="T1531" s="11"/>
      <c r="U1531" s="11"/>
      <c r="V1531" s="11"/>
      <c r="W1531" s="11"/>
      <c r="X1531" s="12"/>
      <c r="Y1531" s="12"/>
      <c r="Z1531" s="12"/>
      <c r="AA1531" s="44"/>
      <c r="AB1531" s="45"/>
      <c r="AC1531" s="12"/>
      <c r="AD1531" s="12"/>
      <c r="AE1531" s="12"/>
      <c r="AF1531" s="12"/>
      <c r="AG1531" s="44"/>
      <c r="AH1531" s="45"/>
      <c r="AI1531" s="12"/>
      <c r="AJ1531" s="12"/>
      <c r="AK1531" s="12"/>
      <c r="AL1531" s="12"/>
      <c r="AM1531" s="44"/>
      <c r="AN1531" s="45"/>
      <c r="AO1531" s="12"/>
      <c r="AP1531" s="12"/>
      <c r="AQ1531" s="12"/>
      <c r="AR1531" s="12"/>
      <c r="AS1531" s="44"/>
      <c r="AT1531" s="45"/>
      <c r="AU1531" s="12"/>
      <c r="AV1531" s="12"/>
      <c r="AW1531" s="12"/>
      <c r="AX1531" s="12"/>
      <c r="AY1531" s="44"/>
      <c r="AZ1531" s="45"/>
      <c r="BA1531" s="12"/>
      <c r="BB1531" s="12"/>
      <c r="BC1531" s="12"/>
      <c r="BD1531" s="12"/>
      <c r="BE1531" s="44"/>
      <c r="BF1531" s="45"/>
      <c r="BG1531" s="12"/>
      <c r="BH1531" s="12"/>
      <c r="BI1531" s="12"/>
      <c r="BJ1531" s="12"/>
      <c r="BK1531" s="44"/>
      <c r="BL1531" s="45"/>
      <c r="BM1531" s="12"/>
      <c r="BN1531" s="12"/>
      <c r="BO1531" s="12"/>
      <c r="BP1531" s="12"/>
      <c r="BQ1531" s="48"/>
      <c r="BR1531" s="49"/>
      <c r="BS1531" s="13"/>
      <c r="BT1531" s="12"/>
      <c r="BV1531" s="14"/>
      <c r="BW1531" s="50"/>
      <c r="BX1531" s="54"/>
      <c r="BY1531" s="14"/>
      <c r="BZ1531" s="14"/>
      <c r="CA1531" s="14"/>
      <c r="CB1531" s="14"/>
      <c r="CC1531" s="14"/>
      <c r="CD1531" s="14"/>
      <c r="CE1531" s="14"/>
      <c r="CF1531" s="15"/>
      <c r="CG1531" s="14"/>
      <c r="CH1531" s="14"/>
      <c r="CI1531" s="50"/>
      <c r="CJ1531" s="54"/>
      <c r="CK1531" s="14"/>
      <c r="CL1531" s="14"/>
      <c r="CM1531" s="14"/>
      <c r="CN1531" s="14"/>
      <c r="CO1531" s="14"/>
      <c r="CP1531" s="14"/>
      <c r="CQ1531" s="14"/>
      <c r="CR1531" s="14"/>
      <c r="CS1531" s="14"/>
      <c r="CT1531" s="14"/>
      <c r="CU1531" s="16"/>
      <c r="CV1531" s="14"/>
      <c r="CW1531" s="50"/>
      <c r="CX1531" s="17"/>
    </row>
    <row r="1532" spans="4:102" x14ac:dyDescent="0.25"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43"/>
      <c r="Q1532" s="11"/>
      <c r="R1532" s="11"/>
      <c r="S1532" s="11"/>
      <c r="T1532" s="11"/>
      <c r="U1532" s="11"/>
      <c r="V1532" s="11"/>
      <c r="W1532" s="11"/>
      <c r="X1532" s="12"/>
      <c r="Y1532" s="12"/>
      <c r="Z1532" s="12"/>
      <c r="AA1532" s="44"/>
      <c r="AB1532" s="45"/>
      <c r="AC1532" s="12"/>
      <c r="AD1532" s="12"/>
      <c r="AE1532" s="12"/>
      <c r="AF1532" s="12"/>
      <c r="AG1532" s="44"/>
      <c r="AH1532" s="45"/>
      <c r="AI1532" s="12"/>
      <c r="AJ1532" s="12"/>
      <c r="AK1532" s="12"/>
      <c r="AL1532" s="12"/>
      <c r="AM1532" s="44"/>
      <c r="AN1532" s="45"/>
      <c r="AO1532" s="12"/>
      <c r="AP1532" s="12"/>
      <c r="AQ1532" s="12"/>
      <c r="AR1532" s="12"/>
      <c r="AS1532" s="44"/>
      <c r="AT1532" s="45"/>
      <c r="AU1532" s="12"/>
      <c r="AV1532" s="12"/>
      <c r="AW1532" s="12"/>
      <c r="AX1532" s="12"/>
      <c r="AY1532" s="44"/>
      <c r="AZ1532" s="45"/>
      <c r="BA1532" s="12"/>
      <c r="BB1532" s="12"/>
      <c r="BC1532" s="12"/>
      <c r="BD1532" s="12"/>
      <c r="BE1532" s="44"/>
      <c r="BF1532" s="45"/>
      <c r="BG1532" s="12"/>
      <c r="BH1532" s="12"/>
      <c r="BI1532" s="12"/>
      <c r="BJ1532" s="12"/>
      <c r="BK1532" s="44"/>
      <c r="BL1532" s="45"/>
      <c r="BM1532" s="12"/>
      <c r="BN1532" s="12"/>
      <c r="BO1532" s="12"/>
      <c r="BP1532" s="12"/>
      <c r="BQ1532" s="48"/>
      <c r="BR1532" s="49"/>
      <c r="BS1532" s="13"/>
      <c r="BT1532" s="12"/>
      <c r="BV1532" s="14"/>
      <c r="BW1532" s="50"/>
      <c r="BX1532" s="54"/>
      <c r="BY1532" s="14"/>
      <c r="BZ1532" s="14"/>
      <c r="CA1532" s="14"/>
      <c r="CB1532" s="14"/>
      <c r="CC1532" s="14"/>
      <c r="CD1532" s="14"/>
      <c r="CE1532" s="14"/>
      <c r="CF1532" s="15"/>
      <c r="CG1532" s="14"/>
      <c r="CH1532" s="14"/>
      <c r="CI1532" s="50"/>
      <c r="CJ1532" s="54"/>
      <c r="CK1532" s="14"/>
      <c r="CL1532" s="14"/>
      <c r="CM1532" s="14"/>
      <c r="CN1532" s="14"/>
      <c r="CO1532" s="14"/>
      <c r="CP1532" s="14"/>
      <c r="CQ1532" s="14"/>
      <c r="CR1532" s="14"/>
      <c r="CS1532" s="14"/>
      <c r="CT1532" s="14"/>
      <c r="CU1532" s="16"/>
      <c r="CV1532" s="14"/>
      <c r="CW1532" s="50"/>
      <c r="CX1532" s="17"/>
    </row>
    <row r="1533" spans="4:102" x14ac:dyDescent="0.25"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43"/>
      <c r="Q1533" s="11"/>
      <c r="R1533" s="11"/>
      <c r="S1533" s="11"/>
      <c r="T1533" s="11"/>
      <c r="U1533" s="11"/>
      <c r="V1533" s="11"/>
      <c r="W1533" s="11"/>
      <c r="X1533" s="12"/>
      <c r="Y1533" s="12"/>
      <c r="Z1533" s="12"/>
      <c r="AA1533" s="44"/>
      <c r="AB1533" s="45"/>
      <c r="AC1533" s="12"/>
      <c r="AD1533" s="12"/>
      <c r="AE1533" s="12"/>
      <c r="AF1533" s="12"/>
      <c r="AG1533" s="44"/>
      <c r="AH1533" s="45"/>
      <c r="AI1533" s="12"/>
      <c r="AJ1533" s="12"/>
      <c r="AK1533" s="12"/>
      <c r="AL1533" s="12"/>
      <c r="AM1533" s="44"/>
      <c r="AN1533" s="45"/>
      <c r="AO1533" s="12"/>
      <c r="AP1533" s="12"/>
      <c r="AQ1533" s="12"/>
      <c r="AR1533" s="12"/>
      <c r="AS1533" s="44"/>
      <c r="AT1533" s="45"/>
      <c r="AU1533" s="12"/>
      <c r="AV1533" s="12"/>
      <c r="AW1533" s="12"/>
      <c r="AX1533" s="12"/>
      <c r="AY1533" s="44"/>
      <c r="AZ1533" s="45"/>
      <c r="BA1533" s="12"/>
      <c r="BB1533" s="12"/>
      <c r="BC1533" s="12"/>
      <c r="BD1533" s="12"/>
      <c r="BE1533" s="44"/>
      <c r="BF1533" s="45"/>
      <c r="BG1533" s="12"/>
      <c r="BH1533" s="12"/>
      <c r="BI1533" s="12"/>
      <c r="BJ1533" s="12"/>
      <c r="BK1533" s="44"/>
      <c r="BL1533" s="45"/>
      <c r="BM1533" s="12"/>
      <c r="BN1533" s="12"/>
      <c r="BO1533" s="12"/>
      <c r="BP1533" s="12"/>
      <c r="BQ1533" s="48"/>
      <c r="BR1533" s="49"/>
      <c r="BS1533" s="13"/>
      <c r="BT1533" s="12"/>
      <c r="BV1533" s="14"/>
      <c r="BW1533" s="50"/>
      <c r="BX1533" s="54"/>
      <c r="BY1533" s="14"/>
      <c r="BZ1533" s="14"/>
      <c r="CA1533" s="14"/>
      <c r="CB1533" s="14"/>
      <c r="CC1533" s="14"/>
      <c r="CD1533" s="14"/>
      <c r="CE1533" s="14"/>
      <c r="CF1533" s="15"/>
      <c r="CG1533" s="14"/>
      <c r="CH1533" s="14"/>
      <c r="CI1533" s="50"/>
      <c r="CJ1533" s="54"/>
      <c r="CK1533" s="14"/>
      <c r="CL1533" s="14"/>
      <c r="CM1533" s="14"/>
      <c r="CN1533" s="14"/>
      <c r="CO1533" s="14"/>
      <c r="CP1533" s="14"/>
      <c r="CQ1533" s="14"/>
      <c r="CR1533" s="14"/>
      <c r="CS1533" s="14"/>
      <c r="CT1533" s="14"/>
      <c r="CU1533" s="16"/>
      <c r="CV1533" s="14"/>
      <c r="CW1533" s="50"/>
      <c r="CX1533" s="17"/>
    </row>
    <row r="1534" spans="4:102" x14ac:dyDescent="0.25"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43"/>
      <c r="Q1534" s="11"/>
      <c r="R1534" s="11"/>
      <c r="S1534" s="11"/>
      <c r="T1534" s="11"/>
      <c r="U1534" s="11"/>
      <c r="V1534" s="11"/>
      <c r="W1534" s="11"/>
      <c r="X1534" s="12"/>
      <c r="Y1534" s="12"/>
      <c r="Z1534" s="12"/>
      <c r="AA1534" s="44"/>
      <c r="AB1534" s="45"/>
      <c r="AC1534" s="12"/>
      <c r="AD1534" s="12"/>
      <c r="AE1534" s="12"/>
      <c r="AF1534" s="12"/>
      <c r="AG1534" s="44"/>
      <c r="AH1534" s="45"/>
      <c r="AI1534" s="12"/>
      <c r="AJ1534" s="12"/>
      <c r="AK1534" s="12"/>
      <c r="AL1534" s="12"/>
      <c r="AM1534" s="44"/>
      <c r="AN1534" s="45"/>
      <c r="AO1534" s="12"/>
      <c r="AP1534" s="12"/>
      <c r="AQ1534" s="12"/>
      <c r="AR1534" s="12"/>
      <c r="AS1534" s="44"/>
      <c r="AT1534" s="45"/>
      <c r="AU1534" s="12"/>
      <c r="AV1534" s="12"/>
      <c r="AW1534" s="12"/>
      <c r="AX1534" s="12"/>
      <c r="AY1534" s="44"/>
      <c r="AZ1534" s="45"/>
      <c r="BA1534" s="12"/>
      <c r="BB1534" s="12"/>
      <c r="BC1534" s="12"/>
      <c r="BD1534" s="12"/>
      <c r="BE1534" s="44"/>
      <c r="BF1534" s="45"/>
      <c r="BG1534" s="12"/>
      <c r="BH1534" s="12"/>
      <c r="BI1534" s="12"/>
      <c r="BJ1534" s="12"/>
      <c r="BK1534" s="44"/>
      <c r="BL1534" s="45"/>
      <c r="BM1534" s="12"/>
      <c r="BN1534" s="12"/>
      <c r="BO1534" s="12"/>
      <c r="BP1534" s="12"/>
      <c r="BQ1534" s="48"/>
      <c r="BR1534" s="49"/>
      <c r="BS1534" s="13"/>
      <c r="BT1534" s="12"/>
      <c r="BV1534" s="14"/>
      <c r="BW1534" s="50"/>
      <c r="BX1534" s="54"/>
      <c r="BY1534" s="14"/>
      <c r="BZ1534" s="14"/>
      <c r="CA1534" s="14"/>
      <c r="CB1534" s="14"/>
      <c r="CC1534" s="14"/>
      <c r="CD1534" s="14"/>
      <c r="CE1534" s="14"/>
      <c r="CF1534" s="15"/>
      <c r="CG1534" s="14"/>
      <c r="CH1534" s="14"/>
      <c r="CI1534" s="50"/>
      <c r="CJ1534" s="54"/>
      <c r="CK1534" s="14"/>
      <c r="CL1534" s="14"/>
      <c r="CM1534" s="14"/>
      <c r="CN1534" s="14"/>
      <c r="CO1534" s="14"/>
      <c r="CP1534" s="14"/>
      <c r="CQ1534" s="14"/>
      <c r="CR1534" s="14"/>
      <c r="CS1534" s="14"/>
      <c r="CT1534" s="14"/>
      <c r="CU1534" s="16"/>
      <c r="CV1534" s="14"/>
      <c r="CW1534" s="50"/>
      <c r="CX1534" s="17"/>
    </row>
    <row r="1535" spans="4:102" x14ac:dyDescent="0.25"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43"/>
      <c r="Q1535" s="11"/>
      <c r="R1535" s="11"/>
      <c r="S1535" s="11"/>
      <c r="T1535" s="11"/>
      <c r="U1535" s="11"/>
      <c r="V1535" s="11"/>
      <c r="W1535" s="11"/>
      <c r="X1535" s="12"/>
      <c r="Y1535" s="12"/>
      <c r="Z1535" s="12"/>
      <c r="AA1535" s="44"/>
      <c r="AB1535" s="45"/>
      <c r="AC1535" s="12"/>
      <c r="AD1535" s="12"/>
      <c r="AE1535" s="12"/>
      <c r="AF1535" s="12"/>
      <c r="AG1535" s="44"/>
      <c r="AH1535" s="45"/>
      <c r="AI1535" s="12"/>
      <c r="AJ1535" s="12"/>
      <c r="AK1535" s="12"/>
      <c r="AL1535" s="12"/>
      <c r="AM1535" s="44"/>
      <c r="AN1535" s="45"/>
      <c r="AO1535" s="12"/>
      <c r="AP1535" s="12"/>
      <c r="AQ1535" s="12"/>
      <c r="AR1535" s="12"/>
      <c r="AS1535" s="44"/>
      <c r="AT1535" s="45"/>
      <c r="AU1535" s="12"/>
      <c r="AV1535" s="12"/>
      <c r="AW1535" s="12"/>
      <c r="AX1535" s="12"/>
      <c r="AY1535" s="44"/>
      <c r="AZ1535" s="45"/>
      <c r="BA1535" s="12"/>
      <c r="BB1535" s="12"/>
      <c r="BC1535" s="12"/>
      <c r="BD1535" s="12"/>
      <c r="BE1535" s="44"/>
      <c r="BF1535" s="45"/>
      <c r="BG1535" s="12"/>
      <c r="BH1535" s="12"/>
      <c r="BI1535" s="12"/>
      <c r="BJ1535" s="12"/>
      <c r="BK1535" s="44"/>
      <c r="BL1535" s="45"/>
      <c r="BM1535" s="12"/>
      <c r="BN1535" s="12"/>
      <c r="BO1535" s="12"/>
      <c r="BP1535" s="12"/>
      <c r="BQ1535" s="48"/>
      <c r="BR1535" s="49"/>
      <c r="BS1535" s="13"/>
      <c r="BT1535" s="12"/>
      <c r="BV1535" s="14"/>
      <c r="BW1535" s="50"/>
      <c r="BX1535" s="54"/>
      <c r="BY1535" s="14"/>
      <c r="BZ1535" s="14"/>
      <c r="CA1535" s="14"/>
      <c r="CB1535" s="14"/>
      <c r="CC1535" s="14"/>
      <c r="CD1535" s="14"/>
      <c r="CE1535" s="14"/>
      <c r="CF1535" s="15"/>
      <c r="CG1535" s="14"/>
      <c r="CH1535" s="14"/>
      <c r="CI1535" s="50"/>
      <c r="CJ1535" s="54"/>
      <c r="CK1535" s="14"/>
      <c r="CL1535" s="14"/>
      <c r="CM1535" s="14"/>
      <c r="CN1535" s="14"/>
      <c r="CO1535" s="14"/>
      <c r="CP1535" s="14"/>
      <c r="CQ1535" s="14"/>
      <c r="CR1535" s="14"/>
      <c r="CS1535" s="14"/>
      <c r="CT1535" s="14"/>
      <c r="CU1535" s="16"/>
      <c r="CV1535" s="14"/>
      <c r="CW1535" s="50"/>
      <c r="CX1535" s="17"/>
    </row>
    <row r="1536" spans="4:102" x14ac:dyDescent="0.25"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43"/>
      <c r="Q1536" s="11"/>
      <c r="R1536" s="11"/>
      <c r="S1536" s="11"/>
      <c r="T1536" s="11"/>
      <c r="U1536" s="11"/>
      <c r="V1536" s="11"/>
      <c r="W1536" s="11"/>
      <c r="X1536" s="12"/>
      <c r="Y1536" s="12"/>
      <c r="Z1536" s="12"/>
      <c r="AA1536" s="44"/>
      <c r="AB1536" s="45"/>
      <c r="AC1536" s="12"/>
      <c r="AD1536" s="12"/>
      <c r="AE1536" s="12"/>
      <c r="AF1536" s="12"/>
      <c r="AG1536" s="44"/>
      <c r="AH1536" s="45"/>
      <c r="AI1536" s="12"/>
      <c r="AJ1536" s="12"/>
      <c r="AK1536" s="12"/>
      <c r="AL1536" s="12"/>
      <c r="AM1536" s="44"/>
      <c r="AN1536" s="45"/>
      <c r="AO1536" s="12"/>
      <c r="AP1536" s="12"/>
      <c r="AQ1536" s="12"/>
      <c r="AR1536" s="12"/>
      <c r="AS1536" s="44"/>
      <c r="AT1536" s="45"/>
      <c r="AU1536" s="12"/>
      <c r="AV1536" s="12"/>
      <c r="AW1536" s="12"/>
      <c r="AX1536" s="12"/>
      <c r="AY1536" s="44"/>
      <c r="AZ1536" s="45"/>
      <c r="BA1536" s="12"/>
      <c r="BB1536" s="12"/>
      <c r="BC1536" s="12"/>
      <c r="BD1536" s="12"/>
      <c r="BE1536" s="44"/>
      <c r="BF1536" s="45"/>
      <c r="BG1536" s="12"/>
      <c r="BH1536" s="12"/>
      <c r="BI1536" s="12"/>
      <c r="BJ1536" s="12"/>
      <c r="BK1536" s="44"/>
      <c r="BL1536" s="45"/>
      <c r="BM1536" s="12"/>
      <c r="BN1536" s="12"/>
      <c r="BO1536" s="12"/>
      <c r="BP1536" s="12"/>
      <c r="BQ1536" s="48"/>
      <c r="BR1536" s="49"/>
      <c r="BS1536" s="13"/>
      <c r="BT1536" s="12"/>
      <c r="BV1536" s="14"/>
      <c r="BW1536" s="50"/>
      <c r="BX1536" s="54"/>
      <c r="BY1536" s="14"/>
      <c r="BZ1536" s="14"/>
      <c r="CA1536" s="14"/>
      <c r="CB1536" s="14"/>
      <c r="CC1536" s="14"/>
      <c r="CD1536" s="14"/>
      <c r="CE1536" s="14"/>
      <c r="CF1536" s="15"/>
      <c r="CG1536" s="14"/>
      <c r="CH1536" s="14"/>
      <c r="CI1536" s="50"/>
      <c r="CJ1536" s="54"/>
      <c r="CK1536" s="14"/>
      <c r="CL1536" s="14"/>
      <c r="CM1536" s="14"/>
      <c r="CN1536" s="14"/>
      <c r="CO1536" s="14"/>
      <c r="CP1536" s="14"/>
      <c r="CQ1536" s="14"/>
      <c r="CR1536" s="14"/>
      <c r="CS1536" s="14"/>
      <c r="CT1536" s="14"/>
      <c r="CU1536" s="16"/>
      <c r="CV1536" s="14"/>
      <c r="CW1536" s="50"/>
      <c r="CX1536" s="17"/>
    </row>
    <row r="1537" spans="4:102" x14ac:dyDescent="0.25"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43"/>
      <c r="Q1537" s="11"/>
      <c r="R1537" s="11"/>
      <c r="S1537" s="11"/>
      <c r="T1537" s="11"/>
      <c r="U1537" s="11"/>
      <c r="V1537" s="11"/>
      <c r="W1537" s="11"/>
      <c r="X1537" s="12"/>
      <c r="Y1537" s="12"/>
      <c r="Z1537" s="12"/>
      <c r="AA1537" s="44"/>
      <c r="AB1537" s="45"/>
      <c r="AC1537" s="12"/>
      <c r="AD1537" s="12"/>
      <c r="AE1537" s="12"/>
      <c r="AF1537" s="12"/>
      <c r="AG1537" s="44"/>
      <c r="AH1537" s="45"/>
      <c r="AI1537" s="12"/>
      <c r="AJ1537" s="12"/>
      <c r="AK1537" s="12"/>
      <c r="AL1537" s="12"/>
      <c r="AM1537" s="44"/>
      <c r="AN1537" s="45"/>
      <c r="AO1537" s="12"/>
      <c r="AP1537" s="12"/>
      <c r="AQ1537" s="12"/>
      <c r="AR1537" s="12"/>
      <c r="AS1537" s="44"/>
      <c r="AT1537" s="45"/>
      <c r="AU1537" s="12"/>
      <c r="AV1537" s="12"/>
      <c r="AW1537" s="12"/>
      <c r="AX1537" s="12"/>
      <c r="AY1537" s="44"/>
      <c r="AZ1537" s="45"/>
      <c r="BA1537" s="12"/>
      <c r="BB1537" s="12"/>
      <c r="BC1537" s="12"/>
      <c r="BD1537" s="12"/>
      <c r="BE1537" s="44"/>
      <c r="BF1537" s="45"/>
      <c r="BG1537" s="12"/>
      <c r="BH1537" s="12"/>
      <c r="BI1537" s="12"/>
      <c r="BJ1537" s="12"/>
      <c r="BK1537" s="44"/>
      <c r="BL1537" s="45"/>
      <c r="BM1537" s="12"/>
      <c r="BN1537" s="12"/>
      <c r="BO1537" s="12"/>
      <c r="BP1537" s="12"/>
      <c r="BQ1537" s="48"/>
      <c r="BR1537" s="49"/>
      <c r="BS1537" s="13"/>
      <c r="BT1537" s="12"/>
      <c r="BV1537" s="14"/>
      <c r="BW1537" s="50"/>
      <c r="BX1537" s="54"/>
      <c r="BY1537" s="14"/>
      <c r="BZ1537" s="14"/>
      <c r="CA1537" s="14"/>
      <c r="CB1537" s="14"/>
      <c r="CC1537" s="14"/>
      <c r="CD1537" s="14"/>
      <c r="CE1537" s="14"/>
      <c r="CF1537" s="15"/>
      <c r="CG1537" s="14"/>
      <c r="CH1537" s="14"/>
      <c r="CI1537" s="50"/>
      <c r="CJ1537" s="54"/>
      <c r="CK1537" s="14"/>
      <c r="CL1537" s="14"/>
      <c r="CM1537" s="14"/>
      <c r="CN1537" s="14"/>
      <c r="CO1537" s="14"/>
      <c r="CP1537" s="14"/>
      <c r="CQ1537" s="14"/>
      <c r="CR1537" s="14"/>
      <c r="CS1537" s="14"/>
      <c r="CT1537" s="14"/>
      <c r="CU1537" s="16"/>
      <c r="CV1537" s="14"/>
      <c r="CW1537" s="50"/>
      <c r="CX1537" s="17"/>
    </row>
    <row r="1538" spans="4:102" x14ac:dyDescent="0.25"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43"/>
      <c r="Q1538" s="11"/>
      <c r="R1538" s="11"/>
      <c r="S1538" s="11"/>
      <c r="T1538" s="11"/>
      <c r="U1538" s="11"/>
      <c r="V1538" s="11"/>
      <c r="W1538" s="11"/>
      <c r="X1538" s="12"/>
      <c r="Y1538" s="12"/>
      <c r="Z1538" s="12"/>
      <c r="AA1538" s="44"/>
      <c r="AB1538" s="45"/>
      <c r="AC1538" s="12"/>
      <c r="AD1538" s="12"/>
      <c r="AE1538" s="12"/>
      <c r="AF1538" s="12"/>
      <c r="AG1538" s="44"/>
      <c r="AH1538" s="45"/>
      <c r="AI1538" s="12"/>
      <c r="AJ1538" s="12"/>
      <c r="AK1538" s="12"/>
      <c r="AL1538" s="12"/>
      <c r="AM1538" s="44"/>
      <c r="AN1538" s="45"/>
      <c r="AO1538" s="12"/>
      <c r="AP1538" s="12"/>
      <c r="AQ1538" s="12"/>
      <c r="AR1538" s="12"/>
      <c r="AS1538" s="44"/>
      <c r="AT1538" s="45"/>
      <c r="AU1538" s="12"/>
      <c r="AV1538" s="12"/>
      <c r="AW1538" s="12"/>
      <c r="AX1538" s="12"/>
      <c r="AY1538" s="44"/>
      <c r="AZ1538" s="45"/>
      <c r="BA1538" s="12"/>
      <c r="BB1538" s="12"/>
      <c r="BC1538" s="12"/>
      <c r="BD1538" s="12"/>
      <c r="BE1538" s="44"/>
      <c r="BF1538" s="45"/>
      <c r="BG1538" s="12"/>
      <c r="BH1538" s="12"/>
      <c r="BI1538" s="12"/>
      <c r="BJ1538" s="12"/>
      <c r="BK1538" s="44"/>
      <c r="BL1538" s="45"/>
      <c r="BM1538" s="12"/>
      <c r="BN1538" s="12"/>
      <c r="BO1538" s="12"/>
      <c r="BP1538" s="12"/>
      <c r="BQ1538" s="48"/>
      <c r="BR1538" s="49"/>
      <c r="BS1538" s="13"/>
      <c r="BT1538" s="12"/>
      <c r="BV1538" s="14"/>
      <c r="BW1538" s="50"/>
      <c r="BX1538" s="54"/>
      <c r="BY1538" s="14"/>
      <c r="BZ1538" s="14"/>
      <c r="CA1538" s="14"/>
      <c r="CB1538" s="14"/>
      <c r="CC1538" s="14"/>
      <c r="CD1538" s="14"/>
      <c r="CE1538" s="14"/>
      <c r="CF1538" s="15"/>
      <c r="CG1538" s="14"/>
      <c r="CH1538" s="14"/>
      <c r="CI1538" s="50"/>
      <c r="CJ1538" s="54"/>
      <c r="CK1538" s="14"/>
      <c r="CL1538" s="14"/>
      <c r="CM1538" s="14"/>
      <c r="CN1538" s="14"/>
      <c r="CO1538" s="14"/>
      <c r="CP1538" s="14"/>
      <c r="CQ1538" s="14"/>
      <c r="CR1538" s="14"/>
      <c r="CS1538" s="14"/>
      <c r="CT1538" s="14"/>
      <c r="CU1538" s="16"/>
      <c r="CV1538" s="14"/>
      <c r="CW1538" s="50"/>
      <c r="CX1538" s="17"/>
    </row>
    <row r="1539" spans="4:102" x14ac:dyDescent="0.25"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43"/>
      <c r="Q1539" s="11"/>
      <c r="R1539" s="11"/>
      <c r="S1539" s="11"/>
      <c r="T1539" s="11"/>
      <c r="U1539" s="11"/>
      <c r="V1539" s="11"/>
      <c r="W1539" s="11"/>
      <c r="X1539" s="12"/>
      <c r="Y1539" s="12"/>
      <c r="Z1539" s="12"/>
      <c r="AA1539" s="44"/>
      <c r="AB1539" s="45"/>
      <c r="AC1539" s="12"/>
      <c r="AD1539" s="12"/>
      <c r="AE1539" s="12"/>
      <c r="AF1539" s="12"/>
      <c r="AG1539" s="44"/>
      <c r="AH1539" s="45"/>
      <c r="AI1539" s="12"/>
      <c r="AJ1539" s="12"/>
      <c r="AK1539" s="12"/>
      <c r="AL1539" s="12"/>
      <c r="AM1539" s="44"/>
      <c r="AN1539" s="45"/>
      <c r="AO1539" s="12"/>
      <c r="AP1539" s="12"/>
      <c r="AQ1539" s="12"/>
      <c r="AR1539" s="12"/>
      <c r="AS1539" s="44"/>
      <c r="AT1539" s="45"/>
      <c r="AU1539" s="12"/>
      <c r="AV1539" s="12"/>
      <c r="AW1539" s="12"/>
      <c r="AX1539" s="12"/>
      <c r="AY1539" s="44"/>
      <c r="AZ1539" s="45"/>
      <c r="BA1539" s="12"/>
      <c r="BB1539" s="12"/>
      <c r="BC1539" s="12"/>
      <c r="BD1539" s="12"/>
      <c r="BE1539" s="44"/>
      <c r="BF1539" s="45"/>
      <c r="BG1539" s="12"/>
      <c r="BH1539" s="12"/>
      <c r="BI1539" s="12"/>
      <c r="BJ1539" s="12"/>
      <c r="BK1539" s="44"/>
      <c r="BL1539" s="45"/>
      <c r="BM1539" s="12"/>
      <c r="BN1539" s="12"/>
      <c r="BO1539" s="12"/>
      <c r="BP1539" s="12"/>
      <c r="BQ1539" s="48"/>
      <c r="BR1539" s="49"/>
      <c r="BS1539" s="13"/>
      <c r="BT1539" s="12"/>
      <c r="BV1539" s="14"/>
      <c r="BW1539" s="50"/>
      <c r="BX1539" s="54"/>
      <c r="BY1539" s="14"/>
      <c r="BZ1539" s="14"/>
      <c r="CA1539" s="14"/>
      <c r="CB1539" s="14"/>
      <c r="CC1539" s="14"/>
      <c r="CD1539" s="14"/>
      <c r="CE1539" s="14"/>
      <c r="CF1539" s="15"/>
      <c r="CG1539" s="14"/>
      <c r="CH1539" s="14"/>
      <c r="CI1539" s="50"/>
      <c r="CJ1539" s="54"/>
      <c r="CK1539" s="14"/>
      <c r="CL1539" s="14"/>
      <c r="CM1539" s="14"/>
      <c r="CN1539" s="14"/>
      <c r="CO1539" s="14"/>
      <c r="CP1539" s="14"/>
      <c r="CQ1539" s="14"/>
      <c r="CR1539" s="14"/>
      <c r="CS1539" s="14"/>
      <c r="CT1539" s="14"/>
      <c r="CU1539" s="16"/>
      <c r="CV1539" s="14"/>
      <c r="CW1539" s="50"/>
      <c r="CX1539" s="17"/>
    </row>
    <row r="1540" spans="4:102" x14ac:dyDescent="0.25"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43"/>
      <c r="Q1540" s="11"/>
      <c r="R1540" s="11"/>
      <c r="S1540" s="11"/>
      <c r="T1540" s="11"/>
      <c r="U1540" s="11"/>
      <c r="V1540" s="11"/>
      <c r="W1540" s="11"/>
      <c r="X1540" s="12"/>
      <c r="Y1540" s="12"/>
      <c r="Z1540" s="12"/>
      <c r="AA1540" s="44"/>
      <c r="AB1540" s="45"/>
      <c r="AC1540" s="12"/>
      <c r="AD1540" s="12"/>
      <c r="AE1540" s="12"/>
      <c r="AF1540" s="12"/>
      <c r="AG1540" s="44"/>
      <c r="AH1540" s="45"/>
      <c r="AI1540" s="12"/>
      <c r="AJ1540" s="12"/>
      <c r="AK1540" s="12"/>
      <c r="AL1540" s="12"/>
      <c r="AM1540" s="44"/>
      <c r="AN1540" s="45"/>
      <c r="AO1540" s="12"/>
      <c r="AP1540" s="12"/>
      <c r="AQ1540" s="12"/>
      <c r="AR1540" s="12"/>
      <c r="AS1540" s="44"/>
      <c r="AT1540" s="45"/>
      <c r="AU1540" s="12"/>
      <c r="AV1540" s="12"/>
      <c r="AW1540" s="12"/>
      <c r="AX1540" s="12"/>
      <c r="AY1540" s="44"/>
      <c r="AZ1540" s="45"/>
      <c r="BA1540" s="12"/>
      <c r="BB1540" s="12"/>
      <c r="BC1540" s="12"/>
      <c r="BD1540" s="12"/>
      <c r="BE1540" s="44"/>
      <c r="BF1540" s="45"/>
      <c r="BG1540" s="12"/>
      <c r="BH1540" s="12"/>
      <c r="BI1540" s="12"/>
      <c r="BJ1540" s="12"/>
      <c r="BK1540" s="44"/>
      <c r="BL1540" s="45"/>
      <c r="BM1540" s="12"/>
      <c r="BN1540" s="12"/>
      <c r="BO1540" s="12"/>
      <c r="BP1540" s="12"/>
      <c r="BQ1540" s="48"/>
      <c r="BR1540" s="49"/>
      <c r="BS1540" s="13"/>
      <c r="BT1540" s="12"/>
      <c r="BV1540" s="14"/>
      <c r="BW1540" s="50"/>
      <c r="BX1540" s="54"/>
      <c r="BY1540" s="14"/>
      <c r="BZ1540" s="14"/>
      <c r="CA1540" s="14"/>
      <c r="CB1540" s="14"/>
      <c r="CC1540" s="14"/>
      <c r="CD1540" s="14"/>
      <c r="CE1540" s="14"/>
      <c r="CF1540" s="15"/>
      <c r="CG1540" s="14"/>
      <c r="CH1540" s="14"/>
      <c r="CI1540" s="50"/>
      <c r="CJ1540" s="54"/>
      <c r="CK1540" s="14"/>
      <c r="CL1540" s="14"/>
      <c r="CM1540" s="14"/>
      <c r="CN1540" s="14"/>
      <c r="CO1540" s="14"/>
      <c r="CP1540" s="14"/>
      <c r="CQ1540" s="14"/>
      <c r="CR1540" s="14"/>
      <c r="CS1540" s="14"/>
      <c r="CT1540" s="14"/>
      <c r="CU1540" s="16"/>
      <c r="CV1540" s="14"/>
      <c r="CW1540" s="50"/>
      <c r="CX1540" s="17"/>
    </row>
    <row r="1541" spans="4:102" x14ac:dyDescent="0.25"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43"/>
      <c r="Q1541" s="11"/>
      <c r="R1541" s="11"/>
      <c r="S1541" s="11"/>
      <c r="T1541" s="11"/>
      <c r="U1541" s="11"/>
      <c r="V1541" s="11"/>
      <c r="W1541" s="11"/>
      <c r="X1541" s="12"/>
      <c r="Y1541" s="12"/>
      <c r="Z1541" s="12"/>
      <c r="AA1541" s="44"/>
      <c r="AB1541" s="45"/>
      <c r="AC1541" s="12"/>
      <c r="AD1541" s="12"/>
      <c r="AE1541" s="12"/>
      <c r="AF1541" s="12"/>
      <c r="AG1541" s="44"/>
      <c r="AH1541" s="45"/>
      <c r="AI1541" s="12"/>
      <c r="AJ1541" s="12"/>
      <c r="AK1541" s="12"/>
      <c r="AL1541" s="12"/>
      <c r="AM1541" s="44"/>
      <c r="AN1541" s="45"/>
      <c r="AO1541" s="12"/>
      <c r="AP1541" s="12"/>
      <c r="AQ1541" s="12"/>
      <c r="AR1541" s="12"/>
      <c r="AS1541" s="44"/>
      <c r="AT1541" s="45"/>
      <c r="AU1541" s="12"/>
      <c r="AV1541" s="12"/>
      <c r="AW1541" s="12"/>
      <c r="AX1541" s="12"/>
      <c r="AY1541" s="44"/>
      <c r="AZ1541" s="45"/>
      <c r="BA1541" s="12"/>
      <c r="BB1541" s="12"/>
      <c r="BC1541" s="12"/>
      <c r="BD1541" s="12"/>
      <c r="BE1541" s="44"/>
      <c r="BF1541" s="45"/>
      <c r="BG1541" s="12"/>
      <c r="BH1541" s="12"/>
      <c r="BI1541" s="12"/>
      <c r="BJ1541" s="12"/>
      <c r="BK1541" s="44"/>
      <c r="BL1541" s="45"/>
      <c r="BM1541" s="12"/>
      <c r="BN1541" s="12"/>
      <c r="BO1541" s="12"/>
      <c r="BP1541" s="12"/>
      <c r="BQ1541" s="48"/>
      <c r="BR1541" s="49"/>
      <c r="BS1541" s="13"/>
      <c r="BT1541" s="12"/>
      <c r="BV1541" s="14"/>
      <c r="BW1541" s="50"/>
      <c r="BX1541" s="54"/>
      <c r="BY1541" s="14"/>
      <c r="BZ1541" s="14"/>
      <c r="CA1541" s="14"/>
      <c r="CB1541" s="14"/>
      <c r="CC1541" s="14"/>
      <c r="CD1541" s="14"/>
      <c r="CE1541" s="14"/>
      <c r="CF1541" s="15"/>
      <c r="CG1541" s="14"/>
      <c r="CH1541" s="14"/>
      <c r="CI1541" s="50"/>
      <c r="CJ1541" s="54"/>
      <c r="CK1541" s="14"/>
      <c r="CL1541" s="14"/>
      <c r="CM1541" s="14"/>
      <c r="CN1541" s="14"/>
      <c r="CO1541" s="14"/>
      <c r="CP1541" s="14"/>
      <c r="CQ1541" s="14"/>
      <c r="CR1541" s="14"/>
      <c r="CS1541" s="14"/>
      <c r="CT1541" s="14"/>
      <c r="CU1541" s="16"/>
      <c r="CV1541" s="14"/>
      <c r="CW1541" s="50"/>
      <c r="CX1541" s="17"/>
    </row>
    <row r="1542" spans="4:102" x14ac:dyDescent="0.25"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43"/>
      <c r="Q1542" s="11"/>
      <c r="R1542" s="11"/>
      <c r="S1542" s="11"/>
      <c r="T1542" s="11"/>
      <c r="U1542" s="11"/>
      <c r="V1542" s="11"/>
      <c r="W1542" s="11"/>
      <c r="X1542" s="12"/>
      <c r="Y1542" s="12"/>
      <c r="Z1542" s="12"/>
      <c r="AA1542" s="44"/>
      <c r="AB1542" s="45"/>
      <c r="AC1542" s="12"/>
      <c r="AD1542" s="12"/>
      <c r="AE1542" s="12"/>
      <c r="AF1542" s="12"/>
      <c r="AG1542" s="44"/>
      <c r="AH1542" s="45"/>
      <c r="AI1542" s="12"/>
      <c r="AJ1542" s="12"/>
      <c r="AK1542" s="12"/>
      <c r="AL1542" s="12"/>
      <c r="AM1542" s="44"/>
      <c r="AN1542" s="45"/>
      <c r="AO1542" s="12"/>
      <c r="AP1542" s="12"/>
      <c r="AQ1542" s="12"/>
      <c r="AR1542" s="12"/>
      <c r="AS1542" s="44"/>
      <c r="AT1542" s="45"/>
      <c r="AU1542" s="12"/>
      <c r="AV1542" s="12"/>
      <c r="AW1542" s="12"/>
      <c r="AX1542" s="12"/>
      <c r="AY1542" s="44"/>
      <c r="AZ1542" s="45"/>
      <c r="BA1542" s="12"/>
      <c r="BB1542" s="12"/>
      <c r="BC1542" s="12"/>
      <c r="BD1542" s="12"/>
      <c r="BE1542" s="44"/>
      <c r="BF1542" s="45"/>
      <c r="BG1542" s="12"/>
      <c r="BH1542" s="12"/>
      <c r="BI1542" s="12"/>
      <c r="BJ1542" s="12"/>
      <c r="BK1542" s="44"/>
      <c r="BL1542" s="45"/>
      <c r="BM1542" s="12"/>
      <c r="BN1542" s="12"/>
      <c r="BO1542" s="12"/>
      <c r="BP1542" s="12"/>
      <c r="BQ1542" s="48"/>
      <c r="BR1542" s="49"/>
      <c r="BS1542" s="13"/>
      <c r="BT1542" s="12"/>
      <c r="BV1542" s="14"/>
      <c r="BW1542" s="50"/>
      <c r="BX1542" s="54"/>
      <c r="BY1542" s="14"/>
      <c r="BZ1542" s="14"/>
      <c r="CA1542" s="14"/>
      <c r="CB1542" s="14"/>
      <c r="CC1542" s="14"/>
      <c r="CD1542" s="14"/>
      <c r="CE1542" s="14"/>
      <c r="CF1542" s="15"/>
      <c r="CG1542" s="14"/>
      <c r="CH1542" s="14"/>
      <c r="CI1542" s="50"/>
      <c r="CJ1542" s="54"/>
      <c r="CK1542" s="14"/>
      <c r="CL1542" s="14"/>
      <c r="CM1542" s="14"/>
      <c r="CN1542" s="14"/>
      <c r="CO1542" s="14"/>
      <c r="CP1542" s="14"/>
      <c r="CQ1542" s="14"/>
      <c r="CR1542" s="14"/>
      <c r="CS1542" s="14"/>
      <c r="CT1542" s="14"/>
      <c r="CU1542" s="16"/>
      <c r="CV1542" s="14"/>
      <c r="CW1542" s="50"/>
      <c r="CX1542" s="17"/>
    </row>
    <row r="1543" spans="4:102" x14ac:dyDescent="0.25"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43"/>
      <c r="Q1543" s="11"/>
      <c r="R1543" s="11"/>
      <c r="S1543" s="11"/>
      <c r="T1543" s="11"/>
      <c r="U1543" s="11"/>
      <c r="V1543" s="11"/>
      <c r="W1543" s="11"/>
      <c r="X1543" s="12"/>
      <c r="Y1543" s="12"/>
      <c r="Z1543" s="12"/>
      <c r="AA1543" s="44"/>
      <c r="AB1543" s="45"/>
      <c r="AC1543" s="12"/>
      <c r="AD1543" s="12"/>
      <c r="AE1543" s="12"/>
      <c r="AF1543" s="12"/>
      <c r="AG1543" s="44"/>
      <c r="AH1543" s="45"/>
      <c r="AI1543" s="12"/>
      <c r="AJ1543" s="12"/>
      <c r="AK1543" s="12"/>
      <c r="AL1543" s="12"/>
      <c r="AM1543" s="44"/>
      <c r="AN1543" s="45"/>
      <c r="AO1543" s="12"/>
      <c r="AP1543" s="12"/>
      <c r="AQ1543" s="12"/>
      <c r="AR1543" s="12"/>
      <c r="AS1543" s="44"/>
      <c r="AT1543" s="45"/>
      <c r="AU1543" s="12"/>
      <c r="AV1543" s="12"/>
      <c r="AW1543" s="12"/>
      <c r="AX1543" s="12"/>
      <c r="AY1543" s="44"/>
      <c r="AZ1543" s="45"/>
      <c r="BA1543" s="12"/>
      <c r="BB1543" s="12"/>
      <c r="BC1543" s="12"/>
      <c r="BD1543" s="12"/>
      <c r="BE1543" s="44"/>
      <c r="BF1543" s="45"/>
      <c r="BG1543" s="12"/>
      <c r="BH1543" s="12"/>
      <c r="BI1543" s="12"/>
      <c r="BJ1543" s="12"/>
      <c r="BK1543" s="44"/>
      <c r="BL1543" s="45"/>
      <c r="BM1543" s="12"/>
      <c r="BN1543" s="12"/>
      <c r="BO1543" s="12"/>
      <c r="BP1543" s="12"/>
      <c r="BQ1543" s="48"/>
      <c r="BR1543" s="49"/>
      <c r="BS1543" s="13"/>
      <c r="BT1543" s="12"/>
      <c r="BV1543" s="14"/>
      <c r="BW1543" s="50"/>
      <c r="BX1543" s="54"/>
      <c r="BY1543" s="14"/>
      <c r="BZ1543" s="14"/>
      <c r="CA1543" s="14"/>
      <c r="CB1543" s="14"/>
      <c r="CC1543" s="14"/>
      <c r="CD1543" s="14"/>
      <c r="CE1543" s="14"/>
      <c r="CF1543" s="15"/>
      <c r="CG1543" s="14"/>
      <c r="CH1543" s="14"/>
      <c r="CI1543" s="50"/>
      <c r="CJ1543" s="54"/>
      <c r="CK1543" s="14"/>
      <c r="CL1543" s="14"/>
      <c r="CM1543" s="14"/>
      <c r="CN1543" s="14"/>
      <c r="CO1543" s="14"/>
      <c r="CP1543" s="14"/>
      <c r="CQ1543" s="14"/>
      <c r="CR1543" s="14"/>
      <c r="CS1543" s="14"/>
      <c r="CT1543" s="14"/>
      <c r="CU1543" s="16"/>
      <c r="CV1543" s="14"/>
      <c r="CW1543" s="50"/>
      <c r="CX1543" s="17"/>
    </row>
    <row r="1544" spans="4:102" x14ac:dyDescent="0.25"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43"/>
      <c r="Q1544" s="11"/>
      <c r="R1544" s="11"/>
      <c r="S1544" s="11"/>
      <c r="T1544" s="11"/>
      <c r="U1544" s="11"/>
      <c r="V1544" s="11"/>
      <c r="W1544" s="11"/>
      <c r="X1544" s="12"/>
      <c r="Y1544" s="12"/>
      <c r="Z1544" s="12"/>
      <c r="AA1544" s="44"/>
      <c r="AB1544" s="45"/>
      <c r="AC1544" s="12"/>
      <c r="AD1544" s="12"/>
      <c r="AE1544" s="12"/>
      <c r="AF1544" s="12"/>
      <c r="AG1544" s="44"/>
      <c r="AH1544" s="45"/>
      <c r="AI1544" s="12"/>
      <c r="AJ1544" s="12"/>
      <c r="AK1544" s="12"/>
      <c r="AL1544" s="12"/>
      <c r="AM1544" s="44"/>
      <c r="AN1544" s="45"/>
      <c r="AO1544" s="12"/>
      <c r="AP1544" s="12"/>
      <c r="AQ1544" s="12"/>
      <c r="AR1544" s="12"/>
      <c r="AS1544" s="44"/>
      <c r="AT1544" s="45"/>
      <c r="AU1544" s="12"/>
      <c r="AV1544" s="12"/>
      <c r="AW1544" s="12"/>
      <c r="AX1544" s="12"/>
      <c r="AY1544" s="44"/>
      <c r="AZ1544" s="45"/>
      <c r="BA1544" s="12"/>
      <c r="BB1544" s="12"/>
      <c r="BC1544" s="12"/>
      <c r="BD1544" s="12"/>
      <c r="BE1544" s="44"/>
      <c r="BF1544" s="45"/>
      <c r="BG1544" s="12"/>
      <c r="BH1544" s="12"/>
      <c r="BI1544" s="12"/>
      <c r="BJ1544" s="12"/>
      <c r="BK1544" s="44"/>
      <c r="BL1544" s="45"/>
      <c r="BM1544" s="12"/>
      <c r="BN1544" s="12"/>
      <c r="BO1544" s="12"/>
      <c r="BP1544" s="12"/>
      <c r="BQ1544" s="48"/>
      <c r="BR1544" s="49"/>
      <c r="BS1544" s="13"/>
      <c r="BT1544" s="12"/>
      <c r="BV1544" s="14"/>
      <c r="BW1544" s="50"/>
      <c r="BX1544" s="54"/>
      <c r="BY1544" s="14"/>
      <c r="BZ1544" s="14"/>
      <c r="CA1544" s="14"/>
      <c r="CB1544" s="14"/>
      <c r="CC1544" s="14"/>
      <c r="CD1544" s="14"/>
      <c r="CE1544" s="14"/>
      <c r="CF1544" s="15"/>
      <c r="CG1544" s="14"/>
      <c r="CH1544" s="14"/>
      <c r="CI1544" s="50"/>
      <c r="CJ1544" s="54"/>
      <c r="CK1544" s="14"/>
      <c r="CL1544" s="14"/>
      <c r="CM1544" s="14"/>
      <c r="CN1544" s="14"/>
      <c r="CO1544" s="14"/>
      <c r="CP1544" s="14"/>
      <c r="CQ1544" s="14"/>
      <c r="CR1544" s="14"/>
      <c r="CS1544" s="14"/>
      <c r="CT1544" s="14"/>
      <c r="CU1544" s="16"/>
      <c r="CV1544" s="14"/>
      <c r="CW1544" s="50"/>
      <c r="CX1544" s="17"/>
    </row>
    <row r="1545" spans="4:102" x14ac:dyDescent="0.25"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43"/>
      <c r="Q1545" s="11"/>
      <c r="R1545" s="11"/>
      <c r="S1545" s="11"/>
      <c r="T1545" s="11"/>
      <c r="U1545" s="11"/>
      <c r="V1545" s="11"/>
      <c r="W1545" s="11"/>
      <c r="X1545" s="12"/>
      <c r="Y1545" s="12"/>
      <c r="Z1545" s="12"/>
      <c r="AA1545" s="44"/>
      <c r="AB1545" s="45"/>
      <c r="AC1545" s="12"/>
      <c r="AD1545" s="12"/>
      <c r="AE1545" s="12"/>
      <c r="AF1545" s="12"/>
      <c r="AG1545" s="44"/>
      <c r="AH1545" s="45"/>
      <c r="AI1545" s="12"/>
      <c r="AJ1545" s="12"/>
      <c r="AK1545" s="12"/>
      <c r="AL1545" s="12"/>
      <c r="AM1545" s="44"/>
      <c r="AN1545" s="45"/>
      <c r="AO1545" s="12"/>
      <c r="AP1545" s="12"/>
      <c r="AQ1545" s="12"/>
      <c r="AR1545" s="12"/>
      <c r="AS1545" s="44"/>
      <c r="AT1545" s="45"/>
      <c r="AU1545" s="12"/>
      <c r="AV1545" s="12"/>
      <c r="AW1545" s="12"/>
      <c r="AX1545" s="12"/>
      <c r="AY1545" s="44"/>
      <c r="AZ1545" s="45"/>
      <c r="BA1545" s="12"/>
      <c r="BB1545" s="12"/>
      <c r="BC1545" s="12"/>
      <c r="BD1545" s="12"/>
      <c r="BE1545" s="44"/>
      <c r="BF1545" s="45"/>
      <c r="BG1545" s="12"/>
      <c r="BH1545" s="12"/>
      <c r="BI1545" s="12"/>
      <c r="BJ1545" s="12"/>
      <c r="BK1545" s="44"/>
      <c r="BL1545" s="45"/>
      <c r="BM1545" s="12"/>
      <c r="BN1545" s="12"/>
      <c r="BO1545" s="12"/>
      <c r="BP1545" s="12"/>
      <c r="BQ1545" s="48"/>
      <c r="BR1545" s="49"/>
      <c r="BS1545" s="13"/>
      <c r="BT1545" s="12"/>
      <c r="BV1545" s="14"/>
      <c r="BW1545" s="50"/>
      <c r="BX1545" s="54"/>
      <c r="BY1545" s="14"/>
      <c r="BZ1545" s="14"/>
      <c r="CA1545" s="14"/>
      <c r="CB1545" s="14"/>
      <c r="CC1545" s="14"/>
      <c r="CD1545" s="14"/>
      <c r="CE1545" s="14"/>
      <c r="CF1545" s="15"/>
      <c r="CG1545" s="14"/>
      <c r="CH1545" s="14"/>
      <c r="CI1545" s="50"/>
      <c r="CJ1545" s="54"/>
      <c r="CK1545" s="14"/>
      <c r="CL1545" s="14"/>
      <c r="CM1545" s="14"/>
      <c r="CN1545" s="14"/>
      <c r="CO1545" s="14"/>
      <c r="CP1545" s="14"/>
      <c r="CQ1545" s="14"/>
      <c r="CR1545" s="14"/>
      <c r="CS1545" s="14"/>
      <c r="CT1545" s="14"/>
      <c r="CU1545" s="16"/>
      <c r="CV1545" s="14"/>
      <c r="CW1545" s="50"/>
      <c r="CX1545" s="17"/>
    </row>
    <row r="1546" spans="4:102" x14ac:dyDescent="0.25"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43"/>
      <c r="Q1546" s="11"/>
      <c r="R1546" s="11"/>
      <c r="S1546" s="11"/>
      <c r="T1546" s="11"/>
      <c r="U1546" s="11"/>
      <c r="V1546" s="11"/>
      <c r="W1546" s="11"/>
      <c r="X1546" s="12"/>
      <c r="Y1546" s="12"/>
      <c r="Z1546" s="12"/>
      <c r="AA1546" s="44"/>
      <c r="AB1546" s="45"/>
      <c r="AC1546" s="12"/>
      <c r="AD1546" s="12"/>
      <c r="AE1546" s="12"/>
      <c r="AF1546" s="12"/>
      <c r="AG1546" s="44"/>
      <c r="AH1546" s="45"/>
      <c r="AI1546" s="12"/>
      <c r="AJ1546" s="12"/>
      <c r="AK1546" s="12"/>
      <c r="AL1546" s="12"/>
      <c r="AM1546" s="44"/>
      <c r="AN1546" s="45"/>
      <c r="AO1546" s="12"/>
      <c r="AP1546" s="12"/>
      <c r="AQ1546" s="12"/>
      <c r="AR1546" s="12"/>
      <c r="AS1546" s="44"/>
      <c r="AT1546" s="45"/>
      <c r="AU1546" s="12"/>
      <c r="AV1546" s="12"/>
      <c r="AW1546" s="12"/>
      <c r="AX1546" s="12"/>
      <c r="AY1546" s="44"/>
      <c r="AZ1546" s="45"/>
      <c r="BA1546" s="12"/>
      <c r="BB1546" s="12"/>
      <c r="BC1546" s="12"/>
      <c r="BD1546" s="12"/>
      <c r="BE1546" s="44"/>
      <c r="BF1546" s="45"/>
      <c r="BG1546" s="12"/>
      <c r="BH1546" s="12"/>
      <c r="BI1546" s="12"/>
      <c r="BJ1546" s="12"/>
      <c r="BK1546" s="44"/>
      <c r="BL1546" s="45"/>
      <c r="BM1546" s="12"/>
      <c r="BN1546" s="12"/>
      <c r="BO1546" s="12"/>
      <c r="BP1546" s="12"/>
      <c r="BQ1546" s="48"/>
      <c r="BR1546" s="49"/>
      <c r="BS1546" s="13"/>
      <c r="BT1546" s="12"/>
      <c r="BV1546" s="14"/>
      <c r="BW1546" s="50"/>
      <c r="BX1546" s="54"/>
      <c r="BY1546" s="14"/>
      <c r="BZ1546" s="14"/>
      <c r="CA1546" s="14"/>
      <c r="CB1546" s="14"/>
      <c r="CC1546" s="14"/>
      <c r="CD1546" s="14"/>
      <c r="CE1546" s="14"/>
      <c r="CF1546" s="15"/>
      <c r="CG1546" s="14"/>
      <c r="CH1546" s="14"/>
      <c r="CI1546" s="50"/>
      <c r="CJ1546" s="54"/>
      <c r="CK1546" s="14"/>
      <c r="CL1546" s="14"/>
      <c r="CM1546" s="14"/>
      <c r="CN1546" s="14"/>
      <c r="CO1546" s="14"/>
      <c r="CP1546" s="14"/>
      <c r="CQ1546" s="14"/>
      <c r="CR1546" s="14"/>
      <c r="CS1546" s="14"/>
      <c r="CT1546" s="14"/>
      <c r="CU1546" s="16"/>
      <c r="CV1546" s="14"/>
      <c r="CW1546" s="50"/>
      <c r="CX1546" s="17"/>
    </row>
    <row r="1547" spans="4:102" x14ac:dyDescent="0.25"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43"/>
      <c r="Q1547" s="11"/>
      <c r="R1547" s="11"/>
      <c r="S1547" s="11"/>
      <c r="T1547" s="11"/>
      <c r="U1547" s="11"/>
      <c r="V1547" s="11"/>
      <c r="W1547" s="11"/>
      <c r="X1547" s="12"/>
      <c r="Y1547" s="12"/>
      <c r="Z1547" s="12"/>
      <c r="AA1547" s="44"/>
      <c r="AB1547" s="45"/>
      <c r="AC1547" s="12"/>
      <c r="AD1547" s="12"/>
      <c r="AE1547" s="12"/>
      <c r="AF1547" s="12"/>
      <c r="AG1547" s="44"/>
      <c r="AH1547" s="45"/>
      <c r="AI1547" s="12"/>
      <c r="AJ1547" s="12"/>
      <c r="AK1547" s="12"/>
      <c r="AL1547" s="12"/>
      <c r="AM1547" s="44"/>
      <c r="AN1547" s="45"/>
      <c r="AO1547" s="12"/>
      <c r="AP1547" s="12"/>
      <c r="AQ1547" s="12"/>
      <c r="AR1547" s="12"/>
      <c r="AS1547" s="44"/>
      <c r="AT1547" s="45"/>
      <c r="AU1547" s="12"/>
      <c r="AV1547" s="12"/>
      <c r="AW1547" s="12"/>
      <c r="AX1547" s="12"/>
      <c r="AY1547" s="44"/>
      <c r="AZ1547" s="45"/>
      <c r="BA1547" s="12"/>
      <c r="BB1547" s="12"/>
      <c r="BC1547" s="12"/>
      <c r="BD1547" s="12"/>
      <c r="BE1547" s="44"/>
      <c r="BF1547" s="45"/>
      <c r="BG1547" s="12"/>
      <c r="BH1547" s="12"/>
      <c r="BI1547" s="12"/>
      <c r="BJ1547" s="12"/>
      <c r="BK1547" s="44"/>
      <c r="BL1547" s="45"/>
      <c r="BM1547" s="12"/>
      <c r="BN1547" s="12"/>
      <c r="BO1547" s="12"/>
      <c r="BP1547" s="12"/>
      <c r="BQ1547" s="48"/>
      <c r="BR1547" s="49"/>
      <c r="BS1547" s="13"/>
      <c r="BT1547" s="12"/>
      <c r="BV1547" s="14"/>
      <c r="BW1547" s="50"/>
      <c r="BX1547" s="54"/>
      <c r="BY1547" s="14"/>
      <c r="BZ1547" s="14"/>
      <c r="CA1547" s="14"/>
      <c r="CB1547" s="14"/>
      <c r="CC1547" s="14"/>
      <c r="CD1547" s="14"/>
      <c r="CE1547" s="14"/>
      <c r="CF1547" s="15"/>
      <c r="CG1547" s="14"/>
      <c r="CH1547" s="14"/>
      <c r="CI1547" s="50"/>
      <c r="CJ1547" s="54"/>
      <c r="CK1547" s="14"/>
      <c r="CL1547" s="14"/>
      <c r="CM1547" s="14"/>
      <c r="CN1547" s="14"/>
      <c r="CO1547" s="14"/>
      <c r="CP1547" s="14"/>
      <c r="CQ1547" s="14"/>
      <c r="CR1547" s="14"/>
      <c r="CS1547" s="14"/>
      <c r="CT1547" s="14"/>
      <c r="CU1547" s="16"/>
      <c r="CV1547" s="14"/>
      <c r="CW1547" s="50"/>
      <c r="CX1547" s="17"/>
    </row>
    <row r="1548" spans="4:102" x14ac:dyDescent="0.25"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43"/>
      <c r="Q1548" s="11"/>
      <c r="R1548" s="11"/>
      <c r="S1548" s="11"/>
      <c r="T1548" s="11"/>
      <c r="U1548" s="11"/>
      <c r="V1548" s="11"/>
      <c r="W1548" s="11"/>
      <c r="X1548" s="12"/>
      <c r="Y1548" s="12"/>
      <c r="Z1548" s="12"/>
      <c r="AA1548" s="44"/>
      <c r="AB1548" s="45"/>
      <c r="AC1548" s="12"/>
      <c r="AD1548" s="12"/>
      <c r="AE1548" s="12"/>
      <c r="AF1548" s="12"/>
      <c r="AG1548" s="44"/>
      <c r="AH1548" s="45"/>
      <c r="AI1548" s="12"/>
      <c r="AJ1548" s="12"/>
      <c r="AK1548" s="12"/>
      <c r="AL1548" s="12"/>
      <c r="AM1548" s="44"/>
      <c r="AN1548" s="45"/>
      <c r="AO1548" s="12"/>
      <c r="AP1548" s="12"/>
      <c r="AQ1548" s="12"/>
      <c r="AR1548" s="12"/>
      <c r="AS1548" s="44"/>
      <c r="AT1548" s="45"/>
      <c r="AU1548" s="12"/>
      <c r="AV1548" s="12"/>
      <c r="AW1548" s="12"/>
      <c r="AX1548" s="12"/>
      <c r="AY1548" s="44"/>
      <c r="AZ1548" s="45"/>
      <c r="BA1548" s="12"/>
      <c r="BB1548" s="12"/>
      <c r="BC1548" s="12"/>
      <c r="BD1548" s="12"/>
      <c r="BE1548" s="44"/>
      <c r="BF1548" s="45"/>
      <c r="BG1548" s="12"/>
      <c r="BH1548" s="12"/>
      <c r="BI1548" s="12"/>
      <c r="BJ1548" s="12"/>
      <c r="BK1548" s="44"/>
      <c r="BL1548" s="45"/>
      <c r="BM1548" s="12"/>
      <c r="BN1548" s="12"/>
      <c r="BO1548" s="12"/>
      <c r="BP1548" s="12"/>
      <c r="BQ1548" s="48"/>
      <c r="BR1548" s="49"/>
      <c r="BS1548" s="13"/>
      <c r="BT1548" s="12"/>
      <c r="BV1548" s="14"/>
      <c r="BW1548" s="50"/>
      <c r="BX1548" s="54"/>
      <c r="BY1548" s="14"/>
      <c r="BZ1548" s="14"/>
      <c r="CA1548" s="14"/>
      <c r="CB1548" s="14"/>
      <c r="CC1548" s="14"/>
      <c r="CD1548" s="14"/>
      <c r="CE1548" s="14"/>
      <c r="CF1548" s="15"/>
      <c r="CG1548" s="14"/>
      <c r="CH1548" s="14"/>
      <c r="CI1548" s="50"/>
      <c r="CJ1548" s="54"/>
      <c r="CK1548" s="14"/>
      <c r="CL1548" s="14"/>
      <c r="CM1548" s="14"/>
      <c r="CN1548" s="14"/>
      <c r="CO1548" s="14"/>
      <c r="CP1548" s="14"/>
      <c r="CQ1548" s="14"/>
      <c r="CR1548" s="14"/>
      <c r="CS1548" s="14"/>
      <c r="CT1548" s="14"/>
      <c r="CU1548" s="16"/>
      <c r="CV1548" s="14"/>
      <c r="CW1548" s="50"/>
      <c r="CX1548" s="17"/>
    </row>
    <row r="1549" spans="4:102" x14ac:dyDescent="0.25"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43"/>
      <c r="Q1549" s="11"/>
      <c r="R1549" s="11"/>
      <c r="S1549" s="11"/>
      <c r="T1549" s="11"/>
      <c r="U1549" s="11"/>
      <c r="V1549" s="11"/>
      <c r="W1549" s="11"/>
      <c r="X1549" s="12"/>
      <c r="Y1549" s="12"/>
      <c r="Z1549" s="12"/>
      <c r="AA1549" s="44"/>
      <c r="AB1549" s="45"/>
      <c r="AC1549" s="12"/>
      <c r="AD1549" s="12"/>
      <c r="AE1549" s="12"/>
      <c r="AF1549" s="12"/>
      <c r="AG1549" s="44"/>
      <c r="AH1549" s="45"/>
      <c r="AI1549" s="12"/>
      <c r="AJ1549" s="12"/>
      <c r="AK1549" s="12"/>
      <c r="AL1549" s="12"/>
      <c r="AM1549" s="44"/>
      <c r="AN1549" s="45"/>
      <c r="AO1549" s="12"/>
      <c r="AP1549" s="12"/>
      <c r="AQ1549" s="12"/>
      <c r="AR1549" s="12"/>
      <c r="AS1549" s="44"/>
      <c r="AT1549" s="45"/>
      <c r="AU1549" s="12"/>
      <c r="AV1549" s="12"/>
      <c r="AW1549" s="12"/>
      <c r="AX1549" s="12"/>
      <c r="AY1549" s="44"/>
      <c r="AZ1549" s="45"/>
      <c r="BA1549" s="12"/>
      <c r="BB1549" s="12"/>
      <c r="BC1549" s="12"/>
      <c r="BD1549" s="12"/>
      <c r="BE1549" s="44"/>
      <c r="BF1549" s="45"/>
      <c r="BG1549" s="12"/>
      <c r="BH1549" s="12"/>
      <c r="BI1549" s="12"/>
      <c r="BJ1549" s="12"/>
      <c r="BK1549" s="44"/>
      <c r="BL1549" s="45"/>
      <c r="BM1549" s="12"/>
      <c r="BN1549" s="12"/>
      <c r="BO1549" s="12"/>
      <c r="BP1549" s="12"/>
      <c r="BQ1549" s="48"/>
      <c r="BR1549" s="49"/>
      <c r="BS1549" s="13"/>
      <c r="BT1549" s="12"/>
      <c r="BV1549" s="14"/>
      <c r="BW1549" s="50"/>
      <c r="BX1549" s="54"/>
      <c r="BY1549" s="14"/>
      <c r="BZ1549" s="14"/>
      <c r="CA1549" s="14"/>
      <c r="CB1549" s="14"/>
      <c r="CC1549" s="14"/>
      <c r="CD1549" s="14"/>
      <c r="CE1549" s="14"/>
      <c r="CF1549" s="15"/>
      <c r="CG1549" s="14"/>
      <c r="CH1549" s="14"/>
      <c r="CI1549" s="50"/>
      <c r="CJ1549" s="54"/>
      <c r="CK1549" s="14"/>
      <c r="CL1549" s="14"/>
      <c r="CM1549" s="14"/>
      <c r="CN1549" s="14"/>
      <c r="CO1549" s="14"/>
      <c r="CP1549" s="14"/>
      <c r="CQ1549" s="14"/>
      <c r="CR1549" s="14"/>
      <c r="CS1549" s="14"/>
      <c r="CT1549" s="14"/>
      <c r="CU1549" s="16"/>
      <c r="CV1549" s="14"/>
      <c r="CW1549" s="50"/>
      <c r="CX1549" s="17"/>
    </row>
    <row r="1550" spans="4:102" x14ac:dyDescent="0.25"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43"/>
      <c r="Q1550" s="11"/>
      <c r="R1550" s="11"/>
      <c r="S1550" s="11"/>
      <c r="T1550" s="11"/>
      <c r="U1550" s="11"/>
      <c r="V1550" s="11"/>
      <c r="W1550" s="11"/>
      <c r="X1550" s="12"/>
      <c r="Y1550" s="12"/>
      <c r="Z1550" s="12"/>
      <c r="AA1550" s="44"/>
      <c r="AB1550" s="45"/>
      <c r="AC1550" s="12"/>
      <c r="AD1550" s="12"/>
      <c r="AE1550" s="12"/>
      <c r="AF1550" s="12"/>
      <c r="AG1550" s="44"/>
      <c r="AH1550" s="45"/>
      <c r="AI1550" s="12"/>
      <c r="AJ1550" s="12"/>
      <c r="AK1550" s="12"/>
      <c r="AL1550" s="12"/>
      <c r="AM1550" s="44"/>
      <c r="AN1550" s="45"/>
      <c r="AO1550" s="12"/>
      <c r="AP1550" s="12"/>
      <c r="AQ1550" s="12"/>
      <c r="AR1550" s="12"/>
      <c r="AS1550" s="44"/>
      <c r="AT1550" s="45"/>
      <c r="AU1550" s="12"/>
      <c r="AV1550" s="12"/>
      <c r="AW1550" s="12"/>
      <c r="AX1550" s="12"/>
      <c r="AY1550" s="44"/>
      <c r="AZ1550" s="45"/>
      <c r="BA1550" s="12"/>
      <c r="BB1550" s="12"/>
      <c r="BC1550" s="12"/>
      <c r="BD1550" s="12"/>
      <c r="BE1550" s="44"/>
      <c r="BF1550" s="45"/>
      <c r="BG1550" s="12"/>
      <c r="BH1550" s="12"/>
      <c r="BI1550" s="12"/>
      <c r="BJ1550" s="12"/>
      <c r="BK1550" s="44"/>
      <c r="BL1550" s="45"/>
      <c r="BM1550" s="12"/>
      <c r="BN1550" s="12"/>
      <c r="BO1550" s="12"/>
      <c r="BP1550" s="12"/>
      <c r="BQ1550" s="48"/>
      <c r="BR1550" s="49"/>
      <c r="BS1550" s="13"/>
      <c r="BT1550" s="12"/>
      <c r="BV1550" s="14"/>
      <c r="BW1550" s="50"/>
      <c r="BX1550" s="54"/>
      <c r="BY1550" s="14"/>
      <c r="BZ1550" s="14"/>
      <c r="CA1550" s="14"/>
      <c r="CB1550" s="14"/>
      <c r="CC1550" s="14"/>
      <c r="CD1550" s="14"/>
      <c r="CE1550" s="14"/>
      <c r="CF1550" s="15"/>
      <c r="CG1550" s="14"/>
      <c r="CH1550" s="14"/>
      <c r="CI1550" s="50"/>
      <c r="CJ1550" s="54"/>
      <c r="CK1550" s="14"/>
      <c r="CL1550" s="14"/>
      <c r="CM1550" s="14"/>
      <c r="CN1550" s="14"/>
      <c r="CO1550" s="14"/>
      <c r="CP1550" s="14"/>
      <c r="CQ1550" s="14"/>
      <c r="CR1550" s="14"/>
      <c r="CS1550" s="14"/>
      <c r="CT1550" s="14"/>
      <c r="CU1550" s="16"/>
      <c r="CV1550" s="14"/>
      <c r="CW1550" s="50"/>
      <c r="CX1550" s="17"/>
    </row>
    <row r="1551" spans="4:102" x14ac:dyDescent="0.25"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43"/>
      <c r="Q1551" s="11"/>
      <c r="R1551" s="11"/>
      <c r="S1551" s="11"/>
      <c r="T1551" s="11"/>
      <c r="U1551" s="11"/>
      <c r="V1551" s="11"/>
      <c r="W1551" s="11"/>
      <c r="X1551" s="12"/>
      <c r="Y1551" s="12"/>
      <c r="Z1551" s="12"/>
      <c r="AA1551" s="44"/>
      <c r="AB1551" s="45"/>
      <c r="AC1551" s="12"/>
      <c r="AD1551" s="12"/>
      <c r="AE1551" s="12"/>
      <c r="AF1551" s="12"/>
      <c r="AG1551" s="44"/>
      <c r="AH1551" s="45"/>
      <c r="AI1551" s="12"/>
      <c r="AJ1551" s="12"/>
      <c r="AK1551" s="12"/>
      <c r="AL1551" s="12"/>
      <c r="AM1551" s="44"/>
      <c r="AN1551" s="45"/>
      <c r="AO1551" s="12"/>
      <c r="AP1551" s="12"/>
      <c r="AQ1551" s="12"/>
      <c r="AR1551" s="12"/>
      <c r="AS1551" s="44"/>
      <c r="AT1551" s="45"/>
      <c r="AU1551" s="12"/>
      <c r="AV1551" s="12"/>
      <c r="AW1551" s="12"/>
      <c r="AX1551" s="12"/>
      <c r="AY1551" s="44"/>
      <c r="AZ1551" s="45"/>
      <c r="BA1551" s="12"/>
      <c r="BB1551" s="12"/>
      <c r="BC1551" s="12"/>
      <c r="BD1551" s="12"/>
      <c r="BE1551" s="44"/>
      <c r="BF1551" s="45"/>
      <c r="BG1551" s="12"/>
      <c r="BH1551" s="12"/>
      <c r="BI1551" s="12"/>
      <c r="BJ1551" s="12"/>
      <c r="BK1551" s="44"/>
      <c r="BL1551" s="45"/>
      <c r="BM1551" s="12"/>
      <c r="BN1551" s="12"/>
      <c r="BO1551" s="12"/>
      <c r="BP1551" s="12"/>
      <c r="BQ1551" s="48"/>
      <c r="BR1551" s="49"/>
      <c r="BS1551" s="13"/>
      <c r="BT1551" s="12"/>
      <c r="BV1551" s="14"/>
      <c r="BW1551" s="50"/>
      <c r="BX1551" s="54"/>
      <c r="BY1551" s="14"/>
      <c r="BZ1551" s="14"/>
      <c r="CA1551" s="14"/>
      <c r="CB1551" s="14"/>
      <c r="CC1551" s="14"/>
      <c r="CD1551" s="14"/>
      <c r="CE1551" s="14"/>
      <c r="CF1551" s="15"/>
      <c r="CG1551" s="14"/>
      <c r="CH1551" s="14"/>
      <c r="CI1551" s="50"/>
      <c r="CJ1551" s="54"/>
      <c r="CK1551" s="14"/>
      <c r="CL1551" s="14"/>
      <c r="CM1551" s="14"/>
      <c r="CN1551" s="14"/>
      <c r="CO1551" s="14"/>
      <c r="CP1551" s="14"/>
      <c r="CQ1551" s="14"/>
      <c r="CR1551" s="14"/>
      <c r="CS1551" s="14"/>
      <c r="CT1551" s="14"/>
      <c r="CU1551" s="16"/>
      <c r="CV1551" s="14"/>
      <c r="CW1551" s="50"/>
      <c r="CX1551" s="17"/>
    </row>
    <row r="1552" spans="4:102" x14ac:dyDescent="0.25"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43"/>
      <c r="Q1552" s="11"/>
      <c r="R1552" s="11"/>
      <c r="S1552" s="11"/>
      <c r="T1552" s="11"/>
      <c r="U1552" s="11"/>
      <c r="V1552" s="11"/>
      <c r="W1552" s="11"/>
      <c r="X1552" s="12"/>
      <c r="Y1552" s="12"/>
      <c r="Z1552" s="12"/>
      <c r="AA1552" s="44"/>
      <c r="AB1552" s="45"/>
      <c r="AC1552" s="12"/>
      <c r="AD1552" s="12"/>
      <c r="AE1552" s="12"/>
      <c r="AF1552" s="12"/>
      <c r="AG1552" s="44"/>
      <c r="AH1552" s="45"/>
      <c r="AI1552" s="12"/>
      <c r="AJ1552" s="12"/>
      <c r="AK1552" s="12"/>
      <c r="AL1552" s="12"/>
      <c r="AM1552" s="44"/>
      <c r="AN1552" s="45"/>
      <c r="AO1552" s="12"/>
      <c r="AP1552" s="12"/>
      <c r="AQ1552" s="12"/>
      <c r="AR1552" s="12"/>
      <c r="AS1552" s="44"/>
      <c r="AT1552" s="45"/>
      <c r="AU1552" s="12"/>
      <c r="AV1552" s="12"/>
      <c r="AW1552" s="12"/>
      <c r="AX1552" s="12"/>
      <c r="AY1552" s="44"/>
      <c r="AZ1552" s="45"/>
      <c r="BA1552" s="12"/>
      <c r="BB1552" s="12"/>
      <c r="BC1552" s="12"/>
      <c r="BD1552" s="12"/>
      <c r="BE1552" s="44"/>
      <c r="BF1552" s="45"/>
      <c r="BG1552" s="12"/>
      <c r="BH1552" s="12"/>
      <c r="BI1552" s="12"/>
      <c r="BJ1552" s="12"/>
      <c r="BK1552" s="44"/>
      <c r="BL1552" s="45"/>
      <c r="BM1552" s="12"/>
      <c r="BN1552" s="12"/>
      <c r="BO1552" s="12"/>
      <c r="BP1552" s="12"/>
      <c r="BQ1552" s="48"/>
      <c r="BR1552" s="49"/>
      <c r="BS1552" s="13"/>
      <c r="BT1552" s="12"/>
      <c r="BV1552" s="14"/>
      <c r="BW1552" s="50"/>
      <c r="BX1552" s="54"/>
      <c r="BY1552" s="14"/>
      <c r="BZ1552" s="14"/>
      <c r="CA1552" s="14"/>
      <c r="CB1552" s="14"/>
      <c r="CC1552" s="14"/>
      <c r="CD1552" s="14"/>
      <c r="CE1552" s="14"/>
      <c r="CF1552" s="15"/>
      <c r="CG1552" s="14"/>
      <c r="CH1552" s="14"/>
      <c r="CI1552" s="50"/>
      <c r="CJ1552" s="54"/>
      <c r="CK1552" s="14"/>
      <c r="CL1552" s="14"/>
      <c r="CM1552" s="14"/>
      <c r="CN1552" s="14"/>
      <c r="CO1552" s="14"/>
      <c r="CP1552" s="14"/>
      <c r="CQ1552" s="14"/>
      <c r="CR1552" s="14"/>
      <c r="CS1552" s="14"/>
      <c r="CT1552" s="14"/>
      <c r="CU1552" s="16"/>
      <c r="CV1552" s="14"/>
      <c r="CW1552" s="50"/>
      <c r="CX1552" s="17"/>
    </row>
    <row r="1553" spans="4:102" x14ac:dyDescent="0.25"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43"/>
      <c r="Q1553" s="11"/>
      <c r="R1553" s="11"/>
      <c r="S1553" s="11"/>
      <c r="T1553" s="11"/>
      <c r="U1553" s="11"/>
      <c r="V1553" s="11"/>
      <c r="W1553" s="11"/>
      <c r="X1553" s="12"/>
      <c r="Y1553" s="12"/>
      <c r="Z1553" s="12"/>
      <c r="AA1553" s="44"/>
      <c r="AB1553" s="45"/>
      <c r="AC1553" s="12"/>
      <c r="AD1553" s="12"/>
      <c r="AE1553" s="12"/>
      <c r="AF1553" s="12"/>
      <c r="AG1553" s="44"/>
      <c r="AH1553" s="45"/>
      <c r="AI1553" s="12"/>
      <c r="AJ1553" s="12"/>
      <c r="AK1553" s="12"/>
      <c r="AL1553" s="12"/>
      <c r="AM1553" s="44"/>
      <c r="AN1553" s="45"/>
      <c r="AO1553" s="12"/>
      <c r="AP1553" s="12"/>
      <c r="AQ1553" s="12"/>
      <c r="AR1553" s="12"/>
      <c r="AS1553" s="44"/>
      <c r="AT1553" s="45"/>
      <c r="AU1553" s="12"/>
      <c r="AV1553" s="12"/>
      <c r="AW1553" s="12"/>
      <c r="AX1553" s="12"/>
      <c r="AY1553" s="44"/>
      <c r="AZ1553" s="45"/>
      <c r="BA1553" s="12"/>
      <c r="BB1553" s="12"/>
      <c r="BC1553" s="12"/>
      <c r="BD1553" s="12"/>
      <c r="BE1553" s="44"/>
      <c r="BF1553" s="45"/>
      <c r="BG1553" s="12"/>
      <c r="BH1553" s="12"/>
      <c r="BI1553" s="12"/>
      <c r="BJ1553" s="12"/>
      <c r="BK1553" s="44"/>
      <c r="BL1553" s="45"/>
      <c r="BM1553" s="12"/>
      <c r="BN1553" s="12"/>
      <c r="BO1553" s="12"/>
      <c r="BP1553" s="12"/>
      <c r="BQ1553" s="48"/>
      <c r="BR1553" s="49"/>
      <c r="BS1553" s="13"/>
      <c r="BT1553" s="12"/>
      <c r="BV1553" s="14"/>
      <c r="BW1553" s="50"/>
      <c r="BX1553" s="54"/>
      <c r="BY1553" s="14"/>
      <c r="BZ1553" s="14"/>
      <c r="CA1553" s="14"/>
      <c r="CB1553" s="14"/>
      <c r="CC1553" s="14"/>
      <c r="CD1553" s="14"/>
      <c r="CE1553" s="14"/>
      <c r="CF1553" s="15"/>
      <c r="CG1553" s="14"/>
      <c r="CH1553" s="14"/>
      <c r="CI1553" s="50"/>
      <c r="CJ1553" s="54"/>
      <c r="CK1553" s="14"/>
      <c r="CL1553" s="14"/>
      <c r="CM1553" s="14"/>
      <c r="CN1553" s="14"/>
      <c r="CO1553" s="14"/>
      <c r="CP1553" s="14"/>
      <c r="CQ1553" s="14"/>
      <c r="CR1553" s="14"/>
      <c r="CS1553" s="14"/>
      <c r="CT1553" s="14"/>
      <c r="CU1553" s="16"/>
      <c r="CV1553" s="14"/>
      <c r="CW1553" s="50"/>
      <c r="CX1553" s="17"/>
    </row>
    <row r="1554" spans="4:102" x14ac:dyDescent="0.25"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43"/>
      <c r="Q1554" s="11"/>
      <c r="R1554" s="11"/>
      <c r="S1554" s="11"/>
      <c r="T1554" s="11"/>
      <c r="U1554" s="11"/>
      <c r="V1554" s="11"/>
      <c r="W1554" s="11"/>
      <c r="X1554" s="12"/>
      <c r="Y1554" s="12"/>
      <c r="Z1554" s="12"/>
      <c r="AA1554" s="44"/>
      <c r="AB1554" s="45"/>
      <c r="AC1554" s="12"/>
      <c r="AD1554" s="12"/>
      <c r="AE1554" s="12"/>
      <c r="AF1554" s="12"/>
      <c r="AG1554" s="44"/>
      <c r="AH1554" s="45"/>
      <c r="AI1554" s="12"/>
      <c r="AJ1554" s="12"/>
      <c r="AK1554" s="12"/>
      <c r="AL1554" s="12"/>
      <c r="AM1554" s="44"/>
      <c r="AN1554" s="45"/>
      <c r="AO1554" s="12"/>
      <c r="AP1554" s="12"/>
      <c r="AQ1554" s="12"/>
      <c r="AR1554" s="12"/>
      <c r="AS1554" s="44"/>
      <c r="AT1554" s="45"/>
      <c r="AU1554" s="12"/>
      <c r="AV1554" s="12"/>
      <c r="AW1554" s="12"/>
      <c r="AX1554" s="12"/>
      <c r="AY1554" s="44"/>
      <c r="AZ1554" s="45"/>
      <c r="BA1554" s="12"/>
      <c r="BB1554" s="12"/>
      <c r="BC1554" s="12"/>
      <c r="BD1554" s="12"/>
      <c r="BE1554" s="44"/>
      <c r="BF1554" s="45"/>
      <c r="BG1554" s="12"/>
      <c r="BH1554" s="12"/>
      <c r="BI1554" s="12"/>
      <c r="BJ1554" s="12"/>
      <c r="BK1554" s="44"/>
      <c r="BL1554" s="45"/>
      <c r="BM1554" s="12"/>
      <c r="BN1554" s="12"/>
      <c r="BO1554" s="12"/>
      <c r="BP1554" s="12"/>
      <c r="BQ1554" s="48"/>
      <c r="BR1554" s="49"/>
      <c r="BS1554" s="13"/>
      <c r="BT1554" s="12"/>
      <c r="BV1554" s="14"/>
      <c r="BW1554" s="50"/>
      <c r="BX1554" s="54"/>
      <c r="BY1554" s="14"/>
      <c r="BZ1554" s="14"/>
      <c r="CA1554" s="14"/>
      <c r="CB1554" s="14"/>
      <c r="CC1554" s="14"/>
      <c r="CD1554" s="14"/>
      <c r="CE1554" s="14"/>
      <c r="CF1554" s="15"/>
      <c r="CG1554" s="14"/>
      <c r="CH1554" s="14"/>
      <c r="CI1554" s="50"/>
      <c r="CJ1554" s="54"/>
      <c r="CK1554" s="14"/>
      <c r="CL1554" s="14"/>
      <c r="CM1554" s="14"/>
      <c r="CN1554" s="14"/>
      <c r="CO1554" s="14"/>
      <c r="CP1554" s="14"/>
      <c r="CQ1554" s="14"/>
      <c r="CR1554" s="14"/>
      <c r="CS1554" s="14"/>
      <c r="CT1554" s="14"/>
      <c r="CU1554" s="16"/>
      <c r="CV1554" s="14"/>
      <c r="CW1554" s="50"/>
      <c r="CX1554" s="17"/>
    </row>
    <row r="1555" spans="4:102" x14ac:dyDescent="0.25"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43"/>
      <c r="Q1555" s="11"/>
      <c r="R1555" s="11"/>
      <c r="S1555" s="11"/>
      <c r="T1555" s="11"/>
      <c r="U1555" s="11"/>
      <c r="V1555" s="11"/>
      <c r="W1555" s="11"/>
      <c r="X1555" s="12"/>
      <c r="Y1555" s="12"/>
      <c r="Z1555" s="12"/>
      <c r="AA1555" s="44"/>
      <c r="AB1555" s="45"/>
      <c r="AC1555" s="12"/>
      <c r="AD1555" s="12"/>
      <c r="AE1555" s="12"/>
      <c r="AF1555" s="12"/>
      <c r="AG1555" s="44"/>
      <c r="AH1555" s="45"/>
      <c r="AI1555" s="12"/>
      <c r="AJ1555" s="12"/>
      <c r="AK1555" s="12"/>
      <c r="AL1555" s="12"/>
      <c r="AM1555" s="44"/>
      <c r="AN1555" s="45"/>
      <c r="AO1555" s="12"/>
      <c r="AP1555" s="12"/>
      <c r="AQ1555" s="12"/>
      <c r="AR1555" s="12"/>
      <c r="AS1555" s="44"/>
      <c r="AT1555" s="45"/>
      <c r="AU1555" s="12"/>
      <c r="AV1555" s="12"/>
      <c r="AW1555" s="12"/>
      <c r="AX1555" s="12"/>
      <c r="AY1555" s="44"/>
      <c r="AZ1555" s="45"/>
      <c r="BA1555" s="12"/>
      <c r="BB1555" s="12"/>
      <c r="BC1555" s="12"/>
      <c r="BD1555" s="12"/>
      <c r="BE1555" s="44"/>
      <c r="BF1555" s="45"/>
      <c r="BG1555" s="12"/>
      <c r="BH1555" s="12"/>
      <c r="BI1555" s="12"/>
      <c r="BJ1555" s="12"/>
      <c r="BK1555" s="44"/>
      <c r="BL1555" s="45"/>
      <c r="BM1555" s="12"/>
      <c r="BN1555" s="12"/>
      <c r="BO1555" s="12"/>
      <c r="BP1555" s="12"/>
      <c r="BQ1555" s="48"/>
      <c r="BR1555" s="49"/>
      <c r="BS1555" s="13"/>
      <c r="BT1555" s="12"/>
      <c r="BV1555" s="14"/>
      <c r="BW1555" s="50"/>
      <c r="BX1555" s="54"/>
      <c r="BY1555" s="14"/>
      <c r="BZ1555" s="14"/>
      <c r="CA1555" s="14"/>
      <c r="CB1555" s="14"/>
      <c r="CC1555" s="14"/>
      <c r="CD1555" s="14"/>
      <c r="CE1555" s="14"/>
      <c r="CF1555" s="15"/>
      <c r="CG1555" s="14"/>
      <c r="CH1555" s="14"/>
      <c r="CI1555" s="50"/>
      <c r="CJ1555" s="54"/>
      <c r="CK1555" s="14"/>
      <c r="CL1555" s="14"/>
      <c r="CM1555" s="14"/>
      <c r="CN1555" s="14"/>
      <c r="CO1555" s="14"/>
      <c r="CP1555" s="14"/>
      <c r="CQ1555" s="14"/>
      <c r="CR1555" s="14"/>
      <c r="CS1555" s="14"/>
      <c r="CT1555" s="14"/>
      <c r="CU1555" s="16"/>
      <c r="CV1555" s="14"/>
      <c r="CW1555" s="50"/>
      <c r="CX1555" s="17"/>
    </row>
    <row r="1556" spans="4:102" x14ac:dyDescent="0.25"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43"/>
      <c r="Q1556" s="11"/>
      <c r="R1556" s="11"/>
      <c r="S1556" s="11"/>
      <c r="T1556" s="11"/>
      <c r="U1556" s="11"/>
      <c r="V1556" s="11"/>
      <c r="W1556" s="11"/>
      <c r="X1556" s="12"/>
      <c r="Y1556" s="12"/>
      <c r="Z1556" s="12"/>
      <c r="AA1556" s="44"/>
      <c r="AB1556" s="45"/>
      <c r="AC1556" s="12"/>
      <c r="AD1556" s="12"/>
      <c r="AE1556" s="12"/>
      <c r="AF1556" s="12"/>
      <c r="AG1556" s="44"/>
      <c r="AH1556" s="45"/>
      <c r="AI1556" s="12"/>
      <c r="AJ1556" s="12"/>
      <c r="AK1556" s="12"/>
      <c r="AL1556" s="12"/>
      <c r="AM1556" s="44"/>
      <c r="AN1556" s="45"/>
      <c r="AO1556" s="12"/>
      <c r="AP1556" s="12"/>
      <c r="AQ1556" s="12"/>
      <c r="AR1556" s="12"/>
      <c r="AS1556" s="44"/>
      <c r="AT1556" s="45"/>
      <c r="AU1556" s="12"/>
      <c r="AV1556" s="12"/>
      <c r="AW1556" s="12"/>
      <c r="AX1556" s="12"/>
      <c r="AY1556" s="44"/>
      <c r="AZ1556" s="45"/>
      <c r="BA1556" s="12"/>
      <c r="BB1556" s="12"/>
      <c r="BC1556" s="12"/>
      <c r="BD1556" s="12"/>
      <c r="BE1556" s="44"/>
      <c r="BF1556" s="45"/>
      <c r="BG1556" s="12"/>
      <c r="BH1556" s="12"/>
      <c r="BI1556" s="12"/>
      <c r="BJ1556" s="12"/>
      <c r="BK1556" s="44"/>
      <c r="BL1556" s="45"/>
      <c r="BM1556" s="12"/>
      <c r="BN1556" s="12"/>
      <c r="BO1556" s="12"/>
      <c r="BP1556" s="12"/>
      <c r="BQ1556" s="48"/>
      <c r="BR1556" s="49"/>
      <c r="BS1556" s="13"/>
      <c r="BT1556" s="12"/>
      <c r="BV1556" s="14"/>
      <c r="BW1556" s="50"/>
      <c r="BX1556" s="54"/>
      <c r="BY1556" s="14"/>
      <c r="BZ1556" s="14"/>
      <c r="CA1556" s="14"/>
      <c r="CB1556" s="14"/>
      <c r="CC1556" s="14"/>
      <c r="CD1556" s="14"/>
      <c r="CE1556" s="14"/>
      <c r="CF1556" s="15"/>
      <c r="CG1556" s="14"/>
      <c r="CH1556" s="14"/>
      <c r="CI1556" s="50"/>
      <c r="CJ1556" s="54"/>
      <c r="CK1556" s="14"/>
      <c r="CL1556" s="14"/>
      <c r="CM1556" s="14"/>
      <c r="CN1556" s="14"/>
      <c r="CO1556" s="14"/>
      <c r="CP1556" s="14"/>
      <c r="CQ1556" s="14"/>
      <c r="CR1556" s="14"/>
      <c r="CS1556" s="14"/>
      <c r="CT1556" s="14"/>
      <c r="CU1556" s="16"/>
      <c r="CV1556" s="14"/>
      <c r="CW1556" s="50"/>
      <c r="CX1556" s="17"/>
    </row>
    <row r="1557" spans="4:102" x14ac:dyDescent="0.25"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43"/>
      <c r="Q1557" s="11"/>
      <c r="R1557" s="11"/>
      <c r="S1557" s="11"/>
      <c r="T1557" s="11"/>
      <c r="U1557" s="11"/>
      <c r="V1557" s="11"/>
      <c r="W1557" s="11"/>
      <c r="X1557" s="12"/>
      <c r="Y1557" s="12"/>
      <c r="Z1557" s="12"/>
      <c r="AA1557" s="44"/>
      <c r="AB1557" s="45"/>
      <c r="AC1557" s="12"/>
      <c r="AD1557" s="12"/>
      <c r="AE1557" s="12"/>
      <c r="AF1557" s="12"/>
      <c r="AG1557" s="44"/>
      <c r="AH1557" s="45"/>
      <c r="AI1557" s="12"/>
      <c r="AJ1557" s="12"/>
      <c r="AK1557" s="12"/>
      <c r="AL1557" s="12"/>
      <c r="AM1557" s="44"/>
      <c r="AN1557" s="45"/>
      <c r="AO1557" s="12"/>
      <c r="AP1557" s="12"/>
      <c r="AQ1557" s="12"/>
      <c r="AR1557" s="12"/>
      <c r="AS1557" s="44"/>
      <c r="AT1557" s="45"/>
      <c r="AU1557" s="12"/>
      <c r="AV1557" s="12"/>
      <c r="AW1557" s="12"/>
      <c r="AX1557" s="12"/>
      <c r="AY1557" s="44"/>
      <c r="AZ1557" s="45"/>
      <c r="BA1557" s="12"/>
      <c r="BB1557" s="12"/>
      <c r="BC1557" s="12"/>
      <c r="BD1557" s="12"/>
      <c r="BE1557" s="44"/>
      <c r="BF1557" s="45"/>
      <c r="BG1557" s="12"/>
      <c r="BH1557" s="12"/>
      <c r="BI1557" s="12"/>
      <c r="BJ1557" s="12"/>
      <c r="BK1557" s="44"/>
      <c r="BL1557" s="45"/>
      <c r="BM1557" s="12"/>
      <c r="BN1557" s="12"/>
      <c r="BO1557" s="12"/>
      <c r="BP1557" s="12"/>
      <c r="BQ1557" s="48"/>
      <c r="BR1557" s="49"/>
      <c r="BS1557" s="13"/>
      <c r="BT1557" s="12"/>
      <c r="BV1557" s="14"/>
      <c r="BW1557" s="50"/>
      <c r="BX1557" s="54"/>
      <c r="BY1557" s="14"/>
      <c r="BZ1557" s="14"/>
      <c r="CA1557" s="14"/>
      <c r="CB1557" s="14"/>
      <c r="CC1557" s="14"/>
      <c r="CD1557" s="14"/>
      <c r="CE1557" s="14"/>
      <c r="CF1557" s="15"/>
      <c r="CG1557" s="14"/>
      <c r="CH1557" s="14"/>
      <c r="CI1557" s="50"/>
      <c r="CJ1557" s="54"/>
      <c r="CK1557" s="14"/>
      <c r="CL1557" s="14"/>
      <c r="CM1557" s="14"/>
      <c r="CN1557" s="14"/>
      <c r="CO1557" s="14"/>
      <c r="CP1557" s="14"/>
      <c r="CQ1557" s="14"/>
      <c r="CR1557" s="14"/>
      <c r="CS1557" s="14"/>
      <c r="CT1557" s="14"/>
      <c r="CU1557" s="16"/>
      <c r="CV1557" s="14"/>
      <c r="CW1557" s="50"/>
      <c r="CX1557" s="17"/>
    </row>
    <row r="1558" spans="4:102" x14ac:dyDescent="0.25"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43"/>
      <c r="Q1558" s="11"/>
      <c r="R1558" s="11"/>
      <c r="S1558" s="11"/>
      <c r="T1558" s="11"/>
      <c r="U1558" s="11"/>
      <c r="V1558" s="11"/>
      <c r="W1558" s="11"/>
      <c r="X1558" s="12"/>
      <c r="Y1558" s="12"/>
      <c r="Z1558" s="12"/>
      <c r="AA1558" s="44"/>
      <c r="AB1558" s="45"/>
      <c r="AC1558" s="12"/>
      <c r="AD1558" s="12"/>
      <c r="AE1558" s="12"/>
      <c r="AF1558" s="12"/>
      <c r="AG1558" s="44"/>
      <c r="AH1558" s="45"/>
      <c r="AI1558" s="12"/>
      <c r="AJ1558" s="12"/>
      <c r="AK1558" s="12"/>
      <c r="AL1558" s="12"/>
      <c r="AM1558" s="44"/>
      <c r="AN1558" s="45"/>
      <c r="AO1558" s="12"/>
      <c r="AP1558" s="12"/>
      <c r="AQ1558" s="12"/>
      <c r="AR1558" s="12"/>
      <c r="AS1558" s="44"/>
      <c r="AT1558" s="45"/>
      <c r="AU1558" s="12"/>
      <c r="AV1558" s="12"/>
      <c r="AW1558" s="12"/>
      <c r="AX1558" s="12"/>
      <c r="AY1558" s="44"/>
      <c r="AZ1558" s="45"/>
      <c r="BA1558" s="12"/>
      <c r="BB1558" s="12"/>
      <c r="BC1558" s="12"/>
      <c r="BD1558" s="12"/>
      <c r="BE1558" s="44"/>
      <c r="BF1558" s="45"/>
      <c r="BG1558" s="12"/>
      <c r="BH1558" s="12"/>
      <c r="BI1558" s="12"/>
      <c r="BJ1558" s="12"/>
      <c r="BK1558" s="44"/>
      <c r="BL1558" s="45"/>
      <c r="BM1558" s="12"/>
      <c r="BN1558" s="12"/>
      <c r="BO1558" s="12"/>
      <c r="BP1558" s="12"/>
      <c r="BQ1558" s="48"/>
      <c r="BR1558" s="49"/>
      <c r="BS1558" s="13"/>
      <c r="BT1558" s="12"/>
      <c r="BV1558" s="14"/>
      <c r="BW1558" s="50"/>
      <c r="BX1558" s="54"/>
      <c r="BY1558" s="14"/>
      <c r="BZ1558" s="14"/>
      <c r="CA1558" s="14"/>
      <c r="CB1558" s="14"/>
      <c r="CC1558" s="14"/>
      <c r="CD1558" s="14"/>
      <c r="CE1558" s="14"/>
      <c r="CF1558" s="15"/>
      <c r="CG1558" s="14"/>
      <c r="CH1558" s="14"/>
      <c r="CI1558" s="50"/>
      <c r="CJ1558" s="54"/>
      <c r="CK1558" s="14"/>
      <c r="CL1558" s="14"/>
      <c r="CM1558" s="14"/>
      <c r="CN1558" s="14"/>
      <c r="CO1558" s="14"/>
      <c r="CP1558" s="14"/>
      <c r="CQ1558" s="14"/>
      <c r="CR1558" s="14"/>
      <c r="CS1558" s="14"/>
      <c r="CT1558" s="14"/>
      <c r="CU1558" s="16"/>
      <c r="CV1558" s="14"/>
      <c r="CW1558" s="50"/>
      <c r="CX1558" s="17"/>
    </row>
    <row r="1559" spans="4:102" x14ac:dyDescent="0.25"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43"/>
      <c r="Q1559" s="11"/>
      <c r="R1559" s="11"/>
      <c r="S1559" s="11"/>
      <c r="T1559" s="11"/>
      <c r="U1559" s="11"/>
      <c r="V1559" s="11"/>
      <c r="W1559" s="11"/>
      <c r="X1559" s="12"/>
      <c r="Y1559" s="12"/>
      <c r="Z1559" s="12"/>
      <c r="AA1559" s="44"/>
      <c r="AB1559" s="45"/>
      <c r="AC1559" s="12"/>
      <c r="AD1559" s="12"/>
      <c r="AE1559" s="12"/>
      <c r="AF1559" s="12"/>
      <c r="AG1559" s="44"/>
      <c r="AH1559" s="45"/>
      <c r="AI1559" s="12"/>
      <c r="AJ1559" s="12"/>
      <c r="AK1559" s="12"/>
      <c r="AL1559" s="12"/>
      <c r="AM1559" s="44"/>
      <c r="AN1559" s="45"/>
      <c r="AO1559" s="12"/>
      <c r="AP1559" s="12"/>
      <c r="AQ1559" s="12"/>
      <c r="AR1559" s="12"/>
      <c r="AS1559" s="44"/>
      <c r="AT1559" s="45"/>
      <c r="AU1559" s="12"/>
      <c r="AV1559" s="12"/>
      <c r="AW1559" s="12"/>
      <c r="AX1559" s="12"/>
      <c r="AY1559" s="44"/>
      <c r="AZ1559" s="45"/>
      <c r="BA1559" s="12"/>
      <c r="BB1559" s="12"/>
      <c r="BC1559" s="12"/>
      <c r="BD1559" s="12"/>
      <c r="BE1559" s="44"/>
      <c r="BF1559" s="45"/>
      <c r="BG1559" s="12"/>
      <c r="BH1559" s="12"/>
      <c r="BI1559" s="12"/>
      <c r="BJ1559" s="12"/>
      <c r="BK1559" s="44"/>
      <c r="BL1559" s="45"/>
      <c r="BM1559" s="12"/>
      <c r="BN1559" s="12"/>
      <c r="BO1559" s="12"/>
      <c r="BP1559" s="12"/>
      <c r="BQ1559" s="48"/>
      <c r="BR1559" s="49"/>
      <c r="BS1559" s="13"/>
      <c r="BT1559" s="12"/>
      <c r="BV1559" s="14"/>
      <c r="BW1559" s="50"/>
      <c r="BX1559" s="54"/>
      <c r="BY1559" s="14"/>
      <c r="BZ1559" s="14"/>
      <c r="CA1559" s="14"/>
      <c r="CB1559" s="14"/>
      <c r="CC1559" s="14"/>
      <c r="CD1559" s="14"/>
      <c r="CE1559" s="14"/>
      <c r="CF1559" s="15"/>
      <c r="CG1559" s="14"/>
      <c r="CH1559" s="14"/>
      <c r="CI1559" s="50"/>
      <c r="CJ1559" s="54"/>
      <c r="CK1559" s="14"/>
      <c r="CL1559" s="14"/>
      <c r="CM1559" s="14"/>
      <c r="CN1559" s="14"/>
      <c r="CO1559" s="14"/>
      <c r="CP1559" s="14"/>
      <c r="CQ1559" s="14"/>
      <c r="CR1559" s="14"/>
      <c r="CS1559" s="14"/>
      <c r="CT1559" s="14"/>
      <c r="CU1559" s="16"/>
      <c r="CV1559" s="14"/>
      <c r="CW1559" s="50"/>
      <c r="CX1559" s="17"/>
    </row>
    <row r="1560" spans="4:102" x14ac:dyDescent="0.25"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43"/>
      <c r="Q1560" s="11"/>
      <c r="R1560" s="11"/>
      <c r="S1560" s="11"/>
      <c r="T1560" s="11"/>
      <c r="U1560" s="11"/>
      <c r="V1560" s="11"/>
      <c r="W1560" s="11"/>
      <c r="X1560" s="12"/>
      <c r="Y1560" s="12"/>
      <c r="Z1560" s="12"/>
      <c r="AA1560" s="44"/>
      <c r="AB1560" s="45"/>
      <c r="AC1560" s="12"/>
      <c r="AD1560" s="12"/>
      <c r="AE1560" s="12"/>
      <c r="AF1560" s="12"/>
      <c r="AG1560" s="44"/>
      <c r="AH1560" s="45"/>
      <c r="AI1560" s="12"/>
      <c r="AJ1560" s="12"/>
      <c r="AK1560" s="12"/>
      <c r="AL1560" s="12"/>
      <c r="AM1560" s="44"/>
      <c r="AN1560" s="45"/>
      <c r="AO1560" s="12"/>
      <c r="AP1560" s="12"/>
      <c r="AQ1560" s="12"/>
      <c r="AR1560" s="12"/>
      <c r="AS1560" s="44"/>
      <c r="AT1560" s="45"/>
      <c r="AU1560" s="12"/>
      <c r="AV1560" s="12"/>
      <c r="AW1560" s="12"/>
      <c r="AX1560" s="12"/>
      <c r="AY1560" s="44"/>
      <c r="AZ1560" s="45"/>
      <c r="BA1560" s="12"/>
      <c r="BB1560" s="12"/>
      <c r="BC1560" s="12"/>
      <c r="BD1560" s="12"/>
      <c r="BE1560" s="44"/>
      <c r="BF1560" s="45"/>
      <c r="BG1560" s="12"/>
      <c r="BH1560" s="12"/>
      <c r="BI1560" s="12"/>
      <c r="BJ1560" s="12"/>
      <c r="BK1560" s="44"/>
      <c r="BL1560" s="45"/>
      <c r="BM1560" s="12"/>
      <c r="BN1560" s="12"/>
      <c r="BO1560" s="12"/>
      <c r="BP1560" s="12"/>
      <c r="BQ1560" s="48"/>
      <c r="BR1560" s="49"/>
      <c r="BS1560" s="13"/>
      <c r="BT1560" s="12"/>
      <c r="BV1560" s="14"/>
      <c r="BW1560" s="50"/>
      <c r="BX1560" s="54"/>
      <c r="BY1560" s="14"/>
      <c r="BZ1560" s="14"/>
      <c r="CA1560" s="14"/>
      <c r="CB1560" s="14"/>
      <c r="CC1560" s="14"/>
      <c r="CD1560" s="14"/>
      <c r="CE1560" s="14"/>
      <c r="CF1560" s="15"/>
      <c r="CG1560" s="14"/>
      <c r="CH1560" s="14"/>
      <c r="CI1560" s="50"/>
      <c r="CJ1560" s="54"/>
      <c r="CK1560" s="14"/>
      <c r="CL1560" s="14"/>
      <c r="CM1560" s="14"/>
      <c r="CN1560" s="14"/>
      <c r="CO1560" s="14"/>
      <c r="CP1560" s="14"/>
      <c r="CQ1560" s="14"/>
      <c r="CR1560" s="14"/>
      <c r="CS1560" s="14"/>
      <c r="CT1560" s="14"/>
      <c r="CU1560" s="16"/>
      <c r="CV1560" s="14"/>
      <c r="CW1560" s="50"/>
      <c r="CX1560" s="17"/>
    </row>
    <row r="1561" spans="4:102" x14ac:dyDescent="0.25"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43"/>
      <c r="Q1561" s="11"/>
      <c r="R1561" s="11"/>
      <c r="S1561" s="11"/>
      <c r="T1561" s="11"/>
      <c r="U1561" s="11"/>
      <c r="V1561" s="11"/>
      <c r="W1561" s="11"/>
      <c r="X1561" s="12"/>
      <c r="Y1561" s="12"/>
      <c r="Z1561" s="12"/>
      <c r="AA1561" s="44"/>
      <c r="AB1561" s="45"/>
      <c r="AC1561" s="12"/>
      <c r="AD1561" s="12"/>
      <c r="AE1561" s="12"/>
      <c r="AF1561" s="12"/>
      <c r="AG1561" s="44"/>
      <c r="AH1561" s="45"/>
      <c r="AI1561" s="12"/>
      <c r="AJ1561" s="12"/>
      <c r="AK1561" s="12"/>
      <c r="AL1561" s="12"/>
      <c r="AM1561" s="44"/>
      <c r="AN1561" s="45"/>
      <c r="AO1561" s="12"/>
      <c r="AP1561" s="12"/>
      <c r="AQ1561" s="12"/>
      <c r="AR1561" s="12"/>
      <c r="AS1561" s="44"/>
      <c r="AT1561" s="45"/>
      <c r="AU1561" s="12"/>
      <c r="AV1561" s="12"/>
      <c r="AW1561" s="12"/>
      <c r="AX1561" s="12"/>
      <c r="AY1561" s="44"/>
      <c r="AZ1561" s="45"/>
      <c r="BA1561" s="12"/>
      <c r="BB1561" s="12"/>
      <c r="BC1561" s="12"/>
      <c r="BD1561" s="12"/>
      <c r="BE1561" s="44"/>
      <c r="BF1561" s="45"/>
      <c r="BG1561" s="12"/>
      <c r="BH1561" s="12"/>
      <c r="BI1561" s="12"/>
      <c r="BJ1561" s="12"/>
      <c r="BK1561" s="44"/>
      <c r="BL1561" s="45"/>
      <c r="BM1561" s="12"/>
      <c r="BN1561" s="12"/>
      <c r="BO1561" s="12"/>
      <c r="BP1561" s="12"/>
      <c r="BQ1561" s="48"/>
      <c r="BR1561" s="49"/>
      <c r="BS1561" s="13"/>
      <c r="BT1561" s="12"/>
      <c r="BV1561" s="14"/>
      <c r="BW1561" s="50"/>
      <c r="BX1561" s="54"/>
      <c r="BY1561" s="14"/>
      <c r="BZ1561" s="14"/>
      <c r="CA1561" s="14"/>
      <c r="CB1561" s="14"/>
      <c r="CC1561" s="14"/>
      <c r="CD1561" s="14"/>
      <c r="CE1561" s="14"/>
      <c r="CF1561" s="15"/>
      <c r="CG1561" s="14"/>
      <c r="CH1561" s="14"/>
      <c r="CI1561" s="50"/>
      <c r="CJ1561" s="54"/>
      <c r="CK1561" s="14"/>
      <c r="CL1561" s="14"/>
      <c r="CM1561" s="14"/>
      <c r="CN1561" s="14"/>
      <c r="CO1561" s="14"/>
      <c r="CP1561" s="14"/>
      <c r="CQ1561" s="14"/>
      <c r="CR1561" s="14"/>
      <c r="CS1561" s="14"/>
      <c r="CT1561" s="14"/>
      <c r="CU1561" s="16"/>
      <c r="CV1561" s="14"/>
      <c r="CW1561" s="50"/>
      <c r="CX1561" s="17"/>
    </row>
    <row r="1562" spans="4:102" x14ac:dyDescent="0.25"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43"/>
      <c r="Q1562" s="11"/>
      <c r="R1562" s="11"/>
      <c r="S1562" s="11"/>
      <c r="T1562" s="11"/>
      <c r="U1562" s="11"/>
      <c r="V1562" s="11"/>
      <c r="W1562" s="11"/>
      <c r="X1562" s="12"/>
      <c r="Y1562" s="12"/>
      <c r="Z1562" s="12"/>
      <c r="AA1562" s="44"/>
      <c r="AB1562" s="45"/>
      <c r="AC1562" s="12"/>
      <c r="AD1562" s="12"/>
      <c r="AE1562" s="12"/>
      <c r="AF1562" s="12"/>
      <c r="AG1562" s="44"/>
      <c r="AH1562" s="45"/>
      <c r="AI1562" s="12"/>
      <c r="AJ1562" s="12"/>
      <c r="AK1562" s="12"/>
      <c r="AL1562" s="12"/>
      <c r="AM1562" s="44"/>
      <c r="AN1562" s="45"/>
      <c r="AO1562" s="12"/>
      <c r="AP1562" s="12"/>
      <c r="AQ1562" s="12"/>
      <c r="AR1562" s="12"/>
      <c r="AS1562" s="44"/>
      <c r="AT1562" s="45"/>
      <c r="AU1562" s="12"/>
      <c r="AV1562" s="12"/>
      <c r="AW1562" s="12"/>
      <c r="AX1562" s="12"/>
      <c r="AY1562" s="44"/>
      <c r="AZ1562" s="45"/>
      <c r="BA1562" s="12"/>
      <c r="BB1562" s="12"/>
      <c r="BC1562" s="12"/>
      <c r="BD1562" s="12"/>
      <c r="BE1562" s="44"/>
      <c r="BF1562" s="45"/>
      <c r="BG1562" s="12"/>
      <c r="BH1562" s="12"/>
      <c r="BI1562" s="12"/>
      <c r="BJ1562" s="12"/>
      <c r="BK1562" s="44"/>
      <c r="BL1562" s="45"/>
      <c r="BM1562" s="12"/>
      <c r="BN1562" s="12"/>
      <c r="BO1562" s="12"/>
      <c r="BP1562" s="12"/>
      <c r="BQ1562" s="48"/>
      <c r="BR1562" s="49"/>
      <c r="BS1562" s="13"/>
      <c r="BT1562" s="12"/>
      <c r="BV1562" s="14"/>
      <c r="BW1562" s="50"/>
      <c r="BX1562" s="54"/>
      <c r="BY1562" s="14"/>
      <c r="BZ1562" s="14"/>
      <c r="CA1562" s="14"/>
      <c r="CB1562" s="14"/>
      <c r="CC1562" s="14"/>
      <c r="CD1562" s="14"/>
      <c r="CE1562" s="14"/>
      <c r="CF1562" s="15"/>
      <c r="CG1562" s="14"/>
      <c r="CH1562" s="14"/>
      <c r="CI1562" s="50"/>
      <c r="CJ1562" s="54"/>
      <c r="CK1562" s="14"/>
      <c r="CL1562" s="14"/>
      <c r="CM1562" s="14"/>
      <c r="CN1562" s="14"/>
      <c r="CO1562" s="14"/>
      <c r="CP1562" s="14"/>
      <c r="CQ1562" s="14"/>
      <c r="CR1562" s="14"/>
      <c r="CS1562" s="14"/>
      <c r="CT1562" s="14"/>
      <c r="CU1562" s="16"/>
      <c r="CV1562" s="14"/>
      <c r="CW1562" s="50"/>
      <c r="CX1562" s="17"/>
    </row>
    <row r="1563" spans="4:102" x14ac:dyDescent="0.25"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43"/>
      <c r="Q1563" s="11"/>
      <c r="R1563" s="11"/>
      <c r="S1563" s="11"/>
      <c r="T1563" s="11"/>
      <c r="U1563" s="11"/>
      <c r="V1563" s="11"/>
      <c r="W1563" s="11"/>
      <c r="X1563" s="12"/>
      <c r="Y1563" s="12"/>
      <c r="Z1563" s="12"/>
      <c r="AA1563" s="44"/>
      <c r="AB1563" s="45"/>
      <c r="AC1563" s="12"/>
      <c r="AD1563" s="12"/>
      <c r="AE1563" s="12"/>
      <c r="AF1563" s="12"/>
      <c r="AG1563" s="44"/>
      <c r="AH1563" s="45"/>
      <c r="AI1563" s="12"/>
      <c r="AJ1563" s="12"/>
      <c r="AK1563" s="12"/>
      <c r="AL1563" s="12"/>
      <c r="AM1563" s="44"/>
      <c r="AN1563" s="45"/>
      <c r="AO1563" s="12"/>
      <c r="AP1563" s="12"/>
      <c r="AQ1563" s="12"/>
      <c r="AR1563" s="12"/>
      <c r="AS1563" s="44"/>
      <c r="AT1563" s="45"/>
      <c r="AU1563" s="12"/>
      <c r="AV1563" s="12"/>
      <c r="AW1563" s="12"/>
      <c r="AX1563" s="12"/>
      <c r="AY1563" s="44"/>
      <c r="AZ1563" s="45"/>
      <c r="BA1563" s="12"/>
      <c r="BB1563" s="12"/>
      <c r="BC1563" s="12"/>
      <c r="BD1563" s="12"/>
      <c r="BE1563" s="44"/>
      <c r="BF1563" s="45"/>
      <c r="BG1563" s="12"/>
      <c r="BH1563" s="12"/>
      <c r="BI1563" s="12"/>
      <c r="BJ1563" s="12"/>
      <c r="BK1563" s="44"/>
      <c r="BL1563" s="45"/>
      <c r="BM1563" s="12"/>
      <c r="BN1563" s="12"/>
      <c r="BO1563" s="12"/>
      <c r="BP1563" s="12"/>
      <c r="BQ1563" s="48"/>
      <c r="BR1563" s="49"/>
      <c r="BS1563" s="13"/>
      <c r="BT1563" s="12"/>
      <c r="BV1563" s="14"/>
      <c r="BW1563" s="50"/>
      <c r="BX1563" s="54"/>
      <c r="BY1563" s="14"/>
      <c r="BZ1563" s="14"/>
      <c r="CA1563" s="14"/>
      <c r="CB1563" s="14"/>
      <c r="CC1563" s="14"/>
      <c r="CD1563" s="14"/>
      <c r="CE1563" s="14"/>
      <c r="CF1563" s="15"/>
      <c r="CG1563" s="14"/>
      <c r="CH1563" s="14"/>
      <c r="CI1563" s="50"/>
      <c r="CJ1563" s="54"/>
      <c r="CK1563" s="14"/>
      <c r="CL1563" s="14"/>
      <c r="CM1563" s="14"/>
      <c r="CN1563" s="14"/>
      <c r="CO1563" s="14"/>
      <c r="CP1563" s="14"/>
      <c r="CQ1563" s="14"/>
      <c r="CR1563" s="14"/>
      <c r="CS1563" s="14"/>
      <c r="CT1563" s="14"/>
      <c r="CU1563" s="16"/>
      <c r="CV1563" s="14"/>
      <c r="CW1563" s="50"/>
      <c r="CX1563" s="17"/>
    </row>
    <row r="1564" spans="4:102" x14ac:dyDescent="0.25"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43"/>
      <c r="Q1564" s="11"/>
      <c r="R1564" s="11"/>
      <c r="S1564" s="11"/>
      <c r="T1564" s="11"/>
      <c r="U1564" s="11"/>
      <c r="V1564" s="11"/>
      <c r="W1564" s="11"/>
      <c r="X1564" s="12"/>
      <c r="Y1564" s="12"/>
      <c r="Z1564" s="12"/>
      <c r="AA1564" s="44"/>
      <c r="AB1564" s="45"/>
      <c r="AC1564" s="12"/>
      <c r="AD1564" s="12"/>
      <c r="AE1564" s="12"/>
      <c r="AF1564" s="12"/>
      <c r="AG1564" s="44"/>
      <c r="AH1564" s="45"/>
      <c r="AI1564" s="12"/>
      <c r="AJ1564" s="12"/>
      <c r="AK1564" s="12"/>
      <c r="AL1564" s="12"/>
      <c r="AM1564" s="44"/>
      <c r="AN1564" s="45"/>
      <c r="AO1564" s="12"/>
      <c r="AP1564" s="12"/>
      <c r="AQ1564" s="12"/>
      <c r="AR1564" s="12"/>
      <c r="AS1564" s="44"/>
      <c r="AT1564" s="45"/>
      <c r="AU1564" s="12"/>
      <c r="AV1564" s="12"/>
      <c r="AW1564" s="12"/>
      <c r="AX1564" s="12"/>
      <c r="AY1564" s="44"/>
      <c r="AZ1564" s="45"/>
      <c r="BA1564" s="12"/>
      <c r="BB1564" s="12"/>
      <c r="BC1564" s="12"/>
      <c r="BD1564" s="12"/>
      <c r="BE1564" s="44"/>
      <c r="BF1564" s="45"/>
      <c r="BG1564" s="12"/>
      <c r="BH1564" s="12"/>
      <c r="BI1564" s="12"/>
      <c r="BJ1564" s="12"/>
      <c r="BK1564" s="44"/>
      <c r="BL1564" s="45"/>
      <c r="BM1564" s="12"/>
      <c r="BN1564" s="12"/>
      <c r="BO1564" s="12"/>
      <c r="BP1564" s="12"/>
      <c r="BQ1564" s="48"/>
      <c r="BR1564" s="49"/>
      <c r="BS1564" s="13"/>
      <c r="BT1564" s="12"/>
      <c r="BV1564" s="14"/>
      <c r="BW1564" s="50"/>
      <c r="BX1564" s="54"/>
      <c r="BY1564" s="14"/>
      <c r="BZ1564" s="14"/>
      <c r="CA1564" s="14"/>
      <c r="CB1564" s="14"/>
      <c r="CC1564" s="14"/>
      <c r="CD1564" s="14"/>
      <c r="CE1564" s="14"/>
      <c r="CF1564" s="15"/>
      <c r="CG1564" s="14"/>
      <c r="CH1564" s="14"/>
      <c r="CI1564" s="50"/>
      <c r="CJ1564" s="54"/>
      <c r="CK1564" s="14"/>
      <c r="CL1564" s="14"/>
      <c r="CM1564" s="14"/>
      <c r="CN1564" s="14"/>
      <c r="CO1564" s="14"/>
      <c r="CP1564" s="14"/>
      <c r="CQ1564" s="14"/>
      <c r="CR1564" s="14"/>
      <c r="CS1564" s="14"/>
      <c r="CT1564" s="14"/>
      <c r="CU1564" s="16"/>
      <c r="CV1564" s="14"/>
      <c r="CW1564" s="50"/>
      <c r="CX1564" s="17"/>
    </row>
    <row r="1565" spans="4:102" x14ac:dyDescent="0.25"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43"/>
      <c r="Q1565" s="11"/>
      <c r="R1565" s="11"/>
      <c r="S1565" s="11"/>
      <c r="T1565" s="11"/>
      <c r="U1565" s="11"/>
      <c r="V1565" s="11"/>
      <c r="W1565" s="11"/>
      <c r="X1565" s="12"/>
      <c r="Y1565" s="12"/>
      <c r="Z1565" s="12"/>
      <c r="AA1565" s="44"/>
      <c r="AB1565" s="45"/>
      <c r="AC1565" s="12"/>
      <c r="AD1565" s="12"/>
      <c r="AE1565" s="12"/>
      <c r="AF1565" s="12"/>
      <c r="AG1565" s="44"/>
      <c r="AH1565" s="45"/>
      <c r="AI1565" s="12"/>
      <c r="AJ1565" s="12"/>
      <c r="AK1565" s="12"/>
      <c r="AL1565" s="12"/>
      <c r="AM1565" s="44"/>
      <c r="AN1565" s="45"/>
      <c r="AO1565" s="12"/>
      <c r="AP1565" s="12"/>
      <c r="AQ1565" s="12"/>
      <c r="AR1565" s="12"/>
      <c r="AS1565" s="44"/>
      <c r="AT1565" s="45"/>
      <c r="AU1565" s="12"/>
      <c r="AV1565" s="12"/>
      <c r="AW1565" s="12"/>
      <c r="AX1565" s="12"/>
      <c r="AY1565" s="44"/>
      <c r="AZ1565" s="45"/>
      <c r="BA1565" s="12"/>
      <c r="BB1565" s="12"/>
      <c r="BC1565" s="12"/>
      <c r="BD1565" s="12"/>
      <c r="BE1565" s="44"/>
      <c r="BF1565" s="45"/>
      <c r="BG1565" s="12"/>
      <c r="BH1565" s="12"/>
      <c r="BI1565" s="12"/>
      <c r="BJ1565" s="12"/>
      <c r="BK1565" s="44"/>
      <c r="BL1565" s="45"/>
      <c r="BM1565" s="12"/>
      <c r="BN1565" s="12"/>
      <c r="BO1565" s="12"/>
      <c r="BP1565" s="12"/>
      <c r="BQ1565" s="48"/>
      <c r="BR1565" s="49"/>
      <c r="BS1565" s="13"/>
      <c r="BT1565" s="12"/>
      <c r="BV1565" s="14"/>
      <c r="BW1565" s="50"/>
      <c r="BX1565" s="54"/>
      <c r="BY1565" s="14"/>
      <c r="BZ1565" s="14"/>
      <c r="CA1565" s="14"/>
      <c r="CB1565" s="14"/>
      <c r="CC1565" s="14"/>
      <c r="CD1565" s="14"/>
      <c r="CE1565" s="14"/>
      <c r="CF1565" s="15"/>
      <c r="CG1565" s="14"/>
      <c r="CH1565" s="14"/>
      <c r="CI1565" s="50"/>
      <c r="CJ1565" s="54"/>
      <c r="CK1565" s="14"/>
      <c r="CL1565" s="14"/>
      <c r="CM1565" s="14"/>
      <c r="CN1565" s="14"/>
      <c r="CO1565" s="14"/>
      <c r="CP1565" s="14"/>
      <c r="CQ1565" s="14"/>
      <c r="CR1565" s="14"/>
      <c r="CS1565" s="14"/>
      <c r="CT1565" s="14"/>
      <c r="CU1565" s="16"/>
      <c r="CV1565" s="14"/>
      <c r="CW1565" s="50"/>
      <c r="CX1565" s="17"/>
    </row>
    <row r="1566" spans="4:102" x14ac:dyDescent="0.25"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43"/>
      <c r="Q1566" s="11"/>
      <c r="R1566" s="11"/>
      <c r="S1566" s="11"/>
      <c r="T1566" s="11"/>
      <c r="U1566" s="11"/>
      <c r="V1566" s="11"/>
      <c r="W1566" s="11"/>
      <c r="X1566" s="12"/>
      <c r="Y1566" s="12"/>
      <c r="Z1566" s="12"/>
      <c r="AA1566" s="44"/>
      <c r="AB1566" s="45"/>
      <c r="AC1566" s="12"/>
      <c r="AD1566" s="12"/>
      <c r="AE1566" s="12"/>
      <c r="AF1566" s="12"/>
      <c r="AG1566" s="44"/>
      <c r="AH1566" s="45"/>
      <c r="AI1566" s="12"/>
      <c r="AJ1566" s="12"/>
      <c r="AK1566" s="12"/>
      <c r="AL1566" s="12"/>
      <c r="AM1566" s="44"/>
      <c r="AN1566" s="45"/>
      <c r="AO1566" s="12"/>
      <c r="AP1566" s="12"/>
      <c r="AQ1566" s="12"/>
      <c r="AR1566" s="12"/>
      <c r="AS1566" s="44"/>
      <c r="AT1566" s="45"/>
      <c r="AU1566" s="12"/>
      <c r="AV1566" s="12"/>
      <c r="AW1566" s="12"/>
      <c r="AX1566" s="12"/>
      <c r="AY1566" s="44"/>
      <c r="AZ1566" s="45"/>
      <c r="BA1566" s="12"/>
      <c r="BB1566" s="12"/>
      <c r="BC1566" s="12"/>
      <c r="BD1566" s="12"/>
      <c r="BE1566" s="44"/>
      <c r="BF1566" s="45"/>
      <c r="BG1566" s="12"/>
      <c r="BH1566" s="12"/>
      <c r="BI1566" s="12"/>
      <c r="BJ1566" s="12"/>
      <c r="BK1566" s="44"/>
      <c r="BL1566" s="45"/>
      <c r="BM1566" s="12"/>
      <c r="BN1566" s="12"/>
      <c r="BO1566" s="12"/>
      <c r="BP1566" s="12"/>
      <c r="BQ1566" s="48"/>
      <c r="BR1566" s="49"/>
      <c r="BS1566" s="13"/>
      <c r="BT1566" s="12"/>
      <c r="BV1566" s="14"/>
      <c r="BW1566" s="50"/>
      <c r="BX1566" s="54"/>
      <c r="BY1566" s="14"/>
      <c r="BZ1566" s="14"/>
      <c r="CA1566" s="14"/>
      <c r="CB1566" s="14"/>
      <c r="CC1566" s="14"/>
      <c r="CD1566" s="14"/>
      <c r="CE1566" s="14"/>
      <c r="CF1566" s="15"/>
      <c r="CG1566" s="14"/>
      <c r="CH1566" s="14"/>
      <c r="CI1566" s="50"/>
      <c r="CJ1566" s="54"/>
      <c r="CK1566" s="14"/>
      <c r="CL1566" s="14"/>
      <c r="CM1566" s="14"/>
      <c r="CN1566" s="14"/>
      <c r="CO1566" s="14"/>
      <c r="CP1566" s="14"/>
      <c r="CQ1566" s="14"/>
      <c r="CR1566" s="14"/>
      <c r="CS1566" s="14"/>
      <c r="CT1566" s="14"/>
      <c r="CU1566" s="16"/>
      <c r="CV1566" s="14"/>
      <c r="CW1566" s="50"/>
      <c r="CX1566" s="17"/>
    </row>
    <row r="1567" spans="4:102" x14ac:dyDescent="0.25"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43"/>
      <c r="Q1567" s="11"/>
      <c r="R1567" s="11"/>
      <c r="S1567" s="11"/>
      <c r="T1567" s="11"/>
      <c r="U1567" s="11"/>
      <c r="V1567" s="11"/>
      <c r="W1567" s="11"/>
      <c r="X1567" s="12"/>
      <c r="Y1567" s="12"/>
      <c r="Z1567" s="12"/>
      <c r="AA1567" s="44"/>
      <c r="AB1567" s="45"/>
      <c r="AC1567" s="12"/>
      <c r="AD1567" s="12"/>
      <c r="AE1567" s="12"/>
      <c r="AF1567" s="12"/>
      <c r="AG1567" s="44"/>
      <c r="AH1567" s="45"/>
      <c r="AI1567" s="12"/>
      <c r="AJ1567" s="12"/>
      <c r="AK1567" s="12"/>
      <c r="AL1567" s="12"/>
      <c r="AM1567" s="44"/>
      <c r="AN1567" s="45"/>
      <c r="AO1567" s="12"/>
      <c r="AP1567" s="12"/>
      <c r="AQ1567" s="12"/>
      <c r="AR1567" s="12"/>
      <c r="AS1567" s="44"/>
      <c r="AT1567" s="45"/>
      <c r="AU1567" s="12"/>
      <c r="AV1567" s="12"/>
      <c r="AW1567" s="12"/>
      <c r="AX1567" s="12"/>
      <c r="AY1567" s="44"/>
      <c r="AZ1567" s="45"/>
      <c r="BA1567" s="12"/>
      <c r="BB1567" s="12"/>
      <c r="BC1567" s="12"/>
      <c r="BD1567" s="12"/>
      <c r="BE1567" s="44"/>
      <c r="BF1567" s="45"/>
      <c r="BG1567" s="12"/>
      <c r="BH1567" s="12"/>
      <c r="BI1567" s="12"/>
      <c r="BJ1567" s="12"/>
      <c r="BK1567" s="44"/>
      <c r="BL1567" s="45"/>
      <c r="BM1567" s="12"/>
      <c r="BN1567" s="12"/>
      <c r="BO1567" s="12"/>
      <c r="BP1567" s="12"/>
      <c r="BQ1567" s="48"/>
      <c r="BR1567" s="49"/>
      <c r="BS1567" s="13"/>
      <c r="BT1567" s="12"/>
      <c r="BV1567" s="14"/>
      <c r="BW1567" s="50"/>
      <c r="BX1567" s="54"/>
      <c r="BY1567" s="14"/>
      <c r="BZ1567" s="14"/>
      <c r="CA1567" s="14"/>
      <c r="CB1567" s="14"/>
      <c r="CC1567" s="14"/>
      <c r="CD1567" s="14"/>
      <c r="CE1567" s="14"/>
      <c r="CF1567" s="15"/>
      <c r="CG1567" s="14"/>
      <c r="CH1567" s="14"/>
      <c r="CI1567" s="50"/>
      <c r="CJ1567" s="54"/>
      <c r="CK1567" s="14"/>
      <c r="CL1567" s="14"/>
      <c r="CM1567" s="14"/>
      <c r="CN1567" s="14"/>
      <c r="CO1567" s="14"/>
      <c r="CP1567" s="14"/>
      <c r="CQ1567" s="14"/>
      <c r="CR1567" s="14"/>
      <c r="CS1567" s="14"/>
      <c r="CT1567" s="14"/>
      <c r="CU1567" s="16"/>
      <c r="CV1567" s="14"/>
      <c r="CW1567" s="50"/>
      <c r="CX1567" s="17"/>
    </row>
    <row r="1568" spans="4:102" x14ac:dyDescent="0.25"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43"/>
      <c r="Q1568" s="11"/>
      <c r="R1568" s="11"/>
      <c r="S1568" s="11"/>
      <c r="T1568" s="11"/>
      <c r="U1568" s="11"/>
      <c r="V1568" s="11"/>
      <c r="W1568" s="11"/>
      <c r="X1568" s="12"/>
      <c r="Y1568" s="12"/>
      <c r="Z1568" s="12"/>
      <c r="AA1568" s="44"/>
      <c r="AB1568" s="45"/>
      <c r="AC1568" s="12"/>
      <c r="AD1568" s="12"/>
      <c r="AE1568" s="12"/>
      <c r="AF1568" s="12"/>
      <c r="AG1568" s="44"/>
      <c r="AH1568" s="45"/>
      <c r="AI1568" s="12"/>
      <c r="AJ1568" s="12"/>
      <c r="AK1568" s="12"/>
      <c r="AL1568" s="12"/>
      <c r="AM1568" s="44"/>
      <c r="AN1568" s="45"/>
      <c r="AO1568" s="12"/>
      <c r="AP1568" s="12"/>
      <c r="AQ1568" s="12"/>
      <c r="AR1568" s="12"/>
      <c r="AS1568" s="44"/>
      <c r="AT1568" s="45"/>
      <c r="AU1568" s="12"/>
      <c r="AV1568" s="12"/>
      <c r="AW1568" s="12"/>
      <c r="AX1568" s="12"/>
      <c r="AY1568" s="44"/>
      <c r="AZ1568" s="45"/>
      <c r="BA1568" s="12"/>
      <c r="BB1568" s="12"/>
      <c r="BC1568" s="12"/>
      <c r="BD1568" s="12"/>
      <c r="BE1568" s="44"/>
      <c r="BF1568" s="45"/>
      <c r="BG1568" s="12"/>
      <c r="BH1568" s="12"/>
      <c r="BI1568" s="12"/>
      <c r="BJ1568" s="12"/>
      <c r="BK1568" s="44"/>
      <c r="BL1568" s="45"/>
      <c r="BM1568" s="12"/>
      <c r="BN1568" s="12"/>
      <c r="BO1568" s="12"/>
      <c r="BP1568" s="12"/>
      <c r="BQ1568" s="48"/>
      <c r="BR1568" s="49"/>
      <c r="BS1568" s="13"/>
      <c r="BT1568" s="12"/>
      <c r="BV1568" s="14"/>
      <c r="BW1568" s="50"/>
      <c r="BX1568" s="54"/>
      <c r="BY1568" s="14"/>
      <c r="BZ1568" s="14"/>
      <c r="CA1568" s="14"/>
      <c r="CB1568" s="14"/>
      <c r="CC1568" s="14"/>
      <c r="CD1568" s="14"/>
      <c r="CE1568" s="14"/>
      <c r="CF1568" s="15"/>
      <c r="CG1568" s="14"/>
      <c r="CH1568" s="14"/>
      <c r="CI1568" s="50"/>
      <c r="CJ1568" s="54"/>
      <c r="CK1568" s="14"/>
      <c r="CL1568" s="14"/>
      <c r="CM1568" s="14"/>
      <c r="CN1568" s="14"/>
      <c r="CO1568" s="14"/>
      <c r="CP1568" s="14"/>
      <c r="CQ1568" s="14"/>
      <c r="CR1568" s="14"/>
      <c r="CS1568" s="14"/>
      <c r="CT1568" s="14"/>
      <c r="CU1568" s="16"/>
      <c r="CV1568" s="14"/>
      <c r="CW1568" s="50"/>
      <c r="CX1568" s="17"/>
    </row>
    <row r="1569" spans="4:102" x14ac:dyDescent="0.25"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43"/>
      <c r="Q1569" s="11"/>
      <c r="R1569" s="11"/>
      <c r="S1569" s="11"/>
      <c r="T1569" s="11"/>
      <c r="U1569" s="11"/>
      <c r="V1569" s="11"/>
      <c r="W1569" s="11"/>
      <c r="X1569" s="12"/>
      <c r="Y1569" s="12"/>
      <c r="Z1569" s="12"/>
      <c r="AA1569" s="44"/>
      <c r="AB1569" s="45"/>
      <c r="AC1569" s="12"/>
      <c r="AD1569" s="12"/>
      <c r="AE1569" s="12"/>
      <c r="AF1569" s="12"/>
      <c r="AG1569" s="44"/>
      <c r="AH1569" s="45"/>
      <c r="AI1569" s="12"/>
      <c r="AJ1569" s="12"/>
      <c r="AK1569" s="12"/>
      <c r="AL1569" s="12"/>
      <c r="AM1569" s="44"/>
      <c r="AN1569" s="45"/>
      <c r="AO1569" s="12"/>
      <c r="AP1569" s="12"/>
      <c r="AQ1569" s="12"/>
      <c r="AR1569" s="12"/>
      <c r="AS1569" s="44"/>
      <c r="AT1569" s="45"/>
      <c r="AU1569" s="12"/>
      <c r="AV1569" s="12"/>
      <c r="AW1569" s="12"/>
      <c r="AX1569" s="12"/>
      <c r="AY1569" s="44"/>
      <c r="AZ1569" s="45"/>
      <c r="BA1569" s="12"/>
      <c r="BB1569" s="12"/>
      <c r="BC1569" s="12"/>
      <c r="BD1569" s="12"/>
      <c r="BE1569" s="44"/>
      <c r="BF1569" s="45"/>
      <c r="BG1569" s="12"/>
      <c r="BH1569" s="12"/>
      <c r="BI1569" s="12"/>
      <c r="BJ1569" s="12"/>
      <c r="BK1569" s="44"/>
      <c r="BL1569" s="45"/>
      <c r="BM1569" s="12"/>
      <c r="BN1569" s="12"/>
      <c r="BO1569" s="12"/>
      <c r="BP1569" s="12"/>
      <c r="BQ1569" s="48"/>
      <c r="BR1569" s="49"/>
      <c r="BS1569" s="13"/>
      <c r="BT1569" s="12"/>
      <c r="BV1569" s="14"/>
      <c r="BW1569" s="50"/>
      <c r="BX1569" s="54"/>
      <c r="BY1569" s="14"/>
      <c r="BZ1569" s="14"/>
      <c r="CA1569" s="14"/>
      <c r="CB1569" s="14"/>
      <c r="CC1569" s="14"/>
      <c r="CD1569" s="14"/>
      <c r="CE1569" s="14"/>
      <c r="CF1569" s="15"/>
      <c r="CG1569" s="14"/>
      <c r="CH1569" s="14"/>
      <c r="CI1569" s="50"/>
      <c r="CJ1569" s="54"/>
      <c r="CK1569" s="14"/>
      <c r="CL1569" s="14"/>
      <c r="CM1569" s="14"/>
      <c r="CN1569" s="14"/>
      <c r="CO1569" s="14"/>
      <c r="CP1569" s="14"/>
      <c r="CQ1569" s="14"/>
      <c r="CR1569" s="14"/>
      <c r="CS1569" s="14"/>
      <c r="CT1569" s="14"/>
      <c r="CU1569" s="16"/>
      <c r="CV1569" s="14"/>
      <c r="CW1569" s="50"/>
      <c r="CX1569" s="17"/>
    </row>
    <row r="1570" spans="4:102" x14ac:dyDescent="0.25"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43"/>
      <c r="Q1570" s="11"/>
      <c r="R1570" s="11"/>
      <c r="S1570" s="11"/>
      <c r="T1570" s="11"/>
      <c r="U1570" s="11"/>
      <c r="V1570" s="11"/>
      <c r="W1570" s="11"/>
      <c r="X1570" s="12"/>
      <c r="Y1570" s="12"/>
      <c r="Z1570" s="12"/>
      <c r="AA1570" s="44"/>
      <c r="AB1570" s="45"/>
      <c r="AC1570" s="12"/>
      <c r="AD1570" s="12"/>
      <c r="AE1570" s="12"/>
      <c r="AF1570" s="12"/>
      <c r="AG1570" s="44"/>
      <c r="AH1570" s="45"/>
      <c r="AI1570" s="12"/>
      <c r="AJ1570" s="12"/>
      <c r="AK1570" s="12"/>
      <c r="AL1570" s="12"/>
      <c r="AM1570" s="44"/>
      <c r="AN1570" s="45"/>
      <c r="AO1570" s="12"/>
      <c r="AP1570" s="12"/>
      <c r="AQ1570" s="12"/>
      <c r="AR1570" s="12"/>
      <c r="AS1570" s="44"/>
      <c r="AT1570" s="45"/>
      <c r="AU1570" s="12"/>
      <c r="AV1570" s="12"/>
      <c r="AW1570" s="12"/>
      <c r="AX1570" s="12"/>
      <c r="AY1570" s="44"/>
      <c r="AZ1570" s="45"/>
      <c r="BA1570" s="12"/>
      <c r="BB1570" s="12"/>
      <c r="BC1570" s="12"/>
      <c r="BD1570" s="12"/>
      <c r="BE1570" s="44"/>
      <c r="BF1570" s="45"/>
      <c r="BG1570" s="12"/>
      <c r="BH1570" s="12"/>
      <c r="BI1570" s="12"/>
      <c r="BJ1570" s="12"/>
      <c r="BK1570" s="44"/>
      <c r="BL1570" s="45"/>
      <c r="BM1570" s="12"/>
      <c r="BN1570" s="12"/>
      <c r="BO1570" s="12"/>
      <c r="BP1570" s="12"/>
      <c r="BQ1570" s="48"/>
      <c r="BR1570" s="49"/>
      <c r="BS1570" s="13"/>
      <c r="BT1570" s="12"/>
      <c r="BV1570" s="14"/>
      <c r="BW1570" s="50"/>
      <c r="BX1570" s="54"/>
      <c r="BY1570" s="14"/>
      <c r="BZ1570" s="14"/>
      <c r="CA1570" s="14"/>
      <c r="CB1570" s="14"/>
      <c r="CC1570" s="14"/>
      <c r="CD1570" s="14"/>
      <c r="CE1570" s="14"/>
      <c r="CF1570" s="15"/>
      <c r="CG1570" s="14"/>
      <c r="CH1570" s="14"/>
      <c r="CI1570" s="50"/>
      <c r="CJ1570" s="54"/>
      <c r="CK1570" s="14"/>
      <c r="CL1570" s="14"/>
      <c r="CM1570" s="14"/>
      <c r="CN1570" s="14"/>
      <c r="CO1570" s="14"/>
      <c r="CP1570" s="14"/>
      <c r="CQ1570" s="14"/>
      <c r="CR1570" s="14"/>
      <c r="CS1570" s="14"/>
      <c r="CT1570" s="14"/>
      <c r="CU1570" s="16"/>
      <c r="CV1570" s="14"/>
      <c r="CW1570" s="50"/>
      <c r="CX1570" s="17"/>
    </row>
    <row r="1571" spans="4:102" x14ac:dyDescent="0.25"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43"/>
      <c r="Q1571" s="11"/>
      <c r="R1571" s="11"/>
      <c r="S1571" s="11"/>
      <c r="T1571" s="11"/>
      <c r="U1571" s="11"/>
      <c r="V1571" s="11"/>
      <c r="W1571" s="11"/>
      <c r="X1571" s="12"/>
      <c r="Y1571" s="12"/>
      <c r="Z1571" s="12"/>
      <c r="AA1571" s="44"/>
      <c r="AB1571" s="45"/>
      <c r="AC1571" s="12"/>
      <c r="AD1571" s="12"/>
      <c r="AE1571" s="12"/>
      <c r="AF1571" s="12"/>
      <c r="AG1571" s="44"/>
      <c r="AH1571" s="45"/>
      <c r="AI1571" s="12"/>
      <c r="AJ1571" s="12"/>
      <c r="AK1571" s="12"/>
      <c r="AL1571" s="12"/>
      <c r="AM1571" s="44"/>
      <c r="AN1571" s="45"/>
      <c r="AO1571" s="12"/>
      <c r="AP1571" s="12"/>
      <c r="AQ1571" s="12"/>
      <c r="AR1571" s="12"/>
      <c r="AS1571" s="44"/>
      <c r="AT1571" s="45"/>
      <c r="AU1571" s="12"/>
      <c r="AV1571" s="12"/>
      <c r="AW1571" s="12"/>
      <c r="AX1571" s="12"/>
      <c r="AY1571" s="44"/>
      <c r="AZ1571" s="45"/>
      <c r="BA1571" s="12"/>
      <c r="BB1571" s="12"/>
      <c r="BC1571" s="12"/>
      <c r="BD1571" s="12"/>
      <c r="BE1571" s="44"/>
      <c r="BF1571" s="45"/>
      <c r="BG1571" s="12"/>
      <c r="BH1571" s="12"/>
      <c r="BI1571" s="12"/>
      <c r="BJ1571" s="12"/>
      <c r="BK1571" s="44"/>
      <c r="BL1571" s="45"/>
      <c r="BM1571" s="12"/>
      <c r="BN1571" s="12"/>
      <c r="BO1571" s="12"/>
      <c r="BP1571" s="12"/>
      <c r="BQ1571" s="48"/>
      <c r="BR1571" s="49"/>
      <c r="BS1571" s="13"/>
      <c r="BT1571" s="12"/>
      <c r="BV1571" s="14"/>
      <c r="BW1571" s="50"/>
      <c r="BX1571" s="54"/>
      <c r="BY1571" s="14"/>
      <c r="BZ1571" s="14"/>
      <c r="CA1571" s="14"/>
      <c r="CB1571" s="14"/>
      <c r="CC1571" s="14"/>
      <c r="CD1571" s="14"/>
      <c r="CE1571" s="14"/>
      <c r="CF1571" s="15"/>
      <c r="CG1571" s="14"/>
      <c r="CH1571" s="14"/>
      <c r="CI1571" s="50"/>
      <c r="CJ1571" s="54"/>
      <c r="CK1571" s="14"/>
      <c r="CL1571" s="14"/>
      <c r="CM1571" s="14"/>
      <c r="CN1571" s="14"/>
      <c r="CO1571" s="14"/>
      <c r="CP1571" s="14"/>
      <c r="CQ1571" s="14"/>
      <c r="CR1571" s="14"/>
      <c r="CS1571" s="14"/>
      <c r="CT1571" s="14"/>
      <c r="CU1571" s="16"/>
      <c r="CV1571" s="14"/>
      <c r="CW1571" s="50"/>
      <c r="CX1571" s="17"/>
    </row>
    <row r="1572" spans="4:102" x14ac:dyDescent="0.25"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43"/>
      <c r="Q1572" s="11"/>
      <c r="R1572" s="11"/>
      <c r="S1572" s="11"/>
      <c r="T1572" s="11"/>
      <c r="U1572" s="11"/>
      <c r="V1572" s="11"/>
      <c r="W1572" s="11"/>
      <c r="X1572" s="12"/>
      <c r="Y1572" s="12"/>
      <c r="Z1572" s="12"/>
      <c r="AA1572" s="44"/>
      <c r="AB1572" s="45"/>
      <c r="AC1572" s="12"/>
      <c r="AD1572" s="12"/>
      <c r="AE1572" s="12"/>
      <c r="AF1572" s="12"/>
      <c r="AG1572" s="44"/>
      <c r="AH1572" s="45"/>
      <c r="AI1572" s="12"/>
      <c r="AJ1572" s="12"/>
      <c r="AK1572" s="12"/>
      <c r="AL1572" s="12"/>
      <c r="AM1572" s="44"/>
      <c r="AN1572" s="45"/>
      <c r="AO1572" s="12"/>
      <c r="AP1572" s="12"/>
      <c r="AQ1572" s="12"/>
      <c r="AR1572" s="12"/>
      <c r="AS1572" s="44"/>
      <c r="AT1572" s="45"/>
      <c r="AU1572" s="12"/>
      <c r="AV1572" s="12"/>
      <c r="AW1572" s="12"/>
      <c r="AX1572" s="12"/>
      <c r="AY1572" s="44"/>
      <c r="AZ1572" s="45"/>
      <c r="BA1572" s="12"/>
      <c r="BB1572" s="12"/>
      <c r="BC1572" s="12"/>
      <c r="BD1572" s="12"/>
      <c r="BE1572" s="44"/>
      <c r="BF1572" s="45"/>
      <c r="BG1572" s="12"/>
      <c r="BH1572" s="12"/>
      <c r="BI1572" s="12"/>
      <c r="BJ1572" s="12"/>
      <c r="BK1572" s="44"/>
      <c r="BL1572" s="45"/>
      <c r="BM1572" s="12"/>
      <c r="BN1572" s="12"/>
      <c r="BO1572" s="12"/>
      <c r="BP1572" s="12"/>
      <c r="BQ1572" s="48"/>
      <c r="BR1572" s="49"/>
      <c r="BS1572" s="13"/>
      <c r="BT1572" s="12"/>
      <c r="BV1572" s="14"/>
      <c r="BW1572" s="50"/>
      <c r="BX1572" s="54"/>
      <c r="BY1572" s="14"/>
      <c r="BZ1572" s="14"/>
      <c r="CA1572" s="14"/>
      <c r="CB1572" s="14"/>
      <c r="CC1572" s="14"/>
      <c r="CD1572" s="14"/>
      <c r="CE1572" s="14"/>
      <c r="CF1572" s="15"/>
      <c r="CG1572" s="14"/>
      <c r="CH1572" s="14"/>
      <c r="CI1572" s="50"/>
      <c r="CJ1572" s="54"/>
      <c r="CK1572" s="14"/>
      <c r="CL1572" s="14"/>
      <c r="CM1572" s="14"/>
      <c r="CN1572" s="14"/>
      <c r="CO1572" s="14"/>
      <c r="CP1572" s="14"/>
      <c r="CQ1572" s="14"/>
      <c r="CR1572" s="14"/>
      <c r="CS1572" s="14"/>
      <c r="CT1572" s="14"/>
      <c r="CU1572" s="16"/>
      <c r="CV1572" s="14"/>
      <c r="CW1572" s="50"/>
      <c r="CX1572" s="17"/>
    </row>
    <row r="1573" spans="4:102" x14ac:dyDescent="0.25"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43"/>
      <c r="Q1573" s="11"/>
      <c r="R1573" s="11"/>
      <c r="S1573" s="11"/>
      <c r="T1573" s="11"/>
      <c r="U1573" s="11"/>
      <c r="V1573" s="11"/>
      <c r="W1573" s="11"/>
      <c r="X1573" s="12"/>
      <c r="Y1573" s="12"/>
      <c r="Z1573" s="12"/>
      <c r="AA1573" s="44"/>
      <c r="AB1573" s="45"/>
      <c r="AC1573" s="12"/>
      <c r="AD1573" s="12"/>
      <c r="AE1573" s="12"/>
      <c r="AF1573" s="12"/>
      <c r="AG1573" s="44"/>
      <c r="AH1573" s="45"/>
      <c r="AI1573" s="12"/>
      <c r="AJ1573" s="12"/>
      <c r="AK1573" s="12"/>
      <c r="AL1573" s="12"/>
      <c r="AM1573" s="44"/>
      <c r="AN1573" s="45"/>
      <c r="AO1573" s="12"/>
      <c r="AP1573" s="12"/>
      <c r="AQ1573" s="12"/>
      <c r="AR1573" s="12"/>
      <c r="AS1573" s="44"/>
      <c r="AT1573" s="45"/>
      <c r="AU1573" s="12"/>
      <c r="AV1573" s="12"/>
      <c r="AW1573" s="12"/>
      <c r="AX1573" s="12"/>
      <c r="AY1573" s="44"/>
      <c r="AZ1573" s="45"/>
      <c r="BA1573" s="12"/>
      <c r="BB1573" s="12"/>
      <c r="BC1573" s="12"/>
      <c r="BD1573" s="12"/>
      <c r="BE1573" s="44"/>
      <c r="BF1573" s="45"/>
      <c r="BG1573" s="12"/>
      <c r="BH1573" s="12"/>
      <c r="BI1573" s="12"/>
      <c r="BJ1573" s="12"/>
      <c r="BK1573" s="44"/>
      <c r="BL1573" s="45"/>
      <c r="BM1573" s="12"/>
      <c r="BN1573" s="12"/>
      <c r="BO1573" s="12"/>
      <c r="BP1573" s="12"/>
      <c r="BQ1573" s="48"/>
      <c r="BR1573" s="49"/>
      <c r="BS1573" s="13"/>
      <c r="BT1573" s="12"/>
      <c r="BV1573" s="14"/>
      <c r="BW1573" s="50"/>
      <c r="BX1573" s="54"/>
      <c r="BY1573" s="14"/>
      <c r="BZ1573" s="14"/>
      <c r="CA1573" s="14"/>
      <c r="CB1573" s="14"/>
      <c r="CC1573" s="14"/>
      <c r="CD1573" s="14"/>
      <c r="CE1573" s="14"/>
      <c r="CF1573" s="15"/>
      <c r="CG1573" s="14"/>
      <c r="CH1573" s="14"/>
      <c r="CI1573" s="50"/>
      <c r="CJ1573" s="54"/>
      <c r="CK1573" s="14"/>
      <c r="CL1573" s="14"/>
      <c r="CM1573" s="14"/>
      <c r="CN1573" s="14"/>
      <c r="CO1573" s="14"/>
      <c r="CP1573" s="14"/>
      <c r="CQ1573" s="14"/>
      <c r="CR1573" s="14"/>
      <c r="CS1573" s="14"/>
      <c r="CT1573" s="14"/>
      <c r="CU1573" s="16"/>
      <c r="CV1573" s="14"/>
      <c r="CW1573" s="50"/>
      <c r="CX1573" s="17"/>
    </row>
    <row r="1574" spans="4:102" x14ac:dyDescent="0.25"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43"/>
      <c r="Q1574" s="11"/>
      <c r="R1574" s="11"/>
      <c r="S1574" s="11"/>
      <c r="T1574" s="11"/>
      <c r="U1574" s="11"/>
      <c r="V1574" s="11"/>
      <c r="W1574" s="11"/>
      <c r="X1574" s="12"/>
      <c r="Y1574" s="12"/>
      <c r="Z1574" s="12"/>
      <c r="AA1574" s="44"/>
      <c r="AB1574" s="45"/>
      <c r="AC1574" s="12"/>
      <c r="AD1574" s="12"/>
      <c r="AE1574" s="12"/>
      <c r="AF1574" s="12"/>
      <c r="AG1574" s="44"/>
      <c r="AH1574" s="45"/>
      <c r="AI1574" s="12"/>
      <c r="AJ1574" s="12"/>
      <c r="AK1574" s="12"/>
      <c r="AL1574" s="12"/>
      <c r="AM1574" s="44"/>
      <c r="AN1574" s="45"/>
      <c r="AO1574" s="12"/>
      <c r="AP1574" s="12"/>
      <c r="AQ1574" s="12"/>
      <c r="AR1574" s="12"/>
      <c r="AS1574" s="44"/>
      <c r="AT1574" s="45"/>
      <c r="AU1574" s="12"/>
      <c r="AV1574" s="12"/>
      <c r="AW1574" s="12"/>
      <c r="AX1574" s="12"/>
      <c r="AY1574" s="44"/>
      <c r="AZ1574" s="45"/>
      <c r="BA1574" s="12"/>
      <c r="BB1574" s="12"/>
      <c r="BC1574" s="12"/>
      <c r="BD1574" s="12"/>
      <c r="BE1574" s="44"/>
      <c r="BF1574" s="45"/>
      <c r="BG1574" s="12"/>
      <c r="BH1574" s="12"/>
      <c r="BI1574" s="12"/>
      <c r="BJ1574" s="12"/>
      <c r="BK1574" s="44"/>
      <c r="BL1574" s="45"/>
      <c r="BM1574" s="12"/>
      <c r="BN1574" s="12"/>
      <c r="BO1574" s="12"/>
      <c r="BP1574" s="12"/>
      <c r="BQ1574" s="48"/>
      <c r="BR1574" s="49"/>
      <c r="BS1574" s="13"/>
      <c r="BT1574" s="12"/>
      <c r="BV1574" s="14"/>
      <c r="BW1574" s="50"/>
      <c r="BX1574" s="54"/>
      <c r="BY1574" s="14"/>
      <c r="BZ1574" s="14"/>
      <c r="CA1574" s="14"/>
      <c r="CB1574" s="14"/>
      <c r="CC1574" s="14"/>
      <c r="CD1574" s="14"/>
      <c r="CE1574" s="14"/>
      <c r="CF1574" s="15"/>
      <c r="CG1574" s="14"/>
      <c r="CH1574" s="14"/>
      <c r="CI1574" s="50"/>
      <c r="CJ1574" s="54"/>
      <c r="CK1574" s="14"/>
      <c r="CL1574" s="14"/>
      <c r="CM1574" s="14"/>
      <c r="CN1574" s="14"/>
      <c r="CO1574" s="14"/>
      <c r="CP1574" s="14"/>
      <c r="CQ1574" s="14"/>
      <c r="CR1574" s="14"/>
      <c r="CS1574" s="14"/>
      <c r="CT1574" s="14"/>
      <c r="CU1574" s="16"/>
      <c r="CV1574" s="14"/>
      <c r="CW1574" s="50"/>
      <c r="CX1574" s="17"/>
    </row>
    <row r="1575" spans="4:102" x14ac:dyDescent="0.25"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43"/>
      <c r="Q1575" s="11"/>
      <c r="R1575" s="11"/>
      <c r="S1575" s="11"/>
      <c r="T1575" s="11"/>
      <c r="U1575" s="11"/>
      <c r="V1575" s="11"/>
      <c r="W1575" s="11"/>
      <c r="X1575" s="12"/>
      <c r="Y1575" s="12"/>
      <c r="Z1575" s="12"/>
      <c r="AA1575" s="44"/>
      <c r="AB1575" s="45"/>
      <c r="AC1575" s="12"/>
      <c r="AD1575" s="12"/>
      <c r="AE1575" s="12"/>
      <c r="AF1575" s="12"/>
      <c r="AG1575" s="44"/>
      <c r="AH1575" s="45"/>
      <c r="AI1575" s="12"/>
      <c r="AJ1575" s="12"/>
      <c r="AK1575" s="12"/>
      <c r="AL1575" s="12"/>
      <c r="AM1575" s="44"/>
      <c r="AN1575" s="45"/>
      <c r="AO1575" s="12"/>
      <c r="AP1575" s="12"/>
      <c r="AQ1575" s="12"/>
      <c r="AR1575" s="12"/>
      <c r="AS1575" s="44"/>
      <c r="AT1575" s="45"/>
      <c r="AU1575" s="12"/>
      <c r="AV1575" s="12"/>
      <c r="AW1575" s="12"/>
      <c r="AX1575" s="12"/>
      <c r="AY1575" s="44"/>
      <c r="AZ1575" s="45"/>
      <c r="BA1575" s="12"/>
      <c r="BB1575" s="12"/>
      <c r="BC1575" s="12"/>
      <c r="BD1575" s="12"/>
      <c r="BE1575" s="44"/>
      <c r="BF1575" s="45"/>
      <c r="BG1575" s="12"/>
      <c r="BH1575" s="12"/>
      <c r="BI1575" s="12"/>
      <c r="BJ1575" s="12"/>
      <c r="BK1575" s="44"/>
      <c r="BL1575" s="45"/>
      <c r="BM1575" s="12"/>
      <c r="BN1575" s="12"/>
      <c r="BO1575" s="12"/>
      <c r="BP1575" s="12"/>
      <c r="BQ1575" s="48"/>
      <c r="BR1575" s="49"/>
      <c r="BS1575" s="13"/>
      <c r="BT1575" s="12"/>
      <c r="BV1575" s="14"/>
      <c r="BW1575" s="50"/>
      <c r="BX1575" s="54"/>
      <c r="BY1575" s="14"/>
      <c r="BZ1575" s="14"/>
      <c r="CA1575" s="14"/>
      <c r="CB1575" s="14"/>
      <c r="CC1575" s="14"/>
      <c r="CD1575" s="14"/>
      <c r="CE1575" s="14"/>
      <c r="CF1575" s="15"/>
      <c r="CG1575" s="14"/>
      <c r="CH1575" s="14"/>
      <c r="CI1575" s="50"/>
      <c r="CJ1575" s="54"/>
      <c r="CK1575" s="14"/>
      <c r="CL1575" s="14"/>
      <c r="CM1575" s="14"/>
      <c r="CN1575" s="14"/>
      <c r="CO1575" s="14"/>
      <c r="CP1575" s="14"/>
      <c r="CQ1575" s="14"/>
      <c r="CR1575" s="14"/>
      <c r="CS1575" s="14"/>
      <c r="CT1575" s="14"/>
      <c r="CU1575" s="16"/>
      <c r="CV1575" s="14"/>
      <c r="CW1575" s="50"/>
      <c r="CX1575" s="17"/>
    </row>
    <row r="1576" spans="4:102" x14ac:dyDescent="0.25"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43"/>
      <c r="Q1576" s="11"/>
      <c r="R1576" s="11"/>
      <c r="S1576" s="11"/>
      <c r="T1576" s="11"/>
      <c r="U1576" s="11"/>
      <c r="V1576" s="11"/>
      <c r="W1576" s="11"/>
      <c r="X1576" s="12"/>
      <c r="Y1576" s="12"/>
      <c r="Z1576" s="12"/>
      <c r="AA1576" s="44"/>
      <c r="AB1576" s="45"/>
      <c r="AC1576" s="12"/>
      <c r="AD1576" s="12"/>
      <c r="AE1576" s="12"/>
      <c r="AF1576" s="12"/>
      <c r="AG1576" s="44"/>
      <c r="AH1576" s="45"/>
      <c r="AI1576" s="12"/>
      <c r="AJ1576" s="12"/>
      <c r="AK1576" s="12"/>
      <c r="AL1576" s="12"/>
      <c r="AM1576" s="44"/>
      <c r="AN1576" s="45"/>
      <c r="AO1576" s="12"/>
      <c r="AP1576" s="12"/>
      <c r="AQ1576" s="12"/>
      <c r="AR1576" s="12"/>
      <c r="AS1576" s="44"/>
      <c r="AT1576" s="45"/>
      <c r="AU1576" s="12"/>
      <c r="AV1576" s="12"/>
      <c r="AW1576" s="12"/>
      <c r="AX1576" s="12"/>
      <c r="AY1576" s="44"/>
      <c r="AZ1576" s="45"/>
      <c r="BA1576" s="12"/>
      <c r="BB1576" s="12"/>
      <c r="BC1576" s="12"/>
      <c r="BD1576" s="12"/>
      <c r="BE1576" s="44"/>
      <c r="BF1576" s="45"/>
      <c r="BG1576" s="12"/>
      <c r="BH1576" s="12"/>
      <c r="BI1576" s="12"/>
      <c r="BJ1576" s="12"/>
      <c r="BK1576" s="44"/>
      <c r="BL1576" s="45"/>
      <c r="BM1576" s="12"/>
      <c r="BN1576" s="12"/>
      <c r="BO1576" s="12"/>
      <c r="BP1576" s="12"/>
      <c r="BQ1576" s="48"/>
      <c r="BR1576" s="49"/>
      <c r="BS1576" s="13"/>
      <c r="BT1576" s="12"/>
      <c r="BV1576" s="14"/>
      <c r="BW1576" s="50"/>
      <c r="BX1576" s="54"/>
      <c r="BY1576" s="14"/>
      <c r="BZ1576" s="14"/>
      <c r="CA1576" s="14"/>
      <c r="CB1576" s="14"/>
      <c r="CC1576" s="14"/>
      <c r="CD1576" s="14"/>
      <c r="CE1576" s="14"/>
      <c r="CF1576" s="15"/>
      <c r="CG1576" s="14"/>
      <c r="CH1576" s="14"/>
      <c r="CI1576" s="50"/>
      <c r="CJ1576" s="54"/>
      <c r="CK1576" s="14"/>
      <c r="CL1576" s="14"/>
      <c r="CM1576" s="14"/>
      <c r="CN1576" s="14"/>
      <c r="CO1576" s="14"/>
      <c r="CP1576" s="14"/>
      <c r="CQ1576" s="14"/>
      <c r="CR1576" s="14"/>
      <c r="CS1576" s="14"/>
      <c r="CT1576" s="14"/>
      <c r="CU1576" s="16"/>
      <c r="CV1576" s="14"/>
      <c r="CW1576" s="50"/>
      <c r="CX1576" s="17"/>
    </row>
    <row r="1577" spans="4:102" x14ac:dyDescent="0.25"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43"/>
      <c r="Q1577" s="11"/>
      <c r="R1577" s="11"/>
      <c r="S1577" s="11"/>
      <c r="T1577" s="11"/>
      <c r="U1577" s="11"/>
      <c r="V1577" s="11"/>
      <c r="W1577" s="11"/>
      <c r="X1577" s="12"/>
      <c r="Y1577" s="12"/>
      <c r="Z1577" s="12"/>
      <c r="AA1577" s="44"/>
      <c r="AB1577" s="45"/>
      <c r="AC1577" s="12"/>
      <c r="AD1577" s="12"/>
      <c r="AE1577" s="12"/>
      <c r="AF1577" s="12"/>
      <c r="AG1577" s="44"/>
      <c r="AH1577" s="45"/>
      <c r="AI1577" s="12"/>
      <c r="AJ1577" s="12"/>
      <c r="AK1577" s="12"/>
      <c r="AL1577" s="12"/>
      <c r="AM1577" s="44"/>
      <c r="AN1577" s="45"/>
      <c r="AO1577" s="12"/>
      <c r="AP1577" s="12"/>
      <c r="AQ1577" s="12"/>
      <c r="AR1577" s="12"/>
      <c r="AS1577" s="44"/>
      <c r="AT1577" s="45"/>
      <c r="AU1577" s="12"/>
      <c r="AV1577" s="12"/>
      <c r="AW1577" s="12"/>
      <c r="AX1577" s="12"/>
      <c r="AY1577" s="44"/>
      <c r="AZ1577" s="45"/>
      <c r="BA1577" s="12"/>
      <c r="BB1577" s="12"/>
      <c r="BC1577" s="12"/>
      <c r="BD1577" s="12"/>
      <c r="BE1577" s="44"/>
      <c r="BF1577" s="45"/>
      <c r="BG1577" s="12"/>
      <c r="BH1577" s="12"/>
      <c r="BI1577" s="12"/>
      <c r="BJ1577" s="12"/>
      <c r="BK1577" s="44"/>
      <c r="BL1577" s="45"/>
      <c r="BM1577" s="12"/>
      <c r="BN1577" s="12"/>
      <c r="BO1577" s="12"/>
      <c r="BP1577" s="12"/>
      <c r="BQ1577" s="48"/>
      <c r="BR1577" s="49"/>
      <c r="BS1577" s="13"/>
      <c r="BT1577" s="12"/>
      <c r="BV1577" s="14"/>
      <c r="BW1577" s="50"/>
      <c r="BX1577" s="54"/>
      <c r="BY1577" s="14"/>
      <c r="BZ1577" s="14"/>
      <c r="CA1577" s="14"/>
      <c r="CB1577" s="14"/>
      <c r="CC1577" s="14"/>
      <c r="CD1577" s="14"/>
      <c r="CE1577" s="14"/>
      <c r="CF1577" s="15"/>
      <c r="CG1577" s="14"/>
      <c r="CH1577" s="14"/>
      <c r="CI1577" s="50"/>
      <c r="CJ1577" s="54"/>
      <c r="CK1577" s="14"/>
      <c r="CL1577" s="14"/>
      <c r="CM1577" s="14"/>
      <c r="CN1577" s="14"/>
      <c r="CO1577" s="14"/>
      <c r="CP1577" s="14"/>
      <c r="CQ1577" s="14"/>
      <c r="CR1577" s="14"/>
      <c r="CS1577" s="14"/>
      <c r="CT1577" s="14"/>
      <c r="CU1577" s="16"/>
      <c r="CV1577" s="14"/>
      <c r="CW1577" s="50"/>
      <c r="CX1577" s="17"/>
    </row>
    <row r="1578" spans="4:102" x14ac:dyDescent="0.25"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43"/>
      <c r="Q1578" s="11"/>
      <c r="R1578" s="11"/>
      <c r="S1578" s="11"/>
      <c r="T1578" s="11"/>
      <c r="U1578" s="11"/>
      <c r="V1578" s="11"/>
      <c r="W1578" s="11"/>
      <c r="X1578" s="12"/>
      <c r="Y1578" s="12"/>
      <c r="Z1578" s="12"/>
      <c r="AA1578" s="44"/>
      <c r="AB1578" s="45"/>
      <c r="AC1578" s="12"/>
      <c r="AD1578" s="12"/>
      <c r="AE1578" s="12"/>
      <c r="AF1578" s="12"/>
      <c r="AG1578" s="44"/>
      <c r="AH1578" s="45"/>
      <c r="AI1578" s="12"/>
      <c r="AJ1578" s="12"/>
      <c r="AK1578" s="12"/>
      <c r="AL1578" s="12"/>
      <c r="AM1578" s="44"/>
      <c r="AN1578" s="45"/>
      <c r="AO1578" s="12"/>
      <c r="AP1578" s="12"/>
      <c r="AQ1578" s="12"/>
      <c r="AR1578" s="12"/>
      <c r="AS1578" s="44"/>
      <c r="AT1578" s="45"/>
      <c r="AU1578" s="12"/>
      <c r="AV1578" s="12"/>
      <c r="AW1578" s="12"/>
      <c r="AX1578" s="12"/>
      <c r="AY1578" s="44"/>
      <c r="AZ1578" s="45"/>
      <c r="BA1578" s="12"/>
      <c r="BB1578" s="12"/>
      <c r="BC1578" s="12"/>
      <c r="BD1578" s="12"/>
      <c r="BE1578" s="44"/>
      <c r="BF1578" s="45"/>
      <c r="BG1578" s="12"/>
      <c r="BH1578" s="12"/>
      <c r="BI1578" s="12"/>
      <c r="BJ1578" s="12"/>
      <c r="BK1578" s="44"/>
      <c r="BL1578" s="45"/>
      <c r="BM1578" s="12"/>
      <c r="BN1578" s="12"/>
      <c r="BO1578" s="12"/>
      <c r="BP1578" s="12"/>
      <c r="BQ1578" s="48"/>
      <c r="BR1578" s="49"/>
      <c r="BS1578" s="13"/>
      <c r="BT1578" s="12"/>
      <c r="BV1578" s="14"/>
      <c r="BW1578" s="50"/>
      <c r="BX1578" s="54"/>
      <c r="BY1578" s="14"/>
      <c r="BZ1578" s="14"/>
      <c r="CA1578" s="14"/>
      <c r="CB1578" s="14"/>
      <c r="CC1578" s="14"/>
      <c r="CD1578" s="14"/>
      <c r="CE1578" s="14"/>
      <c r="CF1578" s="15"/>
      <c r="CG1578" s="14"/>
      <c r="CH1578" s="14"/>
      <c r="CI1578" s="50"/>
      <c r="CJ1578" s="54"/>
      <c r="CK1578" s="14"/>
      <c r="CL1578" s="14"/>
      <c r="CM1578" s="14"/>
      <c r="CN1578" s="14"/>
      <c r="CO1578" s="14"/>
      <c r="CP1578" s="14"/>
      <c r="CQ1578" s="14"/>
      <c r="CR1578" s="14"/>
      <c r="CS1578" s="14"/>
      <c r="CT1578" s="14"/>
      <c r="CU1578" s="16"/>
      <c r="CV1578" s="14"/>
      <c r="CW1578" s="50"/>
      <c r="CX1578" s="17"/>
    </row>
    <row r="1579" spans="4:102" x14ac:dyDescent="0.25"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43"/>
      <c r="Q1579" s="11"/>
      <c r="R1579" s="11"/>
      <c r="S1579" s="11"/>
      <c r="T1579" s="11"/>
      <c r="U1579" s="11"/>
      <c r="V1579" s="11"/>
      <c r="W1579" s="11"/>
      <c r="X1579" s="12"/>
      <c r="Y1579" s="12"/>
      <c r="Z1579" s="12"/>
      <c r="AA1579" s="44"/>
      <c r="AB1579" s="45"/>
      <c r="AC1579" s="12"/>
      <c r="AD1579" s="12"/>
      <c r="AE1579" s="12"/>
      <c r="AF1579" s="12"/>
      <c r="AG1579" s="44"/>
      <c r="AH1579" s="45"/>
      <c r="AI1579" s="12"/>
      <c r="AJ1579" s="12"/>
      <c r="AK1579" s="12"/>
      <c r="AL1579" s="12"/>
      <c r="AM1579" s="44"/>
      <c r="AN1579" s="45"/>
      <c r="AO1579" s="12"/>
      <c r="AP1579" s="12"/>
      <c r="AQ1579" s="12"/>
      <c r="AR1579" s="12"/>
      <c r="AS1579" s="44"/>
      <c r="AT1579" s="45"/>
      <c r="AU1579" s="12"/>
      <c r="AV1579" s="12"/>
      <c r="AW1579" s="12"/>
      <c r="AX1579" s="12"/>
      <c r="AY1579" s="44"/>
      <c r="AZ1579" s="45"/>
      <c r="BA1579" s="12"/>
      <c r="BB1579" s="12"/>
      <c r="BC1579" s="12"/>
      <c r="BD1579" s="12"/>
      <c r="BE1579" s="44"/>
      <c r="BF1579" s="45"/>
      <c r="BG1579" s="12"/>
      <c r="BH1579" s="12"/>
      <c r="BI1579" s="12"/>
      <c r="BJ1579" s="12"/>
      <c r="BK1579" s="44"/>
      <c r="BL1579" s="45"/>
      <c r="BM1579" s="12"/>
      <c r="BN1579" s="12"/>
      <c r="BO1579" s="12"/>
      <c r="BP1579" s="12"/>
      <c r="BQ1579" s="48"/>
      <c r="BR1579" s="49"/>
      <c r="BS1579" s="13"/>
      <c r="BT1579" s="12"/>
      <c r="BV1579" s="14"/>
      <c r="BW1579" s="50"/>
      <c r="BX1579" s="54"/>
      <c r="BY1579" s="14"/>
      <c r="BZ1579" s="14"/>
      <c r="CA1579" s="14"/>
      <c r="CB1579" s="14"/>
      <c r="CC1579" s="14"/>
      <c r="CD1579" s="14"/>
      <c r="CE1579" s="14"/>
      <c r="CF1579" s="15"/>
      <c r="CG1579" s="14"/>
      <c r="CH1579" s="14"/>
      <c r="CI1579" s="50"/>
      <c r="CJ1579" s="54"/>
      <c r="CK1579" s="14"/>
      <c r="CL1579" s="14"/>
      <c r="CM1579" s="14"/>
      <c r="CN1579" s="14"/>
      <c r="CO1579" s="14"/>
      <c r="CP1579" s="14"/>
      <c r="CQ1579" s="14"/>
      <c r="CR1579" s="14"/>
      <c r="CS1579" s="14"/>
      <c r="CT1579" s="14"/>
      <c r="CU1579" s="16"/>
      <c r="CV1579" s="14"/>
      <c r="CW1579" s="50"/>
      <c r="CX1579" s="17"/>
    </row>
    <row r="1580" spans="4:102" x14ac:dyDescent="0.25"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43"/>
      <c r="Q1580" s="11"/>
      <c r="R1580" s="11"/>
      <c r="S1580" s="11"/>
      <c r="T1580" s="11"/>
      <c r="U1580" s="11"/>
      <c r="V1580" s="11"/>
      <c r="W1580" s="11"/>
      <c r="X1580" s="12"/>
      <c r="Y1580" s="12"/>
      <c r="Z1580" s="12"/>
      <c r="AA1580" s="44"/>
      <c r="AB1580" s="45"/>
      <c r="AC1580" s="12"/>
      <c r="AD1580" s="12"/>
      <c r="AE1580" s="12"/>
      <c r="AF1580" s="12"/>
      <c r="AG1580" s="44"/>
      <c r="AH1580" s="45"/>
      <c r="AI1580" s="12"/>
      <c r="AJ1580" s="12"/>
      <c r="AK1580" s="12"/>
      <c r="AL1580" s="12"/>
      <c r="AM1580" s="44"/>
      <c r="AN1580" s="45"/>
      <c r="AO1580" s="12"/>
      <c r="AP1580" s="12"/>
      <c r="AQ1580" s="12"/>
      <c r="AR1580" s="12"/>
      <c r="AS1580" s="44"/>
      <c r="AT1580" s="45"/>
      <c r="AU1580" s="12"/>
      <c r="AV1580" s="12"/>
      <c r="AW1580" s="12"/>
      <c r="AX1580" s="12"/>
      <c r="AY1580" s="44"/>
      <c r="AZ1580" s="45"/>
      <c r="BA1580" s="12"/>
      <c r="BB1580" s="12"/>
      <c r="BC1580" s="12"/>
      <c r="BD1580" s="12"/>
      <c r="BE1580" s="44"/>
      <c r="BF1580" s="45"/>
      <c r="BG1580" s="12"/>
      <c r="BH1580" s="12"/>
      <c r="BI1580" s="12"/>
      <c r="BJ1580" s="12"/>
      <c r="BK1580" s="44"/>
      <c r="BL1580" s="45"/>
      <c r="BM1580" s="12"/>
      <c r="BN1580" s="12"/>
      <c r="BO1580" s="12"/>
      <c r="BP1580" s="12"/>
      <c r="BQ1580" s="48"/>
      <c r="BR1580" s="49"/>
      <c r="BS1580" s="13"/>
      <c r="BT1580" s="12"/>
      <c r="BV1580" s="14"/>
      <c r="BW1580" s="50"/>
      <c r="BX1580" s="54"/>
      <c r="BY1580" s="14"/>
      <c r="BZ1580" s="14"/>
      <c r="CA1580" s="14"/>
      <c r="CB1580" s="14"/>
      <c r="CC1580" s="14"/>
      <c r="CD1580" s="14"/>
      <c r="CE1580" s="14"/>
      <c r="CF1580" s="15"/>
      <c r="CG1580" s="14"/>
      <c r="CH1580" s="14"/>
      <c r="CI1580" s="50"/>
      <c r="CJ1580" s="54"/>
      <c r="CK1580" s="14"/>
      <c r="CL1580" s="14"/>
      <c r="CM1580" s="14"/>
      <c r="CN1580" s="14"/>
      <c r="CO1580" s="14"/>
      <c r="CP1580" s="14"/>
      <c r="CQ1580" s="14"/>
      <c r="CR1580" s="14"/>
      <c r="CS1580" s="14"/>
      <c r="CT1580" s="14"/>
      <c r="CU1580" s="16"/>
      <c r="CV1580" s="14"/>
      <c r="CW1580" s="50"/>
      <c r="CX1580" s="17"/>
    </row>
    <row r="1581" spans="4:102" x14ac:dyDescent="0.25"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43"/>
      <c r="Q1581" s="11"/>
      <c r="R1581" s="11"/>
      <c r="S1581" s="11"/>
      <c r="T1581" s="11"/>
      <c r="U1581" s="11"/>
      <c r="V1581" s="11"/>
      <c r="W1581" s="11"/>
      <c r="X1581" s="12"/>
      <c r="Y1581" s="12"/>
      <c r="Z1581" s="12"/>
      <c r="AA1581" s="44"/>
      <c r="AB1581" s="45"/>
      <c r="AC1581" s="12"/>
      <c r="AD1581" s="12"/>
      <c r="AE1581" s="12"/>
      <c r="AF1581" s="12"/>
      <c r="AG1581" s="44"/>
      <c r="AH1581" s="45"/>
      <c r="AI1581" s="12"/>
      <c r="AJ1581" s="12"/>
      <c r="AK1581" s="12"/>
      <c r="AL1581" s="12"/>
      <c r="AM1581" s="44"/>
      <c r="AN1581" s="45"/>
      <c r="AO1581" s="12"/>
      <c r="AP1581" s="12"/>
      <c r="AQ1581" s="12"/>
      <c r="AR1581" s="12"/>
      <c r="AS1581" s="44"/>
      <c r="AT1581" s="45"/>
      <c r="AU1581" s="12"/>
      <c r="AV1581" s="12"/>
      <c r="AW1581" s="12"/>
      <c r="AX1581" s="12"/>
      <c r="AY1581" s="44"/>
      <c r="AZ1581" s="45"/>
      <c r="BA1581" s="12"/>
      <c r="BB1581" s="12"/>
      <c r="BC1581" s="12"/>
      <c r="BD1581" s="12"/>
      <c r="BE1581" s="44"/>
      <c r="BF1581" s="45"/>
      <c r="BG1581" s="12"/>
      <c r="BH1581" s="12"/>
      <c r="BI1581" s="12"/>
      <c r="BJ1581" s="12"/>
      <c r="BK1581" s="44"/>
      <c r="BL1581" s="45"/>
      <c r="BM1581" s="12"/>
      <c r="BN1581" s="12"/>
      <c r="BO1581" s="12"/>
      <c r="BP1581" s="12"/>
      <c r="BQ1581" s="48"/>
      <c r="BR1581" s="49"/>
      <c r="BS1581" s="13"/>
      <c r="BT1581" s="12"/>
      <c r="BV1581" s="14"/>
      <c r="BW1581" s="50"/>
      <c r="BX1581" s="54"/>
      <c r="BY1581" s="14"/>
      <c r="BZ1581" s="14"/>
      <c r="CA1581" s="14"/>
      <c r="CB1581" s="14"/>
      <c r="CC1581" s="14"/>
      <c r="CD1581" s="14"/>
      <c r="CE1581" s="14"/>
      <c r="CF1581" s="15"/>
      <c r="CG1581" s="14"/>
      <c r="CH1581" s="14"/>
      <c r="CI1581" s="50"/>
      <c r="CJ1581" s="54"/>
      <c r="CK1581" s="14"/>
      <c r="CL1581" s="14"/>
      <c r="CM1581" s="14"/>
      <c r="CN1581" s="14"/>
      <c r="CO1581" s="14"/>
      <c r="CP1581" s="14"/>
      <c r="CQ1581" s="14"/>
      <c r="CR1581" s="14"/>
      <c r="CS1581" s="14"/>
      <c r="CT1581" s="14"/>
      <c r="CU1581" s="16"/>
      <c r="CV1581" s="14"/>
      <c r="CW1581" s="50"/>
      <c r="CX1581" s="17"/>
    </row>
    <row r="1582" spans="4:102" x14ac:dyDescent="0.25"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43"/>
      <c r="Q1582" s="11"/>
      <c r="R1582" s="11"/>
      <c r="S1582" s="11"/>
      <c r="T1582" s="11"/>
      <c r="U1582" s="11"/>
      <c r="V1582" s="11"/>
      <c r="W1582" s="11"/>
      <c r="X1582" s="12"/>
      <c r="Y1582" s="12"/>
      <c r="Z1582" s="12"/>
      <c r="AA1582" s="44"/>
      <c r="AB1582" s="45"/>
      <c r="AC1582" s="12"/>
      <c r="AD1582" s="12"/>
      <c r="AE1582" s="12"/>
      <c r="AF1582" s="12"/>
      <c r="AG1582" s="44"/>
      <c r="AH1582" s="45"/>
      <c r="AI1582" s="12"/>
      <c r="AJ1582" s="12"/>
      <c r="AK1582" s="12"/>
      <c r="AL1582" s="12"/>
      <c r="AM1582" s="44"/>
      <c r="AN1582" s="45"/>
      <c r="AO1582" s="12"/>
      <c r="AP1582" s="12"/>
      <c r="AQ1582" s="12"/>
      <c r="AR1582" s="12"/>
      <c r="AS1582" s="44"/>
      <c r="AT1582" s="45"/>
      <c r="AU1582" s="12"/>
      <c r="AV1582" s="12"/>
      <c r="AW1582" s="12"/>
      <c r="AX1582" s="12"/>
      <c r="AY1582" s="44"/>
      <c r="AZ1582" s="45"/>
      <c r="BA1582" s="12"/>
      <c r="BB1582" s="12"/>
      <c r="BC1582" s="12"/>
      <c r="BD1582" s="12"/>
      <c r="BE1582" s="44"/>
      <c r="BF1582" s="45"/>
      <c r="BG1582" s="12"/>
      <c r="BH1582" s="12"/>
      <c r="BI1582" s="12"/>
      <c r="BJ1582" s="12"/>
      <c r="BK1582" s="44"/>
      <c r="BL1582" s="45"/>
      <c r="BM1582" s="12"/>
      <c r="BN1582" s="12"/>
      <c r="BO1582" s="12"/>
      <c r="BP1582" s="12"/>
      <c r="BQ1582" s="48"/>
      <c r="BR1582" s="49"/>
      <c r="BS1582" s="13"/>
      <c r="BT1582" s="12"/>
      <c r="BV1582" s="14"/>
      <c r="BW1582" s="50"/>
      <c r="BX1582" s="54"/>
      <c r="BY1582" s="14"/>
      <c r="BZ1582" s="14"/>
      <c r="CA1582" s="14"/>
      <c r="CB1582" s="14"/>
      <c r="CC1582" s="14"/>
      <c r="CD1582" s="14"/>
      <c r="CE1582" s="14"/>
      <c r="CF1582" s="15"/>
      <c r="CG1582" s="14"/>
      <c r="CH1582" s="14"/>
      <c r="CI1582" s="50"/>
      <c r="CJ1582" s="54"/>
      <c r="CK1582" s="14"/>
      <c r="CL1582" s="14"/>
      <c r="CM1582" s="14"/>
      <c r="CN1582" s="14"/>
      <c r="CO1582" s="14"/>
      <c r="CP1582" s="14"/>
      <c r="CQ1582" s="14"/>
      <c r="CR1582" s="14"/>
      <c r="CS1582" s="14"/>
      <c r="CT1582" s="14"/>
      <c r="CU1582" s="16"/>
      <c r="CV1582" s="14"/>
      <c r="CW1582" s="50"/>
      <c r="CX1582" s="17"/>
    </row>
    <row r="1583" spans="4:102" x14ac:dyDescent="0.25"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43"/>
      <c r="Q1583" s="11"/>
      <c r="R1583" s="11"/>
      <c r="S1583" s="11"/>
      <c r="T1583" s="11"/>
      <c r="U1583" s="11"/>
      <c r="V1583" s="11"/>
      <c r="W1583" s="11"/>
      <c r="X1583" s="12"/>
      <c r="Y1583" s="12"/>
      <c r="Z1583" s="12"/>
      <c r="AA1583" s="44"/>
      <c r="AB1583" s="45"/>
      <c r="AC1583" s="12"/>
      <c r="AD1583" s="12"/>
      <c r="AE1583" s="12"/>
      <c r="AF1583" s="12"/>
      <c r="AG1583" s="44"/>
      <c r="AH1583" s="45"/>
      <c r="AI1583" s="12"/>
      <c r="AJ1583" s="12"/>
      <c r="AK1583" s="12"/>
      <c r="AL1583" s="12"/>
      <c r="AM1583" s="44"/>
      <c r="AN1583" s="45"/>
      <c r="AO1583" s="12"/>
      <c r="AP1583" s="12"/>
      <c r="AQ1583" s="12"/>
      <c r="AR1583" s="12"/>
      <c r="AS1583" s="44"/>
      <c r="AT1583" s="45"/>
      <c r="AU1583" s="12"/>
      <c r="AV1583" s="12"/>
      <c r="AW1583" s="12"/>
      <c r="AX1583" s="12"/>
      <c r="AY1583" s="44"/>
      <c r="AZ1583" s="45"/>
      <c r="BA1583" s="12"/>
      <c r="BB1583" s="12"/>
      <c r="BC1583" s="12"/>
      <c r="BD1583" s="12"/>
      <c r="BE1583" s="44"/>
      <c r="BF1583" s="45"/>
      <c r="BG1583" s="12"/>
      <c r="BH1583" s="12"/>
      <c r="BI1583" s="12"/>
      <c r="BJ1583" s="12"/>
      <c r="BK1583" s="44"/>
      <c r="BL1583" s="45"/>
      <c r="BM1583" s="12"/>
      <c r="BN1583" s="12"/>
      <c r="BO1583" s="12"/>
      <c r="BP1583" s="12"/>
      <c r="BQ1583" s="48"/>
      <c r="BR1583" s="49"/>
      <c r="BS1583" s="13"/>
      <c r="BT1583" s="12"/>
      <c r="BV1583" s="14"/>
      <c r="BW1583" s="50"/>
      <c r="BX1583" s="54"/>
      <c r="BY1583" s="14"/>
      <c r="BZ1583" s="14"/>
      <c r="CA1583" s="14"/>
      <c r="CB1583" s="14"/>
      <c r="CC1583" s="14"/>
      <c r="CD1583" s="14"/>
      <c r="CE1583" s="14"/>
      <c r="CF1583" s="15"/>
      <c r="CG1583" s="14"/>
      <c r="CH1583" s="14"/>
      <c r="CI1583" s="50"/>
      <c r="CJ1583" s="54"/>
      <c r="CK1583" s="14"/>
      <c r="CL1583" s="14"/>
      <c r="CM1583" s="14"/>
      <c r="CN1583" s="14"/>
      <c r="CO1583" s="14"/>
      <c r="CP1583" s="14"/>
      <c r="CQ1583" s="14"/>
      <c r="CR1583" s="14"/>
      <c r="CS1583" s="14"/>
      <c r="CT1583" s="14"/>
      <c r="CU1583" s="16"/>
      <c r="CV1583" s="14"/>
      <c r="CW1583" s="50"/>
      <c r="CX1583" s="17"/>
    </row>
    <row r="1584" spans="4:102" x14ac:dyDescent="0.25"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43"/>
      <c r="Q1584" s="11"/>
      <c r="R1584" s="11"/>
      <c r="S1584" s="11"/>
      <c r="T1584" s="11"/>
      <c r="U1584" s="11"/>
      <c r="V1584" s="11"/>
      <c r="W1584" s="11"/>
      <c r="X1584" s="12"/>
      <c r="Y1584" s="12"/>
      <c r="Z1584" s="12"/>
      <c r="AA1584" s="44"/>
      <c r="AB1584" s="45"/>
      <c r="AC1584" s="12"/>
      <c r="AD1584" s="12"/>
      <c r="AE1584" s="12"/>
      <c r="AF1584" s="12"/>
      <c r="AG1584" s="44"/>
      <c r="AH1584" s="45"/>
      <c r="AI1584" s="12"/>
      <c r="AJ1584" s="12"/>
      <c r="AK1584" s="12"/>
      <c r="AL1584" s="12"/>
      <c r="AM1584" s="44"/>
      <c r="AN1584" s="45"/>
      <c r="AO1584" s="12"/>
      <c r="AP1584" s="12"/>
      <c r="AQ1584" s="12"/>
      <c r="AR1584" s="12"/>
      <c r="AS1584" s="44"/>
      <c r="AT1584" s="45"/>
      <c r="AU1584" s="12"/>
      <c r="AV1584" s="12"/>
      <c r="AW1584" s="12"/>
      <c r="AX1584" s="12"/>
      <c r="AY1584" s="44"/>
      <c r="AZ1584" s="45"/>
      <c r="BA1584" s="12"/>
      <c r="BB1584" s="12"/>
      <c r="BC1584" s="12"/>
      <c r="BD1584" s="12"/>
      <c r="BE1584" s="44"/>
      <c r="BF1584" s="45"/>
      <c r="BG1584" s="12"/>
      <c r="BH1584" s="12"/>
      <c r="BI1584" s="12"/>
      <c r="BJ1584" s="12"/>
      <c r="BK1584" s="44"/>
      <c r="BL1584" s="45"/>
      <c r="BM1584" s="12"/>
      <c r="BN1584" s="12"/>
      <c r="BO1584" s="12"/>
      <c r="BP1584" s="12"/>
      <c r="BQ1584" s="48"/>
      <c r="BR1584" s="49"/>
      <c r="BS1584" s="13"/>
      <c r="BT1584" s="12"/>
      <c r="BV1584" s="14"/>
      <c r="BW1584" s="50"/>
      <c r="BX1584" s="54"/>
      <c r="BY1584" s="14"/>
      <c r="BZ1584" s="14"/>
      <c r="CA1584" s="14"/>
      <c r="CB1584" s="14"/>
      <c r="CC1584" s="14"/>
      <c r="CD1584" s="14"/>
      <c r="CE1584" s="14"/>
      <c r="CF1584" s="15"/>
      <c r="CG1584" s="14"/>
      <c r="CH1584" s="14"/>
      <c r="CI1584" s="50"/>
      <c r="CJ1584" s="54"/>
      <c r="CK1584" s="14"/>
      <c r="CL1584" s="14"/>
      <c r="CM1584" s="14"/>
      <c r="CN1584" s="14"/>
      <c r="CO1584" s="14"/>
      <c r="CP1584" s="14"/>
      <c r="CQ1584" s="14"/>
      <c r="CR1584" s="14"/>
      <c r="CS1584" s="14"/>
      <c r="CT1584" s="14"/>
      <c r="CU1584" s="16"/>
      <c r="CV1584" s="14"/>
      <c r="CW1584" s="50"/>
      <c r="CX1584" s="17"/>
    </row>
    <row r="1585" spans="4:102" x14ac:dyDescent="0.25"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43"/>
      <c r="Q1585" s="11"/>
      <c r="R1585" s="11"/>
      <c r="S1585" s="11"/>
      <c r="T1585" s="11"/>
      <c r="U1585" s="11"/>
      <c r="V1585" s="11"/>
      <c r="W1585" s="11"/>
      <c r="X1585" s="12"/>
      <c r="Y1585" s="12"/>
      <c r="Z1585" s="12"/>
      <c r="AA1585" s="44"/>
      <c r="AB1585" s="45"/>
      <c r="AC1585" s="12"/>
      <c r="AD1585" s="12"/>
      <c r="AE1585" s="12"/>
      <c r="AF1585" s="12"/>
      <c r="AG1585" s="44"/>
      <c r="AH1585" s="45"/>
      <c r="AI1585" s="12"/>
      <c r="AJ1585" s="12"/>
      <c r="AK1585" s="12"/>
      <c r="AL1585" s="12"/>
      <c r="AM1585" s="44"/>
      <c r="AN1585" s="45"/>
      <c r="AO1585" s="12"/>
      <c r="AP1585" s="12"/>
      <c r="AQ1585" s="12"/>
      <c r="AR1585" s="12"/>
      <c r="AS1585" s="44"/>
      <c r="AT1585" s="45"/>
      <c r="AU1585" s="12"/>
      <c r="AV1585" s="12"/>
      <c r="AW1585" s="12"/>
      <c r="AX1585" s="12"/>
      <c r="AY1585" s="44"/>
      <c r="AZ1585" s="45"/>
      <c r="BA1585" s="12"/>
      <c r="BB1585" s="12"/>
      <c r="BC1585" s="12"/>
      <c r="BD1585" s="12"/>
      <c r="BE1585" s="44"/>
      <c r="BF1585" s="45"/>
      <c r="BG1585" s="12"/>
      <c r="BH1585" s="12"/>
      <c r="BI1585" s="12"/>
      <c r="BJ1585" s="12"/>
      <c r="BK1585" s="44"/>
      <c r="BL1585" s="45"/>
      <c r="BM1585" s="12"/>
      <c r="BN1585" s="12"/>
      <c r="BO1585" s="12"/>
      <c r="BP1585" s="12"/>
      <c r="BQ1585" s="48"/>
      <c r="BR1585" s="49"/>
      <c r="BS1585" s="13"/>
      <c r="BT1585" s="12"/>
      <c r="BV1585" s="14"/>
      <c r="BW1585" s="50"/>
      <c r="BX1585" s="54"/>
      <c r="BY1585" s="14"/>
      <c r="BZ1585" s="14"/>
      <c r="CA1585" s="14"/>
      <c r="CB1585" s="14"/>
      <c r="CC1585" s="14"/>
      <c r="CD1585" s="14"/>
      <c r="CE1585" s="14"/>
      <c r="CF1585" s="15"/>
      <c r="CG1585" s="14"/>
      <c r="CH1585" s="14"/>
      <c r="CI1585" s="50"/>
      <c r="CJ1585" s="54"/>
      <c r="CK1585" s="14"/>
      <c r="CL1585" s="14"/>
      <c r="CM1585" s="14"/>
      <c r="CN1585" s="14"/>
      <c r="CO1585" s="14"/>
      <c r="CP1585" s="14"/>
      <c r="CQ1585" s="14"/>
      <c r="CR1585" s="14"/>
      <c r="CS1585" s="14"/>
      <c r="CT1585" s="14"/>
      <c r="CU1585" s="16"/>
      <c r="CV1585" s="14"/>
      <c r="CW1585" s="50"/>
      <c r="CX1585" s="17"/>
    </row>
    <row r="1586" spans="4:102" x14ac:dyDescent="0.25"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43"/>
      <c r="Q1586" s="11"/>
      <c r="R1586" s="11"/>
      <c r="S1586" s="11"/>
      <c r="T1586" s="11"/>
      <c r="U1586" s="11"/>
      <c r="V1586" s="11"/>
      <c r="W1586" s="11"/>
      <c r="X1586" s="12"/>
      <c r="Y1586" s="12"/>
      <c r="Z1586" s="12"/>
      <c r="AA1586" s="44"/>
      <c r="AB1586" s="45"/>
      <c r="AC1586" s="12"/>
      <c r="AD1586" s="12"/>
      <c r="AE1586" s="12"/>
      <c r="AF1586" s="12"/>
      <c r="AG1586" s="44"/>
      <c r="AH1586" s="45"/>
      <c r="AI1586" s="12"/>
      <c r="AJ1586" s="12"/>
      <c r="AK1586" s="12"/>
      <c r="AL1586" s="12"/>
      <c r="AM1586" s="44"/>
      <c r="AN1586" s="45"/>
      <c r="AO1586" s="12"/>
      <c r="AP1586" s="12"/>
      <c r="AQ1586" s="12"/>
      <c r="AR1586" s="12"/>
      <c r="AS1586" s="44"/>
      <c r="AT1586" s="45"/>
      <c r="AU1586" s="12"/>
      <c r="AV1586" s="12"/>
      <c r="AW1586" s="12"/>
      <c r="AX1586" s="12"/>
      <c r="AY1586" s="44"/>
      <c r="AZ1586" s="45"/>
      <c r="BA1586" s="12"/>
      <c r="BB1586" s="12"/>
      <c r="BC1586" s="12"/>
      <c r="BD1586" s="12"/>
      <c r="BE1586" s="44"/>
      <c r="BF1586" s="45"/>
      <c r="BG1586" s="12"/>
      <c r="BH1586" s="12"/>
      <c r="BI1586" s="12"/>
      <c r="BJ1586" s="12"/>
      <c r="BK1586" s="44"/>
      <c r="BL1586" s="45"/>
      <c r="BM1586" s="12"/>
      <c r="BN1586" s="12"/>
      <c r="BO1586" s="12"/>
      <c r="BP1586" s="12"/>
      <c r="BQ1586" s="48"/>
      <c r="BR1586" s="49"/>
      <c r="BS1586" s="13"/>
      <c r="BT1586" s="12"/>
      <c r="BV1586" s="14"/>
      <c r="BW1586" s="50"/>
      <c r="BX1586" s="54"/>
      <c r="BY1586" s="14"/>
      <c r="BZ1586" s="14"/>
      <c r="CA1586" s="14"/>
      <c r="CB1586" s="14"/>
      <c r="CC1586" s="14"/>
      <c r="CD1586" s="14"/>
      <c r="CE1586" s="14"/>
      <c r="CF1586" s="15"/>
      <c r="CG1586" s="14"/>
      <c r="CH1586" s="14"/>
      <c r="CI1586" s="50"/>
      <c r="CJ1586" s="54"/>
      <c r="CK1586" s="14"/>
      <c r="CL1586" s="14"/>
      <c r="CM1586" s="14"/>
      <c r="CN1586" s="14"/>
      <c r="CO1586" s="14"/>
      <c r="CP1586" s="14"/>
      <c r="CQ1586" s="14"/>
      <c r="CR1586" s="14"/>
      <c r="CS1586" s="14"/>
      <c r="CT1586" s="14"/>
      <c r="CU1586" s="16"/>
      <c r="CV1586" s="14"/>
      <c r="CW1586" s="50"/>
      <c r="CX1586" s="17"/>
    </row>
    <row r="1587" spans="4:102" x14ac:dyDescent="0.25"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43"/>
      <c r="Q1587" s="11"/>
      <c r="R1587" s="11"/>
      <c r="S1587" s="11"/>
      <c r="T1587" s="11"/>
      <c r="U1587" s="11"/>
      <c r="V1587" s="11"/>
      <c r="W1587" s="11"/>
      <c r="X1587" s="12"/>
      <c r="Y1587" s="12"/>
      <c r="Z1587" s="12"/>
      <c r="AA1587" s="44"/>
      <c r="AB1587" s="45"/>
      <c r="AC1587" s="12"/>
      <c r="AD1587" s="12"/>
      <c r="AE1587" s="12"/>
      <c r="AF1587" s="12"/>
      <c r="AG1587" s="44"/>
      <c r="AH1587" s="45"/>
      <c r="AI1587" s="12"/>
      <c r="AJ1587" s="12"/>
      <c r="AK1587" s="12"/>
      <c r="AL1587" s="12"/>
      <c r="AM1587" s="44"/>
      <c r="AN1587" s="45"/>
      <c r="AO1587" s="12"/>
      <c r="AP1587" s="12"/>
      <c r="AQ1587" s="12"/>
      <c r="AR1587" s="12"/>
      <c r="AS1587" s="44"/>
      <c r="AT1587" s="45"/>
      <c r="AU1587" s="12"/>
      <c r="AV1587" s="12"/>
      <c r="AW1587" s="12"/>
      <c r="AX1587" s="12"/>
      <c r="AY1587" s="44"/>
      <c r="AZ1587" s="45"/>
      <c r="BA1587" s="12"/>
      <c r="BB1587" s="12"/>
      <c r="BC1587" s="12"/>
      <c r="BD1587" s="12"/>
      <c r="BE1587" s="44"/>
      <c r="BF1587" s="45"/>
      <c r="BG1587" s="12"/>
      <c r="BH1587" s="12"/>
      <c r="BI1587" s="12"/>
      <c r="BJ1587" s="12"/>
      <c r="BK1587" s="44"/>
      <c r="BL1587" s="45"/>
      <c r="BM1587" s="12"/>
      <c r="BN1587" s="12"/>
      <c r="BO1587" s="12"/>
      <c r="BP1587" s="12"/>
      <c r="BQ1587" s="48"/>
      <c r="BR1587" s="49"/>
      <c r="BS1587" s="13"/>
      <c r="BT1587" s="12"/>
      <c r="BV1587" s="14"/>
      <c r="BW1587" s="50"/>
      <c r="BX1587" s="54"/>
      <c r="BY1587" s="14"/>
      <c r="BZ1587" s="14"/>
      <c r="CA1587" s="14"/>
      <c r="CB1587" s="14"/>
      <c r="CC1587" s="14"/>
      <c r="CD1587" s="14"/>
      <c r="CE1587" s="14"/>
      <c r="CF1587" s="15"/>
      <c r="CG1587" s="14"/>
      <c r="CH1587" s="14"/>
      <c r="CI1587" s="50"/>
      <c r="CJ1587" s="54"/>
      <c r="CK1587" s="14"/>
      <c r="CL1587" s="14"/>
      <c r="CM1587" s="14"/>
      <c r="CN1587" s="14"/>
      <c r="CO1587" s="14"/>
      <c r="CP1587" s="14"/>
      <c r="CQ1587" s="14"/>
      <c r="CR1587" s="14"/>
      <c r="CS1587" s="14"/>
      <c r="CT1587" s="14"/>
      <c r="CU1587" s="16"/>
      <c r="CV1587" s="14"/>
      <c r="CW1587" s="50"/>
      <c r="CX1587" s="17"/>
    </row>
    <row r="1588" spans="4:102" x14ac:dyDescent="0.25"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43"/>
      <c r="Q1588" s="11"/>
      <c r="R1588" s="11"/>
      <c r="S1588" s="11"/>
      <c r="T1588" s="11"/>
      <c r="U1588" s="11"/>
      <c r="V1588" s="11"/>
      <c r="W1588" s="11"/>
      <c r="X1588" s="12"/>
      <c r="Y1588" s="12"/>
      <c r="Z1588" s="12"/>
      <c r="AA1588" s="44"/>
      <c r="AB1588" s="45"/>
      <c r="AC1588" s="12"/>
      <c r="AD1588" s="12"/>
      <c r="AE1588" s="12"/>
      <c r="AF1588" s="12"/>
      <c r="AG1588" s="44"/>
      <c r="AH1588" s="45"/>
      <c r="AI1588" s="12"/>
      <c r="AJ1588" s="12"/>
      <c r="AK1588" s="12"/>
      <c r="AL1588" s="12"/>
      <c r="AM1588" s="44"/>
      <c r="AN1588" s="45"/>
      <c r="AO1588" s="12"/>
      <c r="AP1588" s="12"/>
      <c r="AQ1588" s="12"/>
      <c r="AR1588" s="12"/>
      <c r="AS1588" s="44"/>
      <c r="AT1588" s="45"/>
      <c r="AU1588" s="12"/>
      <c r="AV1588" s="12"/>
      <c r="AW1588" s="12"/>
      <c r="AX1588" s="12"/>
      <c r="AY1588" s="44"/>
      <c r="AZ1588" s="45"/>
      <c r="BA1588" s="12"/>
      <c r="BB1588" s="12"/>
      <c r="BC1588" s="12"/>
      <c r="BD1588" s="12"/>
      <c r="BE1588" s="44"/>
      <c r="BF1588" s="45"/>
      <c r="BG1588" s="12"/>
      <c r="BH1588" s="12"/>
      <c r="BI1588" s="12"/>
      <c r="BJ1588" s="12"/>
      <c r="BK1588" s="44"/>
      <c r="BL1588" s="45"/>
      <c r="BM1588" s="12"/>
      <c r="BN1588" s="12"/>
      <c r="BO1588" s="12"/>
      <c r="BP1588" s="12"/>
      <c r="BQ1588" s="48"/>
      <c r="BR1588" s="49"/>
      <c r="BS1588" s="13"/>
      <c r="BT1588" s="12"/>
      <c r="BV1588" s="14"/>
      <c r="BW1588" s="50"/>
      <c r="BX1588" s="54"/>
      <c r="BY1588" s="14"/>
      <c r="BZ1588" s="14"/>
      <c r="CA1588" s="14"/>
      <c r="CB1588" s="14"/>
      <c r="CC1588" s="14"/>
      <c r="CD1588" s="14"/>
      <c r="CE1588" s="14"/>
      <c r="CF1588" s="15"/>
      <c r="CG1588" s="14"/>
      <c r="CH1588" s="14"/>
      <c r="CI1588" s="50"/>
      <c r="CJ1588" s="54"/>
      <c r="CK1588" s="14"/>
      <c r="CL1588" s="14"/>
      <c r="CM1588" s="14"/>
      <c r="CN1588" s="14"/>
      <c r="CO1588" s="14"/>
      <c r="CP1588" s="14"/>
      <c r="CQ1588" s="14"/>
      <c r="CR1588" s="14"/>
      <c r="CS1588" s="14"/>
      <c r="CT1588" s="14"/>
      <c r="CU1588" s="16"/>
      <c r="CV1588" s="14"/>
      <c r="CW1588" s="50"/>
      <c r="CX1588" s="17"/>
    </row>
    <row r="1589" spans="4:102" x14ac:dyDescent="0.25"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43"/>
      <c r="Q1589" s="11"/>
      <c r="R1589" s="11"/>
      <c r="S1589" s="11"/>
      <c r="T1589" s="11"/>
      <c r="U1589" s="11"/>
      <c r="V1589" s="11"/>
      <c r="W1589" s="11"/>
      <c r="X1589" s="12"/>
      <c r="Y1589" s="12"/>
      <c r="Z1589" s="12"/>
      <c r="AA1589" s="44"/>
      <c r="AB1589" s="45"/>
      <c r="AC1589" s="12"/>
      <c r="AD1589" s="12"/>
      <c r="AE1589" s="12"/>
      <c r="AF1589" s="12"/>
      <c r="AG1589" s="44"/>
      <c r="AH1589" s="45"/>
      <c r="AI1589" s="12"/>
      <c r="AJ1589" s="12"/>
      <c r="AK1589" s="12"/>
      <c r="AL1589" s="12"/>
      <c r="AM1589" s="44"/>
      <c r="AN1589" s="45"/>
      <c r="AO1589" s="12"/>
      <c r="AP1589" s="12"/>
      <c r="AQ1589" s="12"/>
      <c r="AR1589" s="12"/>
      <c r="AS1589" s="44"/>
      <c r="AT1589" s="45"/>
      <c r="AU1589" s="12"/>
      <c r="AV1589" s="12"/>
      <c r="AW1589" s="12"/>
      <c r="AX1589" s="12"/>
      <c r="AY1589" s="44"/>
      <c r="AZ1589" s="45"/>
      <c r="BA1589" s="12"/>
      <c r="BB1589" s="12"/>
      <c r="BC1589" s="12"/>
      <c r="BD1589" s="12"/>
      <c r="BE1589" s="44"/>
      <c r="BF1589" s="45"/>
      <c r="BG1589" s="12"/>
      <c r="BH1589" s="12"/>
      <c r="BI1589" s="12"/>
      <c r="BJ1589" s="12"/>
      <c r="BK1589" s="44"/>
      <c r="BL1589" s="45"/>
      <c r="BM1589" s="12"/>
      <c r="BN1589" s="12"/>
      <c r="BO1589" s="12"/>
      <c r="BP1589" s="12"/>
      <c r="BQ1589" s="48"/>
      <c r="BR1589" s="49"/>
      <c r="BS1589" s="13"/>
      <c r="BT1589" s="12"/>
      <c r="BV1589" s="14"/>
      <c r="BW1589" s="50"/>
      <c r="BX1589" s="54"/>
      <c r="BY1589" s="14"/>
      <c r="BZ1589" s="14"/>
      <c r="CA1589" s="14"/>
      <c r="CB1589" s="14"/>
      <c r="CC1589" s="14"/>
      <c r="CD1589" s="14"/>
      <c r="CE1589" s="14"/>
      <c r="CF1589" s="15"/>
      <c r="CG1589" s="14"/>
      <c r="CH1589" s="14"/>
      <c r="CI1589" s="50"/>
      <c r="CJ1589" s="54"/>
      <c r="CK1589" s="14"/>
      <c r="CL1589" s="14"/>
      <c r="CM1589" s="14"/>
      <c r="CN1589" s="14"/>
      <c r="CO1589" s="14"/>
      <c r="CP1589" s="14"/>
      <c r="CQ1589" s="14"/>
      <c r="CR1589" s="14"/>
      <c r="CS1589" s="14"/>
      <c r="CT1589" s="14"/>
      <c r="CU1589" s="16"/>
      <c r="CV1589" s="14"/>
      <c r="CW1589" s="50"/>
      <c r="CX1589" s="17"/>
    </row>
    <row r="1590" spans="4:102" x14ac:dyDescent="0.25"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43"/>
      <c r="Q1590" s="11"/>
      <c r="R1590" s="11"/>
      <c r="S1590" s="11"/>
      <c r="T1590" s="11"/>
      <c r="U1590" s="11"/>
      <c r="V1590" s="11"/>
      <c r="W1590" s="11"/>
      <c r="X1590" s="12"/>
      <c r="Y1590" s="12"/>
      <c r="Z1590" s="12"/>
      <c r="AA1590" s="44"/>
      <c r="AB1590" s="45"/>
      <c r="AC1590" s="12"/>
      <c r="AD1590" s="12"/>
      <c r="AE1590" s="12"/>
      <c r="AF1590" s="12"/>
      <c r="AG1590" s="44"/>
      <c r="AH1590" s="45"/>
      <c r="AI1590" s="12"/>
      <c r="AJ1590" s="12"/>
      <c r="AK1590" s="12"/>
      <c r="AL1590" s="12"/>
      <c r="AM1590" s="44"/>
      <c r="AN1590" s="45"/>
      <c r="AO1590" s="12"/>
      <c r="AP1590" s="12"/>
      <c r="AQ1590" s="12"/>
      <c r="AR1590" s="12"/>
      <c r="AS1590" s="44"/>
      <c r="AT1590" s="45"/>
      <c r="AU1590" s="12"/>
      <c r="AV1590" s="12"/>
      <c r="AW1590" s="12"/>
      <c r="AX1590" s="12"/>
      <c r="AY1590" s="44"/>
      <c r="AZ1590" s="45"/>
      <c r="BA1590" s="12"/>
      <c r="BB1590" s="12"/>
      <c r="BC1590" s="12"/>
      <c r="BD1590" s="12"/>
      <c r="BE1590" s="44"/>
      <c r="BF1590" s="45"/>
      <c r="BG1590" s="12"/>
      <c r="BH1590" s="12"/>
      <c r="BI1590" s="12"/>
      <c r="BJ1590" s="12"/>
      <c r="BK1590" s="44"/>
      <c r="BL1590" s="45"/>
      <c r="BM1590" s="12"/>
      <c r="BN1590" s="12"/>
      <c r="BO1590" s="12"/>
      <c r="BP1590" s="12"/>
      <c r="BQ1590" s="48"/>
      <c r="BR1590" s="49"/>
      <c r="BS1590" s="13"/>
      <c r="BT1590" s="12"/>
      <c r="BV1590" s="14"/>
      <c r="BW1590" s="50"/>
      <c r="BX1590" s="54"/>
      <c r="BY1590" s="14"/>
      <c r="BZ1590" s="14"/>
      <c r="CA1590" s="14"/>
      <c r="CB1590" s="14"/>
      <c r="CC1590" s="14"/>
      <c r="CD1590" s="14"/>
      <c r="CE1590" s="14"/>
      <c r="CF1590" s="15"/>
      <c r="CG1590" s="14"/>
      <c r="CH1590" s="14"/>
      <c r="CI1590" s="50"/>
      <c r="CJ1590" s="54"/>
      <c r="CK1590" s="14"/>
      <c r="CL1590" s="14"/>
      <c r="CM1590" s="14"/>
      <c r="CN1590" s="14"/>
      <c r="CO1590" s="14"/>
      <c r="CP1590" s="14"/>
      <c r="CQ1590" s="14"/>
      <c r="CR1590" s="14"/>
      <c r="CS1590" s="14"/>
      <c r="CT1590" s="14"/>
      <c r="CU1590" s="16"/>
      <c r="CV1590" s="14"/>
      <c r="CW1590" s="50"/>
      <c r="CX1590" s="17"/>
    </row>
    <row r="1591" spans="4:102" x14ac:dyDescent="0.25"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43"/>
      <c r="Q1591" s="11"/>
      <c r="R1591" s="11"/>
      <c r="S1591" s="11"/>
      <c r="T1591" s="11"/>
      <c r="U1591" s="11"/>
      <c r="V1591" s="11"/>
      <c r="W1591" s="11"/>
      <c r="X1591" s="12"/>
      <c r="Y1591" s="12"/>
      <c r="Z1591" s="12"/>
      <c r="AA1591" s="44"/>
      <c r="AB1591" s="45"/>
      <c r="AC1591" s="12"/>
      <c r="AD1591" s="12"/>
      <c r="AE1591" s="12"/>
      <c r="AF1591" s="12"/>
      <c r="AG1591" s="44"/>
      <c r="AH1591" s="45"/>
      <c r="AI1591" s="12"/>
      <c r="AJ1591" s="12"/>
      <c r="AK1591" s="12"/>
      <c r="AL1591" s="12"/>
      <c r="AM1591" s="44"/>
      <c r="AN1591" s="45"/>
      <c r="AO1591" s="12"/>
      <c r="AP1591" s="12"/>
      <c r="AQ1591" s="12"/>
      <c r="AR1591" s="12"/>
      <c r="AS1591" s="44"/>
      <c r="AT1591" s="45"/>
      <c r="AU1591" s="12"/>
      <c r="AV1591" s="12"/>
      <c r="AW1591" s="12"/>
      <c r="AX1591" s="12"/>
      <c r="AY1591" s="44"/>
      <c r="AZ1591" s="45"/>
      <c r="BA1591" s="12"/>
      <c r="BB1591" s="12"/>
      <c r="BC1591" s="12"/>
      <c r="BD1591" s="12"/>
      <c r="BE1591" s="44"/>
      <c r="BF1591" s="45"/>
      <c r="BG1591" s="12"/>
      <c r="BH1591" s="12"/>
      <c r="BI1591" s="12"/>
      <c r="BJ1591" s="12"/>
      <c r="BK1591" s="44"/>
      <c r="BL1591" s="45"/>
      <c r="BM1591" s="12"/>
      <c r="BN1591" s="12"/>
      <c r="BO1591" s="12"/>
      <c r="BP1591" s="12"/>
      <c r="BQ1591" s="48"/>
      <c r="BR1591" s="49"/>
      <c r="BS1591" s="13"/>
      <c r="BT1591" s="12"/>
      <c r="BV1591" s="14"/>
      <c r="BW1591" s="50"/>
      <c r="BX1591" s="54"/>
      <c r="BY1591" s="14"/>
      <c r="BZ1591" s="14"/>
      <c r="CA1591" s="14"/>
      <c r="CB1591" s="14"/>
      <c r="CC1591" s="14"/>
      <c r="CD1591" s="14"/>
      <c r="CE1591" s="14"/>
      <c r="CF1591" s="15"/>
      <c r="CG1591" s="14"/>
      <c r="CH1591" s="14"/>
      <c r="CI1591" s="50"/>
      <c r="CJ1591" s="54"/>
      <c r="CK1591" s="14"/>
      <c r="CL1591" s="14"/>
      <c r="CM1591" s="14"/>
      <c r="CN1591" s="14"/>
      <c r="CO1591" s="14"/>
      <c r="CP1591" s="14"/>
      <c r="CQ1591" s="14"/>
      <c r="CR1591" s="14"/>
      <c r="CS1591" s="14"/>
      <c r="CT1591" s="14"/>
      <c r="CU1591" s="16"/>
      <c r="CV1591" s="14"/>
      <c r="CW1591" s="50"/>
      <c r="CX1591" s="17"/>
    </row>
    <row r="1592" spans="4:102" x14ac:dyDescent="0.25"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43"/>
      <c r="Q1592" s="11"/>
      <c r="R1592" s="11"/>
      <c r="S1592" s="11"/>
      <c r="T1592" s="11"/>
      <c r="U1592" s="11"/>
      <c r="V1592" s="11"/>
      <c r="W1592" s="11"/>
      <c r="X1592" s="12"/>
      <c r="Y1592" s="12"/>
      <c r="Z1592" s="12"/>
      <c r="AA1592" s="44"/>
      <c r="AB1592" s="45"/>
      <c r="AC1592" s="12"/>
      <c r="AD1592" s="12"/>
      <c r="AE1592" s="12"/>
      <c r="AF1592" s="12"/>
      <c r="AG1592" s="44"/>
      <c r="AH1592" s="45"/>
      <c r="AI1592" s="12"/>
      <c r="AJ1592" s="12"/>
      <c r="AK1592" s="12"/>
      <c r="AL1592" s="12"/>
      <c r="AM1592" s="44"/>
      <c r="AN1592" s="45"/>
      <c r="AO1592" s="12"/>
      <c r="AP1592" s="12"/>
      <c r="AQ1592" s="12"/>
      <c r="AR1592" s="12"/>
      <c r="AS1592" s="44"/>
      <c r="AT1592" s="45"/>
      <c r="AU1592" s="12"/>
      <c r="AV1592" s="12"/>
      <c r="AW1592" s="12"/>
      <c r="AX1592" s="12"/>
      <c r="AY1592" s="44"/>
      <c r="AZ1592" s="45"/>
      <c r="BA1592" s="12"/>
      <c r="BB1592" s="12"/>
      <c r="BC1592" s="12"/>
      <c r="BD1592" s="12"/>
      <c r="BE1592" s="44"/>
      <c r="BF1592" s="45"/>
      <c r="BG1592" s="12"/>
      <c r="BH1592" s="12"/>
      <c r="BI1592" s="12"/>
      <c r="BJ1592" s="12"/>
      <c r="BK1592" s="44"/>
      <c r="BL1592" s="45"/>
      <c r="BM1592" s="12"/>
      <c r="BN1592" s="12"/>
      <c r="BO1592" s="12"/>
      <c r="BP1592" s="12"/>
      <c r="BQ1592" s="48"/>
      <c r="BR1592" s="49"/>
      <c r="BS1592" s="13"/>
      <c r="BT1592" s="12"/>
      <c r="BV1592" s="14"/>
      <c r="BW1592" s="50"/>
      <c r="BX1592" s="54"/>
      <c r="BY1592" s="14"/>
      <c r="BZ1592" s="14"/>
      <c r="CA1592" s="14"/>
      <c r="CB1592" s="14"/>
      <c r="CC1592" s="14"/>
      <c r="CD1592" s="14"/>
      <c r="CE1592" s="14"/>
      <c r="CF1592" s="15"/>
      <c r="CG1592" s="14"/>
      <c r="CH1592" s="14"/>
      <c r="CI1592" s="50"/>
      <c r="CJ1592" s="54"/>
      <c r="CK1592" s="14"/>
      <c r="CL1592" s="14"/>
      <c r="CM1592" s="14"/>
      <c r="CN1592" s="14"/>
      <c r="CO1592" s="14"/>
      <c r="CP1592" s="14"/>
      <c r="CQ1592" s="14"/>
      <c r="CR1592" s="14"/>
      <c r="CS1592" s="14"/>
      <c r="CT1592" s="14"/>
      <c r="CU1592" s="16"/>
      <c r="CV1592" s="14"/>
      <c r="CW1592" s="50"/>
      <c r="CX1592" s="17"/>
    </row>
    <row r="1593" spans="4:102" x14ac:dyDescent="0.25"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43"/>
      <c r="Q1593" s="11"/>
      <c r="R1593" s="11"/>
      <c r="S1593" s="11"/>
      <c r="T1593" s="11"/>
      <c r="U1593" s="11"/>
      <c r="V1593" s="11"/>
      <c r="W1593" s="11"/>
      <c r="X1593" s="12"/>
      <c r="Y1593" s="12"/>
      <c r="Z1593" s="12"/>
      <c r="AA1593" s="44"/>
      <c r="AB1593" s="45"/>
      <c r="AC1593" s="12"/>
      <c r="AD1593" s="12"/>
      <c r="AE1593" s="12"/>
      <c r="AF1593" s="12"/>
      <c r="AG1593" s="44"/>
      <c r="AH1593" s="45"/>
      <c r="AI1593" s="12"/>
      <c r="AJ1593" s="12"/>
      <c r="AK1593" s="12"/>
      <c r="AL1593" s="12"/>
      <c r="AM1593" s="44"/>
      <c r="AN1593" s="45"/>
      <c r="AO1593" s="12"/>
      <c r="AP1593" s="12"/>
      <c r="AQ1593" s="12"/>
      <c r="AR1593" s="12"/>
      <c r="AS1593" s="44"/>
      <c r="AT1593" s="45"/>
      <c r="AU1593" s="12"/>
      <c r="AV1593" s="12"/>
      <c r="AW1593" s="12"/>
      <c r="AX1593" s="12"/>
      <c r="AY1593" s="44"/>
      <c r="AZ1593" s="45"/>
      <c r="BA1593" s="12"/>
      <c r="BB1593" s="12"/>
      <c r="BC1593" s="12"/>
      <c r="BD1593" s="12"/>
      <c r="BE1593" s="44"/>
      <c r="BF1593" s="45"/>
      <c r="BG1593" s="12"/>
      <c r="BH1593" s="12"/>
      <c r="BI1593" s="12"/>
      <c r="BJ1593" s="12"/>
      <c r="BK1593" s="44"/>
      <c r="BL1593" s="45"/>
      <c r="BM1593" s="12"/>
      <c r="BN1593" s="12"/>
      <c r="BO1593" s="12"/>
      <c r="BP1593" s="12"/>
      <c r="BQ1593" s="48"/>
      <c r="BR1593" s="49"/>
      <c r="BS1593" s="13"/>
      <c r="BT1593" s="12"/>
      <c r="BV1593" s="14"/>
      <c r="BW1593" s="50"/>
      <c r="BX1593" s="54"/>
      <c r="BY1593" s="14"/>
      <c r="BZ1593" s="14"/>
      <c r="CA1593" s="14"/>
      <c r="CB1593" s="14"/>
      <c r="CC1593" s="14"/>
      <c r="CD1593" s="14"/>
      <c r="CE1593" s="14"/>
      <c r="CF1593" s="15"/>
      <c r="CG1593" s="14"/>
      <c r="CH1593" s="14"/>
      <c r="CI1593" s="50"/>
      <c r="CJ1593" s="54"/>
      <c r="CK1593" s="14"/>
      <c r="CL1593" s="14"/>
      <c r="CM1593" s="14"/>
      <c r="CN1593" s="14"/>
      <c r="CO1593" s="14"/>
      <c r="CP1593" s="14"/>
      <c r="CQ1593" s="14"/>
      <c r="CR1593" s="14"/>
      <c r="CS1593" s="14"/>
      <c r="CT1593" s="14"/>
      <c r="CU1593" s="16"/>
      <c r="CV1593" s="14"/>
      <c r="CW1593" s="50"/>
      <c r="CX1593" s="17"/>
    </row>
    <row r="1594" spans="4:102" x14ac:dyDescent="0.25"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43"/>
      <c r="Q1594" s="11"/>
      <c r="R1594" s="11"/>
      <c r="S1594" s="11"/>
      <c r="T1594" s="11"/>
      <c r="U1594" s="11"/>
      <c r="V1594" s="11"/>
      <c r="W1594" s="11"/>
      <c r="X1594" s="12"/>
      <c r="Y1594" s="12"/>
      <c r="Z1594" s="12"/>
      <c r="AA1594" s="44"/>
      <c r="AB1594" s="45"/>
      <c r="AC1594" s="12"/>
      <c r="AD1594" s="12"/>
      <c r="AE1594" s="12"/>
      <c r="AF1594" s="12"/>
      <c r="AG1594" s="44"/>
      <c r="AH1594" s="45"/>
      <c r="AI1594" s="12"/>
      <c r="AJ1594" s="12"/>
      <c r="AK1594" s="12"/>
      <c r="AL1594" s="12"/>
      <c r="AM1594" s="44"/>
      <c r="AN1594" s="45"/>
      <c r="AO1594" s="12"/>
      <c r="AP1594" s="12"/>
      <c r="AQ1594" s="12"/>
      <c r="AR1594" s="12"/>
      <c r="AS1594" s="44"/>
      <c r="AT1594" s="45"/>
      <c r="AU1594" s="12"/>
      <c r="AV1594" s="12"/>
      <c r="AW1594" s="12"/>
      <c r="AX1594" s="12"/>
      <c r="AY1594" s="44"/>
      <c r="AZ1594" s="45"/>
      <c r="BA1594" s="12"/>
      <c r="BB1594" s="12"/>
      <c r="BC1594" s="12"/>
      <c r="BD1594" s="12"/>
      <c r="BE1594" s="44"/>
      <c r="BF1594" s="45"/>
      <c r="BG1594" s="12"/>
      <c r="BH1594" s="12"/>
      <c r="BI1594" s="12"/>
      <c r="BJ1594" s="12"/>
      <c r="BK1594" s="44"/>
      <c r="BL1594" s="45"/>
      <c r="BM1594" s="12"/>
      <c r="BN1594" s="12"/>
      <c r="BO1594" s="12"/>
      <c r="BP1594" s="12"/>
      <c r="BQ1594" s="48"/>
      <c r="BR1594" s="49"/>
      <c r="BS1594" s="13"/>
      <c r="BT1594" s="12"/>
      <c r="BV1594" s="14"/>
      <c r="BW1594" s="50"/>
      <c r="BX1594" s="54"/>
      <c r="BY1594" s="14"/>
      <c r="BZ1594" s="14"/>
      <c r="CA1594" s="14"/>
      <c r="CB1594" s="14"/>
      <c r="CC1594" s="14"/>
      <c r="CD1594" s="14"/>
      <c r="CE1594" s="14"/>
      <c r="CF1594" s="15"/>
      <c r="CG1594" s="14"/>
      <c r="CH1594" s="14"/>
      <c r="CI1594" s="50"/>
      <c r="CJ1594" s="54"/>
      <c r="CK1594" s="14"/>
      <c r="CL1594" s="14"/>
      <c r="CM1594" s="14"/>
      <c r="CN1594" s="14"/>
      <c r="CO1594" s="14"/>
      <c r="CP1594" s="14"/>
      <c r="CQ1594" s="14"/>
      <c r="CR1594" s="14"/>
      <c r="CS1594" s="14"/>
      <c r="CT1594" s="14"/>
      <c r="CU1594" s="16"/>
      <c r="CV1594" s="14"/>
      <c r="CW1594" s="50"/>
      <c r="CX1594" s="17"/>
    </row>
    <row r="1595" spans="4:102" x14ac:dyDescent="0.25"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43"/>
      <c r="Q1595" s="11"/>
      <c r="R1595" s="11"/>
      <c r="S1595" s="11"/>
      <c r="T1595" s="11"/>
      <c r="U1595" s="11"/>
      <c r="V1595" s="11"/>
      <c r="W1595" s="11"/>
      <c r="X1595" s="12"/>
      <c r="Y1595" s="12"/>
      <c r="Z1595" s="12"/>
      <c r="AA1595" s="44"/>
      <c r="AB1595" s="45"/>
      <c r="AC1595" s="12"/>
      <c r="AD1595" s="12"/>
      <c r="AE1595" s="12"/>
      <c r="AF1595" s="12"/>
      <c r="AG1595" s="44"/>
      <c r="AH1595" s="45"/>
      <c r="AI1595" s="12"/>
      <c r="AJ1595" s="12"/>
      <c r="AK1595" s="12"/>
      <c r="AL1595" s="12"/>
      <c r="AM1595" s="44"/>
      <c r="AN1595" s="45"/>
      <c r="AO1595" s="12"/>
      <c r="AP1595" s="12"/>
      <c r="AQ1595" s="12"/>
      <c r="AR1595" s="12"/>
      <c r="AS1595" s="44"/>
      <c r="AT1595" s="45"/>
      <c r="AU1595" s="12"/>
      <c r="AV1595" s="12"/>
      <c r="AW1595" s="12"/>
      <c r="AX1595" s="12"/>
      <c r="AY1595" s="44"/>
      <c r="AZ1595" s="45"/>
      <c r="BA1595" s="12"/>
      <c r="BB1595" s="12"/>
      <c r="BC1595" s="12"/>
      <c r="BD1595" s="12"/>
      <c r="BE1595" s="44"/>
      <c r="BF1595" s="45"/>
      <c r="BG1595" s="12"/>
      <c r="BH1595" s="12"/>
      <c r="BI1595" s="12"/>
      <c r="BJ1595" s="12"/>
      <c r="BK1595" s="44"/>
      <c r="BL1595" s="45"/>
      <c r="BM1595" s="12"/>
      <c r="BN1595" s="12"/>
      <c r="BO1595" s="12"/>
      <c r="BP1595" s="12"/>
      <c r="BQ1595" s="48"/>
      <c r="BR1595" s="49"/>
      <c r="BS1595" s="13"/>
      <c r="BT1595" s="12"/>
      <c r="BV1595" s="14"/>
      <c r="BW1595" s="50"/>
      <c r="BX1595" s="54"/>
      <c r="BY1595" s="14"/>
      <c r="BZ1595" s="14"/>
      <c r="CA1595" s="14"/>
      <c r="CB1595" s="14"/>
      <c r="CC1595" s="14"/>
      <c r="CD1595" s="14"/>
      <c r="CE1595" s="14"/>
      <c r="CF1595" s="15"/>
      <c r="CG1595" s="14"/>
      <c r="CH1595" s="14"/>
      <c r="CI1595" s="50"/>
      <c r="CJ1595" s="54"/>
      <c r="CK1595" s="14"/>
      <c r="CL1595" s="14"/>
      <c r="CM1595" s="14"/>
      <c r="CN1595" s="14"/>
      <c r="CO1595" s="14"/>
      <c r="CP1595" s="14"/>
      <c r="CQ1595" s="14"/>
      <c r="CR1595" s="14"/>
      <c r="CS1595" s="14"/>
      <c r="CT1595" s="14"/>
      <c r="CU1595" s="16"/>
      <c r="CV1595" s="14"/>
      <c r="CW1595" s="50"/>
      <c r="CX1595" s="17"/>
    </row>
    <row r="1596" spans="4:102" x14ac:dyDescent="0.25"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43"/>
      <c r="Q1596" s="11"/>
      <c r="R1596" s="11"/>
      <c r="S1596" s="11"/>
      <c r="T1596" s="11"/>
      <c r="U1596" s="11"/>
      <c r="V1596" s="11"/>
      <c r="W1596" s="11"/>
      <c r="X1596" s="12"/>
      <c r="Y1596" s="12"/>
      <c r="Z1596" s="12"/>
      <c r="AA1596" s="44"/>
      <c r="AB1596" s="45"/>
      <c r="AC1596" s="12"/>
      <c r="AD1596" s="12"/>
      <c r="AE1596" s="12"/>
      <c r="AF1596" s="12"/>
      <c r="AG1596" s="44"/>
      <c r="AH1596" s="45"/>
      <c r="AI1596" s="12"/>
      <c r="AJ1596" s="12"/>
      <c r="AK1596" s="12"/>
      <c r="AL1596" s="12"/>
      <c r="AM1596" s="44"/>
      <c r="AN1596" s="45"/>
      <c r="AO1596" s="12"/>
      <c r="AP1596" s="12"/>
      <c r="AQ1596" s="12"/>
      <c r="AR1596" s="12"/>
      <c r="AS1596" s="44"/>
      <c r="AT1596" s="45"/>
      <c r="AU1596" s="12"/>
      <c r="AV1596" s="12"/>
      <c r="AW1596" s="12"/>
      <c r="AX1596" s="12"/>
      <c r="AY1596" s="44"/>
      <c r="AZ1596" s="45"/>
      <c r="BA1596" s="12"/>
      <c r="BB1596" s="12"/>
      <c r="BC1596" s="12"/>
      <c r="BD1596" s="12"/>
      <c r="BE1596" s="44"/>
      <c r="BF1596" s="45"/>
      <c r="BG1596" s="12"/>
      <c r="BH1596" s="12"/>
      <c r="BI1596" s="12"/>
      <c r="BJ1596" s="12"/>
      <c r="BK1596" s="44"/>
      <c r="BL1596" s="45"/>
      <c r="BM1596" s="12"/>
      <c r="BN1596" s="12"/>
      <c r="BO1596" s="12"/>
      <c r="BP1596" s="12"/>
      <c r="BQ1596" s="48"/>
      <c r="BR1596" s="49"/>
      <c r="BS1596" s="13"/>
      <c r="BT1596" s="12"/>
      <c r="BV1596" s="14"/>
      <c r="BW1596" s="50"/>
      <c r="BX1596" s="54"/>
      <c r="BY1596" s="14"/>
      <c r="BZ1596" s="14"/>
      <c r="CA1596" s="14"/>
      <c r="CB1596" s="14"/>
      <c r="CC1596" s="14"/>
      <c r="CD1596" s="14"/>
      <c r="CE1596" s="14"/>
      <c r="CF1596" s="15"/>
      <c r="CG1596" s="14"/>
      <c r="CH1596" s="14"/>
      <c r="CI1596" s="50"/>
      <c r="CJ1596" s="54"/>
      <c r="CK1596" s="14"/>
      <c r="CL1596" s="14"/>
      <c r="CM1596" s="14"/>
      <c r="CN1596" s="14"/>
      <c r="CO1596" s="14"/>
      <c r="CP1596" s="14"/>
      <c r="CQ1596" s="14"/>
      <c r="CR1596" s="14"/>
      <c r="CS1596" s="14"/>
      <c r="CT1596" s="14"/>
      <c r="CU1596" s="16"/>
      <c r="CV1596" s="14"/>
      <c r="CW1596" s="50"/>
      <c r="CX1596" s="17"/>
    </row>
    <row r="1597" spans="4:102" x14ac:dyDescent="0.25"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43"/>
      <c r="Q1597" s="11"/>
      <c r="R1597" s="11"/>
      <c r="S1597" s="11"/>
      <c r="T1597" s="11"/>
      <c r="U1597" s="11"/>
      <c r="V1597" s="11"/>
      <c r="W1597" s="11"/>
      <c r="X1597" s="12"/>
      <c r="Y1597" s="12"/>
      <c r="Z1597" s="12"/>
      <c r="AA1597" s="44"/>
      <c r="AB1597" s="45"/>
      <c r="AC1597" s="12"/>
      <c r="AD1597" s="12"/>
      <c r="AE1597" s="12"/>
      <c r="AF1597" s="12"/>
      <c r="AG1597" s="44"/>
      <c r="AH1597" s="45"/>
      <c r="AI1597" s="12"/>
      <c r="AJ1597" s="12"/>
      <c r="AK1597" s="12"/>
      <c r="AL1597" s="12"/>
      <c r="AM1597" s="44"/>
      <c r="AN1597" s="45"/>
      <c r="AO1597" s="12"/>
      <c r="AP1597" s="12"/>
      <c r="AQ1597" s="12"/>
      <c r="AR1597" s="12"/>
      <c r="AS1597" s="44"/>
      <c r="AT1597" s="45"/>
      <c r="AU1597" s="12"/>
      <c r="AV1597" s="12"/>
      <c r="AW1597" s="12"/>
      <c r="AX1597" s="12"/>
      <c r="AY1597" s="44"/>
      <c r="AZ1597" s="45"/>
      <c r="BA1597" s="12"/>
      <c r="BB1597" s="12"/>
      <c r="BC1597" s="12"/>
      <c r="BD1597" s="12"/>
      <c r="BE1597" s="44"/>
      <c r="BF1597" s="45"/>
      <c r="BG1597" s="12"/>
      <c r="BH1597" s="12"/>
      <c r="BI1597" s="12"/>
      <c r="BJ1597" s="12"/>
      <c r="BK1597" s="44"/>
      <c r="BL1597" s="45"/>
      <c r="BM1597" s="12"/>
      <c r="BN1597" s="12"/>
      <c r="BO1597" s="12"/>
      <c r="BP1597" s="12"/>
      <c r="BQ1597" s="48"/>
      <c r="BR1597" s="49"/>
      <c r="BS1597" s="13"/>
      <c r="BT1597" s="12"/>
      <c r="BV1597" s="14"/>
      <c r="BW1597" s="50"/>
      <c r="BX1597" s="54"/>
      <c r="BY1597" s="14"/>
      <c r="BZ1597" s="14"/>
      <c r="CA1597" s="14"/>
      <c r="CB1597" s="14"/>
      <c r="CC1597" s="14"/>
      <c r="CD1597" s="14"/>
      <c r="CE1597" s="14"/>
      <c r="CF1597" s="15"/>
      <c r="CG1597" s="14"/>
      <c r="CH1597" s="14"/>
      <c r="CI1597" s="50"/>
      <c r="CJ1597" s="54"/>
      <c r="CK1597" s="14"/>
      <c r="CL1597" s="14"/>
      <c r="CM1597" s="14"/>
      <c r="CN1597" s="14"/>
      <c r="CO1597" s="14"/>
      <c r="CP1597" s="14"/>
      <c r="CQ1597" s="14"/>
      <c r="CR1597" s="14"/>
      <c r="CS1597" s="14"/>
      <c r="CT1597" s="14"/>
      <c r="CU1597" s="16"/>
      <c r="CV1597" s="14"/>
      <c r="CW1597" s="50"/>
      <c r="CX1597" s="17"/>
    </row>
    <row r="1598" spans="4:102" x14ac:dyDescent="0.25"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43"/>
      <c r="Q1598" s="11"/>
      <c r="R1598" s="11"/>
      <c r="S1598" s="11"/>
      <c r="T1598" s="11"/>
      <c r="U1598" s="11"/>
      <c r="V1598" s="11"/>
      <c r="W1598" s="11"/>
      <c r="X1598" s="12"/>
      <c r="Y1598" s="12"/>
      <c r="Z1598" s="12"/>
      <c r="AA1598" s="44"/>
      <c r="AB1598" s="45"/>
      <c r="AC1598" s="12"/>
      <c r="AD1598" s="12"/>
      <c r="AE1598" s="12"/>
      <c r="AF1598" s="12"/>
      <c r="AG1598" s="44"/>
      <c r="AH1598" s="45"/>
      <c r="AI1598" s="12"/>
      <c r="AJ1598" s="12"/>
      <c r="AK1598" s="12"/>
      <c r="AL1598" s="12"/>
      <c r="AM1598" s="44"/>
      <c r="AN1598" s="45"/>
      <c r="AO1598" s="12"/>
      <c r="AP1598" s="12"/>
      <c r="AQ1598" s="12"/>
      <c r="AR1598" s="12"/>
      <c r="AS1598" s="44"/>
      <c r="AT1598" s="45"/>
      <c r="AU1598" s="12"/>
      <c r="AV1598" s="12"/>
      <c r="AW1598" s="12"/>
      <c r="AX1598" s="12"/>
      <c r="AY1598" s="44"/>
      <c r="AZ1598" s="45"/>
      <c r="BA1598" s="12"/>
      <c r="BB1598" s="12"/>
      <c r="BC1598" s="12"/>
      <c r="BD1598" s="12"/>
      <c r="BE1598" s="44"/>
      <c r="BF1598" s="45"/>
      <c r="BG1598" s="12"/>
      <c r="BH1598" s="12"/>
      <c r="BI1598" s="12"/>
      <c r="BJ1598" s="12"/>
      <c r="BK1598" s="44"/>
      <c r="BL1598" s="45"/>
      <c r="BM1598" s="12"/>
      <c r="BN1598" s="12"/>
      <c r="BO1598" s="12"/>
      <c r="BP1598" s="12"/>
      <c r="BQ1598" s="48"/>
      <c r="BR1598" s="49"/>
      <c r="BS1598" s="13"/>
      <c r="BT1598" s="12"/>
      <c r="BV1598" s="14"/>
      <c r="BW1598" s="50"/>
      <c r="BX1598" s="54"/>
      <c r="BY1598" s="14"/>
      <c r="BZ1598" s="14"/>
      <c r="CA1598" s="14"/>
      <c r="CB1598" s="14"/>
      <c r="CC1598" s="14"/>
      <c r="CD1598" s="14"/>
      <c r="CE1598" s="14"/>
      <c r="CF1598" s="15"/>
      <c r="CG1598" s="14"/>
      <c r="CH1598" s="14"/>
      <c r="CI1598" s="50"/>
      <c r="CJ1598" s="54"/>
      <c r="CK1598" s="14"/>
      <c r="CL1598" s="14"/>
      <c r="CM1598" s="14"/>
      <c r="CN1598" s="14"/>
      <c r="CO1598" s="14"/>
      <c r="CP1598" s="14"/>
      <c r="CQ1598" s="14"/>
      <c r="CR1598" s="14"/>
      <c r="CS1598" s="14"/>
      <c r="CT1598" s="14"/>
      <c r="CU1598" s="16"/>
      <c r="CV1598" s="14"/>
      <c r="CW1598" s="50"/>
      <c r="CX1598" s="17"/>
    </row>
    <row r="1599" spans="4:102" x14ac:dyDescent="0.25"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43"/>
      <c r="Q1599" s="11"/>
      <c r="R1599" s="11"/>
      <c r="S1599" s="11"/>
      <c r="T1599" s="11"/>
      <c r="U1599" s="11"/>
      <c r="V1599" s="11"/>
      <c r="W1599" s="11"/>
      <c r="X1599" s="12"/>
      <c r="Y1599" s="12"/>
      <c r="Z1599" s="12"/>
      <c r="AA1599" s="44"/>
      <c r="AB1599" s="45"/>
      <c r="AC1599" s="12"/>
      <c r="AD1599" s="12"/>
      <c r="AE1599" s="12"/>
      <c r="AF1599" s="12"/>
      <c r="AG1599" s="44"/>
      <c r="AH1599" s="45"/>
      <c r="AI1599" s="12"/>
      <c r="AJ1599" s="12"/>
      <c r="AK1599" s="12"/>
      <c r="AL1599" s="12"/>
      <c r="AM1599" s="44"/>
      <c r="AN1599" s="45"/>
      <c r="AO1599" s="12"/>
      <c r="AP1599" s="12"/>
      <c r="AQ1599" s="12"/>
      <c r="AR1599" s="12"/>
      <c r="AS1599" s="44"/>
      <c r="AT1599" s="45"/>
      <c r="AU1599" s="12"/>
      <c r="AV1599" s="12"/>
      <c r="AW1599" s="12"/>
      <c r="AX1599" s="12"/>
      <c r="AY1599" s="44"/>
      <c r="AZ1599" s="45"/>
      <c r="BA1599" s="12"/>
      <c r="BB1599" s="12"/>
      <c r="BC1599" s="12"/>
      <c r="BD1599" s="12"/>
      <c r="BE1599" s="44"/>
      <c r="BF1599" s="45"/>
      <c r="BG1599" s="12"/>
      <c r="BH1599" s="12"/>
      <c r="BI1599" s="12"/>
      <c r="BJ1599" s="12"/>
      <c r="BK1599" s="44"/>
      <c r="BL1599" s="45"/>
      <c r="BM1599" s="12"/>
      <c r="BN1599" s="12"/>
      <c r="BO1599" s="12"/>
      <c r="BP1599" s="12"/>
      <c r="BQ1599" s="48"/>
      <c r="BR1599" s="49"/>
      <c r="BS1599" s="13"/>
      <c r="BT1599" s="12"/>
      <c r="BV1599" s="14"/>
      <c r="BW1599" s="50"/>
      <c r="BX1599" s="54"/>
      <c r="BY1599" s="14"/>
      <c r="BZ1599" s="14"/>
      <c r="CA1599" s="14"/>
      <c r="CB1599" s="14"/>
      <c r="CC1599" s="14"/>
      <c r="CD1599" s="14"/>
      <c r="CE1599" s="14"/>
      <c r="CF1599" s="15"/>
      <c r="CG1599" s="14"/>
      <c r="CH1599" s="14"/>
      <c r="CI1599" s="50"/>
      <c r="CJ1599" s="54"/>
      <c r="CK1599" s="14"/>
      <c r="CL1599" s="14"/>
      <c r="CM1599" s="14"/>
      <c r="CN1599" s="14"/>
      <c r="CO1599" s="14"/>
      <c r="CP1599" s="14"/>
      <c r="CQ1599" s="14"/>
      <c r="CR1599" s="14"/>
      <c r="CS1599" s="14"/>
      <c r="CT1599" s="14"/>
      <c r="CU1599" s="16"/>
      <c r="CV1599" s="14"/>
      <c r="CW1599" s="50"/>
      <c r="CX1599" s="17"/>
    </row>
    <row r="1600" spans="4:102" x14ac:dyDescent="0.25"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43"/>
      <c r="Q1600" s="11"/>
      <c r="R1600" s="11"/>
      <c r="S1600" s="11"/>
      <c r="T1600" s="11"/>
      <c r="U1600" s="11"/>
      <c r="V1600" s="11"/>
      <c r="W1600" s="11"/>
      <c r="X1600" s="12"/>
      <c r="Y1600" s="12"/>
      <c r="Z1600" s="12"/>
      <c r="AA1600" s="44"/>
      <c r="AB1600" s="45"/>
      <c r="AC1600" s="12"/>
      <c r="AD1600" s="12"/>
      <c r="AE1600" s="12"/>
      <c r="AF1600" s="12"/>
      <c r="AG1600" s="44"/>
      <c r="AH1600" s="45"/>
      <c r="AI1600" s="12"/>
      <c r="AJ1600" s="12"/>
      <c r="AK1600" s="12"/>
      <c r="AL1600" s="12"/>
      <c r="AM1600" s="44"/>
      <c r="AN1600" s="45"/>
      <c r="AO1600" s="12"/>
      <c r="AP1600" s="12"/>
      <c r="AQ1600" s="12"/>
      <c r="AR1600" s="12"/>
      <c r="AS1600" s="44"/>
      <c r="AT1600" s="45"/>
      <c r="AU1600" s="12"/>
      <c r="AV1600" s="12"/>
      <c r="AW1600" s="12"/>
      <c r="AX1600" s="12"/>
      <c r="AY1600" s="44"/>
      <c r="AZ1600" s="45"/>
      <c r="BA1600" s="12"/>
      <c r="BB1600" s="12"/>
      <c r="BC1600" s="12"/>
      <c r="BD1600" s="12"/>
      <c r="BE1600" s="44"/>
      <c r="BF1600" s="45"/>
      <c r="BG1600" s="12"/>
      <c r="BH1600" s="12"/>
      <c r="BI1600" s="12"/>
      <c r="BJ1600" s="12"/>
      <c r="BK1600" s="44"/>
      <c r="BL1600" s="45"/>
      <c r="BM1600" s="12"/>
      <c r="BN1600" s="12"/>
      <c r="BO1600" s="12"/>
      <c r="BP1600" s="12"/>
      <c r="BQ1600" s="48"/>
      <c r="BR1600" s="49"/>
      <c r="BS1600" s="13"/>
      <c r="BT1600" s="12"/>
      <c r="BV1600" s="14"/>
      <c r="BW1600" s="50"/>
      <c r="BX1600" s="54"/>
      <c r="BY1600" s="14"/>
      <c r="BZ1600" s="14"/>
      <c r="CA1600" s="14"/>
      <c r="CB1600" s="14"/>
      <c r="CC1600" s="14"/>
      <c r="CD1600" s="14"/>
      <c r="CE1600" s="14"/>
      <c r="CF1600" s="15"/>
      <c r="CG1600" s="14"/>
      <c r="CH1600" s="14"/>
      <c r="CI1600" s="50"/>
      <c r="CJ1600" s="54"/>
      <c r="CK1600" s="14"/>
      <c r="CL1600" s="14"/>
      <c r="CM1600" s="14"/>
      <c r="CN1600" s="14"/>
      <c r="CO1600" s="14"/>
      <c r="CP1600" s="14"/>
      <c r="CQ1600" s="14"/>
      <c r="CR1600" s="14"/>
      <c r="CS1600" s="14"/>
      <c r="CT1600" s="14"/>
      <c r="CU1600" s="16"/>
      <c r="CV1600" s="14"/>
      <c r="CW1600" s="50"/>
      <c r="CX1600" s="17"/>
    </row>
    <row r="1601" spans="4:102" x14ac:dyDescent="0.25"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43"/>
      <c r="Q1601" s="11"/>
      <c r="R1601" s="11"/>
      <c r="S1601" s="11"/>
      <c r="T1601" s="11"/>
      <c r="U1601" s="11"/>
      <c r="V1601" s="11"/>
      <c r="W1601" s="11"/>
      <c r="X1601" s="12"/>
      <c r="Y1601" s="12"/>
      <c r="Z1601" s="12"/>
      <c r="AA1601" s="44"/>
      <c r="AB1601" s="45"/>
      <c r="AC1601" s="12"/>
      <c r="AD1601" s="12"/>
      <c r="AE1601" s="12"/>
      <c r="AF1601" s="12"/>
      <c r="AG1601" s="44"/>
      <c r="AH1601" s="45"/>
      <c r="AI1601" s="12"/>
      <c r="AJ1601" s="12"/>
      <c r="AK1601" s="12"/>
      <c r="AL1601" s="12"/>
      <c r="AM1601" s="44"/>
      <c r="AN1601" s="45"/>
      <c r="AO1601" s="12"/>
      <c r="AP1601" s="12"/>
      <c r="AQ1601" s="12"/>
      <c r="AR1601" s="12"/>
      <c r="AS1601" s="44"/>
      <c r="AT1601" s="45"/>
      <c r="AU1601" s="12"/>
      <c r="AV1601" s="12"/>
      <c r="AW1601" s="12"/>
      <c r="AX1601" s="12"/>
      <c r="AY1601" s="44"/>
      <c r="AZ1601" s="45"/>
      <c r="BA1601" s="12"/>
      <c r="BB1601" s="12"/>
      <c r="BC1601" s="12"/>
      <c r="BD1601" s="12"/>
      <c r="BE1601" s="44"/>
      <c r="BF1601" s="45"/>
      <c r="BG1601" s="12"/>
      <c r="BH1601" s="12"/>
      <c r="BI1601" s="12"/>
      <c r="BJ1601" s="12"/>
      <c r="BK1601" s="44"/>
      <c r="BL1601" s="45"/>
      <c r="BM1601" s="12"/>
      <c r="BN1601" s="12"/>
      <c r="BO1601" s="12"/>
      <c r="BP1601" s="12"/>
      <c r="BQ1601" s="48"/>
      <c r="BR1601" s="49"/>
      <c r="BS1601" s="13"/>
      <c r="BT1601" s="12"/>
      <c r="BV1601" s="14"/>
      <c r="BW1601" s="50"/>
      <c r="BX1601" s="54"/>
      <c r="BY1601" s="14"/>
      <c r="BZ1601" s="14"/>
      <c r="CA1601" s="14"/>
      <c r="CB1601" s="14"/>
      <c r="CC1601" s="14"/>
      <c r="CD1601" s="14"/>
      <c r="CE1601" s="14"/>
      <c r="CF1601" s="15"/>
      <c r="CG1601" s="14"/>
      <c r="CH1601" s="14"/>
      <c r="CI1601" s="50"/>
      <c r="CJ1601" s="54"/>
      <c r="CK1601" s="14"/>
      <c r="CL1601" s="14"/>
      <c r="CM1601" s="14"/>
      <c r="CN1601" s="14"/>
      <c r="CO1601" s="14"/>
      <c r="CP1601" s="14"/>
      <c r="CQ1601" s="14"/>
      <c r="CR1601" s="14"/>
      <c r="CS1601" s="14"/>
      <c r="CT1601" s="14"/>
      <c r="CU1601" s="16"/>
      <c r="CV1601" s="14"/>
      <c r="CW1601" s="50"/>
      <c r="CX1601" s="17"/>
    </row>
    <row r="1602" spans="4:102" x14ac:dyDescent="0.25"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43"/>
      <c r="Q1602" s="11"/>
      <c r="R1602" s="11"/>
      <c r="S1602" s="11"/>
      <c r="T1602" s="11"/>
      <c r="U1602" s="11"/>
      <c r="V1602" s="11"/>
      <c r="W1602" s="11"/>
      <c r="X1602" s="12"/>
      <c r="Y1602" s="12"/>
      <c r="Z1602" s="12"/>
      <c r="AA1602" s="44"/>
      <c r="AB1602" s="45"/>
      <c r="AC1602" s="12"/>
      <c r="AD1602" s="12"/>
      <c r="AE1602" s="12"/>
      <c r="AF1602" s="12"/>
      <c r="AG1602" s="44"/>
      <c r="AH1602" s="45"/>
      <c r="AI1602" s="12"/>
      <c r="AJ1602" s="12"/>
      <c r="AK1602" s="12"/>
      <c r="AL1602" s="12"/>
      <c r="AM1602" s="44"/>
      <c r="AN1602" s="45"/>
      <c r="AO1602" s="12"/>
      <c r="AP1602" s="12"/>
      <c r="AQ1602" s="12"/>
      <c r="AR1602" s="12"/>
      <c r="AS1602" s="44"/>
      <c r="AT1602" s="45"/>
      <c r="AU1602" s="12"/>
      <c r="AV1602" s="12"/>
      <c r="AW1602" s="12"/>
      <c r="AX1602" s="12"/>
      <c r="AY1602" s="44"/>
      <c r="AZ1602" s="45"/>
      <c r="BA1602" s="12"/>
      <c r="BB1602" s="12"/>
      <c r="BC1602" s="12"/>
      <c r="BD1602" s="12"/>
      <c r="BE1602" s="44"/>
      <c r="BF1602" s="45"/>
      <c r="BG1602" s="12"/>
      <c r="BH1602" s="12"/>
      <c r="BI1602" s="12"/>
      <c r="BJ1602" s="12"/>
      <c r="BK1602" s="44"/>
      <c r="BL1602" s="45"/>
      <c r="BM1602" s="12"/>
      <c r="BN1602" s="12"/>
      <c r="BO1602" s="12"/>
      <c r="BP1602" s="12"/>
      <c r="BQ1602" s="48"/>
      <c r="BR1602" s="49"/>
      <c r="BS1602" s="13"/>
      <c r="BT1602" s="12"/>
      <c r="BV1602" s="14"/>
      <c r="BW1602" s="50"/>
      <c r="BX1602" s="54"/>
      <c r="BY1602" s="14"/>
      <c r="BZ1602" s="14"/>
      <c r="CA1602" s="14"/>
      <c r="CB1602" s="14"/>
      <c r="CC1602" s="14"/>
      <c r="CD1602" s="14"/>
      <c r="CE1602" s="14"/>
      <c r="CF1602" s="15"/>
      <c r="CG1602" s="14"/>
      <c r="CH1602" s="14"/>
      <c r="CI1602" s="50"/>
      <c r="CJ1602" s="54"/>
      <c r="CK1602" s="14"/>
      <c r="CL1602" s="14"/>
      <c r="CM1602" s="14"/>
      <c r="CN1602" s="14"/>
      <c r="CO1602" s="14"/>
      <c r="CP1602" s="14"/>
      <c r="CQ1602" s="14"/>
      <c r="CR1602" s="14"/>
      <c r="CS1602" s="14"/>
      <c r="CT1602" s="14"/>
      <c r="CU1602" s="16"/>
      <c r="CV1602" s="14"/>
      <c r="CW1602" s="50"/>
      <c r="CX1602" s="17"/>
    </row>
    <row r="1603" spans="4:102" x14ac:dyDescent="0.25"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43"/>
      <c r="Q1603" s="11"/>
      <c r="R1603" s="11"/>
      <c r="S1603" s="11"/>
      <c r="T1603" s="11"/>
      <c r="U1603" s="11"/>
      <c r="V1603" s="11"/>
      <c r="W1603" s="11"/>
      <c r="X1603" s="12"/>
      <c r="Y1603" s="12"/>
      <c r="Z1603" s="12"/>
      <c r="AA1603" s="44"/>
      <c r="AB1603" s="45"/>
      <c r="AC1603" s="12"/>
      <c r="AD1603" s="12"/>
      <c r="AE1603" s="12"/>
      <c r="AF1603" s="12"/>
      <c r="AG1603" s="44"/>
      <c r="AH1603" s="45"/>
      <c r="AI1603" s="12"/>
      <c r="AJ1603" s="12"/>
      <c r="AK1603" s="12"/>
      <c r="AL1603" s="12"/>
      <c r="AM1603" s="44"/>
      <c r="AN1603" s="45"/>
      <c r="AO1603" s="12"/>
      <c r="AP1603" s="12"/>
      <c r="AQ1603" s="12"/>
      <c r="AR1603" s="12"/>
      <c r="AS1603" s="44"/>
      <c r="AT1603" s="45"/>
      <c r="AU1603" s="12"/>
      <c r="AV1603" s="12"/>
      <c r="AW1603" s="12"/>
      <c r="AX1603" s="12"/>
      <c r="AY1603" s="44"/>
      <c r="AZ1603" s="45"/>
      <c r="BA1603" s="12"/>
      <c r="BB1603" s="12"/>
      <c r="BC1603" s="12"/>
      <c r="BD1603" s="12"/>
      <c r="BE1603" s="44"/>
      <c r="BF1603" s="45"/>
      <c r="BG1603" s="12"/>
      <c r="BH1603" s="12"/>
      <c r="BI1603" s="12"/>
      <c r="BJ1603" s="12"/>
      <c r="BK1603" s="44"/>
      <c r="BL1603" s="45"/>
      <c r="BM1603" s="12"/>
      <c r="BN1603" s="12"/>
      <c r="BO1603" s="12"/>
      <c r="BP1603" s="12"/>
      <c r="BQ1603" s="48"/>
      <c r="BR1603" s="49"/>
      <c r="BS1603" s="13"/>
      <c r="BT1603" s="12"/>
      <c r="BV1603" s="14"/>
      <c r="BW1603" s="50"/>
      <c r="BX1603" s="54"/>
      <c r="BY1603" s="14"/>
      <c r="BZ1603" s="14"/>
      <c r="CA1603" s="14"/>
      <c r="CB1603" s="14"/>
      <c r="CC1603" s="14"/>
      <c r="CD1603" s="14"/>
      <c r="CE1603" s="14"/>
      <c r="CF1603" s="15"/>
      <c r="CG1603" s="14"/>
      <c r="CH1603" s="14"/>
      <c r="CI1603" s="50"/>
      <c r="CJ1603" s="54"/>
      <c r="CK1603" s="14"/>
      <c r="CL1603" s="14"/>
      <c r="CM1603" s="14"/>
      <c r="CN1603" s="14"/>
      <c r="CO1603" s="14"/>
      <c r="CP1603" s="14"/>
      <c r="CQ1603" s="14"/>
      <c r="CR1603" s="14"/>
      <c r="CS1603" s="14"/>
      <c r="CT1603" s="14"/>
      <c r="CU1603" s="16"/>
      <c r="CV1603" s="14"/>
      <c r="CW1603" s="50"/>
      <c r="CX1603" s="17"/>
    </row>
    <row r="1604" spans="4:102" x14ac:dyDescent="0.25"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43"/>
      <c r="Q1604" s="11"/>
      <c r="R1604" s="11"/>
      <c r="S1604" s="11"/>
      <c r="T1604" s="11"/>
      <c r="U1604" s="11"/>
      <c r="V1604" s="11"/>
      <c r="W1604" s="11"/>
      <c r="X1604" s="12"/>
      <c r="Y1604" s="12"/>
      <c r="Z1604" s="12"/>
      <c r="AA1604" s="44"/>
      <c r="AB1604" s="45"/>
      <c r="AC1604" s="12"/>
      <c r="AD1604" s="12"/>
      <c r="AE1604" s="12"/>
      <c r="AF1604" s="12"/>
      <c r="AG1604" s="44"/>
      <c r="AH1604" s="45"/>
      <c r="AI1604" s="12"/>
      <c r="AJ1604" s="12"/>
      <c r="AK1604" s="12"/>
      <c r="AL1604" s="12"/>
      <c r="AM1604" s="44"/>
      <c r="AN1604" s="45"/>
      <c r="AO1604" s="12"/>
      <c r="AP1604" s="12"/>
      <c r="AQ1604" s="12"/>
      <c r="AR1604" s="12"/>
      <c r="AS1604" s="44"/>
      <c r="AT1604" s="45"/>
      <c r="AU1604" s="12"/>
      <c r="AV1604" s="12"/>
      <c r="AW1604" s="12"/>
      <c r="AX1604" s="12"/>
      <c r="AY1604" s="44"/>
      <c r="AZ1604" s="45"/>
      <c r="BA1604" s="12"/>
      <c r="BB1604" s="12"/>
      <c r="BC1604" s="12"/>
      <c r="BD1604" s="12"/>
      <c r="BE1604" s="44"/>
      <c r="BF1604" s="45"/>
      <c r="BG1604" s="12"/>
      <c r="BH1604" s="12"/>
      <c r="BI1604" s="12"/>
      <c r="BJ1604" s="12"/>
      <c r="BK1604" s="44"/>
      <c r="BL1604" s="45"/>
      <c r="BM1604" s="12"/>
      <c r="BN1604" s="12"/>
      <c r="BO1604" s="12"/>
      <c r="BP1604" s="12"/>
      <c r="BQ1604" s="48"/>
      <c r="BR1604" s="49"/>
      <c r="BS1604" s="13"/>
      <c r="BT1604" s="12"/>
      <c r="BV1604" s="14"/>
      <c r="BW1604" s="50"/>
      <c r="BX1604" s="54"/>
      <c r="BY1604" s="14"/>
      <c r="BZ1604" s="14"/>
      <c r="CA1604" s="14"/>
      <c r="CB1604" s="14"/>
      <c r="CC1604" s="14"/>
      <c r="CD1604" s="14"/>
      <c r="CE1604" s="14"/>
      <c r="CF1604" s="15"/>
      <c r="CG1604" s="14"/>
      <c r="CH1604" s="14"/>
      <c r="CI1604" s="50"/>
      <c r="CJ1604" s="54"/>
      <c r="CK1604" s="14"/>
      <c r="CL1604" s="14"/>
      <c r="CM1604" s="14"/>
      <c r="CN1604" s="14"/>
      <c r="CO1604" s="14"/>
      <c r="CP1604" s="14"/>
      <c r="CQ1604" s="14"/>
      <c r="CR1604" s="14"/>
      <c r="CS1604" s="14"/>
      <c r="CT1604" s="14"/>
      <c r="CU1604" s="16"/>
      <c r="CV1604" s="14"/>
      <c r="CW1604" s="50"/>
      <c r="CX1604" s="17"/>
    </row>
    <row r="1605" spans="4:102" x14ac:dyDescent="0.25"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43"/>
      <c r="Q1605" s="11"/>
      <c r="R1605" s="11"/>
      <c r="S1605" s="11"/>
      <c r="T1605" s="11"/>
      <c r="U1605" s="11"/>
      <c r="V1605" s="11"/>
      <c r="W1605" s="11"/>
      <c r="X1605" s="12"/>
      <c r="Y1605" s="12"/>
      <c r="Z1605" s="12"/>
      <c r="AA1605" s="44"/>
      <c r="AB1605" s="45"/>
      <c r="AC1605" s="12"/>
      <c r="AD1605" s="12"/>
      <c r="AE1605" s="12"/>
      <c r="AF1605" s="12"/>
      <c r="AG1605" s="44"/>
      <c r="AH1605" s="45"/>
      <c r="AI1605" s="12"/>
      <c r="AJ1605" s="12"/>
      <c r="AK1605" s="12"/>
      <c r="AL1605" s="12"/>
      <c r="AM1605" s="44"/>
      <c r="AN1605" s="45"/>
      <c r="AO1605" s="12"/>
      <c r="AP1605" s="12"/>
      <c r="AQ1605" s="12"/>
      <c r="AR1605" s="12"/>
      <c r="AS1605" s="44"/>
      <c r="AT1605" s="45"/>
      <c r="AU1605" s="12"/>
      <c r="AV1605" s="12"/>
      <c r="AW1605" s="12"/>
      <c r="AX1605" s="12"/>
      <c r="AY1605" s="44"/>
      <c r="AZ1605" s="45"/>
      <c r="BA1605" s="12"/>
      <c r="BB1605" s="12"/>
      <c r="BC1605" s="12"/>
      <c r="BD1605" s="12"/>
      <c r="BE1605" s="44"/>
      <c r="BF1605" s="45"/>
      <c r="BG1605" s="12"/>
      <c r="BH1605" s="12"/>
      <c r="BI1605" s="12"/>
      <c r="BJ1605" s="12"/>
      <c r="BK1605" s="44"/>
      <c r="BL1605" s="45"/>
      <c r="BM1605" s="12"/>
      <c r="BN1605" s="12"/>
      <c r="BO1605" s="12"/>
      <c r="BP1605" s="12"/>
      <c r="BQ1605" s="48"/>
      <c r="BR1605" s="49"/>
      <c r="BS1605" s="13"/>
      <c r="BT1605" s="12"/>
      <c r="BV1605" s="14"/>
      <c r="BW1605" s="50"/>
      <c r="BX1605" s="54"/>
      <c r="BY1605" s="14"/>
      <c r="BZ1605" s="14"/>
      <c r="CA1605" s="14"/>
      <c r="CB1605" s="14"/>
      <c r="CC1605" s="14"/>
      <c r="CD1605" s="14"/>
      <c r="CE1605" s="14"/>
      <c r="CF1605" s="15"/>
      <c r="CG1605" s="14"/>
      <c r="CH1605" s="14"/>
      <c r="CI1605" s="50"/>
      <c r="CJ1605" s="54"/>
      <c r="CK1605" s="14"/>
      <c r="CL1605" s="14"/>
      <c r="CM1605" s="14"/>
      <c r="CN1605" s="14"/>
      <c r="CO1605" s="14"/>
      <c r="CP1605" s="14"/>
      <c r="CQ1605" s="14"/>
      <c r="CR1605" s="14"/>
      <c r="CS1605" s="14"/>
      <c r="CT1605" s="14"/>
      <c r="CU1605" s="16"/>
      <c r="CV1605" s="14"/>
      <c r="CW1605" s="50"/>
      <c r="CX1605" s="17"/>
    </row>
    <row r="1606" spans="4:102" x14ac:dyDescent="0.25"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43"/>
      <c r="Q1606" s="11"/>
      <c r="R1606" s="11"/>
      <c r="S1606" s="11"/>
      <c r="T1606" s="11"/>
      <c r="U1606" s="11"/>
      <c r="V1606" s="11"/>
      <c r="W1606" s="11"/>
      <c r="X1606" s="12"/>
      <c r="Y1606" s="12"/>
      <c r="Z1606" s="12"/>
      <c r="AA1606" s="44"/>
      <c r="AB1606" s="45"/>
      <c r="AC1606" s="12"/>
      <c r="AD1606" s="12"/>
      <c r="AE1606" s="12"/>
      <c r="AF1606" s="12"/>
      <c r="AG1606" s="44"/>
      <c r="AH1606" s="45"/>
      <c r="AI1606" s="12"/>
      <c r="AJ1606" s="12"/>
      <c r="AK1606" s="12"/>
      <c r="AL1606" s="12"/>
      <c r="AM1606" s="44"/>
      <c r="AN1606" s="45"/>
      <c r="AO1606" s="12"/>
      <c r="AP1606" s="12"/>
      <c r="AQ1606" s="12"/>
      <c r="AR1606" s="12"/>
      <c r="AS1606" s="44"/>
      <c r="AT1606" s="45"/>
      <c r="AU1606" s="12"/>
      <c r="AV1606" s="12"/>
      <c r="AW1606" s="12"/>
      <c r="AX1606" s="12"/>
      <c r="AY1606" s="44"/>
      <c r="AZ1606" s="45"/>
      <c r="BA1606" s="12"/>
      <c r="BB1606" s="12"/>
      <c r="BC1606" s="12"/>
      <c r="BD1606" s="12"/>
      <c r="BE1606" s="44"/>
      <c r="BF1606" s="45"/>
      <c r="BG1606" s="12"/>
      <c r="BH1606" s="12"/>
      <c r="BI1606" s="12"/>
      <c r="BJ1606" s="12"/>
      <c r="BK1606" s="44"/>
      <c r="BL1606" s="45"/>
      <c r="BM1606" s="12"/>
      <c r="BN1606" s="12"/>
      <c r="BO1606" s="12"/>
      <c r="BP1606" s="12"/>
      <c r="BQ1606" s="48"/>
      <c r="BR1606" s="49"/>
      <c r="BS1606" s="13"/>
      <c r="BT1606" s="12"/>
      <c r="BV1606" s="14"/>
      <c r="BW1606" s="50"/>
      <c r="BX1606" s="54"/>
      <c r="BY1606" s="14"/>
      <c r="BZ1606" s="14"/>
      <c r="CA1606" s="14"/>
      <c r="CB1606" s="14"/>
      <c r="CC1606" s="14"/>
      <c r="CD1606" s="14"/>
      <c r="CE1606" s="14"/>
      <c r="CF1606" s="15"/>
      <c r="CG1606" s="14"/>
      <c r="CH1606" s="14"/>
      <c r="CI1606" s="50"/>
      <c r="CJ1606" s="54"/>
      <c r="CK1606" s="14"/>
      <c r="CL1606" s="14"/>
      <c r="CM1606" s="14"/>
      <c r="CN1606" s="14"/>
      <c r="CO1606" s="14"/>
      <c r="CP1606" s="14"/>
      <c r="CQ1606" s="14"/>
      <c r="CR1606" s="14"/>
      <c r="CS1606" s="14"/>
      <c r="CT1606" s="14"/>
      <c r="CU1606" s="16"/>
      <c r="CV1606" s="14"/>
      <c r="CW1606" s="50"/>
      <c r="CX1606" s="17"/>
    </row>
    <row r="1607" spans="4:102" x14ac:dyDescent="0.25"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43"/>
      <c r="Q1607" s="11"/>
      <c r="R1607" s="11"/>
      <c r="S1607" s="11"/>
      <c r="T1607" s="11"/>
      <c r="U1607" s="11"/>
      <c r="V1607" s="11"/>
      <c r="W1607" s="11"/>
      <c r="X1607" s="12"/>
      <c r="Y1607" s="12"/>
      <c r="Z1607" s="12"/>
      <c r="AA1607" s="44"/>
      <c r="AB1607" s="45"/>
      <c r="AC1607" s="12"/>
      <c r="AD1607" s="12"/>
      <c r="AE1607" s="12"/>
      <c r="AF1607" s="12"/>
      <c r="AG1607" s="44"/>
      <c r="AH1607" s="45"/>
      <c r="AI1607" s="12"/>
      <c r="AJ1607" s="12"/>
      <c r="AK1607" s="12"/>
      <c r="AL1607" s="12"/>
      <c r="AM1607" s="44"/>
      <c r="AN1607" s="45"/>
      <c r="AO1607" s="12"/>
      <c r="AP1607" s="12"/>
      <c r="AQ1607" s="12"/>
      <c r="AR1607" s="12"/>
      <c r="AS1607" s="44"/>
      <c r="AT1607" s="45"/>
      <c r="AU1607" s="12"/>
      <c r="AV1607" s="12"/>
      <c r="AW1607" s="12"/>
      <c r="AX1607" s="12"/>
      <c r="AY1607" s="44"/>
      <c r="AZ1607" s="45"/>
      <c r="BA1607" s="12"/>
      <c r="BB1607" s="12"/>
      <c r="BC1607" s="12"/>
      <c r="BD1607" s="12"/>
      <c r="BE1607" s="44"/>
      <c r="BF1607" s="45"/>
      <c r="BG1607" s="12"/>
      <c r="BH1607" s="12"/>
      <c r="BI1607" s="12"/>
      <c r="BJ1607" s="12"/>
      <c r="BK1607" s="44"/>
      <c r="BL1607" s="45"/>
      <c r="BM1607" s="12"/>
      <c r="BN1607" s="12"/>
      <c r="BO1607" s="12"/>
      <c r="BP1607" s="12"/>
      <c r="BQ1607" s="48"/>
      <c r="BR1607" s="49"/>
      <c r="BS1607" s="13"/>
      <c r="BT1607" s="12"/>
      <c r="BV1607" s="14"/>
      <c r="BW1607" s="50"/>
      <c r="BX1607" s="54"/>
      <c r="BY1607" s="14"/>
      <c r="BZ1607" s="14"/>
      <c r="CA1607" s="14"/>
      <c r="CB1607" s="14"/>
      <c r="CC1607" s="14"/>
      <c r="CD1607" s="14"/>
      <c r="CE1607" s="14"/>
      <c r="CF1607" s="15"/>
      <c r="CG1607" s="14"/>
      <c r="CH1607" s="14"/>
      <c r="CI1607" s="50"/>
      <c r="CJ1607" s="54"/>
      <c r="CK1607" s="14"/>
      <c r="CL1607" s="14"/>
      <c r="CM1607" s="14"/>
      <c r="CN1607" s="14"/>
      <c r="CO1607" s="14"/>
      <c r="CP1607" s="14"/>
      <c r="CQ1607" s="14"/>
      <c r="CR1607" s="14"/>
      <c r="CS1607" s="14"/>
      <c r="CT1607" s="14"/>
      <c r="CU1607" s="16"/>
      <c r="CV1607" s="14"/>
      <c r="CW1607" s="50"/>
      <c r="CX1607" s="17"/>
    </row>
    <row r="1608" spans="4:102" x14ac:dyDescent="0.25"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43"/>
      <c r="Q1608" s="11"/>
      <c r="R1608" s="11"/>
      <c r="S1608" s="11"/>
      <c r="T1608" s="11"/>
      <c r="U1608" s="11"/>
      <c r="V1608" s="11"/>
      <c r="W1608" s="11"/>
      <c r="X1608" s="12"/>
      <c r="Y1608" s="12"/>
      <c r="Z1608" s="12"/>
      <c r="AA1608" s="44"/>
      <c r="AB1608" s="45"/>
      <c r="AC1608" s="12"/>
      <c r="AD1608" s="12"/>
      <c r="AE1608" s="12"/>
      <c r="AF1608" s="12"/>
      <c r="AG1608" s="44"/>
      <c r="AH1608" s="45"/>
      <c r="AI1608" s="12"/>
      <c r="AJ1608" s="12"/>
      <c r="AK1608" s="12"/>
      <c r="AL1608" s="12"/>
      <c r="AM1608" s="44"/>
      <c r="AN1608" s="45"/>
      <c r="AO1608" s="12"/>
      <c r="AP1608" s="12"/>
      <c r="AQ1608" s="12"/>
      <c r="AR1608" s="12"/>
      <c r="AS1608" s="44"/>
      <c r="AT1608" s="45"/>
      <c r="AU1608" s="12"/>
      <c r="AV1608" s="12"/>
      <c r="AW1608" s="12"/>
      <c r="AX1608" s="12"/>
      <c r="AY1608" s="44"/>
      <c r="AZ1608" s="45"/>
      <c r="BA1608" s="12"/>
      <c r="BB1608" s="12"/>
      <c r="BC1608" s="12"/>
      <c r="BD1608" s="12"/>
      <c r="BE1608" s="44"/>
      <c r="BF1608" s="45"/>
      <c r="BG1608" s="12"/>
      <c r="BH1608" s="12"/>
      <c r="BI1608" s="12"/>
      <c r="BJ1608" s="12"/>
      <c r="BK1608" s="44"/>
      <c r="BL1608" s="45"/>
      <c r="BM1608" s="12"/>
      <c r="BN1608" s="12"/>
      <c r="BO1608" s="12"/>
      <c r="BP1608" s="12"/>
      <c r="BQ1608" s="48"/>
      <c r="BR1608" s="49"/>
      <c r="BS1608" s="13"/>
      <c r="BT1608" s="12"/>
      <c r="BV1608" s="14"/>
      <c r="BW1608" s="50"/>
      <c r="BX1608" s="54"/>
      <c r="BY1608" s="14"/>
      <c r="BZ1608" s="14"/>
      <c r="CA1608" s="14"/>
      <c r="CB1608" s="14"/>
      <c r="CC1608" s="14"/>
      <c r="CD1608" s="14"/>
      <c r="CE1608" s="14"/>
      <c r="CF1608" s="15"/>
      <c r="CG1608" s="14"/>
      <c r="CH1608" s="14"/>
      <c r="CI1608" s="50"/>
      <c r="CJ1608" s="54"/>
      <c r="CK1608" s="14"/>
      <c r="CL1608" s="14"/>
      <c r="CM1608" s="14"/>
      <c r="CN1608" s="14"/>
      <c r="CO1608" s="14"/>
      <c r="CP1608" s="14"/>
      <c r="CQ1608" s="14"/>
      <c r="CR1608" s="14"/>
      <c r="CS1608" s="14"/>
      <c r="CT1608" s="14"/>
      <c r="CU1608" s="16"/>
      <c r="CV1608" s="14"/>
      <c r="CW1608" s="50"/>
      <c r="CX1608" s="17"/>
    </row>
    <row r="1609" spans="4:102" x14ac:dyDescent="0.25"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43"/>
      <c r="Q1609" s="11"/>
      <c r="R1609" s="11"/>
      <c r="S1609" s="11"/>
      <c r="T1609" s="11"/>
      <c r="U1609" s="11"/>
      <c r="V1609" s="11"/>
      <c r="W1609" s="11"/>
      <c r="X1609" s="12"/>
      <c r="Y1609" s="12"/>
      <c r="Z1609" s="12"/>
      <c r="AA1609" s="44"/>
      <c r="AB1609" s="45"/>
      <c r="AC1609" s="12"/>
      <c r="AD1609" s="12"/>
      <c r="AE1609" s="12"/>
      <c r="AF1609" s="12"/>
      <c r="AG1609" s="44"/>
      <c r="AH1609" s="45"/>
      <c r="AI1609" s="12"/>
      <c r="AJ1609" s="12"/>
      <c r="AK1609" s="12"/>
      <c r="AL1609" s="12"/>
      <c r="AM1609" s="44"/>
      <c r="AN1609" s="45"/>
      <c r="AO1609" s="12"/>
      <c r="AP1609" s="12"/>
      <c r="AQ1609" s="12"/>
      <c r="AR1609" s="12"/>
      <c r="AS1609" s="44"/>
      <c r="AT1609" s="45"/>
      <c r="AU1609" s="12"/>
      <c r="AV1609" s="12"/>
      <c r="AW1609" s="12"/>
      <c r="AX1609" s="12"/>
      <c r="AY1609" s="44"/>
      <c r="AZ1609" s="45"/>
      <c r="BA1609" s="12"/>
      <c r="BB1609" s="12"/>
      <c r="BC1609" s="12"/>
      <c r="BD1609" s="12"/>
      <c r="BE1609" s="44"/>
      <c r="BF1609" s="45"/>
      <c r="BG1609" s="12"/>
      <c r="BH1609" s="12"/>
      <c r="BI1609" s="12"/>
      <c r="BJ1609" s="12"/>
      <c r="BK1609" s="44"/>
      <c r="BL1609" s="45"/>
      <c r="BM1609" s="12"/>
      <c r="BN1609" s="12"/>
      <c r="BO1609" s="12"/>
      <c r="BP1609" s="12"/>
      <c r="BQ1609" s="48"/>
      <c r="BR1609" s="49"/>
      <c r="BS1609" s="13"/>
      <c r="BT1609" s="12"/>
      <c r="BV1609" s="14"/>
      <c r="BW1609" s="50"/>
      <c r="BX1609" s="54"/>
      <c r="BY1609" s="14"/>
      <c r="BZ1609" s="14"/>
      <c r="CA1609" s="14"/>
      <c r="CB1609" s="14"/>
      <c r="CC1609" s="14"/>
      <c r="CD1609" s="14"/>
      <c r="CE1609" s="14"/>
      <c r="CF1609" s="15"/>
      <c r="CG1609" s="14"/>
      <c r="CH1609" s="14"/>
      <c r="CI1609" s="50"/>
      <c r="CJ1609" s="54"/>
      <c r="CK1609" s="14"/>
      <c r="CL1609" s="14"/>
      <c r="CM1609" s="14"/>
      <c r="CN1609" s="14"/>
      <c r="CO1609" s="14"/>
      <c r="CP1609" s="14"/>
      <c r="CQ1609" s="14"/>
      <c r="CR1609" s="14"/>
      <c r="CS1609" s="14"/>
      <c r="CT1609" s="14"/>
      <c r="CU1609" s="16"/>
      <c r="CV1609" s="14"/>
      <c r="CW1609" s="50"/>
      <c r="CX1609" s="17"/>
    </row>
    <row r="1610" spans="4:102" x14ac:dyDescent="0.25"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43"/>
      <c r="Q1610" s="11"/>
      <c r="R1610" s="11"/>
      <c r="S1610" s="11"/>
      <c r="T1610" s="11"/>
      <c r="U1610" s="11"/>
      <c r="V1610" s="11"/>
      <c r="W1610" s="11"/>
      <c r="X1610" s="12"/>
      <c r="Y1610" s="12"/>
      <c r="Z1610" s="12"/>
      <c r="AA1610" s="44"/>
      <c r="AB1610" s="45"/>
      <c r="AC1610" s="12"/>
      <c r="AD1610" s="12"/>
      <c r="AE1610" s="12"/>
      <c r="AF1610" s="12"/>
      <c r="AG1610" s="44"/>
      <c r="AH1610" s="45"/>
      <c r="AI1610" s="12"/>
      <c r="AJ1610" s="12"/>
      <c r="AK1610" s="12"/>
      <c r="AL1610" s="12"/>
      <c r="AM1610" s="44"/>
      <c r="AN1610" s="45"/>
      <c r="AO1610" s="12"/>
      <c r="AP1610" s="12"/>
      <c r="AQ1610" s="12"/>
      <c r="AR1610" s="12"/>
      <c r="AS1610" s="44"/>
      <c r="AT1610" s="45"/>
      <c r="AU1610" s="12"/>
      <c r="AV1610" s="12"/>
      <c r="AW1610" s="12"/>
      <c r="AX1610" s="12"/>
      <c r="AY1610" s="44"/>
      <c r="AZ1610" s="45"/>
      <c r="BA1610" s="12"/>
      <c r="BB1610" s="12"/>
      <c r="BC1610" s="12"/>
      <c r="BD1610" s="12"/>
      <c r="BE1610" s="44"/>
      <c r="BF1610" s="45"/>
      <c r="BG1610" s="12"/>
      <c r="BH1610" s="12"/>
      <c r="BI1610" s="12"/>
      <c r="BJ1610" s="12"/>
      <c r="BK1610" s="44"/>
      <c r="BL1610" s="45"/>
      <c r="BM1610" s="12"/>
      <c r="BN1610" s="12"/>
      <c r="BO1610" s="12"/>
      <c r="BP1610" s="12"/>
      <c r="BQ1610" s="48"/>
      <c r="BR1610" s="49"/>
      <c r="BS1610" s="13"/>
      <c r="BT1610" s="12"/>
      <c r="BV1610" s="14"/>
      <c r="BW1610" s="50"/>
      <c r="BX1610" s="54"/>
      <c r="BY1610" s="14"/>
      <c r="BZ1610" s="14"/>
      <c r="CA1610" s="14"/>
      <c r="CB1610" s="14"/>
      <c r="CC1610" s="14"/>
      <c r="CD1610" s="14"/>
      <c r="CE1610" s="14"/>
      <c r="CF1610" s="15"/>
      <c r="CG1610" s="14"/>
      <c r="CH1610" s="14"/>
      <c r="CI1610" s="50"/>
      <c r="CJ1610" s="54"/>
      <c r="CK1610" s="14"/>
      <c r="CL1610" s="14"/>
      <c r="CM1610" s="14"/>
      <c r="CN1610" s="14"/>
      <c r="CO1610" s="14"/>
      <c r="CP1610" s="14"/>
      <c r="CQ1610" s="14"/>
      <c r="CR1610" s="14"/>
      <c r="CS1610" s="14"/>
      <c r="CT1610" s="14"/>
      <c r="CU1610" s="16"/>
      <c r="CV1610" s="14"/>
      <c r="CW1610" s="50"/>
      <c r="CX1610" s="17"/>
    </row>
    <row r="1611" spans="4:102" x14ac:dyDescent="0.25"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43"/>
      <c r="Q1611" s="11"/>
      <c r="R1611" s="11"/>
      <c r="S1611" s="11"/>
      <c r="T1611" s="11"/>
      <c r="U1611" s="11"/>
      <c r="V1611" s="11"/>
      <c r="W1611" s="11"/>
      <c r="X1611" s="12"/>
      <c r="Y1611" s="12"/>
      <c r="Z1611" s="12"/>
      <c r="AA1611" s="44"/>
      <c r="AB1611" s="45"/>
      <c r="AC1611" s="12"/>
      <c r="AD1611" s="12"/>
      <c r="AE1611" s="12"/>
      <c r="AF1611" s="12"/>
      <c r="AG1611" s="44"/>
      <c r="AH1611" s="45"/>
      <c r="AI1611" s="12"/>
      <c r="AJ1611" s="12"/>
      <c r="AK1611" s="12"/>
      <c r="AL1611" s="12"/>
      <c r="AM1611" s="44"/>
      <c r="AN1611" s="45"/>
      <c r="AO1611" s="12"/>
      <c r="AP1611" s="12"/>
      <c r="AQ1611" s="12"/>
      <c r="AR1611" s="12"/>
      <c r="AS1611" s="44"/>
      <c r="AT1611" s="45"/>
      <c r="AU1611" s="12"/>
      <c r="AV1611" s="12"/>
      <c r="AW1611" s="12"/>
      <c r="AX1611" s="12"/>
      <c r="AY1611" s="44"/>
      <c r="AZ1611" s="45"/>
      <c r="BA1611" s="12"/>
      <c r="BB1611" s="12"/>
      <c r="BC1611" s="12"/>
      <c r="BD1611" s="12"/>
      <c r="BE1611" s="44"/>
      <c r="BF1611" s="45"/>
      <c r="BG1611" s="12"/>
      <c r="BH1611" s="12"/>
      <c r="BI1611" s="12"/>
      <c r="BJ1611" s="12"/>
      <c r="BK1611" s="44"/>
      <c r="BL1611" s="45"/>
      <c r="BM1611" s="12"/>
      <c r="BN1611" s="12"/>
      <c r="BO1611" s="12"/>
      <c r="BP1611" s="12"/>
      <c r="BQ1611" s="48"/>
      <c r="BR1611" s="49"/>
      <c r="BS1611" s="13"/>
      <c r="BT1611" s="12"/>
      <c r="BV1611" s="14"/>
      <c r="BW1611" s="50"/>
      <c r="BX1611" s="54"/>
      <c r="BY1611" s="14"/>
      <c r="BZ1611" s="14"/>
      <c r="CA1611" s="14"/>
      <c r="CB1611" s="14"/>
      <c r="CC1611" s="14"/>
      <c r="CD1611" s="14"/>
      <c r="CE1611" s="14"/>
      <c r="CF1611" s="15"/>
      <c r="CG1611" s="14"/>
      <c r="CH1611" s="14"/>
      <c r="CI1611" s="50"/>
      <c r="CJ1611" s="54"/>
      <c r="CK1611" s="14"/>
      <c r="CL1611" s="14"/>
      <c r="CM1611" s="14"/>
      <c r="CN1611" s="14"/>
      <c r="CO1611" s="14"/>
      <c r="CP1611" s="14"/>
      <c r="CQ1611" s="14"/>
      <c r="CR1611" s="14"/>
      <c r="CS1611" s="14"/>
      <c r="CT1611" s="14"/>
      <c r="CU1611" s="16"/>
      <c r="CV1611" s="14"/>
      <c r="CW1611" s="50"/>
      <c r="CX1611" s="17"/>
    </row>
    <row r="1612" spans="4:102" x14ac:dyDescent="0.25"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43"/>
      <c r="Q1612" s="11"/>
      <c r="R1612" s="11"/>
      <c r="S1612" s="11"/>
      <c r="T1612" s="11"/>
      <c r="U1612" s="11"/>
      <c r="V1612" s="11"/>
      <c r="W1612" s="11"/>
      <c r="X1612" s="12"/>
      <c r="Y1612" s="12"/>
      <c r="Z1612" s="12"/>
      <c r="AA1612" s="44"/>
      <c r="AB1612" s="45"/>
      <c r="AC1612" s="12"/>
      <c r="AD1612" s="12"/>
      <c r="AE1612" s="12"/>
      <c r="AF1612" s="12"/>
      <c r="AG1612" s="44"/>
      <c r="AH1612" s="45"/>
      <c r="AI1612" s="12"/>
      <c r="AJ1612" s="12"/>
      <c r="AK1612" s="12"/>
      <c r="AL1612" s="12"/>
      <c r="AM1612" s="44"/>
      <c r="AN1612" s="45"/>
      <c r="AO1612" s="12"/>
      <c r="AP1612" s="12"/>
      <c r="AQ1612" s="12"/>
      <c r="AR1612" s="12"/>
      <c r="AS1612" s="44"/>
      <c r="AT1612" s="45"/>
      <c r="AU1612" s="12"/>
      <c r="AV1612" s="12"/>
      <c r="AW1612" s="12"/>
      <c r="AX1612" s="12"/>
      <c r="AY1612" s="44"/>
      <c r="AZ1612" s="45"/>
      <c r="BA1612" s="12"/>
      <c r="BB1612" s="12"/>
      <c r="BC1612" s="12"/>
      <c r="BD1612" s="12"/>
      <c r="BE1612" s="44"/>
      <c r="BF1612" s="45"/>
      <c r="BG1612" s="12"/>
      <c r="BH1612" s="12"/>
      <c r="BI1612" s="12"/>
      <c r="BJ1612" s="12"/>
      <c r="BK1612" s="44"/>
      <c r="BL1612" s="45"/>
      <c r="BM1612" s="12"/>
      <c r="BN1612" s="12"/>
      <c r="BO1612" s="12"/>
      <c r="BP1612" s="12"/>
      <c r="BQ1612" s="48"/>
      <c r="BR1612" s="49"/>
      <c r="BS1612" s="13"/>
      <c r="BT1612" s="12"/>
      <c r="BV1612" s="14"/>
      <c r="BW1612" s="50"/>
      <c r="BX1612" s="54"/>
      <c r="BY1612" s="14"/>
      <c r="BZ1612" s="14"/>
      <c r="CA1612" s="14"/>
      <c r="CB1612" s="14"/>
      <c r="CC1612" s="14"/>
      <c r="CD1612" s="14"/>
      <c r="CE1612" s="14"/>
      <c r="CF1612" s="15"/>
      <c r="CG1612" s="14"/>
      <c r="CH1612" s="14"/>
      <c r="CI1612" s="50"/>
      <c r="CJ1612" s="54"/>
      <c r="CK1612" s="14"/>
      <c r="CL1612" s="14"/>
      <c r="CM1612" s="14"/>
      <c r="CN1612" s="14"/>
      <c r="CO1612" s="14"/>
      <c r="CP1612" s="14"/>
      <c r="CQ1612" s="14"/>
      <c r="CR1612" s="14"/>
      <c r="CS1612" s="14"/>
      <c r="CT1612" s="14"/>
      <c r="CU1612" s="16"/>
      <c r="CV1612" s="14"/>
      <c r="CW1612" s="50"/>
      <c r="CX1612" s="17"/>
    </row>
    <row r="1613" spans="4:102" x14ac:dyDescent="0.25"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43"/>
      <c r="Q1613" s="11"/>
      <c r="R1613" s="11"/>
      <c r="S1613" s="11"/>
      <c r="T1613" s="11"/>
      <c r="U1613" s="11"/>
      <c r="V1613" s="11"/>
      <c r="W1613" s="11"/>
      <c r="X1613" s="12"/>
      <c r="Y1613" s="12"/>
      <c r="Z1613" s="12"/>
      <c r="AA1613" s="44"/>
      <c r="AB1613" s="45"/>
      <c r="AC1613" s="12"/>
      <c r="AD1613" s="12"/>
      <c r="AE1613" s="12"/>
      <c r="AF1613" s="12"/>
      <c r="AG1613" s="44"/>
      <c r="AH1613" s="45"/>
      <c r="AI1613" s="12"/>
      <c r="AJ1613" s="12"/>
      <c r="AK1613" s="12"/>
      <c r="AL1613" s="12"/>
      <c r="AM1613" s="44"/>
      <c r="AN1613" s="45"/>
      <c r="AO1613" s="12"/>
      <c r="AP1613" s="12"/>
      <c r="AQ1613" s="12"/>
      <c r="AR1613" s="12"/>
      <c r="AS1613" s="44"/>
      <c r="AT1613" s="45"/>
      <c r="AU1613" s="12"/>
      <c r="AV1613" s="12"/>
      <c r="AW1613" s="12"/>
      <c r="AX1613" s="12"/>
      <c r="AY1613" s="44"/>
      <c r="AZ1613" s="45"/>
      <c r="BA1613" s="12"/>
      <c r="BB1613" s="12"/>
      <c r="BC1613" s="12"/>
      <c r="BD1613" s="12"/>
      <c r="BE1613" s="44"/>
      <c r="BF1613" s="45"/>
      <c r="BG1613" s="12"/>
      <c r="BH1613" s="12"/>
      <c r="BI1613" s="12"/>
      <c r="BJ1613" s="12"/>
      <c r="BK1613" s="44"/>
      <c r="BL1613" s="45"/>
      <c r="BM1613" s="12"/>
      <c r="BN1613" s="12"/>
      <c r="BO1613" s="12"/>
      <c r="BP1613" s="12"/>
      <c r="BQ1613" s="48"/>
      <c r="BR1613" s="49"/>
      <c r="BS1613" s="13"/>
      <c r="BT1613" s="12"/>
      <c r="BV1613" s="14"/>
      <c r="BW1613" s="50"/>
      <c r="BX1613" s="54"/>
      <c r="BY1613" s="14"/>
      <c r="BZ1613" s="14"/>
      <c r="CA1613" s="14"/>
      <c r="CB1613" s="14"/>
      <c r="CC1613" s="14"/>
      <c r="CD1613" s="14"/>
      <c r="CE1613" s="14"/>
      <c r="CF1613" s="15"/>
      <c r="CG1613" s="14"/>
      <c r="CH1613" s="14"/>
      <c r="CI1613" s="50"/>
      <c r="CJ1613" s="54"/>
      <c r="CK1613" s="14"/>
      <c r="CL1613" s="14"/>
      <c r="CM1613" s="14"/>
      <c r="CN1613" s="14"/>
      <c r="CO1613" s="14"/>
      <c r="CP1613" s="14"/>
      <c r="CQ1613" s="14"/>
      <c r="CR1613" s="14"/>
      <c r="CS1613" s="14"/>
      <c r="CT1613" s="14"/>
      <c r="CU1613" s="16"/>
      <c r="CV1613" s="14"/>
      <c r="CW1613" s="50"/>
      <c r="CX1613" s="17"/>
    </row>
    <row r="1614" spans="4:102" x14ac:dyDescent="0.25"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43"/>
      <c r="Q1614" s="11"/>
      <c r="R1614" s="11"/>
      <c r="S1614" s="11"/>
      <c r="T1614" s="11"/>
      <c r="U1614" s="11"/>
      <c r="V1614" s="11"/>
      <c r="W1614" s="11"/>
      <c r="X1614" s="12"/>
      <c r="Y1614" s="12"/>
      <c r="Z1614" s="12"/>
      <c r="AA1614" s="44"/>
      <c r="AB1614" s="45"/>
      <c r="AC1614" s="12"/>
      <c r="AD1614" s="12"/>
      <c r="AE1614" s="12"/>
      <c r="AF1614" s="12"/>
      <c r="AG1614" s="44"/>
      <c r="AH1614" s="45"/>
      <c r="AI1614" s="12"/>
      <c r="AJ1614" s="12"/>
      <c r="AK1614" s="12"/>
      <c r="AL1614" s="12"/>
      <c r="AM1614" s="44"/>
      <c r="AN1614" s="45"/>
      <c r="AO1614" s="12"/>
      <c r="AP1614" s="12"/>
      <c r="AQ1614" s="12"/>
      <c r="AR1614" s="12"/>
      <c r="AS1614" s="44"/>
      <c r="AT1614" s="45"/>
      <c r="AU1614" s="12"/>
      <c r="AV1614" s="12"/>
      <c r="AW1614" s="12"/>
      <c r="AX1614" s="12"/>
      <c r="AY1614" s="44"/>
      <c r="AZ1614" s="45"/>
      <c r="BA1614" s="12"/>
      <c r="BB1614" s="12"/>
      <c r="BC1614" s="12"/>
      <c r="BD1614" s="12"/>
      <c r="BE1614" s="44"/>
      <c r="BF1614" s="45"/>
      <c r="BG1614" s="12"/>
      <c r="BH1614" s="12"/>
      <c r="BI1614" s="12"/>
      <c r="BJ1614" s="12"/>
      <c r="BK1614" s="44"/>
      <c r="BL1614" s="45"/>
      <c r="BM1614" s="12"/>
      <c r="BN1614" s="12"/>
      <c r="BO1614" s="12"/>
      <c r="BP1614" s="12"/>
      <c r="BQ1614" s="48"/>
      <c r="BR1614" s="49"/>
      <c r="BS1614" s="13"/>
      <c r="BT1614" s="12"/>
      <c r="BV1614" s="14"/>
      <c r="BW1614" s="50"/>
      <c r="BX1614" s="54"/>
      <c r="BY1614" s="14"/>
      <c r="BZ1614" s="14"/>
      <c r="CA1614" s="14"/>
      <c r="CB1614" s="14"/>
      <c r="CC1614" s="14"/>
      <c r="CD1614" s="14"/>
      <c r="CE1614" s="14"/>
      <c r="CF1614" s="15"/>
      <c r="CG1614" s="14"/>
      <c r="CH1614" s="14"/>
      <c r="CI1614" s="50"/>
      <c r="CJ1614" s="54"/>
      <c r="CK1614" s="14"/>
      <c r="CL1614" s="14"/>
      <c r="CM1614" s="14"/>
      <c r="CN1614" s="14"/>
      <c r="CO1614" s="14"/>
      <c r="CP1614" s="14"/>
      <c r="CQ1614" s="14"/>
      <c r="CR1614" s="14"/>
      <c r="CS1614" s="14"/>
      <c r="CT1614" s="14"/>
      <c r="CU1614" s="16"/>
      <c r="CV1614" s="14"/>
      <c r="CW1614" s="50"/>
      <c r="CX1614" s="17"/>
    </row>
    <row r="1615" spans="4:102" x14ac:dyDescent="0.25"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43"/>
      <c r="Q1615" s="11"/>
      <c r="R1615" s="11"/>
      <c r="S1615" s="11"/>
      <c r="T1615" s="11"/>
      <c r="U1615" s="11"/>
      <c r="V1615" s="11"/>
      <c r="W1615" s="11"/>
      <c r="X1615" s="12"/>
      <c r="Y1615" s="12"/>
      <c r="Z1615" s="12"/>
      <c r="AA1615" s="44"/>
      <c r="AB1615" s="45"/>
      <c r="AC1615" s="12"/>
      <c r="AD1615" s="12"/>
      <c r="AE1615" s="12"/>
      <c r="AF1615" s="12"/>
      <c r="AG1615" s="44"/>
      <c r="AH1615" s="45"/>
      <c r="AI1615" s="12"/>
      <c r="AJ1615" s="12"/>
      <c r="AK1615" s="12"/>
      <c r="AL1615" s="12"/>
      <c r="AM1615" s="44"/>
      <c r="AN1615" s="45"/>
      <c r="AO1615" s="12"/>
      <c r="AP1615" s="12"/>
      <c r="AQ1615" s="12"/>
      <c r="AR1615" s="12"/>
      <c r="AS1615" s="44"/>
      <c r="AT1615" s="45"/>
      <c r="AU1615" s="12"/>
      <c r="AV1615" s="12"/>
      <c r="AW1615" s="12"/>
      <c r="AX1615" s="12"/>
      <c r="AY1615" s="44"/>
      <c r="AZ1615" s="45"/>
      <c r="BA1615" s="12"/>
      <c r="BB1615" s="12"/>
      <c r="BC1615" s="12"/>
      <c r="BD1615" s="12"/>
      <c r="BE1615" s="44"/>
      <c r="BF1615" s="45"/>
      <c r="BG1615" s="12"/>
      <c r="BH1615" s="12"/>
      <c r="BI1615" s="12"/>
      <c r="BJ1615" s="12"/>
      <c r="BK1615" s="44"/>
      <c r="BL1615" s="45"/>
      <c r="BM1615" s="12"/>
      <c r="BN1615" s="12"/>
      <c r="BO1615" s="12"/>
      <c r="BP1615" s="12"/>
      <c r="BQ1615" s="48"/>
      <c r="BR1615" s="49"/>
      <c r="BS1615" s="13"/>
      <c r="BT1615" s="12"/>
      <c r="BV1615" s="14"/>
      <c r="BW1615" s="50"/>
      <c r="BX1615" s="54"/>
      <c r="BY1615" s="14"/>
      <c r="BZ1615" s="14"/>
      <c r="CA1615" s="14"/>
      <c r="CB1615" s="14"/>
      <c r="CC1615" s="14"/>
      <c r="CD1615" s="14"/>
      <c r="CE1615" s="14"/>
      <c r="CF1615" s="15"/>
      <c r="CG1615" s="14"/>
      <c r="CH1615" s="14"/>
      <c r="CI1615" s="50"/>
      <c r="CJ1615" s="54"/>
      <c r="CK1615" s="14"/>
      <c r="CL1615" s="14"/>
      <c r="CM1615" s="14"/>
      <c r="CN1615" s="14"/>
      <c r="CO1615" s="14"/>
      <c r="CP1615" s="14"/>
      <c r="CQ1615" s="14"/>
      <c r="CR1615" s="14"/>
      <c r="CS1615" s="14"/>
      <c r="CT1615" s="14"/>
      <c r="CU1615" s="16"/>
      <c r="CV1615" s="14"/>
      <c r="CW1615" s="50"/>
      <c r="CX1615" s="17"/>
    </row>
    <row r="1616" spans="4:102" x14ac:dyDescent="0.25">
      <c r="D1616" s="11"/>
      <c r="E1616" s="11"/>
      <c r="F1616" s="11"/>
      <c r="G1616" s="11"/>
      <c r="H1616" s="11"/>
      <c r="I1616" s="11"/>
      <c r="J1616" s="11"/>
      <c r="K1616" s="11"/>
      <c r="L1616" s="11"/>
      <c r="M1616" s="11"/>
      <c r="N1616" s="11"/>
      <c r="O1616" s="11"/>
      <c r="P1616" s="43"/>
      <c r="Q1616" s="11"/>
      <c r="R1616" s="11"/>
      <c r="S1616" s="11"/>
      <c r="T1616" s="11"/>
      <c r="U1616" s="11"/>
      <c r="V1616" s="11"/>
      <c r="W1616" s="11"/>
      <c r="X1616" s="12"/>
      <c r="Y1616" s="12"/>
      <c r="Z1616" s="12"/>
      <c r="AA1616" s="44"/>
      <c r="AB1616" s="45"/>
      <c r="AC1616" s="12"/>
      <c r="AD1616" s="12"/>
      <c r="AE1616" s="12"/>
      <c r="AF1616" s="12"/>
      <c r="AG1616" s="44"/>
      <c r="AH1616" s="45"/>
      <c r="AI1616" s="12"/>
      <c r="AJ1616" s="12"/>
      <c r="AK1616" s="12"/>
      <c r="AL1616" s="12"/>
      <c r="AM1616" s="44"/>
      <c r="AN1616" s="45"/>
      <c r="AO1616" s="12"/>
      <c r="AP1616" s="12"/>
      <c r="AQ1616" s="12"/>
      <c r="AR1616" s="12"/>
      <c r="AS1616" s="44"/>
      <c r="AT1616" s="45"/>
      <c r="AU1616" s="12"/>
      <c r="AV1616" s="12"/>
      <c r="AW1616" s="12"/>
      <c r="AX1616" s="12"/>
      <c r="AY1616" s="44"/>
      <c r="AZ1616" s="45"/>
      <c r="BA1616" s="12"/>
      <c r="BB1616" s="12"/>
      <c r="BC1616" s="12"/>
      <c r="BD1616" s="12"/>
      <c r="BE1616" s="44"/>
      <c r="BF1616" s="45"/>
      <c r="BG1616" s="12"/>
      <c r="BH1616" s="12"/>
      <c r="BI1616" s="12"/>
      <c r="BJ1616" s="12"/>
      <c r="BK1616" s="44"/>
      <c r="BL1616" s="45"/>
      <c r="BM1616" s="12"/>
      <c r="BN1616" s="12"/>
      <c r="BO1616" s="12"/>
      <c r="BP1616" s="12"/>
      <c r="BQ1616" s="48"/>
      <c r="BR1616" s="49"/>
      <c r="BS1616" s="13"/>
      <c r="BT1616" s="12"/>
      <c r="BV1616" s="14"/>
      <c r="BW1616" s="50"/>
      <c r="BX1616" s="54"/>
      <c r="BY1616" s="14"/>
      <c r="BZ1616" s="14"/>
      <c r="CA1616" s="14"/>
      <c r="CB1616" s="14"/>
      <c r="CC1616" s="14"/>
      <c r="CD1616" s="14"/>
      <c r="CE1616" s="14"/>
      <c r="CF1616" s="15"/>
      <c r="CG1616" s="14"/>
      <c r="CH1616" s="14"/>
      <c r="CI1616" s="50"/>
      <c r="CJ1616" s="54"/>
      <c r="CK1616" s="14"/>
      <c r="CL1616" s="14"/>
      <c r="CM1616" s="14"/>
      <c r="CN1616" s="14"/>
      <c r="CO1616" s="14"/>
      <c r="CP1616" s="14"/>
      <c r="CQ1616" s="14"/>
      <c r="CR1616" s="14"/>
      <c r="CS1616" s="14"/>
      <c r="CT1616" s="14"/>
      <c r="CU1616" s="16"/>
      <c r="CV1616" s="14"/>
      <c r="CW1616" s="50"/>
      <c r="CX1616" s="17"/>
    </row>
    <row r="1617" spans="4:102" x14ac:dyDescent="0.25">
      <c r="D1617" s="11"/>
      <c r="E1617" s="11"/>
      <c r="F1617" s="11"/>
      <c r="G1617" s="11"/>
      <c r="H1617" s="11"/>
      <c r="I1617" s="11"/>
      <c r="J1617" s="11"/>
      <c r="K1617" s="11"/>
      <c r="L1617" s="11"/>
      <c r="M1617" s="11"/>
      <c r="N1617" s="11"/>
      <c r="O1617" s="11"/>
      <c r="P1617" s="43"/>
      <c r="Q1617" s="11"/>
      <c r="R1617" s="11"/>
      <c r="S1617" s="11"/>
      <c r="T1617" s="11"/>
      <c r="U1617" s="11"/>
      <c r="V1617" s="11"/>
      <c r="W1617" s="11"/>
      <c r="X1617" s="12"/>
      <c r="Y1617" s="12"/>
      <c r="Z1617" s="12"/>
      <c r="AA1617" s="44"/>
      <c r="AB1617" s="45"/>
      <c r="AC1617" s="12"/>
      <c r="AD1617" s="12"/>
      <c r="AE1617" s="12"/>
      <c r="AF1617" s="12"/>
      <c r="AG1617" s="44"/>
      <c r="AH1617" s="45"/>
      <c r="AI1617" s="12"/>
      <c r="AJ1617" s="12"/>
      <c r="AK1617" s="12"/>
      <c r="AL1617" s="12"/>
      <c r="AM1617" s="44"/>
      <c r="AN1617" s="45"/>
      <c r="AO1617" s="12"/>
      <c r="AP1617" s="12"/>
      <c r="AQ1617" s="12"/>
      <c r="AR1617" s="12"/>
      <c r="AS1617" s="44"/>
      <c r="AT1617" s="45"/>
      <c r="AU1617" s="12"/>
      <c r="AV1617" s="12"/>
      <c r="AW1617" s="12"/>
      <c r="AX1617" s="12"/>
      <c r="AY1617" s="44"/>
      <c r="AZ1617" s="45"/>
      <c r="BA1617" s="12"/>
      <c r="BB1617" s="12"/>
      <c r="BC1617" s="12"/>
      <c r="BD1617" s="12"/>
      <c r="BE1617" s="44"/>
      <c r="BF1617" s="45"/>
      <c r="BG1617" s="12"/>
      <c r="BH1617" s="12"/>
      <c r="BI1617" s="12"/>
      <c r="BJ1617" s="12"/>
      <c r="BK1617" s="44"/>
      <c r="BL1617" s="45"/>
      <c r="BM1617" s="12"/>
      <c r="BN1617" s="12"/>
      <c r="BO1617" s="12"/>
      <c r="BP1617" s="12"/>
      <c r="BQ1617" s="48"/>
      <c r="BR1617" s="49"/>
      <c r="BS1617" s="13"/>
      <c r="BT1617" s="12"/>
      <c r="BV1617" s="14"/>
      <c r="BW1617" s="50"/>
      <c r="BX1617" s="54"/>
      <c r="BY1617" s="14"/>
      <c r="BZ1617" s="14"/>
      <c r="CA1617" s="14"/>
      <c r="CB1617" s="14"/>
      <c r="CC1617" s="14"/>
      <c r="CD1617" s="14"/>
      <c r="CE1617" s="14"/>
      <c r="CF1617" s="15"/>
      <c r="CG1617" s="14"/>
      <c r="CH1617" s="14"/>
      <c r="CI1617" s="50"/>
      <c r="CJ1617" s="54"/>
      <c r="CK1617" s="14"/>
      <c r="CL1617" s="14"/>
      <c r="CM1617" s="14"/>
      <c r="CN1617" s="14"/>
      <c r="CO1617" s="14"/>
      <c r="CP1617" s="14"/>
      <c r="CQ1617" s="14"/>
      <c r="CR1617" s="14"/>
      <c r="CS1617" s="14"/>
      <c r="CT1617" s="14"/>
      <c r="CU1617" s="16"/>
      <c r="CV1617" s="14"/>
      <c r="CW1617" s="50"/>
      <c r="CX1617" s="17"/>
    </row>
    <row r="1618" spans="4:102" x14ac:dyDescent="0.25">
      <c r="D1618" s="11"/>
      <c r="E1618" s="11"/>
      <c r="F1618" s="11"/>
      <c r="G1618" s="11"/>
      <c r="H1618" s="11"/>
      <c r="I1618" s="11"/>
      <c r="J1618" s="11"/>
      <c r="K1618" s="11"/>
      <c r="L1618" s="11"/>
      <c r="M1618" s="11"/>
      <c r="N1618" s="11"/>
      <c r="O1618" s="11"/>
      <c r="P1618" s="43"/>
      <c r="Q1618" s="11"/>
      <c r="R1618" s="11"/>
      <c r="S1618" s="11"/>
      <c r="T1618" s="11"/>
      <c r="U1618" s="11"/>
      <c r="V1618" s="11"/>
      <c r="W1618" s="11"/>
      <c r="X1618" s="12"/>
      <c r="Y1618" s="12"/>
      <c r="Z1618" s="12"/>
      <c r="AA1618" s="44"/>
      <c r="AB1618" s="45"/>
      <c r="AC1618" s="12"/>
      <c r="AD1618" s="12"/>
      <c r="AE1618" s="12"/>
      <c r="AF1618" s="12"/>
      <c r="AG1618" s="44"/>
      <c r="AH1618" s="45"/>
      <c r="AI1618" s="12"/>
      <c r="AJ1618" s="12"/>
      <c r="AK1618" s="12"/>
      <c r="AL1618" s="12"/>
      <c r="AM1618" s="44"/>
      <c r="AN1618" s="45"/>
      <c r="AO1618" s="12"/>
      <c r="AP1618" s="12"/>
      <c r="AQ1618" s="12"/>
      <c r="AR1618" s="12"/>
      <c r="AS1618" s="44"/>
      <c r="AT1618" s="45"/>
      <c r="AU1618" s="12"/>
      <c r="AV1618" s="12"/>
      <c r="AW1618" s="12"/>
      <c r="AX1618" s="12"/>
      <c r="AY1618" s="44"/>
      <c r="AZ1618" s="45"/>
      <c r="BA1618" s="12"/>
      <c r="BB1618" s="12"/>
      <c r="BC1618" s="12"/>
      <c r="BD1618" s="12"/>
      <c r="BE1618" s="44"/>
      <c r="BF1618" s="45"/>
      <c r="BG1618" s="12"/>
      <c r="BH1618" s="12"/>
      <c r="BI1618" s="12"/>
      <c r="BJ1618" s="12"/>
      <c r="BK1618" s="44"/>
      <c r="BL1618" s="45"/>
      <c r="BM1618" s="12"/>
      <c r="BN1618" s="12"/>
      <c r="BO1618" s="12"/>
      <c r="BP1618" s="12"/>
      <c r="BQ1618" s="48"/>
      <c r="BR1618" s="49"/>
      <c r="BS1618" s="13"/>
      <c r="BT1618" s="12"/>
      <c r="BV1618" s="14"/>
      <c r="BW1618" s="50"/>
      <c r="BX1618" s="54"/>
      <c r="BY1618" s="14"/>
      <c r="BZ1618" s="14"/>
      <c r="CA1618" s="14"/>
      <c r="CB1618" s="14"/>
      <c r="CC1618" s="14"/>
      <c r="CD1618" s="14"/>
      <c r="CE1618" s="14"/>
      <c r="CF1618" s="15"/>
      <c r="CG1618" s="14"/>
      <c r="CH1618" s="14"/>
      <c r="CI1618" s="50"/>
      <c r="CJ1618" s="54"/>
      <c r="CK1618" s="14"/>
      <c r="CL1618" s="14"/>
      <c r="CM1618" s="14"/>
      <c r="CN1618" s="14"/>
      <c r="CO1618" s="14"/>
      <c r="CP1618" s="14"/>
      <c r="CQ1618" s="14"/>
      <c r="CR1618" s="14"/>
      <c r="CS1618" s="14"/>
      <c r="CT1618" s="14"/>
      <c r="CU1618" s="16"/>
      <c r="CV1618" s="14"/>
      <c r="CW1618" s="50"/>
      <c r="CX1618" s="17"/>
    </row>
    <row r="1619" spans="4:102" x14ac:dyDescent="0.25">
      <c r="D1619" s="11"/>
      <c r="E1619" s="11"/>
      <c r="F1619" s="11"/>
      <c r="G1619" s="11"/>
      <c r="H1619" s="11"/>
      <c r="I1619" s="11"/>
      <c r="J1619" s="11"/>
      <c r="K1619" s="11"/>
      <c r="L1619" s="11"/>
      <c r="M1619" s="11"/>
      <c r="N1619" s="11"/>
      <c r="O1619" s="11"/>
      <c r="P1619" s="43"/>
      <c r="Q1619" s="11"/>
      <c r="R1619" s="11"/>
      <c r="S1619" s="11"/>
      <c r="T1619" s="11"/>
      <c r="U1619" s="11"/>
      <c r="V1619" s="11"/>
      <c r="W1619" s="11"/>
      <c r="X1619" s="12"/>
      <c r="Y1619" s="12"/>
      <c r="Z1619" s="12"/>
      <c r="AA1619" s="44"/>
      <c r="AB1619" s="45"/>
      <c r="AC1619" s="12"/>
      <c r="AD1619" s="12"/>
      <c r="AE1619" s="12"/>
      <c r="AF1619" s="12"/>
      <c r="AG1619" s="44"/>
      <c r="AH1619" s="45"/>
      <c r="AI1619" s="12"/>
      <c r="AJ1619" s="12"/>
      <c r="AK1619" s="12"/>
      <c r="AL1619" s="12"/>
      <c r="AM1619" s="44"/>
      <c r="AN1619" s="45"/>
      <c r="AO1619" s="12"/>
      <c r="AP1619" s="12"/>
      <c r="AQ1619" s="12"/>
      <c r="AR1619" s="12"/>
      <c r="AS1619" s="44"/>
      <c r="AT1619" s="45"/>
      <c r="AU1619" s="12"/>
      <c r="AV1619" s="12"/>
      <c r="AW1619" s="12"/>
      <c r="AX1619" s="12"/>
      <c r="AY1619" s="44"/>
      <c r="AZ1619" s="45"/>
      <c r="BA1619" s="12"/>
      <c r="BB1619" s="12"/>
      <c r="BC1619" s="12"/>
      <c r="BD1619" s="12"/>
      <c r="BE1619" s="44"/>
      <c r="BF1619" s="45"/>
      <c r="BG1619" s="12"/>
      <c r="BH1619" s="12"/>
      <c r="BI1619" s="12"/>
      <c r="BJ1619" s="12"/>
      <c r="BK1619" s="44"/>
      <c r="BL1619" s="45"/>
      <c r="BM1619" s="12"/>
      <c r="BN1619" s="12"/>
      <c r="BO1619" s="12"/>
      <c r="BP1619" s="12"/>
      <c r="BQ1619" s="48"/>
      <c r="BR1619" s="49"/>
      <c r="BS1619" s="13"/>
      <c r="BT1619" s="12"/>
      <c r="BV1619" s="14"/>
      <c r="BW1619" s="50"/>
      <c r="BX1619" s="54"/>
      <c r="BY1619" s="14"/>
      <c r="BZ1619" s="14"/>
      <c r="CA1619" s="14"/>
      <c r="CB1619" s="14"/>
      <c r="CC1619" s="14"/>
      <c r="CD1619" s="14"/>
      <c r="CE1619" s="14"/>
      <c r="CF1619" s="15"/>
      <c r="CG1619" s="14"/>
      <c r="CH1619" s="14"/>
      <c r="CI1619" s="50"/>
      <c r="CJ1619" s="54"/>
      <c r="CK1619" s="14"/>
      <c r="CL1619" s="14"/>
      <c r="CM1619" s="14"/>
      <c r="CN1619" s="14"/>
      <c r="CO1619" s="14"/>
      <c r="CP1619" s="14"/>
      <c r="CQ1619" s="14"/>
      <c r="CR1619" s="14"/>
      <c r="CS1619" s="14"/>
      <c r="CT1619" s="14"/>
      <c r="CU1619" s="16"/>
      <c r="CV1619" s="14"/>
      <c r="CW1619" s="50"/>
      <c r="CX1619" s="17"/>
    </row>
    <row r="1620" spans="4:102" x14ac:dyDescent="0.25">
      <c r="D1620" s="11"/>
      <c r="E1620" s="11"/>
      <c r="F1620" s="11"/>
      <c r="G1620" s="11"/>
      <c r="H1620" s="11"/>
      <c r="I1620" s="11"/>
      <c r="J1620" s="11"/>
      <c r="K1620" s="11"/>
      <c r="L1620" s="11"/>
      <c r="M1620" s="11"/>
      <c r="N1620" s="11"/>
      <c r="O1620" s="11"/>
      <c r="P1620" s="43"/>
      <c r="Q1620" s="11"/>
      <c r="R1620" s="11"/>
      <c r="S1620" s="11"/>
      <c r="T1620" s="11"/>
      <c r="U1620" s="11"/>
      <c r="V1620" s="11"/>
      <c r="W1620" s="11"/>
      <c r="X1620" s="12"/>
      <c r="Y1620" s="12"/>
      <c r="Z1620" s="12"/>
      <c r="AA1620" s="44"/>
      <c r="AB1620" s="45"/>
      <c r="AC1620" s="12"/>
      <c r="AD1620" s="12"/>
      <c r="AE1620" s="12"/>
      <c r="AF1620" s="12"/>
      <c r="AG1620" s="44"/>
      <c r="AH1620" s="45"/>
      <c r="AI1620" s="12"/>
      <c r="AJ1620" s="12"/>
      <c r="AK1620" s="12"/>
      <c r="AL1620" s="12"/>
      <c r="AM1620" s="44"/>
      <c r="AN1620" s="45"/>
      <c r="AO1620" s="12"/>
      <c r="AP1620" s="12"/>
      <c r="AQ1620" s="12"/>
      <c r="AR1620" s="12"/>
      <c r="AS1620" s="44"/>
      <c r="AT1620" s="45"/>
      <c r="AU1620" s="12"/>
      <c r="AV1620" s="12"/>
      <c r="AW1620" s="12"/>
      <c r="AX1620" s="12"/>
      <c r="AY1620" s="44"/>
      <c r="AZ1620" s="45"/>
      <c r="BA1620" s="12"/>
      <c r="BB1620" s="12"/>
      <c r="BC1620" s="12"/>
      <c r="BD1620" s="12"/>
      <c r="BE1620" s="44"/>
      <c r="BF1620" s="45"/>
      <c r="BG1620" s="12"/>
      <c r="BH1620" s="12"/>
      <c r="BI1620" s="12"/>
      <c r="BJ1620" s="12"/>
      <c r="BK1620" s="44"/>
      <c r="BL1620" s="45"/>
      <c r="BM1620" s="12"/>
      <c r="BN1620" s="12"/>
      <c r="BO1620" s="12"/>
      <c r="BP1620" s="12"/>
      <c r="BQ1620" s="48"/>
      <c r="BR1620" s="49"/>
      <c r="BS1620" s="13"/>
      <c r="BT1620" s="12"/>
      <c r="BV1620" s="14"/>
      <c r="BW1620" s="50"/>
      <c r="BX1620" s="54"/>
      <c r="BY1620" s="14"/>
      <c r="BZ1620" s="14"/>
      <c r="CA1620" s="14"/>
      <c r="CB1620" s="14"/>
      <c r="CC1620" s="14"/>
      <c r="CD1620" s="14"/>
      <c r="CE1620" s="14"/>
      <c r="CF1620" s="15"/>
      <c r="CG1620" s="14"/>
      <c r="CH1620" s="14"/>
      <c r="CI1620" s="50"/>
      <c r="CJ1620" s="54"/>
      <c r="CK1620" s="14"/>
      <c r="CL1620" s="14"/>
      <c r="CM1620" s="14"/>
      <c r="CN1620" s="14"/>
      <c r="CO1620" s="14"/>
      <c r="CP1620" s="14"/>
      <c r="CQ1620" s="14"/>
      <c r="CR1620" s="14"/>
      <c r="CS1620" s="14"/>
      <c r="CT1620" s="14"/>
      <c r="CU1620" s="16"/>
      <c r="CV1620" s="14"/>
      <c r="CW1620" s="50"/>
      <c r="CX1620" s="17"/>
    </row>
    <row r="1621" spans="4:102" x14ac:dyDescent="0.25">
      <c r="D1621" s="11"/>
      <c r="E1621" s="11"/>
      <c r="F1621" s="11"/>
      <c r="G1621" s="11"/>
      <c r="H1621" s="11"/>
      <c r="I1621" s="11"/>
      <c r="J1621" s="11"/>
      <c r="K1621" s="11"/>
      <c r="L1621" s="11"/>
      <c r="M1621" s="11"/>
      <c r="N1621" s="11"/>
      <c r="O1621" s="11"/>
      <c r="P1621" s="43"/>
      <c r="Q1621" s="11"/>
      <c r="R1621" s="11"/>
      <c r="S1621" s="11"/>
      <c r="T1621" s="11"/>
      <c r="U1621" s="11"/>
      <c r="V1621" s="11"/>
      <c r="W1621" s="11"/>
      <c r="X1621" s="12"/>
      <c r="Y1621" s="12"/>
      <c r="Z1621" s="12"/>
      <c r="AA1621" s="44"/>
      <c r="AB1621" s="45"/>
      <c r="AC1621" s="12"/>
      <c r="AD1621" s="12"/>
      <c r="AE1621" s="12"/>
      <c r="AF1621" s="12"/>
      <c r="AG1621" s="44"/>
      <c r="AH1621" s="45"/>
      <c r="AI1621" s="12"/>
      <c r="AJ1621" s="12"/>
      <c r="AK1621" s="12"/>
      <c r="AL1621" s="12"/>
      <c r="AM1621" s="44"/>
      <c r="AN1621" s="45"/>
      <c r="AO1621" s="12"/>
      <c r="AP1621" s="12"/>
      <c r="AQ1621" s="12"/>
      <c r="AR1621" s="12"/>
      <c r="AS1621" s="44"/>
      <c r="AT1621" s="45"/>
      <c r="AU1621" s="12"/>
      <c r="AV1621" s="12"/>
      <c r="AW1621" s="12"/>
      <c r="AX1621" s="12"/>
      <c r="AY1621" s="44"/>
      <c r="AZ1621" s="45"/>
      <c r="BA1621" s="12"/>
      <c r="BB1621" s="12"/>
      <c r="BC1621" s="12"/>
      <c r="BD1621" s="12"/>
      <c r="BE1621" s="44"/>
      <c r="BF1621" s="45"/>
      <c r="BG1621" s="12"/>
      <c r="BH1621" s="12"/>
      <c r="BI1621" s="12"/>
      <c r="BJ1621" s="12"/>
      <c r="BK1621" s="44"/>
      <c r="BL1621" s="45"/>
      <c r="BM1621" s="12"/>
      <c r="BN1621" s="12"/>
      <c r="BO1621" s="12"/>
      <c r="BP1621" s="12"/>
      <c r="BQ1621" s="48"/>
      <c r="BR1621" s="49"/>
      <c r="BS1621" s="13"/>
      <c r="BT1621" s="12"/>
      <c r="BV1621" s="14"/>
      <c r="BW1621" s="50"/>
      <c r="BX1621" s="54"/>
      <c r="BY1621" s="14"/>
      <c r="BZ1621" s="14"/>
      <c r="CA1621" s="14"/>
      <c r="CB1621" s="14"/>
      <c r="CC1621" s="14"/>
      <c r="CD1621" s="14"/>
      <c r="CE1621" s="14"/>
      <c r="CF1621" s="15"/>
      <c r="CG1621" s="14"/>
      <c r="CH1621" s="14"/>
      <c r="CI1621" s="50"/>
      <c r="CJ1621" s="54"/>
      <c r="CK1621" s="14"/>
      <c r="CL1621" s="14"/>
      <c r="CM1621" s="14"/>
      <c r="CN1621" s="14"/>
      <c r="CO1621" s="14"/>
      <c r="CP1621" s="14"/>
      <c r="CQ1621" s="14"/>
      <c r="CR1621" s="14"/>
      <c r="CS1621" s="14"/>
      <c r="CT1621" s="14"/>
      <c r="CU1621" s="16"/>
      <c r="CV1621" s="14"/>
      <c r="CW1621" s="50"/>
      <c r="CX1621" s="17"/>
    </row>
    <row r="1622" spans="4:102" x14ac:dyDescent="0.25">
      <c r="D1622" s="11"/>
      <c r="E1622" s="11"/>
      <c r="F1622" s="11"/>
      <c r="G1622" s="11"/>
      <c r="H1622" s="11"/>
      <c r="I1622" s="11"/>
      <c r="J1622" s="11"/>
      <c r="K1622" s="11"/>
      <c r="L1622" s="11"/>
      <c r="M1622" s="11"/>
      <c r="N1622" s="11"/>
      <c r="O1622" s="11"/>
      <c r="P1622" s="43"/>
      <c r="Q1622" s="11"/>
      <c r="R1622" s="11"/>
      <c r="S1622" s="11"/>
      <c r="T1622" s="11"/>
      <c r="U1622" s="11"/>
      <c r="V1622" s="11"/>
      <c r="W1622" s="11"/>
      <c r="X1622" s="12"/>
      <c r="Y1622" s="12"/>
      <c r="Z1622" s="12"/>
      <c r="AA1622" s="44"/>
      <c r="AB1622" s="45"/>
      <c r="AC1622" s="12"/>
      <c r="AD1622" s="12"/>
      <c r="AE1622" s="12"/>
      <c r="AF1622" s="12"/>
      <c r="AG1622" s="44"/>
      <c r="AH1622" s="45"/>
      <c r="AI1622" s="12"/>
      <c r="AJ1622" s="12"/>
      <c r="AK1622" s="12"/>
      <c r="AL1622" s="12"/>
      <c r="AM1622" s="44"/>
      <c r="AN1622" s="45"/>
      <c r="AO1622" s="12"/>
      <c r="AP1622" s="12"/>
      <c r="AQ1622" s="12"/>
      <c r="AR1622" s="12"/>
      <c r="AS1622" s="44"/>
      <c r="AT1622" s="45"/>
      <c r="AU1622" s="12"/>
      <c r="AV1622" s="12"/>
      <c r="AW1622" s="12"/>
      <c r="AX1622" s="12"/>
      <c r="AY1622" s="44"/>
      <c r="AZ1622" s="45"/>
      <c r="BA1622" s="12"/>
      <c r="BB1622" s="12"/>
      <c r="BC1622" s="12"/>
      <c r="BD1622" s="12"/>
      <c r="BE1622" s="44"/>
      <c r="BF1622" s="45"/>
      <c r="BG1622" s="12"/>
      <c r="BH1622" s="12"/>
      <c r="BI1622" s="12"/>
      <c r="BJ1622" s="12"/>
      <c r="BK1622" s="44"/>
      <c r="BL1622" s="45"/>
      <c r="BM1622" s="12"/>
      <c r="BN1622" s="12"/>
      <c r="BO1622" s="12"/>
      <c r="BP1622" s="12"/>
      <c r="BQ1622" s="48"/>
      <c r="BR1622" s="49"/>
      <c r="BS1622" s="13"/>
      <c r="BT1622" s="12"/>
      <c r="BV1622" s="14"/>
      <c r="BW1622" s="50"/>
      <c r="BX1622" s="54"/>
      <c r="BY1622" s="14"/>
      <c r="BZ1622" s="14"/>
      <c r="CA1622" s="14"/>
      <c r="CB1622" s="14"/>
      <c r="CC1622" s="14"/>
      <c r="CD1622" s="14"/>
      <c r="CE1622" s="14"/>
      <c r="CF1622" s="15"/>
      <c r="CG1622" s="14"/>
      <c r="CH1622" s="14"/>
      <c r="CI1622" s="50"/>
      <c r="CJ1622" s="54"/>
      <c r="CK1622" s="14"/>
      <c r="CL1622" s="14"/>
      <c r="CM1622" s="14"/>
      <c r="CN1622" s="14"/>
      <c r="CO1622" s="14"/>
      <c r="CP1622" s="14"/>
      <c r="CQ1622" s="14"/>
      <c r="CR1622" s="14"/>
      <c r="CS1622" s="14"/>
      <c r="CT1622" s="14"/>
      <c r="CU1622" s="16"/>
      <c r="CV1622" s="14"/>
      <c r="CW1622" s="50"/>
      <c r="CX1622" s="17"/>
    </row>
    <row r="1623" spans="4:102" x14ac:dyDescent="0.25">
      <c r="D1623" s="11"/>
      <c r="E1623" s="11"/>
      <c r="F1623" s="11"/>
      <c r="G1623" s="11"/>
      <c r="H1623" s="11"/>
      <c r="I1623" s="11"/>
      <c r="J1623" s="11"/>
      <c r="K1623" s="11"/>
      <c r="L1623" s="11"/>
      <c r="M1623" s="11"/>
      <c r="N1623" s="11"/>
      <c r="O1623" s="11"/>
      <c r="P1623" s="43"/>
      <c r="Q1623" s="11"/>
      <c r="R1623" s="11"/>
      <c r="S1623" s="11"/>
      <c r="T1623" s="11"/>
      <c r="U1623" s="11"/>
      <c r="V1623" s="11"/>
      <c r="W1623" s="11"/>
      <c r="X1623" s="12"/>
      <c r="Y1623" s="12"/>
      <c r="Z1623" s="12"/>
      <c r="AA1623" s="44"/>
      <c r="AB1623" s="45"/>
      <c r="AC1623" s="12"/>
      <c r="AD1623" s="12"/>
      <c r="AE1623" s="12"/>
      <c r="AF1623" s="12"/>
      <c r="AG1623" s="44"/>
      <c r="AH1623" s="45"/>
      <c r="AI1623" s="12"/>
      <c r="AJ1623" s="12"/>
      <c r="AK1623" s="12"/>
      <c r="AL1623" s="12"/>
      <c r="AM1623" s="44"/>
      <c r="AN1623" s="45"/>
      <c r="AO1623" s="12"/>
      <c r="AP1623" s="12"/>
      <c r="AQ1623" s="12"/>
      <c r="AR1623" s="12"/>
      <c r="AS1623" s="44"/>
      <c r="AT1623" s="45"/>
      <c r="AU1623" s="12"/>
      <c r="AV1623" s="12"/>
      <c r="AW1623" s="12"/>
      <c r="AX1623" s="12"/>
      <c r="AY1623" s="44"/>
      <c r="AZ1623" s="45"/>
      <c r="BA1623" s="12"/>
      <c r="BB1623" s="12"/>
      <c r="BC1623" s="12"/>
      <c r="BD1623" s="12"/>
      <c r="BE1623" s="44"/>
      <c r="BF1623" s="45"/>
      <c r="BG1623" s="12"/>
      <c r="BH1623" s="12"/>
      <c r="BI1623" s="12"/>
      <c r="BJ1623" s="12"/>
      <c r="BK1623" s="44"/>
      <c r="BL1623" s="45"/>
      <c r="BM1623" s="12"/>
      <c r="BN1623" s="12"/>
      <c r="BO1623" s="12"/>
      <c r="BP1623" s="12"/>
      <c r="BQ1623" s="48"/>
      <c r="BR1623" s="49"/>
      <c r="BS1623" s="13"/>
      <c r="BT1623" s="12"/>
      <c r="BV1623" s="14"/>
      <c r="BW1623" s="50"/>
      <c r="BX1623" s="54"/>
      <c r="BY1623" s="14"/>
      <c r="BZ1623" s="14"/>
      <c r="CA1623" s="14"/>
      <c r="CB1623" s="14"/>
      <c r="CC1623" s="14"/>
      <c r="CD1623" s="14"/>
      <c r="CE1623" s="14"/>
      <c r="CF1623" s="15"/>
      <c r="CG1623" s="14"/>
      <c r="CH1623" s="14"/>
      <c r="CI1623" s="50"/>
      <c r="CJ1623" s="54"/>
      <c r="CK1623" s="14"/>
      <c r="CL1623" s="14"/>
      <c r="CM1623" s="14"/>
      <c r="CN1623" s="14"/>
      <c r="CO1623" s="14"/>
      <c r="CP1623" s="14"/>
      <c r="CQ1623" s="14"/>
      <c r="CR1623" s="14"/>
      <c r="CS1623" s="14"/>
      <c r="CT1623" s="14"/>
      <c r="CU1623" s="16"/>
      <c r="CV1623" s="14"/>
      <c r="CW1623" s="50"/>
      <c r="CX1623" s="17"/>
    </row>
    <row r="1624" spans="4:102" x14ac:dyDescent="0.25">
      <c r="D1624" s="11"/>
      <c r="E1624" s="11"/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43"/>
      <c r="Q1624" s="11"/>
      <c r="R1624" s="11"/>
      <c r="S1624" s="11"/>
      <c r="T1624" s="11"/>
      <c r="U1624" s="11"/>
      <c r="V1624" s="11"/>
      <c r="W1624" s="11"/>
      <c r="X1624" s="12"/>
      <c r="Y1624" s="12"/>
      <c r="Z1624" s="12"/>
      <c r="AA1624" s="44"/>
      <c r="AB1624" s="45"/>
      <c r="AC1624" s="12"/>
      <c r="AD1624" s="12"/>
      <c r="AE1624" s="12"/>
      <c r="AF1624" s="12"/>
      <c r="AG1624" s="44"/>
      <c r="AH1624" s="45"/>
      <c r="AI1624" s="12"/>
      <c r="AJ1624" s="12"/>
      <c r="AK1624" s="12"/>
      <c r="AL1624" s="12"/>
      <c r="AM1624" s="44"/>
      <c r="AN1624" s="45"/>
      <c r="AO1624" s="12"/>
      <c r="AP1624" s="12"/>
      <c r="AQ1624" s="12"/>
      <c r="AR1624" s="12"/>
      <c r="AS1624" s="44"/>
      <c r="AT1624" s="45"/>
      <c r="AU1624" s="12"/>
      <c r="AV1624" s="12"/>
      <c r="AW1624" s="12"/>
      <c r="AX1624" s="12"/>
      <c r="AY1624" s="44"/>
      <c r="AZ1624" s="45"/>
      <c r="BA1624" s="12"/>
      <c r="BB1624" s="12"/>
      <c r="BC1624" s="12"/>
      <c r="BD1624" s="12"/>
      <c r="BE1624" s="44"/>
      <c r="BF1624" s="45"/>
      <c r="BG1624" s="12"/>
      <c r="BH1624" s="12"/>
      <c r="BI1624" s="12"/>
      <c r="BJ1624" s="12"/>
      <c r="BK1624" s="44"/>
      <c r="BL1624" s="45"/>
      <c r="BM1624" s="12"/>
      <c r="BN1624" s="12"/>
      <c r="BO1624" s="12"/>
      <c r="BP1624" s="12"/>
      <c r="BQ1624" s="48"/>
      <c r="BR1624" s="49"/>
      <c r="BS1624" s="13"/>
      <c r="BT1624" s="12"/>
      <c r="BV1624" s="14"/>
      <c r="BW1624" s="50"/>
      <c r="BX1624" s="54"/>
      <c r="BY1624" s="14"/>
      <c r="BZ1624" s="14"/>
      <c r="CA1624" s="14"/>
      <c r="CB1624" s="14"/>
      <c r="CC1624" s="14"/>
      <c r="CD1624" s="14"/>
      <c r="CE1624" s="14"/>
      <c r="CF1624" s="15"/>
      <c r="CG1624" s="14"/>
      <c r="CH1624" s="14"/>
      <c r="CI1624" s="50"/>
      <c r="CJ1624" s="54"/>
      <c r="CK1624" s="14"/>
      <c r="CL1624" s="14"/>
      <c r="CM1624" s="14"/>
      <c r="CN1624" s="14"/>
      <c r="CO1624" s="14"/>
      <c r="CP1624" s="14"/>
      <c r="CQ1624" s="14"/>
      <c r="CR1624" s="14"/>
      <c r="CS1624" s="14"/>
      <c r="CT1624" s="14"/>
      <c r="CU1624" s="16"/>
      <c r="CV1624" s="14"/>
      <c r="CW1624" s="50"/>
      <c r="CX1624" s="17"/>
    </row>
    <row r="1625" spans="4:102" x14ac:dyDescent="0.25">
      <c r="D1625" s="11"/>
      <c r="E1625" s="11"/>
      <c r="F1625" s="11"/>
      <c r="G1625" s="11"/>
      <c r="H1625" s="11"/>
      <c r="I1625" s="11"/>
      <c r="J1625" s="11"/>
      <c r="K1625" s="11"/>
      <c r="L1625" s="11"/>
      <c r="M1625" s="11"/>
      <c r="N1625" s="11"/>
      <c r="O1625" s="11"/>
      <c r="P1625" s="43"/>
      <c r="Q1625" s="11"/>
      <c r="R1625" s="11"/>
      <c r="S1625" s="11"/>
      <c r="T1625" s="11"/>
      <c r="U1625" s="11"/>
      <c r="V1625" s="11"/>
      <c r="W1625" s="11"/>
      <c r="X1625" s="12"/>
      <c r="Y1625" s="12"/>
      <c r="Z1625" s="12"/>
      <c r="AA1625" s="44"/>
      <c r="AB1625" s="45"/>
      <c r="AC1625" s="12"/>
      <c r="AD1625" s="12"/>
      <c r="AE1625" s="12"/>
      <c r="AF1625" s="12"/>
      <c r="AG1625" s="44"/>
      <c r="AH1625" s="45"/>
      <c r="AI1625" s="12"/>
      <c r="AJ1625" s="12"/>
      <c r="AK1625" s="12"/>
      <c r="AL1625" s="12"/>
      <c r="AM1625" s="44"/>
      <c r="AN1625" s="45"/>
      <c r="AO1625" s="12"/>
      <c r="AP1625" s="12"/>
      <c r="AQ1625" s="12"/>
      <c r="AR1625" s="12"/>
      <c r="AS1625" s="44"/>
      <c r="AT1625" s="45"/>
      <c r="AU1625" s="12"/>
      <c r="AV1625" s="12"/>
      <c r="AW1625" s="12"/>
      <c r="AX1625" s="12"/>
      <c r="AY1625" s="44"/>
      <c r="AZ1625" s="45"/>
      <c r="BA1625" s="12"/>
      <c r="BB1625" s="12"/>
      <c r="BC1625" s="12"/>
      <c r="BD1625" s="12"/>
      <c r="BE1625" s="44"/>
      <c r="BF1625" s="45"/>
      <c r="BG1625" s="12"/>
      <c r="BH1625" s="12"/>
      <c r="BI1625" s="12"/>
      <c r="BJ1625" s="12"/>
      <c r="BK1625" s="44"/>
      <c r="BL1625" s="45"/>
      <c r="BM1625" s="12"/>
      <c r="BN1625" s="12"/>
      <c r="BO1625" s="12"/>
      <c r="BP1625" s="12"/>
      <c r="BQ1625" s="48"/>
      <c r="BR1625" s="49"/>
      <c r="BS1625" s="13"/>
      <c r="BT1625" s="12"/>
      <c r="BV1625" s="14"/>
      <c r="BW1625" s="50"/>
      <c r="BX1625" s="54"/>
      <c r="BY1625" s="14"/>
      <c r="BZ1625" s="14"/>
      <c r="CA1625" s="14"/>
      <c r="CB1625" s="14"/>
      <c r="CC1625" s="14"/>
      <c r="CD1625" s="14"/>
      <c r="CE1625" s="14"/>
      <c r="CF1625" s="15"/>
      <c r="CG1625" s="14"/>
      <c r="CH1625" s="14"/>
      <c r="CI1625" s="50"/>
      <c r="CJ1625" s="54"/>
      <c r="CK1625" s="14"/>
      <c r="CL1625" s="14"/>
      <c r="CM1625" s="14"/>
      <c r="CN1625" s="14"/>
      <c r="CO1625" s="14"/>
      <c r="CP1625" s="14"/>
      <c r="CQ1625" s="14"/>
      <c r="CR1625" s="14"/>
      <c r="CS1625" s="14"/>
      <c r="CT1625" s="14"/>
      <c r="CU1625" s="16"/>
      <c r="CV1625" s="14"/>
      <c r="CW1625" s="50"/>
      <c r="CX1625" s="17"/>
    </row>
    <row r="1626" spans="4:102" x14ac:dyDescent="0.25">
      <c r="D1626" s="11"/>
      <c r="E1626" s="11"/>
      <c r="F1626" s="11"/>
      <c r="G1626" s="11"/>
      <c r="H1626" s="11"/>
      <c r="I1626" s="11"/>
      <c r="J1626" s="11"/>
      <c r="K1626" s="11"/>
      <c r="L1626" s="11"/>
      <c r="M1626" s="11"/>
      <c r="N1626" s="11"/>
      <c r="O1626" s="11"/>
      <c r="P1626" s="43"/>
      <c r="Q1626" s="11"/>
      <c r="R1626" s="11"/>
      <c r="S1626" s="11"/>
      <c r="T1626" s="11"/>
      <c r="U1626" s="11"/>
      <c r="V1626" s="11"/>
      <c r="W1626" s="11"/>
      <c r="X1626" s="12"/>
      <c r="Y1626" s="12"/>
      <c r="Z1626" s="12"/>
      <c r="AA1626" s="44"/>
      <c r="AB1626" s="45"/>
      <c r="AC1626" s="12"/>
      <c r="AD1626" s="12"/>
      <c r="AE1626" s="12"/>
      <c r="AF1626" s="12"/>
      <c r="AG1626" s="44"/>
      <c r="AH1626" s="45"/>
      <c r="AI1626" s="12"/>
      <c r="AJ1626" s="12"/>
      <c r="AK1626" s="12"/>
      <c r="AL1626" s="12"/>
      <c r="AM1626" s="44"/>
      <c r="AN1626" s="45"/>
      <c r="AO1626" s="12"/>
      <c r="AP1626" s="12"/>
      <c r="AQ1626" s="12"/>
      <c r="AR1626" s="12"/>
      <c r="AS1626" s="44"/>
      <c r="AT1626" s="45"/>
      <c r="AU1626" s="12"/>
      <c r="AV1626" s="12"/>
      <c r="AW1626" s="12"/>
      <c r="AX1626" s="12"/>
      <c r="AY1626" s="44"/>
      <c r="AZ1626" s="45"/>
      <c r="BA1626" s="12"/>
      <c r="BB1626" s="12"/>
      <c r="BC1626" s="12"/>
      <c r="BD1626" s="12"/>
      <c r="BE1626" s="44"/>
      <c r="BF1626" s="45"/>
      <c r="BG1626" s="12"/>
      <c r="BH1626" s="12"/>
      <c r="BI1626" s="12"/>
      <c r="BJ1626" s="12"/>
      <c r="BK1626" s="44"/>
      <c r="BL1626" s="45"/>
      <c r="BM1626" s="12"/>
      <c r="BN1626" s="12"/>
      <c r="BO1626" s="12"/>
      <c r="BP1626" s="12"/>
      <c r="BQ1626" s="48"/>
      <c r="BR1626" s="49"/>
      <c r="BS1626" s="13"/>
      <c r="BT1626" s="12"/>
      <c r="BV1626" s="14"/>
      <c r="BW1626" s="50"/>
      <c r="BX1626" s="54"/>
      <c r="BY1626" s="14"/>
      <c r="BZ1626" s="14"/>
      <c r="CA1626" s="14"/>
      <c r="CB1626" s="14"/>
      <c r="CC1626" s="14"/>
      <c r="CD1626" s="14"/>
      <c r="CE1626" s="14"/>
      <c r="CF1626" s="15"/>
      <c r="CG1626" s="14"/>
      <c r="CH1626" s="14"/>
      <c r="CI1626" s="50"/>
      <c r="CJ1626" s="54"/>
      <c r="CK1626" s="14"/>
      <c r="CL1626" s="14"/>
      <c r="CM1626" s="14"/>
      <c r="CN1626" s="14"/>
      <c r="CO1626" s="14"/>
      <c r="CP1626" s="14"/>
      <c r="CQ1626" s="14"/>
      <c r="CR1626" s="14"/>
      <c r="CS1626" s="14"/>
      <c r="CT1626" s="14"/>
      <c r="CU1626" s="16"/>
      <c r="CV1626" s="14"/>
      <c r="CW1626" s="50"/>
      <c r="CX1626" s="17"/>
    </row>
    <row r="1627" spans="4:102" x14ac:dyDescent="0.25">
      <c r="D1627" s="11"/>
      <c r="E1627" s="11"/>
      <c r="F1627" s="11"/>
      <c r="G1627" s="11"/>
      <c r="H1627" s="11"/>
      <c r="I1627" s="11"/>
      <c r="J1627" s="11"/>
      <c r="K1627" s="11"/>
      <c r="L1627" s="11"/>
      <c r="M1627" s="11"/>
      <c r="N1627" s="11"/>
      <c r="O1627" s="11"/>
      <c r="P1627" s="43"/>
      <c r="Q1627" s="11"/>
      <c r="R1627" s="11"/>
      <c r="S1627" s="11"/>
      <c r="T1627" s="11"/>
      <c r="U1627" s="11"/>
      <c r="V1627" s="11"/>
      <c r="W1627" s="11"/>
      <c r="X1627" s="12"/>
      <c r="Y1627" s="12"/>
      <c r="Z1627" s="12"/>
      <c r="AA1627" s="44"/>
      <c r="AB1627" s="45"/>
      <c r="AC1627" s="12"/>
      <c r="AD1627" s="12"/>
      <c r="AE1627" s="12"/>
      <c r="AF1627" s="12"/>
      <c r="AG1627" s="44"/>
      <c r="AH1627" s="45"/>
      <c r="AI1627" s="12"/>
      <c r="AJ1627" s="12"/>
      <c r="AK1627" s="12"/>
      <c r="AL1627" s="12"/>
      <c r="AM1627" s="44"/>
      <c r="AN1627" s="45"/>
      <c r="AO1627" s="12"/>
      <c r="AP1627" s="12"/>
      <c r="AQ1627" s="12"/>
      <c r="AR1627" s="12"/>
      <c r="AS1627" s="44"/>
      <c r="AT1627" s="45"/>
      <c r="AU1627" s="12"/>
      <c r="AV1627" s="12"/>
      <c r="AW1627" s="12"/>
      <c r="AX1627" s="12"/>
      <c r="AY1627" s="44"/>
      <c r="AZ1627" s="45"/>
      <c r="BA1627" s="12"/>
      <c r="BB1627" s="12"/>
      <c r="BC1627" s="12"/>
      <c r="BD1627" s="12"/>
      <c r="BE1627" s="44"/>
      <c r="BF1627" s="45"/>
      <c r="BG1627" s="12"/>
      <c r="BH1627" s="12"/>
      <c r="BI1627" s="12"/>
      <c r="BJ1627" s="12"/>
      <c r="BK1627" s="44"/>
      <c r="BL1627" s="45"/>
      <c r="BM1627" s="12"/>
      <c r="BN1627" s="12"/>
      <c r="BO1627" s="12"/>
      <c r="BP1627" s="12"/>
      <c r="BQ1627" s="48"/>
      <c r="BR1627" s="49"/>
      <c r="BS1627" s="13"/>
      <c r="BT1627" s="12"/>
      <c r="BV1627" s="14"/>
      <c r="BW1627" s="50"/>
      <c r="BX1627" s="54"/>
      <c r="BY1627" s="14"/>
      <c r="BZ1627" s="14"/>
      <c r="CA1627" s="14"/>
      <c r="CB1627" s="14"/>
      <c r="CC1627" s="14"/>
      <c r="CD1627" s="14"/>
      <c r="CE1627" s="14"/>
      <c r="CF1627" s="15"/>
      <c r="CG1627" s="14"/>
      <c r="CH1627" s="14"/>
      <c r="CI1627" s="50"/>
      <c r="CJ1627" s="54"/>
      <c r="CK1627" s="14"/>
      <c r="CL1627" s="14"/>
      <c r="CM1627" s="14"/>
      <c r="CN1627" s="14"/>
      <c r="CO1627" s="14"/>
      <c r="CP1627" s="14"/>
      <c r="CQ1627" s="14"/>
      <c r="CR1627" s="14"/>
      <c r="CS1627" s="14"/>
      <c r="CT1627" s="14"/>
      <c r="CU1627" s="16"/>
      <c r="CV1627" s="14"/>
      <c r="CW1627" s="50"/>
      <c r="CX1627" s="17"/>
    </row>
    <row r="1628" spans="4:102" x14ac:dyDescent="0.25">
      <c r="D1628" s="11"/>
      <c r="E1628" s="11"/>
      <c r="F1628" s="11"/>
      <c r="G1628" s="11"/>
      <c r="H1628" s="11"/>
      <c r="I1628" s="11"/>
      <c r="J1628" s="11"/>
      <c r="K1628" s="11"/>
      <c r="L1628" s="11"/>
      <c r="M1628" s="11"/>
      <c r="N1628" s="11"/>
      <c r="O1628" s="11"/>
      <c r="P1628" s="43"/>
      <c r="Q1628" s="11"/>
      <c r="R1628" s="11"/>
      <c r="S1628" s="11"/>
      <c r="T1628" s="11"/>
      <c r="U1628" s="11"/>
      <c r="V1628" s="11"/>
      <c r="W1628" s="11"/>
      <c r="X1628" s="12"/>
      <c r="Y1628" s="12"/>
      <c r="Z1628" s="12"/>
      <c r="AA1628" s="44"/>
      <c r="AB1628" s="45"/>
      <c r="AC1628" s="12"/>
      <c r="AD1628" s="12"/>
      <c r="AE1628" s="12"/>
      <c r="AF1628" s="12"/>
      <c r="AG1628" s="44"/>
      <c r="AH1628" s="45"/>
      <c r="AI1628" s="12"/>
      <c r="AJ1628" s="12"/>
      <c r="AK1628" s="12"/>
      <c r="AL1628" s="12"/>
      <c r="AM1628" s="44"/>
      <c r="AN1628" s="45"/>
      <c r="AO1628" s="12"/>
      <c r="AP1628" s="12"/>
      <c r="AQ1628" s="12"/>
      <c r="AR1628" s="12"/>
      <c r="AS1628" s="44"/>
      <c r="AT1628" s="45"/>
      <c r="AU1628" s="12"/>
      <c r="AV1628" s="12"/>
      <c r="AW1628" s="12"/>
      <c r="AX1628" s="12"/>
      <c r="AY1628" s="44"/>
      <c r="AZ1628" s="45"/>
      <c r="BA1628" s="12"/>
      <c r="BB1628" s="12"/>
      <c r="BC1628" s="12"/>
      <c r="BD1628" s="12"/>
      <c r="BE1628" s="44"/>
      <c r="BF1628" s="45"/>
      <c r="BG1628" s="12"/>
      <c r="BH1628" s="12"/>
      <c r="BI1628" s="12"/>
      <c r="BJ1628" s="12"/>
      <c r="BK1628" s="44"/>
      <c r="BL1628" s="45"/>
      <c r="BM1628" s="12"/>
      <c r="BN1628" s="12"/>
      <c r="BO1628" s="12"/>
      <c r="BP1628" s="12"/>
      <c r="BQ1628" s="48"/>
      <c r="BR1628" s="49"/>
      <c r="BS1628" s="13"/>
      <c r="BT1628" s="12"/>
      <c r="BV1628" s="14"/>
      <c r="BW1628" s="50"/>
      <c r="BX1628" s="54"/>
      <c r="BY1628" s="14"/>
      <c r="BZ1628" s="14"/>
      <c r="CA1628" s="14"/>
      <c r="CB1628" s="14"/>
      <c r="CC1628" s="14"/>
      <c r="CD1628" s="14"/>
      <c r="CE1628" s="14"/>
      <c r="CF1628" s="15"/>
      <c r="CG1628" s="14"/>
      <c r="CH1628" s="14"/>
      <c r="CI1628" s="50"/>
      <c r="CJ1628" s="54"/>
      <c r="CK1628" s="14"/>
      <c r="CL1628" s="14"/>
      <c r="CM1628" s="14"/>
      <c r="CN1628" s="14"/>
      <c r="CO1628" s="14"/>
      <c r="CP1628" s="14"/>
      <c r="CQ1628" s="14"/>
      <c r="CR1628" s="14"/>
      <c r="CS1628" s="14"/>
      <c r="CT1628" s="14"/>
      <c r="CU1628" s="16"/>
      <c r="CV1628" s="14"/>
      <c r="CW1628" s="50"/>
      <c r="CX1628" s="17"/>
    </row>
    <row r="1629" spans="4:102" x14ac:dyDescent="0.25">
      <c r="D1629" s="11"/>
      <c r="E1629" s="11"/>
      <c r="F1629" s="11"/>
      <c r="G1629" s="11"/>
      <c r="H1629" s="11"/>
      <c r="I1629" s="11"/>
      <c r="J1629" s="11"/>
      <c r="K1629" s="11"/>
      <c r="L1629" s="11"/>
      <c r="M1629" s="11"/>
      <c r="N1629" s="11"/>
      <c r="O1629" s="11"/>
      <c r="P1629" s="43"/>
      <c r="Q1629" s="11"/>
      <c r="R1629" s="11"/>
      <c r="S1629" s="11"/>
      <c r="T1629" s="11"/>
      <c r="U1629" s="11"/>
      <c r="V1629" s="11"/>
      <c r="W1629" s="11"/>
      <c r="X1629" s="12"/>
      <c r="Y1629" s="12"/>
      <c r="Z1629" s="12"/>
      <c r="AA1629" s="44"/>
      <c r="AB1629" s="45"/>
      <c r="AC1629" s="12"/>
      <c r="AD1629" s="12"/>
      <c r="AE1629" s="12"/>
      <c r="AF1629" s="12"/>
      <c r="AG1629" s="44"/>
      <c r="AH1629" s="45"/>
      <c r="AI1629" s="12"/>
      <c r="AJ1629" s="12"/>
      <c r="AK1629" s="12"/>
      <c r="AL1629" s="12"/>
      <c r="AM1629" s="44"/>
      <c r="AN1629" s="45"/>
      <c r="AO1629" s="12"/>
      <c r="AP1629" s="12"/>
      <c r="AQ1629" s="12"/>
      <c r="AR1629" s="12"/>
      <c r="AS1629" s="44"/>
      <c r="AT1629" s="45"/>
      <c r="AU1629" s="12"/>
      <c r="AV1629" s="12"/>
      <c r="AW1629" s="12"/>
      <c r="AX1629" s="12"/>
      <c r="AY1629" s="44"/>
      <c r="AZ1629" s="45"/>
      <c r="BA1629" s="12"/>
      <c r="BB1629" s="12"/>
      <c r="BC1629" s="12"/>
      <c r="BD1629" s="12"/>
      <c r="BE1629" s="44"/>
      <c r="BF1629" s="45"/>
      <c r="BG1629" s="12"/>
      <c r="BH1629" s="12"/>
      <c r="BI1629" s="12"/>
      <c r="BJ1629" s="12"/>
      <c r="BK1629" s="44"/>
      <c r="BL1629" s="45"/>
      <c r="BM1629" s="12"/>
      <c r="BN1629" s="12"/>
      <c r="BO1629" s="12"/>
      <c r="BP1629" s="12"/>
      <c r="BQ1629" s="48"/>
      <c r="BR1629" s="49"/>
      <c r="BS1629" s="13"/>
      <c r="BT1629" s="12"/>
      <c r="BV1629" s="14"/>
      <c r="BW1629" s="50"/>
      <c r="BX1629" s="54"/>
      <c r="BY1629" s="14"/>
      <c r="BZ1629" s="14"/>
      <c r="CA1629" s="14"/>
      <c r="CB1629" s="14"/>
      <c r="CC1629" s="14"/>
      <c r="CD1629" s="14"/>
      <c r="CE1629" s="14"/>
      <c r="CF1629" s="15"/>
      <c r="CG1629" s="14"/>
      <c r="CH1629" s="14"/>
      <c r="CI1629" s="50"/>
      <c r="CJ1629" s="54"/>
      <c r="CK1629" s="14"/>
      <c r="CL1629" s="14"/>
      <c r="CM1629" s="14"/>
      <c r="CN1629" s="14"/>
      <c r="CO1629" s="14"/>
      <c r="CP1629" s="14"/>
      <c r="CQ1629" s="14"/>
      <c r="CR1629" s="14"/>
      <c r="CS1629" s="14"/>
      <c r="CT1629" s="14"/>
      <c r="CU1629" s="16"/>
      <c r="CV1629" s="14"/>
      <c r="CW1629" s="50"/>
      <c r="CX1629" s="17"/>
    </row>
    <row r="1630" spans="4:102" x14ac:dyDescent="0.25">
      <c r="D1630" s="11"/>
      <c r="E1630" s="11"/>
      <c r="F1630" s="11"/>
      <c r="G1630" s="11"/>
      <c r="H1630" s="11"/>
      <c r="I1630" s="11"/>
      <c r="J1630" s="11"/>
      <c r="K1630" s="11"/>
      <c r="L1630" s="11"/>
      <c r="M1630" s="11"/>
      <c r="N1630" s="11"/>
      <c r="O1630" s="11"/>
      <c r="P1630" s="43"/>
      <c r="Q1630" s="11"/>
      <c r="R1630" s="11"/>
      <c r="S1630" s="11"/>
      <c r="T1630" s="11"/>
      <c r="U1630" s="11"/>
      <c r="V1630" s="11"/>
      <c r="W1630" s="11"/>
      <c r="X1630" s="12"/>
      <c r="Y1630" s="12"/>
      <c r="Z1630" s="12"/>
      <c r="AA1630" s="44"/>
      <c r="AB1630" s="45"/>
      <c r="AC1630" s="12"/>
      <c r="AD1630" s="12"/>
      <c r="AE1630" s="12"/>
      <c r="AF1630" s="12"/>
      <c r="AG1630" s="44"/>
      <c r="AH1630" s="45"/>
      <c r="AI1630" s="12"/>
      <c r="AJ1630" s="12"/>
      <c r="AK1630" s="12"/>
      <c r="AL1630" s="12"/>
      <c r="AM1630" s="44"/>
      <c r="AN1630" s="45"/>
      <c r="AO1630" s="12"/>
      <c r="AP1630" s="12"/>
      <c r="AQ1630" s="12"/>
      <c r="AR1630" s="12"/>
      <c r="AS1630" s="44"/>
      <c r="AT1630" s="45"/>
      <c r="AU1630" s="12"/>
      <c r="AV1630" s="12"/>
      <c r="AW1630" s="12"/>
      <c r="AX1630" s="12"/>
      <c r="AY1630" s="44"/>
      <c r="AZ1630" s="45"/>
      <c r="BA1630" s="12"/>
      <c r="BB1630" s="12"/>
      <c r="BC1630" s="12"/>
      <c r="BD1630" s="12"/>
      <c r="BE1630" s="44"/>
      <c r="BF1630" s="45"/>
      <c r="BG1630" s="12"/>
      <c r="BH1630" s="12"/>
      <c r="BI1630" s="12"/>
      <c r="BJ1630" s="12"/>
      <c r="BK1630" s="44"/>
      <c r="BL1630" s="45"/>
      <c r="BM1630" s="12"/>
      <c r="BN1630" s="12"/>
      <c r="BO1630" s="12"/>
      <c r="BP1630" s="12"/>
      <c r="BQ1630" s="48"/>
      <c r="BR1630" s="49"/>
      <c r="BS1630" s="13"/>
      <c r="BT1630" s="12"/>
      <c r="BV1630" s="14"/>
      <c r="BW1630" s="50"/>
      <c r="BX1630" s="54"/>
      <c r="BY1630" s="14"/>
      <c r="BZ1630" s="14"/>
      <c r="CA1630" s="14"/>
      <c r="CB1630" s="14"/>
      <c r="CC1630" s="14"/>
      <c r="CD1630" s="14"/>
      <c r="CE1630" s="14"/>
      <c r="CF1630" s="15"/>
      <c r="CG1630" s="14"/>
      <c r="CH1630" s="14"/>
      <c r="CI1630" s="50"/>
      <c r="CJ1630" s="54"/>
      <c r="CK1630" s="14"/>
      <c r="CL1630" s="14"/>
      <c r="CM1630" s="14"/>
      <c r="CN1630" s="14"/>
      <c r="CO1630" s="14"/>
      <c r="CP1630" s="14"/>
      <c r="CQ1630" s="14"/>
      <c r="CR1630" s="14"/>
      <c r="CS1630" s="14"/>
      <c r="CT1630" s="14"/>
      <c r="CU1630" s="16"/>
      <c r="CV1630" s="14"/>
      <c r="CW1630" s="50"/>
      <c r="CX1630" s="17"/>
    </row>
    <row r="1631" spans="4:102" x14ac:dyDescent="0.25">
      <c r="D1631" s="11"/>
      <c r="E1631" s="11"/>
      <c r="F1631" s="11"/>
      <c r="G1631" s="11"/>
      <c r="H1631" s="11"/>
      <c r="I1631" s="11"/>
      <c r="J1631" s="11"/>
      <c r="K1631" s="11"/>
      <c r="L1631" s="11"/>
      <c r="M1631" s="11"/>
      <c r="N1631" s="11"/>
      <c r="O1631" s="11"/>
      <c r="P1631" s="43"/>
      <c r="Q1631" s="11"/>
      <c r="R1631" s="11"/>
      <c r="S1631" s="11"/>
      <c r="T1631" s="11"/>
      <c r="U1631" s="11"/>
      <c r="V1631" s="11"/>
      <c r="W1631" s="11"/>
      <c r="X1631" s="12"/>
      <c r="Y1631" s="12"/>
      <c r="Z1631" s="12"/>
      <c r="AA1631" s="44"/>
      <c r="AB1631" s="45"/>
      <c r="AC1631" s="12"/>
      <c r="AD1631" s="12"/>
      <c r="AE1631" s="12"/>
      <c r="AF1631" s="12"/>
      <c r="AG1631" s="44"/>
      <c r="AH1631" s="45"/>
      <c r="AI1631" s="12"/>
      <c r="AJ1631" s="12"/>
      <c r="AK1631" s="12"/>
      <c r="AL1631" s="12"/>
      <c r="AM1631" s="44"/>
      <c r="AN1631" s="45"/>
      <c r="AO1631" s="12"/>
      <c r="AP1631" s="12"/>
      <c r="AQ1631" s="12"/>
      <c r="AR1631" s="12"/>
      <c r="AS1631" s="44"/>
      <c r="AT1631" s="45"/>
      <c r="AU1631" s="12"/>
      <c r="AV1631" s="12"/>
      <c r="AW1631" s="12"/>
      <c r="AX1631" s="12"/>
      <c r="AY1631" s="44"/>
      <c r="AZ1631" s="45"/>
      <c r="BA1631" s="12"/>
      <c r="BB1631" s="12"/>
      <c r="BC1631" s="12"/>
      <c r="BD1631" s="12"/>
      <c r="BE1631" s="44"/>
      <c r="BF1631" s="45"/>
      <c r="BG1631" s="12"/>
      <c r="BH1631" s="12"/>
      <c r="BI1631" s="12"/>
      <c r="BJ1631" s="12"/>
      <c r="BK1631" s="44"/>
      <c r="BL1631" s="45"/>
      <c r="BM1631" s="12"/>
      <c r="BN1631" s="12"/>
      <c r="BO1631" s="12"/>
      <c r="BP1631" s="12"/>
      <c r="BQ1631" s="48"/>
      <c r="BR1631" s="49"/>
      <c r="BS1631" s="13"/>
      <c r="BT1631" s="12"/>
      <c r="BV1631" s="14"/>
      <c r="BW1631" s="50"/>
      <c r="BX1631" s="54"/>
      <c r="BY1631" s="14"/>
      <c r="BZ1631" s="14"/>
      <c r="CA1631" s="14"/>
      <c r="CB1631" s="14"/>
      <c r="CC1631" s="14"/>
      <c r="CD1631" s="14"/>
      <c r="CE1631" s="14"/>
      <c r="CF1631" s="15"/>
      <c r="CG1631" s="14"/>
      <c r="CH1631" s="14"/>
      <c r="CI1631" s="50"/>
      <c r="CJ1631" s="54"/>
      <c r="CK1631" s="14"/>
      <c r="CL1631" s="14"/>
      <c r="CM1631" s="14"/>
      <c r="CN1631" s="14"/>
      <c r="CO1631" s="14"/>
      <c r="CP1631" s="14"/>
      <c r="CQ1631" s="14"/>
      <c r="CR1631" s="14"/>
      <c r="CS1631" s="14"/>
      <c r="CT1631" s="14"/>
      <c r="CU1631" s="16"/>
      <c r="CV1631" s="14"/>
      <c r="CW1631" s="50"/>
      <c r="CX1631" s="17"/>
    </row>
    <row r="1632" spans="4:102" x14ac:dyDescent="0.25">
      <c r="D1632" s="11"/>
      <c r="E1632" s="11"/>
      <c r="F1632" s="11"/>
      <c r="G1632" s="11"/>
      <c r="H1632" s="11"/>
      <c r="I1632" s="11"/>
      <c r="J1632" s="11"/>
      <c r="K1632" s="11"/>
      <c r="L1632" s="11"/>
      <c r="M1632" s="11"/>
      <c r="N1632" s="11"/>
      <c r="O1632" s="11"/>
      <c r="P1632" s="43"/>
      <c r="Q1632" s="11"/>
      <c r="R1632" s="11"/>
      <c r="S1632" s="11"/>
      <c r="T1632" s="11"/>
      <c r="U1632" s="11"/>
      <c r="V1632" s="11"/>
      <c r="W1632" s="11"/>
      <c r="X1632" s="12"/>
      <c r="Y1632" s="12"/>
      <c r="Z1632" s="12"/>
      <c r="AA1632" s="44"/>
      <c r="AB1632" s="45"/>
      <c r="AC1632" s="12"/>
      <c r="AD1632" s="12"/>
      <c r="AE1632" s="12"/>
      <c r="AF1632" s="12"/>
      <c r="AG1632" s="44"/>
      <c r="AH1632" s="45"/>
      <c r="AI1632" s="12"/>
      <c r="AJ1632" s="12"/>
      <c r="AK1632" s="12"/>
      <c r="AL1632" s="12"/>
      <c r="AM1632" s="44"/>
      <c r="AN1632" s="45"/>
      <c r="AO1632" s="12"/>
      <c r="AP1632" s="12"/>
      <c r="AQ1632" s="12"/>
      <c r="AR1632" s="12"/>
      <c r="AS1632" s="44"/>
      <c r="AT1632" s="45"/>
      <c r="AU1632" s="12"/>
      <c r="AV1632" s="12"/>
      <c r="AW1632" s="12"/>
      <c r="AX1632" s="12"/>
      <c r="AY1632" s="44"/>
      <c r="AZ1632" s="45"/>
      <c r="BA1632" s="12"/>
      <c r="BB1632" s="12"/>
      <c r="BC1632" s="12"/>
      <c r="BD1632" s="12"/>
      <c r="BE1632" s="44"/>
      <c r="BF1632" s="45"/>
      <c r="BG1632" s="12"/>
      <c r="BH1632" s="12"/>
      <c r="BI1632" s="12"/>
      <c r="BJ1632" s="12"/>
      <c r="BK1632" s="44"/>
      <c r="BL1632" s="45"/>
      <c r="BM1632" s="12"/>
      <c r="BN1632" s="12"/>
      <c r="BO1632" s="12"/>
      <c r="BP1632" s="12"/>
      <c r="BQ1632" s="48"/>
      <c r="BR1632" s="49"/>
      <c r="BS1632" s="13"/>
      <c r="BT1632" s="12"/>
      <c r="BV1632" s="14"/>
      <c r="BW1632" s="50"/>
      <c r="BX1632" s="54"/>
      <c r="BY1632" s="14"/>
      <c r="BZ1632" s="14"/>
      <c r="CA1632" s="14"/>
      <c r="CB1632" s="14"/>
      <c r="CC1632" s="14"/>
      <c r="CD1632" s="14"/>
      <c r="CE1632" s="14"/>
      <c r="CF1632" s="15"/>
      <c r="CG1632" s="14"/>
      <c r="CH1632" s="14"/>
      <c r="CI1632" s="50"/>
      <c r="CJ1632" s="54"/>
      <c r="CK1632" s="14"/>
      <c r="CL1632" s="14"/>
      <c r="CM1632" s="14"/>
      <c r="CN1632" s="14"/>
      <c r="CO1632" s="14"/>
      <c r="CP1632" s="14"/>
      <c r="CQ1632" s="14"/>
      <c r="CR1632" s="14"/>
      <c r="CS1632" s="14"/>
      <c r="CT1632" s="14"/>
      <c r="CU1632" s="16"/>
      <c r="CV1632" s="14"/>
      <c r="CW1632" s="50"/>
      <c r="CX1632" s="17"/>
    </row>
    <row r="1633" spans="4:102" x14ac:dyDescent="0.25">
      <c r="D1633" s="11"/>
      <c r="E1633" s="11"/>
      <c r="F1633" s="11"/>
      <c r="G1633" s="11"/>
      <c r="H1633" s="11"/>
      <c r="I1633" s="11"/>
      <c r="J1633" s="11"/>
      <c r="K1633" s="11"/>
      <c r="L1633" s="11"/>
      <c r="M1633" s="11"/>
      <c r="N1633" s="11"/>
      <c r="O1633" s="11"/>
      <c r="P1633" s="43"/>
      <c r="Q1633" s="11"/>
      <c r="R1633" s="11"/>
      <c r="S1633" s="11"/>
      <c r="T1633" s="11"/>
      <c r="U1633" s="11"/>
      <c r="V1633" s="11"/>
      <c r="W1633" s="11"/>
      <c r="X1633" s="12"/>
      <c r="Y1633" s="12"/>
      <c r="Z1633" s="12"/>
      <c r="AA1633" s="44"/>
      <c r="AB1633" s="45"/>
      <c r="AC1633" s="12"/>
      <c r="AD1633" s="12"/>
      <c r="AE1633" s="12"/>
      <c r="AF1633" s="12"/>
      <c r="AG1633" s="44"/>
      <c r="AH1633" s="45"/>
      <c r="AI1633" s="12"/>
      <c r="AJ1633" s="12"/>
      <c r="AK1633" s="12"/>
      <c r="AL1633" s="12"/>
      <c r="AM1633" s="44"/>
      <c r="AN1633" s="45"/>
      <c r="AO1633" s="12"/>
      <c r="AP1633" s="12"/>
      <c r="AQ1633" s="12"/>
      <c r="AR1633" s="12"/>
      <c r="AS1633" s="44"/>
      <c r="AT1633" s="45"/>
      <c r="AU1633" s="12"/>
      <c r="AV1633" s="12"/>
      <c r="AW1633" s="12"/>
      <c r="AX1633" s="12"/>
      <c r="AY1633" s="44"/>
      <c r="AZ1633" s="45"/>
      <c r="BA1633" s="12"/>
      <c r="BB1633" s="12"/>
      <c r="BC1633" s="12"/>
      <c r="BD1633" s="12"/>
      <c r="BE1633" s="44"/>
      <c r="BF1633" s="45"/>
      <c r="BG1633" s="12"/>
      <c r="BH1633" s="12"/>
      <c r="BI1633" s="12"/>
      <c r="BJ1633" s="12"/>
      <c r="BK1633" s="44"/>
      <c r="BL1633" s="45"/>
      <c r="BM1633" s="12"/>
      <c r="BN1633" s="12"/>
      <c r="BO1633" s="12"/>
      <c r="BP1633" s="12"/>
      <c r="BQ1633" s="48"/>
      <c r="BR1633" s="49"/>
      <c r="BS1633" s="13"/>
      <c r="BT1633" s="12"/>
      <c r="BV1633" s="14"/>
      <c r="BW1633" s="50"/>
      <c r="BX1633" s="54"/>
      <c r="BY1633" s="14"/>
      <c r="BZ1633" s="14"/>
      <c r="CA1633" s="14"/>
      <c r="CB1633" s="14"/>
      <c r="CC1633" s="14"/>
      <c r="CD1633" s="14"/>
      <c r="CE1633" s="14"/>
      <c r="CF1633" s="15"/>
      <c r="CG1633" s="14"/>
      <c r="CH1633" s="14"/>
      <c r="CI1633" s="50"/>
      <c r="CJ1633" s="54"/>
      <c r="CK1633" s="14"/>
      <c r="CL1633" s="14"/>
      <c r="CM1633" s="14"/>
      <c r="CN1633" s="14"/>
      <c r="CO1633" s="14"/>
      <c r="CP1633" s="14"/>
      <c r="CQ1633" s="14"/>
      <c r="CR1633" s="14"/>
      <c r="CS1633" s="14"/>
      <c r="CT1633" s="14"/>
      <c r="CU1633" s="16"/>
      <c r="CV1633" s="14"/>
      <c r="CW1633" s="50"/>
      <c r="CX1633" s="17"/>
    </row>
    <row r="1634" spans="4:102" x14ac:dyDescent="0.25">
      <c r="D1634" s="11"/>
      <c r="E1634" s="11"/>
      <c r="F1634" s="11"/>
      <c r="G1634" s="11"/>
      <c r="H1634" s="11"/>
      <c r="I1634" s="11"/>
      <c r="J1634" s="11"/>
      <c r="K1634" s="11"/>
      <c r="L1634" s="11"/>
      <c r="M1634" s="11"/>
      <c r="N1634" s="11"/>
      <c r="O1634" s="11"/>
      <c r="P1634" s="43"/>
      <c r="Q1634" s="11"/>
      <c r="R1634" s="11"/>
      <c r="S1634" s="11"/>
      <c r="T1634" s="11"/>
      <c r="U1634" s="11"/>
      <c r="V1634" s="11"/>
      <c r="W1634" s="11"/>
      <c r="X1634" s="12"/>
      <c r="Y1634" s="12"/>
      <c r="Z1634" s="12"/>
      <c r="AA1634" s="44"/>
      <c r="AB1634" s="45"/>
      <c r="AC1634" s="12"/>
      <c r="AD1634" s="12"/>
      <c r="AE1634" s="12"/>
      <c r="AF1634" s="12"/>
      <c r="AG1634" s="44"/>
      <c r="AH1634" s="45"/>
      <c r="AI1634" s="12"/>
      <c r="AJ1634" s="12"/>
      <c r="AK1634" s="12"/>
      <c r="AL1634" s="12"/>
      <c r="AM1634" s="44"/>
      <c r="AN1634" s="45"/>
      <c r="AO1634" s="12"/>
      <c r="AP1634" s="12"/>
      <c r="AQ1634" s="12"/>
      <c r="AR1634" s="12"/>
      <c r="AS1634" s="44"/>
      <c r="AT1634" s="45"/>
      <c r="AU1634" s="12"/>
      <c r="AV1634" s="12"/>
      <c r="AW1634" s="12"/>
      <c r="AX1634" s="12"/>
      <c r="AY1634" s="44"/>
      <c r="AZ1634" s="45"/>
      <c r="BA1634" s="12"/>
      <c r="BB1634" s="12"/>
      <c r="BC1634" s="12"/>
      <c r="BD1634" s="12"/>
      <c r="BE1634" s="44"/>
      <c r="BF1634" s="45"/>
      <c r="BG1634" s="12"/>
      <c r="BH1634" s="12"/>
      <c r="BI1634" s="12"/>
      <c r="BJ1634" s="12"/>
      <c r="BK1634" s="44"/>
      <c r="BL1634" s="45"/>
      <c r="BM1634" s="12"/>
      <c r="BN1634" s="12"/>
      <c r="BO1634" s="12"/>
      <c r="BP1634" s="12"/>
      <c r="BQ1634" s="48"/>
      <c r="BR1634" s="49"/>
      <c r="BS1634" s="13"/>
      <c r="BT1634" s="12"/>
      <c r="BV1634" s="14"/>
      <c r="BW1634" s="50"/>
      <c r="BX1634" s="54"/>
      <c r="BY1634" s="14"/>
      <c r="BZ1634" s="14"/>
      <c r="CA1634" s="14"/>
      <c r="CB1634" s="14"/>
      <c r="CC1634" s="14"/>
      <c r="CD1634" s="14"/>
      <c r="CE1634" s="14"/>
      <c r="CF1634" s="15"/>
      <c r="CG1634" s="14"/>
      <c r="CH1634" s="14"/>
      <c r="CI1634" s="50"/>
      <c r="CJ1634" s="54"/>
      <c r="CK1634" s="14"/>
      <c r="CL1634" s="14"/>
      <c r="CM1634" s="14"/>
      <c r="CN1634" s="14"/>
      <c r="CO1634" s="14"/>
      <c r="CP1634" s="14"/>
      <c r="CQ1634" s="14"/>
      <c r="CR1634" s="14"/>
      <c r="CS1634" s="14"/>
      <c r="CT1634" s="14"/>
      <c r="CU1634" s="16"/>
      <c r="CV1634" s="14"/>
      <c r="CW1634" s="50"/>
      <c r="CX1634" s="17"/>
    </row>
    <row r="1635" spans="4:102" x14ac:dyDescent="0.25">
      <c r="D1635" s="11"/>
      <c r="E1635" s="11"/>
      <c r="F1635" s="11"/>
      <c r="G1635" s="11"/>
      <c r="H1635" s="11"/>
      <c r="I1635" s="11"/>
      <c r="J1635" s="11"/>
      <c r="K1635" s="11"/>
      <c r="L1635" s="11"/>
      <c r="M1635" s="11"/>
      <c r="N1635" s="11"/>
      <c r="O1635" s="11"/>
      <c r="P1635" s="43"/>
      <c r="Q1635" s="11"/>
      <c r="R1635" s="11"/>
      <c r="S1635" s="11"/>
      <c r="T1635" s="11"/>
      <c r="U1635" s="11"/>
      <c r="V1635" s="11"/>
      <c r="W1635" s="11"/>
      <c r="X1635" s="12"/>
      <c r="Y1635" s="12"/>
      <c r="Z1635" s="12"/>
      <c r="AA1635" s="44"/>
      <c r="AB1635" s="45"/>
      <c r="AC1635" s="12"/>
      <c r="AD1635" s="12"/>
      <c r="AE1635" s="12"/>
      <c r="AF1635" s="12"/>
      <c r="AG1635" s="44"/>
      <c r="AH1635" s="45"/>
      <c r="AI1635" s="12"/>
      <c r="AJ1635" s="12"/>
      <c r="AK1635" s="12"/>
      <c r="AL1635" s="12"/>
      <c r="AM1635" s="44"/>
      <c r="AN1635" s="45"/>
      <c r="AO1635" s="12"/>
      <c r="AP1635" s="12"/>
      <c r="AQ1635" s="12"/>
      <c r="AR1635" s="12"/>
      <c r="AS1635" s="44"/>
      <c r="AT1635" s="45"/>
      <c r="AU1635" s="12"/>
      <c r="AV1635" s="12"/>
      <c r="AW1635" s="12"/>
      <c r="AX1635" s="12"/>
      <c r="AY1635" s="44"/>
      <c r="AZ1635" s="45"/>
      <c r="BA1635" s="12"/>
      <c r="BB1635" s="12"/>
      <c r="BC1635" s="12"/>
      <c r="BD1635" s="12"/>
      <c r="BE1635" s="44"/>
      <c r="BF1635" s="45"/>
      <c r="BG1635" s="12"/>
      <c r="BH1635" s="12"/>
      <c r="BI1635" s="12"/>
      <c r="BJ1635" s="12"/>
      <c r="BK1635" s="44"/>
      <c r="BL1635" s="45"/>
      <c r="BM1635" s="12"/>
      <c r="BN1635" s="12"/>
      <c r="BO1635" s="12"/>
      <c r="BP1635" s="12"/>
      <c r="BQ1635" s="48"/>
      <c r="BR1635" s="49"/>
      <c r="BS1635" s="13"/>
      <c r="BT1635" s="12"/>
      <c r="BV1635" s="14"/>
      <c r="BW1635" s="50"/>
      <c r="BX1635" s="54"/>
      <c r="BY1635" s="14"/>
      <c r="BZ1635" s="14"/>
      <c r="CA1635" s="14"/>
      <c r="CB1635" s="14"/>
      <c r="CC1635" s="14"/>
      <c r="CD1635" s="14"/>
      <c r="CE1635" s="14"/>
      <c r="CF1635" s="15"/>
      <c r="CG1635" s="14"/>
      <c r="CH1635" s="14"/>
      <c r="CI1635" s="50"/>
      <c r="CJ1635" s="54"/>
      <c r="CK1635" s="14"/>
      <c r="CL1635" s="14"/>
      <c r="CM1635" s="14"/>
      <c r="CN1635" s="14"/>
      <c r="CO1635" s="14"/>
      <c r="CP1635" s="14"/>
      <c r="CQ1635" s="14"/>
      <c r="CR1635" s="14"/>
      <c r="CS1635" s="14"/>
      <c r="CT1635" s="14"/>
      <c r="CU1635" s="16"/>
      <c r="CV1635" s="14"/>
      <c r="CW1635" s="50"/>
      <c r="CX1635" s="17"/>
    </row>
    <row r="1636" spans="4:102" x14ac:dyDescent="0.25">
      <c r="D1636" s="11"/>
      <c r="E1636" s="11"/>
      <c r="F1636" s="11"/>
      <c r="G1636" s="11"/>
      <c r="H1636" s="11"/>
      <c r="I1636" s="11"/>
      <c r="J1636" s="11"/>
      <c r="K1636" s="11"/>
      <c r="L1636" s="11"/>
      <c r="M1636" s="11"/>
      <c r="N1636" s="11"/>
      <c r="O1636" s="11"/>
      <c r="P1636" s="43"/>
      <c r="Q1636" s="11"/>
      <c r="R1636" s="11"/>
      <c r="S1636" s="11"/>
      <c r="T1636" s="11"/>
      <c r="U1636" s="11"/>
      <c r="V1636" s="11"/>
      <c r="W1636" s="11"/>
      <c r="X1636" s="12"/>
      <c r="Y1636" s="12"/>
      <c r="Z1636" s="12"/>
      <c r="AA1636" s="44"/>
      <c r="AB1636" s="45"/>
      <c r="AC1636" s="12"/>
      <c r="AD1636" s="12"/>
      <c r="AE1636" s="12"/>
      <c r="AF1636" s="12"/>
      <c r="AG1636" s="44"/>
      <c r="AH1636" s="45"/>
      <c r="AI1636" s="12"/>
      <c r="AJ1636" s="12"/>
      <c r="AK1636" s="12"/>
      <c r="AL1636" s="12"/>
      <c r="AM1636" s="44"/>
      <c r="AN1636" s="45"/>
      <c r="AO1636" s="12"/>
      <c r="AP1636" s="12"/>
      <c r="AQ1636" s="12"/>
      <c r="AR1636" s="12"/>
      <c r="AS1636" s="44"/>
      <c r="AT1636" s="45"/>
      <c r="AU1636" s="12"/>
      <c r="AV1636" s="12"/>
      <c r="AW1636" s="12"/>
      <c r="AX1636" s="12"/>
      <c r="AY1636" s="44"/>
      <c r="AZ1636" s="45"/>
      <c r="BA1636" s="12"/>
      <c r="BB1636" s="12"/>
      <c r="BC1636" s="12"/>
      <c r="BD1636" s="12"/>
      <c r="BE1636" s="44"/>
      <c r="BF1636" s="45"/>
      <c r="BG1636" s="12"/>
      <c r="BH1636" s="12"/>
      <c r="BI1636" s="12"/>
      <c r="BJ1636" s="12"/>
      <c r="BK1636" s="44"/>
      <c r="BL1636" s="45"/>
      <c r="BM1636" s="12"/>
      <c r="BN1636" s="12"/>
      <c r="BO1636" s="12"/>
      <c r="BP1636" s="12"/>
      <c r="BQ1636" s="48"/>
      <c r="BR1636" s="49"/>
      <c r="BS1636" s="13"/>
      <c r="BT1636" s="12"/>
      <c r="BV1636" s="14"/>
      <c r="BW1636" s="50"/>
      <c r="BX1636" s="54"/>
      <c r="BY1636" s="14"/>
      <c r="BZ1636" s="14"/>
      <c r="CA1636" s="14"/>
      <c r="CB1636" s="14"/>
      <c r="CC1636" s="14"/>
      <c r="CD1636" s="14"/>
      <c r="CE1636" s="14"/>
      <c r="CF1636" s="15"/>
      <c r="CG1636" s="14"/>
      <c r="CH1636" s="14"/>
      <c r="CI1636" s="50"/>
      <c r="CJ1636" s="54"/>
      <c r="CK1636" s="14"/>
      <c r="CL1636" s="14"/>
      <c r="CM1636" s="14"/>
      <c r="CN1636" s="14"/>
      <c r="CO1636" s="14"/>
      <c r="CP1636" s="14"/>
      <c r="CQ1636" s="14"/>
      <c r="CR1636" s="14"/>
      <c r="CS1636" s="14"/>
      <c r="CT1636" s="14"/>
      <c r="CU1636" s="16"/>
      <c r="CV1636" s="14"/>
      <c r="CW1636" s="50"/>
      <c r="CX1636" s="17"/>
    </row>
    <row r="1637" spans="4:102" x14ac:dyDescent="0.25">
      <c r="D1637" s="11"/>
      <c r="E1637" s="11"/>
      <c r="F1637" s="11"/>
      <c r="G1637" s="11"/>
      <c r="H1637" s="11"/>
      <c r="I1637" s="11"/>
      <c r="J1637" s="11"/>
      <c r="K1637" s="11"/>
      <c r="L1637" s="11"/>
      <c r="M1637" s="11"/>
      <c r="N1637" s="11"/>
      <c r="O1637" s="11"/>
      <c r="P1637" s="43"/>
      <c r="Q1637" s="11"/>
      <c r="R1637" s="11"/>
      <c r="S1637" s="11"/>
      <c r="T1637" s="11"/>
      <c r="U1637" s="11"/>
      <c r="V1637" s="11"/>
      <c r="W1637" s="11"/>
      <c r="X1637" s="12"/>
      <c r="Y1637" s="12"/>
      <c r="Z1637" s="12"/>
      <c r="AA1637" s="44"/>
      <c r="AB1637" s="45"/>
      <c r="AC1637" s="12"/>
      <c r="AD1637" s="12"/>
      <c r="AE1637" s="12"/>
      <c r="AF1637" s="12"/>
      <c r="AG1637" s="44"/>
      <c r="AH1637" s="45"/>
      <c r="AI1637" s="12"/>
      <c r="AJ1637" s="12"/>
      <c r="AK1637" s="12"/>
      <c r="AL1637" s="12"/>
      <c r="AM1637" s="44"/>
      <c r="AN1637" s="45"/>
      <c r="AO1637" s="12"/>
      <c r="AP1637" s="12"/>
      <c r="AQ1637" s="12"/>
      <c r="AR1637" s="12"/>
      <c r="AS1637" s="44"/>
      <c r="AT1637" s="45"/>
      <c r="AU1637" s="12"/>
      <c r="AV1637" s="12"/>
      <c r="AW1637" s="12"/>
      <c r="AX1637" s="12"/>
      <c r="AY1637" s="44"/>
      <c r="AZ1637" s="45"/>
      <c r="BA1637" s="12"/>
      <c r="BB1637" s="12"/>
      <c r="BC1637" s="12"/>
      <c r="BD1637" s="12"/>
      <c r="BE1637" s="44"/>
      <c r="BF1637" s="45"/>
      <c r="BG1637" s="12"/>
      <c r="BH1637" s="12"/>
      <c r="BI1637" s="12"/>
      <c r="BJ1637" s="12"/>
      <c r="BK1637" s="44"/>
      <c r="BL1637" s="45"/>
      <c r="BM1637" s="12"/>
      <c r="BN1637" s="12"/>
      <c r="BO1637" s="12"/>
      <c r="BP1637" s="12"/>
      <c r="BQ1637" s="48"/>
      <c r="BR1637" s="49"/>
      <c r="BS1637" s="13"/>
      <c r="BT1637" s="12"/>
      <c r="BV1637" s="14"/>
      <c r="BW1637" s="50"/>
      <c r="BX1637" s="54"/>
      <c r="BY1637" s="14"/>
      <c r="BZ1637" s="14"/>
      <c r="CA1637" s="14"/>
      <c r="CB1637" s="14"/>
      <c r="CC1637" s="14"/>
      <c r="CD1637" s="14"/>
      <c r="CE1637" s="14"/>
      <c r="CF1637" s="15"/>
      <c r="CG1637" s="14"/>
      <c r="CH1637" s="14"/>
      <c r="CI1637" s="50"/>
      <c r="CJ1637" s="54"/>
      <c r="CK1637" s="14"/>
      <c r="CL1637" s="14"/>
      <c r="CM1637" s="14"/>
      <c r="CN1637" s="14"/>
      <c r="CO1637" s="14"/>
      <c r="CP1637" s="14"/>
      <c r="CQ1637" s="14"/>
      <c r="CR1637" s="14"/>
      <c r="CS1637" s="14"/>
      <c r="CT1637" s="14"/>
      <c r="CU1637" s="16"/>
      <c r="CV1637" s="14"/>
      <c r="CW1637" s="50"/>
      <c r="CX1637" s="17"/>
    </row>
    <row r="1638" spans="4:102" x14ac:dyDescent="0.25">
      <c r="D1638" s="11"/>
      <c r="E1638" s="11"/>
      <c r="F1638" s="11"/>
      <c r="G1638" s="11"/>
      <c r="H1638" s="11"/>
      <c r="I1638" s="11"/>
      <c r="J1638" s="11"/>
      <c r="K1638" s="11"/>
      <c r="L1638" s="11"/>
      <c r="M1638" s="11"/>
      <c r="N1638" s="11"/>
      <c r="O1638" s="11"/>
      <c r="P1638" s="43"/>
      <c r="Q1638" s="11"/>
      <c r="R1638" s="11"/>
      <c r="S1638" s="11"/>
      <c r="T1638" s="11"/>
      <c r="U1638" s="11"/>
      <c r="V1638" s="11"/>
      <c r="W1638" s="11"/>
      <c r="X1638" s="12"/>
      <c r="Y1638" s="12"/>
      <c r="Z1638" s="12"/>
      <c r="AA1638" s="44"/>
      <c r="AB1638" s="45"/>
      <c r="AC1638" s="12"/>
      <c r="AD1638" s="12"/>
      <c r="AE1638" s="12"/>
      <c r="AF1638" s="12"/>
      <c r="AG1638" s="44"/>
      <c r="AH1638" s="45"/>
      <c r="AI1638" s="12"/>
      <c r="AJ1638" s="12"/>
      <c r="AK1638" s="12"/>
      <c r="AL1638" s="12"/>
      <c r="AM1638" s="44"/>
      <c r="AN1638" s="45"/>
      <c r="AO1638" s="12"/>
      <c r="AP1638" s="12"/>
      <c r="AQ1638" s="12"/>
      <c r="AR1638" s="12"/>
      <c r="AS1638" s="44"/>
      <c r="AT1638" s="45"/>
      <c r="AU1638" s="12"/>
      <c r="AV1638" s="12"/>
      <c r="AW1638" s="12"/>
      <c r="AX1638" s="12"/>
      <c r="AY1638" s="44"/>
      <c r="AZ1638" s="45"/>
      <c r="BA1638" s="12"/>
      <c r="BB1638" s="12"/>
      <c r="BC1638" s="12"/>
      <c r="BD1638" s="12"/>
      <c r="BE1638" s="44"/>
      <c r="BF1638" s="45"/>
      <c r="BG1638" s="12"/>
      <c r="BH1638" s="12"/>
      <c r="BI1638" s="12"/>
      <c r="BJ1638" s="12"/>
      <c r="BK1638" s="44"/>
      <c r="BL1638" s="45"/>
      <c r="BM1638" s="12"/>
      <c r="BN1638" s="12"/>
      <c r="BO1638" s="12"/>
      <c r="BP1638" s="12"/>
      <c r="BQ1638" s="48"/>
      <c r="BR1638" s="49"/>
      <c r="BS1638" s="13"/>
      <c r="BT1638" s="12"/>
      <c r="BV1638" s="14"/>
      <c r="BW1638" s="50"/>
      <c r="BX1638" s="54"/>
      <c r="BY1638" s="14"/>
      <c r="BZ1638" s="14"/>
      <c r="CA1638" s="14"/>
      <c r="CB1638" s="14"/>
      <c r="CC1638" s="14"/>
      <c r="CD1638" s="14"/>
      <c r="CE1638" s="14"/>
      <c r="CF1638" s="15"/>
      <c r="CG1638" s="14"/>
      <c r="CH1638" s="14"/>
      <c r="CI1638" s="50"/>
      <c r="CJ1638" s="54"/>
      <c r="CK1638" s="14"/>
      <c r="CL1638" s="14"/>
      <c r="CM1638" s="14"/>
      <c r="CN1638" s="14"/>
      <c r="CO1638" s="14"/>
      <c r="CP1638" s="14"/>
      <c r="CQ1638" s="14"/>
      <c r="CR1638" s="14"/>
      <c r="CS1638" s="14"/>
      <c r="CT1638" s="14"/>
      <c r="CU1638" s="16"/>
      <c r="CV1638" s="14"/>
      <c r="CW1638" s="50"/>
      <c r="CX1638" s="17"/>
    </row>
    <row r="1639" spans="4:102" x14ac:dyDescent="0.25">
      <c r="D1639" s="11"/>
      <c r="E1639" s="11"/>
      <c r="F1639" s="11"/>
      <c r="G1639" s="11"/>
      <c r="H1639" s="11"/>
      <c r="I1639" s="11"/>
      <c r="J1639" s="11"/>
      <c r="K1639" s="11"/>
      <c r="L1639" s="11"/>
      <c r="M1639" s="11"/>
      <c r="N1639" s="11"/>
      <c r="O1639" s="11"/>
      <c r="P1639" s="43"/>
      <c r="Q1639" s="11"/>
      <c r="R1639" s="11"/>
      <c r="S1639" s="11"/>
      <c r="T1639" s="11"/>
      <c r="U1639" s="11"/>
      <c r="V1639" s="11"/>
      <c r="W1639" s="11"/>
      <c r="X1639" s="12"/>
      <c r="Y1639" s="12"/>
      <c r="Z1639" s="12"/>
      <c r="AA1639" s="44"/>
      <c r="AB1639" s="45"/>
      <c r="AC1639" s="12"/>
      <c r="AD1639" s="12"/>
      <c r="AE1639" s="12"/>
      <c r="AF1639" s="12"/>
      <c r="AG1639" s="44"/>
      <c r="AH1639" s="45"/>
      <c r="AI1639" s="12"/>
      <c r="AJ1639" s="12"/>
      <c r="AK1639" s="12"/>
      <c r="AL1639" s="12"/>
      <c r="AM1639" s="44"/>
      <c r="AN1639" s="45"/>
      <c r="AO1639" s="12"/>
      <c r="AP1639" s="12"/>
      <c r="AQ1639" s="12"/>
      <c r="AR1639" s="12"/>
      <c r="AS1639" s="44"/>
      <c r="AT1639" s="45"/>
      <c r="AU1639" s="12"/>
      <c r="AV1639" s="12"/>
      <c r="AW1639" s="12"/>
      <c r="AX1639" s="12"/>
      <c r="AY1639" s="44"/>
      <c r="AZ1639" s="45"/>
      <c r="BA1639" s="12"/>
      <c r="BB1639" s="12"/>
      <c r="BC1639" s="12"/>
      <c r="BD1639" s="12"/>
      <c r="BE1639" s="44"/>
      <c r="BF1639" s="45"/>
      <c r="BG1639" s="12"/>
      <c r="BH1639" s="12"/>
      <c r="BI1639" s="12"/>
      <c r="BJ1639" s="12"/>
      <c r="BK1639" s="44"/>
      <c r="BL1639" s="45"/>
      <c r="BM1639" s="12"/>
      <c r="BN1639" s="12"/>
      <c r="BO1639" s="12"/>
      <c r="BP1639" s="12"/>
      <c r="BQ1639" s="48"/>
      <c r="BR1639" s="49"/>
      <c r="BS1639" s="13"/>
      <c r="BT1639" s="12"/>
      <c r="BV1639" s="14"/>
      <c r="BW1639" s="50"/>
      <c r="BX1639" s="54"/>
      <c r="BY1639" s="14"/>
      <c r="BZ1639" s="14"/>
      <c r="CA1639" s="14"/>
      <c r="CB1639" s="14"/>
      <c r="CC1639" s="14"/>
      <c r="CD1639" s="14"/>
      <c r="CE1639" s="14"/>
      <c r="CF1639" s="15"/>
      <c r="CG1639" s="14"/>
      <c r="CH1639" s="14"/>
      <c r="CI1639" s="50"/>
      <c r="CJ1639" s="54"/>
      <c r="CK1639" s="14"/>
      <c r="CL1639" s="14"/>
      <c r="CM1639" s="14"/>
      <c r="CN1639" s="14"/>
      <c r="CO1639" s="14"/>
      <c r="CP1639" s="14"/>
      <c r="CQ1639" s="14"/>
      <c r="CR1639" s="14"/>
      <c r="CS1639" s="14"/>
      <c r="CT1639" s="14"/>
      <c r="CU1639" s="16"/>
      <c r="CV1639" s="14"/>
      <c r="CW1639" s="50"/>
      <c r="CX1639" s="17"/>
    </row>
    <row r="1640" spans="4:102" x14ac:dyDescent="0.25">
      <c r="D1640" s="11"/>
      <c r="E1640" s="11"/>
      <c r="F1640" s="11"/>
      <c r="G1640" s="11"/>
      <c r="H1640" s="11"/>
      <c r="I1640" s="11"/>
      <c r="J1640" s="11"/>
      <c r="K1640" s="11"/>
      <c r="L1640" s="11"/>
      <c r="M1640" s="11"/>
      <c r="N1640" s="11"/>
      <c r="O1640" s="11"/>
      <c r="P1640" s="43"/>
      <c r="Q1640" s="11"/>
      <c r="R1640" s="11"/>
      <c r="S1640" s="11"/>
      <c r="T1640" s="11"/>
      <c r="U1640" s="11"/>
      <c r="V1640" s="11"/>
      <c r="W1640" s="11"/>
      <c r="X1640" s="12"/>
      <c r="Y1640" s="12"/>
      <c r="Z1640" s="12"/>
      <c r="AA1640" s="44"/>
      <c r="AB1640" s="45"/>
      <c r="AC1640" s="12"/>
      <c r="AD1640" s="12"/>
      <c r="AE1640" s="12"/>
      <c r="AF1640" s="12"/>
      <c r="AG1640" s="44"/>
      <c r="AH1640" s="45"/>
      <c r="AI1640" s="12"/>
      <c r="AJ1640" s="12"/>
      <c r="AK1640" s="12"/>
      <c r="AL1640" s="12"/>
      <c r="AM1640" s="44"/>
      <c r="AN1640" s="45"/>
      <c r="AO1640" s="12"/>
      <c r="AP1640" s="12"/>
      <c r="AQ1640" s="12"/>
      <c r="AR1640" s="12"/>
      <c r="AS1640" s="44"/>
      <c r="AT1640" s="45"/>
      <c r="AU1640" s="12"/>
      <c r="AV1640" s="12"/>
      <c r="AW1640" s="12"/>
      <c r="AX1640" s="12"/>
      <c r="AY1640" s="44"/>
      <c r="AZ1640" s="45"/>
      <c r="BA1640" s="12"/>
      <c r="BB1640" s="12"/>
      <c r="BC1640" s="12"/>
      <c r="BD1640" s="12"/>
      <c r="BE1640" s="44"/>
      <c r="BF1640" s="45"/>
      <c r="BG1640" s="12"/>
      <c r="BH1640" s="12"/>
      <c r="BI1640" s="12"/>
      <c r="BJ1640" s="12"/>
      <c r="BK1640" s="44"/>
      <c r="BL1640" s="45"/>
      <c r="BM1640" s="12"/>
      <c r="BN1640" s="12"/>
      <c r="BO1640" s="12"/>
      <c r="BP1640" s="12"/>
      <c r="BQ1640" s="48"/>
      <c r="BR1640" s="49"/>
      <c r="BS1640" s="13"/>
      <c r="BT1640" s="12"/>
      <c r="BV1640" s="14"/>
      <c r="BW1640" s="50"/>
      <c r="BX1640" s="54"/>
      <c r="BY1640" s="14"/>
      <c r="BZ1640" s="14"/>
      <c r="CA1640" s="14"/>
      <c r="CB1640" s="14"/>
      <c r="CC1640" s="14"/>
      <c r="CD1640" s="14"/>
      <c r="CE1640" s="14"/>
      <c r="CF1640" s="15"/>
      <c r="CG1640" s="14"/>
      <c r="CH1640" s="14"/>
      <c r="CI1640" s="50"/>
      <c r="CJ1640" s="54"/>
      <c r="CK1640" s="14"/>
      <c r="CL1640" s="14"/>
      <c r="CM1640" s="14"/>
      <c r="CN1640" s="14"/>
      <c r="CO1640" s="14"/>
      <c r="CP1640" s="14"/>
      <c r="CQ1640" s="14"/>
      <c r="CR1640" s="14"/>
      <c r="CS1640" s="14"/>
      <c r="CT1640" s="14"/>
      <c r="CU1640" s="16"/>
      <c r="CV1640" s="14"/>
      <c r="CW1640" s="50"/>
      <c r="CX1640" s="17"/>
    </row>
    <row r="1641" spans="4:102" x14ac:dyDescent="0.25">
      <c r="D1641" s="11"/>
      <c r="E1641" s="11"/>
      <c r="F1641" s="11"/>
      <c r="G1641" s="11"/>
      <c r="H1641" s="11"/>
      <c r="I1641" s="11"/>
      <c r="J1641" s="11"/>
      <c r="K1641" s="11"/>
      <c r="L1641" s="11"/>
      <c r="M1641" s="11"/>
      <c r="N1641" s="11"/>
      <c r="O1641" s="11"/>
      <c r="P1641" s="43"/>
      <c r="Q1641" s="11"/>
      <c r="R1641" s="11"/>
      <c r="S1641" s="11"/>
      <c r="T1641" s="11"/>
      <c r="U1641" s="11"/>
      <c r="V1641" s="11"/>
      <c r="W1641" s="11"/>
      <c r="X1641" s="12"/>
      <c r="Y1641" s="12"/>
      <c r="Z1641" s="12"/>
      <c r="AA1641" s="44"/>
      <c r="AB1641" s="45"/>
      <c r="AC1641" s="12"/>
      <c r="AD1641" s="12"/>
      <c r="AE1641" s="12"/>
      <c r="AF1641" s="12"/>
      <c r="AG1641" s="44"/>
      <c r="AH1641" s="45"/>
      <c r="AI1641" s="12"/>
      <c r="AJ1641" s="12"/>
      <c r="AK1641" s="12"/>
      <c r="AL1641" s="12"/>
      <c r="AM1641" s="44"/>
      <c r="AN1641" s="45"/>
      <c r="AO1641" s="12"/>
      <c r="AP1641" s="12"/>
      <c r="AQ1641" s="12"/>
      <c r="AR1641" s="12"/>
      <c r="AS1641" s="44"/>
      <c r="AT1641" s="45"/>
      <c r="AU1641" s="12"/>
      <c r="AV1641" s="12"/>
      <c r="AW1641" s="12"/>
      <c r="AX1641" s="12"/>
      <c r="AY1641" s="44"/>
      <c r="AZ1641" s="45"/>
      <c r="BA1641" s="12"/>
      <c r="BB1641" s="12"/>
      <c r="BC1641" s="12"/>
      <c r="BD1641" s="12"/>
      <c r="BE1641" s="44"/>
      <c r="BF1641" s="45"/>
      <c r="BG1641" s="12"/>
      <c r="BH1641" s="12"/>
      <c r="BI1641" s="12"/>
      <c r="BJ1641" s="12"/>
      <c r="BK1641" s="44"/>
      <c r="BL1641" s="45"/>
      <c r="BM1641" s="12"/>
      <c r="BN1641" s="12"/>
      <c r="BO1641" s="12"/>
      <c r="BP1641" s="12"/>
      <c r="BQ1641" s="48"/>
      <c r="BR1641" s="49"/>
      <c r="BS1641" s="13"/>
      <c r="BT1641" s="12"/>
      <c r="BV1641" s="14"/>
      <c r="BW1641" s="50"/>
      <c r="BX1641" s="54"/>
      <c r="BY1641" s="14"/>
      <c r="BZ1641" s="14"/>
      <c r="CA1641" s="14"/>
      <c r="CB1641" s="14"/>
      <c r="CC1641" s="14"/>
      <c r="CD1641" s="14"/>
      <c r="CE1641" s="14"/>
      <c r="CF1641" s="15"/>
      <c r="CG1641" s="14"/>
      <c r="CH1641" s="14"/>
      <c r="CI1641" s="50"/>
      <c r="CJ1641" s="54"/>
      <c r="CK1641" s="14"/>
      <c r="CL1641" s="14"/>
      <c r="CM1641" s="14"/>
      <c r="CN1641" s="14"/>
      <c r="CO1641" s="14"/>
      <c r="CP1641" s="14"/>
      <c r="CQ1641" s="14"/>
      <c r="CR1641" s="14"/>
      <c r="CS1641" s="14"/>
      <c r="CT1641" s="14"/>
      <c r="CU1641" s="16"/>
      <c r="CV1641" s="14"/>
      <c r="CW1641" s="50"/>
      <c r="CX1641" s="17"/>
    </row>
    <row r="1642" spans="4:102" x14ac:dyDescent="0.25">
      <c r="D1642" s="11"/>
      <c r="E1642" s="11"/>
      <c r="F1642" s="11"/>
      <c r="G1642" s="11"/>
      <c r="H1642" s="11"/>
      <c r="I1642" s="11"/>
      <c r="J1642" s="11"/>
      <c r="K1642" s="11"/>
      <c r="L1642" s="11"/>
      <c r="M1642" s="11"/>
      <c r="N1642" s="11"/>
      <c r="O1642" s="11"/>
      <c r="P1642" s="43"/>
      <c r="Q1642" s="11"/>
      <c r="R1642" s="11"/>
      <c r="S1642" s="11"/>
      <c r="T1642" s="11"/>
      <c r="U1642" s="11"/>
      <c r="V1642" s="11"/>
      <c r="W1642" s="11"/>
      <c r="X1642" s="12"/>
      <c r="Y1642" s="12"/>
      <c r="Z1642" s="12"/>
      <c r="AA1642" s="44"/>
      <c r="AB1642" s="45"/>
      <c r="AC1642" s="12"/>
      <c r="AD1642" s="12"/>
      <c r="AE1642" s="12"/>
      <c r="AF1642" s="12"/>
      <c r="AG1642" s="44"/>
      <c r="AH1642" s="45"/>
      <c r="AI1642" s="12"/>
      <c r="AJ1642" s="12"/>
      <c r="AK1642" s="12"/>
      <c r="AL1642" s="12"/>
      <c r="AM1642" s="44"/>
      <c r="AN1642" s="45"/>
      <c r="AO1642" s="12"/>
      <c r="AP1642" s="12"/>
      <c r="AQ1642" s="12"/>
      <c r="AR1642" s="12"/>
      <c r="AS1642" s="44"/>
      <c r="AT1642" s="45"/>
      <c r="AU1642" s="12"/>
      <c r="AV1642" s="12"/>
      <c r="AW1642" s="12"/>
      <c r="AX1642" s="12"/>
      <c r="AY1642" s="44"/>
      <c r="AZ1642" s="45"/>
      <c r="BA1642" s="12"/>
      <c r="BB1642" s="12"/>
      <c r="BC1642" s="12"/>
      <c r="BD1642" s="12"/>
      <c r="BE1642" s="44"/>
      <c r="BF1642" s="45"/>
      <c r="BG1642" s="12"/>
      <c r="BH1642" s="12"/>
      <c r="BI1642" s="12"/>
      <c r="BJ1642" s="12"/>
      <c r="BK1642" s="44"/>
      <c r="BL1642" s="45"/>
      <c r="BM1642" s="12"/>
      <c r="BN1642" s="12"/>
      <c r="BO1642" s="12"/>
      <c r="BP1642" s="12"/>
      <c r="BQ1642" s="48"/>
      <c r="BR1642" s="49"/>
      <c r="BS1642" s="13"/>
      <c r="BT1642" s="12"/>
      <c r="BV1642" s="14"/>
      <c r="BW1642" s="50"/>
      <c r="BX1642" s="54"/>
      <c r="BY1642" s="14"/>
      <c r="BZ1642" s="14"/>
      <c r="CA1642" s="14"/>
      <c r="CB1642" s="14"/>
      <c r="CC1642" s="14"/>
      <c r="CD1642" s="14"/>
      <c r="CE1642" s="14"/>
      <c r="CF1642" s="15"/>
      <c r="CG1642" s="14"/>
      <c r="CH1642" s="14"/>
      <c r="CI1642" s="50"/>
      <c r="CJ1642" s="54"/>
      <c r="CK1642" s="14"/>
      <c r="CL1642" s="14"/>
      <c r="CM1642" s="14"/>
      <c r="CN1642" s="14"/>
      <c r="CO1642" s="14"/>
      <c r="CP1642" s="14"/>
      <c r="CQ1642" s="14"/>
      <c r="CR1642" s="14"/>
      <c r="CS1642" s="14"/>
      <c r="CT1642" s="14"/>
      <c r="CU1642" s="16"/>
      <c r="CV1642" s="14"/>
      <c r="CW1642" s="50"/>
      <c r="CX1642" s="17"/>
    </row>
    <row r="1643" spans="4:102" x14ac:dyDescent="0.25">
      <c r="D1643" s="11"/>
      <c r="E1643" s="11"/>
      <c r="F1643" s="11"/>
      <c r="G1643" s="11"/>
      <c r="H1643" s="11"/>
      <c r="I1643" s="11"/>
      <c r="J1643" s="11"/>
      <c r="K1643" s="11"/>
      <c r="L1643" s="11"/>
      <c r="M1643" s="11"/>
      <c r="N1643" s="11"/>
      <c r="O1643" s="11"/>
      <c r="P1643" s="43"/>
      <c r="Q1643" s="11"/>
      <c r="R1643" s="11"/>
      <c r="S1643" s="11"/>
      <c r="T1643" s="11"/>
      <c r="U1643" s="11"/>
      <c r="V1643" s="11"/>
      <c r="W1643" s="11"/>
      <c r="X1643" s="12"/>
      <c r="Y1643" s="12"/>
      <c r="Z1643" s="12"/>
      <c r="AA1643" s="44"/>
      <c r="AB1643" s="45"/>
      <c r="AC1643" s="12"/>
      <c r="AD1643" s="12"/>
      <c r="AE1643" s="12"/>
      <c r="AF1643" s="12"/>
      <c r="AG1643" s="44"/>
      <c r="AH1643" s="45"/>
      <c r="AI1643" s="12"/>
      <c r="AJ1643" s="12"/>
      <c r="AK1643" s="12"/>
      <c r="AL1643" s="12"/>
      <c r="AM1643" s="44"/>
      <c r="AN1643" s="45"/>
      <c r="AO1643" s="12"/>
      <c r="AP1643" s="12"/>
      <c r="AQ1643" s="12"/>
      <c r="AR1643" s="12"/>
      <c r="AS1643" s="44"/>
      <c r="AT1643" s="45"/>
      <c r="AU1643" s="12"/>
      <c r="AV1643" s="12"/>
      <c r="AW1643" s="12"/>
      <c r="AX1643" s="12"/>
      <c r="AY1643" s="44"/>
      <c r="AZ1643" s="45"/>
      <c r="BA1643" s="12"/>
      <c r="BB1643" s="12"/>
      <c r="BC1643" s="12"/>
      <c r="BD1643" s="12"/>
      <c r="BE1643" s="44"/>
      <c r="BF1643" s="45"/>
      <c r="BG1643" s="12"/>
      <c r="BH1643" s="12"/>
      <c r="BI1643" s="12"/>
      <c r="BJ1643" s="12"/>
      <c r="BK1643" s="44"/>
      <c r="BL1643" s="45"/>
      <c r="BM1643" s="12"/>
      <c r="BN1643" s="12"/>
      <c r="BO1643" s="12"/>
      <c r="BP1643" s="12"/>
      <c r="BQ1643" s="48"/>
      <c r="BR1643" s="49"/>
      <c r="BS1643" s="13"/>
      <c r="BT1643" s="12"/>
      <c r="BV1643" s="14"/>
      <c r="BW1643" s="50"/>
      <c r="BX1643" s="54"/>
      <c r="BY1643" s="14"/>
      <c r="BZ1643" s="14"/>
      <c r="CA1643" s="14"/>
      <c r="CB1643" s="14"/>
      <c r="CC1643" s="14"/>
      <c r="CD1643" s="14"/>
      <c r="CE1643" s="14"/>
      <c r="CF1643" s="15"/>
      <c r="CG1643" s="14"/>
      <c r="CH1643" s="14"/>
      <c r="CI1643" s="50"/>
      <c r="CJ1643" s="54"/>
      <c r="CK1643" s="14"/>
      <c r="CL1643" s="14"/>
      <c r="CM1643" s="14"/>
      <c r="CN1643" s="14"/>
      <c r="CO1643" s="14"/>
      <c r="CP1643" s="14"/>
      <c r="CQ1643" s="14"/>
      <c r="CR1643" s="14"/>
      <c r="CS1643" s="14"/>
      <c r="CT1643" s="14"/>
      <c r="CU1643" s="16"/>
      <c r="CV1643" s="14"/>
      <c r="CW1643" s="50"/>
      <c r="CX1643" s="17"/>
    </row>
    <row r="1644" spans="4:102" x14ac:dyDescent="0.25">
      <c r="D1644" s="11"/>
      <c r="E1644" s="11"/>
      <c r="F1644" s="11"/>
      <c r="G1644" s="11"/>
      <c r="H1644" s="11"/>
      <c r="I1644" s="11"/>
      <c r="J1644" s="11"/>
      <c r="K1644" s="11"/>
      <c r="L1644" s="11"/>
      <c r="M1644" s="11"/>
      <c r="N1644" s="11"/>
      <c r="O1644" s="11"/>
      <c r="P1644" s="43"/>
      <c r="Q1644" s="11"/>
      <c r="R1644" s="11"/>
      <c r="S1644" s="11"/>
      <c r="T1644" s="11"/>
      <c r="U1644" s="11"/>
      <c r="V1644" s="11"/>
      <c r="W1644" s="11"/>
      <c r="X1644" s="12"/>
      <c r="Y1644" s="12"/>
      <c r="Z1644" s="12"/>
      <c r="AA1644" s="44"/>
      <c r="AB1644" s="45"/>
      <c r="AC1644" s="12"/>
      <c r="AD1644" s="12"/>
      <c r="AE1644" s="12"/>
      <c r="AF1644" s="12"/>
      <c r="AG1644" s="44"/>
      <c r="AH1644" s="45"/>
      <c r="AI1644" s="12"/>
      <c r="AJ1644" s="12"/>
      <c r="AK1644" s="12"/>
      <c r="AL1644" s="12"/>
      <c r="AM1644" s="44"/>
      <c r="AN1644" s="45"/>
      <c r="AO1644" s="12"/>
      <c r="AP1644" s="12"/>
      <c r="AQ1644" s="12"/>
      <c r="AR1644" s="12"/>
      <c r="AS1644" s="44"/>
      <c r="AT1644" s="45"/>
      <c r="AU1644" s="12"/>
      <c r="AV1644" s="12"/>
      <c r="AW1644" s="12"/>
      <c r="AX1644" s="12"/>
      <c r="AY1644" s="44"/>
      <c r="AZ1644" s="45"/>
      <c r="BA1644" s="12"/>
      <c r="BB1644" s="12"/>
      <c r="BC1644" s="12"/>
      <c r="BD1644" s="12"/>
      <c r="BE1644" s="44"/>
      <c r="BF1644" s="45"/>
      <c r="BG1644" s="12"/>
      <c r="BH1644" s="12"/>
      <c r="BI1644" s="12"/>
      <c r="BJ1644" s="12"/>
      <c r="BK1644" s="44"/>
      <c r="BL1644" s="45"/>
      <c r="BM1644" s="12"/>
      <c r="BN1644" s="12"/>
      <c r="BO1644" s="12"/>
      <c r="BP1644" s="12"/>
      <c r="BQ1644" s="48"/>
      <c r="BR1644" s="49"/>
      <c r="BS1644" s="13"/>
      <c r="BT1644" s="12"/>
      <c r="BV1644" s="14"/>
      <c r="BW1644" s="50"/>
      <c r="BX1644" s="54"/>
      <c r="BY1644" s="14"/>
      <c r="BZ1644" s="14"/>
      <c r="CA1644" s="14"/>
      <c r="CB1644" s="14"/>
      <c r="CC1644" s="14"/>
      <c r="CD1644" s="14"/>
      <c r="CE1644" s="14"/>
      <c r="CF1644" s="15"/>
      <c r="CG1644" s="14"/>
      <c r="CH1644" s="14"/>
      <c r="CI1644" s="50"/>
      <c r="CJ1644" s="54"/>
      <c r="CK1644" s="14"/>
      <c r="CL1644" s="14"/>
      <c r="CM1644" s="14"/>
      <c r="CN1644" s="14"/>
      <c r="CO1644" s="14"/>
      <c r="CP1644" s="14"/>
      <c r="CQ1644" s="14"/>
      <c r="CR1644" s="14"/>
      <c r="CS1644" s="14"/>
      <c r="CT1644" s="14"/>
      <c r="CU1644" s="16"/>
      <c r="CV1644" s="14"/>
      <c r="CW1644" s="50"/>
      <c r="CX1644" s="17"/>
    </row>
    <row r="1645" spans="4:102" x14ac:dyDescent="0.25">
      <c r="D1645" s="11"/>
      <c r="E1645" s="11"/>
      <c r="F1645" s="11"/>
      <c r="G1645" s="11"/>
      <c r="H1645" s="11"/>
      <c r="I1645" s="11"/>
      <c r="J1645" s="11"/>
      <c r="K1645" s="11"/>
      <c r="L1645" s="11"/>
      <c r="M1645" s="11"/>
      <c r="N1645" s="11"/>
      <c r="O1645" s="11"/>
      <c r="P1645" s="43"/>
      <c r="Q1645" s="11"/>
      <c r="R1645" s="11"/>
      <c r="S1645" s="11"/>
      <c r="T1645" s="11"/>
      <c r="U1645" s="11"/>
      <c r="V1645" s="11"/>
      <c r="W1645" s="11"/>
      <c r="X1645" s="12"/>
      <c r="Y1645" s="12"/>
      <c r="Z1645" s="12"/>
      <c r="AA1645" s="44"/>
      <c r="AB1645" s="45"/>
      <c r="AC1645" s="12"/>
      <c r="AD1645" s="12"/>
      <c r="AE1645" s="12"/>
      <c r="AF1645" s="12"/>
      <c r="AG1645" s="44"/>
      <c r="AH1645" s="45"/>
      <c r="AI1645" s="12"/>
      <c r="AJ1645" s="12"/>
      <c r="AK1645" s="12"/>
      <c r="AL1645" s="12"/>
      <c r="AM1645" s="44"/>
      <c r="AN1645" s="45"/>
      <c r="AO1645" s="12"/>
      <c r="AP1645" s="12"/>
      <c r="AQ1645" s="12"/>
      <c r="AR1645" s="12"/>
      <c r="AS1645" s="44"/>
      <c r="AT1645" s="45"/>
      <c r="AU1645" s="12"/>
      <c r="AV1645" s="12"/>
      <c r="AW1645" s="12"/>
      <c r="AX1645" s="12"/>
      <c r="AY1645" s="44"/>
      <c r="AZ1645" s="45"/>
      <c r="BA1645" s="12"/>
      <c r="BB1645" s="12"/>
      <c r="BC1645" s="12"/>
      <c r="BD1645" s="12"/>
      <c r="BE1645" s="44"/>
      <c r="BF1645" s="45"/>
      <c r="BG1645" s="12"/>
      <c r="BH1645" s="12"/>
      <c r="BI1645" s="12"/>
      <c r="BJ1645" s="12"/>
      <c r="BK1645" s="44"/>
      <c r="BL1645" s="45"/>
      <c r="BM1645" s="12"/>
      <c r="BN1645" s="12"/>
      <c r="BO1645" s="12"/>
      <c r="BP1645" s="12"/>
      <c r="BQ1645" s="48"/>
      <c r="BR1645" s="49"/>
      <c r="BS1645" s="13"/>
      <c r="BT1645" s="12"/>
      <c r="BV1645" s="14"/>
      <c r="BW1645" s="50"/>
      <c r="BX1645" s="54"/>
      <c r="BY1645" s="14"/>
      <c r="BZ1645" s="14"/>
      <c r="CA1645" s="14"/>
      <c r="CB1645" s="14"/>
      <c r="CC1645" s="14"/>
      <c r="CD1645" s="14"/>
      <c r="CE1645" s="14"/>
      <c r="CF1645" s="15"/>
      <c r="CG1645" s="14"/>
      <c r="CH1645" s="14"/>
      <c r="CI1645" s="50"/>
      <c r="CJ1645" s="54"/>
      <c r="CK1645" s="14"/>
      <c r="CL1645" s="14"/>
      <c r="CM1645" s="14"/>
      <c r="CN1645" s="14"/>
      <c r="CO1645" s="14"/>
      <c r="CP1645" s="14"/>
      <c r="CQ1645" s="14"/>
      <c r="CR1645" s="14"/>
      <c r="CS1645" s="14"/>
      <c r="CT1645" s="14"/>
      <c r="CU1645" s="16"/>
      <c r="CV1645" s="14"/>
      <c r="CW1645" s="50"/>
      <c r="CX1645" s="17"/>
    </row>
    <row r="1646" spans="4:102" x14ac:dyDescent="0.25">
      <c r="D1646" s="11"/>
      <c r="E1646" s="11"/>
      <c r="F1646" s="11"/>
      <c r="G1646" s="11"/>
      <c r="H1646" s="11"/>
      <c r="I1646" s="11"/>
      <c r="J1646" s="11"/>
      <c r="K1646" s="11"/>
      <c r="L1646" s="11"/>
      <c r="M1646" s="11"/>
      <c r="N1646" s="11"/>
      <c r="O1646" s="11"/>
      <c r="P1646" s="43"/>
      <c r="Q1646" s="11"/>
      <c r="R1646" s="11"/>
      <c r="S1646" s="11"/>
      <c r="T1646" s="11"/>
      <c r="U1646" s="11"/>
      <c r="V1646" s="11"/>
      <c r="W1646" s="11"/>
      <c r="X1646" s="12"/>
      <c r="Y1646" s="12"/>
      <c r="Z1646" s="12"/>
      <c r="AA1646" s="44"/>
      <c r="AB1646" s="45"/>
      <c r="AC1646" s="12"/>
      <c r="AD1646" s="12"/>
      <c r="AE1646" s="12"/>
      <c r="AF1646" s="12"/>
      <c r="AG1646" s="44"/>
      <c r="AH1646" s="45"/>
      <c r="AI1646" s="12"/>
      <c r="AJ1646" s="12"/>
      <c r="AK1646" s="12"/>
      <c r="AL1646" s="12"/>
      <c r="AM1646" s="44"/>
      <c r="AN1646" s="45"/>
      <c r="AO1646" s="12"/>
      <c r="AP1646" s="12"/>
      <c r="AQ1646" s="12"/>
      <c r="AR1646" s="12"/>
      <c r="AS1646" s="44"/>
      <c r="AT1646" s="45"/>
      <c r="AU1646" s="12"/>
      <c r="AV1646" s="12"/>
      <c r="AW1646" s="12"/>
      <c r="AX1646" s="12"/>
      <c r="AY1646" s="44"/>
      <c r="AZ1646" s="45"/>
      <c r="BA1646" s="12"/>
      <c r="BB1646" s="12"/>
      <c r="BC1646" s="12"/>
      <c r="BD1646" s="12"/>
      <c r="BE1646" s="44"/>
      <c r="BF1646" s="45"/>
      <c r="BG1646" s="12"/>
      <c r="BH1646" s="12"/>
      <c r="BI1646" s="12"/>
      <c r="BJ1646" s="12"/>
      <c r="BK1646" s="44"/>
      <c r="BL1646" s="45"/>
      <c r="BM1646" s="12"/>
      <c r="BN1646" s="12"/>
      <c r="BO1646" s="12"/>
      <c r="BP1646" s="12"/>
      <c r="BQ1646" s="48"/>
      <c r="BR1646" s="49"/>
      <c r="BS1646" s="13"/>
      <c r="BT1646" s="12"/>
      <c r="BV1646" s="14"/>
      <c r="BW1646" s="50"/>
      <c r="BX1646" s="54"/>
      <c r="BY1646" s="14"/>
      <c r="BZ1646" s="14"/>
      <c r="CA1646" s="14"/>
      <c r="CB1646" s="14"/>
      <c r="CC1646" s="14"/>
      <c r="CD1646" s="14"/>
      <c r="CE1646" s="14"/>
      <c r="CF1646" s="15"/>
      <c r="CG1646" s="14"/>
      <c r="CH1646" s="14"/>
      <c r="CI1646" s="50"/>
      <c r="CJ1646" s="54"/>
      <c r="CK1646" s="14"/>
      <c r="CL1646" s="14"/>
      <c r="CM1646" s="14"/>
      <c r="CN1646" s="14"/>
      <c r="CO1646" s="14"/>
      <c r="CP1646" s="14"/>
      <c r="CQ1646" s="14"/>
      <c r="CR1646" s="14"/>
      <c r="CS1646" s="14"/>
      <c r="CT1646" s="14"/>
      <c r="CU1646" s="16"/>
      <c r="CV1646" s="14"/>
      <c r="CW1646" s="50"/>
      <c r="CX1646" s="17"/>
    </row>
    <row r="1647" spans="4:102" x14ac:dyDescent="0.25">
      <c r="D1647" s="11"/>
      <c r="E1647" s="11"/>
      <c r="F1647" s="11"/>
      <c r="G1647" s="11"/>
      <c r="H1647" s="11"/>
      <c r="I1647" s="11"/>
      <c r="J1647" s="11"/>
      <c r="K1647" s="11"/>
      <c r="L1647" s="11"/>
      <c r="M1647" s="11"/>
      <c r="N1647" s="11"/>
      <c r="O1647" s="11"/>
      <c r="P1647" s="43"/>
      <c r="Q1647" s="11"/>
      <c r="R1647" s="11"/>
      <c r="S1647" s="11"/>
      <c r="T1647" s="11"/>
      <c r="U1647" s="11"/>
      <c r="V1647" s="11"/>
      <c r="W1647" s="11"/>
      <c r="X1647" s="12"/>
      <c r="Y1647" s="12"/>
      <c r="Z1647" s="12"/>
      <c r="AA1647" s="44"/>
      <c r="AB1647" s="45"/>
      <c r="AC1647" s="12"/>
      <c r="AD1647" s="12"/>
      <c r="AE1647" s="12"/>
      <c r="AF1647" s="12"/>
      <c r="AG1647" s="44"/>
      <c r="AH1647" s="45"/>
      <c r="AI1647" s="12"/>
      <c r="AJ1647" s="12"/>
      <c r="AK1647" s="12"/>
      <c r="AL1647" s="12"/>
      <c r="AM1647" s="44"/>
      <c r="AN1647" s="45"/>
      <c r="AO1647" s="12"/>
      <c r="AP1647" s="12"/>
      <c r="AQ1647" s="12"/>
      <c r="AR1647" s="12"/>
      <c r="AS1647" s="44"/>
      <c r="AT1647" s="45"/>
      <c r="AU1647" s="12"/>
      <c r="AV1647" s="12"/>
      <c r="AW1647" s="12"/>
      <c r="AX1647" s="12"/>
      <c r="AY1647" s="44"/>
      <c r="AZ1647" s="45"/>
      <c r="BA1647" s="12"/>
      <c r="BB1647" s="12"/>
      <c r="BC1647" s="12"/>
      <c r="BD1647" s="12"/>
      <c r="BE1647" s="44"/>
      <c r="BF1647" s="45"/>
      <c r="BG1647" s="12"/>
      <c r="BH1647" s="12"/>
      <c r="BI1647" s="12"/>
      <c r="BJ1647" s="12"/>
      <c r="BK1647" s="44"/>
      <c r="BL1647" s="45"/>
      <c r="BM1647" s="12"/>
      <c r="BN1647" s="12"/>
      <c r="BO1647" s="12"/>
      <c r="BP1647" s="12"/>
      <c r="BQ1647" s="48"/>
      <c r="BR1647" s="49"/>
      <c r="BS1647" s="13"/>
      <c r="BT1647" s="12"/>
      <c r="BV1647" s="14"/>
      <c r="BW1647" s="50"/>
      <c r="BX1647" s="54"/>
      <c r="BY1647" s="14"/>
      <c r="BZ1647" s="14"/>
      <c r="CA1647" s="14"/>
      <c r="CB1647" s="14"/>
      <c r="CC1647" s="14"/>
      <c r="CD1647" s="14"/>
      <c r="CE1647" s="14"/>
      <c r="CF1647" s="15"/>
      <c r="CG1647" s="14"/>
      <c r="CH1647" s="14"/>
      <c r="CI1647" s="50"/>
      <c r="CJ1647" s="54"/>
      <c r="CK1647" s="14"/>
      <c r="CL1647" s="14"/>
      <c r="CM1647" s="14"/>
      <c r="CN1647" s="14"/>
      <c r="CO1647" s="14"/>
      <c r="CP1647" s="14"/>
      <c r="CQ1647" s="14"/>
      <c r="CR1647" s="14"/>
      <c r="CS1647" s="14"/>
      <c r="CT1647" s="14"/>
      <c r="CU1647" s="16"/>
      <c r="CV1647" s="14"/>
      <c r="CW1647" s="50"/>
      <c r="CX1647" s="17"/>
    </row>
    <row r="1648" spans="4:102" x14ac:dyDescent="0.25">
      <c r="D1648" s="11"/>
      <c r="E1648" s="11"/>
      <c r="F1648" s="11"/>
      <c r="G1648" s="11"/>
      <c r="H1648" s="11"/>
      <c r="I1648" s="11"/>
      <c r="J1648" s="11"/>
      <c r="K1648" s="11"/>
      <c r="L1648" s="11"/>
      <c r="M1648" s="11"/>
      <c r="N1648" s="11"/>
      <c r="O1648" s="11"/>
      <c r="P1648" s="43"/>
      <c r="Q1648" s="11"/>
      <c r="R1648" s="11"/>
      <c r="S1648" s="11"/>
      <c r="T1648" s="11"/>
      <c r="U1648" s="11"/>
      <c r="V1648" s="11"/>
      <c r="W1648" s="11"/>
      <c r="X1648" s="12"/>
      <c r="Y1648" s="12"/>
      <c r="Z1648" s="12"/>
      <c r="AA1648" s="44"/>
      <c r="AB1648" s="45"/>
      <c r="AC1648" s="12"/>
      <c r="AD1648" s="12"/>
      <c r="AE1648" s="12"/>
      <c r="AF1648" s="12"/>
      <c r="AG1648" s="44"/>
      <c r="AH1648" s="45"/>
      <c r="AI1648" s="12"/>
      <c r="AJ1648" s="12"/>
      <c r="AK1648" s="12"/>
      <c r="AL1648" s="12"/>
      <c r="AM1648" s="44"/>
      <c r="AN1648" s="45"/>
      <c r="AO1648" s="12"/>
      <c r="AP1648" s="12"/>
      <c r="AQ1648" s="12"/>
      <c r="AR1648" s="12"/>
      <c r="AS1648" s="44"/>
      <c r="AT1648" s="45"/>
      <c r="AU1648" s="12"/>
      <c r="AV1648" s="12"/>
      <c r="AW1648" s="12"/>
      <c r="AX1648" s="12"/>
      <c r="AY1648" s="44"/>
      <c r="AZ1648" s="45"/>
      <c r="BA1648" s="12"/>
      <c r="BB1648" s="12"/>
      <c r="BC1648" s="12"/>
      <c r="BD1648" s="12"/>
      <c r="BE1648" s="44"/>
      <c r="BF1648" s="45"/>
      <c r="BG1648" s="12"/>
      <c r="BH1648" s="12"/>
      <c r="BI1648" s="12"/>
      <c r="BJ1648" s="12"/>
      <c r="BK1648" s="44"/>
      <c r="BL1648" s="45"/>
      <c r="BM1648" s="12"/>
      <c r="BN1648" s="12"/>
      <c r="BO1648" s="12"/>
      <c r="BP1648" s="12"/>
      <c r="BQ1648" s="48"/>
      <c r="BR1648" s="49"/>
      <c r="BS1648" s="13"/>
      <c r="BT1648" s="12"/>
      <c r="BV1648" s="14"/>
      <c r="BW1648" s="50"/>
      <c r="BX1648" s="54"/>
      <c r="BY1648" s="14"/>
      <c r="BZ1648" s="14"/>
      <c r="CA1648" s="14"/>
      <c r="CB1648" s="14"/>
      <c r="CC1648" s="14"/>
      <c r="CD1648" s="14"/>
      <c r="CE1648" s="14"/>
      <c r="CF1648" s="15"/>
      <c r="CG1648" s="14"/>
      <c r="CH1648" s="14"/>
      <c r="CI1648" s="50"/>
      <c r="CJ1648" s="54"/>
      <c r="CK1648" s="14"/>
      <c r="CL1648" s="14"/>
      <c r="CM1648" s="14"/>
      <c r="CN1648" s="14"/>
      <c r="CO1648" s="14"/>
      <c r="CP1648" s="14"/>
      <c r="CQ1648" s="14"/>
      <c r="CR1648" s="14"/>
      <c r="CS1648" s="14"/>
      <c r="CT1648" s="14"/>
      <c r="CU1648" s="16"/>
      <c r="CV1648" s="14"/>
      <c r="CW1648" s="50"/>
      <c r="CX1648" s="17"/>
    </row>
    <row r="1649" spans="4:102" x14ac:dyDescent="0.25">
      <c r="D1649" s="11"/>
      <c r="E1649" s="11"/>
      <c r="F1649" s="11"/>
      <c r="G1649" s="11"/>
      <c r="H1649" s="11"/>
      <c r="I1649" s="11"/>
      <c r="J1649" s="11"/>
      <c r="K1649" s="11"/>
      <c r="L1649" s="11"/>
      <c r="M1649" s="11"/>
      <c r="N1649" s="11"/>
      <c r="O1649" s="11"/>
      <c r="P1649" s="43"/>
      <c r="Q1649" s="11"/>
      <c r="R1649" s="11"/>
      <c r="S1649" s="11"/>
      <c r="T1649" s="11"/>
      <c r="U1649" s="11"/>
      <c r="V1649" s="11"/>
      <c r="W1649" s="11"/>
      <c r="X1649" s="12"/>
      <c r="Y1649" s="12"/>
      <c r="Z1649" s="12"/>
      <c r="AA1649" s="44"/>
      <c r="AB1649" s="45"/>
      <c r="AC1649" s="12"/>
      <c r="AD1649" s="12"/>
      <c r="AE1649" s="12"/>
      <c r="AF1649" s="12"/>
      <c r="AG1649" s="44"/>
      <c r="AH1649" s="45"/>
      <c r="AI1649" s="12"/>
      <c r="AJ1649" s="12"/>
      <c r="AK1649" s="12"/>
      <c r="AL1649" s="12"/>
      <c r="AM1649" s="44"/>
      <c r="AN1649" s="45"/>
      <c r="AO1649" s="12"/>
      <c r="AP1649" s="12"/>
      <c r="AQ1649" s="12"/>
      <c r="AR1649" s="12"/>
      <c r="AS1649" s="44"/>
      <c r="AT1649" s="45"/>
      <c r="AU1649" s="12"/>
      <c r="AV1649" s="12"/>
      <c r="AW1649" s="12"/>
      <c r="AX1649" s="12"/>
      <c r="AY1649" s="44"/>
      <c r="AZ1649" s="45"/>
      <c r="BA1649" s="12"/>
      <c r="BB1649" s="12"/>
      <c r="BC1649" s="12"/>
      <c r="BD1649" s="12"/>
      <c r="BE1649" s="44"/>
      <c r="BF1649" s="45"/>
      <c r="BG1649" s="12"/>
      <c r="BH1649" s="12"/>
      <c r="BI1649" s="12"/>
      <c r="BJ1649" s="12"/>
      <c r="BK1649" s="44"/>
      <c r="BL1649" s="45"/>
      <c r="BM1649" s="12"/>
      <c r="BN1649" s="12"/>
      <c r="BO1649" s="12"/>
      <c r="BP1649" s="12"/>
      <c r="BQ1649" s="48"/>
      <c r="BR1649" s="49"/>
      <c r="BS1649" s="13"/>
      <c r="BT1649" s="12"/>
      <c r="BV1649" s="14"/>
      <c r="BW1649" s="50"/>
      <c r="BX1649" s="54"/>
      <c r="BY1649" s="14"/>
      <c r="BZ1649" s="14"/>
      <c r="CA1649" s="14"/>
      <c r="CB1649" s="14"/>
      <c r="CC1649" s="14"/>
      <c r="CD1649" s="14"/>
      <c r="CE1649" s="14"/>
      <c r="CF1649" s="15"/>
      <c r="CG1649" s="14"/>
      <c r="CH1649" s="14"/>
      <c r="CI1649" s="50"/>
      <c r="CJ1649" s="54"/>
      <c r="CK1649" s="14"/>
      <c r="CL1649" s="14"/>
      <c r="CM1649" s="14"/>
      <c r="CN1649" s="14"/>
      <c r="CO1649" s="14"/>
      <c r="CP1649" s="14"/>
      <c r="CQ1649" s="14"/>
      <c r="CR1649" s="14"/>
      <c r="CS1649" s="14"/>
      <c r="CT1649" s="14"/>
      <c r="CU1649" s="16"/>
      <c r="CV1649" s="14"/>
      <c r="CW1649" s="50"/>
      <c r="CX1649" s="17"/>
    </row>
    <row r="1650" spans="4:102" x14ac:dyDescent="0.25">
      <c r="D1650" s="11"/>
      <c r="E1650" s="11"/>
      <c r="F1650" s="11"/>
      <c r="G1650" s="11"/>
      <c r="H1650" s="11"/>
      <c r="I1650" s="11"/>
      <c r="J1650" s="11"/>
      <c r="K1650" s="11"/>
      <c r="L1650" s="11"/>
      <c r="M1650" s="11"/>
      <c r="N1650" s="11"/>
      <c r="O1650" s="11"/>
      <c r="P1650" s="43"/>
      <c r="Q1650" s="11"/>
      <c r="R1650" s="11"/>
      <c r="S1650" s="11"/>
      <c r="T1650" s="11"/>
      <c r="U1650" s="11"/>
      <c r="V1650" s="11"/>
      <c r="W1650" s="11"/>
      <c r="X1650" s="12"/>
      <c r="Y1650" s="12"/>
      <c r="Z1650" s="12"/>
      <c r="AA1650" s="44"/>
      <c r="AB1650" s="45"/>
      <c r="AC1650" s="12"/>
      <c r="AD1650" s="12"/>
      <c r="AE1650" s="12"/>
      <c r="AF1650" s="12"/>
      <c r="AG1650" s="44"/>
      <c r="AH1650" s="45"/>
      <c r="AI1650" s="12"/>
      <c r="AJ1650" s="12"/>
      <c r="AK1650" s="12"/>
      <c r="AL1650" s="12"/>
      <c r="AM1650" s="44"/>
      <c r="AN1650" s="45"/>
      <c r="AO1650" s="12"/>
      <c r="AP1650" s="12"/>
      <c r="AQ1650" s="12"/>
      <c r="AR1650" s="12"/>
      <c r="AS1650" s="44"/>
      <c r="AT1650" s="45"/>
      <c r="AU1650" s="12"/>
      <c r="AV1650" s="12"/>
      <c r="AW1650" s="12"/>
      <c r="AX1650" s="12"/>
      <c r="AY1650" s="44"/>
      <c r="AZ1650" s="45"/>
      <c r="BA1650" s="12"/>
      <c r="BB1650" s="12"/>
      <c r="BC1650" s="12"/>
      <c r="BD1650" s="12"/>
      <c r="BE1650" s="44"/>
      <c r="BF1650" s="45"/>
      <c r="BG1650" s="12"/>
      <c r="BH1650" s="12"/>
      <c r="BI1650" s="12"/>
      <c r="BJ1650" s="12"/>
      <c r="BK1650" s="44"/>
      <c r="BL1650" s="45"/>
      <c r="BM1650" s="12"/>
      <c r="BN1650" s="12"/>
      <c r="BO1650" s="12"/>
      <c r="BP1650" s="12"/>
      <c r="BQ1650" s="48"/>
      <c r="BR1650" s="49"/>
      <c r="BS1650" s="13"/>
      <c r="BT1650" s="12"/>
      <c r="BV1650" s="14"/>
      <c r="BW1650" s="50"/>
      <c r="BX1650" s="54"/>
      <c r="BY1650" s="14"/>
      <c r="BZ1650" s="14"/>
      <c r="CA1650" s="14"/>
      <c r="CB1650" s="14"/>
      <c r="CC1650" s="14"/>
      <c r="CD1650" s="14"/>
      <c r="CE1650" s="14"/>
      <c r="CF1650" s="15"/>
      <c r="CG1650" s="14"/>
      <c r="CH1650" s="14"/>
      <c r="CI1650" s="50"/>
      <c r="CJ1650" s="54"/>
      <c r="CK1650" s="14"/>
      <c r="CL1650" s="14"/>
      <c r="CM1650" s="14"/>
      <c r="CN1650" s="14"/>
      <c r="CO1650" s="14"/>
      <c r="CP1650" s="14"/>
      <c r="CQ1650" s="14"/>
      <c r="CR1650" s="14"/>
      <c r="CS1650" s="14"/>
      <c r="CT1650" s="14"/>
      <c r="CU1650" s="16"/>
      <c r="CV1650" s="14"/>
      <c r="CW1650" s="50"/>
      <c r="CX1650" s="17"/>
    </row>
    <row r="1651" spans="4:102" x14ac:dyDescent="0.25">
      <c r="D1651" s="11"/>
      <c r="E1651" s="11"/>
      <c r="F1651" s="11"/>
      <c r="G1651" s="11"/>
      <c r="H1651" s="11"/>
      <c r="I1651" s="11"/>
      <c r="J1651" s="11"/>
      <c r="K1651" s="11"/>
      <c r="L1651" s="11"/>
      <c r="M1651" s="11"/>
      <c r="N1651" s="11"/>
      <c r="O1651" s="11"/>
      <c r="P1651" s="43"/>
      <c r="Q1651" s="11"/>
      <c r="R1651" s="11"/>
      <c r="S1651" s="11"/>
      <c r="T1651" s="11"/>
      <c r="U1651" s="11"/>
      <c r="V1651" s="11"/>
      <c r="W1651" s="11"/>
      <c r="X1651" s="12"/>
      <c r="Y1651" s="12"/>
      <c r="Z1651" s="12"/>
      <c r="AA1651" s="44"/>
      <c r="AB1651" s="45"/>
      <c r="AC1651" s="12"/>
      <c r="AD1651" s="12"/>
      <c r="AE1651" s="12"/>
      <c r="AF1651" s="12"/>
      <c r="AG1651" s="44"/>
      <c r="AH1651" s="45"/>
      <c r="AI1651" s="12"/>
      <c r="AJ1651" s="12"/>
      <c r="AK1651" s="12"/>
      <c r="AL1651" s="12"/>
      <c r="AM1651" s="44"/>
      <c r="AN1651" s="45"/>
      <c r="AO1651" s="12"/>
      <c r="AP1651" s="12"/>
      <c r="AQ1651" s="12"/>
      <c r="AR1651" s="12"/>
      <c r="AS1651" s="44"/>
      <c r="AT1651" s="45"/>
      <c r="AU1651" s="12"/>
      <c r="AV1651" s="12"/>
      <c r="AW1651" s="12"/>
      <c r="AX1651" s="12"/>
      <c r="AY1651" s="44"/>
      <c r="AZ1651" s="45"/>
      <c r="BA1651" s="12"/>
      <c r="BB1651" s="12"/>
      <c r="BC1651" s="12"/>
      <c r="BD1651" s="12"/>
      <c r="BE1651" s="44"/>
      <c r="BF1651" s="45"/>
      <c r="BG1651" s="12"/>
      <c r="BH1651" s="12"/>
      <c r="BI1651" s="12"/>
      <c r="BJ1651" s="12"/>
      <c r="BK1651" s="44"/>
      <c r="BL1651" s="45"/>
      <c r="BM1651" s="12"/>
      <c r="BN1651" s="12"/>
      <c r="BO1651" s="12"/>
      <c r="BP1651" s="12"/>
      <c r="BQ1651" s="48"/>
      <c r="BR1651" s="49"/>
      <c r="BS1651" s="13"/>
      <c r="BT1651" s="12"/>
      <c r="BV1651" s="14"/>
      <c r="BW1651" s="50"/>
      <c r="BX1651" s="54"/>
      <c r="BY1651" s="14"/>
      <c r="BZ1651" s="14"/>
      <c r="CA1651" s="14"/>
      <c r="CB1651" s="14"/>
      <c r="CC1651" s="14"/>
      <c r="CD1651" s="14"/>
      <c r="CE1651" s="14"/>
      <c r="CF1651" s="15"/>
      <c r="CG1651" s="14"/>
      <c r="CH1651" s="14"/>
      <c r="CI1651" s="50"/>
      <c r="CJ1651" s="54"/>
      <c r="CK1651" s="14"/>
      <c r="CL1651" s="14"/>
      <c r="CM1651" s="14"/>
      <c r="CN1651" s="14"/>
      <c r="CO1651" s="14"/>
      <c r="CP1651" s="14"/>
      <c r="CQ1651" s="14"/>
      <c r="CR1651" s="14"/>
      <c r="CS1651" s="14"/>
      <c r="CT1651" s="14"/>
      <c r="CU1651" s="16"/>
      <c r="CV1651" s="14"/>
      <c r="CW1651" s="50"/>
      <c r="CX1651" s="17"/>
    </row>
    <row r="1652" spans="4:102" x14ac:dyDescent="0.25">
      <c r="D1652" s="11"/>
      <c r="E1652" s="11"/>
      <c r="F1652" s="11"/>
      <c r="G1652" s="11"/>
      <c r="H1652" s="11"/>
      <c r="I1652" s="11"/>
      <c r="J1652" s="11"/>
      <c r="K1652" s="11"/>
      <c r="L1652" s="11"/>
      <c r="M1652" s="11"/>
      <c r="N1652" s="11"/>
      <c r="O1652" s="11"/>
      <c r="P1652" s="43"/>
      <c r="Q1652" s="11"/>
      <c r="R1652" s="11"/>
      <c r="S1652" s="11"/>
      <c r="T1652" s="11"/>
      <c r="U1652" s="11"/>
      <c r="V1652" s="11"/>
      <c r="W1652" s="11"/>
      <c r="X1652" s="12"/>
      <c r="Y1652" s="12"/>
      <c r="Z1652" s="12"/>
      <c r="AA1652" s="44"/>
      <c r="AB1652" s="45"/>
      <c r="AC1652" s="12"/>
      <c r="AD1652" s="12"/>
      <c r="AE1652" s="12"/>
      <c r="AF1652" s="12"/>
      <c r="AG1652" s="44"/>
      <c r="AH1652" s="45"/>
      <c r="AI1652" s="12"/>
      <c r="AJ1652" s="12"/>
      <c r="AK1652" s="12"/>
      <c r="AL1652" s="12"/>
      <c r="AM1652" s="44"/>
      <c r="AN1652" s="45"/>
      <c r="AO1652" s="12"/>
      <c r="AP1652" s="12"/>
      <c r="AQ1652" s="12"/>
      <c r="AR1652" s="12"/>
      <c r="AS1652" s="44"/>
      <c r="AT1652" s="45"/>
      <c r="AU1652" s="12"/>
      <c r="AV1652" s="12"/>
      <c r="AW1652" s="12"/>
      <c r="AX1652" s="12"/>
      <c r="AY1652" s="44"/>
      <c r="AZ1652" s="45"/>
      <c r="BA1652" s="12"/>
      <c r="BB1652" s="12"/>
      <c r="BC1652" s="12"/>
      <c r="BD1652" s="12"/>
      <c r="BE1652" s="44"/>
      <c r="BF1652" s="45"/>
      <c r="BG1652" s="12"/>
      <c r="BH1652" s="12"/>
      <c r="BI1652" s="12"/>
      <c r="BJ1652" s="12"/>
      <c r="BK1652" s="44"/>
      <c r="BL1652" s="45"/>
      <c r="BM1652" s="12"/>
      <c r="BN1652" s="12"/>
      <c r="BO1652" s="12"/>
      <c r="BP1652" s="12"/>
      <c r="BQ1652" s="48"/>
      <c r="BR1652" s="49"/>
      <c r="BS1652" s="13"/>
      <c r="BT1652" s="12"/>
      <c r="BV1652" s="14"/>
      <c r="BW1652" s="50"/>
      <c r="BX1652" s="54"/>
      <c r="BY1652" s="14"/>
      <c r="BZ1652" s="14"/>
      <c r="CA1652" s="14"/>
      <c r="CB1652" s="14"/>
      <c r="CC1652" s="14"/>
      <c r="CD1652" s="14"/>
      <c r="CE1652" s="14"/>
      <c r="CF1652" s="15"/>
      <c r="CG1652" s="14"/>
      <c r="CH1652" s="14"/>
      <c r="CI1652" s="50"/>
      <c r="CJ1652" s="54"/>
      <c r="CK1652" s="14"/>
      <c r="CL1652" s="14"/>
      <c r="CM1652" s="14"/>
      <c r="CN1652" s="14"/>
      <c r="CO1652" s="14"/>
      <c r="CP1652" s="14"/>
      <c r="CQ1652" s="14"/>
      <c r="CR1652" s="14"/>
      <c r="CS1652" s="14"/>
      <c r="CT1652" s="14"/>
      <c r="CU1652" s="16"/>
      <c r="CV1652" s="14"/>
      <c r="CW1652" s="50"/>
      <c r="CX1652" s="17"/>
    </row>
    <row r="1653" spans="4:102" x14ac:dyDescent="0.25">
      <c r="D1653" s="11"/>
      <c r="E1653" s="11"/>
      <c r="F1653" s="11"/>
      <c r="G1653" s="11"/>
      <c r="H1653" s="11"/>
      <c r="I1653" s="11"/>
      <c r="J1653" s="11"/>
      <c r="K1653" s="11"/>
      <c r="L1653" s="11"/>
      <c r="M1653" s="11"/>
      <c r="N1653" s="11"/>
      <c r="O1653" s="11"/>
      <c r="P1653" s="43"/>
      <c r="Q1653" s="11"/>
      <c r="R1653" s="11"/>
      <c r="S1653" s="11"/>
      <c r="T1653" s="11"/>
      <c r="U1653" s="11"/>
      <c r="V1653" s="11"/>
      <c r="W1653" s="11"/>
      <c r="X1653" s="12"/>
      <c r="Y1653" s="12"/>
      <c r="Z1653" s="12"/>
      <c r="AA1653" s="44"/>
      <c r="AB1653" s="45"/>
      <c r="AC1653" s="12"/>
      <c r="AD1653" s="12"/>
      <c r="AE1653" s="12"/>
      <c r="AF1653" s="12"/>
      <c r="AG1653" s="44"/>
      <c r="AH1653" s="45"/>
      <c r="AI1653" s="12"/>
      <c r="AJ1653" s="12"/>
      <c r="AK1653" s="12"/>
      <c r="AL1653" s="12"/>
      <c r="AM1653" s="44"/>
      <c r="AN1653" s="45"/>
      <c r="AO1653" s="12"/>
      <c r="AP1653" s="12"/>
      <c r="AQ1653" s="12"/>
      <c r="AR1653" s="12"/>
      <c r="AS1653" s="44"/>
      <c r="AT1653" s="45"/>
      <c r="AU1653" s="12"/>
      <c r="AV1653" s="12"/>
      <c r="AW1653" s="12"/>
      <c r="AX1653" s="12"/>
      <c r="AY1653" s="44"/>
      <c r="AZ1653" s="45"/>
      <c r="BA1653" s="12"/>
      <c r="BB1653" s="12"/>
      <c r="BC1653" s="12"/>
      <c r="BD1653" s="12"/>
      <c r="BE1653" s="44"/>
      <c r="BF1653" s="45"/>
      <c r="BG1653" s="12"/>
      <c r="BH1653" s="12"/>
      <c r="BI1653" s="12"/>
      <c r="BJ1653" s="12"/>
      <c r="BK1653" s="44"/>
      <c r="BL1653" s="45"/>
      <c r="BM1653" s="12"/>
      <c r="BN1653" s="12"/>
      <c r="BO1653" s="12"/>
      <c r="BP1653" s="12"/>
      <c r="BQ1653" s="48"/>
      <c r="BR1653" s="49"/>
      <c r="BS1653" s="13"/>
      <c r="BT1653" s="12"/>
      <c r="BV1653" s="14"/>
      <c r="BW1653" s="50"/>
      <c r="BX1653" s="54"/>
      <c r="BY1653" s="14"/>
      <c r="BZ1653" s="14"/>
      <c r="CA1653" s="14"/>
      <c r="CB1653" s="14"/>
      <c r="CC1653" s="14"/>
      <c r="CD1653" s="14"/>
      <c r="CE1653" s="14"/>
      <c r="CF1653" s="15"/>
      <c r="CG1653" s="14"/>
      <c r="CH1653" s="14"/>
      <c r="CI1653" s="50"/>
      <c r="CJ1653" s="54"/>
      <c r="CK1653" s="14"/>
      <c r="CL1653" s="14"/>
      <c r="CM1653" s="14"/>
      <c r="CN1653" s="14"/>
      <c r="CO1653" s="14"/>
      <c r="CP1653" s="14"/>
      <c r="CQ1653" s="14"/>
      <c r="CR1653" s="14"/>
      <c r="CS1653" s="14"/>
      <c r="CT1653" s="14"/>
      <c r="CU1653" s="16"/>
      <c r="CV1653" s="14"/>
      <c r="CW1653" s="50"/>
      <c r="CX1653" s="17"/>
    </row>
    <row r="1654" spans="4:102" x14ac:dyDescent="0.25">
      <c r="D1654" s="11"/>
      <c r="E1654" s="11"/>
      <c r="F1654" s="11"/>
      <c r="G1654" s="11"/>
      <c r="H1654" s="11"/>
      <c r="I1654" s="11"/>
      <c r="J1654" s="11"/>
      <c r="K1654" s="11"/>
      <c r="L1654" s="11"/>
      <c r="M1654" s="11"/>
      <c r="N1654" s="11"/>
      <c r="O1654" s="11"/>
      <c r="P1654" s="43"/>
      <c r="Q1654" s="11"/>
      <c r="R1654" s="11"/>
      <c r="S1654" s="11"/>
      <c r="T1654" s="11"/>
      <c r="U1654" s="11"/>
      <c r="V1654" s="11"/>
      <c r="W1654" s="11"/>
      <c r="X1654" s="12"/>
      <c r="Y1654" s="12"/>
      <c r="Z1654" s="12"/>
      <c r="AA1654" s="44"/>
      <c r="AB1654" s="45"/>
      <c r="AC1654" s="12"/>
      <c r="AD1654" s="12"/>
      <c r="AE1654" s="12"/>
      <c r="AF1654" s="12"/>
      <c r="AG1654" s="44"/>
      <c r="AH1654" s="45"/>
      <c r="AI1654" s="12"/>
      <c r="AJ1654" s="12"/>
      <c r="AK1654" s="12"/>
      <c r="AL1654" s="12"/>
      <c r="AM1654" s="44"/>
      <c r="AN1654" s="45"/>
      <c r="AO1654" s="12"/>
      <c r="AP1654" s="12"/>
      <c r="AQ1654" s="12"/>
      <c r="AR1654" s="12"/>
      <c r="AS1654" s="44"/>
      <c r="AT1654" s="45"/>
      <c r="AU1654" s="12"/>
      <c r="AV1654" s="12"/>
      <c r="AW1654" s="12"/>
      <c r="AX1654" s="12"/>
      <c r="AY1654" s="44"/>
      <c r="AZ1654" s="45"/>
      <c r="BA1654" s="12"/>
      <c r="BB1654" s="12"/>
      <c r="BC1654" s="12"/>
      <c r="BD1654" s="12"/>
      <c r="BE1654" s="44"/>
      <c r="BF1654" s="45"/>
      <c r="BG1654" s="12"/>
      <c r="BH1654" s="12"/>
      <c r="BI1654" s="12"/>
      <c r="BJ1654" s="12"/>
      <c r="BK1654" s="44"/>
      <c r="BL1654" s="45"/>
      <c r="BM1654" s="12"/>
      <c r="BN1654" s="12"/>
      <c r="BO1654" s="12"/>
      <c r="BP1654" s="12"/>
      <c r="BQ1654" s="48"/>
      <c r="BR1654" s="49"/>
      <c r="BS1654" s="13"/>
      <c r="BT1654" s="12"/>
      <c r="BV1654" s="14"/>
      <c r="BW1654" s="50"/>
      <c r="BX1654" s="54"/>
      <c r="BY1654" s="14"/>
      <c r="BZ1654" s="14"/>
      <c r="CA1654" s="14"/>
      <c r="CB1654" s="14"/>
      <c r="CC1654" s="14"/>
      <c r="CD1654" s="14"/>
      <c r="CE1654" s="14"/>
      <c r="CF1654" s="15"/>
      <c r="CG1654" s="14"/>
      <c r="CH1654" s="14"/>
      <c r="CI1654" s="50"/>
      <c r="CJ1654" s="54"/>
      <c r="CK1654" s="14"/>
      <c r="CL1654" s="14"/>
      <c r="CM1654" s="14"/>
      <c r="CN1654" s="14"/>
      <c r="CO1654" s="14"/>
      <c r="CP1654" s="14"/>
      <c r="CQ1654" s="14"/>
      <c r="CR1654" s="14"/>
      <c r="CS1654" s="14"/>
      <c r="CT1654" s="14"/>
      <c r="CU1654" s="16"/>
      <c r="CV1654" s="14"/>
      <c r="CW1654" s="50"/>
      <c r="CX1654" s="17"/>
    </row>
    <row r="1655" spans="4:102" x14ac:dyDescent="0.25">
      <c r="D1655" s="11"/>
      <c r="E1655" s="11"/>
      <c r="F1655" s="11"/>
      <c r="G1655" s="11"/>
      <c r="H1655" s="11"/>
      <c r="I1655" s="11"/>
      <c r="J1655" s="11"/>
      <c r="K1655" s="11"/>
      <c r="L1655" s="11"/>
      <c r="M1655" s="11"/>
      <c r="N1655" s="11"/>
      <c r="O1655" s="11"/>
      <c r="P1655" s="43"/>
      <c r="Q1655" s="11"/>
      <c r="R1655" s="11"/>
      <c r="S1655" s="11"/>
      <c r="T1655" s="11"/>
      <c r="U1655" s="11"/>
      <c r="V1655" s="11"/>
      <c r="W1655" s="11"/>
      <c r="X1655" s="12"/>
      <c r="Y1655" s="12"/>
      <c r="Z1655" s="12"/>
      <c r="AA1655" s="44"/>
      <c r="AB1655" s="45"/>
      <c r="AC1655" s="12"/>
      <c r="AD1655" s="12"/>
      <c r="AE1655" s="12"/>
      <c r="AF1655" s="12"/>
      <c r="AG1655" s="44"/>
      <c r="AH1655" s="45"/>
      <c r="AI1655" s="12"/>
      <c r="AJ1655" s="12"/>
      <c r="AK1655" s="12"/>
      <c r="AL1655" s="12"/>
      <c r="AM1655" s="44"/>
      <c r="AN1655" s="45"/>
      <c r="AO1655" s="12"/>
      <c r="AP1655" s="12"/>
      <c r="AQ1655" s="12"/>
      <c r="AR1655" s="12"/>
      <c r="AS1655" s="44"/>
      <c r="AT1655" s="45"/>
      <c r="AU1655" s="12"/>
      <c r="AV1655" s="12"/>
      <c r="AW1655" s="12"/>
      <c r="AX1655" s="12"/>
      <c r="AY1655" s="44"/>
      <c r="AZ1655" s="45"/>
      <c r="BA1655" s="12"/>
      <c r="BB1655" s="12"/>
      <c r="BC1655" s="12"/>
      <c r="BD1655" s="12"/>
      <c r="BE1655" s="44"/>
      <c r="BF1655" s="45"/>
      <c r="BG1655" s="12"/>
      <c r="BH1655" s="12"/>
      <c r="BI1655" s="12"/>
      <c r="BJ1655" s="12"/>
      <c r="BK1655" s="44"/>
      <c r="BL1655" s="45"/>
      <c r="BM1655" s="12"/>
      <c r="BN1655" s="12"/>
      <c r="BO1655" s="12"/>
      <c r="BP1655" s="12"/>
      <c r="BQ1655" s="48"/>
      <c r="BR1655" s="49"/>
      <c r="BS1655" s="13"/>
      <c r="BT1655" s="12"/>
      <c r="BV1655" s="14"/>
      <c r="BW1655" s="50"/>
      <c r="BX1655" s="54"/>
      <c r="BY1655" s="14"/>
      <c r="BZ1655" s="14"/>
      <c r="CA1655" s="14"/>
      <c r="CB1655" s="14"/>
      <c r="CC1655" s="14"/>
      <c r="CD1655" s="14"/>
      <c r="CE1655" s="14"/>
      <c r="CF1655" s="15"/>
      <c r="CG1655" s="14"/>
      <c r="CH1655" s="14"/>
      <c r="CI1655" s="50"/>
      <c r="CJ1655" s="54"/>
      <c r="CK1655" s="14"/>
      <c r="CL1655" s="14"/>
      <c r="CM1655" s="14"/>
      <c r="CN1655" s="14"/>
      <c r="CO1655" s="14"/>
      <c r="CP1655" s="14"/>
      <c r="CQ1655" s="14"/>
      <c r="CR1655" s="14"/>
      <c r="CS1655" s="14"/>
      <c r="CT1655" s="14"/>
      <c r="CU1655" s="16"/>
      <c r="CV1655" s="14"/>
      <c r="CW1655" s="50"/>
      <c r="CX1655" s="17"/>
    </row>
    <row r="1656" spans="4:102" x14ac:dyDescent="0.25">
      <c r="D1656" s="11"/>
      <c r="E1656" s="11"/>
      <c r="F1656" s="11"/>
      <c r="G1656" s="11"/>
      <c r="H1656" s="11"/>
      <c r="I1656" s="11"/>
      <c r="J1656" s="11"/>
      <c r="K1656" s="11"/>
      <c r="L1656" s="11"/>
      <c r="M1656" s="11"/>
      <c r="N1656" s="11"/>
      <c r="O1656" s="11"/>
      <c r="P1656" s="43"/>
      <c r="Q1656" s="11"/>
      <c r="R1656" s="11"/>
      <c r="S1656" s="11"/>
      <c r="T1656" s="11"/>
      <c r="U1656" s="11"/>
      <c r="V1656" s="11"/>
      <c r="W1656" s="11"/>
      <c r="X1656" s="12"/>
      <c r="Y1656" s="12"/>
      <c r="Z1656" s="12"/>
      <c r="AA1656" s="44"/>
      <c r="AB1656" s="45"/>
      <c r="AC1656" s="12"/>
      <c r="AD1656" s="12"/>
      <c r="AE1656" s="12"/>
      <c r="AF1656" s="12"/>
      <c r="AG1656" s="44"/>
      <c r="AH1656" s="45"/>
      <c r="AI1656" s="12"/>
      <c r="AJ1656" s="12"/>
      <c r="AK1656" s="12"/>
      <c r="AL1656" s="12"/>
      <c r="AM1656" s="44"/>
      <c r="AN1656" s="45"/>
      <c r="AO1656" s="12"/>
      <c r="AP1656" s="12"/>
      <c r="AQ1656" s="12"/>
      <c r="AR1656" s="12"/>
      <c r="AS1656" s="44"/>
      <c r="AT1656" s="45"/>
      <c r="AU1656" s="12"/>
      <c r="AV1656" s="12"/>
      <c r="AW1656" s="12"/>
      <c r="AX1656" s="12"/>
      <c r="AY1656" s="44"/>
      <c r="AZ1656" s="45"/>
      <c r="BA1656" s="12"/>
      <c r="BB1656" s="12"/>
      <c r="BC1656" s="12"/>
      <c r="BD1656" s="12"/>
      <c r="BE1656" s="44"/>
      <c r="BF1656" s="45"/>
      <c r="BG1656" s="12"/>
      <c r="BH1656" s="12"/>
      <c r="BI1656" s="12"/>
      <c r="BJ1656" s="12"/>
      <c r="BK1656" s="44"/>
      <c r="BL1656" s="45"/>
      <c r="BM1656" s="12"/>
      <c r="BN1656" s="12"/>
      <c r="BO1656" s="12"/>
      <c r="BP1656" s="12"/>
      <c r="BQ1656" s="48"/>
      <c r="BR1656" s="49"/>
      <c r="BS1656" s="13"/>
      <c r="BT1656" s="12"/>
      <c r="BV1656" s="14"/>
      <c r="BW1656" s="50"/>
      <c r="BX1656" s="54"/>
      <c r="BY1656" s="14"/>
      <c r="BZ1656" s="14"/>
      <c r="CA1656" s="14"/>
      <c r="CB1656" s="14"/>
      <c r="CC1656" s="14"/>
      <c r="CD1656" s="14"/>
      <c r="CE1656" s="14"/>
      <c r="CF1656" s="15"/>
      <c r="CG1656" s="14"/>
      <c r="CH1656" s="14"/>
      <c r="CI1656" s="50"/>
      <c r="CJ1656" s="54"/>
      <c r="CK1656" s="14"/>
      <c r="CL1656" s="14"/>
      <c r="CM1656" s="14"/>
      <c r="CN1656" s="14"/>
      <c r="CO1656" s="14"/>
      <c r="CP1656" s="14"/>
      <c r="CQ1656" s="14"/>
      <c r="CR1656" s="14"/>
      <c r="CS1656" s="14"/>
      <c r="CT1656" s="14"/>
      <c r="CU1656" s="16"/>
      <c r="CV1656" s="14"/>
      <c r="CW1656" s="50"/>
      <c r="CX1656" s="17"/>
    </row>
    <row r="1657" spans="4:102" x14ac:dyDescent="0.25">
      <c r="D1657" s="11"/>
      <c r="E1657" s="11"/>
      <c r="F1657" s="11"/>
      <c r="G1657" s="11"/>
      <c r="H1657" s="11"/>
      <c r="I1657" s="11"/>
      <c r="J1657" s="11"/>
      <c r="K1657" s="11"/>
      <c r="L1657" s="11"/>
      <c r="M1657" s="11"/>
      <c r="N1657" s="11"/>
      <c r="O1657" s="11"/>
      <c r="P1657" s="43"/>
      <c r="Q1657" s="11"/>
      <c r="R1657" s="11"/>
      <c r="S1657" s="11"/>
      <c r="T1657" s="11"/>
      <c r="U1657" s="11"/>
      <c r="V1657" s="11"/>
      <c r="W1657" s="11"/>
      <c r="X1657" s="12"/>
      <c r="Y1657" s="12"/>
      <c r="Z1657" s="12"/>
      <c r="AA1657" s="44"/>
      <c r="AB1657" s="45"/>
      <c r="AC1657" s="12"/>
      <c r="AD1657" s="12"/>
      <c r="AE1657" s="12"/>
      <c r="AF1657" s="12"/>
      <c r="AG1657" s="44"/>
      <c r="AH1657" s="45"/>
      <c r="AI1657" s="12"/>
      <c r="AJ1657" s="12"/>
      <c r="AK1657" s="12"/>
      <c r="AL1657" s="12"/>
      <c r="AM1657" s="44"/>
      <c r="AN1657" s="45"/>
      <c r="AO1657" s="12"/>
      <c r="AP1657" s="12"/>
      <c r="AQ1657" s="12"/>
      <c r="AR1657" s="12"/>
      <c r="AS1657" s="44"/>
      <c r="AT1657" s="45"/>
      <c r="AU1657" s="12"/>
      <c r="AV1657" s="12"/>
      <c r="AW1657" s="12"/>
      <c r="AX1657" s="12"/>
      <c r="AY1657" s="44"/>
      <c r="AZ1657" s="45"/>
      <c r="BA1657" s="12"/>
      <c r="BB1657" s="12"/>
      <c r="BC1657" s="12"/>
      <c r="BD1657" s="12"/>
      <c r="BE1657" s="44"/>
      <c r="BF1657" s="45"/>
      <c r="BG1657" s="12"/>
      <c r="BH1657" s="12"/>
      <c r="BI1657" s="12"/>
      <c r="BJ1657" s="12"/>
      <c r="BK1657" s="44"/>
      <c r="BL1657" s="45"/>
      <c r="BM1657" s="12"/>
      <c r="BN1657" s="12"/>
      <c r="BO1657" s="12"/>
      <c r="BP1657" s="12"/>
      <c r="BQ1657" s="48"/>
      <c r="BR1657" s="49"/>
      <c r="BS1657" s="13"/>
      <c r="BT1657" s="12"/>
      <c r="BV1657" s="14"/>
      <c r="BW1657" s="50"/>
      <c r="BX1657" s="54"/>
      <c r="BY1657" s="14"/>
      <c r="BZ1657" s="14"/>
      <c r="CA1657" s="14"/>
      <c r="CB1657" s="14"/>
      <c r="CC1657" s="14"/>
      <c r="CD1657" s="14"/>
      <c r="CE1657" s="14"/>
      <c r="CF1657" s="15"/>
      <c r="CG1657" s="14"/>
      <c r="CH1657" s="14"/>
      <c r="CI1657" s="50"/>
      <c r="CJ1657" s="54"/>
      <c r="CK1657" s="14"/>
      <c r="CL1657" s="14"/>
      <c r="CM1657" s="14"/>
      <c r="CN1657" s="14"/>
      <c r="CO1657" s="14"/>
      <c r="CP1657" s="14"/>
      <c r="CQ1657" s="14"/>
      <c r="CR1657" s="14"/>
      <c r="CS1657" s="14"/>
      <c r="CT1657" s="14"/>
      <c r="CU1657" s="16"/>
      <c r="CV1657" s="14"/>
      <c r="CW1657" s="50"/>
      <c r="CX1657" s="17"/>
    </row>
    <row r="1658" spans="4:102" x14ac:dyDescent="0.25">
      <c r="D1658" s="11"/>
      <c r="E1658" s="11"/>
      <c r="F1658" s="11"/>
      <c r="G1658" s="11"/>
      <c r="H1658" s="11"/>
      <c r="I1658" s="11"/>
      <c r="J1658" s="11"/>
      <c r="K1658" s="11"/>
      <c r="L1658" s="11"/>
      <c r="M1658" s="11"/>
      <c r="N1658" s="11"/>
      <c r="O1658" s="11"/>
      <c r="P1658" s="43"/>
      <c r="Q1658" s="11"/>
      <c r="R1658" s="11"/>
      <c r="S1658" s="11"/>
      <c r="T1658" s="11"/>
      <c r="U1658" s="11"/>
      <c r="V1658" s="11"/>
      <c r="W1658" s="11"/>
      <c r="X1658" s="12"/>
      <c r="Y1658" s="12"/>
      <c r="Z1658" s="12"/>
      <c r="AA1658" s="44"/>
      <c r="AB1658" s="45"/>
      <c r="AC1658" s="12"/>
      <c r="AD1658" s="12"/>
      <c r="AE1658" s="12"/>
      <c r="AF1658" s="12"/>
      <c r="AG1658" s="44"/>
      <c r="AH1658" s="45"/>
      <c r="AI1658" s="12"/>
      <c r="AJ1658" s="12"/>
      <c r="AK1658" s="12"/>
      <c r="AL1658" s="12"/>
      <c r="AM1658" s="44"/>
      <c r="AN1658" s="45"/>
      <c r="AO1658" s="12"/>
      <c r="AP1658" s="12"/>
      <c r="AQ1658" s="12"/>
      <c r="AR1658" s="12"/>
      <c r="AS1658" s="44"/>
      <c r="AT1658" s="45"/>
      <c r="AU1658" s="12"/>
      <c r="AV1658" s="12"/>
      <c r="AW1658" s="12"/>
      <c r="AX1658" s="12"/>
      <c r="AY1658" s="44"/>
      <c r="AZ1658" s="45"/>
      <c r="BA1658" s="12"/>
      <c r="BB1658" s="12"/>
      <c r="BC1658" s="12"/>
      <c r="BD1658" s="12"/>
      <c r="BE1658" s="44"/>
      <c r="BF1658" s="45"/>
      <c r="BG1658" s="12"/>
      <c r="BH1658" s="12"/>
      <c r="BI1658" s="12"/>
      <c r="BJ1658" s="12"/>
      <c r="BK1658" s="44"/>
      <c r="BL1658" s="45"/>
      <c r="BM1658" s="12"/>
      <c r="BN1658" s="12"/>
      <c r="BO1658" s="12"/>
      <c r="BP1658" s="12"/>
      <c r="BQ1658" s="48"/>
      <c r="BR1658" s="49"/>
      <c r="BS1658" s="13"/>
      <c r="BT1658" s="12"/>
      <c r="BV1658" s="14"/>
      <c r="BW1658" s="50"/>
      <c r="BX1658" s="54"/>
      <c r="BY1658" s="14"/>
      <c r="BZ1658" s="14"/>
      <c r="CA1658" s="14"/>
      <c r="CB1658" s="14"/>
      <c r="CC1658" s="14"/>
      <c r="CD1658" s="14"/>
      <c r="CE1658" s="14"/>
      <c r="CF1658" s="15"/>
      <c r="CG1658" s="14"/>
      <c r="CH1658" s="14"/>
      <c r="CI1658" s="50"/>
      <c r="CJ1658" s="54"/>
      <c r="CK1658" s="14"/>
      <c r="CL1658" s="14"/>
      <c r="CM1658" s="14"/>
      <c r="CN1658" s="14"/>
      <c r="CO1658" s="14"/>
      <c r="CP1658" s="14"/>
      <c r="CQ1658" s="14"/>
      <c r="CR1658" s="14"/>
      <c r="CS1658" s="14"/>
      <c r="CT1658" s="14"/>
      <c r="CU1658" s="16"/>
      <c r="CV1658" s="14"/>
      <c r="CW1658" s="50"/>
      <c r="CX1658" s="17"/>
    </row>
    <row r="1659" spans="4:102" x14ac:dyDescent="0.25">
      <c r="D1659" s="11"/>
      <c r="E1659" s="11"/>
      <c r="F1659" s="11"/>
      <c r="G1659" s="11"/>
      <c r="H1659" s="11"/>
      <c r="I1659" s="11"/>
      <c r="J1659" s="11"/>
      <c r="K1659" s="11"/>
      <c r="L1659" s="11"/>
      <c r="M1659" s="11"/>
      <c r="N1659" s="11"/>
      <c r="O1659" s="11"/>
      <c r="P1659" s="43"/>
      <c r="Q1659" s="11"/>
      <c r="R1659" s="11"/>
      <c r="S1659" s="11"/>
      <c r="T1659" s="11"/>
      <c r="U1659" s="11"/>
      <c r="V1659" s="11"/>
      <c r="W1659" s="11"/>
      <c r="X1659" s="12"/>
      <c r="Y1659" s="12"/>
      <c r="Z1659" s="12"/>
      <c r="AA1659" s="44"/>
      <c r="AB1659" s="45"/>
      <c r="AC1659" s="12"/>
      <c r="AD1659" s="12"/>
      <c r="AE1659" s="12"/>
      <c r="AF1659" s="12"/>
      <c r="AG1659" s="44"/>
      <c r="AH1659" s="45"/>
      <c r="AI1659" s="12"/>
      <c r="AJ1659" s="12"/>
      <c r="AK1659" s="12"/>
      <c r="AL1659" s="12"/>
      <c r="AM1659" s="44"/>
      <c r="AN1659" s="45"/>
      <c r="AO1659" s="12"/>
      <c r="AP1659" s="12"/>
      <c r="AQ1659" s="12"/>
      <c r="AR1659" s="12"/>
      <c r="AS1659" s="44"/>
      <c r="AT1659" s="45"/>
      <c r="AU1659" s="12"/>
      <c r="AV1659" s="12"/>
      <c r="AW1659" s="12"/>
      <c r="AX1659" s="12"/>
      <c r="AY1659" s="44"/>
      <c r="AZ1659" s="45"/>
      <c r="BA1659" s="12"/>
      <c r="BB1659" s="12"/>
      <c r="BC1659" s="12"/>
      <c r="BD1659" s="12"/>
      <c r="BE1659" s="44"/>
      <c r="BF1659" s="45"/>
      <c r="BG1659" s="12"/>
      <c r="BH1659" s="12"/>
      <c r="BI1659" s="12"/>
      <c r="BJ1659" s="12"/>
      <c r="BK1659" s="44"/>
      <c r="BL1659" s="45"/>
      <c r="BM1659" s="12"/>
      <c r="BN1659" s="12"/>
      <c r="BO1659" s="12"/>
      <c r="BP1659" s="12"/>
      <c r="BQ1659" s="48"/>
      <c r="BR1659" s="49"/>
      <c r="BS1659" s="13"/>
      <c r="BT1659" s="12"/>
      <c r="BV1659" s="14"/>
      <c r="BW1659" s="50"/>
      <c r="BX1659" s="54"/>
      <c r="BY1659" s="14"/>
      <c r="BZ1659" s="14"/>
      <c r="CA1659" s="14"/>
      <c r="CB1659" s="14"/>
      <c r="CC1659" s="14"/>
      <c r="CD1659" s="14"/>
      <c r="CE1659" s="14"/>
      <c r="CF1659" s="15"/>
      <c r="CG1659" s="14"/>
      <c r="CH1659" s="14"/>
      <c r="CI1659" s="50"/>
      <c r="CJ1659" s="54"/>
      <c r="CK1659" s="14"/>
      <c r="CL1659" s="14"/>
      <c r="CM1659" s="14"/>
      <c r="CN1659" s="14"/>
      <c r="CO1659" s="14"/>
      <c r="CP1659" s="14"/>
      <c r="CQ1659" s="14"/>
      <c r="CR1659" s="14"/>
      <c r="CS1659" s="14"/>
      <c r="CT1659" s="14"/>
      <c r="CU1659" s="16"/>
      <c r="CV1659" s="14"/>
      <c r="CW1659" s="50"/>
      <c r="CX1659" s="17"/>
    </row>
    <row r="1660" spans="4:102" x14ac:dyDescent="0.25">
      <c r="D1660" s="11"/>
      <c r="E1660" s="11"/>
      <c r="F1660" s="11"/>
      <c r="G1660" s="11"/>
      <c r="H1660" s="11"/>
      <c r="I1660" s="11"/>
      <c r="J1660" s="11"/>
      <c r="K1660" s="11"/>
      <c r="L1660" s="11"/>
      <c r="M1660" s="11"/>
      <c r="N1660" s="11"/>
      <c r="O1660" s="11"/>
      <c r="P1660" s="43"/>
      <c r="Q1660" s="11"/>
      <c r="R1660" s="11"/>
      <c r="S1660" s="11"/>
      <c r="T1660" s="11"/>
      <c r="U1660" s="11"/>
      <c r="V1660" s="11"/>
      <c r="W1660" s="11"/>
      <c r="X1660" s="12"/>
      <c r="Y1660" s="12"/>
      <c r="Z1660" s="12"/>
      <c r="AA1660" s="44"/>
      <c r="AB1660" s="45"/>
      <c r="AC1660" s="12"/>
      <c r="AD1660" s="12"/>
      <c r="AE1660" s="12"/>
      <c r="AF1660" s="12"/>
      <c r="AG1660" s="44"/>
      <c r="AH1660" s="45"/>
      <c r="AI1660" s="12"/>
      <c r="AJ1660" s="12"/>
      <c r="AK1660" s="12"/>
      <c r="AL1660" s="12"/>
      <c r="AM1660" s="44"/>
      <c r="AN1660" s="45"/>
      <c r="AO1660" s="12"/>
      <c r="AP1660" s="12"/>
      <c r="AQ1660" s="12"/>
      <c r="AR1660" s="12"/>
      <c r="AS1660" s="44"/>
      <c r="AT1660" s="45"/>
      <c r="AU1660" s="12"/>
      <c r="AV1660" s="12"/>
      <c r="AW1660" s="12"/>
      <c r="AX1660" s="12"/>
      <c r="AY1660" s="44"/>
      <c r="AZ1660" s="45"/>
      <c r="BA1660" s="12"/>
      <c r="BB1660" s="12"/>
      <c r="BC1660" s="12"/>
      <c r="BD1660" s="12"/>
      <c r="BE1660" s="44"/>
      <c r="BF1660" s="45"/>
      <c r="BG1660" s="12"/>
      <c r="BH1660" s="12"/>
      <c r="BI1660" s="12"/>
      <c r="BJ1660" s="12"/>
      <c r="BK1660" s="44"/>
      <c r="BL1660" s="45"/>
      <c r="BM1660" s="12"/>
      <c r="BN1660" s="12"/>
      <c r="BO1660" s="12"/>
      <c r="BP1660" s="12"/>
      <c r="BQ1660" s="48"/>
      <c r="BR1660" s="49"/>
      <c r="BS1660" s="13"/>
      <c r="BT1660" s="12"/>
      <c r="BV1660" s="14"/>
      <c r="BW1660" s="50"/>
      <c r="BX1660" s="54"/>
      <c r="BY1660" s="14"/>
      <c r="BZ1660" s="14"/>
      <c r="CA1660" s="14"/>
      <c r="CB1660" s="14"/>
      <c r="CC1660" s="14"/>
      <c r="CD1660" s="14"/>
      <c r="CE1660" s="14"/>
      <c r="CF1660" s="15"/>
      <c r="CG1660" s="14"/>
      <c r="CH1660" s="14"/>
      <c r="CI1660" s="50"/>
      <c r="CJ1660" s="54"/>
      <c r="CK1660" s="14"/>
      <c r="CL1660" s="14"/>
      <c r="CM1660" s="14"/>
      <c r="CN1660" s="14"/>
      <c r="CO1660" s="14"/>
      <c r="CP1660" s="14"/>
      <c r="CQ1660" s="14"/>
      <c r="CR1660" s="14"/>
      <c r="CS1660" s="14"/>
      <c r="CT1660" s="14"/>
      <c r="CU1660" s="16"/>
      <c r="CV1660" s="14"/>
      <c r="CW1660" s="50"/>
      <c r="CX1660" s="17"/>
    </row>
    <row r="1661" spans="4:102" x14ac:dyDescent="0.25">
      <c r="D1661" s="11"/>
      <c r="E1661" s="11"/>
      <c r="F1661" s="11"/>
      <c r="G1661" s="11"/>
      <c r="H1661" s="11"/>
      <c r="I1661" s="11"/>
      <c r="J1661" s="11"/>
      <c r="K1661" s="11"/>
      <c r="L1661" s="11"/>
      <c r="M1661" s="11"/>
      <c r="N1661" s="11"/>
      <c r="O1661" s="11"/>
      <c r="P1661" s="43"/>
      <c r="Q1661" s="11"/>
      <c r="R1661" s="11"/>
      <c r="S1661" s="11"/>
      <c r="T1661" s="11"/>
      <c r="U1661" s="11"/>
      <c r="V1661" s="11"/>
      <c r="W1661" s="11"/>
      <c r="X1661" s="12"/>
      <c r="Y1661" s="12"/>
      <c r="Z1661" s="12"/>
      <c r="AA1661" s="44"/>
      <c r="AB1661" s="45"/>
      <c r="AC1661" s="12"/>
      <c r="AD1661" s="12"/>
      <c r="AE1661" s="12"/>
      <c r="AF1661" s="12"/>
      <c r="AG1661" s="44"/>
      <c r="AH1661" s="45"/>
      <c r="AI1661" s="12"/>
      <c r="AJ1661" s="12"/>
      <c r="AK1661" s="12"/>
      <c r="AL1661" s="12"/>
      <c r="AM1661" s="44"/>
      <c r="AN1661" s="45"/>
      <c r="AO1661" s="12"/>
      <c r="AP1661" s="12"/>
      <c r="AQ1661" s="12"/>
      <c r="AR1661" s="12"/>
      <c r="AS1661" s="44"/>
      <c r="AT1661" s="45"/>
      <c r="AU1661" s="12"/>
      <c r="AV1661" s="12"/>
      <c r="AW1661" s="12"/>
      <c r="AX1661" s="12"/>
      <c r="AY1661" s="44"/>
      <c r="AZ1661" s="45"/>
      <c r="BA1661" s="12"/>
      <c r="BB1661" s="12"/>
      <c r="BC1661" s="12"/>
      <c r="BD1661" s="12"/>
      <c r="BE1661" s="44"/>
      <c r="BF1661" s="45"/>
      <c r="BG1661" s="12"/>
      <c r="BH1661" s="12"/>
      <c r="BI1661" s="12"/>
      <c r="BJ1661" s="12"/>
      <c r="BK1661" s="44"/>
      <c r="BL1661" s="45"/>
      <c r="BM1661" s="12"/>
      <c r="BN1661" s="12"/>
      <c r="BO1661" s="12"/>
      <c r="BP1661" s="12"/>
      <c r="BQ1661" s="48"/>
      <c r="BR1661" s="49"/>
      <c r="BS1661" s="13"/>
      <c r="BT1661" s="12"/>
      <c r="BV1661" s="14"/>
      <c r="BW1661" s="50"/>
      <c r="BX1661" s="54"/>
      <c r="BY1661" s="14"/>
      <c r="BZ1661" s="14"/>
      <c r="CA1661" s="14"/>
      <c r="CB1661" s="14"/>
      <c r="CC1661" s="14"/>
      <c r="CD1661" s="14"/>
      <c r="CE1661" s="14"/>
      <c r="CF1661" s="15"/>
      <c r="CG1661" s="14"/>
      <c r="CH1661" s="14"/>
      <c r="CI1661" s="50"/>
      <c r="CJ1661" s="54"/>
      <c r="CK1661" s="14"/>
      <c r="CL1661" s="14"/>
      <c r="CM1661" s="14"/>
      <c r="CN1661" s="14"/>
      <c r="CO1661" s="14"/>
      <c r="CP1661" s="14"/>
      <c r="CQ1661" s="14"/>
      <c r="CR1661" s="14"/>
      <c r="CS1661" s="14"/>
      <c r="CT1661" s="14"/>
      <c r="CU1661" s="16"/>
      <c r="CV1661" s="14"/>
      <c r="CW1661" s="50"/>
      <c r="CX1661" s="17"/>
    </row>
    <row r="1662" spans="4:102" x14ac:dyDescent="0.25">
      <c r="D1662" s="11"/>
      <c r="E1662" s="11"/>
      <c r="F1662" s="11"/>
      <c r="G1662" s="11"/>
      <c r="H1662" s="11"/>
      <c r="I1662" s="11"/>
      <c r="J1662" s="11"/>
      <c r="K1662" s="11"/>
      <c r="L1662" s="11"/>
      <c r="M1662" s="11"/>
      <c r="N1662" s="11"/>
      <c r="O1662" s="11"/>
      <c r="P1662" s="43"/>
      <c r="Q1662" s="11"/>
      <c r="R1662" s="11"/>
      <c r="S1662" s="11"/>
      <c r="T1662" s="11"/>
      <c r="U1662" s="11"/>
      <c r="V1662" s="11"/>
      <c r="W1662" s="11"/>
      <c r="X1662" s="12"/>
      <c r="Y1662" s="12"/>
      <c r="Z1662" s="12"/>
      <c r="AA1662" s="44"/>
      <c r="AB1662" s="45"/>
      <c r="AC1662" s="12"/>
      <c r="AD1662" s="12"/>
      <c r="AE1662" s="12"/>
      <c r="AF1662" s="12"/>
      <c r="AG1662" s="44"/>
      <c r="AH1662" s="45"/>
      <c r="AI1662" s="12"/>
      <c r="AJ1662" s="12"/>
      <c r="AK1662" s="12"/>
      <c r="AL1662" s="12"/>
      <c r="AM1662" s="44"/>
      <c r="AN1662" s="45"/>
      <c r="AO1662" s="12"/>
      <c r="AP1662" s="12"/>
      <c r="AQ1662" s="12"/>
      <c r="AR1662" s="12"/>
      <c r="AS1662" s="44"/>
      <c r="AT1662" s="45"/>
      <c r="AU1662" s="12"/>
      <c r="AV1662" s="12"/>
      <c r="AW1662" s="12"/>
      <c r="AX1662" s="12"/>
      <c r="AY1662" s="44"/>
      <c r="AZ1662" s="45"/>
      <c r="BA1662" s="12"/>
      <c r="BB1662" s="12"/>
      <c r="BC1662" s="12"/>
      <c r="BD1662" s="12"/>
      <c r="BE1662" s="44"/>
      <c r="BF1662" s="45"/>
      <c r="BG1662" s="12"/>
      <c r="BH1662" s="12"/>
      <c r="BI1662" s="12"/>
      <c r="BJ1662" s="12"/>
      <c r="BK1662" s="44"/>
      <c r="BL1662" s="45"/>
      <c r="BM1662" s="12"/>
      <c r="BN1662" s="12"/>
      <c r="BO1662" s="12"/>
      <c r="BP1662" s="12"/>
      <c r="BQ1662" s="48"/>
      <c r="BR1662" s="49"/>
      <c r="BS1662" s="13"/>
      <c r="BT1662" s="12"/>
      <c r="BV1662" s="14"/>
      <c r="BW1662" s="50"/>
      <c r="BX1662" s="54"/>
      <c r="BY1662" s="14"/>
      <c r="BZ1662" s="14"/>
      <c r="CA1662" s="14"/>
      <c r="CB1662" s="14"/>
      <c r="CC1662" s="14"/>
      <c r="CD1662" s="14"/>
      <c r="CE1662" s="14"/>
      <c r="CF1662" s="15"/>
      <c r="CG1662" s="14"/>
      <c r="CH1662" s="14"/>
      <c r="CI1662" s="50"/>
      <c r="CJ1662" s="54"/>
      <c r="CK1662" s="14"/>
      <c r="CL1662" s="14"/>
      <c r="CM1662" s="14"/>
      <c r="CN1662" s="14"/>
      <c r="CO1662" s="14"/>
      <c r="CP1662" s="14"/>
      <c r="CQ1662" s="14"/>
      <c r="CR1662" s="14"/>
      <c r="CS1662" s="14"/>
      <c r="CT1662" s="14"/>
      <c r="CU1662" s="16"/>
      <c r="CV1662" s="14"/>
      <c r="CW1662" s="50"/>
      <c r="CX1662" s="17"/>
    </row>
    <row r="1663" spans="4:102" x14ac:dyDescent="0.25">
      <c r="D1663" s="11"/>
      <c r="E1663" s="11"/>
      <c r="F1663" s="11"/>
      <c r="G1663" s="11"/>
      <c r="H1663" s="11"/>
      <c r="I1663" s="11"/>
      <c r="J1663" s="11"/>
      <c r="K1663" s="11"/>
      <c r="L1663" s="11"/>
      <c r="M1663" s="11"/>
      <c r="N1663" s="11"/>
      <c r="O1663" s="11"/>
      <c r="P1663" s="43"/>
      <c r="Q1663" s="11"/>
      <c r="R1663" s="11"/>
      <c r="S1663" s="11"/>
      <c r="T1663" s="11"/>
      <c r="U1663" s="11"/>
      <c r="V1663" s="11"/>
      <c r="W1663" s="11"/>
      <c r="X1663" s="12"/>
      <c r="Y1663" s="12"/>
      <c r="Z1663" s="12"/>
      <c r="AA1663" s="44"/>
      <c r="AB1663" s="45"/>
      <c r="AC1663" s="12"/>
      <c r="AD1663" s="12"/>
      <c r="AE1663" s="12"/>
      <c r="AF1663" s="12"/>
      <c r="AG1663" s="44"/>
      <c r="AH1663" s="45"/>
      <c r="AI1663" s="12"/>
      <c r="AJ1663" s="12"/>
      <c r="AK1663" s="12"/>
      <c r="AL1663" s="12"/>
      <c r="AM1663" s="44"/>
      <c r="AN1663" s="45"/>
      <c r="AO1663" s="12"/>
      <c r="AP1663" s="12"/>
      <c r="AQ1663" s="12"/>
      <c r="AR1663" s="12"/>
      <c r="AS1663" s="44"/>
      <c r="AT1663" s="45"/>
      <c r="AU1663" s="12"/>
      <c r="AV1663" s="12"/>
      <c r="AW1663" s="12"/>
      <c r="AX1663" s="12"/>
      <c r="AY1663" s="44"/>
      <c r="AZ1663" s="45"/>
      <c r="BA1663" s="12"/>
      <c r="BB1663" s="12"/>
      <c r="BC1663" s="12"/>
      <c r="BD1663" s="12"/>
      <c r="BE1663" s="44"/>
      <c r="BF1663" s="45"/>
      <c r="BG1663" s="12"/>
      <c r="BH1663" s="12"/>
      <c r="BI1663" s="12"/>
      <c r="BJ1663" s="12"/>
      <c r="BK1663" s="44"/>
      <c r="BL1663" s="45"/>
      <c r="BM1663" s="12"/>
      <c r="BN1663" s="12"/>
      <c r="BO1663" s="12"/>
      <c r="BP1663" s="12"/>
      <c r="BQ1663" s="48"/>
      <c r="BR1663" s="49"/>
      <c r="BS1663" s="13"/>
      <c r="BT1663" s="12"/>
      <c r="BV1663" s="14"/>
      <c r="BW1663" s="50"/>
      <c r="BX1663" s="54"/>
      <c r="BY1663" s="14"/>
      <c r="BZ1663" s="14"/>
      <c r="CA1663" s="14"/>
      <c r="CB1663" s="14"/>
      <c r="CC1663" s="14"/>
      <c r="CD1663" s="14"/>
      <c r="CE1663" s="14"/>
      <c r="CF1663" s="15"/>
      <c r="CG1663" s="14"/>
      <c r="CH1663" s="14"/>
      <c r="CI1663" s="50"/>
      <c r="CJ1663" s="54"/>
      <c r="CK1663" s="14"/>
      <c r="CL1663" s="14"/>
      <c r="CM1663" s="14"/>
      <c r="CN1663" s="14"/>
      <c r="CO1663" s="14"/>
      <c r="CP1663" s="14"/>
      <c r="CQ1663" s="14"/>
      <c r="CR1663" s="14"/>
      <c r="CS1663" s="14"/>
      <c r="CT1663" s="14"/>
      <c r="CU1663" s="16"/>
      <c r="CV1663" s="14"/>
      <c r="CW1663" s="50"/>
      <c r="CX1663" s="17"/>
    </row>
    <row r="1664" spans="4:102" x14ac:dyDescent="0.25">
      <c r="D1664" s="11"/>
      <c r="E1664" s="11"/>
      <c r="F1664" s="11"/>
      <c r="G1664" s="11"/>
      <c r="H1664" s="11"/>
      <c r="I1664" s="11"/>
      <c r="J1664" s="11"/>
      <c r="K1664" s="11"/>
      <c r="L1664" s="11"/>
      <c r="M1664" s="11"/>
      <c r="N1664" s="11"/>
      <c r="O1664" s="11"/>
      <c r="P1664" s="43"/>
      <c r="Q1664" s="11"/>
      <c r="R1664" s="11"/>
      <c r="S1664" s="11"/>
      <c r="T1664" s="11"/>
      <c r="U1664" s="11"/>
      <c r="V1664" s="11"/>
      <c r="W1664" s="11"/>
      <c r="X1664" s="12"/>
      <c r="Y1664" s="12"/>
      <c r="Z1664" s="12"/>
      <c r="AA1664" s="44"/>
      <c r="AB1664" s="45"/>
      <c r="AC1664" s="12"/>
      <c r="AD1664" s="12"/>
      <c r="AE1664" s="12"/>
      <c r="AF1664" s="12"/>
      <c r="AG1664" s="44"/>
      <c r="AH1664" s="45"/>
      <c r="AI1664" s="12"/>
      <c r="AJ1664" s="12"/>
      <c r="AK1664" s="12"/>
      <c r="AL1664" s="12"/>
      <c r="AM1664" s="44"/>
      <c r="AN1664" s="45"/>
      <c r="AO1664" s="12"/>
      <c r="AP1664" s="12"/>
      <c r="AQ1664" s="12"/>
      <c r="AR1664" s="12"/>
      <c r="AS1664" s="44"/>
      <c r="AT1664" s="45"/>
      <c r="AU1664" s="12"/>
      <c r="AV1664" s="12"/>
      <c r="AW1664" s="12"/>
      <c r="AX1664" s="12"/>
      <c r="AY1664" s="44"/>
      <c r="AZ1664" s="45"/>
      <c r="BA1664" s="12"/>
      <c r="BB1664" s="12"/>
      <c r="BC1664" s="12"/>
      <c r="BD1664" s="12"/>
      <c r="BE1664" s="44"/>
      <c r="BF1664" s="45"/>
      <c r="BG1664" s="12"/>
      <c r="BH1664" s="12"/>
      <c r="BI1664" s="12"/>
      <c r="BJ1664" s="12"/>
      <c r="BK1664" s="44"/>
      <c r="BL1664" s="45"/>
      <c r="BM1664" s="12"/>
      <c r="BN1664" s="12"/>
      <c r="BO1664" s="12"/>
      <c r="BP1664" s="12"/>
      <c r="BQ1664" s="48"/>
      <c r="BR1664" s="49"/>
      <c r="BS1664" s="13"/>
      <c r="BT1664" s="12"/>
      <c r="BV1664" s="14"/>
      <c r="BW1664" s="50"/>
      <c r="BX1664" s="54"/>
      <c r="BY1664" s="14"/>
      <c r="BZ1664" s="14"/>
      <c r="CA1664" s="14"/>
      <c r="CB1664" s="14"/>
      <c r="CC1664" s="14"/>
      <c r="CD1664" s="14"/>
      <c r="CE1664" s="14"/>
      <c r="CF1664" s="15"/>
      <c r="CG1664" s="14"/>
      <c r="CH1664" s="14"/>
      <c r="CI1664" s="50"/>
      <c r="CJ1664" s="54"/>
      <c r="CK1664" s="14"/>
      <c r="CL1664" s="14"/>
      <c r="CM1664" s="14"/>
      <c r="CN1664" s="14"/>
      <c r="CO1664" s="14"/>
      <c r="CP1664" s="14"/>
      <c r="CQ1664" s="14"/>
      <c r="CR1664" s="14"/>
      <c r="CS1664" s="14"/>
      <c r="CT1664" s="14"/>
      <c r="CU1664" s="16"/>
      <c r="CV1664" s="14"/>
      <c r="CW1664" s="50"/>
      <c r="CX1664" s="17"/>
    </row>
    <row r="1665" spans="4:102" x14ac:dyDescent="0.25">
      <c r="D1665" s="11"/>
      <c r="E1665" s="11"/>
      <c r="F1665" s="11"/>
      <c r="G1665" s="11"/>
      <c r="H1665" s="11"/>
      <c r="I1665" s="11"/>
      <c r="J1665" s="11"/>
      <c r="K1665" s="11"/>
      <c r="L1665" s="11"/>
      <c r="M1665" s="11"/>
      <c r="N1665" s="11"/>
      <c r="O1665" s="11"/>
      <c r="P1665" s="43"/>
      <c r="Q1665" s="11"/>
      <c r="R1665" s="11"/>
      <c r="S1665" s="11"/>
      <c r="T1665" s="11"/>
      <c r="U1665" s="11"/>
      <c r="V1665" s="11"/>
      <c r="W1665" s="11"/>
      <c r="X1665" s="12"/>
      <c r="Y1665" s="12"/>
      <c r="Z1665" s="12"/>
      <c r="AA1665" s="44"/>
      <c r="AB1665" s="45"/>
      <c r="AC1665" s="12"/>
      <c r="AD1665" s="12"/>
      <c r="AE1665" s="12"/>
      <c r="AF1665" s="12"/>
      <c r="AG1665" s="44"/>
      <c r="AH1665" s="45"/>
      <c r="AI1665" s="12"/>
      <c r="AJ1665" s="12"/>
      <c r="AK1665" s="12"/>
      <c r="AL1665" s="12"/>
      <c r="AM1665" s="44"/>
      <c r="AN1665" s="45"/>
      <c r="AO1665" s="12"/>
      <c r="AP1665" s="12"/>
      <c r="AQ1665" s="12"/>
      <c r="AR1665" s="12"/>
      <c r="AS1665" s="44"/>
      <c r="AT1665" s="45"/>
      <c r="AU1665" s="12"/>
      <c r="AV1665" s="12"/>
      <c r="AW1665" s="12"/>
      <c r="AX1665" s="12"/>
      <c r="AY1665" s="44"/>
      <c r="AZ1665" s="45"/>
      <c r="BA1665" s="12"/>
      <c r="BB1665" s="12"/>
      <c r="BC1665" s="12"/>
      <c r="BD1665" s="12"/>
      <c r="BE1665" s="44"/>
      <c r="BF1665" s="45"/>
      <c r="BG1665" s="12"/>
      <c r="BH1665" s="12"/>
      <c r="BI1665" s="12"/>
      <c r="BJ1665" s="12"/>
      <c r="BK1665" s="44"/>
      <c r="BL1665" s="45"/>
      <c r="BM1665" s="12"/>
      <c r="BN1665" s="12"/>
      <c r="BO1665" s="12"/>
      <c r="BP1665" s="12"/>
      <c r="BQ1665" s="48"/>
      <c r="BR1665" s="49"/>
      <c r="BS1665" s="13"/>
      <c r="BT1665" s="12"/>
      <c r="BV1665" s="14"/>
      <c r="BW1665" s="50"/>
      <c r="BX1665" s="54"/>
      <c r="BY1665" s="14"/>
      <c r="BZ1665" s="14"/>
      <c r="CA1665" s="14"/>
      <c r="CB1665" s="14"/>
      <c r="CC1665" s="14"/>
      <c r="CD1665" s="14"/>
      <c r="CE1665" s="14"/>
      <c r="CF1665" s="15"/>
      <c r="CG1665" s="14"/>
      <c r="CH1665" s="14"/>
      <c r="CI1665" s="50"/>
      <c r="CJ1665" s="54"/>
      <c r="CK1665" s="14"/>
      <c r="CL1665" s="14"/>
      <c r="CM1665" s="14"/>
      <c r="CN1665" s="14"/>
      <c r="CO1665" s="14"/>
      <c r="CP1665" s="14"/>
      <c r="CQ1665" s="14"/>
      <c r="CR1665" s="14"/>
      <c r="CS1665" s="14"/>
      <c r="CT1665" s="14"/>
      <c r="CU1665" s="16"/>
      <c r="CV1665" s="14"/>
      <c r="CW1665" s="50"/>
      <c r="CX1665" s="17"/>
    </row>
    <row r="1666" spans="4:102" x14ac:dyDescent="0.25">
      <c r="D1666" s="11"/>
      <c r="E1666" s="11"/>
      <c r="F1666" s="11"/>
      <c r="G1666" s="11"/>
      <c r="H1666" s="11"/>
      <c r="I1666" s="11"/>
      <c r="J1666" s="11"/>
      <c r="K1666" s="11"/>
      <c r="L1666" s="11"/>
      <c r="M1666" s="11"/>
      <c r="N1666" s="11"/>
      <c r="O1666" s="11"/>
      <c r="P1666" s="43"/>
      <c r="Q1666" s="11"/>
      <c r="R1666" s="11"/>
      <c r="S1666" s="11"/>
      <c r="T1666" s="11"/>
      <c r="U1666" s="11"/>
      <c r="V1666" s="11"/>
      <c r="W1666" s="11"/>
      <c r="X1666" s="12"/>
      <c r="Y1666" s="12"/>
      <c r="Z1666" s="12"/>
      <c r="AA1666" s="44"/>
      <c r="AB1666" s="45"/>
      <c r="AC1666" s="12"/>
      <c r="AD1666" s="12"/>
      <c r="AE1666" s="12"/>
      <c r="AF1666" s="12"/>
      <c r="AG1666" s="44"/>
      <c r="AH1666" s="45"/>
      <c r="AI1666" s="12"/>
      <c r="AJ1666" s="12"/>
      <c r="AK1666" s="12"/>
      <c r="AL1666" s="12"/>
      <c r="AM1666" s="44"/>
      <c r="AN1666" s="45"/>
      <c r="AO1666" s="12"/>
      <c r="AP1666" s="12"/>
      <c r="AQ1666" s="12"/>
      <c r="AR1666" s="12"/>
      <c r="AS1666" s="44"/>
      <c r="AT1666" s="45"/>
      <c r="AU1666" s="12"/>
      <c r="AV1666" s="12"/>
      <c r="AW1666" s="12"/>
      <c r="AX1666" s="12"/>
      <c r="AY1666" s="44"/>
      <c r="AZ1666" s="45"/>
      <c r="BA1666" s="12"/>
      <c r="BB1666" s="12"/>
      <c r="BC1666" s="12"/>
      <c r="BD1666" s="12"/>
      <c r="BE1666" s="44"/>
      <c r="BF1666" s="45"/>
      <c r="BG1666" s="12"/>
      <c r="BH1666" s="12"/>
      <c r="BI1666" s="12"/>
      <c r="BJ1666" s="12"/>
      <c r="BK1666" s="44"/>
      <c r="BL1666" s="45"/>
      <c r="BM1666" s="12"/>
      <c r="BN1666" s="12"/>
      <c r="BO1666" s="12"/>
      <c r="BP1666" s="12"/>
      <c r="BQ1666" s="48"/>
      <c r="BR1666" s="49"/>
      <c r="BS1666" s="13"/>
      <c r="BT1666" s="12"/>
      <c r="BV1666" s="14"/>
      <c r="BW1666" s="50"/>
      <c r="BX1666" s="54"/>
      <c r="BY1666" s="14"/>
      <c r="BZ1666" s="14"/>
      <c r="CA1666" s="14"/>
      <c r="CB1666" s="14"/>
      <c r="CC1666" s="14"/>
      <c r="CD1666" s="14"/>
      <c r="CE1666" s="14"/>
      <c r="CF1666" s="15"/>
      <c r="CG1666" s="14"/>
      <c r="CH1666" s="14"/>
      <c r="CI1666" s="50"/>
      <c r="CJ1666" s="54"/>
      <c r="CK1666" s="14"/>
      <c r="CL1666" s="14"/>
      <c r="CM1666" s="14"/>
      <c r="CN1666" s="14"/>
      <c r="CO1666" s="14"/>
      <c r="CP1666" s="14"/>
      <c r="CQ1666" s="14"/>
      <c r="CR1666" s="14"/>
      <c r="CS1666" s="14"/>
      <c r="CT1666" s="14"/>
      <c r="CU1666" s="16"/>
      <c r="CV1666" s="14"/>
      <c r="CW1666" s="50"/>
      <c r="CX1666" s="17"/>
    </row>
    <row r="1667" spans="4:102" x14ac:dyDescent="0.25">
      <c r="D1667" s="11"/>
      <c r="E1667" s="11"/>
      <c r="F1667" s="11"/>
      <c r="G1667" s="11"/>
      <c r="H1667" s="11"/>
      <c r="I1667" s="11"/>
      <c r="J1667" s="11"/>
      <c r="K1667" s="11"/>
      <c r="L1667" s="11"/>
      <c r="M1667" s="11"/>
      <c r="N1667" s="11"/>
      <c r="O1667" s="11"/>
      <c r="P1667" s="43"/>
      <c r="Q1667" s="11"/>
      <c r="R1667" s="11"/>
      <c r="S1667" s="11"/>
      <c r="T1667" s="11"/>
      <c r="U1667" s="11"/>
      <c r="V1667" s="11"/>
      <c r="W1667" s="11"/>
      <c r="X1667" s="12"/>
      <c r="Y1667" s="12"/>
      <c r="Z1667" s="12"/>
      <c r="AA1667" s="44"/>
      <c r="AB1667" s="45"/>
      <c r="AC1667" s="12"/>
      <c r="AD1667" s="12"/>
      <c r="AE1667" s="12"/>
      <c r="AF1667" s="12"/>
      <c r="AG1667" s="44"/>
      <c r="AH1667" s="45"/>
      <c r="AI1667" s="12"/>
      <c r="AJ1667" s="12"/>
      <c r="AK1667" s="12"/>
      <c r="AL1667" s="12"/>
      <c r="AM1667" s="44"/>
      <c r="AN1667" s="45"/>
      <c r="AO1667" s="12"/>
      <c r="AP1667" s="12"/>
      <c r="AQ1667" s="12"/>
      <c r="AR1667" s="12"/>
      <c r="AS1667" s="44"/>
      <c r="AT1667" s="45"/>
      <c r="AU1667" s="12"/>
      <c r="AV1667" s="12"/>
      <c r="AW1667" s="12"/>
      <c r="AX1667" s="12"/>
      <c r="AY1667" s="44"/>
      <c r="AZ1667" s="45"/>
      <c r="BA1667" s="12"/>
      <c r="BB1667" s="12"/>
      <c r="BC1667" s="12"/>
      <c r="BD1667" s="12"/>
      <c r="BE1667" s="44"/>
      <c r="BF1667" s="45"/>
      <c r="BG1667" s="12"/>
      <c r="BH1667" s="12"/>
      <c r="BI1667" s="12"/>
      <c r="BJ1667" s="12"/>
      <c r="BK1667" s="44"/>
      <c r="BL1667" s="45"/>
      <c r="BM1667" s="12"/>
      <c r="BN1667" s="12"/>
      <c r="BO1667" s="12"/>
      <c r="BP1667" s="12"/>
      <c r="BQ1667" s="48"/>
      <c r="BR1667" s="49"/>
      <c r="BS1667" s="13"/>
      <c r="BT1667" s="12"/>
      <c r="BV1667" s="14"/>
      <c r="BW1667" s="50"/>
      <c r="BX1667" s="54"/>
      <c r="BY1667" s="14"/>
      <c r="BZ1667" s="14"/>
      <c r="CA1667" s="14"/>
      <c r="CB1667" s="14"/>
      <c r="CC1667" s="14"/>
      <c r="CD1667" s="14"/>
      <c r="CE1667" s="14"/>
      <c r="CF1667" s="15"/>
      <c r="CG1667" s="14"/>
      <c r="CH1667" s="14"/>
      <c r="CI1667" s="50"/>
      <c r="CJ1667" s="54"/>
      <c r="CK1667" s="14"/>
      <c r="CL1667" s="14"/>
      <c r="CM1667" s="14"/>
      <c r="CN1667" s="14"/>
      <c r="CO1667" s="14"/>
      <c r="CP1667" s="14"/>
      <c r="CQ1667" s="14"/>
      <c r="CR1667" s="14"/>
      <c r="CS1667" s="14"/>
      <c r="CT1667" s="14"/>
      <c r="CU1667" s="16"/>
      <c r="CV1667" s="14"/>
      <c r="CW1667" s="50"/>
      <c r="CX1667" s="17"/>
    </row>
    <row r="1668" spans="4:102" x14ac:dyDescent="0.25">
      <c r="D1668" s="11"/>
      <c r="E1668" s="11"/>
      <c r="F1668" s="11"/>
      <c r="G1668" s="11"/>
      <c r="H1668" s="11"/>
      <c r="I1668" s="11"/>
      <c r="J1668" s="11"/>
      <c r="K1668" s="11"/>
      <c r="L1668" s="11"/>
      <c r="M1668" s="11"/>
      <c r="N1668" s="11"/>
      <c r="O1668" s="11"/>
      <c r="P1668" s="43"/>
      <c r="Q1668" s="11"/>
      <c r="R1668" s="11"/>
      <c r="S1668" s="11"/>
      <c r="T1668" s="11"/>
      <c r="U1668" s="11"/>
      <c r="V1668" s="11"/>
      <c r="W1668" s="11"/>
      <c r="X1668" s="12"/>
      <c r="Y1668" s="12"/>
      <c r="Z1668" s="12"/>
      <c r="AA1668" s="44"/>
      <c r="AB1668" s="45"/>
      <c r="AC1668" s="12"/>
      <c r="AD1668" s="12"/>
      <c r="AE1668" s="12"/>
      <c r="AF1668" s="12"/>
      <c r="AG1668" s="44"/>
      <c r="AH1668" s="45"/>
      <c r="AI1668" s="12"/>
      <c r="AJ1668" s="12"/>
      <c r="AK1668" s="12"/>
      <c r="AL1668" s="12"/>
      <c r="AM1668" s="44"/>
      <c r="AN1668" s="45"/>
      <c r="AO1668" s="12"/>
      <c r="AP1668" s="12"/>
      <c r="AQ1668" s="12"/>
      <c r="AR1668" s="12"/>
      <c r="AS1668" s="44"/>
      <c r="AT1668" s="45"/>
      <c r="AU1668" s="12"/>
      <c r="AV1668" s="12"/>
      <c r="AW1668" s="12"/>
      <c r="AX1668" s="12"/>
      <c r="AY1668" s="44"/>
      <c r="AZ1668" s="45"/>
      <c r="BA1668" s="12"/>
      <c r="BB1668" s="12"/>
      <c r="BC1668" s="12"/>
      <c r="BD1668" s="12"/>
      <c r="BE1668" s="44"/>
      <c r="BF1668" s="45"/>
      <c r="BG1668" s="12"/>
      <c r="BH1668" s="12"/>
      <c r="BI1668" s="12"/>
      <c r="BJ1668" s="12"/>
      <c r="BK1668" s="44"/>
      <c r="BL1668" s="45"/>
      <c r="BM1668" s="12"/>
      <c r="BN1668" s="12"/>
      <c r="BO1668" s="12"/>
      <c r="BP1668" s="12"/>
      <c r="BQ1668" s="48"/>
      <c r="BR1668" s="49"/>
      <c r="BS1668" s="13"/>
      <c r="BT1668" s="12"/>
      <c r="BV1668" s="14"/>
      <c r="BW1668" s="50"/>
      <c r="BX1668" s="54"/>
      <c r="BY1668" s="14"/>
      <c r="BZ1668" s="14"/>
      <c r="CA1668" s="14"/>
      <c r="CB1668" s="14"/>
      <c r="CC1668" s="14"/>
      <c r="CD1668" s="14"/>
      <c r="CE1668" s="14"/>
      <c r="CF1668" s="15"/>
      <c r="CG1668" s="14"/>
      <c r="CH1668" s="14"/>
      <c r="CI1668" s="50"/>
      <c r="CJ1668" s="54"/>
      <c r="CK1668" s="14"/>
      <c r="CL1668" s="14"/>
      <c r="CM1668" s="14"/>
      <c r="CN1668" s="14"/>
      <c r="CO1668" s="14"/>
      <c r="CP1668" s="14"/>
      <c r="CQ1668" s="14"/>
      <c r="CR1668" s="14"/>
      <c r="CS1668" s="14"/>
      <c r="CT1668" s="14"/>
      <c r="CU1668" s="16"/>
      <c r="CV1668" s="14"/>
      <c r="CW1668" s="50"/>
      <c r="CX1668" s="17"/>
    </row>
    <row r="1669" spans="4:102" x14ac:dyDescent="0.25">
      <c r="D1669" s="11"/>
      <c r="E1669" s="11"/>
      <c r="F1669" s="11"/>
      <c r="G1669" s="11"/>
      <c r="H1669" s="11"/>
      <c r="I1669" s="11"/>
      <c r="J1669" s="11"/>
      <c r="K1669" s="11"/>
      <c r="L1669" s="11"/>
      <c r="M1669" s="11"/>
      <c r="N1669" s="11"/>
      <c r="O1669" s="11"/>
      <c r="P1669" s="43"/>
      <c r="Q1669" s="11"/>
      <c r="R1669" s="11"/>
      <c r="S1669" s="11"/>
      <c r="T1669" s="11"/>
      <c r="U1669" s="11"/>
      <c r="V1669" s="11"/>
      <c r="W1669" s="11"/>
      <c r="X1669" s="12"/>
      <c r="Y1669" s="12"/>
      <c r="Z1669" s="12"/>
      <c r="AA1669" s="44"/>
      <c r="AB1669" s="45"/>
      <c r="AC1669" s="12"/>
      <c r="AD1669" s="12"/>
      <c r="AE1669" s="12"/>
      <c r="AF1669" s="12"/>
      <c r="AG1669" s="44"/>
      <c r="AH1669" s="45"/>
      <c r="AI1669" s="12"/>
      <c r="AJ1669" s="12"/>
      <c r="AK1669" s="12"/>
      <c r="AL1669" s="12"/>
      <c r="AM1669" s="44"/>
      <c r="AN1669" s="45"/>
      <c r="AO1669" s="12"/>
      <c r="AP1669" s="12"/>
      <c r="AQ1669" s="12"/>
      <c r="AR1669" s="12"/>
      <c r="AS1669" s="44"/>
      <c r="AT1669" s="45"/>
      <c r="AU1669" s="12"/>
      <c r="AV1669" s="12"/>
      <c r="AW1669" s="12"/>
      <c r="AX1669" s="12"/>
      <c r="AY1669" s="44"/>
      <c r="AZ1669" s="45"/>
      <c r="BA1669" s="12"/>
      <c r="BB1669" s="12"/>
      <c r="BC1669" s="12"/>
      <c r="BD1669" s="12"/>
      <c r="BE1669" s="44"/>
      <c r="BF1669" s="45"/>
      <c r="BG1669" s="12"/>
      <c r="BH1669" s="12"/>
      <c r="BI1669" s="12"/>
      <c r="BJ1669" s="12"/>
      <c r="BK1669" s="44"/>
      <c r="BL1669" s="45"/>
      <c r="BM1669" s="12"/>
      <c r="BN1669" s="12"/>
      <c r="BO1669" s="12"/>
      <c r="BP1669" s="12"/>
      <c r="BQ1669" s="48"/>
      <c r="BR1669" s="49"/>
      <c r="BS1669" s="13"/>
      <c r="BT1669" s="12"/>
      <c r="BV1669" s="14"/>
      <c r="BW1669" s="50"/>
      <c r="BX1669" s="54"/>
      <c r="BY1669" s="14"/>
      <c r="BZ1669" s="14"/>
      <c r="CA1669" s="14"/>
      <c r="CB1669" s="14"/>
      <c r="CC1669" s="14"/>
      <c r="CD1669" s="14"/>
      <c r="CE1669" s="14"/>
      <c r="CF1669" s="15"/>
      <c r="CG1669" s="14"/>
      <c r="CH1669" s="14"/>
      <c r="CI1669" s="50"/>
      <c r="CJ1669" s="54"/>
      <c r="CK1669" s="14"/>
      <c r="CL1669" s="14"/>
      <c r="CM1669" s="14"/>
      <c r="CN1669" s="14"/>
      <c r="CO1669" s="14"/>
      <c r="CP1669" s="14"/>
      <c r="CQ1669" s="14"/>
      <c r="CR1669" s="14"/>
      <c r="CS1669" s="14"/>
      <c r="CT1669" s="14"/>
      <c r="CU1669" s="16"/>
      <c r="CV1669" s="14"/>
      <c r="CW1669" s="50"/>
      <c r="CX1669" s="17"/>
    </row>
    <row r="1670" spans="4:102" x14ac:dyDescent="0.25">
      <c r="D1670" s="11"/>
      <c r="E1670" s="11"/>
      <c r="F1670" s="11"/>
      <c r="G1670" s="11"/>
      <c r="H1670" s="11"/>
      <c r="I1670" s="11"/>
      <c r="J1670" s="11"/>
      <c r="K1670" s="11"/>
      <c r="L1670" s="11"/>
      <c r="M1670" s="11"/>
      <c r="N1670" s="11"/>
      <c r="O1670" s="11"/>
      <c r="P1670" s="43"/>
      <c r="Q1670" s="11"/>
      <c r="R1670" s="11"/>
      <c r="S1670" s="11"/>
      <c r="T1670" s="11"/>
      <c r="U1670" s="11"/>
      <c r="V1670" s="11"/>
      <c r="W1670" s="11"/>
      <c r="X1670" s="12"/>
      <c r="Y1670" s="12"/>
      <c r="Z1670" s="12"/>
      <c r="AA1670" s="44"/>
      <c r="AB1670" s="45"/>
      <c r="AC1670" s="12"/>
      <c r="AD1670" s="12"/>
      <c r="AE1670" s="12"/>
      <c r="AF1670" s="12"/>
      <c r="AG1670" s="44"/>
      <c r="AH1670" s="45"/>
      <c r="AI1670" s="12"/>
      <c r="AJ1670" s="12"/>
      <c r="AK1670" s="12"/>
      <c r="AL1670" s="12"/>
      <c r="AM1670" s="44"/>
      <c r="AN1670" s="45"/>
      <c r="AO1670" s="12"/>
      <c r="AP1670" s="12"/>
      <c r="AQ1670" s="12"/>
      <c r="AR1670" s="12"/>
      <c r="AS1670" s="44"/>
      <c r="AT1670" s="45"/>
      <c r="AU1670" s="12"/>
      <c r="AV1670" s="12"/>
      <c r="AW1670" s="12"/>
      <c r="AX1670" s="12"/>
      <c r="AY1670" s="44"/>
      <c r="AZ1670" s="45"/>
      <c r="BA1670" s="12"/>
      <c r="BB1670" s="12"/>
      <c r="BC1670" s="12"/>
      <c r="BD1670" s="12"/>
      <c r="BE1670" s="44"/>
      <c r="BF1670" s="45"/>
      <c r="BG1670" s="12"/>
      <c r="BH1670" s="12"/>
      <c r="BI1670" s="12"/>
      <c r="BJ1670" s="12"/>
      <c r="BK1670" s="44"/>
      <c r="BL1670" s="45"/>
      <c r="BM1670" s="12"/>
      <c r="BN1670" s="12"/>
      <c r="BO1670" s="12"/>
      <c r="BP1670" s="12"/>
      <c r="BQ1670" s="48"/>
      <c r="BR1670" s="49"/>
      <c r="BS1670" s="13"/>
      <c r="BT1670" s="12"/>
      <c r="BV1670" s="14"/>
      <c r="BW1670" s="50"/>
      <c r="BX1670" s="54"/>
      <c r="BY1670" s="14"/>
      <c r="BZ1670" s="14"/>
      <c r="CA1670" s="14"/>
      <c r="CB1670" s="14"/>
      <c r="CC1670" s="14"/>
      <c r="CD1670" s="14"/>
      <c r="CE1670" s="14"/>
      <c r="CF1670" s="15"/>
      <c r="CG1670" s="14"/>
      <c r="CH1670" s="14"/>
      <c r="CI1670" s="50"/>
      <c r="CJ1670" s="54"/>
      <c r="CK1670" s="14"/>
      <c r="CL1670" s="14"/>
      <c r="CM1670" s="14"/>
      <c r="CN1670" s="14"/>
      <c r="CO1670" s="14"/>
      <c r="CP1670" s="14"/>
      <c r="CQ1670" s="14"/>
      <c r="CR1670" s="14"/>
      <c r="CS1670" s="14"/>
      <c r="CT1670" s="14"/>
      <c r="CU1670" s="16"/>
      <c r="CV1670" s="14"/>
      <c r="CW1670" s="50"/>
      <c r="CX1670" s="17"/>
    </row>
    <row r="1671" spans="4:102" x14ac:dyDescent="0.25">
      <c r="D1671" s="11"/>
      <c r="E1671" s="11"/>
      <c r="F1671" s="11"/>
      <c r="G1671" s="11"/>
      <c r="H1671" s="11"/>
      <c r="I1671" s="11"/>
      <c r="J1671" s="11"/>
      <c r="K1671" s="11"/>
      <c r="L1671" s="11"/>
      <c r="M1671" s="11"/>
      <c r="N1671" s="11"/>
      <c r="O1671" s="11"/>
      <c r="P1671" s="43"/>
      <c r="Q1671" s="11"/>
      <c r="R1671" s="11"/>
      <c r="S1671" s="11"/>
      <c r="T1671" s="11"/>
      <c r="U1671" s="11"/>
      <c r="V1671" s="11"/>
      <c r="W1671" s="11"/>
      <c r="X1671" s="12"/>
      <c r="Y1671" s="12"/>
      <c r="Z1671" s="12"/>
      <c r="AA1671" s="44"/>
      <c r="AB1671" s="45"/>
      <c r="AC1671" s="12"/>
      <c r="AD1671" s="12"/>
      <c r="AE1671" s="12"/>
      <c r="AF1671" s="12"/>
      <c r="AG1671" s="44"/>
      <c r="AH1671" s="45"/>
      <c r="AI1671" s="12"/>
      <c r="AJ1671" s="12"/>
      <c r="AK1671" s="12"/>
      <c r="AL1671" s="12"/>
      <c r="AM1671" s="44"/>
      <c r="AN1671" s="45"/>
      <c r="AO1671" s="12"/>
      <c r="AP1671" s="12"/>
      <c r="AQ1671" s="12"/>
      <c r="AR1671" s="12"/>
      <c r="AS1671" s="44"/>
      <c r="AT1671" s="45"/>
      <c r="AU1671" s="12"/>
      <c r="AV1671" s="12"/>
      <c r="AW1671" s="12"/>
      <c r="AX1671" s="12"/>
      <c r="AY1671" s="44"/>
      <c r="AZ1671" s="45"/>
      <c r="BA1671" s="12"/>
      <c r="BB1671" s="12"/>
      <c r="BC1671" s="12"/>
      <c r="BD1671" s="12"/>
      <c r="BE1671" s="44"/>
      <c r="BF1671" s="45"/>
      <c r="BG1671" s="12"/>
      <c r="BH1671" s="12"/>
      <c r="BI1671" s="12"/>
      <c r="BJ1671" s="12"/>
      <c r="BK1671" s="44"/>
      <c r="BL1671" s="45"/>
      <c r="BM1671" s="12"/>
      <c r="BN1671" s="12"/>
      <c r="BO1671" s="12"/>
      <c r="BP1671" s="12"/>
      <c r="BQ1671" s="48"/>
      <c r="BR1671" s="49"/>
      <c r="BS1671" s="13"/>
      <c r="BT1671" s="12"/>
      <c r="BV1671" s="14"/>
      <c r="BW1671" s="50"/>
      <c r="BX1671" s="54"/>
      <c r="BY1671" s="14"/>
      <c r="BZ1671" s="14"/>
      <c r="CA1671" s="14"/>
      <c r="CB1671" s="14"/>
      <c r="CC1671" s="14"/>
      <c r="CD1671" s="14"/>
      <c r="CE1671" s="14"/>
      <c r="CF1671" s="15"/>
      <c r="CG1671" s="14"/>
      <c r="CH1671" s="14"/>
      <c r="CI1671" s="50"/>
      <c r="CJ1671" s="54"/>
      <c r="CK1671" s="14"/>
      <c r="CL1671" s="14"/>
      <c r="CM1671" s="14"/>
      <c r="CN1671" s="14"/>
      <c r="CO1671" s="14"/>
      <c r="CP1671" s="14"/>
      <c r="CQ1671" s="14"/>
      <c r="CR1671" s="14"/>
      <c r="CS1671" s="14"/>
      <c r="CT1671" s="14"/>
      <c r="CU1671" s="16"/>
      <c r="CV1671" s="14"/>
      <c r="CW1671" s="50"/>
      <c r="CX1671" s="17"/>
    </row>
    <row r="1672" spans="4:102" x14ac:dyDescent="0.25">
      <c r="D1672" s="11"/>
      <c r="E1672" s="11"/>
      <c r="F1672" s="11"/>
      <c r="G1672" s="11"/>
      <c r="H1672" s="11"/>
      <c r="I1672" s="11"/>
      <c r="J1672" s="11"/>
      <c r="K1672" s="11"/>
      <c r="L1672" s="11"/>
      <c r="M1672" s="11"/>
      <c r="N1672" s="11"/>
      <c r="O1672" s="11"/>
      <c r="P1672" s="43"/>
      <c r="Q1672" s="11"/>
      <c r="R1672" s="11"/>
      <c r="S1672" s="11"/>
      <c r="T1672" s="11"/>
      <c r="U1672" s="11"/>
      <c r="V1672" s="11"/>
      <c r="W1672" s="11"/>
      <c r="X1672" s="12"/>
      <c r="Y1672" s="12"/>
      <c r="Z1672" s="12"/>
      <c r="AA1672" s="44"/>
      <c r="AB1672" s="45"/>
      <c r="AC1672" s="12"/>
      <c r="AD1672" s="12"/>
      <c r="AE1672" s="12"/>
      <c r="AF1672" s="12"/>
      <c r="AG1672" s="44"/>
      <c r="AH1672" s="45"/>
      <c r="AI1672" s="12"/>
      <c r="AJ1672" s="12"/>
      <c r="AK1672" s="12"/>
      <c r="AL1672" s="12"/>
      <c r="AM1672" s="44"/>
      <c r="AN1672" s="45"/>
      <c r="AO1672" s="12"/>
      <c r="AP1672" s="12"/>
      <c r="AQ1672" s="12"/>
      <c r="AR1672" s="12"/>
      <c r="AS1672" s="44"/>
      <c r="AT1672" s="45"/>
      <c r="AU1672" s="12"/>
      <c r="AV1672" s="12"/>
      <c r="AW1672" s="12"/>
      <c r="AX1672" s="12"/>
      <c r="AY1672" s="44"/>
      <c r="AZ1672" s="45"/>
      <c r="BA1672" s="12"/>
      <c r="BB1672" s="12"/>
      <c r="BC1672" s="12"/>
      <c r="BD1672" s="12"/>
      <c r="BE1672" s="44"/>
      <c r="BF1672" s="45"/>
      <c r="BG1672" s="12"/>
      <c r="BH1672" s="12"/>
      <c r="BI1672" s="12"/>
      <c r="BJ1672" s="12"/>
      <c r="BK1672" s="44"/>
      <c r="BL1672" s="45"/>
      <c r="BM1672" s="12"/>
      <c r="BN1672" s="12"/>
      <c r="BO1672" s="12"/>
      <c r="BP1672" s="12"/>
      <c r="BQ1672" s="48"/>
      <c r="BR1672" s="49"/>
      <c r="BS1672" s="13"/>
      <c r="BT1672" s="12"/>
      <c r="BV1672" s="14"/>
      <c r="BW1672" s="50"/>
      <c r="BX1672" s="54"/>
      <c r="BY1672" s="14"/>
      <c r="BZ1672" s="14"/>
      <c r="CA1672" s="14"/>
      <c r="CB1672" s="14"/>
      <c r="CC1672" s="14"/>
      <c r="CD1672" s="14"/>
      <c r="CE1672" s="14"/>
      <c r="CF1672" s="15"/>
      <c r="CG1672" s="14"/>
      <c r="CH1672" s="14"/>
      <c r="CI1672" s="50"/>
      <c r="CJ1672" s="54"/>
      <c r="CK1672" s="14"/>
      <c r="CL1672" s="14"/>
      <c r="CM1672" s="14"/>
      <c r="CN1672" s="14"/>
      <c r="CO1672" s="14"/>
      <c r="CP1672" s="14"/>
      <c r="CQ1672" s="14"/>
      <c r="CR1672" s="14"/>
      <c r="CS1672" s="14"/>
      <c r="CT1672" s="14"/>
      <c r="CU1672" s="16"/>
      <c r="CV1672" s="14"/>
      <c r="CW1672" s="50"/>
      <c r="CX1672" s="17"/>
    </row>
    <row r="1673" spans="4:102" x14ac:dyDescent="0.25">
      <c r="D1673" s="11"/>
      <c r="E1673" s="11"/>
      <c r="F1673" s="11"/>
      <c r="G1673" s="11"/>
      <c r="H1673" s="11"/>
      <c r="I1673" s="11"/>
      <c r="J1673" s="11"/>
      <c r="K1673" s="11"/>
      <c r="L1673" s="11"/>
      <c r="M1673" s="11"/>
      <c r="N1673" s="11"/>
      <c r="O1673" s="11"/>
      <c r="P1673" s="43"/>
      <c r="Q1673" s="11"/>
      <c r="R1673" s="11"/>
      <c r="S1673" s="11"/>
      <c r="T1673" s="11"/>
      <c r="U1673" s="11"/>
      <c r="V1673" s="11"/>
      <c r="W1673" s="11"/>
      <c r="X1673" s="12"/>
      <c r="Y1673" s="12"/>
      <c r="Z1673" s="12"/>
      <c r="AA1673" s="44"/>
      <c r="AB1673" s="45"/>
      <c r="AC1673" s="12"/>
      <c r="AD1673" s="12"/>
      <c r="AE1673" s="12"/>
      <c r="AF1673" s="12"/>
      <c r="AG1673" s="44"/>
      <c r="AH1673" s="45"/>
      <c r="AI1673" s="12"/>
      <c r="AJ1673" s="12"/>
      <c r="AK1673" s="12"/>
      <c r="AL1673" s="12"/>
      <c r="AM1673" s="44"/>
      <c r="AN1673" s="45"/>
      <c r="AO1673" s="12"/>
      <c r="AP1673" s="12"/>
      <c r="AQ1673" s="12"/>
      <c r="AR1673" s="12"/>
      <c r="AS1673" s="44"/>
      <c r="AT1673" s="45"/>
      <c r="AU1673" s="12"/>
      <c r="AV1673" s="12"/>
      <c r="AW1673" s="12"/>
      <c r="AX1673" s="12"/>
      <c r="AY1673" s="44"/>
      <c r="AZ1673" s="45"/>
      <c r="BA1673" s="12"/>
      <c r="BB1673" s="12"/>
      <c r="BC1673" s="12"/>
      <c r="BD1673" s="12"/>
      <c r="BE1673" s="44"/>
      <c r="BF1673" s="45"/>
      <c r="BG1673" s="12"/>
      <c r="BH1673" s="12"/>
      <c r="BI1673" s="12"/>
      <c r="BJ1673" s="12"/>
      <c r="BK1673" s="44"/>
      <c r="BL1673" s="45"/>
      <c r="BM1673" s="12"/>
      <c r="BN1673" s="12"/>
      <c r="BO1673" s="12"/>
      <c r="BP1673" s="12"/>
      <c r="BQ1673" s="48"/>
      <c r="BR1673" s="49"/>
      <c r="BS1673" s="13"/>
      <c r="BT1673" s="12"/>
      <c r="BV1673" s="14"/>
      <c r="BW1673" s="50"/>
      <c r="BX1673" s="54"/>
      <c r="BY1673" s="14"/>
      <c r="BZ1673" s="14"/>
      <c r="CA1673" s="14"/>
      <c r="CB1673" s="14"/>
      <c r="CC1673" s="14"/>
      <c r="CD1673" s="14"/>
      <c r="CE1673" s="14"/>
      <c r="CF1673" s="15"/>
      <c r="CG1673" s="14"/>
      <c r="CH1673" s="14"/>
      <c r="CI1673" s="50"/>
      <c r="CJ1673" s="54"/>
      <c r="CK1673" s="14"/>
      <c r="CL1673" s="14"/>
      <c r="CM1673" s="14"/>
      <c r="CN1673" s="14"/>
      <c r="CO1673" s="14"/>
      <c r="CP1673" s="14"/>
      <c r="CQ1673" s="14"/>
      <c r="CR1673" s="14"/>
      <c r="CS1673" s="14"/>
      <c r="CT1673" s="14"/>
      <c r="CU1673" s="16"/>
      <c r="CV1673" s="14"/>
      <c r="CW1673" s="50"/>
      <c r="CX1673" s="17"/>
    </row>
    <row r="1674" spans="4:102" x14ac:dyDescent="0.25">
      <c r="D1674" s="11"/>
      <c r="E1674" s="11"/>
      <c r="F1674" s="11"/>
      <c r="G1674" s="11"/>
      <c r="H1674" s="11"/>
      <c r="I1674" s="11"/>
      <c r="J1674" s="11"/>
      <c r="K1674" s="11"/>
      <c r="L1674" s="11"/>
      <c r="M1674" s="11"/>
      <c r="N1674" s="11"/>
      <c r="O1674" s="11"/>
      <c r="P1674" s="43"/>
      <c r="Q1674" s="11"/>
      <c r="R1674" s="11"/>
      <c r="S1674" s="11"/>
      <c r="T1674" s="11"/>
      <c r="U1674" s="11"/>
      <c r="V1674" s="11"/>
      <c r="W1674" s="11"/>
      <c r="X1674" s="12"/>
      <c r="Y1674" s="12"/>
      <c r="Z1674" s="12"/>
      <c r="AA1674" s="44"/>
      <c r="AB1674" s="45"/>
      <c r="AC1674" s="12"/>
      <c r="AD1674" s="12"/>
      <c r="AE1674" s="12"/>
      <c r="AF1674" s="12"/>
      <c r="AG1674" s="44"/>
      <c r="AH1674" s="45"/>
      <c r="AI1674" s="12"/>
      <c r="AJ1674" s="12"/>
      <c r="AK1674" s="12"/>
      <c r="AL1674" s="12"/>
      <c r="AM1674" s="44"/>
      <c r="AN1674" s="45"/>
      <c r="AO1674" s="12"/>
      <c r="AP1674" s="12"/>
      <c r="AQ1674" s="12"/>
      <c r="AR1674" s="12"/>
      <c r="AS1674" s="44"/>
      <c r="AT1674" s="45"/>
      <c r="AU1674" s="12"/>
      <c r="AV1674" s="12"/>
      <c r="AW1674" s="12"/>
      <c r="AX1674" s="12"/>
      <c r="AY1674" s="44"/>
      <c r="AZ1674" s="45"/>
      <c r="BA1674" s="12"/>
      <c r="BB1674" s="12"/>
      <c r="BC1674" s="12"/>
      <c r="BD1674" s="12"/>
      <c r="BE1674" s="44"/>
      <c r="BF1674" s="45"/>
      <c r="BG1674" s="12"/>
      <c r="BH1674" s="12"/>
      <c r="BI1674" s="12"/>
      <c r="BJ1674" s="12"/>
      <c r="BK1674" s="44"/>
      <c r="BL1674" s="45"/>
      <c r="BM1674" s="12"/>
      <c r="BN1674" s="12"/>
      <c r="BO1674" s="12"/>
      <c r="BP1674" s="12"/>
      <c r="BQ1674" s="48"/>
      <c r="BR1674" s="49"/>
      <c r="BS1674" s="13"/>
      <c r="BT1674" s="12"/>
      <c r="BV1674" s="14"/>
      <c r="BW1674" s="50"/>
      <c r="BX1674" s="54"/>
      <c r="BY1674" s="14"/>
      <c r="BZ1674" s="14"/>
      <c r="CA1674" s="14"/>
      <c r="CB1674" s="14"/>
      <c r="CC1674" s="14"/>
      <c r="CD1674" s="14"/>
      <c r="CE1674" s="14"/>
      <c r="CF1674" s="15"/>
      <c r="CG1674" s="14"/>
      <c r="CH1674" s="14"/>
      <c r="CI1674" s="50"/>
      <c r="CJ1674" s="54"/>
      <c r="CK1674" s="14"/>
      <c r="CL1674" s="14"/>
      <c r="CM1674" s="14"/>
      <c r="CN1674" s="14"/>
      <c r="CO1674" s="14"/>
      <c r="CP1674" s="14"/>
      <c r="CQ1674" s="14"/>
      <c r="CR1674" s="14"/>
      <c r="CS1674" s="14"/>
      <c r="CT1674" s="14"/>
      <c r="CU1674" s="16"/>
      <c r="CV1674" s="14"/>
      <c r="CW1674" s="50"/>
      <c r="CX1674" s="17"/>
    </row>
    <row r="1675" spans="4:102" x14ac:dyDescent="0.25">
      <c r="D1675" s="11"/>
      <c r="E1675" s="11"/>
      <c r="F1675" s="11"/>
      <c r="G1675" s="11"/>
      <c r="H1675" s="11"/>
      <c r="I1675" s="11"/>
      <c r="J1675" s="11"/>
      <c r="K1675" s="11"/>
      <c r="L1675" s="11"/>
      <c r="M1675" s="11"/>
      <c r="N1675" s="11"/>
      <c r="O1675" s="11"/>
      <c r="P1675" s="43"/>
      <c r="Q1675" s="11"/>
      <c r="R1675" s="11"/>
      <c r="S1675" s="11"/>
      <c r="T1675" s="11"/>
      <c r="U1675" s="11"/>
      <c r="V1675" s="11"/>
      <c r="W1675" s="11"/>
      <c r="X1675" s="12"/>
      <c r="Y1675" s="12"/>
      <c r="Z1675" s="12"/>
      <c r="AA1675" s="44"/>
      <c r="AB1675" s="45"/>
      <c r="AC1675" s="12"/>
      <c r="AD1675" s="12"/>
      <c r="AE1675" s="12"/>
      <c r="AF1675" s="12"/>
      <c r="AG1675" s="44"/>
      <c r="AH1675" s="45"/>
      <c r="AI1675" s="12"/>
      <c r="AJ1675" s="12"/>
      <c r="AK1675" s="12"/>
      <c r="AL1675" s="12"/>
      <c r="AM1675" s="44"/>
      <c r="AN1675" s="45"/>
      <c r="AO1675" s="12"/>
      <c r="AP1675" s="12"/>
      <c r="AQ1675" s="12"/>
      <c r="AR1675" s="12"/>
      <c r="AS1675" s="44"/>
      <c r="AT1675" s="45"/>
      <c r="AU1675" s="12"/>
      <c r="AV1675" s="12"/>
      <c r="AW1675" s="12"/>
      <c r="AX1675" s="12"/>
      <c r="AY1675" s="44"/>
      <c r="AZ1675" s="45"/>
      <c r="BA1675" s="12"/>
      <c r="BB1675" s="12"/>
      <c r="BC1675" s="12"/>
      <c r="BD1675" s="12"/>
      <c r="BE1675" s="44"/>
      <c r="BF1675" s="45"/>
      <c r="BG1675" s="12"/>
      <c r="BH1675" s="12"/>
      <c r="BI1675" s="12"/>
      <c r="BJ1675" s="12"/>
      <c r="BK1675" s="44"/>
      <c r="BL1675" s="45"/>
      <c r="BM1675" s="12"/>
      <c r="BN1675" s="12"/>
      <c r="BO1675" s="12"/>
      <c r="BP1675" s="12"/>
      <c r="BQ1675" s="48"/>
      <c r="BR1675" s="49"/>
      <c r="BS1675" s="13"/>
      <c r="BT1675" s="12"/>
      <c r="BV1675" s="14"/>
      <c r="BW1675" s="50"/>
      <c r="BX1675" s="54"/>
      <c r="BY1675" s="14"/>
      <c r="BZ1675" s="14"/>
      <c r="CA1675" s="14"/>
      <c r="CB1675" s="14"/>
      <c r="CC1675" s="14"/>
      <c r="CD1675" s="14"/>
      <c r="CE1675" s="14"/>
      <c r="CF1675" s="15"/>
      <c r="CG1675" s="14"/>
      <c r="CH1675" s="14"/>
      <c r="CI1675" s="50"/>
      <c r="CJ1675" s="54"/>
      <c r="CK1675" s="14"/>
      <c r="CL1675" s="14"/>
      <c r="CM1675" s="14"/>
      <c r="CN1675" s="14"/>
      <c r="CO1675" s="14"/>
      <c r="CP1675" s="14"/>
      <c r="CQ1675" s="14"/>
      <c r="CR1675" s="14"/>
      <c r="CS1675" s="14"/>
      <c r="CT1675" s="14"/>
      <c r="CU1675" s="16"/>
      <c r="CV1675" s="14"/>
      <c r="CW1675" s="50"/>
      <c r="CX1675" s="17"/>
    </row>
    <row r="1676" spans="4:102" x14ac:dyDescent="0.25">
      <c r="D1676" s="11"/>
      <c r="E1676" s="11"/>
      <c r="F1676" s="11"/>
      <c r="G1676" s="11"/>
      <c r="H1676" s="11"/>
      <c r="I1676" s="11"/>
      <c r="J1676" s="11"/>
      <c r="K1676" s="11"/>
      <c r="L1676" s="11"/>
      <c r="M1676" s="11"/>
      <c r="N1676" s="11"/>
      <c r="O1676" s="11"/>
      <c r="P1676" s="43"/>
      <c r="Q1676" s="11"/>
      <c r="R1676" s="11"/>
      <c r="S1676" s="11"/>
      <c r="T1676" s="11"/>
      <c r="U1676" s="11"/>
      <c r="V1676" s="11"/>
      <c r="W1676" s="11"/>
      <c r="X1676" s="12"/>
      <c r="Y1676" s="12"/>
      <c r="Z1676" s="12"/>
      <c r="AA1676" s="44"/>
      <c r="AB1676" s="45"/>
      <c r="AC1676" s="12"/>
      <c r="AD1676" s="12"/>
      <c r="AE1676" s="12"/>
      <c r="AF1676" s="12"/>
      <c r="AG1676" s="44"/>
      <c r="AH1676" s="45"/>
      <c r="AI1676" s="12"/>
      <c r="AJ1676" s="12"/>
      <c r="AK1676" s="12"/>
      <c r="AL1676" s="12"/>
      <c r="AM1676" s="44"/>
      <c r="AN1676" s="45"/>
      <c r="AO1676" s="12"/>
      <c r="AP1676" s="12"/>
      <c r="AQ1676" s="12"/>
      <c r="AR1676" s="12"/>
      <c r="AS1676" s="44"/>
      <c r="AT1676" s="45"/>
      <c r="AU1676" s="12"/>
      <c r="AV1676" s="12"/>
      <c r="AW1676" s="12"/>
      <c r="AX1676" s="12"/>
      <c r="AY1676" s="44"/>
      <c r="AZ1676" s="45"/>
      <c r="BA1676" s="12"/>
      <c r="BB1676" s="12"/>
      <c r="BC1676" s="12"/>
      <c r="BD1676" s="12"/>
      <c r="BE1676" s="44"/>
      <c r="BF1676" s="45"/>
      <c r="BG1676" s="12"/>
      <c r="BH1676" s="12"/>
      <c r="BI1676" s="12"/>
      <c r="BJ1676" s="12"/>
      <c r="BK1676" s="44"/>
      <c r="BL1676" s="45"/>
      <c r="BM1676" s="12"/>
      <c r="BN1676" s="12"/>
      <c r="BO1676" s="12"/>
      <c r="BP1676" s="12"/>
      <c r="BQ1676" s="48"/>
      <c r="BR1676" s="49"/>
      <c r="BS1676" s="13"/>
      <c r="BT1676" s="12"/>
      <c r="BV1676" s="14"/>
      <c r="BW1676" s="50"/>
      <c r="BX1676" s="54"/>
      <c r="BY1676" s="14"/>
      <c r="BZ1676" s="14"/>
      <c r="CA1676" s="14"/>
      <c r="CB1676" s="14"/>
      <c r="CC1676" s="14"/>
      <c r="CD1676" s="14"/>
      <c r="CE1676" s="14"/>
      <c r="CF1676" s="15"/>
      <c r="CG1676" s="14"/>
      <c r="CH1676" s="14"/>
      <c r="CI1676" s="50"/>
      <c r="CJ1676" s="54"/>
      <c r="CK1676" s="14"/>
      <c r="CL1676" s="14"/>
      <c r="CM1676" s="14"/>
      <c r="CN1676" s="14"/>
      <c r="CO1676" s="14"/>
      <c r="CP1676" s="14"/>
      <c r="CQ1676" s="14"/>
      <c r="CR1676" s="14"/>
      <c r="CS1676" s="14"/>
      <c r="CT1676" s="14"/>
      <c r="CU1676" s="16"/>
      <c r="CV1676" s="14"/>
      <c r="CW1676" s="50"/>
      <c r="CX1676" s="17"/>
    </row>
    <row r="1677" spans="4:102" x14ac:dyDescent="0.25">
      <c r="D1677" s="11"/>
      <c r="E1677" s="11"/>
      <c r="F1677" s="11"/>
      <c r="G1677" s="11"/>
      <c r="H1677" s="11"/>
      <c r="I1677" s="11"/>
      <c r="J1677" s="11"/>
      <c r="K1677" s="11"/>
      <c r="L1677" s="11"/>
      <c r="M1677" s="11"/>
      <c r="N1677" s="11"/>
      <c r="O1677" s="11"/>
      <c r="P1677" s="43"/>
      <c r="Q1677" s="11"/>
      <c r="R1677" s="11"/>
      <c r="S1677" s="11"/>
      <c r="T1677" s="11"/>
      <c r="U1677" s="11"/>
      <c r="V1677" s="11"/>
      <c r="W1677" s="11"/>
      <c r="X1677" s="12"/>
      <c r="Y1677" s="12"/>
      <c r="Z1677" s="12"/>
      <c r="AA1677" s="44"/>
      <c r="AB1677" s="45"/>
      <c r="AC1677" s="12"/>
      <c r="AD1677" s="12"/>
      <c r="AE1677" s="12"/>
      <c r="AF1677" s="12"/>
      <c r="AG1677" s="44"/>
      <c r="AH1677" s="45"/>
      <c r="AI1677" s="12"/>
      <c r="AJ1677" s="12"/>
      <c r="AK1677" s="12"/>
      <c r="AL1677" s="12"/>
      <c r="AM1677" s="44"/>
      <c r="AN1677" s="45"/>
      <c r="AO1677" s="12"/>
      <c r="AP1677" s="12"/>
      <c r="AQ1677" s="12"/>
      <c r="AR1677" s="12"/>
      <c r="AS1677" s="44"/>
      <c r="AT1677" s="45"/>
      <c r="AU1677" s="12"/>
      <c r="AV1677" s="12"/>
      <c r="AW1677" s="12"/>
      <c r="AX1677" s="12"/>
      <c r="AY1677" s="44"/>
      <c r="AZ1677" s="45"/>
      <c r="BA1677" s="12"/>
      <c r="BB1677" s="12"/>
      <c r="BC1677" s="12"/>
      <c r="BD1677" s="12"/>
      <c r="BE1677" s="44"/>
      <c r="BF1677" s="45"/>
      <c r="BG1677" s="12"/>
      <c r="BH1677" s="12"/>
      <c r="BI1677" s="12"/>
      <c r="BJ1677" s="12"/>
      <c r="BK1677" s="44"/>
      <c r="BL1677" s="45"/>
      <c r="BM1677" s="12"/>
      <c r="BN1677" s="12"/>
      <c r="BO1677" s="12"/>
      <c r="BP1677" s="12"/>
      <c r="BQ1677" s="48"/>
      <c r="BR1677" s="49"/>
      <c r="BS1677" s="13"/>
      <c r="BT1677" s="12"/>
      <c r="BV1677" s="14"/>
      <c r="BW1677" s="50"/>
      <c r="BX1677" s="54"/>
      <c r="BY1677" s="14"/>
      <c r="BZ1677" s="14"/>
      <c r="CA1677" s="14"/>
      <c r="CB1677" s="14"/>
      <c r="CC1677" s="14"/>
      <c r="CD1677" s="14"/>
      <c r="CE1677" s="14"/>
      <c r="CF1677" s="15"/>
      <c r="CG1677" s="14"/>
      <c r="CH1677" s="14"/>
      <c r="CI1677" s="50"/>
      <c r="CJ1677" s="54"/>
      <c r="CK1677" s="14"/>
      <c r="CL1677" s="14"/>
      <c r="CM1677" s="14"/>
      <c r="CN1677" s="14"/>
      <c r="CO1677" s="14"/>
      <c r="CP1677" s="14"/>
      <c r="CQ1677" s="14"/>
      <c r="CR1677" s="14"/>
      <c r="CS1677" s="14"/>
      <c r="CT1677" s="14"/>
      <c r="CU1677" s="16"/>
      <c r="CV1677" s="14"/>
      <c r="CW1677" s="50"/>
      <c r="CX1677" s="17"/>
    </row>
    <row r="1678" spans="4:102" x14ac:dyDescent="0.25">
      <c r="D1678" s="11"/>
      <c r="E1678" s="11"/>
      <c r="F1678" s="11"/>
      <c r="G1678" s="11"/>
      <c r="H1678" s="11"/>
      <c r="I1678" s="11"/>
      <c r="J1678" s="11"/>
      <c r="K1678" s="11"/>
      <c r="L1678" s="11"/>
      <c r="M1678" s="11"/>
      <c r="N1678" s="11"/>
      <c r="O1678" s="11"/>
      <c r="P1678" s="43"/>
      <c r="Q1678" s="11"/>
      <c r="R1678" s="11"/>
      <c r="S1678" s="11"/>
      <c r="T1678" s="11"/>
      <c r="U1678" s="11"/>
      <c r="V1678" s="11"/>
      <c r="W1678" s="11"/>
      <c r="X1678" s="12"/>
      <c r="Y1678" s="12"/>
      <c r="Z1678" s="12"/>
      <c r="AA1678" s="44"/>
      <c r="AB1678" s="45"/>
      <c r="AC1678" s="12"/>
      <c r="AD1678" s="12"/>
      <c r="AE1678" s="12"/>
      <c r="AF1678" s="12"/>
      <c r="AG1678" s="44"/>
      <c r="AH1678" s="45"/>
      <c r="AI1678" s="12"/>
      <c r="AJ1678" s="12"/>
      <c r="AK1678" s="12"/>
      <c r="AL1678" s="12"/>
      <c r="AM1678" s="44"/>
      <c r="AN1678" s="45"/>
      <c r="AO1678" s="12"/>
      <c r="AP1678" s="12"/>
      <c r="AQ1678" s="12"/>
      <c r="AR1678" s="12"/>
      <c r="AS1678" s="44"/>
      <c r="AT1678" s="45"/>
      <c r="AU1678" s="12"/>
      <c r="AV1678" s="12"/>
      <c r="AW1678" s="12"/>
      <c r="AX1678" s="12"/>
      <c r="AY1678" s="44"/>
      <c r="AZ1678" s="45"/>
      <c r="BA1678" s="12"/>
      <c r="BB1678" s="12"/>
      <c r="BC1678" s="12"/>
      <c r="BD1678" s="12"/>
      <c r="BE1678" s="44"/>
      <c r="BF1678" s="45"/>
      <c r="BG1678" s="12"/>
      <c r="BH1678" s="12"/>
      <c r="BI1678" s="12"/>
      <c r="BJ1678" s="12"/>
      <c r="BK1678" s="44"/>
      <c r="BL1678" s="45"/>
      <c r="BM1678" s="12"/>
      <c r="BN1678" s="12"/>
      <c r="BO1678" s="12"/>
      <c r="BP1678" s="12"/>
      <c r="BQ1678" s="48"/>
      <c r="BR1678" s="49"/>
      <c r="BS1678" s="13"/>
      <c r="BT1678" s="12"/>
      <c r="BV1678" s="14"/>
      <c r="BW1678" s="50"/>
      <c r="BX1678" s="54"/>
      <c r="BY1678" s="14"/>
      <c r="BZ1678" s="14"/>
      <c r="CA1678" s="14"/>
      <c r="CB1678" s="14"/>
      <c r="CC1678" s="14"/>
      <c r="CD1678" s="14"/>
      <c r="CE1678" s="14"/>
      <c r="CF1678" s="15"/>
      <c r="CG1678" s="14"/>
      <c r="CH1678" s="14"/>
      <c r="CI1678" s="50"/>
      <c r="CJ1678" s="54"/>
      <c r="CK1678" s="14"/>
      <c r="CL1678" s="14"/>
      <c r="CM1678" s="14"/>
      <c r="CN1678" s="14"/>
      <c r="CO1678" s="14"/>
      <c r="CP1678" s="14"/>
      <c r="CQ1678" s="14"/>
      <c r="CR1678" s="14"/>
      <c r="CS1678" s="14"/>
      <c r="CT1678" s="14"/>
      <c r="CU1678" s="16"/>
      <c r="CV1678" s="14"/>
      <c r="CW1678" s="50"/>
      <c r="CX1678" s="17"/>
    </row>
    <row r="1679" spans="4:102" x14ac:dyDescent="0.25">
      <c r="D1679" s="11"/>
      <c r="E1679" s="11"/>
      <c r="F1679" s="11"/>
      <c r="G1679" s="11"/>
      <c r="H1679" s="11"/>
      <c r="I1679" s="11"/>
      <c r="J1679" s="11"/>
      <c r="K1679" s="11"/>
      <c r="L1679" s="11"/>
      <c r="M1679" s="11"/>
      <c r="N1679" s="11"/>
      <c r="O1679" s="11"/>
      <c r="P1679" s="43"/>
      <c r="Q1679" s="11"/>
      <c r="R1679" s="11"/>
      <c r="S1679" s="11"/>
      <c r="T1679" s="11"/>
      <c r="U1679" s="11"/>
      <c r="V1679" s="11"/>
      <c r="W1679" s="11"/>
      <c r="X1679" s="12"/>
      <c r="Y1679" s="12"/>
      <c r="Z1679" s="12"/>
      <c r="AA1679" s="44"/>
      <c r="AB1679" s="45"/>
      <c r="AC1679" s="12"/>
      <c r="AD1679" s="12"/>
      <c r="AE1679" s="12"/>
      <c r="AF1679" s="12"/>
      <c r="AG1679" s="44"/>
      <c r="AH1679" s="45"/>
      <c r="AI1679" s="12"/>
      <c r="AJ1679" s="12"/>
      <c r="AK1679" s="12"/>
      <c r="AL1679" s="12"/>
      <c r="AM1679" s="44"/>
      <c r="AN1679" s="45"/>
      <c r="AO1679" s="12"/>
      <c r="AP1679" s="12"/>
      <c r="AQ1679" s="12"/>
      <c r="AR1679" s="12"/>
      <c r="AS1679" s="44"/>
      <c r="AT1679" s="45"/>
      <c r="AU1679" s="12"/>
      <c r="AV1679" s="12"/>
      <c r="AW1679" s="12"/>
      <c r="AX1679" s="12"/>
      <c r="AY1679" s="44"/>
      <c r="AZ1679" s="45"/>
      <c r="BA1679" s="12"/>
      <c r="BB1679" s="12"/>
      <c r="BC1679" s="12"/>
      <c r="BD1679" s="12"/>
      <c r="BE1679" s="44"/>
      <c r="BF1679" s="45"/>
      <c r="BG1679" s="12"/>
      <c r="BH1679" s="12"/>
      <c r="BI1679" s="12"/>
      <c r="BJ1679" s="12"/>
      <c r="BK1679" s="44"/>
      <c r="BL1679" s="45"/>
      <c r="BM1679" s="12"/>
      <c r="BN1679" s="12"/>
      <c r="BO1679" s="12"/>
      <c r="BP1679" s="12"/>
      <c r="BQ1679" s="48"/>
      <c r="BR1679" s="49"/>
      <c r="BS1679" s="13"/>
      <c r="BT1679" s="12"/>
      <c r="BV1679" s="14"/>
      <c r="BW1679" s="50"/>
      <c r="BX1679" s="54"/>
      <c r="BY1679" s="14"/>
      <c r="BZ1679" s="14"/>
      <c r="CA1679" s="14"/>
      <c r="CB1679" s="14"/>
      <c r="CC1679" s="14"/>
      <c r="CD1679" s="14"/>
      <c r="CE1679" s="14"/>
      <c r="CF1679" s="15"/>
      <c r="CG1679" s="14"/>
      <c r="CH1679" s="14"/>
      <c r="CI1679" s="50"/>
      <c r="CJ1679" s="54"/>
      <c r="CK1679" s="14"/>
      <c r="CL1679" s="14"/>
      <c r="CM1679" s="14"/>
      <c r="CN1679" s="14"/>
      <c r="CO1679" s="14"/>
      <c r="CP1679" s="14"/>
      <c r="CQ1679" s="14"/>
      <c r="CR1679" s="14"/>
      <c r="CS1679" s="14"/>
      <c r="CT1679" s="14"/>
      <c r="CU1679" s="16"/>
      <c r="CV1679" s="14"/>
      <c r="CW1679" s="50"/>
      <c r="CX1679" s="17"/>
    </row>
    <row r="1680" spans="4:102" x14ac:dyDescent="0.25">
      <c r="D1680" s="11"/>
      <c r="E1680" s="11"/>
      <c r="F1680" s="11"/>
      <c r="G1680" s="11"/>
      <c r="H1680" s="11"/>
      <c r="I1680" s="11"/>
      <c r="J1680" s="11"/>
      <c r="K1680" s="11"/>
      <c r="L1680" s="11"/>
      <c r="M1680" s="11"/>
      <c r="N1680" s="11"/>
      <c r="O1680" s="11"/>
      <c r="P1680" s="43"/>
      <c r="Q1680" s="11"/>
      <c r="R1680" s="11"/>
      <c r="S1680" s="11"/>
      <c r="T1680" s="11"/>
      <c r="U1680" s="11"/>
      <c r="V1680" s="11"/>
      <c r="W1680" s="11"/>
      <c r="X1680" s="12"/>
      <c r="Y1680" s="12"/>
      <c r="Z1680" s="12"/>
      <c r="AA1680" s="44"/>
      <c r="AB1680" s="45"/>
      <c r="AC1680" s="12"/>
      <c r="AD1680" s="12"/>
      <c r="AE1680" s="12"/>
      <c r="AF1680" s="12"/>
      <c r="AG1680" s="44"/>
      <c r="AH1680" s="45"/>
      <c r="AI1680" s="12"/>
      <c r="AJ1680" s="12"/>
      <c r="AK1680" s="12"/>
      <c r="AL1680" s="12"/>
      <c r="AM1680" s="44"/>
      <c r="AN1680" s="45"/>
      <c r="AO1680" s="12"/>
      <c r="AP1680" s="12"/>
      <c r="AQ1680" s="12"/>
      <c r="AR1680" s="12"/>
      <c r="AS1680" s="44"/>
      <c r="AT1680" s="45"/>
      <c r="AU1680" s="12"/>
      <c r="AV1680" s="12"/>
      <c r="AW1680" s="12"/>
      <c r="AX1680" s="12"/>
      <c r="AY1680" s="44"/>
      <c r="AZ1680" s="45"/>
      <c r="BA1680" s="12"/>
      <c r="BB1680" s="12"/>
      <c r="BC1680" s="12"/>
      <c r="BD1680" s="12"/>
      <c r="BE1680" s="44"/>
      <c r="BF1680" s="45"/>
      <c r="BG1680" s="12"/>
      <c r="BH1680" s="12"/>
      <c r="BI1680" s="12"/>
      <c r="BJ1680" s="12"/>
      <c r="BK1680" s="44"/>
      <c r="BL1680" s="45"/>
      <c r="BM1680" s="12"/>
      <c r="BN1680" s="12"/>
      <c r="BO1680" s="12"/>
      <c r="BP1680" s="12"/>
      <c r="BQ1680" s="48"/>
      <c r="BR1680" s="49"/>
      <c r="BS1680" s="13"/>
      <c r="BT1680" s="12"/>
      <c r="BV1680" s="14"/>
      <c r="BW1680" s="50"/>
      <c r="BX1680" s="54"/>
      <c r="BY1680" s="14"/>
      <c r="BZ1680" s="14"/>
      <c r="CA1680" s="14"/>
      <c r="CB1680" s="14"/>
      <c r="CC1680" s="14"/>
      <c r="CD1680" s="14"/>
      <c r="CE1680" s="14"/>
      <c r="CF1680" s="15"/>
      <c r="CG1680" s="14"/>
      <c r="CH1680" s="14"/>
      <c r="CI1680" s="50"/>
      <c r="CJ1680" s="54"/>
      <c r="CK1680" s="14"/>
      <c r="CL1680" s="14"/>
      <c r="CM1680" s="14"/>
      <c r="CN1680" s="14"/>
      <c r="CO1680" s="14"/>
      <c r="CP1680" s="14"/>
      <c r="CQ1680" s="14"/>
      <c r="CR1680" s="14"/>
      <c r="CS1680" s="14"/>
      <c r="CT1680" s="14"/>
      <c r="CU1680" s="16"/>
      <c r="CV1680" s="14"/>
      <c r="CW1680" s="50"/>
      <c r="CX1680" s="17"/>
    </row>
    <row r="1681" spans="4:102" x14ac:dyDescent="0.25">
      <c r="D1681" s="11"/>
      <c r="E1681" s="11"/>
      <c r="F1681" s="11"/>
      <c r="G1681" s="11"/>
      <c r="H1681" s="11"/>
      <c r="I1681" s="11"/>
      <c r="J1681" s="11"/>
      <c r="K1681" s="11"/>
      <c r="L1681" s="11"/>
      <c r="M1681" s="11"/>
      <c r="N1681" s="11"/>
      <c r="O1681" s="11"/>
      <c r="P1681" s="43"/>
      <c r="Q1681" s="11"/>
      <c r="R1681" s="11"/>
      <c r="S1681" s="11"/>
      <c r="T1681" s="11"/>
      <c r="U1681" s="11"/>
      <c r="V1681" s="11"/>
      <c r="W1681" s="11"/>
      <c r="X1681" s="12"/>
      <c r="Y1681" s="12"/>
      <c r="Z1681" s="12"/>
      <c r="AA1681" s="44"/>
      <c r="AB1681" s="45"/>
      <c r="AC1681" s="12"/>
      <c r="AD1681" s="12"/>
      <c r="AE1681" s="12"/>
      <c r="AF1681" s="12"/>
      <c r="AG1681" s="44"/>
      <c r="AH1681" s="45"/>
      <c r="AI1681" s="12"/>
      <c r="AJ1681" s="12"/>
      <c r="AK1681" s="12"/>
      <c r="AL1681" s="12"/>
      <c r="AM1681" s="44"/>
      <c r="AN1681" s="45"/>
      <c r="AO1681" s="12"/>
      <c r="AP1681" s="12"/>
      <c r="AQ1681" s="12"/>
      <c r="AR1681" s="12"/>
      <c r="AS1681" s="44"/>
      <c r="AT1681" s="45"/>
      <c r="AU1681" s="12"/>
      <c r="AV1681" s="12"/>
      <c r="AW1681" s="12"/>
      <c r="AX1681" s="12"/>
      <c r="AY1681" s="44"/>
      <c r="AZ1681" s="45"/>
      <c r="BA1681" s="12"/>
      <c r="BB1681" s="12"/>
      <c r="BC1681" s="12"/>
      <c r="BD1681" s="12"/>
      <c r="BE1681" s="44"/>
      <c r="BF1681" s="45"/>
      <c r="BG1681" s="12"/>
      <c r="BH1681" s="12"/>
      <c r="BI1681" s="12"/>
      <c r="BJ1681" s="12"/>
      <c r="BK1681" s="44"/>
      <c r="BL1681" s="45"/>
      <c r="BM1681" s="12"/>
      <c r="BN1681" s="12"/>
      <c r="BO1681" s="12"/>
      <c r="BP1681" s="12"/>
      <c r="BQ1681" s="48"/>
      <c r="BR1681" s="49"/>
      <c r="BS1681" s="13"/>
      <c r="BT1681" s="12"/>
      <c r="BV1681" s="14"/>
      <c r="BW1681" s="50"/>
      <c r="BX1681" s="54"/>
      <c r="BY1681" s="14"/>
      <c r="BZ1681" s="14"/>
      <c r="CA1681" s="14"/>
      <c r="CB1681" s="14"/>
      <c r="CC1681" s="14"/>
      <c r="CD1681" s="14"/>
      <c r="CE1681" s="14"/>
      <c r="CF1681" s="15"/>
      <c r="CG1681" s="14"/>
      <c r="CH1681" s="14"/>
      <c r="CI1681" s="50"/>
      <c r="CJ1681" s="54"/>
      <c r="CK1681" s="14"/>
      <c r="CL1681" s="14"/>
      <c r="CM1681" s="14"/>
      <c r="CN1681" s="14"/>
      <c r="CO1681" s="14"/>
      <c r="CP1681" s="14"/>
      <c r="CQ1681" s="14"/>
      <c r="CR1681" s="14"/>
      <c r="CS1681" s="14"/>
      <c r="CT1681" s="14"/>
      <c r="CU1681" s="16"/>
      <c r="CV1681" s="14"/>
      <c r="CW1681" s="50"/>
      <c r="CX1681" s="17"/>
    </row>
    <row r="1682" spans="4:102" x14ac:dyDescent="0.25">
      <c r="D1682" s="11"/>
      <c r="E1682" s="11"/>
      <c r="F1682" s="11"/>
      <c r="G1682" s="11"/>
      <c r="H1682" s="11"/>
      <c r="I1682" s="11"/>
      <c r="J1682" s="11"/>
      <c r="K1682" s="11"/>
      <c r="L1682" s="11"/>
      <c r="M1682" s="11"/>
      <c r="N1682" s="11"/>
      <c r="O1682" s="11"/>
      <c r="P1682" s="43"/>
      <c r="Q1682" s="11"/>
      <c r="R1682" s="11"/>
      <c r="S1682" s="11"/>
      <c r="T1682" s="11"/>
      <c r="U1682" s="11"/>
      <c r="V1682" s="11"/>
      <c r="W1682" s="11"/>
      <c r="X1682" s="12"/>
      <c r="Y1682" s="12"/>
      <c r="Z1682" s="12"/>
      <c r="AA1682" s="44"/>
      <c r="AB1682" s="45"/>
      <c r="AC1682" s="12"/>
      <c r="AD1682" s="12"/>
      <c r="AE1682" s="12"/>
      <c r="AF1682" s="12"/>
      <c r="AG1682" s="44"/>
      <c r="AH1682" s="45"/>
      <c r="AI1682" s="12"/>
      <c r="AJ1682" s="12"/>
      <c r="AK1682" s="12"/>
      <c r="AL1682" s="12"/>
      <c r="AM1682" s="44"/>
      <c r="AN1682" s="45"/>
      <c r="AO1682" s="12"/>
      <c r="AP1682" s="12"/>
      <c r="AQ1682" s="12"/>
      <c r="AR1682" s="12"/>
      <c r="AS1682" s="44"/>
      <c r="AT1682" s="45"/>
      <c r="AU1682" s="12"/>
      <c r="AV1682" s="12"/>
      <c r="AW1682" s="12"/>
      <c r="AX1682" s="12"/>
      <c r="AY1682" s="44"/>
      <c r="AZ1682" s="45"/>
      <c r="BA1682" s="12"/>
      <c r="BB1682" s="12"/>
      <c r="BC1682" s="12"/>
      <c r="BD1682" s="12"/>
      <c r="BE1682" s="44"/>
      <c r="BF1682" s="45"/>
      <c r="BG1682" s="12"/>
      <c r="BH1682" s="12"/>
      <c r="BI1682" s="12"/>
      <c r="BJ1682" s="12"/>
      <c r="BK1682" s="44"/>
      <c r="BL1682" s="45"/>
      <c r="BM1682" s="12"/>
      <c r="BN1682" s="12"/>
      <c r="BO1682" s="12"/>
      <c r="BP1682" s="12"/>
      <c r="BQ1682" s="48"/>
      <c r="BR1682" s="49"/>
      <c r="BS1682" s="13"/>
      <c r="BT1682" s="12"/>
      <c r="BV1682" s="14"/>
      <c r="BW1682" s="50"/>
      <c r="BX1682" s="54"/>
      <c r="BY1682" s="14"/>
      <c r="BZ1682" s="14"/>
      <c r="CA1682" s="14"/>
      <c r="CB1682" s="14"/>
      <c r="CC1682" s="14"/>
      <c r="CD1682" s="14"/>
      <c r="CE1682" s="14"/>
      <c r="CF1682" s="15"/>
      <c r="CG1682" s="14"/>
      <c r="CH1682" s="14"/>
      <c r="CI1682" s="50"/>
      <c r="CJ1682" s="54"/>
      <c r="CK1682" s="14"/>
      <c r="CL1682" s="14"/>
      <c r="CM1682" s="14"/>
      <c r="CN1682" s="14"/>
      <c r="CO1682" s="14"/>
      <c r="CP1682" s="14"/>
      <c r="CQ1682" s="14"/>
      <c r="CR1682" s="14"/>
      <c r="CS1682" s="14"/>
      <c r="CT1682" s="14"/>
      <c r="CU1682" s="16"/>
      <c r="CV1682" s="14"/>
      <c r="CW1682" s="50"/>
      <c r="CX1682" s="17"/>
    </row>
    <row r="1683" spans="4:102" x14ac:dyDescent="0.25">
      <c r="D1683" s="11"/>
      <c r="E1683" s="11"/>
      <c r="F1683" s="11"/>
      <c r="G1683" s="11"/>
      <c r="H1683" s="11"/>
      <c r="I1683" s="11"/>
      <c r="J1683" s="11"/>
      <c r="K1683" s="11"/>
      <c r="L1683" s="11"/>
      <c r="M1683" s="11"/>
      <c r="N1683" s="11"/>
      <c r="O1683" s="11"/>
      <c r="P1683" s="43"/>
      <c r="Q1683" s="11"/>
      <c r="R1683" s="11"/>
      <c r="S1683" s="11"/>
      <c r="T1683" s="11"/>
      <c r="U1683" s="11"/>
      <c r="V1683" s="11"/>
      <c r="W1683" s="11"/>
      <c r="X1683" s="12"/>
      <c r="Y1683" s="12"/>
      <c r="Z1683" s="12"/>
      <c r="AA1683" s="44"/>
      <c r="AB1683" s="45"/>
      <c r="AC1683" s="12"/>
      <c r="AD1683" s="12"/>
      <c r="AE1683" s="12"/>
      <c r="AF1683" s="12"/>
      <c r="AG1683" s="44"/>
      <c r="AH1683" s="45"/>
      <c r="AI1683" s="12"/>
      <c r="AJ1683" s="12"/>
      <c r="AK1683" s="12"/>
      <c r="AL1683" s="12"/>
      <c r="AM1683" s="44"/>
      <c r="AN1683" s="45"/>
      <c r="AO1683" s="12"/>
      <c r="AP1683" s="12"/>
      <c r="AQ1683" s="12"/>
      <c r="AR1683" s="12"/>
      <c r="AS1683" s="44"/>
      <c r="AT1683" s="45"/>
      <c r="AU1683" s="12"/>
      <c r="AV1683" s="12"/>
      <c r="AW1683" s="12"/>
      <c r="AX1683" s="12"/>
      <c r="AY1683" s="44"/>
      <c r="AZ1683" s="45"/>
      <c r="BA1683" s="12"/>
      <c r="BB1683" s="12"/>
      <c r="BC1683" s="12"/>
      <c r="BD1683" s="12"/>
      <c r="BE1683" s="44"/>
      <c r="BF1683" s="45"/>
      <c r="BG1683" s="12"/>
      <c r="BH1683" s="12"/>
      <c r="BI1683" s="12"/>
      <c r="BJ1683" s="12"/>
      <c r="BK1683" s="44"/>
      <c r="BL1683" s="45"/>
      <c r="BM1683" s="12"/>
      <c r="BN1683" s="12"/>
      <c r="BO1683" s="12"/>
      <c r="BP1683" s="12"/>
      <c r="BQ1683" s="48"/>
      <c r="BR1683" s="49"/>
      <c r="BS1683" s="13"/>
      <c r="BT1683" s="12"/>
      <c r="BV1683" s="14"/>
      <c r="BW1683" s="50"/>
      <c r="BX1683" s="54"/>
      <c r="BY1683" s="14"/>
      <c r="BZ1683" s="14"/>
      <c r="CA1683" s="14"/>
      <c r="CB1683" s="14"/>
      <c r="CC1683" s="14"/>
      <c r="CD1683" s="14"/>
      <c r="CE1683" s="14"/>
      <c r="CF1683" s="15"/>
      <c r="CG1683" s="14"/>
      <c r="CH1683" s="14"/>
      <c r="CI1683" s="50"/>
      <c r="CJ1683" s="54"/>
      <c r="CK1683" s="14"/>
      <c r="CL1683" s="14"/>
      <c r="CM1683" s="14"/>
      <c r="CN1683" s="14"/>
      <c r="CO1683" s="14"/>
      <c r="CP1683" s="14"/>
      <c r="CQ1683" s="14"/>
      <c r="CR1683" s="14"/>
      <c r="CS1683" s="14"/>
      <c r="CT1683" s="14"/>
      <c r="CU1683" s="16"/>
      <c r="CV1683" s="14"/>
      <c r="CW1683" s="50"/>
      <c r="CX1683" s="17"/>
    </row>
    <row r="1684" spans="4:102" x14ac:dyDescent="0.25">
      <c r="D1684" s="11"/>
      <c r="E1684" s="11"/>
      <c r="F1684" s="11"/>
      <c r="G1684" s="11"/>
      <c r="H1684" s="11"/>
      <c r="I1684" s="11"/>
      <c r="J1684" s="11"/>
      <c r="K1684" s="11"/>
      <c r="L1684" s="11"/>
      <c r="M1684" s="11"/>
      <c r="N1684" s="11"/>
      <c r="O1684" s="11"/>
      <c r="P1684" s="43"/>
      <c r="Q1684" s="11"/>
      <c r="R1684" s="11"/>
      <c r="S1684" s="11"/>
      <c r="T1684" s="11"/>
      <c r="U1684" s="11"/>
      <c r="V1684" s="11"/>
      <c r="W1684" s="11"/>
      <c r="X1684" s="12"/>
      <c r="Y1684" s="12"/>
      <c r="Z1684" s="12"/>
      <c r="AA1684" s="44"/>
      <c r="AB1684" s="45"/>
      <c r="AC1684" s="12"/>
      <c r="AD1684" s="12"/>
      <c r="AE1684" s="12"/>
      <c r="AF1684" s="12"/>
      <c r="AG1684" s="44"/>
      <c r="AH1684" s="45"/>
      <c r="AI1684" s="12"/>
      <c r="AJ1684" s="12"/>
      <c r="AK1684" s="12"/>
      <c r="AL1684" s="12"/>
      <c r="AM1684" s="44"/>
      <c r="AN1684" s="45"/>
      <c r="AO1684" s="12"/>
      <c r="AP1684" s="12"/>
      <c r="AQ1684" s="12"/>
      <c r="AR1684" s="12"/>
      <c r="AS1684" s="44"/>
      <c r="AT1684" s="45"/>
      <c r="AU1684" s="12"/>
      <c r="AV1684" s="12"/>
      <c r="AW1684" s="12"/>
      <c r="AX1684" s="12"/>
      <c r="AY1684" s="44"/>
      <c r="AZ1684" s="45"/>
      <c r="BA1684" s="12"/>
      <c r="BB1684" s="12"/>
      <c r="BC1684" s="12"/>
      <c r="BD1684" s="12"/>
      <c r="BE1684" s="44"/>
      <c r="BF1684" s="45"/>
      <c r="BG1684" s="12"/>
      <c r="BH1684" s="12"/>
      <c r="BI1684" s="12"/>
      <c r="BJ1684" s="12"/>
      <c r="BK1684" s="44"/>
      <c r="BL1684" s="45"/>
      <c r="BM1684" s="12"/>
      <c r="BN1684" s="12"/>
      <c r="BO1684" s="12"/>
      <c r="BP1684" s="12"/>
      <c r="BQ1684" s="48"/>
      <c r="BR1684" s="49"/>
      <c r="BS1684" s="13"/>
      <c r="BT1684" s="12"/>
      <c r="BV1684" s="14"/>
      <c r="BW1684" s="50"/>
      <c r="BX1684" s="54"/>
      <c r="BY1684" s="14"/>
      <c r="BZ1684" s="14"/>
      <c r="CA1684" s="14"/>
      <c r="CB1684" s="14"/>
      <c r="CC1684" s="14"/>
      <c r="CD1684" s="14"/>
      <c r="CE1684" s="14"/>
      <c r="CF1684" s="15"/>
      <c r="CG1684" s="14"/>
      <c r="CH1684" s="14"/>
      <c r="CI1684" s="50"/>
      <c r="CJ1684" s="54"/>
      <c r="CK1684" s="14"/>
      <c r="CL1684" s="14"/>
      <c r="CM1684" s="14"/>
      <c r="CN1684" s="14"/>
      <c r="CO1684" s="14"/>
      <c r="CP1684" s="14"/>
      <c r="CQ1684" s="14"/>
      <c r="CR1684" s="14"/>
      <c r="CS1684" s="14"/>
      <c r="CT1684" s="14"/>
      <c r="CU1684" s="16"/>
      <c r="CV1684" s="14"/>
      <c r="CW1684" s="50"/>
      <c r="CX1684" s="17"/>
    </row>
    <row r="1685" spans="4:102" x14ac:dyDescent="0.25">
      <c r="D1685" s="11"/>
      <c r="E1685" s="11"/>
      <c r="F1685" s="11"/>
      <c r="G1685" s="11"/>
      <c r="H1685" s="11"/>
      <c r="I1685" s="11"/>
      <c r="J1685" s="11"/>
      <c r="K1685" s="11"/>
      <c r="L1685" s="11"/>
      <c r="M1685" s="11"/>
      <c r="N1685" s="11"/>
      <c r="O1685" s="11"/>
      <c r="P1685" s="43"/>
      <c r="Q1685" s="11"/>
      <c r="R1685" s="11"/>
      <c r="S1685" s="11"/>
      <c r="T1685" s="11"/>
      <c r="U1685" s="11"/>
      <c r="V1685" s="11"/>
      <c r="W1685" s="11"/>
      <c r="X1685" s="12"/>
      <c r="Y1685" s="12"/>
      <c r="Z1685" s="12"/>
      <c r="AA1685" s="44"/>
      <c r="AB1685" s="45"/>
      <c r="AC1685" s="12"/>
      <c r="AD1685" s="12"/>
      <c r="AE1685" s="12"/>
      <c r="AF1685" s="12"/>
      <c r="AG1685" s="44"/>
      <c r="AH1685" s="45"/>
      <c r="AI1685" s="12"/>
      <c r="AJ1685" s="12"/>
      <c r="AK1685" s="12"/>
      <c r="AL1685" s="12"/>
      <c r="AM1685" s="44"/>
      <c r="AN1685" s="45"/>
      <c r="AO1685" s="12"/>
      <c r="AP1685" s="12"/>
      <c r="AQ1685" s="12"/>
      <c r="AR1685" s="12"/>
      <c r="AS1685" s="44"/>
      <c r="AT1685" s="45"/>
      <c r="AU1685" s="12"/>
      <c r="AV1685" s="12"/>
      <c r="AW1685" s="12"/>
      <c r="AX1685" s="12"/>
      <c r="AY1685" s="44"/>
      <c r="AZ1685" s="45"/>
      <c r="BA1685" s="12"/>
      <c r="BB1685" s="12"/>
      <c r="BC1685" s="12"/>
      <c r="BD1685" s="12"/>
      <c r="BE1685" s="44"/>
      <c r="BF1685" s="45"/>
      <c r="BG1685" s="12"/>
      <c r="BH1685" s="12"/>
      <c r="BI1685" s="12"/>
      <c r="BJ1685" s="12"/>
      <c r="BK1685" s="44"/>
      <c r="BL1685" s="45"/>
      <c r="BM1685" s="12"/>
      <c r="BN1685" s="12"/>
      <c r="BO1685" s="12"/>
      <c r="BP1685" s="12"/>
      <c r="BQ1685" s="48"/>
      <c r="BR1685" s="49"/>
      <c r="BS1685" s="13"/>
      <c r="BT1685" s="12"/>
      <c r="BV1685" s="14"/>
      <c r="BW1685" s="50"/>
      <c r="BX1685" s="54"/>
      <c r="BY1685" s="14"/>
      <c r="BZ1685" s="14"/>
      <c r="CA1685" s="14"/>
      <c r="CB1685" s="14"/>
      <c r="CC1685" s="14"/>
      <c r="CD1685" s="14"/>
      <c r="CE1685" s="14"/>
      <c r="CF1685" s="15"/>
      <c r="CG1685" s="14"/>
      <c r="CH1685" s="14"/>
      <c r="CI1685" s="50"/>
      <c r="CJ1685" s="54"/>
      <c r="CK1685" s="14"/>
      <c r="CL1685" s="14"/>
      <c r="CM1685" s="14"/>
      <c r="CN1685" s="14"/>
      <c r="CO1685" s="14"/>
      <c r="CP1685" s="14"/>
      <c r="CQ1685" s="14"/>
      <c r="CR1685" s="14"/>
      <c r="CS1685" s="14"/>
      <c r="CT1685" s="14"/>
      <c r="CU1685" s="16"/>
      <c r="CV1685" s="14"/>
      <c r="CW1685" s="50"/>
      <c r="CX1685" s="17"/>
    </row>
    <row r="1686" spans="4:102" x14ac:dyDescent="0.25">
      <c r="D1686" s="11"/>
      <c r="E1686" s="11"/>
      <c r="F1686" s="11"/>
      <c r="G1686" s="11"/>
      <c r="H1686" s="11"/>
      <c r="I1686" s="11"/>
      <c r="J1686" s="11"/>
      <c r="K1686" s="11"/>
      <c r="L1686" s="11"/>
      <c r="M1686" s="11"/>
      <c r="N1686" s="11"/>
      <c r="O1686" s="11"/>
      <c r="P1686" s="43"/>
      <c r="Q1686" s="11"/>
      <c r="R1686" s="11"/>
      <c r="S1686" s="11"/>
      <c r="T1686" s="11"/>
      <c r="U1686" s="11"/>
      <c r="V1686" s="11"/>
      <c r="W1686" s="11"/>
      <c r="X1686" s="12"/>
      <c r="Y1686" s="12"/>
      <c r="Z1686" s="12"/>
      <c r="AA1686" s="44"/>
      <c r="AB1686" s="45"/>
      <c r="AC1686" s="12"/>
      <c r="AD1686" s="12"/>
      <c r="AE1686" s="12"/>
      <c r="AF1686" s="12"/>
      <c r="AG1686" s="44"/>
      <c r="AH1686" s="45"/>
      <c r="AI1686" s="12"/>
      <c r="AJ1686" s="12"/>
      <c r="AK1686" s="12"/>
      <c r="AL1686" s="12"/>
      <c r="AM1686" s="44"/>
      <c r="AN1686" s="45"/>
      <c r="AO1686" s="12"/>
      <c r="AP1686" s="12"/>
      <c r="AQ1686" s="12"/>
      <c r="AR1686" s="12"/>
      <c r="AS1686" s="44"/>
      <c r="AT1686" s="45"/>
      <c r="AU1686" s="12"/>
      <c r="AV1686" s="12"/>
      <c r="AW1686" s="12"/>
      <c r="AX1686" s="12"/>
      <c r="AY1686" s="44"/>
      <c r="AZ1686" s="45"/>
      <c r="BA1686" s="12"/>
      <c r="BB1686" s="12"/>
      <c r="BC1686" s="12"/>
      <c r="BD1686" s="12"/>
      <c r="BE1686" s="44"/>
      <c r="BF1686" s="45"/>
      <c r="BG1686" s="12"/>
      <c r="BH1686" s="12"/>
      <c r="BI1686" s="12"/>
      <c r="BJ1686" s="12"/>
      <c r="BK1686" s="44"/>
      <c r="BL1686" s="45"/>
      <c r="BM1686" s="12"/>
      <c r="BN1686" s="12"/>
      <c r="BO1686" s="12"/>
      <c r="BP1686" s="12"/>
      <c r="BQ1686" s="48"/>
      <c r="BR1686" s="49"/>
      <c r="BS1686" s="13"/>
      <c r="BT1686" s="12"/>
      <c r="BV1686" s="14"/>
      <c r="BW1686" s="50"/>
      <c r="BX1686" s="54"/>
      <c r="BY1686" s="14"/>
      <c r="BZ1686" s="14"/>
      <c r="CA1686" s="14"/>
      <c r="CB1686" s="14"/>
      <c r="CC1686" s="14"/>
      <c r="CD1686" s="14"/>
      <c r="CE1686" s="14"/>
      <c r="CF1686" s="15"/>
      <c r="CG1686" s="14"/>
      <c r="CH1686" s="14"/>
      <c r="CI1686" s="50"/>
      <c r="CJ1686" s="54"/>
      <c r="CK1686" s="14"/>
      <c r="CL1686" s="14"/>
      <c r="CM1686" s="14"/>
      <c r="CN1686" s="14"/>
      <c r="CO1686" s="14"/>
      <c r="CP1686" s="14"/>
      <c r="CQ1686" s="14"/>
      <c r="CR1686" s="14"/>
      <c r="CS1686" s="14"/>
      <c r="CT1686" s="14"/>
      <c r="CU1686" s="16"/>
      <c r="CV1686" s="14"/>
      <c r="CW1686" s="50"/>
      <c r="CX1686" s="17"/>
    </row>
    <row r="1687" spans="4:102" x14ac:dyDescent="0.25">
      <c r="D1687" s="11"/>
      <c r="E1687" s="11"/>
      <c r="F1687" s="11"/>
      <c r="G1687" s="11"/>
      <c r="H1687" s="11"/>
      <c r="I1687" s="11"/>
      <c r="J1687" s="11"/>
      <c r="K1687" s="11"/>
      <c r="L1687" s="11"/>
      <c r="M1687" s="11"/>
      <c r="N1687" s="11"/>
      <c r="O1687" s="11"/>
      <c r="P1687" s="43"/>
      <c r="Q1687" s="11"/>
      <c r="R1687" s="11"/>
      <c r="S1687" s="11"/>
      <c r="T1687" s="11"/>
      <c r="U1687" s="11"/>
      <c r="V1687" s="11"/>
      <c r="W1687" s="11"/>
      <c r="X1687" s="12"/>
      <c r="Y1687" s="12"/>
      <c r="Z1687" s="12"/>
      <c r="AA1687" s="44"/>
      <c r="AB1687" s="45"/>
      <c r="AC1687" s="12"/>
      <c r="AD1687" s="12"/>
      <c r="AE1687" s="12"/>
      <c r="AF1687" s="12"/>
      <c r="AG1687" s="44"/>
      <c r="AH1687" s="45"/>
      <c r="AI1687" s="12"/>
      <c r="AJ1687" s="12"/>
      <c r="AK1687" s="12"/>
      <c r="AL1687" s="12"/>
      <c r="AM1687" s="44"/>
      <c r="AN1687" s="45"/>
      <c r="AO1687" s="12"/>
      <c r="AP1687" s="12"/>
      <c r="AQ1687" s="12"/>
      <c r="AR1687" s="12"/>
      <c r="AS1687" s="44"/>
      <c r="AT1687" s="45"/>
      <c r="AU1687" s="12"/>
      <c r="AV1687" s="12"/>
      <c r="AW1687" s="12"/>
      <c r="AX1687" s="12"/>
      <c r="AY1687" s="44"/>
      <c r="AZ1687" s="45"/>
      <c r="BA1687" s="12"/>
      <c r="BB1687" s="12"/>
      <c r="BC1687" s="12"/>
      <c r="BD1687" s="12"/>
      <c r="BE1687" s="44"/>
      <c r="BF1687" s="45"/>
      <c r="BG1687" s="12"/>
      <c r="BH1687" s="12"/>
      <c r="BI1687" s="12"/>
      <c r="BJ1687" s="12"/>
      <c r="BK1687" s="44"/>
      <c r="BL1687" s="45"/>
      <c r="BM1687" s="12"/>
      <c r="BN1687" s="12"/>
      <c r="BO1687" s="12"/>
      <c r="BP1687" s="12"/>
      <c r="BQ1687" s="48"/>
      <c r="BR1687" s="49"/>
      <c r="BS1687" s="13"/>
      <c r="BT1687" s="12"/>
      <c r="BV1687" s="14"/>
      <c r="BW1687" s="50"/>
      <c r="BX1687" s="54"/>
      <c r="BY1687" s="14"/>
      <c r="BZ1687" s="14"/>
      <c r="CA1687" s="14"/>
      <c r="CB1687" s="14"/>
      <c r="CC1687" s="14"/>
      <c r="CD1687" s="14"/>
      <c r="CE1687" s="14"/>
      <c r="CF1687" s="15"/>
      <c r="CG1687" s="14"/>
      <c r="CH1687" s="14"/>
      <c r="CI1687" s="50"/>
      <c r="CJ1687" s="54"/>
      <c r="CK1687" s="14"/>
      <c r="CL1687" s="14"/>
      <c r="CM1687" s="14"/>
      <c r="CN1687" s="14"/>
      <c r="CO1687" s="14"/>
      <c r="CP1687" s="14"/>
      <c r="CQ1687" s="14"/>
      <c r="CR1687" s="14"/>
      <c r="CS1687" s="14"/>
      <c r="CT1687" s="14"/>
      <c r="CU1687" s="16"/>
      <c r="CV1687" s="14"/>
      <c r="CW1687" s="50"/>
      <c r="CX1687" s="17"/>
    </row>
    <row r="1688" spans="4:102" x14ac:dyDescent="0.25">
      <c r="D1688" s="11"/>
      <c r="E1688" s="11"/>
      <c r="F1688" s="11"/>
      <c r="G1688" s="11"/>
      <c r="H1688" s="11"/>
      <c r="I1688" s="11"/>
      <c r="J1688" s="11"/>
      <c r="K1688" s="11"/>
      <c r="L1688" s="11"/>
      <c r="M1688" s="11"/>
      <c r="N1688" s="11"/>
      <c r="O1688" s="11"/>
      <c r="P1688" s="43"/>
      <c r="Q1688" s="11"/>
      <c r="R1688" s="11"/>
      <c r="S1688" s="11"/>
      <c r="T1688" s="11"/>
      <c r="U1688" s="11"/>
      <c r="V1688" s="11"/>
      <c r="W1688" s="11"/>
      <c r="X1688" s="12"/>
      <c r="Y1688" s="12"/>
      <c r="Z1688" s="12"/>
      <c r="AA1688" s="44"/>
      <c r="AB1688" s="45"/>
      <c r="AC1688" s="12"/>
      <c r="AD1688" s="12"/>
      <c r="AE1688" s="12"/>
      <c r="AF1688" s="12"/>
      <c r="AG1688" s="44"/>
      <c r="AH1688" s="45"/>
      <c r="AI1688" s="12"/>
      <c r="AJ1688" s="12"/>
      <c r="AK1688" s="12"/>
      <c r="AL1688" s="12"/>
      <c r="AM1688" s="44"/>
      <c r="AN1688" s="45"/>
      <c r="AO1688" s="12"/>
      <c r="AP1688" s="12"/>
      <c r="AQ1688" s="12"/>
      <c r="AR1688" s="12"/>
      <c r="AS1688" s="44"/>
      <c r="AT1688" s="45"/>
      <c r="AU1688" s="12"/>
      <c r="AV1688" s="12"/>
      <c r="AW1688" s="12"/>
      <c r="AX1688" s="12"/>
      <c r="AY1688" s="44"/>
      <c r="AZ1688" s="45"/>
      <c r="BA1688" s="12"/>
      <c r="BB1688" s="12"/>
      <c r="BC1688" s="12"/>
      <c r="BD1688" s="12"/>
      <c r="BE1688" s="44"/>
      <c r="BF1688" s="45"/>
      <c r="BG1688" s="12"/>
      <c r="BH1688" s="12"/>
      <c r="BI1688" s="12"/>
      <c r="BJ1688" s="12"/>
      <c r="BK1688" s="44"/>
      <c r="BL1688" s="45"/>
      <c r="BM1688" s="12"/>
      <c r="BN1688" s="12"/>
      <c r="BO1688" s="12"/>
      <c r="BP1688" s="12"/>
      <c r="BQ1688" s="48"/>
      <c r="BR1688" s="49"/>
      <c r="BS1688" s="13"/>
      <c r="BT1688" s="12"/>
      <c r="BV1688" s="14"/>
      <c r="BW1688" s="50"/>
      <c r="BX1688" s="54"/>
      <c r="BY1688" s="14"/>
      <c r="BZ1688" s="14"/>
      <c r="CA1688" s="14"/>
      <c r="CB1688" s="14"/>
      <c r="CC1688" s="14"/>
      <c r="CD1688" s="14"/>
      <c r="CE1688" s="14"/>
      <c r="CF1688" s="15"/>
      <c r="CG1688" s="14"/>
      <c r="CH1688" s="14"/>
      <c r="CI1688" s="50"/>
      <c r="CJ1688" s="54"/>
      <c r="CK1688" s="14"/>
      <c r="CL1688" s="14"/>
      <c r="CM1688" s="14"/>
      <c r="CN1688" s="14"/>
      <c r="CO1688" s="14"/>
      <c r="CP1688" s="14"/>
      <c r="CQ1688" s="14"/>
      <c r="CR1688" s="14"/>
      <c r="CS1688" s="14"/>
      <c r="CT1688" s="14"/>
      <c r="CU1688" s="16"/>
      <c r="CV1688" s="14"/>
      <c r="CW1688" s="50"/>
      <c r="CX1688" s="17"/>
    </row>
    <row r="1689" spans="4:102" x14ac:dyDescent="0.25">
      <c r="D1689" s="11"/>
      <c r="E1689" s="11"/>
      <c r="F1689" s="11"/>
      <c r="G1689" s="11"/>
      <c r="H1689" s="11"/>
      <c r="I1689" s="11"/>
      <c r="J1689" s="11"/>
      <c r="K1689" s="11"/>
      <c r="L1689" s="11"/>
      <c r="M1689" s="11"/>
      <c r="N1689" s="11"/>
      <c r="O1689" s="11"/>
      <c r="P1689" s="43"/>
      <c r="Q1689" s="11"/>
      <c r="R1689" s="11"/>
      <c r="S1689" s="11"/>
      <c r="T1689" s="11"/>
      <c r="U1689" s="11"/>
      <c r="V1689" s="11"/>
      <c r="W1689" s="11"/>
      <c r="X1689" s="12"/>
      <c r="Y1689" s="12"/>
      <c r="Z1689" s="12"/>
      <c r="AA1689" s="44"/>
      <c r="AB1689" s="45"/>
      <c r="AC1689" s="12"/>
      <c r="AD1689" s="12"/>
      <c r="AE1689" s="12"/>
      <c r="AF1689" s="12"/>
      <c r="AG1689" s="44"/>
      <c r="AH1689" s="45"/>
      <c r="AI1689" s="12"/>
      <c r="AJ1689" s="12"/>
      <c r="AK1689" s="12"/>
      <c r="AL1689" s="12"/>
      <c r="AM1689" s="44"/>
      <c r="AN1689" s="45"/>
      <c r="AO1689" s="12"/>
      <c r="AP1689" s="12"/>
      <c r="AQ1689" s="12"/>
      <c r="AR1689" s="12"/>
      <c r="AS1689" s="44"/>
      <c r="AT1689" s="45"/>
      <c r="AU1689" s="12"/>
      <c r="AV1689" s="12"/>
      <c r="AW1689" s="12"/>
      <c r="AX1689" s="12"/>
      <c r="AY1689" s="44"/>
      <c r="AZ1689" s="45"/>
      <c r="BA1689" s="12"/>
      <c r="BB1689" s="12"/>
      <c r="BC1689" s="12"/>
      <c r="BD1689" s="12"/>
      <c r="BE1689" s="44"/>
      <c r="BF1689" s="45"/>
      <c r="BG1689" s="12"/>
      <c r="BH1689" s="12"/>
      <c r="BI1689" s="12"/>
      <c r="BJ1689" s="12"/>
      <c r="BK1689" s="44"/>
      <c r="BL1689" s="45"/>
      <c r="BM1689" s="12"/>
      <c r="BN1689" s="12"/>
      <c r="BO1689" s="12"/>
      <c r="BP1689" s="12"/>
      <c r="BQ1689" s="48"/>
      <c r="BR1689" s="49"/>
      <c r="BS1689" s="13"/>
      <c r="BT1689" s="12"/>
      <c r="BV1689" s="14"/>
      <c r="BW1689" s="50"/>
      <c r="BX1689" s="54"/>
      <c r="BY1689" s="14"/>
      <c r="BZ1689" s="14"/>
      <c r="CA1689" s="14"/>
      <c r="CB1689" s="14"/>
      <c r="CC1689" s="14"/>
      <c r="CD1689" s="14"/>
      <c r="CE1689" s="14"/>
      <c r="CF1689" s="15"/>
      <c r="CG1689" s="14"/>
      <c r="CH1689" s="14"/>
      <c r="CI1689" s="50"/>
      <c r="CJ1689" s="54"/>
      <c r="CK1689" s="14"/>
      <c r="CL1689" s="14"/>
      <c r="CM1689" s="14"/>
      <c r="CN1689" s="14"/>
      <c r="CO1689" s="14"/>
      <c r="CP1689" s="14"/>
      <c r="CQ1689" s="14"/>
      <c r="CR1689" s="14"/>
      <c r="CS1689" s="14"/>
      <c r="CT1689" s="14"/>
      <c r="CU1689" s="16"/>
      <c r="CV1689" s="14"/>
      <c r="CW1689" s="50"/>
      <c r="CX1689" s="17"/>
    </row>
    <row r="1690" spans="4:102" x14ac:dyDescent="0.25">
      <c r="D1690" s="11"/>
      <c r="E1690" s="11"/>
      <c r="F1690" s="11"/>
      <c r="G1690" s="11"/>
      <c r="H1690" s="11"/>
      <c r="I1690" s="11"/>
      <c r="J1690" s="11"/>
      <c r="K1690" s="11"/>
      <c r="L1690" s="11"/>
      <c r="M1690" s="11"/>
      <c r="N1690" s="11"/>
      <c r="O1690" s="11"/>
      <c r="P1690" s="43"/>
      <c r="Q1690" s="11"/>
      <c r="R1690" s="11"/>
      <c r="S1690" s="11"/>
      <c r="T1690" s="11"/>
      <c r="U1690" s="11"/>
      <c r="V1690" s="11"/>
      <c r="W1690" s="11"/>
      <c r="X1690" s="12"/>
      <c r="Y1690" s="12"/>
      <c r="Z1690" s="12"/>
      <c r="AA1690" s="44"/>
      <c r="AB1690" s="45"/>
      <c r="AC1690" s="12"/>
      <c r="AD1690" s="12"/>
      <c r="AE1690" s="12"/>
      <c r="AF1690" s="12"/>
      <c r="AG1690" s="44"/>
      <c r="AH1690" s="45"/>
      <c r="AI1690" s="12"/>
      <c r="AJ1690" s="12"/>
      <c r="AK1690" s="12"/>
      <c r="AL1690" s="12"/>
      <c r="AM1690" s="44"/>
      <c r="AN1690" s="45"/>
      <c r="AO1690" s="12"/>
      <c r="AP1690" s="12"/>
      <c r="AQ1690" s="12"/>
      <c r="AR1690" s="12"/>
      <c r="AS1690" s="44"/>
      <c r="AT1690" s="45"/>
      <c r="AU1690" s="12"/>
      <c r="AV1690" s="12"/>
      <c r="AW1690" s="12"/>
      <c r="AX1690" s="12"/>
      <c r="AY1690" s="44"/>
      <c r="AZ1690" s="45"/>
      <c r="BA1690" s="12"/>
      <c r="BB1690" s="12"/>
      <c r="BC1690" s="12"/>
      <c r="BD1690" s="12"/>
      <c r="BE1690" s="44"/>
      <c r="BF1690" s="45"/>
      <c r="BG1690" s="12"/>
      <c r="BH1690" s="12"/>
      <c r="BI1690" s="12"/>
      <c r="BJ1690" s="12"/>
      <c r="BK1690" s="44"/>
      <c r="BL1690" s="45"/>
      <c r="BM1690" s="12"/>
      <c r="BN1690" s="12"/>
      <c r="BO1690" s="12"/>
      <c r="BP1690" s="12"/>
      <c r="BQ1690" s="48"/>
      <c r="BR1690" s="49"/>
      <c r="BS1690" s="13"/>
      <c r="BT1690" s="12"/>
      <c r="BV1690" s="14"/>
      <c r="BW1690" s="50"/>
      <c r="BX1690" s="54"/>
      <c r="BY1690" s="14"/>
      <c r="BZ1690" s="14"/>
      <c r="CA1690" s="14"/>
      <c r="CB1690" s="14"/>
      <c r="CC1690" s="14"/>
      <c r="CD1690" s="14"/>
      <c r="CE1690" s="14"/>
      <c r="CF1690" s="15"/>
      <c r="CG1690" s="14"/>
      <c r="CH1690" s="14"/>
      <c r="CI1690" s="50"/>
      <c r="CJ1690" s="54"/>
      <c r="CK1690" s="14"/>
      <c r="CL1690" s="14"/>
      <c r="CM1690" s="14"/>
      <c r="CN1690" s="14"/>
      <c r="CO1690" s="14"/>
      <c r="CP1690" s="14"/>
      <c r="CQ1690" s="14"/>
      <c r="CR1690" s="14"/>
      <c r="CS1690" s="14"/>
      <c r="CT1690" s="14"/>
      <c r="CU1690" s="16"/>
      <c r="CV1690" s="14"/>
      <c r="CW1690" s="50"/>
      <c r="CX1690" s="17"/>
    </row>
    <row r="1691" spans="4:102" x14ac:dyDescent="0.25">
      <c r="D1691" s="11"/>
      <c r="E1691" s="11"/>
      <c r="F1691" s="11"/>
      <c r="G1691" s="11"/>
      <c r="H1691" s="11"/>
      <c r="I1691" s="11"/>
      <c r="J1691" s="11"/>
      <c r="K1691" s="11"/>
      <c r="L1691" s="11"/>
      <c r="M1691" s="11"/>
      <c r="N1691" s="11"/>
      <c r="O1691" s="11"/>
      <c r="P1691" s="43"/>
      <c r="Q1691" s="11"/>
      <c r="R1691" s="11"/>
      <c r="S1691" s="11"/>
      <c r="T1691" s="11"/>
      <c r="U1691" s="11"/>
      <c r="V1691" s="11"/>
      <c r="W1691" s="11"/>
      <c r="X1691" s="12"/>
      <c r="Y1691" s="12"/>
      <c r="Z1691" s="12"/>
      <c r="AA1691" s="44"/>
      <c r="AB1691" s="45"/>
      <c r="AC1691" s="12"/>
      <c r="AD1691" s="12"/>
      <c r="AE1691" s="12"/>
      <c r="AF1691" s="12"/>
      <c r="AG1691" s="44"/>
      <c r="AH1691" s="45"/>
      <c r="AI1691" s="12"/>
      <c r="AJ1691" s="12"/>
      <c r="AK1691" s="12"/>
      <c r="AL1691" s="12"/>
      <c r="AM1691" s="44"/>
      <c r="AN1691" s="45"/>
      <c r="AO1691" s="12"/>
      <c r="AP1691" s="12"/>
      <c r="AQ1691" s="12"/>
      <c r="AR1691" s="12"/>
      <c r="AS1691" s="44"/>
      <c r="AT1691" s="45"/>
      <c r="AU1691" s="12"/>
      <c r="AV1691" s="12"/>
      <c r="AW1691" s="12"/>
      <c r="AX1691" s="12"/>
      <c r="AY1691" s="44"/>
      <c r="AZ1691" s="45"/>
      <c r="BA1691" s="12"/>
      <c r="BB1691" s="12"/>
      <c r="BC1691" s="12"/>
      <c r="BD1691" s="12"/>
      <c r="BE1691" s="44"/>
      <c r="BF1691" s="45"/>
      <c r="BG1691" s="12"/>
      <c r="BH1691" s="12"/>
      <c r="BI1691" s="12"/>
      <c r="BJ1691" s="12"/>
      <c r="BK1691" s="44"/>
      <c r="BL1691" s="45"/>
      <c r="BM1691" s="12"/>
      <c r="BN1691" s="12"/>
      <c r="BO1691" s="12"/>
      <c r="BP1691" s="12"/>
      <c r="BQ1691" s="48"/>
      <c r="BR1691" s="49"/>
      <c r="BS1691" s="13"/>
      <c r="BT1691" s="12"/>
      <c r="BV1691" s="14"/>
      <c r="BW1691" s="50"/>
      <c r="BX1691" s="54"/>
      <c r="BY1691" s="14"/>
      <c r="BZ1691" s="14"/>
      <c r="CA1691" s="14"/>
      <c r="CB1691" s="14"/>
      <c r="CC1691" s="14"/>
      <c r="CD1691" s="14"/>
      <c r="CE1691" s="14"/>
      <c r="CF1691" s="15"/>
      <c r="CG1691" s="14"/>
      <c r="CH1691" s="14"/>
      <c r="CI1691" s="50"/>
      <c r="CJ1691" s="54"/>
      <c r="CK1691" s="14"/>
      <c r="CL1691" s="14"/>
      <c r="CM1691" s="14"/>
      <c r="CN1691" s="14"/>
      <c r="CO1691" s="14"/>
      <c r="CP1691" s="14"/>
      <c r="CQ1691" s="14"/>
      <c r="CR1691" s="14"/>
      <c r="CS1691" s="14"/>
      <c r="CT1691" s="14"/>
      <c r="CU1691" s="16"/>
      <c r="CV1691" s="14"/>
      <c r="CW1691" s="50"/>
      <c r="CX1691" s="17"/>
    </row>
    <row r="1692" spans="4:102" x14ac:dyDescent="0.25">
      <c r="D1692" s="11"/>
      <c r="E1692" s="11"/>
      <c r="F1692" s="11"/>
      <c r="G1692" s="11"/>
      <c r="H1692" s="11"/>
      <c r="I1692" s="11"/>
      <c r="J1692" s="11"/>
      <c r="K1692" s="11"/>
      <c r="L1692" s="11"/>
      <c r="M1692" s="11"/>
      <c r="N1692" s="11"/>
      <c r="O1692" s="11"/>
      <c r="P1692" s="43"/>
      <c r="Q1692" s="11"/>
      <c r="R1692" s="11"/>
      <c r="S1692" s="11"/>
      <c r="T1692" s="11"/>
      <c r="U1692" s="11"/>
      <c r="V1692" s="11"/>
      <c r="W1692" s="11"/>
      <c r="X1692" s="12"/>
      <c r="Y1692" s="12"/>
      <c r="Z1692" s="12"/>
      <c r="AA1692" s="44"/>
      <c r="AB1692" s="45"/>
      <c r="AC1692" s="12"/>
      <c r="AD1692" s="12"/>
      <c r="AE1692" s="12"/>
      <c r="AF1692" s="12"/>
      <c r="AG1692" s="44"/>
      <c r="AH1692" s="45"/>
      <c r="AI1692" s="12"/>
      <c r="AJ1692" s="12"/>
      <c r="AK1692" s="12"/>
      <c r="AL1692" s="12"/>
      <c r="AM1692" s="44"/>
      <c r="AN1692" s="45"/>
      <c r="AO1692" s="12"/>
      <c r="AP1692" s="12"/>
      <c r="AQ1692" s="12"/>
      <c r="AR1692" s="12"/>
      <c r="AS1692" s="44"/>
      <c r="AT1692" s="45"/>
      <c r="AU1692" s="12"/>
      <c r="AV1692" s="12"/>
      <c r="AW1692" s="12"/>
      <c r="AX1692" s="12"/>
      <c r="AY1692" s="44"/>
      <c r="AZ1692" s="45"/>
      <c r="BA1692" s="12"/>
      <c r="BB1692" s="12"/>
      <c r="BC1692" s="12"/>
      <c r="BD1692" s="12"/>
      <c r="BE1692" s="44"/>
      <c r="BF1692" s="45"/>
      <c r="BG1692" s="12"/>
      <c r="BH1692" s="12"/>
      <c r="BI1692" s="12"/>
      <c r="BJ1692" s="12"/>
      <c r="BK1692" s="44"/>
      <c r="BL1692" s="45"/>
      <c r="BM1692" s="12"/>
      <c r="BN1692" s="12"/>
      <c r="BO1692" s="12"/>
      <c r="BP1692" s="12"/>
      <c r="BQ1692" s="48"/>
      <c r="BR1692" s="49"/>
      <c r="BS1692" s="13"/>
      <c r="BT1692" s="12"/>
      <c r="BV1692" s="14"/>
      <c r="BW1692" s="50"/>
      <c r="BX1692" s="54"/>
      <c r="BY1692" s="14"/>
      <c r="BZ1692" s="14"/>
      <c r="CA1692" s="14"/>
      <c r="CB1692" s="14"/>
      <c r="CC1692" s="14"/>
      <c r="CD1692" s="14"/>
      <c r="CE1692" s="14"/>
      <c r="CF1692" s="15"/>
      <c r="CG1692" s="14"/>
      <c r="CH1692" s="14"/>
      <c r="CI1692" s="50"/>
      <c r="CJ1692" s="54"/>
      <c r="CK1692" s="14"/>
      <c r="CL1692" s="14"/>
      <c r="CM1692" s="14"/>
      <c r="CN1692" s="14"/>
      <c r="CO1692" s="14"/>
      <c r="CP1692" s="14"/>
      <c r="CQ1692" s="14"/>
      <c r="CR1692" s="14"/>
      <c r="CS1692" s="14"/>
      <c r="CT1692" s="14"/>
      <c r="CU1692" s="16"/>
      <c r="CV1692" s="14"/>
      <c r="CW1692" s="50"/>
      <c r="CX1692" s="17"/>
    </row>
    <row r="1693" spans="4:102" x14ac:dyDescent="0.25">
      <c r="D1693" s="11"/>
      <c r="E1693" s="11"/>
      <c r="F1693" s="11"/>
      <c r="G1693" s="11"/>
      <c r="H1693" s="11"/>
      <c r="I1693" s="11"/>
      <c r="J1693" s="11"/>
      <c r="K1693" s="11"/>
      <c r="L1693" s="11"/>
      <c r="M1693" s="11"/>
      <c r="N1693" s="11"/>
      <c r="O1693" s="11"/>
      <c r="P1693" s="43"/>
      <c r="Q1693" s="11"/>
      <c r="R1693" s="11"/>
      <c r="S1693" s="11"/>
      <c r="T1693" s="11"/>
      <c r="U1693" s="11"/>
      <c r="V1693" s="11"/>
      <c r="W1693" s="11"/>
      <c r="X1693" s="12"/>
      <c r="Y1693" s="12"/>
      <c r="Z1693" s="12"/>
      <c r="AA1693" s="44"/>
      <c r="AB1693" s="45"/>
      <c r="AC1693" s="12"/>
      <c r="AD1693" s="12"/>
      <c r="AE1693" s="12"/>
      <c r="AF1693" s="12"/>
      <c r="AG1693" s="44"/>
      <c r="AH1693" s="45"/>
      <c r="AI1693" s="12"/>
      <c r="AJ1693" s="12"/>
      <c r="AK1693" s="12"/>
      <c r="AL1693" s="12"/>
      <c r="AM1693" s="44"/>
      <c r="AN1693" s="45"/>
      <c r="AO1693" s="12"/>
      <c r="AP1693" s="12"/>
      <c r="AQ1693" s="12"/>
      <c r="AR1693" s="12"/>
      <c r="AS1693" s="44"/>
      <c r="AT1693" s="45"/>
      <c r="AU1693" s="12"/>
      <c r="AV1693" s="12"/>
      <c r="AW1693" s="12"/>
      <c r="AX1693" s="12"/>
      <c r="AY1693" s="44"/>
      <c r="AZ1693" s="45"/>
      <c r="BA1693" s="12"/>
      <c r="BB1693" s="12"/>
      <c r="BC1693" s="12"/>
      <c r="BD1693" s="12"/>
      <c r="BE1693" s="44"/>
      <c r="BF1693" s="45"/>
      <c r="BG1693" s="12"/>
      <c r="BH1693" s="12"/>
      <c r="BI1693" s="12"/>
      <c r="BJ1693" s="12"/>
      <c r="BK1693" s="44"/>
      <c r="BL1693" s="45"/>
      <c r="BM1693" s="12"/>
      <c r="BN1693" s="12"/>
      <c r="BO1693" s="12"/>
      <c r="BP1693" s="12"/>
      <c r="BQ1693" s="48"/>
      <c r="BR1693" s="49"/>
      <c r="BS1693" s="13"/>
      <c r="BT1693" s="12"/>
      <c r="BV1693" s="14"/>
      <c r="BW1693" s="50"/>
      <c r="BX1693" s="54"/>
      <c r="BY1693" s="14"/>
      <c r="BZ1693" s="14"/>
      <c r="CA1693" s="14"/>
      <c r="CB1693" s="14"/>
      <c r="CC1693" s="14"/>
      <c r="CD1693" s="14"/>
      <c r="CE1693" s="14"/>
      <c r="CF1693" s="15"/>
      <c r="CG1693" s="14"/>
      <c r="CH1693" s="14"/>
      <c r="CI1693" s="50"/>
      <c r="CJ1693" s="54"/>
      <c r="CK1693" s="14"/>
      <c r="CL1693" s="14"/>
      <c r="CM1693" s="14"/>
      <c r="CN1693" s="14"/>
      <c r="CO1693" s="14"/>
      <c r="CP1693" s="14"/>
      <c r="CQ1693" s="14"/>
      <c r="CR1693" s="14"/>
      <c r="CS1693" s="14"/>
      <c r="CT1693" s="14"/>
      <c r="CU1693" s="16"/>
      <c r="CV1693" s="14"/>
      <c r="CW1693" s="50"/>
      <c r="CX1693" s="17"/>
    </row>
    <row r="1694" spans="4:102" x14ac:dyDescent="0.25">
      <c r="D1694" s="11"/>
      <c r="E1694" s="11"/>
      <c r="F1694" s="11"/>
      <c r="G1694" s="11"/>
      <c r="H1694" s="11"/>
      <c r="I1694" s="11"/>
      <c r="J1694" s="11"/>
      <c r="K1694" s="11"/>
      <c r="L1694" s="11"/>
      <c r="M1694" s="11"/>
      <c r="N1694" s="11"/>
      <c r="O1694" s="11"/>
      <c r="P1694" s="43"/>
      <c r="Q1694" s="11"/>
      <c r="R1694" s="11"/>
      <c r="S1694" s="11"/>
      <c r="T1694" s="11"/>
      <c r="U1694" s="11"/>
      <c r="V1694" s="11"/>
      <c r="W1694" s="11"/>
      <c r="X1694" s="12"/>
      <c r="Y1694" s="12"/>
      <c r="Z1694" s="12"/>
      <c r="AA1694" s="44"/>
      <c r="AB1694" s="45"/>
      <c r="AC1694" s="12"/>
      <c r="AD1694" s="12"/>
      <c r="AE1694" s="12"/>
      <c r="AF1694" s="12"/>
      <c r="AG1694" s="44"/>
      <c r="AH1694" s="45"/>
      <c r="AI1694" s="12"/>
      <c r="AJ1694" s="12"/>
      <c r="AK1694" s="12"/>
      <c r="AL1694" s="12"/>
      <c r="AM1694" s="44"/>
      <c r="AN1694" s="45"/>
      <c r="AO1694" s="12"/>
      <c r="AP1694" s="12"/>
      <c r="AQ1694" s="12"/>
      <c r="AR1694" s="12"/>
      <c r="AS1694" s="44"/>
      <c r="AT1694" s="45"/>
      <c r="AU1694" s="12"/>
      <c r="AV1694" s="12"/>
      <c r="AW1694" s="12"/>
      <c r="AX1694" s="12"/>
      <c r="AY1694" s="44"/>
      <c r="AZ1694" s="45"/>
      <c r="BA1694" s="12"/>
      <c r="BB1694" s="12"/>
      <c r="BC1694" s="12"/>
      <c r="BD1694" s="12"/>
      <c r="BE1694" s="44"/>
      <c r="BF1694" s="45"/>
      <c r="BG1694" s="12"/>
      <c r="BH1694" s="12"/>
      <c r="BI1694" s="12"/>
      <c r="BJ1694" s="12"/>
      <c r="BK1694" s="44"/>
      <c r="BL1694" s="45"/>
      <c r="BM1694" s="12"/>
      <c r="BN1694" s="12"/>
      <c r="BO1694" s="12"/>
      <c r="BP1694" s="12"/>
      <c r="BQ1694" s="48"/>
      <c r="BR1694" s="49"/>
      <c r="BS1694" s="13"/>
      <c r="BT1694" s="12"/>
      <c r="BV1694" s="14"/>
      <c r="BW1694" s="50"/>
      <c r="BX1694" s="54"/>
      <c r="BY1694" s="14"/>
      <c r="BZ1694" s="14"/>
      <c r="CA1694" s="14"/>
      <c r="CB1694" s="14"/>
      <c r="CC1694" s="14"/>
      <c r="CD1694" s="14"/>
      <c r="CE1694" s="14"/>
      <c r="CF1694" s="15"/>
      <c r="CG1694" s="14"/>
      <c r="CH1694" s="14"/>
      <c r="CI1694" s="50"/>
      <c r="CJ1694" s="54"/>
      <c r="CK1694" s="14"/>
      <c r="CL1694" s="14"/>
      <c r="CM1694" s="14"/>
      <c r="CN1694" s="14"/>
      <c r="CO1694" s="14"/>
      <c r="CP1694" s="14"/>
      <c r="CQ1694" s="14"/>
      <c r="CR1694" s="14"/>
      <c r="CS1694" s="14"/>
      <c r="CT1694" s="14"/>
      <c r="CU1694" s="16"/>
      <c r="CV1694" s="14"/>
      <c r="CW1694" s="50"/>
      <c r="CX1694" s="17"/>
    </row>
    <row r="1695" spans="4:102" x14ac:dyDescent="0.25">
      <c r="D1695" s="11"/>
      <c r="E1695" s="11"/>
      <c r="F1695" s="11"/>
      <c r="G1695" s="11"/>
      <c r="H1695" s="11"/>
      <c r="I1695" s="11"/>
      <c r="J1695" s="11"/>
      <c r="K1695" s="11"/>
      <c r="L1695" s="11"/>
      <c r="M1695" s="11"/>
      <c r="N1695" s="11"/>
      <c r="O1695" s="11"/>
      <c r="P1695" s="43"/>
      <c r="Q1695" s="11"/>
      <c r="R1695" s="11"/>
      <c r="S1695" s="11"/>
      <c r="T1695" s="11"/>
      <c r="U1695" s="11"/>
      <c r="V1695" s="11"/>
      <c r="W1695" s="11"/>
      <c r="X1695" s="12"/>
      <c r="Y1695" s="12"/>
      <c r="Z1695" s="12"/>
      <c r="AA1695" s="44"/>
      <c r="AB1695" s="45"/>
      <c r="AC1695" s="12"/>
      <c r="AD1695" s="12"/>
      <c r="AE1695" s="12"/>
      <c r="AF1695" s="12"/>
      <c r="AG1695" s="44"/>
      <c r="AH1695" s="45"/>
      <c r="AI1695" s="12"/>
      <c r="AJ1695" s="12"/>
      <c r="AK1695" s="12"/>
      <c r="AL1695" s="12"/>
      <c r="AM1695" s="44"/>
      <c r="AN1695" s="45"/>
      <c r="AO1695" s="12"/>
      <c r="AP1695" s="12"/>
      <c r="AQ1695" s="12"/>
      <c r="AR1695" s="12"/>
      <c r="AS1695" s="44"/>
      <c r="AT1695" s="45"/>
      <c r="AU1695" s="12"/>
      <c r="AV1695" s="12"/>
      <c r="AW1695" s="12"/>
      <c r="AX1695" s="12"/>
      <c r="AY1695" s="44"/>
      <c r="AZ1695" s="45"/>
      <c r="BA1695" s="12"/>
      <c r="BB1695" s="12"/>
      <c r="BC1695" s="12"/>
      <c r="BD1695" s="12"/>
      <c r="BE1695" s="44"/>
      <c r="BF1695" s="45"/>
      <c r="BG1695" s="12"/>
      <c r="BH1695" s="12"/>
      <c r="BI1695" s="12"/>
      <c r="BJ1695" s="12"/>
      <c r="BK1695" s="44"/>
      <c r="BL1695" s="45"/>
      <c r="BM1695" s="12"/>
      <c r="BN1695" s="12"/>
      <c r="BO1695" s="12"/>
      <c r="BP1695" s="12"/>
      <c r="BQ1695" s="48"/>
      <c r="BR1695" s="49"/>
      <c r="BS1695" s="13"/>
      <c r="BT1695" s="12"/>
      <c r="BV1695" s="14"/>
      <c r="BW1695" s="50"/>
      <c r="BX1695" s="54"/>
      <c r="BY1695" s="14"/>
      <c r="BZ1695" s="14"/>
      <c r="CA1695" s="14"/>
      <c r="CB1695" s="14"/>
      <c r="CC1695" s="14"/>
      <c r="CD1695" s="14"/>
      <c r="CE1695" s="14"/>
      <c r="CF1695" s="15"/>
      <c r="CG1695" s="14"/>
      <c r="CH1695" s="14"/>
      <c r="CI1695" s="50"/>
      <c r="CJ1695" s="54"/>
      <c r="CK1695" s="14"/>
      <c r="CL1695" s="14"/>
      <c r="CM1695" s="14"/>
      <c r="CN1695" s="14"/>
      <c r="CO1695" s="14"/>
      <c r="CP1695" s="14"/>
      <c r="CQ1695" s="14"/>
      <c r="CR1695" s="14"/>
      <c r="CS1695" s="14"/>
      <c r="CT1695" s="14"/>
      <c r="CU1695" s="16"/>
      <c r="CV1695" s="14"/>
      <c r="CW1695" s="50"/>
      <c r="CX1695" s="17"/>
    </row>
    <row r="1696" spans="4:102" x14ac:dyDescent="0.25">
      <c r="D1696" s="11"/>
      <c r="E1696" s="11"/>
      <c r="F1696" s="11"/>
      <c r="G1696" s="11"/>
      <c r="H1696" s="11"/>
      <c r="I1696" s="11"/>
      <c r="J1696" s="11"/>
      <c r="K1696" s="11"/>
      <c r="L1696" s="11"/>
      <c r="M1696" s="11"/>
      <c r="N1696" s="11"/>
      <c r="O1696" s="11"/>
      <c r="P1696" s="43"/>
      <c r="Q1696" s="11"/>
      <c r="R1696" s="11"/>
      <c r="S1696" s="11"/>
      <c r="T1696" s="11"/>
      <c r="U1696" s="11"/>
      <c r="V1696" s="11"/>
      <c r="W1696" s="11"/>
      <c r="X1696" s="12"/>
      <c r="Y1696" s="12"/>
      <c r="Z1696" s="12"/>
      <c r="AA1696" s="44"/>
      <c r="AB1696" s="45"/>
      <c r="AC1696" s="12"/>
      <c r="AD1696" s="12"/>
      <c r="AE1696" s="12"/>
      <c r="AF1696" s="12"/>
      <c r="AG1696" s="44"/>
      <c r="AH1696" s="45"/>
      <c r="AI1696" s="12"/>
      <c r="AJ1696" s="12"/>
      <c r="AK1696" s="12"/>
      <c r="AL1696" s="12"/>
      <c r="AM1696" s="44"/>
      <c r="AN1696" s="45"/>
      <c r="AO1696" s="12"/>
      <c r="AP1696" s="12"/>
      <c r="AQ1696" s="12"/>
      <c r="AR1696" s="12"/>
      <c r="AS1696" s="44"/>
      <c r="AT1696" s="45"/>
      <c r="AU1696" s="12"/>
      <c r="AV1696" s="12"/>
      <c r="AW1696" s="12"/>
      <c r="AX1696" s="12"/>
      <c r="AY1696" s="44"/>
      <c r="AZ1696" s="45"/>
      <c r="BA1696" s="12"/>
      <c r="BB1696" s="12"/>
      <c r="BC1696" s="12"/>
      <c r="BD1696" s="12"/>
      <c r="BE1696" s="44"/>
      <c r="BF1696" s="45"/>
      <c r="BG1696" s="12"/>
      <c r="BH1696" s="12"/>
      <c r="BI1696" s="12"/>
      <c r="BJ1696" s="12"/>
      <c r="BK1696" s="44"/>
      <c r="BL1696" s="45"/>
      <c r="BM1696" s="12"/>
      <c r="BN1696" s="12"/>
      <c r="BO1696" s="12"/>
      <c r="BP1696" s="12"/>
      <c r="BQ1696" s="48"/>
      <c r="BR1696" s="49"/>
      <c r="BS1696" s="13"/>
      <c r="BT1696" s="12"/>
      <c r="BV1696" s="14"/>
      <c r="BW1696" s="50"/>
      <c r="BX1696" s="54"/>
      <c r="BY1696" s="14"/>
      <c r="BZ1696" s="14"/>
      <c r="CA1696" s="14"/>
      <c r="CB1696" s="14"/>
      <c r="CC1696" s="14"/>
      <c r="CD1696" s="14"/>
      <c r="CE1696" s="14"/>
      <c r="CF1696" s="15"/>
      <c r="CG1696" s="14"/>
      <c r="CH1696" s="14"/>
      <c r="CI1696" s="50"/>
      <c r="CJ1696" s="54"/>
      <c r="CK1696" s="14"/>
      <c r="CL1696" s="14"/>
      <c r="CM1696" s="14"/>
      <c r="CN1696" s="14"/>
      <c r="CO1696" s="14"/>
      <c r="CP1696" s="14"/>
      <c r="CQ1696" s="14"/>
      <c r="CR1696" s="14"/>
      <c r="CS1696" s="14"/>
      <c r="CT1696" s="14"/>
      <c r="CU1696" s="16"/>
      <c r="CV1696" s="14"/>
      <c r="CW1696" s="50"/>
      <c r="CX1696" s="17"/>
    </row>
    <row r="1697" spans="4:102" x14ac:dyDescent="0.25">
      <c r="D1697" s="11"/>
      <c r="E1697" s="11"/>
      <c r="F1697" s="11"/>
      <c r="G1697" s="11"/>
      <c r="H1697" s="11"/>
      <c r="I1697" s="11"/>
      <c r="J1697" s="11"/>
      <c r="K1697" s="11"/>
      <c r="L1697" s="11"/>
      <c r="M1697" s="11"/>
      <c r="N1697" s="11"/>
      <c r="O1697" s="11"/>
      <c r="P1697" s="43"/>
      <c r="Q1697" s="11"/>
      <c r="R1697" s="11"/>
      <c r="S1697" s="11"/>
      <c r="T1697" s="11"/>
      <c r="U1697" s="11"/>
      <c r="V1697" s="11"/>
      <c r="W1697" s="11"/>
      <c r="X1697" s="12"/>
      <c r="Y1697" s="12"/>
      <c r="Z1697" s="12"/>
      <c r="AA1697" s="44"/>
      <c r="AB1697" s="45"/>
      <c r="AC1697" s="12"/>
      <c r="AD1697" s="12"/>
      <c r="AE1697" s="12"/>
      <c r="AF1697" s="12"/>
      <c r="AG1697" s="44"/>
      <c r="AH1697" s="45"/>
      <c r="AI1697" s="12"/>
      <c r="AJ1697" s="12"/>
      <c r="AK1697" s="12"/>
      <c r="AL1697" s="12"/>
      <c r="AM1697" s="44"/>
      <c r="AN1697" s="45"/>
      <c r="AO1697" s="12"/>
      <c r="AP1697" s="12"/>
      <c r="AQ1697" s="12"/>
      <c r="AR1697" s="12"/>
      <c r="AS1697" s="44"/>
      <c r="AT1697" s="45"/>
      <c r="AU1697" s="12"/>
      <c r="AV1697" s="12"/>
      <c r="AW1697" s="12"/>
      <c r="AX1697" s="12"/>
      <c r="AY1697" s="44"/>
      <c r="AZ1697" s="45"/>
      <c r="BA1697" s="12"/>
      <c r="BB1697" s="12"/>
      <c r="BC1697" s="12"/>
      <c r="BD1697" s="12"/>
      <c r="BE1697" s="44"/>
      <c r="BF1697" s="45"/>
      <c r="BG1697" s="12"/>
      <c r="BH1697" s="12"/>
      <c r="BI1697" s="12"/>
      <c r="BJ1697" s="12"/>
      <c r="BK1697" s="44"/>
      <c r="BL1697" s="45"/>
      <c r="BM1697" s="12"/>
      <c r="BN1697" s="12"/>
      <c r="BO1697" s="12"/>
      <c r="BP1697" s="12"/>
      <c r="BQ1697" s="48"/>
      <c r="BR1697" s="49"/>
      <c r="BS1697" s="13"/>
      <c r="BT1697" s="12"/>
      <c r="BV1697" s="14"/>
      <c r="BW1697" s="50"/>
      <c r="BX1697" s="54"/>
      <c r="BY1697" s="14"/>
      <c r="BZ1697" s="14"/>
      <c r="CA1697" s="14"/>
      <c r="CB1697" s="14"/>
      <c r="CC1697" s="14"/>
      <c r="CD1697" s="14"/>
      <c r="CE1697" s="14"/>
      <c r="CF1697" s="15"/>
      <c r="CG1697" s="14"/>
      <c r="CH1697" s="14"/>
      <c r="CI1697" s="50"/>
      <c r="CJ1697" s="54"/>
      <c r="CK1697" s="14"/>
      <c r="CL1697" s="14"/>
      <c r="CM1697" s="14"/>
      <c r="CN1697" s="14"/>
      <c r="CO1697" s="14"/>
      <c r="CP1697" s="14"/>
      <c r="CQ1697" s="14"/>
      <c r="CR1697" s="14"/>
      <c r="CS1697" s="14"/>
      <c r="CT1697" s="14"/>
      <c r="CU1697" s="16"/>
      <c r="CV1697" s="14"/>
      <c r="CW1697" s="50"/>
      <c r="CX1697" s="17"/>
    </row>
    <row r="1698" spans="4:102" x14ac:dyDescent="0.25">
      <c r="D1698" s="11"/>
      <c r="E1698" s="11"/>
      <c r="F1698" s="11"/>
      <c r="G1698" s="11"/>
      <c r="H1698" s="11"/>
      <c r="I1698" s="11"/>
      <c r="J1698" s="11"/>
      <c r="K1698" s="11"/>
      <c r="L1698" s="11"/>
      <c r="M1698" s="11"/>
      <c r="N1698" s="11"/>
      <c r="O1698" s="11"/>
      <c r="P1698" s="43"/>
      <c r="Q1698" s="11"/>
      <c r="R1698" s="11"/>
      <c r="S1698" s="11"/>
      <c r="T1698" s="11"/>
      <c r="U1698" s="11"/>
      <c r="V1698" s="11"/>
      <c r="W1698" s="11"/>
      <c r="X1698" s="12"/>
      <c r="Y1698" s="12"/>
      <c r="Z1698" s="12"/>
      <c r="AA1698" s="44"/>
      <c r="AB1698" s="45"/>
      <c r="AC1698" s="12"/>
      <c r="AD1698" s="12"/>
      <c r="AE1698" s="12"/>
      <c r="AF1698" s="12"/>
      <c r="AG1698" s="44"/>
      <c r="AH1698" s="45"/>
      <c r="AI1698" s="12"/>
      <c r="AJ1698" s="12"/>
      <c r="AK1698" s="12"/>
      <c r="AL1698" s="12"/>
      <c r="AM1698" s="44"/>
      <c r="AN1698" s="45"/>
      <c r="AO1698" s="12"/>
      <c r="AP1698" s="12"/>
      <c r="AQ1698" s="12"/>
      <c r="AR1698" s="12"/>
      <c r="AS1698" s="44"/>
      <c r="AT1698" s="45"/>
      <c r="AU1698" s="12"/>
      <c r="AV1698" s="12"/>
      <c r="AW1698" s="12"/>
      <c r="AX1698" s="12"/>
      <c r="AY1698" s="44"/>
      <c r="AZ1698" s="45"/>
      <c r="BA1698" s="12"/>
      <c r="BB1698" s="12"/>
      <c r="BC1698" s="12"/>
      <c r="BD1698" s="12"/>
      <c r="BE1698" s="44"/>
      <c r="BF1698" s="45"/>
      <c r="BG1698" s="12"/>
      <c r="BH1698" s="12"/>
      <c r="BI1698" s="12"/>
      <c r="BJ1698" s="12"/>
      <c r="BK1698" s="44"/>
      <c r="BL1698" s="45"/>
      <c r="BM1698" s="12"/>
      <c r="BN1698" s="12"/>
      <c r="BO1698" s="12"/>
      <c r="BP1698" s="12"/>
      <c r="BQ1698" s="48"/>
      <c r="BR1698" s="49"/>
      <c r="BS1698" s="13"/>
      <c r="BT1698" s="12"/>
      <c r="BV1698" s="14"/>
      <c r="BW1698" s="50"/>
      <c r="BX1698" s="54"/>
      <c r="BY1698" s="14"/>
      <c r="BZ1698" s="14"/>
      <c r="CA1698" s="14"/>
      <c r="CB1698" s="14"/>
      <c r="CC1698" s="14"/>
      <c r="CD1698" s="14"/>
      <c r="CE1698" s="14"/>
      <c r="CF1698" s="15"/>
      <c r="CG1698" s="14"/>
      <c r="CH1698" s="14"/>
      <c r="CI1698" s="50"/>
      <c r="CJ1698" s="54"/>
      <c r="CK1698" s="14"/>
      <c r="CL1698" s="14"/>
      <c r="CM1698" s="14"/>
      <c r="CN1698" s="14"/>
      <c r="CO1698" s="14"/>
      <c r="CP1698" s="14"/>
      <c r="CQ1698" s="14"/>
      <c r="CR1698" s="14"/>
      <c r="CS1698" s="14"/>
      <c r="CT1698" s="14"/>
      <c r="CU1698" s="16"/>
      <c r="CV1698" s="14"/>
      <c r="CW1698" s="50"/>
      <c r="CX1698" s="17"/>
    </row>
    <row r="1699" spans="4:102" x14ac:dyDescent="0.25">
      <c r="D1699" s="11"/>
      <c r="E1699" s="11"/>
      <c r="F1699" s="11"/>
      <c r="G1699" s="11"/>
      <c r="H1699" s="11"/>
      <c r="I1699" s="11"/>
      <c r="J1699" s="11"/>
      <c r="K1699" s="11"/>
      <c r="L1699" s="11"/>
      <c r="M1699" s="11"/>
      <c r="N1699" s="11"/>
      <c r="O1699" s="11"/>
      <c r="P1699" s="43"/>
      <c r="Q1699" s="11"/>
      <c r="R1699" s="11"/>
      <c r="S1699" s="11"/>
      <c r="T1699" s="11"/>
      <c r="U1699" s="11"/>
      <c r="V1699" s="11"/>
      <c r="W1699" s="11"/>
      <c r="X1699" s="12"/>
      <c r="Y1699" s="12"/>
      <c r="Z1699" s="12"/>
      <c r="AA1699" s="44"/>
      <c r="AB1699" s="45"/>
      <c r="AC1699" s="12"/>
      <c r="AD1699" s="12"/>
      <c r="AE1699" s="12"/>
      <c r="AF1699" s="12"/>
      <c r="AG1699" s="44"/>
      <c r="AH1699" s="45"/>
      <c r="AI1699" s="12"/>
      <c r="AJ1699" s="12"/>
      <c r="AK1699" s="12"/>
      <c r="AL1699" s="12"/>
      <c r="AM1699" s="44"/>
      <c r="AN1699" s="45"/>
      <c r="AO1699" s="12"/>
      <c r="AP1699" s="12"/>
      <c r="AQ1699" s="12"/>
      <c r="AR1699" s="12"/>
      <c r="AS1699" s="44"/>
      <c r="AT1699" s="45"/>
      <c r="AU1699" s="12"/>
      <c r="AV1699" s="12"/>
      <c r="AW1699" s="12"/>
      <c r="AX1699" s="12"/>
      <c r="AY1699" s="44"/>
      <c r="AZ1699" s="45"/>
      <c r="BA1699" s="12"/>
      <c r="BB1699" s="12"/>
      <c r="BC1699" s="12"/>
      <c r="BD1699" s="12"/>
      <c r="BE1699" s="44"/>
      <c r="BF1699" s="45"/>
      <c r="BG1699" s="12"/>
      <c r="BH1699" s="12"/>
      <c r="BI1699" s="12"/>
      <c r="BJ1699" s="12"/>
      <c r="BK1699" s="44"/>
      <c r="BL1699" s="45"/>
      <c r="BM1699" s="12"/>
      <c r="BN1699" s="12"/>
      <c r="BO1699" s="12"/>
      <c r="BP1699" s="12"/>
      <c r="BQ1699" s="48"/>
      <c r="BR1699" s="49"/>
      <c r="BS1699" s="13"/>
      <c r="BT1699" s="12"/>
      <c r="BV1699" s="14"/>
      <c r="BW1699" s="50"/>
      <c r="BX1699" s="54"/>
      <c r="BY1699" s="14"/>
      <c r="BZ1699" s="14"/>
      <c r="CA1699" s="14"/>
      <c r="CB1699" s="14"/>
      <c r="CC1699" s="14"/>
      <c r="CD1699" s="14"/>
      <c r="CE1699" s="14"/>
      <c r="CF1699" s="15"/>
      <c r="CG1699" s="14"/>
      <c r="CH1699" s="14"/>
      <c r="CI1699" s="50"/>
      <c r="CJ1699" s="54"/>
      <c r="CK1699" s="14"/>
      <c r="CL1699" s="14"/>
      <c r="CM1699" s="14"/>
      <c r="CN1699" s="14"/>
      <c r="CO1699" s="14"/>
      <c r="CP1699" s="14"/>
      <c r="CQ1699" s="14"/>
      <c r="CR1699" s="14"/>
      <c r="CS1699" s="14"/>
      <c r="CT1699" s="14"/>
      <c r="CU1699" s="16"/>
      <c r="CV1699" s="14"/>
      <c r="CW1699" s="50"/>
      <c r="CX1699" s="17"/>
    </row>
    <row r="1700" spans="4:102" x14ac:dyDescent="0.25">
      <c r="D1700" s="11"/>
      <c r="E1700" s="11"/>
      <c r="F1700" s="11"/>
      <c r="G1700" s="11"/>
      <c r="H1700" s="11"/>
      <c r="I1700" s="11"/>
      <c r="J1700" s="11"/>
      <c r="K1700" s="11"/>
      <c r="L1700" s="11"/>
      <c r="M1700" s="11"/>
      <c r="N1700" s="11"/>
      <c r="O1700" s="11"/>
      <c r="P1700" s="43"/>
      <c r="Q1700" s="11"/>
      <c r="R1700" s="11"/>
      <c r="S1700" s="11"/>
      <c r="T1700" s="11"/>
      <c r="U1700" s="11"/>
      <c r="V1700" s="11"/>
      <c r="W1700" s="11"/>
      <c r="X1700" s="12"/>
      <c r="Y1700" s="12"/>
      <c r="Z1700" s="12"/>
      <c r="AA1700" s="44"/>
      <c r="AB1700" s="45"/>
      <c r="AC1700" s="12"/>
      <c r="AD1700" s="12"/>
      <c r="AE1700" s="12"/>
      <c r="AF1700" s="12"/>
      <c r="AG1700" s="44"/>
      <c r="AH1700" s="45"/>
      <c r="AI1700" s="12"/>
      <c r="AJ1700" s="12"/>
      <c r="AK1700" s="12"/>
      <c r="AL1700" s="12"/>
      <c r="AM1700" s="44"/>
      <c r="AN1700" s="45"/>
      <c r="AO1700" s="12"/>
      <c r="AP1700" s="12"/>
      <c r="AQ1700" s="12"/>
      <c r="AR1700" s="12"/>
      <c r="AS1700" s="44"/>
      <c r="AT1700" s="45"/>
      <c r="AU1700" s="12"/>
      <c r="AV1700" s="12"/>
      <c r="AW1700" s="12"/>
      <c r="AX1700" s="12"/>
      <c r="AY1700" s="44"/>
      <c r="AZ1700" s="45"/>
      <c r="BA1700" s="12"/>
      <c r="BB1700" s="12"/>
      <c r="BC1700" s="12"/>
      <c r="BD1700" s="12"/>
      <c r="BE1700" s="44"/>
      <c r="BF1700" s="45"/>
      <c r="BG1700" s="12"/>
      <c r="BH1700" s="12"/>
      <c r="BI1700" s="12"/>
      <c r="BJ1700" s="12"/>
      <c r="BK1700" s="44"/>
      <c r="BL1700" s="45"/>
      <c r="BM1700" s="12"/>
      <c r="BN1700" s="12"/>
      <c r="BO1700" s="12"/>
      <c r="BP1700" s="12"/>
      <c r="BQ1700" s="48"/>
      <c r="BR1700" s="49"/>
      <c r="BS1700" s="13"/>
      <c r="BT1700" s="12"/>
      <c r="BV1700" s="14"/>
      <c r="BW1700" s="50"/>
      <c r="BX1700" s="54"/>
      <c r="BY1700" s="14"/>
      <c r="BZ1700" s="14"/>
      <c r="CA1700" s="14"/>
      <c r="CB1700" s="14"/>
      <c r="CC1700" s="14"/>
      <c r="CD1700" s="14"/>
      <c r="CE1700" s="14"/>
      <c r="CF1700" s="15"/>
      <c r="CG1700" s="14"/>
      <c r="CH1700" s="14"/>
      <c r="CI1700" s="50"/>
      <c r="CJ1700" s="54"/>
      <c r="CK1700" s="14"/>
      <c r="CL1700" s="14"/>
      <c r="CM1700" s="14"/>
      <c r="CN1700" s="14"/>
      <c r="CO1700" s="14"/>
      <c r="CP1700" s="14"/>
      <c r="CQ1700" s="14"/>
      <c r="CR1700" s="14"/>
      <c r="CS1700" s="14"/>
      <c r="CT1700" s="14"/>
      <c r="CU1700" s="16"/>
      <c r="CV1700" s="14"/>
      <c r="CW1700" s="50"/>
      <c r="CX1700" s="17"/>
    </row>
    <row r="1701" spans="4:102" x14ac:dyDescent="0.25">
      <c r="D1701" s="11"/>
      <c r="E1701" s="11"/>
      <c r="F1701" s="11"/>
      <c r="G1701" s="11"/>
      <c r="H1701" s="11"/>
      <c r="I1701" s="11"/>
      <c r="J1701" s="11"/>
      <c r="K1701" s="11"/>
      <c r="L1701" s="11"/>
      <c r="M1701" s="11"/>
      <c r="N1701" s="11"/>
      <c r="O1701" s="11"/>
      <c r="P1701" s="43"/>
      <c r="Q1701" s="11"/>
      <c r="R1701" s="11"/>
      <c r="S1701" s="11"/>
      <c r="T1701" s="11"/>
      <c r="U1701" s="11"/>
      <c r="V1701" s="11"/>
      <c r="W1701" s="11"/>
      <c r="X1701" s="12"/>
      <c r="Y1701" s="12"/>
      <c r="Z1701" s="12"/>
      <c r="AA1701" s="44"/>
      <c r="AB1701" s="45"/>
      <c r="AC1701" s="12"/>
      <c r="AD1701" s="12"/>
      <c r="AE1701" s="12"/>
      <c r="AF1701" s="12"/>
      <c r="AG1701" s="44"/>
      <c r="AH1701" s="45"/>
      <c r="AI1701" s="12"/>
      <c r="AJ1701" s="12"/>
      <c r="AK1701" s="12"/>
      <c r="AL1701" s="12"/>
      <c r="AM1701" s="44"/>
      <c r="AN1701" s="45"/>
      <c r="AO1701" s="12"/>
      <c r="AP1701" s="12"/>
      <c r="AQ1701" s="12"/>
      <c r="AR1701" s="12"/>
      <c r="AS1701" s="44"/>
      <c r="AT1701" s="45"/>
      <c r="AU1701" s="12"/>
      <c r="AV1701" s="12"/>
      <c r="AW1701" s="12"/>
      <c r="AX1701" s="12"/>
      <c r="AY1701" s="44"/>
      <c r="AZ1701" s="45"/>
      <c r="BA1701" s="12"/>
      <c r="BB1701" s="12"/>
      <c r="BC1701" s="12"/>
      <c r="BD1701" s="12"/>
      <c r="BE1701" s="44"/>
      <c r="BF1701" s="45"/>
      <c r="BG1701" s="12"/>
      <c r="BH1701" s="12"/>
      <c r="BI1701" s="12"/>
      <c r="BJ1701" s="12"/>
      <c r="BK1701" s="44"/>
      <c r="BL1701" s="45"/>
      <c r="BM1701" s="12"/>
      <c r="BN1701" s="12"/>
      <c r="BO1701" s="12"/>
      <c r="BP1701" s="12"/>
      <c r="BQ1701" s="48"/>
      <c r="BR1701" s="49"/>
      <c r="BS1701" s="13"/>
      <c r="BT1701" s="12"/>
      <c r="BV1701" s="14"/>
      <c r="BW1701" s="50"/>
      <c r="BX1701" s="54"/>
      <c r="BY1701" s="14"/>
      <c r="BZ1701" s="14"/>
      <c r="CA1701" s="14"/>
      <c r="CB1701" s="14"/>
      <c r="CC1701" s="14"/>
      <c r="CD1701" s="14"/>
      <c r="CE1701" s="14"/>
      <c r="CF1701" s="15"/>
      <c r="CG1701" s="14"/>
      <c r="CH1701" s="14"/>
      <c r="CI1701" s="50"/>
      <c r="CJ1701" s="54"/>
      <c r="CK1701" s="14"/>
      <c r="CL1701" s="14"/>
      <c r="CM1701" s="14"/>
      <c r="CN1701" s="14"/>
      <c r="CO1701" s="14"/>
      <c r="CP1701" s="14"/>
      <c r="CQ1701" s="14"/>
      <c r="CR1701" s="14"/>
      <c r="CS1701" s="14"/>
      <c r="CT1701" s="14"/>
      <c r="CU1701" s="16"/>
      <c r="CV1701" s="14"/>
      <c r="CW1701" s="50"/>
      <c r="CX1701" s="17"/>
    </row>
    <row r="1702" spans="4:102" x14ac:dyDescent="0.25">
      <c r="D1702" s="11"/>
      <c r="E1702" s="11"/>
      <c r="F1702" s="11"/>
      <c r="G1702" s="11"/>
      <c r="H1702" s="11"/>
      <c r="I1702" s="11"/>
      <c r="J1702" s="11"/>
      <c r="K1702" s="11"/>
      <c r="L1702" s="11"/>
      <c r="M1702" s="11"/>
      <c r="N1702" s="11"/>
      <c r="O1702" s="11"/>
      <c r="P1702" s="43"/>
      <c r="Q1702" s="11"/>
      <c r="R1702" s="11"/>
      <c r="S1702" s="11"/>
      <c r="T1702" s="11"/>
      <c r="U1702" s="11"/>
      <c r="V1702" s="11"/>
      <c r="W1702" s="11"/>
      <c r="X1702" s="12"/>
      <c r="Y1702" s="12"/>
      <c r="Z1702" s="12"/>
      <c r="AA1702" s="44"/>
      <c r="AB1702" s="45"/>
      <c r="AC1702" s="12"/>
      <c r="AD1702" s="12"/>
      <c r="AE1702" s="12"/>
      <c r="AF1702" s="12"/>
      <c r="AG1702" s="44"/>
      <c r="AH1702" s="45"/>
      <c r="AI1702" s="12"/>
      <c r="AJ1702" s="12"/>
      <c r="AK1702" s="12"/>
      <c r="AL1702" s="12"/>
      <c r="AM1702" s="44"/>
      <c r="AN1702" s="45"/>
      <c r="AO1702" s="12"/>
      <c r="AP1702" s="12"/>
      <c r="AQ1702" s="12"/>
      <c r="AR1702" s="12"/>
      <c r="AS1702" s="44"/>
      <c r="AT1702" s="45"/>
      <c r="AU1702" s="12"/>
      <c r="AV1702" s="12"/>
      <c r="AW1702" s="12"/>
      <c r="AX1702" s="12"/>
      <c r="AY1702" s="44"/>
      <c r="AZ1702" s="45"/>
      <c r="BA1702" s="12"/>
      <c r="BB1702" s="12"/>
      <c r="BC1702" s="12"/>
      <c r="BD1702" s="12"/>
      <c r="BE1702" s="44"/>
      <c r="BF1702" s="45"/>
      <c r="BG1702" s="12"/>
      <c r="BH1702" s="12"/>
      <c r="BI1702" s="12"/>
      <c r="BJ1702" s="12"/>
      <c r="BK1702" s="44"/>
      <c r="BL1702" s="45"/>
      <c r="BM1702" s="12"/>
      <c r="BN1702" s="12"/>
      <c r="BO1702" s="12"/>
      <c r="BP1702" s="12"/>
      <c r="BQ1702" s="48"/>
      <c r="BR1702" s="49"/>
      <c r="BS1702" s="13"/>
      <c r="BT1702" s="12"/>
      <c r="BV1702" s="14"/>
      <c r="BW1702" s="50"/>
      <c r="BX1702" s="54"/>
      <c r="BY1702" s="14"/>
      <c r="BZ1702" s="14"/>
      <c r="CA1702" s="14"/>
      <c r="CB1702" s="14"/>
      <c r="CC1702" s="14"/>
      <c r="CD1702" s="14"/>
      <c r="CE1702" s="14"/>
      <c r="CF1702" s="15"/>
      <c r="CG1702" s="14"/>
      <c r="CH1702" s="14"/>
      <c r="CI1702" s="50"/>
      <c r="CJ1702" s="54"/>
      <c r="CK1702" s="14"/>
      <c r="CL1702" s="14"/>
      <c r="CM1702" s="14"/>
      <c r="CN1702" s="14"/>
      <c r="CO1702" s="14"/>
      <c r="CP1702" s="14"/>
      <c r="CQ1702" s="14"/>
      <c r="CR1702" s="14"/>
      <c r="CS1702" s="14"/>
      <c r="CT1702" s="14"/>
      <c r="CU1702" s="16"/>
      <c r="CV1702" s="14"/>
      <c r="CW1702" s="50"/>
      <c r="CX1702" s="17"/>
    </row>
    <row r="1703" spans="4:102" x14ac:dyDescent="0.25">
      <c r="D1703" s="11"/>
      <c r="E1703" s="11"/>
      <c r="F1703" s="11"/>
      <c r="G1703" s="11"/>
      <c r="H1703" s="11"/>
      <c r="I1703" s="11"/>
      <c r="J1703" s="11"/>
      <c r="K1703" s="11"/>
      <c r="L1703" s="11"/>
      <c r="M1703" s="11"/>
      <c r="N1703" s="11"/>
      <c r="O1703" s="11"/>
      <c r="P1703" s="43"/>
      <c r="Q1703" s="11"/>
      <c r="R1703" s="11"/>
      <c r="S1703" s="11"/>
      <c r="T1703" s="11"/>
      <c r="U1703" s="11"/>
      <c r="V1703" s="11"/>
      <c r="W1703" s="11"/>
      <c r="X1703" s="12"/>
      <c r="Y1703" s="12"/>
      <c r="Z1703" s="12"/>
      <c r="AA1703" s="44"/>
      <c r="AB1703" s="45"/>
      <c r="AC1703" s="12"/>
      <c r="AD1703" s="12"/>
      <c r="AE1703" s="12"/>
      <c r="AF1703" s="12"/>
      <c r="AG1703" s="44"/>
      <c r="AH1703" s="45"/>
      <c r="AI1703" s="12"/>
      <c r="AJ1703" s="12"/>
      <c r="AK1703" s="12"/>
      <c r="AL1703" s="12"/>
      <c r="AM1703" s="44"/>
      <c r="AN1703" s="45"/>
      <c r="AO1703" s="12"/>
      <c r="AP1703" s="12"/>
      <c r="AQ1703" s="12"/>
      <c r="AR1703" s="12"/>
      <c r="AS1703" s="44"/>
      <c r="AT1703" s="45"/>
      <c r="AU1703" s="12"/>
      <c r="AV1703" s="12"/>
      <c r="AW1703" s="12"/>
      <c r="AX1703" s="12"/>
      <c r="AY1703" s="44"/>
      <c r="AZ1703" s="45"/>
      <c r="BA1703" s="12"/>
      <c r="BB1703" s="12"/>
      <c r="BC1703" s="12"/>
      <c r="BD1703" s="12"/>
      <c r="BE1703" s="44"/>
      <c r="BF1703" s="45"/>
      <c r="BG1703" s="12"/>
      <c r="BH1703" s="12"/>
      <c r="BI1703" s="12"/>
      <c r="BJ1703" s="12"/>
      <c r="BK1703" s="44"/>
      <c r="BL1703" s="45"/>
      <c r="BM1703" s="12"/>
      <c r="BN1703" s="12"/>
      <c r="BO1703" s="12"/>
      <c r="BP1703" s="12"/>
      <c r="BQ1703" s="48"/>
      <c r="BR1703" s="49"/>
      <c r="BS1703" s="13"/>
      <c r="BT1703" s="12"/>
      <c r="BV1703" s="14"/>
      <c r="BW1703" s="50"/>
      <c r="BX1703" s="54"/>
      <c r="BY1703" s="14"/>
      <c r="BZ1703" s="14"/>
      <c r="CA1703" s="14"/>
      <c r="CB1703" s="14"/>
      <c r="CC1703" s="14"/>
      <c r="CD1703" s="14"/>
      <c r="CE1703" s="14"/>
      <c r="CF1703" s="15"/>
      <c r="CG1703" s="14"/>
      <c r="CH1703" s="14"/>
      <c r="CI1703" s="50"/>
      <c r="CJ1703" s="54"/>
      <c r="CK1703" s="14"/>
      <c r="CL1703" s="14"/>
      <c r="CM1703" s="14"/>
      <c r="CN1703" s="14"/>
      <c r="CO1703" s="14"/>
      <c r="CP1703" s="14"/>
      <c r="CQ1703" s="14"/>
      <c r="CR1703" s="14"/>
      <c r="CS1703" s="14"/>
      <c r="CT1703" s="14"/>
      <c r="CU1703" s="16"/>
      <c r="CV1703" s="14"/>
      <c r="CW1703" s="50"/>
      <c r="CX1703" s="17"/>
    </row>
    <row r="1704" spans="4:102" x14ac:dyDescent="0.25">
      <c r="D1704" s="11"/>
      <c r="E1704" s="11"/>
      <c r="F1704" s="11"/>
      <c r="G1704" s="11"/>
      <c r="H1704" s="11"/>
      <c r="I1704" s="11"/>
      <c r="J1704" s="11"/>
      <c r="K1704" s="11"/>
      <c r="L1704" s="11"/>
      <c r="M1704" s="11"/>
      <c r="N1704" s="11"/>
      <c r="O1704" s="11"/>
      <c r="P1704" s="43"/>
      <c r="Q1704" s="11"/>
      <c r="R1704" s="11"/>
      <c r="S1704" s="11"/>
      <c r="T1704" s="11"/>
      <c r="U1704" s="11"/>
      <c r="V1704" s="11"/>
      <c r="W1704" s="11"/>
      <c r="X1704" s="12"/>
      <c r="Y1704" s="12"/>
      <c r="Z1704" s="12"/>
      <c r="AA1704" s="44"/>
      <c r="AB1704" s="45"/>
      <c r="AC1704" s="12"/>
      <c r="AD1704" s="12"/>
      <c r="AE1704" s="12"/>
      <c r="AF1704" s="12"/>
      <c r="AG1704" s="44"/>
      <c r="AH1704" s="45"/>
      <c r="AI1704" s="12"/>
      <c r="AJ1704" s="12"/>
      <c r="AK1704" s="12"/>
      <c r="AL1704" s="12"/>
      <c r="AM1704" s="44"/>
      <c r="AN1704" s="45"/>
      <c r="AO1704" s="12"/>
      <c r="AP1704" s="12"/>
      <c r="AQ1704" s="12"/>
      <c r="AR1704" s="12"/>
      <c r="AS1704" s="44"/>
      <c r="AT1704" s="45"/>
      <c r="AU1704" s="12"/>
      <c r="AV1704" s="12"/>
      <c r="AW1704" s="12"/>
      <c r="AX1704" s="12"/>
      <c r="AY1704" s="44"/>
      <c r="AZ1704" s="45"/>
      <c r="BA1704" s="12"/>
      <c r="BB1704" s="12"/>
      <c r="BC1704" s="12"/>
      <c r="BD1704" s="12"/>
      <c r="BE1704" s="44"/>
      <c r="BF1704" s="45"/>
      <c r="BG1704" s="12"/>
      <c r="BH1704" s="12"/>
      <c r="BI1704" s="12"/>
      <c r="BJ1704" s="12"/>
      <c r="BK1704" s="44"/>
      <c r="BL1704" s="45"/>
      <c r="BM1704" s="12"/>
      <c r="BN1704" s="12"/>
      <c r="BO1704" s="12"/>
      <c r="BP1704" s="12"/>
      <c r="BQ1704" s="48"/>
      <c r="BR1704" s="49"/>
      <c r="BS1704" s="13"/>
      <c r="BT1704" s="12"/>
      <c r="BV1704" s="14"/>
      <c r="BW1704" s="50"/>
      <c r="BX1704" s="54"/>
      <c r="BY1704" s="14"/>
      <c r="BZ1704" s="14"/>
      <c r="CA1704" s="14"/>
      <c r="CB1704" s="14"/>
      <c r="CC1704" s="14"/>
      <c r="CD1704" s="14"/>
      <c r="CE1704" s="14"/>
      <c r="CF1704" s="15"/>
      <c r="CG1704" s="14"/>
      <c r="CH1704" s="14"/>
      <c r="CI1704" s="50"/>
      <c r="CJ1704" s="54"/>
      <c r="CK1704" s="14"/>
      <c r="CL1704" s="14"/>
      <c r="CM1704" s="14"/>
      <c r="CN1704" s="14"/>
      <c r="CO1704" s="14"/>
      <c r="CP1704" s="14"/>
      <c r="CQ1704" s="14"/>
      <c r="CR1704" s="14"/>
      <c r="CS1704" s="14"/>
      <c r="CT1704" s="14"/>
      <c r="CU1704" s="16"/>
      <c r="CV1704" s="14"/>
      <c r="CW1704" s="50"/>
      <c r="CX1704" s="17"/>
    </row>
    <row r="1705" spans="4:102" x14ac:dyDescent="0.25">
      <c r="D1705" s="11"/>
      <c r="E1705" s="11"/>
      <c r="F1705" s="11"/>
      <c r="G1705" s="11"/>
      <c r="H1705" s="11"/>
      <c r="I1705" s="11"/>
      <c r="J1705" s="11"/>
      <c r="K1705" s="11"/>
      <c r="L1705" s="11"/>
      <c r="M1705" s="11"/>
      <c r="N1705" s="11"/>
      <c r="O1705" s="11"/>
      <c r="P1705" s="43"/>
      <c r="Q1705" s="11"/>
      <c r="R1705" s="11"/>
      <c r="S1705" s="11"/>
      <c r="T1705" s="11"/>
      <c r="U1705" s="11"/>
      <c r="V1705" s="11"/>
      <c r="W1705" s="11"/>
      <c r="X1705" s="12"/>
      <c r="Y1705" s="12"/>
      <c r="Z1705" s="12"/>
      <c r="AA1705" s="44"/>
      <c r="AB1705" s="45"/>
      <c r="AC1705" s="12"/>
      <c r="AD1705" s="12"/>
      <c r="AE1705" s="12"/>
      <c r="AF1705" s="12"/>
      <c r="AG1705" s="44"/>
      <c r="AH1705" s="45"/>
      <c r="AI1705" s="12"/>
      <c r="AJ1705" s="12"/>
      <c r="AK1705" s="12"/>
      <c r="AL1705" s="12"/>
      <c r="AM1705" s="44"/>
      <c r="AN1705" s="45"/>
      <c r="AO1705" s="12"/>
      <c r="AP1705" s="12"/>
      <c r="AQ1705" s="12"/>
      <c r="AR1705" s="12"/>
      <c r="AS1705" s="44"/>
      <c r="AT1705" s="45"/>
      <c r="AU1705" s="12"/>
      <c r="AV1705" s="12"/>
      <c r="AW1705" s="12"/>
      <c r="AX1705" s="12"/>
      <c r="AY1705" s="44"/>
      <c r="AZ1705" s="45"/>
      <c r="BA1705" s="12"/>
      <c r="BB1705" s="12"/>
      <c r="BC1705" s="12"/>
      <c r="BD1705" s="12"/>
      <c r="BE1705" s="44"/>
      <c r="BF1705" s="45"/>
      <c r="BG1705" s="12"/>
      <c r="BH1705" s="12"/>
      <c r="BI1705" s="12"/>
      <c r="BJ1705" s="12"/>
      <c r="BK1705" s="44"/>
      <c r="BL1705" s="45"/>
      <c r="BM1705" s="12"/>
      <c r="BN1705" s="12"/>
      <c r="BO1705" s="12"/>
      <c r="BP1705" s="12"/>
      <c r="BQ1705" s="48"/>
      <c r="BR1705" s="49"/>
      <c r="BS1705" s="13"/>
      <c r="BT1705" s="12"/>
      <c r="BV1705" s="14"/>
      <c r="BW1705" s="50"/>
      <c r="BX1705" s="54"/>
      <c r="BY1705" s="14"/>
      <c r="BZ1705" s="14"/>
      <c r="CA1705" s="14"/>
      <c r="CB1705" s="14"/>
      <c r="CC1705" s="14"/>
      <c r="CD1705" s="14"/>
      <c r="CE1705" s="14"/>
      <c r="CF1705" s="15"/>
      <c r="CG1705" s="14"/>
      <c r="CH1705" s="14"/>
      <c r="CI1705" s="50"/>
      <c r="CJ1705" s="54"/>
      <c r="CK1705" s="14"/>
      <c r="CL1705" s="14"/>
      <c r="CM1705" s="14"/>
      <c r="CN1705" s="14"/>
      <c r="CO1705" s="14"/>
      <c r="CP1705" s="14"/>
      <c r="CQ1705" s="14"/>
      <c r="CR1705" s="14"/>
      <c r="CS1705" s="14"/>
      <c r="CT1705" s="14"/>
      <c r="CU1705" s="16"/>
      <c r="CV1705" s="14"/>
      <c r="CW1705" s="50"/>
      <c r="CX1705" s="17"/>
    </row>
    <row r="1706" spans="4:102" x14ac:dyDescent="0.25">
      <c r="D1706" s="11"/>
      <c r="E1706" s="11"/>
      <c r="F1706" s="11"/>
      <c r="G1706" s="11"/>
      <c r="H1706" s="11"/>
      <c r="I1706" s="11"/>
      <c r="J1706" s="11"/>
      <c r="K1706" s="11"/>
      <c r="L1706" s="11"/>
      <c r="M1706" s="11"/>
      <c r="N1706" s="11"/>
      <c r="O1706" s="11"/>
      <c r="P1706" s="43"/>
      <c r="Q1706" s="11"/>
      <c r="R1706" s="11"/>
      <c r="S1706" s="11"/>
      <c r="T1706" s="11"/>
      <c r="U1706" s="11"/>
      <c r="V1706" s="11"/>
      <c r="W1706" s="11"/>
      <c r="X1706" s="12"/>
      <c r="Y1706" s="12"/>
      <c r="Z1706" s="12"/>
      <c r="AA1706" s="44"/>
      <c r="AB1706" s="45"/>
      <c r="AC1706" s="12"/>
      <c r="AD1706" s="12"/>
      <c r="AE1706" s="12"/>
      <c r="AF1706" s="12"/>
      <c r="AG1706" s="44"/>
      <c r="AH1706" s="45"/>
      <c r="AI1706" s="12"/>
      <c r="AJ1706" s="12"/>
      <c r="AK1706" s="12"/>
      <c r="AL1706" s="12"/>
      <c r="AM1706" s="44"/>
      <c r="AN1706" s="45"/>
      <c r="AO1706" s="12"/>
      <c r="AP1706" s="12"/>
      <c r="AQ1706" s="12"/>
      <c r="AR1706" s="12"/>
      <c r="AS1706" s="44"/>
      <c r="AT1706" s="45"/>
      <c r="AU1706" s="12"/>
      <c r="AV1706" s="12"/>
      <c r="AW1706" s="12"/>
      <c r="AX1706" s="12"/>
      <c r="AY1706" s="44"/>
      <c r="AZ1706" s="45"/>
      <c r="BA1706" s="12"/>
      <c r="BB1706" s="12"/>
      <c r="BC1706" s="12"/>
      <c r="BD1706" s="12"/>
      <c r="BE1706" s="44"/>
      <c r="BF1706" s="45"/>
      <c r="BG1706" s="12"/>
      <c r="BH1706" s="12"/>
      <c r="BI1706" s="12"/>
      <c r="BJ1706" s="12"/>
      <c r="BK1706" s="44"/>
      <c r="BL1706" s="45"/>
      <c r="BM1706" s="12"/>
      <c r="BN1706" s="12"/>
      <c r="BO1706" s="12"/>
      <c r="BP1706" s="12"/>
      <c r="BQ1706" s="48"/>
      <c r="BR1706" s="49"/>
      <c r="BS1706" s="13"/>
      <c r="BT1706" s="12"/>
      <c r="BV1706" s="14"/>
      <c r="BW1706" s="50"/>
      <c r="BX1706" s="54"/>
      <c r="BY1706" s="14"/>
      <c r="BZ1706" s="14"/>
      <c r="CA1706" s="14"/>
      <c r="CB1706" s="14"/>
      <c r="CC1706" s="14"/>
      <c r="CD1706" s="14"/>
      <c r="CE1706" s="14"/>
      <c r="CF1706" s="15"/>
      <c r="CG1706" s="14"/>
      <c r="CH1706" s="14"/>
      <c r="CI1706" s="50"/>
      <c r="CJ1706" s="54"/>
      <c r="CK1706" s="14"/>
      <c r="CL1706" s="14"/>
      <c r="CM1706" s="14"/>
      <c r="CN1706" s="14"/>
      <c r="CO1706" s="14"/>
      <c r="CP1706" s="14"/>
      <c r="CQ1706" s="14"/>
      <c r="CR1706" s="14"/>
      <c r="CS1706" s="14"/>
      <c r="CT1706" s="14"/>
      <c r="CU1706" s="16"/>
      <c r="CV1706" s="14"/>
      <c r="CW1706" s="50"/>
      <c r="CX1706" s="17"/>
    </row>
    <row r="1707" spans="4:102" x14ac:dyDescent="0.25">
      <c r="D1707" s="11"/>
      <c r="E1707" s="11"/>
      <c r="F1707" s="11"/>
      <c r="G1707" s="11"/>
      <c r="H1707" s="11"/>
      <c r="I1707" s="11"/>
      <c r="J1707" s="11"/>
      <c r="K1707" s="11"/>
      <c r="L1707" s="11"/>
      <c r="M1707" s="11"/>
      <c r="N1707" s="11"/>
      <c r="O1707" s="11"/>
      <c r="P1707" s="43"/>
      <c r="Q1707" s="11"/>
      <c r="R1707" s="11"/>
      <c r="S1707" s="11"/>
      <c r="T1707" s="11"/>
      <c r="U1707" s="11"/>
      <c r="V1707" s="11"/>
      <c r="W1707" s="11"/>
      <c r="X1707" s="12"/>
      <c r="Y1707" s="12"/>
      <c r="Z1707" s="12"/>
      <c r="AA1707" s="44"/>
      <c r="AB1707" s="45"/>
      <c r="AC1707" s="12"/>
      <c r="AD1707" s="12"/>
      <c r="AE1707" s="12"/>
      <c r="AF1707" s="12"/>
      <c r="AG1707" s="44"/>
      <c r="AH1707" s="45"/>
      <c r="AI1707" s="12"/>
      <c r="AJ1707" s="12"/>
      <c r="AK1707" s="12"/>
      <c r="AL1707" s="12"/>
      <c r="AM1707" s="44"/>
      <c r="AN1707" s="45"/>
      <c r="AO1707" s="12"/>
      <c r="AP1707" s="12"/>
      <c r="AQ1707" s="12"/>
      <c r="AR1707" s="12"/>
      <c r="AS1707" s="44"/>
      <c r="AT1707" s="45"/>
      <c r="AU1707" s="12"/>
      <c r="AV1707" s="12"/>
      <c r="AW1707" s="12"/>
      <c r="AX1707" s="12"/>
      <c r="AY1707" s="44"/>
      <c r="AZ1707" s="45"/>
      <c r="BA1707" s="12"/>
      <c r="BB1707" s="12"/>
      <c r="BC1707" s="12"/>
      <c r="BD1707" s="12"/>
      <c r="BE1707" s="44"/>
      <c r="BF1707" s="45"/>
      <c r="BG1707" s="12"/>
      <c r="BH1707" s="12"/>
      <c r="BI1707" s="12"/>
      <c r="BJ1707" s="12"/>
      <c r="BK1707" s="44"/>
      <c r="BL1707" s="45"/>
      <c r="BM1707" s="12"/>
      <c r="BN1707" s="12"/>
      <c r="BO1707" s="12"/>
      <c r="BP1707" s="12"/>
      <c r="BQ1707" s="48"/>
      <c r="BR1707" s="49"/>
      <c r="BS1707" s="13"/>
      <c r="BT1707" s="12"/>
      <c r="BV1707" s="14"/>
      <c r="BW1707" s="50"/>
      <c r="BX1707" s="54"/>
      <c r="BY1707" s="14"/>
      <c r="BZ1707" s="14"/>
      <c r="CA1707" s="14"/>
      <c r="CB1707" s="14"/>
      <c r="CC1707" s="14"/>
      <c r="CD1707" s="14"/>
      <c r="CE1707" s="14"/>
      <c r="CF1707" s="15"/>
      <c r="CG1707" s="14"/>
      <c r="CH1707" s="14"/>
      <c r="CI1707" s="50"/>
      <c r="CJ1707" s="54"/>
      <c r="CK1707" s="14"/>
      <c r="CL1707" s="14"/>
      <c r="CM1707" s="14"/>
      <c r="CN1707" s="14"/>
      <c r="CO1707" s="14"/>
      <c r="CP1707" s="14"/>
      <c r="CQ1707" s="14"/>
      <c r="CR1707" s="14"/>
      <c r="CS1707" s="14"/>
      <c r="CT1707" s="14"/>
      <c r="CU1707" s="16"/>
      <c r="CV1707" s="14"/>
      <c r="CW1707" s="50"/>
      <c r="CX1707" s="17"/>
    </row>
    <row r="1708" spans="4:102" x14ac:dyDescent="0.25">
      <c r="D1708" s="11"/>
      <c r="E1708" s="11"/>
      <c r="F1708" s="11"/>
      <c r="G1708" s="11"/>
      <c r="H1708" s="11"/>
      <c r="I1708" s="11"/>
      <c r="J1708" s="11"/>
      <c r="K1708" s="11"/>
      <c r="L1708" s="11"/>
      <c r="M1708" s="11"/>
      <c r="N1708" s="11"/>
      <c r="O1708" s="11"/>
      <c r="P1708" s="43"/>
      <c r="Q1708" s="11"/>
      <c r="R1708" s="11"/>
      <c r="S1708" s="11"/>
      <c r="T1708" s="11"/>
      <c r="U1708" s="11"/>
      <c r="V1708" s="11"/>
      <c r="W1708" s="11"/>
      <c r="X1708" s="12"/>
      <c r="Y1708" s="12"/>
      <c r="Z1708" s="12"/>
      <c r="AA1708" s="44"/>
      <c r="AB1708" s="45"/>
      <c r="AC1708" s="12"/>
      <c r="AD1708" s="12"/>
      <c r="AE1708" s="12"/>
      <c r="AF1708" s="12"/>
      <c r="AG1708" s="44"/>
      <c r="AH1708" s="45"/>
      <c r="AI1708" s="12"/>
      <c r="AJ1708" s="12"/>
      <c r="AK1708" s="12"/>
      <c r="AL1708" s="12"/>
      <c r="AM1708" s="44"/>
      <c r="AN1708" s="45"/>
      <c r="AO1708" s="12"/>
      <c r="AP1708" s="12"/>
      <c r="AQ1708" s="12"/>
      <c r="AR1708" s="12"/>
      <c r="AS1708" s="44"/>
      <c r="AT1708" s="45"/>
      <c r="AU1708" s="12"/>
      <c r="AV1708" s="12"/>
      <c r="AW1708" s="12"/>
      <c r="AX1708" s="12"/>
      <c r="AY1708" s="44"/>
      <c r="AZ1708" s="45"/>
      <c r="BA1708" s="12"/>
      <c r="BB1708" s="12"/>
      <c r="BC1708" s="12"/>
      <c r="BD1708" s="12"/>
      <c r="BE1708" s="44"/>
      <c r="BF1708" s="45"/>
      <c r="BG1708" s="12"/>
      <c r="BH1708" s="12"/>
      <c r="BI1708" s="12"/>
      <c r="BJ1708" s="12"/>
      <c r="BK1708" s="44"/>
      <c r="BL1708" s="45"/>
      <c r="BM1708" s="12"/>
      <c r="BN1708" s="12"/>
      <c r="BO1708" s="12"/>
      <c r="BP1708" s="12"/>
      <c r="BQ1708" s="48"/>
      <c r="BR1708" s="49"/>
      <c r="BS1708" s="13"/>
      <c r="BT1708" s="12"/>
      <c r="BV1708" s="14"/>
      <c r="BW1708" s="50"/>
      <c r="BX1708" s="54"/>
      <c r="BY1708" s="14"/>
      <c r="BZ1708" s="14"/>
      <c r="CA1708" s="14"/>
      <c r="CB1708" s="14"/>
      <c r="CC1708" s="14"/>
      <c r="CD1708" s="14"/>
      <c r="CE1708" s="14"/>
      <c r="CF1708" s="15"/>
      <c r="CG1708" s="14"/>
      <c r="CH1708" s="14"/>
      <c r="CI1708" s="50"/>
      <c r="CJ1708" s="54"/>
      <c r="CK1708" s="14"/>
      <c r="CL1708" s="14"/>
      <c r="CM1708" s="14"/>
      <c r="CN1708" s="14"/>
      <c r="CO1708" s="14"/>
      <c r="CP1708" s="14"/>
      <c r="CQ1708" s="14"/>
      <c r="CR1708" s="14"/>
      <c r="CS1708" s="14"/>
      <c r="CT1708" s="14"/>
      <c r="CU1708" s="16"/>
      <c r="CV1708" s="14"/>
      <c r="CW1708" s="50"/>
      <c r="CX1708" s="17"/>
    </row>
    <row r="1709" spans="4:102" x14ac:dyDescent="0.25">
      <c r="D1709" s="11"/>
      <c r="E1709" s="11"/>
      <c r="F1709" s="11"/>
      <c r="G1709" s="11"/>
      <c r="H1709" s="11"/>
      <c r="I1709" s="11"/>
      <c r="J1709" s="11"/>
      <c r="K1709" s="11"/>
      <c r="L1709" s="11"/>
      <c r="M1709" s="11"/>
      <c r="N1709" s="11"/>
      <c r="O1709" s="11"/>
      <c r="P1709" s="43"/>
      <c r="Q1709" s="11"/>
      <c r="R1709" s="11"/>
      <c r="S1709" s="11"/>
      <c r="T1709" s="11"/>
      <c r="U1709" s="11"/>
      <c r="V1709" s="11"/>
      <c r="W1709" s="11"/>
      <c r="X1709" s="12"/>
      <c r="Y1709" s="12"/>
      <c r="Z1709" s="12"/>
      <c r="AA1709" s="44"/>
      <c r="AB1709" s="45"/>
      <c r="AC1709" s="12"/>
      <c r="AD1709" s="12"/>
      <c r="AE1709" s="12"/>
      <c r="AF1709" s="12"/>
      <c r="AG1709" s="44"/>
      <c r="AH1709" s="45"/>
      <c r="AI1709" s="12"/>
      <c r="AJ1709" s="12"/>
      <c r="AK1709" s="12"/>
      <c r="AL1709" s="12"/>
      <c r="AM1709" s="44"/>
      <c r="AN1709" s="45"/>
      <c r="AO1709" s="12"/>
      <c r="AP1709" s="12"/>
      <c r="AQ1709" s="12"/>
      <c r="AR1709" s="12"/>
      <c r="AS1709" s="44"/>
      <c r="AT1709" s="45"/>
      <c r="AU1709" s="12"/>
      <c r="AV1709" s="12"/>
      <c r="AW1709" s="12"/>
      <c r="AX1709" s="12"/>
      <c r="AY1709" s="44"/>
      <c r="AZ1709" s="45"/>
      <c r="BA1709" s="12"/>
      <c r="BB1709" s="12"/>
      <c r="BC1709" s="12"/>
      <c r="BD1709" s="12"/>
      <c r="BE1709" s="44"/>
      <c r="BF1709" s="45"/>
      <c r="BG1709" s="12"/>
      <c r="BH1709" s="12"/>
      <c r="BI1709" s="12"/>
      <c r="BJ1709" s="12"/>
      <c r="BK1709" s="44"/>
      <c r="BL1709" s="45"/>
      <c r="BM1709" s="12"/>
      <c r="BN1709" s="12"/>
      <c r="BO1709" s="12"/>
      <c r="BP1709" s="12"/>
      <c r="BQ1709" s="48"/>
      <c r="BR1709" s="49"/>
      <c r="BS1709" s="13"/>
      <c r="BT1709" s="12"/>
      <c r="BV1709" s="14"/>
      <c r="BW1709" s="50"/>
      <c r="BX1709" s="54"/>
      <c r="BY1709" s="14"/>
      <c r="BZ1709" s="14"/>
      <c r="CA1709" s="14"/>
      <c r="CB1709" s="14"/>
      <c r="CC1709" s="14"/>
      <c r="CD1709" s="14"/>
      <c r="CE1709" s="14"/>
      <c r="CF1709" s="15"/>
      <c r="CG1709" s="14"/>
      <c r="CH1709" s="14"/>
      <c r="CI1709" s="50"/>
      <c r="CJ1709" s="54"/>
      <c r="CK1709" s="14"/>
      <c r="CL1709" s="14"/>
      <c r="CM1709" s="14"/>
      <c r="CN1709" s="14"/>
      <c r="CO1709" s="14"/>
      <c r="CP1709" s="14"/>
      <c r="CQ1709" s="14"/>
      <c r="CR1709" s="14"/>
      <c r="CS1709" s="14"/>
      <c r="CT1709" s="14"/>
      <c r="CU1709" s="16"/>
      <c r="CV1709" s="14"/>
      <c r="CW1709" s="50"/>
      <c r="CX1709" s="17"/>
    </row>
    <row r="1710" spans="4:102" x14ac:dyDescent="0.25">
      <c r="D1710" s="11"/>
      <c r="E1710" s="11"/>
      <c r="F1710" s="11"/>
      <c r="G1710" s="11"/>
      <c r="H1710" s="11"/>
      <c r="I1710" s="11"/>
      <c r="J1710" s="11"/>
      <c r="K1710" s="11"/>
      <c r="L1710" s="11"/>
      <c r="M1710" s="11"/>
      <c r="N1710" s="11"/>
      <c r="O1710" s="11"/>
      <c r="P1710" s="43"/>
      <c r="Q1710" s="11"/>
      <c r="R1710" s="11"/>
      <c r="S1710" s="11"/>
      <c r="T1710" s="11"/>
      <c r="U1710" s="11"/>
      <c r="V1710" s="11"/>
      <c r="W1710" s="11"/>
      <c r="X1710" s="12"/>
      <c r="Y1710" s="12"/>
      <c r="Z1710" s="12"/>
      <c r="AA1710" s="44"/>
      <c r="AB1710" s="45"/>
      <c r="AC1710" s="12"/>
      <c r="AD1710" s="12"/>
      <c r="AE1710" s="12"/>
      <c r="AF1710" s="12"/>
      <c r="AG1710" s="44"/>
      <c r="AH1710" s="45"/>
      <c r="AI1710" s="12"/>
      <c r="AJ1710" s="12"/>
      <c r="AK1710" s="12"/>
      <c r="AL1710" s="12"/>
      <c r="AM1710" s="44"/>
      <c r="AN1710" s="45"/>
      <c r="AO1710" s="12"/>
      <c r="AP1710" s="12"/>
      <c r="AQ1710" s="12"/>
      <c r="AR1710" s="12"/>
      <c r="AS1710" s="44"/>
      <c r="AT1710" s="45"/>
      <c r="AU1710" s="12"/>
      <c r="AV1710" s="12"/>
      <c r="AW1710" s="12"/>
      <c r="AX1710" s="12"/>
      <c r="AY1710" s="44"/>
      <c r="AZ1710" s="45"/>
      <c r="BA1710" s="12"/>
      <c r="BB1710" s="12"/>
      <c r="BC1710" s="12"/>
      <c r="BD1710" s="12"/>
      <c r="BE1710" s="44"/>
      <c r="BF1710" s="45"/>
      <c r="BG1710" s="12"/>
      <c r="BH1710" s="12"/>
      <c r="BI1710" s="12"/>
      <c r="BJ1710" s="12"/>
      <c r="BK1710" s="44"/>
      <c r="BL1710" s="45"/>
      <c r="BM1710" s="12"/>
      <c r="BN1710" s="12"/>
      <c r="BO1710" s="12"/>
      <c r="BP1710" s="12"/>
      <c r="BQ1710" s="48"/>
      <c r="BR1710" s="49"/>
      <c r="BS1710" s="13"/>
      <c r="BT1710" s="12"/>
      <c r="BV1710" s="14"/>
      <c r="BW1710" s="50"/>
      <c r="BX1710" s="54"/>
      <c r="BY1710" s="14"/>
      <c r="BZ1710" s="14"/>
      <c r="CA1710" s="14"/>
      <c r="CB1710" s="14"/>
      <c r="CC1710" s="14"/>
      <c r="CD1710" s="14"/>
      <c r="CE1710" s="14"/>
      <c r="CF1710" s="15"/>
      <c r="CG1710" s="14"/>
      <c r="CH1710" s="14"/>
      <c r="CI1710" s="50"/>
      <c r="CJ1710" s="54"/>
      <c r="CK1710" s="14"/>
      <c r="CL1710" s="14"/>
      <c r="CM1710" s="14"/>
      <c r="CN1710" s="14"/>
      <c r="CO1710" s="14"/>
      <c r="CP1710" s="14"/>
      <c r="CQ1710" s="14"/>
      <c r="CR1710" s="14"/>
      <c r="CS1710" s="14"/>
      <c r="CT1710" s="14"/>
      <c r="CU1710" s="16"/>
      <c r="CV1710" s="14"/>
      <c r="CW1710" s="50"/>
      <c r="CX1710" s="17"/>
    </row>
    <row r="1711" spans="4:102" x14ac:dyDescent="0.25">
      <c r="D1711" s="11"/>
      <c r="E1711" s="11"/>
      <c r="F1711" s="11"/>
      <c r="G1711" s="11"/>
      <c r="H1711" s="11"/>
      <c r="I1711" s="11"/>
      <c r="J1711" s="11"/>
      <c r="K1711" s="11"/>
      <c r="L1711" s="11"/>
      <c r="M1711" s="11"/>
      <c r="N1711" s="11"/>
      <c r="O1711" s="11"/>
      <c r="P1711" s="43"/>
      <c r="Q1711" s="11"/>
      <c r="R1711" s="11"/>
      <c r="S1711" s="11"/>
      <c r="T1711" s="11"/>
      <c r="U1711" s="11"/>
      <c r="V1711" s="11"/>
      <c r="W1711" s="11"/>
      <c r="X1711" s="12"/>
      <c r="Y1711" s="12"/>
      <c r="Z1711" s="12"/>
      <c r="AA1711" s="44"/>
      <c r="AB1711" s="45"/>
      <c r="AC1711" s="12"/>
      <c r="AD1711" s="12"/>
      <c r="AE1711" s="12"/>
      <c r="AF1711" s="12"/>
      <c r="AG1711" s="44"/>
      <c r="AH1711" s="45"/>
      <c r="AI1711" s="12"/>
      <c r="AJ1711" s="12"/>
      <c r="AK1711" s="12"/>
      <c r="AL1711" s="12"/>
      <c r="AM1711" s="44"/>
      <c r="AN1711" s="45"/>
      <c r="AO1711" s="12"/>
      <c r="AP1711" s="12"/>
      <c r="AQ1711" s="12"/>
      <c r="AR1711" s="12"/>
      <c r="AS1711" s="44"/>
      <c r="AT1711" s="45"/>
      <c r="AU1711" s="12"/>
      <c r="AV1711" s="12"/>
      <c r="AW1711" s="12"/>
      <c r="AX1711" s="12"/>
      <c r="AY1711" s="44"/>
      <c r="AZ1711" s="45"/>
      <c r="BA1711" s="12"/>
      <c r="BB1711" s="12"/>
      <c r="BC1711" s="12"/>
      <c r="BD1711" s="12"/>
      <c r="BE1711" s="44"/>
      <c r="BF1711" s="45"/>
      <c r="BG1711" s="12"/>
      <c r="BH1711" s="12"/>
      <c r="BI1711" s="12"/>
      <c r="BJ1711" s="12"/>
      <c r="BK1711" s="44"/>
      <c r="BL1711" s="45"/>
      <c r="BM1711" s="12"/>
      <c r="BN1711" s="12"/>
      <c r="BO1711" s="12"/>
      <c r="BP1711" s="12"/>
      <c r="BQ1711" s="48"/>
      <c r="BR1711" s="49"/>
      <c r="BS1711" s="13"/>
      <c r="BT1711" s="12"/>
      <c r="BV1711" s="14"/>
      <c r="BW1711" s="50"/>
      <c r="BX1711" s="54"/>
      <c r="BY1711" s="14"/>
      <c r="BZ1711" s="14"/>
      <c r="CA1711" s="14"/>
      <c r="CB1711" s="14"/>
      <c r="CC1711" s="14"/>
      <c r="CD1711" s="14"/>
      <c r="CE1711" s="14"/>
      <c r="CF1711" s="15"/>
      <c r="CG1711" s="14"/>
      <c r="CH1711" s="14"/>
      <c r="CI1711" s="50"/>
      <c r="CJ1711" s="54"/>
      <c r="CK1711" s="14"/>
      <c r="CL1711" s="14"/>
      <c r="CM1711" s="14"/>
      <c r="CN1711" s="14"/>
      <c r="CO1711" s="14"/>
      <c r="CP1711" s="14"/>
      <c r="CQ1711" s="14"/>
      <c r="CR1711" s="14"/>
      <c r="CS1711" s="14"/>
      <c r="CT1711" s="14"/>
      <c r="CU1711" s="16"/>
      <c r="CV1711" s="14"/>
      <c r="CW1711" s="50"/>
      <c r="CX1711" s="17"/>
    </row>
    <row r="1712" spans="4:102" x14ac:dyDescent="0.25">
      <c r="D1712" s="11"/>
      <c r="E1712" s="11"/>
      <c r="F1712" s="11"/>
      <c r="G1712" s="11"/>
      <c r="H1712" s="11"/>
      <c r="I1712" s="11"/>
      <c r="J1712" s="11"/>
      <c r="K1712" s="11"/>
      <c r="L1712" s="11"/>
      <c r="M1712" s="11"/>
      <c r="N1712" s="11"/>
      <c r="O1712" s="11"/>
      <c r="P1712" s="43"/>
      <c r="Q1712" s="11"/>
      <c r="R1712" s="11"/>
      <c r="S1712" s="11"/>
      <c r="T1712" s="11"/>
      <c r="U1712" s="11"/>
      <c r="V1712" s="11"/>
      <c r="W1712" s="11"/>
      <c r="X1712" s="12"/>
      <c r="Y1712" s="12"/>
      <c r="Z1712" s="12"/>
      <c r="AA1712" s="44"/>
      <c r="AB1712" s="45"/>
      <c r="AC1712" s="12"/>
      <c r="AD1712" s="12"/>
      <c r="AE1712" s="12"/>
      <c r="AF1712" s="12"/>
      <c r="AG1712" s="44"/>
      <c r="AH1712" s="45"/>
      <c r="AI1712" s="12"/>
      <c r="AJ1712" s="12"/>
      <c r="AK1712" s="12"/>
      <c r="AL1712" s="12"/>
      <c r="AM1712" s="44"/>
      <c r="AN1712" s="45"/>
      <c r="AO1712" s="12"/>
      <c r="AP1712" s="12"/>
      <c r="AQ1712" s="12"/>
      <c r="AR1712" s="12"/>
      <c r="AS1712" s="44"/>
      <c r="AT1712" s="45"/>
      <c r="AU1712" s="12"/>
      <c r="AV1712" s="12"/>
      <c r="AW1712" s="12"/>
      <c r="AX1712" s="12"/>
      <c r="AY1712" s="44"/>
      <c r="AZ1712" s="45"/>
      <c r="BA1712" s="12"/>
      <c r="BB1712" s="12"/>
      <c r="BC1712" s="12"/>
      <c r="BD1712" s="12"/>
      <c r="BE1712" s="44"/>
      <c r="BF1712" s="45"/>
      <c r="BG1712" s="12"/>
      <c r="BH1712" s="12"/>
      <c r="BI1712" s="12"/>
      <c r="BJ1712" s="12"/>
      <c r="BK1712" s="44"/>
      <c r="BL1712" s="45"/>
      <c r="BM1712" s="12"/>
      <c r="BN1712" s="12"/>
      <c r="BO1712" s="12"/>
      <c r="BP1712" s="12"/>
      <c r="BQ1712" s="48"/>
      <c r="BR1712" s="49"/>
      <c r="BS1712" s="13"/>
      <c r="BT1712" s="12"/>
      <c r="BV1712" s="14"/>
      <c r="BW1712" s="50"/>
      <c r="BX1712" s="54"/>
      <c r="BY1712" s="14"/>
      <c r="BZ1712" s="14"/>
      <c r="CA1712" s="14"/>
      <c r="CB1712" s="14"/>
      <c r="CC1712" s="14"/>
      <c r="CD1712" s="14"/>
      <c r="CE1712" s="14"/>
      <c r="CF1712" s="15"/>
      <c r="CG1712" s="14"/>
      <c r="CH1712" s="14"/>
      <c r="CI1712" s="50"/>
      <c r="CJ1712" s="54"/>
      <c r="CK1712" s="14"/>
      <c r="CL1712" s="14"/>
      <c r="CM1712" s="14"/>
      <c r="CN1712" s="14"/>
      <c r="CO1712" s="14"/>
      <c r="CP1712" s="14"/>
      <c r="CQ1712" s="14"/>
      <c r="CR1712" s="14"/>
      <c r="CS1712" s="14"/>
      <c r="CT1712" s="14"/>
      <c r="CU1712" s="16"/>
      <c r="CV1712" s="14"/>
      <c r="CW1712" s="50"/>
      <c r="CX1712" s="17"/>
    </row>
    <row r="1713" spans="4:102" x14ac:dyDescent="0.25">
      <c r="D1713" s="11"/>
      <c r="E1713" s="11"/>
      <c r="F1713" s="11"/>
      <c r="G1713" s="11"/>
      <c r="H1713" s="11"/>
      <c r="I1713" s="11"/>
      <c r="J1713" s="11"/>
      <c r="K1713" s="11"/>
      <c r="L1713" s="11"/>
      <c r="M1713" s="11"/>
      <c r="N1713" s="11"/>
      <c r="O1713" s="11"/>
      <c r="P1713" s="43"/>
      <c r="Q1713" s="11"/>
      <c r="R1713" s="11"/>
      <c r="S1713" s="11"/>
      <c r="T1713" s="11"/>
      <c r="U1713" s="11"/>
      <c r="V1713" s="11"/>
      <c r="W1713" s="11"/>
      <c r="X1713" s="12"/>
      <c r="Y1713" s="12"/>
      <c r="Z1713" s="12"/>
      <c r="AA1713" s="44"/>
      <c r="AB1713" s="45"/>
      <c r="AC1713" s="12"/>
      <c r="AD1713" s="12"/>
      <c r="AE1713" s="12"/>
      <c r="AF1713" s="12"/>
      <c r="AG1713" s="44"/>
      <c r="AH1713" s="45"/>
      <c r="AI1713" s="12"/>
      <c r="AJ1713" s="12"/>
      <c r="AK1713" s="12"/>
      <c r="AL1713" s="12"/>
      <c r="AM1713" s="44"/>
      <c r="AN1713" s="45"/>
      <c r="AO1713" s="12"/>
      <c r="AP1713" s="12"/>
      <c r="AQ1713" s="12"/>
      <c r="AR1713" s="12"/>
      <c r="AS1713" s="44"/>
      <c r="AT1713" s="45"/>
      <c r="AU1713" s="12"/>
      <c r="AV1713" s="12"/>
      <c r="AW1713" s="12"/>
      <c r="AX1713" s="12"/>
      <c r="AY1713" s="44"/>
      <c r="AZ1713" s="45"/>
      <c r="BA1713" s="12"/>
      <c r="BB1713" s="12"/>
      <c r="BC1713" s="12"/>
      <c r="BD1713" s="12"/>
      <c r="BE1713" s="44"/>
      <c r="BF1713" s="45"/>
      <c r="BG1713" s="12"/>
      <c r="BH1713" s="12"/>
      <c r="BI1713" s="12"/>
      <c r="BJ1713" s="12"/>
      <c r="BK1713" s="44"/>
      <c r="BL1713" s="45"/>
      <c r="BM1713" s="12"/>
      <c r="BN1713" s="12"/>
      <c r="BO1713" s="12"/>
      <c r="BP1713" s="12"/>
      <c r="BQ1713" s="48"/>
      <c r="BR1713" s="49"/>
      <c r="BS1713" s="13"/>
      <c r="BT1713" s="12"/>
      <c r="BV1713" s="14"/>
      <c r="BW1713" s="50"/>
      <c r="BX1713" s="54"/>
      <c r="BY1713" s="14"/>
      <c r="BZ1713" s="14"/>
      <c r="CA1713" s="14"/>
      <c r="CB1713" s="14"/>
      <c r="CC1713" s="14"/>
      <c r="CD1713" s="14"/>
      <c r="CE1713" s="14"/>
      <c r="CF1713" s="15"/>
      <c r="CG1713" s="14"/>
      <c r="CH1713" s="14"/>
      <c r="CI1713" s="50"/>
      <c r="CJ1713" s="54"/>
      <c r="CK1713" s="14"/>
      <c r="CL1713" s="14"/>
      <c r="CM1713" s="14"/>
      <c r="CN1713" s="14"/>
      <c r="CO1713" s="14"/>
      <c r="CP1713" s="14"/>
      <c r="CQ1713" s="14"/>
      <c r="CR1713" s="14"/>
      <c r="CS1713" s="14"/>
      <c r="CT1713" s="14"/>
      <c r="CU1713" s="16"/>
      <c r="CV1713" s="14"/>
      <c r="CW1713" s="50"/>
      <c r="CX1713" s="17"/>
    </row>
    <row r="1714" spans="4:102" x14ac:dyDescent="0.25">
      <c r="D1714" s="11"/>
      <c r="E1714" s="11"/>
      <c r="F1714" s="11"/>
      <c r="G1714" s="11"/>
      <c r="H1714" s="11"/>
      <c r="I1714" s="11"/>
      <c r="J1714" s="11"/>
      <c r="K1714" s="11"/>
      <c r="L1714" s="11"/>
      <c r="M1714" s="11"/>
      <c r="N1714" s="11"/>
      <c r="O1714" s="11"/>
      <c r="P1714" s="43"/>
      <c r="Q1714" s="11"/>
      <c r="R1714" s="11"/>
      <c r="S1714" s="11"/>
      <c r="T1714" s="11"/>
      <c r="U1714" s="11"/>
      <c r="V1714" s="11"/>
      <c r="W1714" s="11"/>
      <c r="X1714" s="12"/>
      <c r="Y1714" s="12"/>
      <c r="Z1714" s="12"/>
      <c r="AA1714" s="44"/>
      <c r="AB1714" s="45"/>
      <c r="AC1714" s="12"/>
      <c r="AD1714" s="12"/>
      <c r="AE1714" s="12"/>
      <c r="AF1714" s="12"/>
      <c r="AG1714" s="44"/>
      <c r="AH1714" s="45"/>
      <c r="AI1714" s="12"/>
      <c r="AJ1714" s="12"/>
      <c r="AK1714" s="12"/>
      <c r="AL1714" s="12"/>
      <c r="AM1714" s="44"/>
      <c r="AN1714" s="45"/>
      <c r="AO1714" s="12"/>
      <c r="AP1714" s="12"/>
      <c r="AQ1714" s="12"/>
      <c r="AR1714" s="12"/>
      <c r="AS1714" s="44"/>
      <c r="AT1714" s="45"/>
      <c r="AU1714" s="12"/>
      <c r="AV1714" s="12"/>
      <c r="AW1714" s="12"/>
      <c r="AX1714" s="12"/>
      <c r="AY1714" s="44"/>
      <c r="AZ1714" s="45"/>
      <c r="BA1714" s="12"/>
      <c r="BB1714" s="12"/>
      <c r="BC1714" s="12"/>
      <c r="BD1714" s="12"/>
      <c r="BE1714" s="44"/>
      <c r="BF1714" s="45"/>
      <c r="BG1714" s="12"/>
      <c r="BH1714" s="12"/>
      <c r="BI1714" s="12"/>
      <c r="BJ1714" s="12"/>
      <c r="BK1714" s="44"/>
      <c r="BL1714" s="45"/>
      <c r="BM1714" s="12"/>
      <c r="BN1714" s="12"/>
      <c r="BO1714" s="12"/>
      <c r="BP1714" s="12"/>
      <c r="BQ1714" s="48"/>
      <c r="BR1714" s="49"/>
      <c r="BS1714" s="13"/>
      <c r="BT1714" s="12"/>
      <c r="BV1714" s="14"/>
      <c r="BW1714" s="50"/>
      <c r="BX1714" s="54"/>
      <c r="BY1714" s="14"/>
      <c r="BZ1714" s="14"/>
      <c r="CA1714" s="14"/>
      <c r="CB1714" s="14"/>
      <c r="CC1714" s="14"/>
      <c r="CD1714" s="14"/>
      <c r="CE1714" s="14"/>
      <c r="CF1714" s="15"/>
      <c r="CG1714" s="14"/>
      <c r="CH1714" s="14"/>
      <c r="CI1714" s="50"/>
      <c r="CJ1714" s="54"/>
      <c r="CK1714" s="14"/>
      <c r="CL1714" s="14"/>
      <c r="CM1714" s="14"/>
      <c r="CN1714" s="14"/>
      <c r="CO1714" s="14"/>
      <c r="CP1714" s="14"/>
      <c r="CQ1714" s="14"/>
      <c r="CR1714" s="14"/>
      <c r="CS1714" s="14"/>
      <c r="CT1714" s="14"/>
      <c r="CU1714" s="16"/>
      <c r="CV1714" s="14"/>
      <c r="CW1714" s="50"/>
      <c r="CX1714" s="17"/>
    </row>
    <row r="1715" spans="4:102" x14ac:dyDescent="0.25">
      <c r="D1715" s="11"/>
      <c r="E1715" s="11"/>
      <c r="F1715" s="11"/>
      <c r="G1715" s="11"/>
      <c r="H1715" s="11"/>
      <c r="I1715" s="11"/>
      <c r="J1715" s="11"/>
      <c r="K1715" s="11"/>
      <c r="L1715" s="11"/>
      <c r="M1715" s="11"/>
      <c r="N1715" s="11"/>
      <c r="O1715" s="11"/>
      <c r="P1715" s="43"/>
      <c r="Q1715" s="11"/>
      <c r="R1715" s="11"/>
      <c r="S1715" s="11"/>
      <c r="T1715" s="11"/>
      <c r="U1715" s="11"/>
      <c r="V1715" s="11"/>
      <c r="W1715" s="11"/>
      <c r="X1715" s="12"/>
      <c r="Y1715" s="12"/>
      <c r="Z1715" s="12"/>
      <c r="AA1715" s="44"/>
      <c r="AB1715" s="45"/>
      <c r="AC1715" s="12"/>
      <c r="AD1715" s="12"/>
      <c r="AE1715" s="12"/>
      <c r="AF1715" s="12"/>
      <c r="AG1715" s="44"/>
      <c r="AH1715" s="45"/>
      <c r="AI1715" s="12"/>
      <c r="AJ1715" s="12"/>
      <c r="AK1715" s="12"/>
      <c r="AL1715" s="12"/>
      <c r="AM1715" s="44"/>
      <c r="AN1715" s="45"/>
      <c r="AO1715" s="12"/>
      <c r="AP1715" s="12"/>
      <c r="AQ1715" s="12"/>
      <c r="AR1715" s="12"/>
      <c r="AS1715" s="44"/>
      <c r="AT1715" s="45"/>
      <c r="AU1715" s="12"/>
      <c r="AV1715" s="12"/>
      <c r="AW1715" s="12"/>
      <c r="AX1715" s="12"/>
      <c r="AY1715" s="44"/>
      <c r="AZ1715" s="45"/>
      <c r="BA1715" s="12"/>
      <c r="BB1715" s="12"/>
      <c r="BC1715" s="12"/>
      <c r="BD1715" s="12"/>
      <c r="BE1715" s="44"/>
      <c r="BF1715" s="45"/>
      <c r="BG1715" s="12"/>
      <c r="BH1715" s="12"/>
      <c r="BI1715" s="12"/>
      <c r="BJ1715" s="12"/>
      <c r="BK1715" s="44"/>
      <c r="BL1715" s="45"/>
      <c r="BM1715" s="12"/>
      <c r="BN1715" s="12"/>
      <c r="BO1715" s="12"/>
      <c r="BP1715" s="12"/>
      <c r="BQ1715" s="48"/>
      <c r="BR1715" s="49"/>
      <c r="BS1715" s="13"/>
      <c r="BT1715" s="12"/>
      <c r="BV1715" s="14"/>
      <c r="BW1715" s="50"/>
      <c r="BX1715" s="54"/>
      <c r="BY1715" s="14"/>
      <c r="BZ1715" s="14"/>
      <c r="CA1715" s="14"/>
      <c r="CB1715" s="14"/>
      <c r="CC1715" s="14"/>
      <c r="CD1715" s="14"/>
      <c r="CE1715" s="14"/>
      <c r="CF1715" s="15"/>
      <c r="CG1715" s="14"/>
      <c r="CH1715" s="14"/>
      <c r="CI1715" s="50"/>
      <c r="CJ1715" s="54"/>
      <c r="CK1715" s="14"/>
      <c r="CL1715" s="14"/>
      <c r="CM1715" s="14"/>
      <c r="CN1715" s="14"/>
      <c r="CO1715" s="14"/>
      <c r="CP1715" s="14"/>
      <c r="CQ1715" s="14"/>
      <c r="CR1715" s="14"/>
      <c r="CS1715" s="14"/>
      <c r="CT1715" s="14"/>
      <c r="CU1715" s="16"/>
      <c r="CV1715" s="14"/>
      <c r="CW1715" s="50"/>
      <c r="CX1715" s="17"/>
    </row>
    <row r="1716" spans="4:102" x14ac:dyDescent="0.25">
      <c r="D1716" s="11"/>
      <c r="E1716" s="11"/>
      <c r="F1716" s="11"/>
      <c r="G1716" s="11"/>
      <c r="H1716" s="11"/>
      <c r="I1716" s="11"/>
      <c r="J1716" s="11"/>
      <c r="K1716" s="11"/>
      <c r="L1716" s="11"/>
      <c r="M1716" s="11"/>
      <c r="N1716" s="11"/>
      <c r="O1716" s="11"/>
      <c r="P1716" s="43"/>
      <c r="Q1716" s="11"/>
      <c r="R1716" s="11"/>
      <c r="S1716" s="11"/>
      <c r="T1716" s="11"/>
      <c r="U1716" s="11"/>
      <c r="V1716" s="11"/>
      <c r="W1716" s="11"/>
      <c r="X1716" s="12"/>
      <c r="Y1716" s="12"/>
      <c r="Z1716" s="12"/>
      <c r="AA1716" s="44"/>
      <c r="AB1716" s="45"/>
      <c r="AC1716" s="12"/>
      <c r="AD1716" s="12"/>
      <c r="AE1716" s="12"/>
      <c r="AF1716" s="12"/>
      <c r="AG1716" s="44"/>
      <c r="AH1716" s="45"/>
      <c r="AI1716" s="12"/>
      <c r="AJ1716" s="12"/>
      <c r="AK1716" s="12"/>
      <c r="AL1716" s="12"/>
      <c r="AM1716" s="44"/>
      <c r="AN1716" s="45"/>
      <c r="AO1716" s="12"/>
      <c r="AP1716" s="12"/>
      <c r="AQ1716" s="12"/>
      <c r="AR1716" s="12"/>
      <c r="AS1716" s="44"/>
      <c r="AT1716" s="45"/>
      <c r="AU1716" s="12"/>
      <c r="AV1716" s="12"/>
      <c r="AW1716" s="12"/>
      <c r="AX1716" s="12"/>
      <c r="AY1716" s="44"/>
      <c r="AZ1716" s="45"/>
      <c r="BA1716" s="12"/>
      <c r="BB1716" s="12"/>
      <c r="BC1716" s="12"/>
      <c r="BD1716" s="12"/>
      <c r="BE1716" s="44"/>
      <c r="BF1716" s="45"/>
      <c r="BG1716" s="12"/>
      <c r="BH1716" s="12"/>
      <c r="BI1716" s="12"/>
      <c r="BJ1716" s="12"/>
      <c r="BK1716" s="44"/>
      <c r="BL1716" s="45"/>
      <c r="BM1716" s="12"/>
      <c r="BN1716" s="12"/>
      <c r="BO1716" s="12"/>
      <c r="BP1716" s="12"/>
      <c r="BQ1716" s="48"/>
      <c r="BR1716" s="49"/>
      <c r="BS1716" s="13"/>
      <c r="BT1716" s="12"/>
      <c r="BV1716" s="14"/>
      <c r="BW1716" s="50"/>
      <c r="BX1716" s="54"/>
      <c r="BY1716" s="14"/>
      <c r="BZ1716" s="14"/>
      <c r="CA1716" s="14"/>
      <c r="CB1716" s="14"/>
      <c r="CC1716" s="14"/>
      <c r="CD1716" s="14"/>
      <c r="CE1716" s="14"/>
      <c r="CF1716" s="15"/>
      <c r="CG1716" s="14"/>
      <c r="CH1716" s="14"/>
      <c r="CI1716" s="50"/>
      <c r="CJ1716" s="54"/>
      <c r="CK1716" s="14"/>
      <c r="CL1716" s="14"/>
      <c r="CM1716" s="14"/>
      <c r="CN1716" s="14"/>
      <c r="CO1716" s="14"/>
      <c r="CP1716" s="14"/>
      <c r="CQ1716" s="14"/>
      <c r="CR1716" s="14"/>
      <c r="CS1716" s="14"/>
      <c r="CT1716" s="14"/>
      <c r="CU1716" s="16"/>
      <c r="CV1716" s="14"/>
      <c r="CW1716" s="50"/>
      <c r="CX1716" s="17"/>
    </row>
    <row r="1717" spans="4:102" x14ac:dyDescent="0.25">
      <c r="D1717" s="11"/>
      <c r="E1717" s="11"/>
      <c r="F1717" s="11"/>
      <c r="G1717" s="11"/>
      <c r="H1717" s="11"/>
      <c r="I1717" s="11"/>
      <c r="J1717" s="11"/>
      <c r="K1717" s="11"/>
      <c r="L1717" s="11"/>
      <c r="M1717" s="11"/>
      <c r="N1717" s="11"/>
      <c r="O1717" s="11"/>
      <c r="P1717" s="43"/>
      <c r="Q1717" s="11"/>
      <c r="R1717" s="11"/>
      <c r="S1717" s="11"/>
      <c r="T1717" s="11"/>
      <c r="U1717" s="11"/>
      <c r="V1717" s="11"/>
      <c r="W1717" s="11"/>
      <c r="X1717" s="12"/>
      <c r="Y1717" s="12"/>
      <c r="Z1717" s="12"/>
      <c r="AA1717" s="44"/>
      <c r="AB1717" s="45"/>
      <c r="AC1717" s="12"/>
      <c r="AD1717" s="12"/>
      <c r="AE1717" s="12"/>
      <c r="AF1717" s="12"/>
      <c r="AG1717" s="44"/>
      <c r="AH1717" s="45"/>
      <c r="AI1717" s="12"/>
      <c r="AJ1717" s="12"/>
      <c r="AK1717" s="12"/>
      <c r="AL1717" s="12"/>
      <c r="AM1717" s="44"/>
      <c r="AN1717" s="45"/>
      <c r="AO1717" s="12"/>
      <c r="AP1717" s="12"/>
      <c r="AQ1717" s="12"/>
      <c r="AR1717" s="12"/>
      <c r="AS1717" s="44"/>
      <c r="AT1717" s="45"/>
      <c r="AU1717" s="12"/>
      <c r="AV1717" s="12"/>
      <c r="AW1717" s="12"/>
      <c r="AX1717" s="12"/>
      <c r="AY1717" s="44"/>
      <c r="AZ1717" s="45"/>
      <c r="BA1717" s="12"/>
      <c r="BB1717" s="12"/>
      <c r="BC1717" s="12"/>
      <c r="BD1717" s="12"/>
      <c r="BE1717" s="44"/>
      <c r="BF1717" s="45"/>
      <c r="BG1717" s="12"/>
      <c r="BH1717" s="12"/>
      <c r="BI1717" s="12"/>
      <c r="BJ1717" s="12"/>
      <c r="BK1717" s="44"/>
      <c r="BL1717" s="45"/>
      <c r="BM1717" s="12"/>
      <c r="BN1717" s="12"/>
      <c r="BO1717" s="12"/>
      <c r="BP1717" s="12"/>
      <c r="BQ1717" s="48"/>
      <c r="BR1717" s="49"/>
      <c r="BS1717" s="13"/>
      <c r="BT1717" s="12"/>
      <c r="BV1717" s="14"/>
      <c r="BW1717" s="50"/>
      <c r="BX1717" s="54"/>
      <c r="BY1717" s="14"/>
      <c r="BZ1717" s="14"/>
      <c r="CA1717" s="14"/>
      <c r="CB1717" s="14"/>
      <c r="CC1717" s="14"/>
      <c r="CD1717" s="14"/>
      <c r="CE1717" s="14"/>
      <c r="CF1717" s="15"/>
      <c r="CG1717" s="14"/>
      <c r="CH1717" s="14"/>
      <c r="CI1717" s="50"/>
      <c r="CJ1717" s="54"/>
      <c r="CK1717" s="14"/>
      <c r="CL1717" s="14"/>
      <c r="CM1717" s="14"/>
      <c r="CN1717" s="14"/>
      <c r="CO1717" s="14"/>
      <c r="CP1717" s="14"/>
      <c r="CQ1717" s="14"/>
      <c r="CR1717" s="14"/>
      <c r="CS1717" s="14"/>
      <c r="CT1717" s="14"/>
      <c r="CU1717" s="16"/>
      <c r="CV1717" s="14"/>
      <c r="CW1717" s="50"/>
      <c r="CX1717" s="17"/>
    </row>
    <row r="1718" spans="4:102" x14ac:dyDescent="0.25">
      <c r="D1718" s="11"/>
      <c r="E1718" s="11"/>
      <c r="F1718" s="11"/>
      <c r="G1718" s="11"/>
      <c r="H1718" s="11"/>
      <c r="I1718" s="11"/>
      <c r="J1718" s="11"/>
      <c r="K1718" s="11"/>
      <c r="L1718" s="11"/>
      <c r="M1718" s="11"/>
      <c r="N1718" s="11"/>
      <c r="O1718" s="11"/>
      <c r="P1718" s="43"/>
      <c r="Q1718" s="11"/>
      <c r="R1718" s="11"/>
      <c r="S1718" s="11"/>
      <c r="T1718" s="11"/>
      <c r="U1718" s="11"/>
      <c r="V1718" s="11"/>
      <c r="W1718" s="11"/>
      <c r="X1718" s="12"/>
      <c r="Y1718" s="12"/>
      <c r="Z1718" s="12"/>
      <c r="AA1718" s="44"/>
      <c r="AB1718" s="45"/>
      <c r="AC1718" s="12"/>
      <c r="AD1718" s="12"/>
      <c r="AE1718" s="12"/>
      <c r="AF1718" s="12"/>
      <c r="AG1718" s="44"/>
      <c r="AH1718" s="45"/>
      <c r="AI1718" s="12"/>
      <c r="AJ1718" s="12"/>
      <c r="AK1718" s="12"/>
      <c r="AL1718" s="12"/>
      <c r="AM1718" s="44"/>
      <c r="AN1718" s="45"/>
      <c r="AO1718" s="12"/>
      <c r="AP1718" s="12"/>
      <c r="AQ1718" s="12"/>
      <c r="AR1718" s="12"/>
      <c r="AS1718" s="44"/>
      <c r="AT1718" s="45"/>
      <c r="AU1718" s="12"/>
      <c r="AV1718" s="12"/>
      <c r="AW1718" s="12"/>
      <c r="AX1718" s="12"/>
      <c r="AY1718" s="44"/>
      <c r="AZ1718" s="45"/>
      <c r="BA1718" s="12"/>
      <c r="BB1718" s="12"/>
      <c r="BC1718" s="12"/>
      <c r="BD1718" s="12"/>
      <c r="BE1718" s="44"/>
      <c r="BF1718" s="45"/>
      <c r="BG1718" s="12"/>
      <c r="BH1718" s="12"/>
      <c r="BI1718" s="12"/>
      <c r="BJ1718" s="12"/>
      <c r="BK1718" s="44"/>
      <c r="BL1718" s="45"/>
      <c r="BM1718" s="12"/>
      <c r="BN1718" s="12"/>
      <c r="BO1718" s="12"/>
      <c r="BP1718" s="12"/>
      <c r="BQ1718" s="48"/>
      <c r="BR1718" s="49"/>
      <c r="BS1718" s="13"/>
      <c r="BT1718" s="12"/>
      <c r="BV1718" s="14"/>
      <c r="BW1718" s="50"/>
      <c r="BX1718" s="54"/>
      <c r="BY1718" s="14"/>
      <c r="BZ1718" s="14"/>
      <c r="CA1718" s="14"/>
      <c r="CB1718" s="14"/>
      <c r="CC1718" s="14"/>
      <c r="CD1718" s="14"/>
      <c r="CE1718" s="14"/>
      <c r="CF1718" s="15"/>
      <c r="CG1718" s="14"/>
      <c r="CH1718" s="14"/>
      <c r="CI1718" s="50"/>
      <c r="CJ1718" s="54"/>
      <c r="CK1718" s="14"/>
      <c r="CL1718" s="14"/>
      <c r="CM1718" s="14"/>
      <c r="CN1718" s="14"/>
      <c r="CO1718" s="14"/>
      <c r="CP1718" s="14"/>
      <c r="CQ1718" s="14"/>
      <c r="CR1718" s="14"/>
      <c r="CS1718" s="14"/>
      <c r="CT1718" s="14"/>
      <c r="CU1718" s="16"/>
      <c r="CV1718" s="14"/>
      <c r="CW1718" s="50"/>
      <c r="CX1718" s="17"/>
    </row>
    <row r="1719" spans="4:102" x14ac:dyDescent="0.25">
      <c r="D1719" s="11"/>
      <c r="E1719" s="11"/>
      <c r="F1719" s="11"/>
      <c r="G1719" s="11"/>
      <c r="H1719" s="11"/>
      <c r="I1719" s="11"/>
      <c r="J1719" s="11"/>
      <c r="K1719" s="11"/>
      <c r="L1719" s="11"/>
      <c r="M1719" s="11"/>
      <c r="N1719" s="11"/>
      <c r="O1719" s="11"/>
      <c r="P1719" s="43"/>
      <c r="Q1719" s="11"/>
      <c r="R1719" s="11"/>
      <c r="S1719" s="11"/>
      <c r="T1719" s="11"/>
      <c r="U1719" s="11"/>
      <c r="V1719" s="11"/>
      <c r="W1719" s="11"/>
      <c r="X1719" s="12"/>
      <c r="Y1719" s="12"/>
      <c r="Z1719" s="12"/>
      <c r="AA1719" s="44"/>
      <c r="AB1719" s="45"/>
      <c r="AC1719" s="12"/>
      <c r="AD1719" s="12"/>
      <c r="AE1719" s="12"/>
      <c r="AF1719" s="12"/>
      <c r="AG1719" s="44"/>
      <c r="AH1719" s="45"/>
      <c r="AI1719" s="12"/>
      <c r="AJ1719" s="12"/>
      <c r="AK1719" s="12"/>
      <c r="AL1719" s="12"/>
      <c r="AM1719" s="44"/>
      <c r="AN1719" s="45"/>
      <c r="AO1719" s="12"/>
      <c r="AP1719" s="12"/>
      <c r="AQ1719" s="12"/>
      <c r="AR1719" s="12"/>
      <c r="AS1719" s="44"/>
      <c r="AT1719" s="45"/>
      <c r="AU1719" s="12"/>
      <c r="AV1719" s="12"/>
      <c r="AW1719" s="12"/>
      <c r="AX1719" s="12"/>
      <c r="AY1719" s="44"/>
      <c r="AZ1719" s="45"/>
      <c r="BA1719" s="12"/>
      <c r="BB1719" s="12"/>
      <c r="BC1719" s="12"/>
      <c r="BD1719" s="12"/>
      <c r="BE1719" s="44"/>
      <c r="BF1719" s="45"/>
      <c r="BG1719" s="12"/>
      <c r="BH1719" s="12"/>
      <c r="BI1719" s="12"/>
      <c r="BJ1719" s="12"/>
      <c r="BK1719" s="44"/>
      <c r="BL1719" s="45"/>
      <c r="BM1719" s="12"/>
      <c r="BN1719" s="12"/>
      <c r="BO1719" s="12"/>
      <c r="BP1719" s="12"/>
      <c r="BQ1719" s="48"/>
      <c r="BR1719" s="49"/>
      <c r="BS1719" s="13"/>
      <c r="BT1719" s="12"/>
      <c r="BV1719" s="14"/>
      <c r="BW1719" s="50"/>
      <c r="BX1719" s="54"/>
      <c r="BY1719" s="14"/>
      <c r="BZ1719" s="14"/>
      <c r="CA1719" s="14"/>
      <c r="CB1719" s="14"/>
      <c r="CC1719" s="14"/>
      <c r="CD1719" s="14"/>
      <c r="CE1719" s="14"/>
      <c r="CF1719" s="15"/>
      <c r="CG1719" s="14"/>
      <c r="CH1719" s="14"/>
      <c r="CI1719" s="50"/>
      <c r="CJ1719" s="54"/>
      <c r="CK1719" s="14"/>
      <c r="CL1719" s="14"/>
      <c r="CM1719" s="14"/>
      <c r="CN1719" s="14"/>
      <c r="CO1719" s="14"/>
      <c r="CP1719" s="14"/>
      <c r="CQ1719" s="14"/>
      <c r="CR1719" s="14"/>
      <c r="CS1719" s="14"/>
      <c r="CT1719" s="14"/>
      <c r="CU1719" s="16"/>
      <c r="CV1719" s="14"/>
      <c r="CW1719" s="50"/>
      <c r="CX1719" s="17"/>
    </row>
    <row r="1720" spans="4:102" x14ac:dyDescent="0.25">
      <c r="D1720" s="11"/>
      <c r="E1720" s="11"/>
      <c r="F1720" s="11"/>
      <c r="G1720" s="11"/>
      <c r="H1720" s="11"/>
      <c r="I1720" s="11"/>
      <c r="J1720" s="11"/>
      <c r="K1720" s="11"/>
      <c r="L1720" s="11"/>
      <c r="M1720" s="11"/>
      <c r="N1720" s="11"/>
      <c r="O1720" s="11"/>
      <c r="P1720" s="43"/>
      <c r="Q1720" s="11"/>
      <c r="R1720" s="11"/>
      <c r="S1720" s="11"/>
      <c r="T1720" s="11"/>
      <c r="U1720" s="11"/>
      <c r="V1720" s="11"/>
      <c r="W1720" s="11"/>
      <c r="X1720" s="12"/>
      <c r="Y1720" s="12"/>
      <c r="Z1720" s="12"/>
      <c r="AA1720" s="44"/>
      <c r="AB1720" s="45"/>
      <c r="AC1720" s="12"/>
      <c r="AD1720" s="12"/>
      <c r="AE1720" s="12"/>
      <c r="AF1720" s="12"/>
      <c r="AG1720" s="44"/>
      <c r="AH1720" s="45"/>
      <c r="AI1720" s="12"/>
      <c r="AJ1720" s="12"/>
      <c r="AK1720" s="12"/>
      <c r="AL1720" s="12"/>
      <c r="AM1720" s="44"/>
      <c r="AN1720" s="45"/>
      <c r="AO1720" s="12"/>
      <c r="AP1720" s="12"/>
      <c r="AQ1720" s="12"/>
      <c r="AR1720" s="12"/>
      <c r="AS1720" s="44"/>
      <c r="AT1720" s="45"/>
      <c r="AU1720" s="12"/>
      <c r="AV1720" s="12"/>
      <c r="AW1720" s="12"/>
      <c r="AX1720" s="12"/>
      <c r="AY1720" s="44"/>
      <c r="AZ1720" s="45"/>
      <c r="BA1720" s="12"/>
      <c r="BB1720" s="12"/>
      <c r="BC1720" s="12"/>
      <c r="BD1720" s="12"/>
      <c r="BE1720" s="44"/>
      <c r="BF1720" s="45"/>
      <c r="BG1720" s="12"/>
      <c r="BH1720" s="12"/>
      <c r="BI1720" s="12"/>
      <c r="BJ1720" s="12"/>
      <c r="BK1720" s="44"/>
      <c r="BL1720" s="45"/>
      <c r="BM1720" s="12"/>
      <c r="BN1720" s="12"/>
      <c r="BO1720" s="12"/>
      <c r="BP1720" s="12"/>
      <c r="BQ1720" s="48"/>
      <c r="BR1720" s="49"/>
      <c r="BS1720" s="13"/>
      <c r="BT1720" s="12"/>
      <c r="BV1720" s="14"/>
      <c r="BW1720" s="50"/>
      <c r="BX1720" s="54"/>
      <c r="BY1720" s="14"/>
      <c r="BZ1720" s="14"/>
      <c r="CA1720" s="14"/>
      <c r="CB1720" s="14"/>
      <c r="CC1720" s="14"/>
      <c r="CD1720" s="14"/>
      <c r="CE1720" s="14"/>
      <c r="CF1720" s="15"/>
      <c r="CG1720" s="14"/>
      <c r="CH1720" s="14"/>
      <c r="CI1720" s="50"/>
      <c r="CJ1720" s="54"/>
      <c r="CK1720" s="14"/>
      <c r="CL1720" s="14"/>
      <c r="CM1720" s="14"/>
      <c r="CN1720" s="14"/>
      <c r="CO1720" s="14"/>
      <c r="CP1720" s="14"/>
      <c r="CQ1720" s="14"/>
      <c r="CR1720" s="14"/>
      <c r="CS1720" s="14"/>
      <c r="CT1720" s="14"/>
      <c r="CU1720" s="16"/>
      <c r="CV1720" s="14"/>
      <c r="CW1720" s="50"/>
      <c r="CX1720" s="17"/>
    </row>
    <row r="1721" spans="4:102" x14ac:dyDescent="0.25">
      <c r="D1721" s="11"/>
      <c r="E1721" s="11"/>
      <c r="F1721" s="11"/>
      <c r="G1721" s="11"/>
      <c r="H1721" s="11"/>
      <c r="I1721" s="11"/>
      <c r="J1721" s="11"/>
      <c r="K1721" s="11"/>
      <c r="L1721" s="11"/>
      <c r="M1721" s="11"/>
      <c r="N1721" s="11"/>
      <c r="O1721" s="11"/>
      <c r="P1721" s="43"/>
      <c r="Q1721" s="11"/>
      <c r="R1721" s="11"/>
      <c r="S1721" s="11"/>
      <c r="T1721" s="11"/>
      <c r="U1721" s="11"/>
      <c r="V1721" s="11"/>
      <c r="W1721" s="11"/>
      <c r="X1721" s="12"/>
      <c r="Y1721" s="12"/>
      <c r="Z1721" s="12"/>
      <c r="AA1721" s="44"/>
      <c r="AB1721" s="45"/>
      <c r="AC1721" s="12"/>
      <c r="AD1721" s="12"/>
      <c r="AE1721" s="12"/>
      <c r="AF1721" s="12"/>
      <c r="AG1721" s="44"/>
      <c r="AH1721" s="45"/>
      <c r="AI1721" s="12"/>
      <c r="AJ1721" s="12"/>
      <c r="AK1721" s="12"/>
      <c r="AL1721" s="12"/>
      <c r="AM1721" s="44"/>
      <c r="AN1721" s="45"/>
      <c r="AO1721" s="12"/>
      <c r="AP1721" s="12"/>
      <c r="AQ1721" s="12"/>
      <c r="AR1721" s="12"/>
      <c r="AS1721" s="44"/>
      <c r="AT1721" s="45"/>
      <c r="AU1721" s="12"/>
      <c r="AV1721" s="12"/>
      <c r="AW1721" s="12"/>
      <c r="AX1721" s="12"/>
      <c r="AY1721" s="44"/>
      <c r="AZ1721" s="45"/>
      <c r="BA1721" s="12"/>
      <c r="BB1721" s="12"/>
      <c r="BC1721" s="12"/>
      <c r="BD1721" s="12"/>
      <c r="BE1721" s="44"/>
      <c r="BF1721" s="45"/>
      <c r="BG1721" s="12"/>
      <c r="BH1721" s="12"/>
      <c r="BI1721" s="12"/>
      <c r="BJ1721" s="12"/>
      <c r="BK1721" s="44"/>
      <c r="BL1721" s="45"/>
      <c r="BM1721" s="12"/>
      <c r="BN1721" s="12"/>
      <c r="BO1721" s="12"/>
      <c r="BP1721" s="12"/>
      <c r="BQ1721" s="48"/>
      <c r="BR1721" s="49"/>
      <c r="BS1721" s="13"/>
      <c r="BT1721" s="12"/>
      <c r="BV1721" s="14"/>
      <c r="BW1721" s="50"/>
      <c r="BX1721" s="54"/>
      <c r="BY1721" s="14"/>
      <c r="BZ1721" s="14"/>
      <c r="CA1721" s="14"/>
      <c r="CB1721" s="14"/>
      <c r="CC1721" s="14"/>
      <c r="CD1721" s="14"/>
      <c r="CE1721" s="14"/>
      <c r="CF1721" s="15"/>
      <c r="CG1721" s="14"/>
      <c r="CH1721" s="14"/>
      <c r="CI1721" s="50"/>
      <c r="CJ1721" s="54"/>
      <c r="CK1721" s="14"/>
      <c r="CL1721" s="14"/>
      <c r="CM1721" s="14"/>
      <c r="CN1721" s="14"/>
      <c r="CO1721" s="14"/>
      <c r="CP1721" s="14"/>
      <c r="CQ1721" s="14"/>
      <c r="CR1721" s="14"/>
      <c r="CS1721" s="14"/>
      <c r="CT1721" s="14"/>
      <c r="CU1721" s="16"/>
      <c r="CV1721" s="14"/>
      <c r="CW1721" s="50"/>
      <c r="CX1721" s="17"/>
    </row>
    <row r="1722" spans="4:102" x14ac:dyDescent="0.25">
      <c r="D1722" s="11"/>
      <c r="E1722" s="11"/>
      <c r="F1722" s="11"/>
      <c r="G1722" s="11"/>
      <c r="H1722" s="11"/>
      <c r="I1722" s="11"/>
      <c r="J1722" s="11"/>
      <c r="K1722" s="11"/>
      <c r="L1722" s="11"/>
      <c r="M1722" s="11"/>
      <c r="N1722" s="11"/>
      <c r="O1722" s="11"/>
      <c r="P1722" s="43"/>
      <c r="Q1722" s="11"/>
      <c r="R1722" s="11"/>
      <c r="S1722" s="11"/>
      <c r="T1722" s="11"/>
      <c r="U1722" s="11"/>
      <c r="V1722" s="11"/>
      <c r="W1722" s="11"/>
      <c r="X1722" s="12"/>
      <c r="Y1722" s="12"/>
      <c r="Z1722" s="12"/>
      <c r="AA1722" s="44"/>
      <c r="AB1722" s="45"/>
      <c r="AC1722" s="12"/>
      <c r="AD1722" s="12"/>
      <c r="AE1722" s="12"/>
      <c r="AF1722" s="12"/>
      <c r="AG1722" s="44"/>
      <c r="AH1722" s="45"/>
      <c r="AI1722" s="12"/>
      <c r="AJ1722" s="12"/>
      <c r="AK1722" s="12"/>
      <c r="AL1722" s="12"/>
      <c r="AM1722" s="44"/>
      <c r="AN1722" s="45"/>
      <c r="AO1722" s="12"/>
      <c r="AP1722" s="12"/>
      <c r="AQ1722" s="12"/>
      <c r="AR1722" s="12"/>
      <c r="AS1722" s="44"/>
      <c r="AT1722" s="45"/>
      <c r="AU1722" s="12"/>
      <c r="AV1722" s="12"/>
      <c r="AW1722" s="12"/>
      <c r="AX1722" s="12"/>
      <c r="AY1722" s="44"/>
      <c r="AZ1722" s="45"/>
      <c r="BA1722" s="12"/>
      <c r="BB1722" s="12"/>
      <c r="BC1722" s="12"/>
      <c r="BD1722" s="12"/>
      <c r="BE1722" s="44"/>
      <c r="BF1722" s="45"/>
      <c r="BG1722" s="12"/>
      <c r="BH1722" s="12"/>
      <c r="BI1722" s="12"/>
      <c r="BJ1722" s="12"/>
      <c r="BK1722" s="44"/>
      <c r="BL1722" s="45"/>
      <c r="BM1722" s="12"/>
      <c r="BN1722" s="12"/>
      <c r="BO1722" s="12"/>
      <c r="BP1722" s="12"/>
      <c r="BQ1722" s="48"/>
      <c r="BR1722" s="49"/>
      <c r="BS1722" s="13"/>
      <c r="BT1722" s="12"/>
      <c r="BV1722" s="14"/>
      <c r="BW1722" s="50"/>
      <c r="BX1722" s="54"/>
      <c r="BY1722" s="14"/>
      <c r="BZ1722" s="14"/>
      <c r="CA1722" s="14"/>
      <c r="CB1722" s="14"/>
      <c r="CC1722" s="14"/>
      <c r="CD1722" s="14"/>
      <c r="CE1722" s="14"/>
      <c r="CF1722" s="15"/>
      <c r="CG1722" s="14"/>
      <c r="CH1722" s="14"/>
      <c r="CI1722" s="50"/>
      <c r="CJ1722" s="54"/>
      <c r="CK1722" s="14"/>
      <c r="CL1722" s="14"/>
      <c r="CM1722" s="14"/>
      <c r="CN1722" s="14"/>
      <c r="CO1722" s="14"/>
      <c r="CP1722" s="14"/>
      <c r="CQ1722" s="14"/>
      <c r="CR1722" s="14"/>
      <c r="CS1722" s="14"/>
      <c r="CT1722" s="14"/>
      <c r="CU1722" s="16"/>
      <c r="CV1722" s="14"/>
      <c r="CW1722" s="50"/>
      <c r="CX1722" s="17"/>
    </row>
    <row r="1723" spans="4:102" x14ac:dyDescent="0.25">
      <c r="D1723" s="11"/>
      <c r="E1723" s="11"/>
      <c r="F1723" s="11"/>
      <c r="G1723" s="11"/>
      <c r="H1723" s="11"/>
      <c r="I1723" s="11"/>
      <c r="J1723" s="11"/>
      <c r="K1723" s="11"/>
      <c r="L1723" s="11"/>
      <c r="M1723" s="11"/>
      <c r="N1723" s="11"/>
      <c r="O1723" s="11"/>
      <c r="P1723" s="43"/>
      <c r="Q1723" s="11"/>
      <c r="R1723" s="11"/>
      <c r="S1723" s="11"/>
      <c r="T1723" s="11"/>
      <c r="U1723" s="11"/>
      <c r="V1723" s="11"/>
      <c r="W1723" s="11"/>
      <c r="X1723" s="12"/>
      <c r="Y1723" s="12"/>
      <c r="Z1723" s="12"/>
      <c r="AA1723" s="44"/>
      <c r="AB1723" s="45"/>
      <c r="AC1723" s="12"/>
      <c r="AD1723" s="12"/>
      <c r="AE1723" s="12"/>
      <c r="AF1723" s="12"/>
      <c r="AG1723" s="44"/>
      <c r="AH1723" s="45"/>
      <c r="AI1723" s="12"/>
      <c r="AJ1723" s="12"/>
      <c r="AK1723" s="12"/>
      <c r="AL1723" s="12"/>
      <c r="AM1723" s="44"/>
      <c r="AN1723" s="45"/>
      <c r="AO1723" s="12"/>
      <c r="AP1723" s="12"/>
      <c r="AQ1723" s="12"/>
      <c r="AR1723" s="12"/>
      <c r="AS1723" s="44"/>
      <c r="AT1723" s="45"/>
      <c r="AU1723" s="12"/>
      <c r="AV1723" s="12"/>
      <c r="AW1723" s="12"/>
      <c r="AX1723" s="12"/>
      <c r="AY1723" s="44"/>
      <c r="AZ1723" s="45"/>
      <c r="BA1723" s="12"/>
      <c r="BB1723" s="12"/>
      <c r="BC1723" s="12"/>
      <c r="BD1723" s="12"/>
      <c r="BE1723" s="44"/>
      <c r="BF1723" s="45"/>
      <c r="BG1723" s="12"/>
      <c r="BH1723" s="12"/>
      <c r="BI1723" s="12"/>
      <c r="BJ1723" s="12"/>
      <c r="BK1723" s="44"/>
      <c r="BL1723" s="45"/>
      <c r="BM1723" s="12"/>
      <c r="BN1723" s="12"/>
      <c r="BO1723" s="12"/>
      <c r="BP1723" s="12"/>
      <c r="BQ1723" s="48"/>
      <c r="BR1723" s="49"/>
      <c r="BS1723" s="13"/>
      <c r="BT1723" s="12"/>
      <c r="BV1723" s="14"/>
      <c r="BW1723" s="50"/>
      <c r="BX1723" s="54"/>
      <c r="BY1723" s="14"/>
      <c r="BZ1723" s="14"/>
      <c r="CA1723" s="14"/>
      <c r="CB1723" s="14"/>
      <c r="CC1723" s="14"/>
      <c r="CD1723" s="14"/>
      <c r="CE1723" s="14"/>
      <c r="CF1723" s="15"/>
      <c r="CG1723" s="14"/>
      <c r="CH1723" s="14"/>
      <c r="CI1723" s="50"/>
      <c r="CJ1723" s="54"/>
      <c r="CK1723" s="14"/>
      <c r="CL1723" s="14"/>
      <c r="CM1723" s="14"/>
      <c r="CN1723" s="14"/>
      <c r="CO1723" s="14"/>
      <c r="CP1723" s="14"/>
      <c r="CQ1723" s="14"/>
      <c r="CR1723" s="14"/>
      <c r="CS1723" s="14"/>
      <c r="CT1723" s="14"/>
      <c r="CU1723" s="16"/>
      <c r="CV1723" s="14"/>
      <c r="CW1723" s="50"/>
      <c r="CX1723" s="17"/>
    </row>
    <row r="1724" spans="4:102" x14ac:dyDescent="0.25">
      <c r="D1724" s="11"/>
      <c r="E1724" s="11"/>
      <c r="F1724" s="11"/>
      <c r="G1724" s="11"/>
      <c r="H1724" s="11"/>
      <c r="I1724" s="11"/>
      <c r="J1724" s="11"/>
      <c r="K1724" s="11"/>
      <c r="L1724" s="11"/>
      <c r="M1724" s="11"/>
      <c r="N1724" s="11"/>
      <c r="O1724" s="11"/>
      <c r="P1724" s="43"/>
      <c r="Q1724" s="11"/>
      <c r="R1724" s="11"/>
      <c r="S1724" s="11"/>
      <c r="T1724" s="11"/>
      <c r="U1724" s="11"/>
      <c r="V1724" s="11"/>
      <c r="W1724" s="11"/>
      <c r="X1724" s="12"/>
      <c r="Y1724" s="12"/>
      <c r="Z1724" s="12"/>
      <c r="AA1724" s="44"/>
      <c r="AB1724" s="45"/>
      <c r="AC1724" s="12"/>
      <c r="AD1724" s="12"/>
      <c r="AE1724" s="12"/>
      <c r="AF1724" s="12"/>
      <c r="AG1724" s="44"/>
      <c r="AH1724" s="45"/>
      <c r="AI1724" s="12"/>
      <c r="AJ1724" s="12"/>
      <c r="AK1724" s="12"/>
      <c r="AL1724" s="12"/>
      <c r="AM1724" s="44"/>
      <c r="AN1724" s="45"/>
      <c r="AO1724" s="12"/>
      <c r="AP1724" s="12"/>
      <c r="AQ1724" s="12"/>
      <c r="AR1724" s="12"/>
      <c r="AS1724" s="44"/>
      <c r="AT1724" s="45"/>
      <c r="AU1724" s="12"/>
      <c r="AV1724" s="12"/>
      <c r="AW1724" s="12"/>
      <c r="AX1724" s="12"/>
      <c r="AY1724" s="44"/>
      <c r="AZ1724" s="45"/>
      <c r="BA1724" s="12"/>
      <c r="BB1724" s="12"/>
      <c r="BC1724" s="12"/>
      <c r="BD1724" s="12"/>
      <c r="BE1724" s="44"/>
      <c r="BF1724" s="45"/>
      <c r="BG1724" s="12"/>
      <c r="BH1724" s="12"/>
      <c r="BI1724" s="12"/>
      <c r="BJ1724" s="12"/>
      <c r="BK1724" s="44"/>
      <c r="BL1724" s="45"/>
      <c r="BM1724" s="12"/>
      <c r="BN1724" s="12"/>
      <c r="BO1724" s="12"/>
      <c r="BP1724" s="12"/>
      <c r="BQ1724" s="48"/>
      <c r="BR1724" s="49"/>
      <c r="BS1724" s="13"/>
      <c r="BT1724" s="12"/>
      <c r="BV1724" s="14"/>
      <c r="BW1724" s="50"/>
      <c r="BX1724" s="54"/>
      <c r="BY1724" s="14"/>
      <c r="BZ1724" s="14"/>
      <c r="CA1724" s="14"/>
      <c r="CB1724" s="14"/>
      <c r="CC1724" s="14"/>
      <c r="CD1724" s="14"/>
      <c r="CE1724" s="14"/>
      <c r="CF1724" s="15"/>
      <c r="CG1724" s="14"/>
      <c r="CH1724" s="14"/>
      <c r="CI1724" s="50"/>
      <c r="CJ1724" s="54"/>
      <c r="CK1724" s="14"/>
      <c r="CL1724" s="14"/>
      <c r="CM1724" s="14"/>
      <c r="CN1724" s="14"/>
      <c r="CO1724" s="14"/>
      <c r="CP1724" s="14"/>
      <c r="CQ1724" s="14"/>
      <c r="CR1724" s="14"/>
      <c r="CS1724" s="14"/>
      <c r="CT1724" s="14"/>
      <c r="CU1724" s="16"/>
      <c r="CV1724" s="14"/>
      <c r="CW1724" s="50"/>
      <c r="CX1724" s="17"/>
    </row>
    <row r="1725" spans="4:102" x14ac:dyDescent="0.25">
      <c r="D1725" s="11"/>
      <c r="E1725" s="11"/>
      <c r="F1725" s="11"/>
      <c r="G1725" s="11"/>
      <c r="H1725" s="11"/>
      <c r="I1725" s="11"/>
      <c r="J1725" s="11"/>
      <c r="K1725" s="11"/>
      <c r="L1725" s="11"/>
      <c r="M1725" s="11"/>
      <c r="N1725" s="11"/>
      <c r="O1725" s="11"/>
      <c r="P1725" s="43"/>
      <c r="Q1725" s="11"/>
      <c r="R1725" s="11"/>
      <c r="S1725" s="11"/>
      <c r="T1725" s="11"/>
      <c r="U1725" s="11"/>
      <c r="V1725" s="11"/>
      <c r="W1725" s="11"/>
      <c r="X1725" s="12"/>
      <c r="Y1725" s="12"/>
      <c r="Z1725" s="12"/>
      <c r="AA1725" s="44"/>
      <c r="AB1725" s="45"/>
      <c r="AC1725" s="12"/>
      <c r="AD1725" s="12"/>
      <c r="AE1725" s="12"/>
      <c r="AF1725" s="12"/>
      <c r="AG1725" s="44"/>
      <c r="AH1725" s="45"/>
      <c r="AI1725" s="12"/>
      <c r="AJ1725" s="12"/>
      <c r="AK1725" s="12"/>
      <c r="AL1725" s="12"/>
      <c r="AM1725" s="44"/>
      <c r="AN1725" s="45"/>
      <c r="AO1725" s="12"/>
      <c r="AP1725" s="12"/>
      <c r="AQ1725" s="12"/>
      <c r="AR1725" s="12"/>
      <c r="AS1725" s="44"/>
      <c r="AT1725" s="45"/>
      <c r="AU1725" s="12"/>
      <c r="AV1725" s="12"/>
      <c r="AW1725" s="12"/>
      <c r="AX1725" s="12"/>
      <c r="AY1725" s="44"/>
      <c r="AZ1725" s="45"/>
      <c r="BA1725" s="12"/>
      <c r="BB1725" s="12"/>
      <c r="BC1725" s="12"/>
      <c r="BD1725" s="12"/>
      <c r="BE1725" s="44"/>
      <c r="BF1725" s="45"/>
      <c r="BG1725" s="12"/>
      <c r="BH1725" s="12"/>
      <c r="BI1725" s="12"/>
      <c r="BJ1725" s="12"/>
      <c r="BK1725" s="44"/>
      <c r="BL1725" s="45"/>
      <c r="BM1725" s="12"/>
      <c r="BN1725" s="12"/>
      <c r="BO1725" s="12"/>
      <c r="BP1725" s="12"/>
      <c r="BQ1725" s="48"/>
      <c r="BR1725" s="49"/>
      <c r="BS1725" s="13"/>
      <c r="BT1725" s="12"/>
      <c r="BV1725" s="14"/>
      <c r="BW1725" s="50"/>
      <c r="BX1725" s="54"/>
      <c r="BY1725" s="14"/>
      <c r="BZ1725" s="14"/>
      <c r="CA1725" s="14"/>
      <c r="CB1725" s="14"/>
      <c r="CC1725" s="14"/>
      <c r="CD1725" s="14"/>
      <c r="CE1725" s="14"/>
      <c r="CF1725" s="15"/>
      <c r="CG1725" s="14"/>
      <c r="CH1725" s="14"/>
      <c r="CI1725" s="50"/>
      <c r="CJ1725" s="54"/>
      <c r="CK1725" s="14"/>
      <c r="CL1725" s="14"/>
      <c r="CM1725" s="14"/>
      <c r="CN1725" s="14"/>
      <c r="CO1725" s="14"/>
      <c r="CP1725" s="14"/>
      <c r="CQ1725" s="14"/>
      <c r="CR1725" s="14"/>
      <c r="CS1725" s="14"/>
      <c r="CT1725" s="14"/>
      <c r="CU1725" s="16"/>
      <c r="CV1725" s="14"/>
      <c r="CW1725" s="50"/>
      <c r="CX1725" s="17"/>
    </row>
    <row r="1726" spans="4:102" x14ac:dyDescent="0.25">
      <c r="D1726" s="11"/>
      <c r="E1726" s="11"/>
      <c r="F1726" s="11"/>
      <c r="G1726" s="11"/>
      <c r="H1726" s="11"/>
      <c r="I1726" s="11"/>
      <c r="J1726" s="11"/>
      <c r="K1726" s="11"/>
      <c r="L1726" s="11"/>
      <c r="M1726" s="11"/>
      <c r="N1726" s="11"/>
      <c r="O1726" s="11"/>
      <c r="P1726" s="43"/>
      <c r="Q1726" s="11"/>
      <c r="R1726" s="11"/>
      <c r="S1726" s="11"/>
      <c r="T1726" s="11"/>
      <c r="U1726" s="11"/>
      <c r="V1726" s="11"/>
      <c r="W1726" s="11"/>
      <c r="X1726" s="12"/>
      <c r="Y1726" s="12"/>
      <c r="Z1726" s="12"/>
      <c r="AA1726" s="44"/>
      <c r="AB1726" s="45"/>
      <c r="AC1726" s="12"/>
      <c r="AD1726" s="12"/>
      <c r="AE1726" s="12"/>
      <c r="AF1726" s="12"/>
      <c r="AG1726" s="44"/>
      <c r="AH1726" s="45"/>
      <c r="AI1726" s="12"/>
      <c r="AJ1726" s="12"/>
      <c r="AK1726" s="12"/>
      <c r="AL1726" s="12"/>
      <c r="AM1726" s="44"/>
      <c r="AN1726" s="45"/>
      <c r="AO1726" s="12"/>
      <c r="AP1726" s="12"/>
      <c r="AQ1726" s="12"/>
      <c r="AR1726" s="12"/>
      <c r="AS1726" s="44"/>
      <c r="AT1726" s="45"/>
      <c r="AU1726" s="12"/>
      <c r="AV1726" s="12"/>
      <c r="AW1726" s="12"/>
      <c r="AX1726" s="12"/>
      <c r="AY1726" s="44"/>
      <c r="AZ1726" s="45"/>
      <c r="BA1726" s="12"/>
      <c r="BB1726" s="12"/>
      <c r="BC1726" s="12"/>
      <c r="BD1726" s="12"/>
      <c r="BE1726" s="44"/>
      <c r="BF1726" s="45"/>
      <c r="BG1726" s="12"/>
      <c r="BH1726" s="12"/>
      <c r="BI1726" s="12"/>
      <c r="BJ1726" s="12"/>
      <c r="BK1726" s="44"/>
      <c r="BL1726" s="45"/>
      <c r="BM1726" s="12"/>
      <c r="BN1726" s="12"/>
      <c r="BO1726" s="12"/>
      <c r="BP1726" s="12"/>
      <c r="BQ1726" s="48"/>
      <c r="BR1726" s="49"/>
      <c r="BS1726" s="13"/>
      <c r="BT1726" s="12"/>
      <c r="BV1726" s="14"/>
      <c r="BW1726" s="50"/>
      <c r="BX1726" s="54"/>
      <c r="BY1726" s="14"/>
      <c r="BZ1726" s="14"/>
      <c r="CA1726" s="14"/>
      <c r="CB1726" s="14"/>
      <c r="CC1726" s="14"/>
      <c r="CD1726" s="14"/>
      <c r="CE1726" s="14"/>
      <c r="CF1726" s="15"/>
      <c r="CG1726" s="14"/>
      <c r="CH1726" s="14"/>
      <c r="CI1726" s="50"/>
      <c r="CJ1726" s="54"/>
      <c r="CK1726" s="14"/>
      <c r="CL1726" s="14"/>
      <c r="CM1726" s="14"/>
      <c r="CN1726" s="14"/>
      <c r="CO1726" s="14"/>
      <c r="CP1726" s="14"/>
      <c r="CQ1726" s="14"/>
      <c r="CR1726" s="14"/>
      <c r="CS1726" s="14"/>
      <c r="CT1726" s="14"/>
      <c r="CU1726" s="16"/>
      <c r="CV1726" s="14"/>
      <c r="CW1726" s="50"/>
      <c r="CX1726" s="17"/>
    </row>
    <row r="1727" spans="4:102" x14ac:dyDescent="0.25">
      <c r="D1727" s="11"/>
      <c r="E1727" s="11"/>
      <c r="F1727" s="11"/>
      <c r="G1727" s="11"/>
      <c r="H1727" s="11"/>
      <c r="I1727" s="11"/>
      <c r="J1727" s="11"/>
      <c r="K1727" s="11"/>
      <c r="L1727" s="11"/>
      <c r="M1727" s="11"/>
      <c r="N1727" s="11"/>
      <c r="O1727" s="11"/>
      <c r="P1727" s="43"/>
      <c r="Q1727" s="11"/>
      <c r="R1727" s="11"/>
      <c r="S1727" s="11"/>
      <c r="T1727" s="11"/>
      <c r="U1727" s="11"/>
      <c r="V1727" s="11"/>
      <c r="W1727" s="11"/>
      <c r="X1727" s="12"/>
      <c r="Y1727" s="12"/>
      <c r="Z1727" s="12"/>
      <c r="AA1727" s="44"/>
      <c r="AB1727" s="45"/>
      <c r="AC1727" s="12"/>
      <c r="AD1727" s="12"/>
      <c r="AE1727" s="12"/>
      <c r="AF1727" s="12"/>
      <c r="AG1727" s="44"/>
      <c r="AH1727" s="45"/>
      <c r="AI1727" s="12"/>
      <c r="AJ1727" s="12"/>
      <c r="AK1727" s="12"/>
      <c r="AL1727" s="12"/>
      <c r="AM1727" s="44"/>
      <c r="AN1727" s="45"/>
      <c r="AO1727" s="12"/>
      <c r="AP1727" s="12"/>
      <c r="AQ1727" s="12"/>
      <c r="AR1727" s="12"/>
      <c r="AS1727" s="44"/>
      <c r="AT1727" s="45"/>
      <c r="AU1727" s="12"/>
      <c r="AV1727" s="12"/>
      <c r="AW1727" s="12"/>
      <c r="AX1727" s="12"/>
      <c r="AY1727" s="44"/>
      <c r="AZ1727" s="45"/>
      <c r="BA1727" s="12"/>
      <c r="BB1727" s="12"/>
      <c r="BC1727" s="12"/>
      <c r="BD1727" s="12"/>
      <c r="BE1727" s="44"/>
      <c r="BF1727" s="45"/>
      <c r="BG1727" s="12"/>
      <c r="BH1727" s="12"/>
      <c r="BI1727" s="12"/>
      <c r="BJ1727" s="12"/>
      <c r="BK1727" s="44"/>
      <c r="BL1727" s="45"/>
      <c r="BM1727" s="12"/>
      <c r="BN1727" s="12"/>
      <c r="BO1727" s="12"/>
      <c r="BP1727" s="12"/>
      <c r="BQ1727" s="48"/>
      <c r="BR1727" s="49"/>
      <c r="BS1727" s="13"/>
      <c r="BT1727" s="12"/>
      <c r="BV1727" s="14"/>
      <c r="BW1727" s="50"/>
      <c r="BX1727" s="54"/>
      <c r="BY1727" s="14"/>
      <c r="BZ1727" s="14"/>
      <c r="CA1727" s="14"/>
      <c r="CB1727" s="14"/>
      <c r="CC1727" s="14"/>
      <c r="CD1727" s="14"/>
      <c r="CE1727" s="14"/>
      <c r="CF1727" s="15"/>
      <c r="CG1727" s="14"/>
      <c r="CH1727" s="14"/>
      <c r="CI1727" s="50"/>
      <c r="CJ1727" s="54"/>
      <c r="CK1727" s="14"/>
      <c r="CL1727" s="14"/>
      <c r="CM1727" s="14"/>
      <c r="CN1727" s="14"/>
      <c r="CO1727" s="14"/>
      <c r="CP1727" s="14"/>
      <c r="CQ1727" s="14"/>
      <c r="CR1727" s="14"/>
      <c r="CS1727" s="14"/>
      <c r="CT1727" s="14"/>
      <c r="CU1727" s="16"/>
      <c r="CV1727" s="14"/>
      <c r="CW1727" s="50"/>
      <c r="CX1727" s="17"/>
    </row>
    <row r="1728" spans="4:102" x14ac:dyDescent="0.25">
      <c r="D1728" s="11"/>
      <c r="E1728" s="11"/>
      <c r="F1728" s="11"/>
      <c r="G1728" s="11"/>
      <c r="H1728" s="11"/>
      <c r="I1728" s="11"/>
      <c r="J1728" s="11"/>
      <c r="K1728" s="11"/>
      <c r="L1728" s="11"/>
      <c r="M1728" s="11"/>
      <c r="N1728" s="11"/>
      <c r="O1728" s="11"/>
      <c r="P1728" s="43"/>
      <c r="Q1728" s="11"/>
      <c r="R1728" s="11"/>
      <c r="S1728" s="11"/>
      <c r="T1728" s="11"/>
      <c r="U1728" s="11"/>
      <c r="V1728" s="11"/>
      <c r="W1728" s="11"/>
      <c r="X1728" s="12"/>
      <c r="Y1728" s="12"/>
      <c r="Z1728" s="12"/>
      <c r="AA1728" s="44"/>
      <c r="AB1728" s="45"/>
      <c r="AC1728" s="12"/>
      <c r="AD1728" s="12"/>
      <c r="AE1728" s="12"/>
      <c r="AF1728" s="12"/>
      <c r="AG1728" s="44"/>
      <c r="AH1728" s="45"/>
      <c r="AI1728" s="12"/>
      <c r="AJ1728" s="12"/>
      <c r="AK1728" s="12"/>
      <c r="AL1728" s="12"/>
      <c r="AM1728" s="44"/>
      <c r="AN1728" s="45"/>
      <c r="AO1728" s="12"/>
      <c r="AP1728" s="12"/>
      <c r="AQ1728" s="12"/>
      <c r="AR1728" s="12"/>
      <c r="AS1728" s="44"/>
      <c r="AT1728" s="45"/>
      <c r="AU1728" s="12"/>
      <c r="AV1728" s="12"/>
      <c r="AW1728" s="12"/>
      <c r="AX1728" s="12"/>
      <c r="AY1728" s="44"/>
      <c r="AZ1728" s="45"/>
      <c r="BA1728" s="12"/>
      <c r="BB1728" s="12"/>
      <c r="BC1728" s="12"/>
      <c r="BD1728" s="12"/>
      <c r="BE1728" s="44"/>
      <c r="BF1728" s="45"/>
      <c r="BG1728" s="12"/>
      <c r="BH1728" s="12"/>
      <c r="BI1728" s="12"/>
      <c r="BJ1728" s="12"/>
      <c r="BK1728" s="44"/>
      <c r="BL1728" s="45"/>
      <c r="BM1728" s="12"/>
      <c r="BN1728" s="12"/>
      <c r="BO1728" s="12"/>
      <c r="BP1728" s="12"/>
      <c r="BQ1728" s="48"/>
      <c r="BR1728" s="49"/>
      <c r="BS1728" s="13"/>
      <c r="BT1728" s="12"/>
      <c r="BV1728" s="14"/>
      <c r="BW1728" s="50"/>
      <c r="BX1728" s="54"/>
      <c r="BY1728" s="14"/>
      <c r="BZ1728" s="14"/>
      <c r="CA1728" s="14"/>
      <c r="CB1728" s="14"/>
      <c r="CC1728" s="14"/>
      <c r="CD1728" s="14"/>
      <c r="CE1728" s="14"/>
      <c r="CF1728" s="15"/>
      <c r="CG1728" s="14"/>
      <c r="CH1728" s="14"/>
      <c r="CI1728" s="50"/>
      <c r="CJ1728" s="54"/>
      <c r="CK1728" s="14"/>
      <c r="CL1728" s="14"/>
      <c r="CM1728" s="14"/>
      <c r="CN1728" s="14"/>
      <c r="CO1728" s="14"/>
      <c r="CP1728" s="14"/>
      <c r="CQ1728" s="14"/>
      <c r="CR1728" s="14"/>
      <c r="CS1728" s="14"/>
      <c r="CT1728" s="14"/>
      <c r="CU1728" s="16"/>
      <c r="CV1728" s="14"/>
      <c r="CW1728" s="50"/>
      <c r="CX1728" s="17"/>
    </row>
    <row r="1729" spans="4:102" x14ac:dyDescent="0.25">
      <c r="D1729" s="11"/>
      <c r="E1729" s="11"/>
      <c r="F1729" s="11"/>
      <c r="G1729" s="11"/>
      <c r="H1729" s="11"/>
      <c r="I1729" s="11"/>
      <c r="J1729" s="11"/>
      <c r="K1729" s="11"/>
      <c r="L1729" s="11"/>
      <c r="M1729" s="11"/>
      <c r="N1729" s="11"/>
      <c r="O1729" s="11"/>
      <c r="P1729" s="43"/>
      <c r="Q1729" s="11"/>
      <c r="R1729" s="11"/>
      <c r="S1729" s="11"/>
      <c r="T1729" s="11"/>
      <c r="U1729" s="11"/>
      <c r="V1729" s="11"/>
      <c r="W1729" s="11"/>
      <c r="X1729" s="12"/>
      <c r="Y1729" s="12"/>
      <c r="Z1729" s="12"/>
      <c r="AA1729" s="44"/>
      <c r="AB1729" s="45"/>
      <c r="AC1729" s="12"/>
      <c r="AD1729" s="12"/>
      <c r="AE1729" s="12"/>
      <c r="AF1729" s="12"/>
      <c r="AG1729" s="44"/>
      <c r="AH1729" s="45"/>
      <c r="AI1729" s="12"/>
      <c r="AJ1729" s="12"/>
      <c r="AK1729" s="12"/>
      <c r="AL1729" s="12"/>
      <c r="AM1729" s="44"/>
      <c r="AN1729" s="45"/>
      <c r="AO1729" s="12"/>
      <c r="AP1729" s="12"/>
      <c r="AQ1729" s="12"/>
      <c r="AR1729" s="12"/>
      <c r="AS1729" s="44"/>
      <c r="AT1729" s="45"/>
      <c r="AU1729" s="12"/>
      <c r="AV1729" s="12"/>
      <c r="AW1729" s="12"/>
      <c r="AX1729" s="12"/>
      <c r="AY1729" s="44"/>
      <c r="AZ1729" s="45"/>
      <c r="BA1729" s="12"/>
      <c r="BB1729" s="12"/>
      <c r="BC1729" s="12"/>
      <c r="BD1729" s="12"/>
      <c r="BE1729" s="44"/>
      <c r="BF1729" s="45"/>
      <c r="BG1729" s="12"/>
      <c r="BH1729" s="12"/>
      <c r="BI1729" s="12"/>
      <c r="BJ1729" s="12"/>
      <c r="BK1729" s="44"/>
      <c r="BL1729" s="45"/>
      <c r="BM1729" s="12"/>
      <c r="BN1729" s="12"/>
      <c r="BO1729" s="12"/>
      <c r="BP1729" s="12"/>
      <c r="BQ1729" s="48"/>
      <c r="BR1729" s="49"/>
      <c r="BS1729" s="13"/>
      <c r="BT1729" s="12"/>
      <c r="BV1729" s="14"/>
      <c r="BW1729" s="50"/>
      <c r="BX1729" s="54"/>
      <c r="BY1729" s="14"/>
      <c r="BZ1729" s="14"/>
      <c r="CA1729" s="14"/>
      <c r="CB1729" s="14"/>
      <c r="CC1729" s="14"/>
      <c r="CD1729" s="14"/>
      <c r="CE1729" s="14"/>
      <c r="CF1729" s="15"/>
      <c r="CG1729" s="14"/>
      <c r="CH1729" s="14"/>
      <c r="CI1729" s="50"/>
      <c r="CJ1729" s="54"/>
      <c r="CK1729" s="14"/>
      <c r="CL1729" s="14"/>
      <c r="CM1729" s="14"/>
      <c r="CN1729" s="14"/>
      <c r="CO1729" s="14"/>
      <c r="CP1729" s="14"/>
      <c r="CQ1729" s="14"/>
      <c r="CR1729" s="14"/>
      <c r="CS1729" s="14"/>
      <c r="CT1729" s="14"/>
      <c r="CU1729" s="16"/>
      <c r="CV1729" s="14"/>
      <c r="CW1729" s="50"/>
      <c r="CX1729" s="17"/>
    </row>
    <row r="1730" spans="4:102" x14ac:dyDescent="0.25">
      <c r="D1730" s="11"/>
      <c r="E1730" s="11"/>
      <c r="F1730" s="11"/>
      <c r="G1730" s="11"/>
      <c r="H1730" s="11"/>
      <c r="I1730" s="11"/>
      <c r="J1730" s="11"/>
      <c r="K1730" s="11"/>
      <c r="L1730" s="11"/>
      <c r="M1730" s="11"/>
      <c r="N1730" s="11"/>
      <c r="O1730" s="11"/>
      <c r="P1730" s="43"/>
      <c r="Q1730" s="11"/>
      <c r="R1730" s="11"/>
      <c r="S1730" s="11"/>
      <c r="T1730" s="11"/>
      <c r="U1730" s="11"/>
      <c r="V1730" s="11"/>
      <c r="W1730" s="11"/>
      <c r="X1730" s="12"/>
      <c r="Y1730" s="12"/>
      <c r="Z1730" s="12"/>
      <c r="AA1730" s="44"/>
      <c r="AB1730" s="45"/>
      <c r="AC1730" s="12"/>
      <c r="AD1730" s="12"/>
      <c r="AE1730" s="12"/>
      <c r="AF1730" s="12"/>
      <c r="AG1730" s="44"/>
      <c r="AH1730" s="45"/>
      <c r="AI1730" s="12"/>
      <c r="AJ1730" s="12"/>
      <c r="AK1730" s="12"/>
      <c r="AL1730" s="12"/>
      <c r="AM1730" s="44"/>
      <c r="AN1730" s="45"/>
      <c r="AO1730" s="12"/>
      <c r="AP1730" s="12"/>
      <c r="AQ1730" s="12"/>
      <c r="AR1730" s="12"/>
      <c r="AS1730" s="44"/>
      <c r="AT1730" s="45"/>
      <c r="AU1730" s="12"/>
      <c r="AV1730" s="12"/>
      <c r="AW1730" s="12"/>
      <c r="AX1730" s="12"/>
      <c r="AY1730" s="44"/>
      <c r="AZ1730" s="45"/>
      <c r="BA1730" s="12"/>
      <c r="BB1730" s="12"/>
      <c r="BC1730" s="12"/>
      <c r="BD1730" s="12"/>
      <c r="BE1730" s="44"/>
      <c r="BF1730" s="45"/>
      <c r="BG1730" s="12"/>
      <c r="BH1730" s="12"/>
      <c r="BI1730" s="12"/>
      <c r="BJ1730" s="12"/>
      <c r="BK1730" s="44"/>
      <c r="BL1730" s="45"/>
      <c r="BM1730" s="12"/>
      <c r="BN1730" s="12"/>
      <c r="BO1730" s="12"/>
      <c r="BP1730" s="12"/>
      <c r="BQ1730" s="48"/>
      <c r="BR1730" s="49"/>
      <c r="BS1730" s="13"/>
      <c r="BT1730" s="12"/>
      <c r="BV1730" s="14"/>
      <c r="BW1730" s="50"/>
      <c r="BX1730" s="54"/>
      <c r="BY1730" s="14"/>
      <c r="BZ1730" s="14"/>
      <c r="CA1730" s="14"/>
      <c r="CB1730" s="14"/>
      <c r="CC1730" s="14"/>
      <c r="CD1730" s="14"/>
      <c r="CE1730" s="14"/>
      <c r="CF1730" s="15"/>
      <c r="CG1730" s="14"/>
      <c r="CH1730" s="14"/>
      <c r="CI1730" s="50"/>
      <c r="CJ1730" s="54"/>
      <c r="CK1730" s="14"/>
      <c r="CL1730" s="14"/>
      <c r="CM1730" s="14"/>
      <c r="CN1730" s="14"/>
      <c r="CO1730" s="14"/>
      <c r="CP1730" s="14"/>
      <c r="CQ1730" s="14"/>
      <c r="CR1730" s="14"/>
      <c r="CS1730" s="14"/>
      <c r="CT1730" s="14"/>
      <c r="CU1730" s="16"/>
      <c r="CV1730" s="14"/>
      <c r="CW1730" s="50"/>
      <c r="CX1730" s="17"/>
    </row>
    <row r="1731" spans="4:102" x14ac:dyDescent="0.25">
      <c r="D1731" s="11"/>
      <c r="E1731" s="11"/>
      <c r="F1731" s="11"/>
      <c r="G1731" s="11"/>
      <c r="H1731" s="11"/>
      <c r="I1731" s="11"/>
      <c r="J1731" s="11"/>
      <c r="K1731" s="11"/>
      <c r="L1731" s="11"/>
      <c r="M1731" s="11"/>
      <c r="N1731" s="11"/>
      <c r="O1731" s="11"/>
      <c r="P1731" s="43"/>
      <c r="Q1731" s="11"/>
      <c r="R1731" s="11"/>
      <c r="S1731" s="11"/>
      <c r="T1731" s="11"/>
      <c r="U1731" s="11"/>
      <c r="V1731" s="11"/>
      <c r="W1731" s="11"/>
      <c r="X1731" s="12"/>
      <c r="Y1731" s="12"/>
      <c r="Z1731" s="12"/>
      <c r="AA1731" s="44"/>
      <c r="AB1731" s="45"/>
      <c r="AC1731" s="12"/>
      <c r="AD1731" s="12"/>
      <c r="AE1731" s="12"/>
      <c r="AF1731" s="12"/>
      <c r="AG1731" s="44"/>
      <c r="AH1731" s="45"/>
      <c r="AI1731" s="12"/>
      <c r="AJ1731" s="12"/>
      <c r="AK1731" s="12"/>
      <c r="AL1731" s="12"/>
      <c r="AM1731" s="44"/>
      <c r="AN1731" s="45"/>
      <c r="AO1731" s="12"/>
      <c r="AP1731" s="12"/>
      <c r="AQ1731" s="12"/>
      <c r="AR1731" s="12"/>
      <c r="AS1731" s="44"/>
      <c r="AT1731" s="45"/>
      <c r="AU1731" s="12"/>
      <c r="AV1731" s="12"/>
      <c r="AW1731" s="12"/>
      <c r="AX1731" s="12"/>
      <c r="AY1731" s="44"/>
      <c r="AZ1731" s="45"/>
      <c r="BA1731" s="12"/>
      <c r="BB1731" s="12"/>
      <c r="BC1731" s="12"/>
      <c r="BD1731" s="12"/>
      <c r="BE1731" s="44"/>
      <c r="BF1731" s="45"/>
      <c r="BG1731" s="12"/>
      <c r="BH1731" s="12"/>
      <c r="BI1731" s="12"/>
      <c r="BJ1731" s="12"/>
      <c r="BK1731" s="44"/>
      <c r="BL1731" s="45"/>
      <c r="BM1731" s="12"/>
      <c r="BN1731" s="12"/>
      <c r="BO1731" s="12"/>
      <c r="BP1731" s="12"/>
      <c r="BQ1731" s="48"/>
      <c r="BR1731" s="49"/>
      <c r="BS1731" s="13"/>
      <c r="BT1731" s="12"/>
      <c r="BV1731" s="14"/>
      <c r="BW1731" s="50"/>
      <c r="BX1731" s="54"/>
      <c r="BY1731" s="14"/>
      <c r="BZ1731" s="14"/>
      <c r="CA1731" s="14"/>
      <c r="CB1731" s="14"/>
      <c r="CC1731" s="14"/>
      <c r="CD1731" s="14"/>
      <c r="CE1731" s="14"/>
      <c r="CF1731" s="15"/>
      <c r="CG1731" s="14"/>
      <c r="CH1731" s="14"/>
      <c r="CI1731" s="50"/>
      <c r="CJ1731" s="54"/>
      <c r="CK1731" s="14"/>
      <c r="CL1731" s="14"/>
      <c r="CM1731" s="14"/>
      <c r="CN1731" s="14"/>
      <c r="CO1731" s="14"/>
      <c r="CP1731" s="14"/>
      <c r="CQ1731" s="14"/>
      <c r="CR1731" s="14"/>
      <c r="CS1731" s="14"/>
      <c r="CT1731" s="14"/>
      <c r="CU1731" s="16"/>
      <c r="CV1731" s="14"/>
      <c r="CW1731" s="50"/>
      <c r="CX1731" s="17"/>
    </row>
    <row r="1732" spans="4:102" x14ac:dyDescent="0.25">
      <c r="D1732" s="11"/>
      <c r="E1732" s="11"/>
      <c r="F1732" s="11"/>
      <c r="G1732" s="11"/>
      <c r="H1732" s="11"/>
      <c r="I1732" s="11"/>
      <c r="J1732" s="11"/>
      <c r="K1732" s="11"/>
      <c r="L1732" s="11"/>
      <c r="M1732" s="11"/>
      <c r="N1732" s="11"/>
      <c r="O1732" s="11"/>
      <c r="P1732" s="43"/>
      <c r="Q1732" s="11"/>
      <c r="R1732" s="11"/>
      <c r="S1732" s="11"/>
      <c r="T1732" s="11"/>
      <c r="U1732" s="11"/>
      <c r="V1732" s="11"/>
      <c r="W1732" s="11"/>
      <c r="X1732" s="12"/>
      <c r="Y1732" s="12"/>
      <c r="Z1732" s="12"/>
      <c r="AA1732" s="44"/>
      <c r="AB1732" s="45"/>
      <c r="AC1732" s="12"/>
      <c r="AD1732" s="12"/>
      <c r="AE1732" s="12"/>
      <c r="AF1732" s="12"/>
      <c r="AG1732" s="44"/>
      <c r="AH1732" s="45"/>
      <c r="AI1732" s="12"/>
      <c r="AJ1732" s="12"/>
      <c r="AK1732" s="12"/>
      <c r="AL1732" s="12"/>
      <c r="AM1732" s="44"/>
      <c r="AN1732" s="45"/>
      <c r="AO1732" s="12"/>
      <c r="AP1732" s="12"/>
      <c r="AQ1732" s="12"/>
      <c r="AR1732" s="12"/>
      <c r="AS1732" s="44"/>
      <c r="AT1732" s="45"/>
      <c r="AU1732" s="12"/>
      <c r="AV1732" s="12"/>
      <c r="AW1732" s="12"/>
      <c r="AX1732" s="12"/>
      <c r="AY1732" s="44"/>
      <c r="AZ1732" s="45"/>
      <c r="BA1732" s="12"/>
      <c r="BB1732" s="12"/>
      <c r="BC1732" s="12"/>
      <c r="BD1732" s="12"/>
      <c r="BE1732" s="44"/>
      <c r="BF1732" s="45"/>
      <c r="BG1732" s="12"/>
      <c r="BH1732" s="12"/>
      <c r="BI1732" s="12"/>
      <c r="BJ1732" s="12"/>
      <c r="BK1732" s="44"/>
      <c r="BL1732" s="45"/>
      <c r="BM1732" s="12"/>
      <c r="BN1732" s="12"/>
      <c r="BO1732" s="12"/>
      <c r="BP1732" s="12"/>
      <c r="BQ1732" s="48"/>
      <c r="BR1732" s="49"/>
      <c r="BS1732" s="13"/>
      <c r="BT1732" s="12"/>
      <c r="BV1732" s="14"/>
      <c r="BW1732" s="50"/>
      <c r="BX1732" s="54"/>
      <c r="BY1732" s="14"/>
      <c r="BZ1732" s="14"/>
      <c r="CA1732" s="14"/>
      <c r="CB1732" s="14"/>
      <c r="CC1732" s="14"/>
      <c r="CD1732" s="14"/>
      <c r="CE1732" s="14"/>
      <c r="CF1732" s="15"/>
      <c r="CG1732" s="14"/>
      <c r="CH1732" s="14"/>
      <c r="CI1732" s="50"/>
      <c r="CJ1732" s="54"/>
      <c r="CK1732" s="14"/>
      <c r="CL1732" s="14"/>
      <c r="CM1732" s="14"/>
      <c r="CN1732" s="14"/>
      <c r="CO1732" s="14"/>
      <c r="CP1732" s="14"/>
      <c r="CQ1732" s="14"/>
      <c r="CR1732" s="14"/>
      <c r="CS1732" s="14"/>
      <c r="CT1732" s="14"/>
      <c r="CU1732" s="16"/>
      <c r="CV1732" s="14"/>
      <c r="CW1732" s="50"/>
      <c r="CX1732" s="17"/>
    </row>
    <row r="1733" spans="4:102" x14ac:dyDescent="0.25">
      <c r="D1733" s="11"/>
      <c r="E1733" s="11"/>
      <c r="F1733" s="11"/>
      <c r="G1733" s="11"/>
      <c r="H1733" s="11"/>
      <c r="I1733" s="11"/>
      <c r="J1733" s="11"/>
      <c r="K1733" s="11"/>
      <c r="L1733" s="11"/>
      <c r="M1733" s="11"/>
      <c r="N1733" s="11"/>
      <c r="O1733" s="11"/>
      <c r="P1733" s="43"/>
      <c r="Q1733" s="11"/>
      <c r="R1733" s="11"/>
      <c r="S1733" s="11"/>
      <c r="T1733" s="11"/>
      <c r="U1733" s="11"/>
      <c r="V1733" s="11"/>
      <c r="W1733" s="11"/>
      <c r="X1733" s="12"/>
      <c r="Y1733" s="12"/>
      <c r="Z1733" s="12"/>
      <c r="AA1733" s="44"/>
      <c r="AB1733" s="45"/>
      <c r="AC1733" s="12"/>
      <c r="AD1733" s="12"/>
      <c r="AE1733" s="12"/>
      <c r="AF1733" s="12"/>
      <c r="AG1733" s="44"/>
      <c r="AH1733" s="45"/>
      <c r="AI1733" s="12"/>
      <c r="AJ1733" s="12"/>
      <c r="AK1733" s="12"/>
      <c r="AL1733" s="12"/>
      <c r="AM1733" s="44"/>
      <c r="AN1733" s="45"/>
      <c r="AO1733" s="12"/>
      <c r="AP1733" s="12"/>
      <c r="AQ1733" s="12"/>
      <c r="AR1733" s="12"/>
      <c r="AS1733" s="44"/>
      <c r="AT1733" s="45"/>
      <c r="AU1733" s="12"/>
      <c r="AV1733" s="12"/>
      <c r="AW1733" s="12"/>
      <c r="AX1733" s="12"/>
      <c r="AY1733" s="44"/>
      <c r="AZ1733" s="45"/>
      <c r="BA1733" s="12"/>
      <c r="BB1733" s="12"/>
      <c r="BC1733" s="12"/>
      <c r="BD1733" s="12"/>
      <c r="BE1733" s="44"/>
      <c r="BF1733" s="45"/>
      <c r="BG1733" s="12"/>
      <c r="BH1733" s="12"/>
      <c r="BI1733" s="12"/>
      <c r="BJ1733" s="12"/>
      <c r="BK1733" s="44"/>
      <c r="BL1733" s="45"/>
      <c r="BM1733" s="12"/>
      <c r="BN1733" s="12"/>
      <c r="BO1733" s="12"/>
      <c r="BP1733" s="12"/>
      <c r="BQ1733" s="48"/>
      <c r="BR1733" s="49"/>
      <c r="BS1733" s="13"/>
      <c r="BT1733" s="12"/>
      <c r="BV1733" s="14"/>
      <c r="BW1733" s="50"/>
      <c r="BX1733" s="54"/>
      <c r="BY1733" s="14"/>
      <c r="BZ1733" s="14"/>
      <c r="CA1733" s="14"/>
      <c r="CB1733" s="14"/>
      <c r="CC1733" s="14"/>
      <c r="CD1733" s="14"/>
      <c r="CE1733" s="14"/>
      <c r="CF1733" s="15"/>
      <c r="CG1733" s="14"/>
      <c r="CH1733" s="14"/>
      <c r="CI1733" s="50"/>
      <c r="CJ1733" s="54"/>
      <c r="CK1733" s="14"/>
      <c r="CL1733" s="14"/>
      <c r="CM1733" s="14"/>
      <c r="CN1733" s="14"/>
      <c r="CO1733" s="14"/>
      <c r="CP1733" s="14"/>
      <c r="CQ1733" s="14"/>
      <c r="CR1733" s="14"/>
      <c r="CS1733" s="14"/>
      <c r="CT1733" s="14"/>
      <c r="CU1733" s="16"/>
      <c r="CV1733" s="14"/>
      <c r="CW1733" s="50"/>
      <c r="CX1733" s="17"/>
    </row>
    <row r="1734" spans="4:102" x14ac:dyDescent="0.25">
      <c r="D1734" s="11"/>
      <c r="E1734" s="11"/>
      <c r="F1734" s="11"/>
      <c r="G1734" s="11"/>
      <c r="H1734" s="11"/>
      <c r="I1734" s="11"/>
      <c r="J1734" s="11"/>
      <c r="K1734" s="11"/>
      <c r="L1734" s="11"/>
      <c r="M1734" s="11"/>
      <c r="N1734" s="11"/>
      <c r="O1734" s="11"/>
      <c r="P1734" s="43"/>
      <c r="Q1734" s="11"/>
      <c r="R1734" s="11"/>
      <c r="S1734" s="11"/>
      <c r="T1734" s="11"/>
      <c r="U1734" s="11"/>
      <c r="V1734" s="11"/>
      <c r="W1734" s="11"/>
      <c r="X1734" s="12"/>
      <c r="Y1734" s="12"/>
      <c r="Z1734" s="12"/>
      <c r="AA1734" s="44"/>
      <c r="AB1734" s="45"/>
      <c r="AC1734" s="12"/>
      <c r="AD1734" s="12"/>
      <c r="AE1734" s="12"/>
      <c r="AF1734" s="12"/>
      <c r="AG1734" s="44"/>
      <c r="AH1734" s="45"/>
      <c r="AI1734" s="12"/>
      <c r="AJ1734" s="12"/>
      <c r="AK1734" s="12"/>
      <c r="AL1734" s="12"/>
      <c r="AM1734" s="44"/>
      <c r="AN1734" s="45"/>
      <c r="AO1734" s="12"/>
      <c r="AP1734" s="12"/>
      <c r="AQ1734" s="12"/>
      <c r="AR1734" s="12"/>
      <c r="AS1734" s="44"/>
      <c r="AT1734" s="45"/>
      <c r="AU1734" s="12"/>
      <c r="AV1734" s="12"/>
      <c r="AW1734" s="12"/>
      <c r="AX1734" s="12"/>
      <c r="AY1734" s="44"/>
      <c r="AZ1734" s="45"/>
      <c r="BA1734" s="12"/>
      <c r="BB1734" s="12"/>
      <c r="BC1734" s="12"/>
      <c r="BD1734" s="12"/>
      <c r="BE1734" s="44"/>
      <c r="BF1734" s="45"/>
      <c r="BG1734" s="12"/>
      <c r="BH1734" s="12"/>
      <c r="BI1734" s="12"/>
      <c r="BJ1734" s="12"/>
      <c r="BK1734" s="44"/>
      <c r="BL1734" s="45"/>
      <c r="BM1734" s="12"/>
      <c r="BN1734" s="12"/>
      <c r="BO1734" s="12"/>
      <c r="BP1734" s="12"/>
      <c r="BQ1734" s="48"/>
      <c r="BR1734" s="49"/>
      <c r="BS1734" s="13"/>
      <c r="BT1734" s="12"/>
      <c r="BV1734" s="14"/>
      <c r="BW1734" s="50"/>
      <c r="BX1734" s="54"/>
      <c r="BY1734" s="14"/>
      <c r="BZ1734" s="14"/>
      <c r="CA1734" s="14"/>
      <c r="CB1734" s="14"/>
      <c r="CC1734" s="14"/>
      <c r="CD1734" s="14"/>
      <c r="CE1734" s="14"/>
      <c r="CF1734" s="15"/>
      <c r="CG1734" s="14"/>
      <c r="CH1734" s="14"/>
      <c r="CI1734" s="50"/>
      <c r="CJ1734" s="54"/>
      <c r="CK1734" s="14"/>
      <c r="CL1734" s="14"/>
      <c r="CM1734" s="14"/>
      <c r="CN1734" s="14"/>
      <c r="CO1734" s="14"/>
      <c r="CP1734" s="14"/>
      <c r="CQ1734" s="14"/>
      <c r="CR1734" s="14"/>
      <c r="CS1734" s="14"/>
      <c r="CT1734" s="14"/>
      <c r="CU1734" s="16"/>
      <c r="CV1734" s="14"/>
      <c r="CW1734" s="50"/>
      <c r="CX1734" s="17"/>
    </row>
    <row r="1735" spans="4:102" x14ac:dyDescent="0.25">
      <c r="D1735" s="11"/>
      <c r="E1735" s="11"/>
      <c r="F1735" s="11"/>
      <c r="G1735" s="11"/>
      <c r="H1735" s="11"/>
      <c r="I1735" s="11"/>
      <c r="J1735" s="11"/>
      <c r="K1735" s="11"/>
      <c r="L1735" s="11"/>
      <c r="M1735" s="11"/>
      <c r="N1735" s="11"/>
      <c r="O1735" s="11"/>
      <c r="P1735" s="43"/>
      <c r="Q1735" s="11"/>
      <c r="R1735" s="11"/>
      <c r="S1735" s="11"/>
      <c r="T1735" s="11"/>
      <c r="U1735" s="11"/>
      <c r="V1735" s="11"/>
      <c r="W1735" s="11"/>
      <c r="X1735" s="12"/>
      <c r="Y1735" s="12"/>
      <c r="Z1735" s="12"/>
      <c r="AA1735" s="44"/>
      <c r="AB1735" s="45"/>
      <c r="AC1735" s="12"/>
      <c r="AD1735" s="12"/>
      <c r="AE1735" s="12"/>
      <c r="AF1735" s="12"/>
      <c r="AG1735" s="44"/>
      <c r="AH1735" s="45"/>
      <c r="AI1735" s="12"/>
      <c r="AJ1735" s="12"/>
      <c r="AK1735" s="12"/>
      <c r="AL1735" s="12"/>
      <c r="AM1735" s="44"/>
      <c r="AN1735" s="45"/>
      <c r="AO1735" s="12"/>
      <c r="AP1735" s="12"/>
      <c r="AQ1735" s="12"/>
      <c r="AR1735" s="12"/>
      <c r="AS1735" s="44"/>
      <c r="AT1735" s="45"/>
      <c r="AU1735" s="12"/>
      <c r="AV1735" s="12"/>
      <c r="AW1735" s="12"/>
      <c r="AX1735" s="12"/>
      <c r="AY1735" s="44"/>
      <c r="AZ1735" s="45"/>
      <c r="BA1735" s="12"/>
      <c r="BB1735" s="12"/>
      <c r="BC1735" s="12"/>
      <c r="BD1735" s="12"/>
      <c r="BE1735" s="44"/>
      <c r="BF1735" s="45"/>
      <c r="BG1735" s="12"/>
      <c r="BH1735" s="12"/>
      <c r="BI1735" s="12"/>
      <c r="BJ1735" s="12"/>
      <c r="BK1735" s="44"/>
      <c r="BL1735" s="45"/>
      <c r="BM1735" s="12"/>
      <c r="BN1735" s="12"/>
      <c r="BO1735" s="12"/>
      <c r="BP1735" s="12"/>
      <c r="BQ1735" s="48"/>
      <c r="BR1735" s="49"/>
      <c r="BS1735" s="13"/>
      <c r="BT1735" s="12"/>
      <c r="BV1735" s="14"/>
      <c r="BW1735" s="50"/>
      <c r="BX1735" s="54"/>
      <c r="BY1735" s="14"/>
      <c r="BZ1735" s="14"/>
      <c r="CA1735" s="14"/>
      <c r="CB1735" s="14"/>
      <c r="CC1735" s="14"/>
      <c r="CD1735" s="14"/>
      <c r="CE1735" s="14"/>
      <c r="CF1735" s="15"/>
      <c r="CG1735" s="14"/>
      <c r="CH1735" s="14"/>
      <c r="CI1735" s="50"/>
      <c r="CJ1735" s="54"/>
      <c r="CK1735" s="14"/>
      <c r="CL1735" s="14"/>
      <c r="CM1735" s="14"/>
      <c r="CN1735" s="14"/>
      <c r="CO1735" s="14"/>
      <c r="CP1735" s="14"/>
      <c r="CQ1735" s="14"/>
      <c r="CR1735" s="14"/>
      <c r="CS1735" s="14"/>
      <c r="CT1735" s="14"/>
      <c r="CU1735" s="16"/>
      <c r="CV1735" s="14"/>
      <c r="CW1735" s="50"/>
      <c r="CX1735" s="17"/>
    </row>
    <row r="1736" spans="4:102" x14ac:dyDescent="0.25">
      <c r="D1736" s="11"/>
      <c r="E1736" s="11"/>
      <c r="F1736" s="11"/>
      <c r="G1736" s="11"/>
      <c r="H1736" s="11"/>
      <c r="I1736" s="11"/>
      <c r="J1736" s="11"/>
      <c r="K1736" s="11"/>
      <c r="L1736" s="11"/>
      <c r="M1736" s="11"/>
      <c r="N1736" s="11"/>
      <c r="O1736" s="11"/>
      <c r="P1736" s="43"/>
      <c r="Q1736" s="11"/>
      <c r="R1736" s="11"/>
      <c r="S1736" s="11"/>
      <c r="T1736" s="11"/>
      <c r="U1736" s="11"/>
      <c r="V1736" s="11"/>
      <c r="W1736" s="11"/>
      <c r="X1736" s="12"/>
      <c r="Y1736" s="12"/>
      <c r="Z1736" s="12"/>
      <c r="AA1736" s="44"/>
      <c r="AB1736" s="45"/>
      <c r="AC1736" s="12"/>
      <c r="AD1736" s="12"/>
      <c r="AE1736" s="12"/>
      <c r="AF1736" s="12"/>
      <c r="AG1736" s="44"/>
      <c r="AH1736" s="45"/>
      <c r="AI1736" s="12"/>
      <c r="AJ1736" s="12"/>
      <c r="AK1736" s="12"/>
      <c r="AL1736" s="12"/>
      <c r="AM1736" s="44"/>
      <c r="AN1736" s="45"/>
      <c r="AO1736" s="12"/>
      <c r="AP1736" s="12"/>
      <c r="AQ1736" s="12"/>
      <c r="AR1736" s="12"/>
      <c r="AS1736" s="44"/>
      <c r="AT1736" s="45"/>
      <c r="AU1736" s="12"/>
      <c r="AV1736" s="12"/>
      <c r="AW1736" s="12"/>
      <c r="AX1736" s="12"/>
      <c r="AY1736" s="44"/>
      <c r="AZ1736" s="45"/>
      <c r="BA1736" s="12"/>
      <c r="BB1736" s="12"/>
      <c r="BC1736" s="12"/>
      <c r="BD1736" s="12"/>
      <c r="BE1736" s="44"/>
      <c r="BF1736" s="45"/>
      <c r="BG1736" s="12"/>
      <c r="BH1736" s="12"/>
      <c r="BI1736" s="12"/>
      <c r="BJ1736" s="12"/>
      <c r="BK1736" s="44"/>
      <c r="BL1736" s="45"/>
      <c r="BM1736" s="12"/>
      <c r="BN1736" s="12"/>
      <c r="BO1736" s="12"/>
      <c r="BP1736" s="12"/>
      <c r="BQ1736" s="48"/>
      <c r="BR1736" s="49"/>
      <c r="BS1736" s="13"/>
      <c r="BT1736" s="12"/>
      <c r="BV1736" s="14"/>
      <c r="BW1736" s="50"/>
      <c r="BX1736" s="54"/>
      <c r="BY1736" s="14"/>
      <c r="BZ1736" s="14"/>
      <c r="CA1736" s="14"/>
      <c r="CB1736" s="14"/>
      <c r="CC1736" s="14"/>
      <c r="CD1736" s="14"/>
      <c r="CE1736" s="14"/>
      <c r="CF1736" s="15"/>
      <c r="CG1736" s="14"/>
      <c r="CH1736" s="14"/>
      <c r="CI1736" s="50"/>
      <c r="CJ1736" s="54"/>
      <c r="CK1736" s="14"/>
      <c r="CL1736" s="14"/>
      <c r="CM1736" s="14"/>
      <c r="CN1736" s="14"/>
      <c r="CO1736" s="14"/>
      <c r="CP1736" s="14"/>
      <c r="CQ1736" s="14"/>
      <c r="CR1736" s="14"/>
      <c r="CS1736" s="14"/>
      <c r="CT1736" s="14"/>
      <c r="CU1736" s="16"/>
      <c r="CV1736" s="14"/>
      <c r="CW1736" s="50"/>
      <c r="CX1736" s="17"/>
    </row>
    <row r="1737" spans="4:102" x14ac:dyDescent="0.25">
      <c r="D1737" s="11"/>
      <c r="E1737" s="11"/>
      <c r="F1737" s="11"/>
      <c r="G1737" s="11"/>
      <c r="H1737" s="11"/>
      <c r="I1737" s="11"/>
      <c r="J1737" s="11"/>
      <c r="K1737" s="11"/>
      <c r="L1737" s="11"/>
      <c r="M1737" s="11"/>
      <c r="N1737" s="11"/>
      <c r="O1737" s="11"/>
      <c r="P1737" s="43"/>
      <c r="Q1737" s="11"/>
      <c r="R1737" s="11"/>
      <c r="S1737" s="11"/>
      <c r="T1737" s="11"/>
      <c r="U1737" s="11"/>
      <c r="V1737" s="11"/>
      <c r="W1737" s="11"/>
      <c r="X1737" s="12"/>
      <c r="Y1737" s="12"/>
      <c r="Z1737" s="12"/>
      <c r="AA1737" s="44"/>
      <c r="AB1737" s="45"/>
      <c r="AC1737" s="12"/>
      <c r="AD1737" s="12"/>
      <c r="AE1737" s="12"/>
      <c r="AF1737" s="12"/>
      <c r="AG1737" s="44"/>
      <c r="AH1737" s="45"/>
      <c r="AI1737" s="12"/>
      <c r="AJ1737" s="12"/>
      <c r="AK1737" s="12"/>
      <c r="AL1737" s="12"/>
      <c r="AM1737" s="44"/>
      <c r="AN1737" s="45"/>
      <c r="AO1737" s="12"/>
      <c r="AP1737" s="12"/>
      <c r="AQ1737" s="12"/>
      <c r="AR1737" s="12"/>
      <c r="AS1737" s="44"/>
      <c r="AT1737" s="45"/>
      <c r="AU1737" s="12"/>
      <c r="AV1737" s="12"/>
      <c r="AW1737" s="12"/>
      <c r="AX1737" s="12"/>
      <c r="AY1737" s="44"/>
      <c r="AZ1737" s="45"/>
      <c r="BA1737" s="12"/>
      <c r="BB1737" s="12"/>
      <c r="BC1737" s="12"/>
      <c r="BD1737" s="12"/>
      <c r="BE1737" s="44"/>
      <c r="BF1737" s="45"/>
      <c r="BG1737" s="12"/>
      <c r="BH1737" s="12"/>
      <c r="BI1737" s="12"/>
      <c r="BJ1737" s="12"/>
      <c r="BK1737" s="44"/>
      <c r="BL1737" s="45"/>
      <c r="BM1737" s="12"/>
      <c r="BN1737" s="12"/>
      <c r="BO1737" s="12"/>
      <c r="BP1737" s="12"/>
      <c r="BQ1737" s="48"/>
      <c r="BR1737" s="49"/>
      <c r="BS1737" s="13"/>
      <c r="BT1737" s="12"/>
      <c r="BV1737" s="14"/>
      <c r="BW1737" s="50"/>
      <c r="BX1737" s="54"/>
      <c r="BY1737" s="14"/>
      <c r="BZ1737" s="14"/>
      <c r="CA1737" s="14"/>
      <c r="CB1737" s="14"/>
      <c r="CC1737" s="14"/>
      <c r="CD1737" s="14"/>
      <c r="CE1737" s="14"/>
      <c r="CF1737" s="15"/>
      <c r="CG1737" s="14"/>
      <c r="CH1737" s="14"/>
      <c r="CI1737" s="50"/>
      <c r="CJ1737" s="54"/>
      <c r="CK1737" s="14"/>
      <c r="CL1737" s="14"/>
      <c r="CM1737" s="14"/>
      <c r="CN1737" s="14"/>
      <c r="CO1737" s="14"/>
      <c r="CP1737" s="14"/>
      <c r="CQ1737" s="14"/>
      <c r="CR1737" s="14"/>
      <c r="CS1737" s="14"/>
      <c r="CT1737" s="14"/>
      <c r="CU1737" s="16"/>
      <c r="CV1737" s="14"/>
      <c r="CW1737" s="50"/>
      <c r="CX1737" s="17"/>
    </row>
    <row r="1738" spans="4:102" x14ac:dyDescent="0.25">
      <c r="D1738" s="11"/>
      <c r="E1738" s="11"/>
      <c r="F1738" s="11"/>
      <c r="G1738" s="11"/>
      <c r="H1738" s="11"/>
      <c r="I1738" s="11"/>
      <c r="J1738" s="11"/>
      <c r="K1738" s="11"/>
      <c r="L1738" s="11"/>
      <c r="M1738" s="11"/>
      <c r="N1738" s="11"/>
      <c r="O1738" s="11"/>
      <c r="P1738" s="43"/>
      <c r="Q1738" s="11"/>
      <c r="R1738" s="11"/>
      <c r="S1738" s="11"/>
      <c r="T1738" s="11"/>
      <c r="U1738" s="11"/>
      <c r="V1738" s="11"/>
      <c r="W1738" s="11"/>
      <c r="X1738" s="12"/>
      <c r="Y1738" s="12"/>
      <c r="Z1738" s="12"/>
      <c r="AA1738" s="44"/>
      <c r="AB1738" s="45"/>
      <c r="AC1738" s="12"/>
      <c r="AD1738" s="12"/>
      <c r="AE1738" s="12"/>
      <c r="AF1738" s="12"/>
      <c r="AG1738" s="44"/>
      <c r="AH1738" s="45"/>
      <c r="AI1738" s="12"/>
      <c r="AJ1738" s="12"/>
      <c r="AK1738" s="12"/>
      <c r="AL1738" s="12"/>
      <c r="AM1738" s="44"/>
      <c r="AN1738" s="45"/>
      <c r="AO1738" s="12"/>
      <c r="AP1738" s="12"/>
      <c r="AQ1738" s="12"/>
      <c r="AR1738" s="12"/>
      <c r="AS1738" s="44"/>
      <c r="AT1738" s="45"/>
      <c r="AU1738" s="12"/>
      <c r="AV1738" s="12"/>
      <c r="AW1738" s="12"/>
      <c r="AX1738" s="12"/>
      <c r="AY1738" s="44"/>
      <c r="AZ1738" s="45"/>
      <c r="BA1738" s="12"/>
      <c r="BB1738" s="12"/>
      <c r="BC1738" s="12"/>
      <c r="BD1738" s="12"/>
      <c r="BE1738" s="44"/>
      <c r="BF1738" s="45"/>
      <c r="BG1738" s="12"/>
      <c r="BH1738" s="12"/>
      <c r="BI1738" s="12"/>
      <c r="BJ1738" s="12"/>
      <c r="BK1738" s="44"/>
      <c r="BL1738" s="45"/>
      <c r="BM1738" s="12"/>
      <c r="BN1738" s="12"/>
      <c r="BO1738" s="12"/>
      <c r="BP1738" s="12"/>
      <c r="BQ1738" s="48"/>
      <c r="BR1738" s="49"/>
      <c r="BS1738" s="13"/>
      <c r="BT1738" s="12"/>
      <c r="BV1738" s="14"/>
      <c r="BW1738" s="50"/>
      <c r="BX1738" s="54"/>
      <c r="BY1738" s="14"/>
      <c r="BZ1738" s="14"/>
      <c r="CA1738" s="14"/>
      <c r="CB1738" s="14"/>
      <c r="CC1738" s="14"/>
      <c r="CD1738" s="14"/>
      <c r="CE1738" s="14"/>
      <c r="CF1738" s="15"/>
      <c r="CG1738" s="14"/>
      <c r="CH1738" s="14"/>
      <c r="CI1738" s="50"/>
      <c r="CJ1738" s="54"/>
      <c r="CK1738" s="14"/>
      <c r="CL1738" s="14"/>
      <c r="CM1738" s="14"/>
      <c r="CN1738" s="14"/>
      <c r="CO1738" s="14"/>
      <c r="CP1738" s="14"/>
      <c r="CQ1738" s="14"/>
      <c r="CR1738" s="14"/>
      <c r="CS1738" s="14"/>
      <c r="CT1738" s="14"/>
      <c r="CU1738" s="16"/>
      <c r="CV1738" s="14"/>
      <c r="CW1738" s="50"/>
      <c r="CX1738" s="17"/>
    </row>
    <row r="1739" spans="4:102" x14ac:dyDescent="0.25">
      <c r="D1739" s="11"/>
      <c r="E1739" s="11"/>
      <c r="F1739" s="11"/>
      <c r="G1739" s="11"/>
      <c r="H1739" s="11"/>
      <c r="I1739" s="11"/>
      <c r="J1739" s="11"/>
      <c r="K1739" s="11"/>
      <c r="L1739" s="11"/>
      <c r="M1739" s="11"/>
      <c r="N1739" s="11"/>
      <c r="O1739" s="11"/>
      <c r="P1739" s="43"/>
      <c r="Q1739" s="11"/>
      <c r="R1739" s="11"/>
      <c r="S1739" s="11"/>
      <c r="T1739" s="11"/>
      <c r="U1739" s="11"/>
      <c r="V1739" s="11"/>
      <c r="W1739" s="11"/>
      <c r="X1739" s="12"/>
      <c r="Y1739" s="12"/>
      <c r="Z1739" s="12"/>
      <c r="AA1739" s="44"/>
      <c r="AB1739" s="45"/>
      <c r="AC1739" s="12"/>
      <c r="AD1739" s="12"/>
      <c r="AE1739" s="12"/>
      <c r="AF1739" s="12"/>
      <c r="AG1739" s="44"/>
      <c r="AH1739" s="45"/>
      <c r="AI1739" s="12"/>
      <c r="AJ1739" s="12"/>
      <c r="AK1739" s="12"/>
      <c r="AL1739" s="12"/>
      <c r="AM1739" s="44"/>
      <c r="AN1739" s="45"/>
      <c r="AO1739" s="12"/>
      <c r="AP1739" s="12"/>
      <c r="AQ1739" s="12"/>
      <c r="AR1739" s="12"/>
      <c r="AS1739" s="44"/>
      <c r="AT1739" s="45"/>
      <c r="AU1739" s="12"/>
      <c r="AV1739" s="12"/>
      <c r="AW1739" s="12"/>
      <c r="AX1739" s="12"/>
      <c r="AY1739" s="44"/>
      <c r="AZ1739" s="45"/>
      <c r="BA1739" s="12"/>
      <c r="BB1739" s="12"/>
      <c r="BC1739" s="12"/>
      <c r="BD1739" s="12"/>
      <c r="BE1739" s="44"/>
      <c r="BF1739" s="45"/>
      <c r="BG1739" s="12"/>
      <c r="BH1739" s="12"/>
      <c r="BI1739" s="12"/>
      <c r="BJ1739" s="12"/>
      <c r="BK1739" s="44"/>
      <c r="BL1739" s="45"/>
      <c r="BM1739" s="12"/>
      <c r="BN1739" s="12"/>
      <c r="BO1739" s="12"/>
      <c r="BP1739" s="12"/>
      <c r="BQ1739" s="48"/>
      <c r="BR1739" s="49"/>
      <c r="BS1739" s="13"/>
      <c r="BT1739" s="12"/>
      <c r="BV1739" s="14"/>
      <c r="BW1739" s="50"/>
      <c r="BX1739" s="54"/>
      <c r="BY1739" s="14"/>
      <c r="BZ1739" s="14"/>
      <c r="CA1739" s="14"/>
      <c r="CB1739" s="14"/>
      <c r="CC1739" s="14"/>
      <c r="CD1739" s="14"/>
      <c r="CE1739" s="14"/>
      <c r="CF1739" s="15"/>
      <c r="CG1739" s="14"/>
      <c r="CH1739" s="14"/>
      <c r="CI1739" s="50"/>
      <c r="CJ1739" s="54"/>
      <c r="CK1739" s="14"/>
      <c r="CL1739" s="14"/>
      <c r="CM1739" s="14"/>
      <c r="CN1739" s="14"/>
      <c r="CO1739" s="14"/>
      <c r="CP1739" s="14"/>
      <c r="CQ1739" s="14"/>
      <c r="CR1739" s="14"/>
      <c r="CS1739" s="14"/>
      <c r="CT1739" s="14"/>
      <c r="CU1739" s="16"/>
      <c r="CV1739" s="14"/>
      <c r="CW1739" s="50"/>
      <c r="CX1739" s="17"/>
    </row>
    <row r="1740" spans="4:102" x14ac:dyDescent="0.25">
      <c r="D1740" s="11"/>
      <c r="E1740" s="11"/>
      <c r="F1740" s="11"/>
      <c r="G1740" s="11"/>
      <c r="H1740" s="11"/>
      <c r="I1740" s="11"/>
      <c r="J1740" s="11"/>
      <c r="K1740" s="11"/>
      <c r="L1740" s="11"/>
      <c r="M1740" s="11"/>
      <c r="N1740" s="11"/>
      <c r="O1740" s="11"/>
      <c r="P1740" s="43"/>
      <c r="Q1740" s="11"/>
      <c r="R1740" s="11"/>
      <c r="S1740" s="11"/>
      <c r="T1740" s="11"/>
      <c r="U1740" s="11"/>
      <c r="V1740" s="11"/>
      <c r="W1740" s="11"/>
      <c r="X1740" s="12"/>
      <c r="Y1740" s="12"/>
      <c r="Z1740" s="12"/>
      <c r="AA1740" s="44"/>
      <c r="AB1740" s="45"/>
      <c r="AC1740" s="12"/>
      <c r="AD1740" s="12"/>
      <c r="AE1740" s="12"/>
      <c r="AF1740" s="12"/>
      <c r="AG1740" s="44"/>
      <c r="AH1740" s="45"/>
      <c r="AI1740" s="12"/>
      <c r="AJ1740" s="12"/>
      <c r="AK1740" s="12"/>
      <c r="AL1740" s="12"/>
      <c r="AM1740" s="44"/>
      <c r="AN1740" s="45"/>
      <c r="AO1740" s="12"/>
      <c r="AP1740" s="12"/>
      <c r="AQ1740" s="12"/>
      <c r="AR1740" s="12"/>
      <c r="AS1740" s="44"/>
      <c r="AT1740" s="45"/>
      <c r="AU1740" s="12"/>
      <c r="AV1740" s="12"/>
      <c r="AW1740" s="12"/>
      <c r="AX1740" s="12"/>
      <c r="AY1740" s="44"/>
      <c r="AZ1740" s="45"/>
      <c r="BA1740" s="12"/>
      <c r="BB1740" s="12"/>
      <c r="BC1740" s="12"/>
      <c r="BD1740" s="12"/>
      <c r="BE1740" s="44"/>
      <c r="BF1740" s="45"/>
      <c r="BG1740" s="12"/>
      <c r="BH1740" s="12"/>
      <c r="BI1740" s="12"/>
      <c r="BJ1740" s="12"/>
      <c r="BK1740" s="44"/>
      <c r="BL1740" s="45"/>
      <c r="BM1740" s="12"/>
      <c r="BN1740" s="12"/>
      <c r="BO1740" s="12"/>
      <c r="BP1740" s="12"/>
      <c r="BQ1740" s="48"/>
      <c r="BR1740" s="49"/>
      <c r="BS1740" s="13"/>
      <c r="BT1740" s="12"/>
      <c r="BV1740" s="14"/>
      <c r="BW1740" s="50"/>
      <c r="BX1740" s="54"/>
      <c r="BY1740" s="14"/>
      <c r="BZ1740" s="14"/>
      <c r="CA1740" s="14"/>
      <c r="CB1740" s="14"/>
      <c r="CC1740" s="14"/>
      <c r="CD1740" s="14"/>
      <c r="CE1740" s="14"/>
      <c r="CF1740" s="15"/>
      <c r="CG1740" s="14"/>
      <c r="CH1740" s="14"/>
      <c r="CI1740" s="50"/>
      <c r="CJ1740" s="54"/>
      <c r="CK1740" s="14"/>
      <c r="CL1740" s="14"/>
      <c r="CM1740" s="14"/>
      <c r="CN1740" s="14"/>
      <c r="CO1740" s="14"/>
      <c r="CP1740" s="14"/>
      <c r="CQ1740" s="14"/>
      <c r="CR1740" s="14"/>
      <c r="CS1740" s="14"/>
      <c r="CT1740" s="14"/>
      <c r="CU1740" s="16"/>
      <c r="CV1740" s="14"/>
      <c r="CW1740" s="50"/>
      <c r="CX1740" s="17"/>
    </row>
    <row r="1741" spans="4:102" x14ac:dyDescent="0.25">
      <c r="D1741" s="11"/>
      <c r="E1741" s="11"/>
      <c r="F1741" s="11"/>
      <c r="G1741" s="11"/>
      <c r="H1741" s="11"/>
      <c r="I1741" s="11"/>
      <c r="J1741" s="11"/>
      <c r="K1741" s="11"/>
      <c r="L1741" s="11"/>
      <c r="M1741" s="11"/>
      <c r="N1741" s="11"/>
      <c r="O1741" s="11"/>
      <c r="P1741" s="43"/>
      <c r="Q1741" s="11"/>
      <c r="R1741" s="11"/>
      <c r="S1741" s="11"/>
      <c r="T1741" s="11"/>
      <c r="U1741" s="11"/>
      <c r="V1741" s="11"/>
      <c r="W1741" s="11"/>
      <c r="X1741" s="12"/>
      <c r="Y1741" s="12"/>
      <c r="Z1741" s="12"/>
      <c r="AA1741" s="44"/>
      <c r="AB1741" s="45"/>
      <c r="AC1741" s="12"/>
      <c r="AD1741" s="12"/>
      <c r="AE1741" s="12"/>
      <c r="AF1741" s="12"/>
      <c r="AG1741" s="44"/>
      <c r="AH1741" s="45"/>
      <c r="AI1741" s="12"/>
      <c r="AJ1741" s="12"/>
      <c r="AK1741" s="12"/>
      <c r="AL1741" s="12"/>
      <c r="AM1741" s="44"/>
      <c r="AN1741" s="45"/>
      <c r="AO1741" s="12"/>
      <c r="AP1741" s="12"/>
      <c r="AQ1741" s="12"/>
      <c r="AR1741" s="12"/>
      <c r="AS1741" s="44"/>
      <c r="AT1741" s="45"/>
      <c r="AU1741" s="12"/>
      <c r="AV1741" s="12"/>
      <c r="AW1741" s="12"/>
      <c r="AX1741" s="12"/>
      <c r="AY1741" s="44"/>
      <c r="AZ1741" s="45"/>
      <c r="BA1741" s="12"/>
      <c r="BB1741" s="12"/>
      <c r="BC1741" s="12"/>
      <c r="BD1741" s="12"/>
      <c r="BE1741" s="44"/>
      <c r="BF1741" s="45"/>
      <c r="BG1741" s="12"/>
      <c r="BH1741" s="12"/>
      <c r="BI1741" s="12"/>
      <c r="BJ1741" s="12"/>
      <c r="BK1741" s="44"/>
      <c r="BL1741" s="45"/>
      <c r="BM1741" s="12"/>
      <c r="BN1741" s="12"/>
      <c r="BO1741" s="12"/>
      <c r="BP1741" s="12"/>
      <c r="BQ1741" s="48"/>
      <c r="BR1741" s="49"/>
      <c r="BS1741" s="13"/>
      <c r="BT1741" s="12"/>
      <c r="BV1741" s="14"/>
      <c r="BW1741" s="50"/>
      <c r="BX1741" s="54"/>
      <c r="BY1741" s="14"/>
      <c r="BZ1741" s="14"/>
      <c r="CA1741" s="14"/>
      <c r="CB1741" s="14"/>
      <c r="CC1741" s="14"/>
      <c r="CD1741" s="14"/>
      <c r="CE1741" s="14"/>
      <c r="CF1741" s="15"/>
      <c r="CG1741" s="14"/>
      <c r="CH1741" s="14"/>
      <c r="CI1741" s="50"/>
      <c r="CJ1741" s="54"/>
      <c r="CK1741" s="14"/>
      <c r="CL1741" s="14"/>
      <c r="CM1741" s="14"/>
      <c r="CN1741" s="14"/>
      <c r="CO1741" s="14"/>
      <c r="CP1741" s="14"/>
      <c r="CQ1741" s="14"/>
      <c r="CR1741" s="14"/>
      <c r="CS1741" s="14"/>
      <c r="CT1741" s="14"/>
      <c r="CU1741" s="16"/>
      <c r="CV1741" s="14"/>
      <c r="CW1741" s="50"/>
      <c r="CX1741" s="17"/>
    </row>
    <row r="1742" spans="4:102" x14ac:dyDescent="0.25">
      <c r="D1742" s="11"/>
      <c r="E1742" s="11"/>
      <c r="F1742" s="11"/>
      <c r="G1742" s="11"/>
      <c r="H1742" s="11"/>
      <c r="I1742" s="11"/>
      <c r="J1742" s="11"/>
      <c r="K1742" s="11"/>
      <c r="L1742" s="11"/>
      <c r="M1742" s="11"/>
      <c r="N1742" s="11"/>
      <c r="O1742" s="11"/>
      <c r="P1742" s="43"/>
      <c r="Q1742" s="11"/>
      <c r="R1742" s="11"/>
      <c r="S1742" s="11"/>
      <c r="T1742" s="11"/>
      <c r="U1742" s="11"/>
      <c r="V1742" s="11"/>
      <c r="W1742" s="11"/>
      <c r="X1742" s="12"/>
      <c r="Y1742" s="12"/>
      <c r="Z1742" s="12"/>
      <c r="AA1742" s="44"/>
      <c r="AB1742" s="45"/>
      <c r="AC1742" s="12"/>
      <c r="AD1742" s="12"/>
      <c r="AE1742" s="12"/>
      <c r="AF1742" s="12"/>
      <c r="AG1742" s="44"/>
      <c r="AH1742" s="45"/>
      <c r="AI1742" s="12"/>
      <c r="AJ1742" s="12"/>
      <c r="AK1742" s="12"/>
      <c r="AL1742" s="12"/>
      <c r="AM1742" s="44"/>
      <c r="AN1742" s="45"/>
      <c r="AO1742" s="12"/>
      <c r="AP1742" s="12"/>
      <c r="AQ1742" s="12"/>
      <c r="AR1742" s="12"/>
      <c r="AS1742" s="44"/>
      <c r="AT1742" s="45"/>
      <c r="AU1742" s="12"/>
      <c r="AV1742" s="12"/>
      <c r="AW1742" s="12"/>
      <c r="AX1742" s="12"/>
      <c r="AY1742" s="44"/>
      <c r="AZ1742" s="45"/>
      <c r="BA1742" s="12"/>
      <c r="BB1742" s="12"/>
      <c r="BC1742" s="12"/>
      <c r="BD1742" s="12"/>
      <c r="BE1742" s="44"/>
      <c r="BF1742" s="45"/>
      <c r="BG1742" s="12"/>
      <c r="BH1742" s="12"/>
      <c r="BI1742" s="12"/>
      <c r="BJ1742" s="12"/>
      <c r="BK1742" s="44"/>
      <c r="BL1742" s="45"/>
      <c r="BM1742" s="12"/>
      <c r="BN1742" s="12"/>
      <c r="BO1742" s="12"/>
      <c r="BP1742" s="12"/>
      <c r="BQ1742" s="48"/>
      <c r="BR1742" s="49"/>
      <c r="BS1742" s="13"/>
      <c r="BT1742" s="12"/>
      <c r="BV1742" s="14"/>
      <c r="BW1742" s="50"/>
      <c r="BX1742" s="54"/>
      <c r="BY1742" s="14"/>
      <c r="BZ1742" s="14"/>
      <c r="CA1742" s="14"/>
      <c r="CB1742" s="14"/>
      <c r="CC1742" s="14"/>
      <c r="CD1742" s="14"/>
      <c r="CE1742" s="14"/>
      <c r="CF1742" s="15"/>
      <c r="CG1742" s="14"/>
      <c r="CH1742" s="14"/>
      <c r="CI1742" s="50"/>
      <c r="CJ1742" s="54"/>
      <c r="CK1742" s="14"/>
      <c r="CL1742" s="14"/>
      <c r="CM1742" s="14"/>
      <c r="CN1742" s="14"/>
      <c r="CO1742" s="14"/>
      <c r="CP1742" s="14"/>
      <c r="CQ1742" s="14"/>
      <c r="CR1742" s="14"/>
      <c r="CS1742" s="14"/>
      <c r="CT1742" s="14"/>
      <c r="CU1742" s="16"/>
      <c r="CV1742" s="14"/>
      <c r="CW1742" s="50"/>
      <c r="CX1742" s="17"/>
    </row>
    <row r="1743" spans="4:102" x14ac:dyDescent="0.25">
      <c r="D1743" s="11"/>
      <c r="E1743" s="11"/>
      <c r="F1743" s="11"/>
      <c r="G1743" s="11"/>
      <c r="H1743" s="11"/>
      <c r="I1743" s="11"/>
      <c r="J1743" s="11"/>
      <c r="K1743" s="11"/>
      <c r="L1743" s="11"/>
      <c r="M1743" s="11"/>
      <c r="N1743" s="11"/>
      <c r="O1743" s="11"/>
      <c r="P1743" s="43"/>
      <c r="Q1743" s="11"/>
      <c r="R1743" s="11"/>
      <c r="S1743" s="11"/>
      <c r="T1743" s="11"/>
      <c r="U1743" s="11"/>
      <c r="V1743" s="11"/>
      <c r="W1743" s="11"/>
      <c r="X1743" s="12"/>
      <c r="Y1743" s="12"/>
      <c r="Z1743" s="12"/>
      <c r="AA1743" s="44"/>
      <c r="AB1743" s="45"/>
      <c r="AC1743" s="12"/>
      <c r="AD1743" s="12"/>
      <c r="AE1743" s="12"/>
      <c r="AF1743" s="12"/>
      <c r="AG1743" s="44"/>
      <c r="AH1743" s="45"/>
      <c r="AI1743" s="12"/>
      <c r="AJ1743" s="12"/>
      <c r="AK1743" s="12"/>
      <c r="AL1743" s="12"/>
      <c r="AM1743" s="44"/>
      <c r="AN1743" s="45"/>
      <c r="AO1743" s="12"/>
      <c r="AP1743" s="12"/>
      <c r="AQ1743" s="12"/>
      <c r="AR1743" s="12"/>
      <c r="AS1743" s="44"/>
      <c r="AT1743" s="45"/>
      <c r="AU1743" s="12"/>
      <c r="AV1743" s="12"/>
      <c r="AW1743" s="12"/>
      <c r="AX1743" s="12"/>
      <c r="AY1743" s="44"/>
      <c r="AZ1743" s="45"/>
      <c r="BA1743" s="12"/>
      <c r="BB1743" s="12"/>
      <c r="BC1743" s="12"/>
      <c r="BD1743" s="12"/>
      <c r="BE1743" s="44"/>
      <c r="BF1743" s="45"/>
      <c r="BG1743" s="12"/>
      <c r="BH1743" s="12"/>
      <c r="BI1743" s="12"/>
      <c r="BJ1743" s="12"/>
      <c r="BK1743" s="44"/>
      <c r="BL1743" s="45"/>
      <c r="BM1743" s="12"/>
      <c r="BN1743" s="12"/>
      <c r="BO1743" s="12"/>
      <c r="BP1743" s="12"/>
      <c r="BQ1743" s="48"/>
      <c r="BR1743" s="49"/>
      <c r="BS1743" s="13"/>
      <c r="BT1743" s="12"/>
      <c r="BV1743" s="14"/>
      <c r="BW1743" s="50"/>
      <c r="BX1743" s="54"/>
      <c r="BY1743" s="14"/>
      <c r="BZ1743" s="14"/>
      <c r="CA1743" s="14"/>
      <c r="CB1743" s="14"/>
      <c r="CC1743" s="14"/>
      <c r="CD1743" s="14"/>
      <c r="CE1743" s="14"/>
      <c r="CF1743" s="15"/>
      <c r="CG1743" s="14"/>
      <c r="CH1743" s="14"/>
      <c r="CI1743" s="50"/>
      <c r="CJ1743" s="54"/>
      <c r="CK1743" s="14"/>
      <c r="CL1743" s="14"/>
      <c r="CM1743" s="14"/>
      <c r="CN1743" s="14"/>
      <c r="CO1743" s="14"/>
      <c r="CP1743" s="14"/>
      <c r="CQ1743" s="14"/>
      <c r="CR1743" s="14"/>
      <c r="CS1743" s="14"/>
      <c r="CT1743" s="14"/>
      <c r="CU1743" s="16"/>
      <c r="CV1743" s="14"/>
      <c r="CW1743" s="50"/>
      <c r="CX1743" s="17"/>
    </row>
    <row r="1744" spans="4:102" x14ac:dyDescent="0.25">
      <c r="D1744" s="11"/>
      <c r="E1744" s="11"/>
      <c r="F1744" s="11"/>
      <c r="G1744" s="11"/>
      <c r="H1744" s="11"/>
      <c r="I1744" s="11"/>
      <c r="J1744" s="11"/>
      <c r="K1744" s="11"/>
      <c r="L1744" s="11"/>
      <c r="M1744" s="11"/>
      <c r="N1744" s="11"/>
      <c r="O1744" s="11"/>
      <c r="P1744" s="43"/>
      <c r="Q1744" s="11"/>
      <c r="R1744" s="11"/>
      <c r="S1744" s="11"/>
      <c r="T1744" s="11"/>
      <c r="U1744" s="11"/>
      <c r="V1744" s="11"/>
      <c r="W1744" s="11"/>
      <c r="X1744" s="12"/>
      <c r="Y1744" s="12"/>
      <c r="Z1744" s="12"/>
      <c r="AA1744" s="44"/>
      <c r="AB1744" s="45"/>
      <c r="AC1744" s="12"/>
      <c r="AD1744" s="12"/>
      <c r="AE1744" s="12"/>
      <c r="AF1744" s="12"/>
      <c r="AG1744" s="44"/>
      <c r="AH1744" s="45"/>
      <c r="AI1744" s="12"/>
      <c r="AJ1744" s="12"/>
      <c r="AK1744" s="12"/>
      <c r="AL1744" s="12"/>
      <c r="AM1744" s="44"/>
      <c r="AN1744" s="45"/>
      <c r="AO1744" s="12"/>
      <c r="AP1744" s="12"/>
      <c r="AQ1744" s="12"/>
      <c r="AR1744" s="12"/>
      <c r="AS1744" s="44"/>
      <c r="AT1744" s="45"/>
      <c r="AU1744" s="12"/>
      <c r="AV1744" s="12"/>
      <c r="AW1744" s="12"/>
      <c r="AX1744" s="12"/>
      <c r="AY1744" s="44"/>
      <c r="AZ1744" s="45"/>
      <c r="BA1744" s="12"/>
      <c r="BB1744" s="12"/>
      <c r="BC1744" s="12"/>
      <c r="BD1744" s="12"/>
      <c r="BE1744" s="44"/>
      <c r="BF1744" s="45"/>
      <c r="BG1744" s="12"/>
      <c r="BH1744" s="12"/>
      <c r="BI1744" s="12"/>
      <c r="BJ1744" s="12"/>
      <c r="BK1744" s="44"/>
      <c r="BL1744" s="45"/>
      <c r="BM1744" s="12"/>
      <c r="BN1744" s="12"/>
      <c r="BO1744" s="12"/>
      <c r="BP1744" s="12"/>
      <c r="BQ1744" s="48"/>
      <c r="BR1744" s="49"/>
      <c r="BS1744" s="13"/>
      <c r="BT1744" s="12"/>
      <c r="BV1744" s="14"/>
      <c r="BW1744" s="50"/>
      <c r="BX1744" s="54"/>
      <c r="BY1744" s="14"/>
      <c r="BZ1744" s="14"/>
      <c r="CA1744" s="14"/>
      <c r="CB1744" s="14"/>
      <c r="CC1744" s="14"/>
      <c r="CD1744" s="14"/>
      <c r="CE1744" s="14"/>
      <c r="CF1744" s="15"/>
      <c r="CG1744" s="14"/>
      <c r="CH1744" s="14"/>
      <c r="CI1744" s="50"/>
      <c r="CJ1744" s="54"/>
      <c r="CK1744" s="14"/>
      <c r="CL1744" s="14"/>
      <c r="CM1744" s="14"/>
      <c r="CN1744" s="14"/>
      <c r="CO1744" s="14"/>
      <c r="CP1744" s="14"/>
      <c r="CQ1744" s="14"/>
      <c r="CR1744" s="14"/>
      <c r="CS1744" s="14"/>
      <c r="CT1744" s="14"/>
      <c r="CU1744" s="16"/>
      <c r="CV1744" s="14"/>
      <c r="CW1744" s="50"/>
      <c r="CX1744" s="17"/>
    </row>
    <row r="1745" spans="4:102" x14ac:dyDescent="0.25">
      <c r="D1745" s="11"/>
      <c r="E1745" s="11"/>
      <c r="F1745" s="11"/>
      <c r="G1745" s="11"/>
      <c r="H1745" s="11"/>
      <c r="I1745" s="11"/>
      <c r="J1745" s="11"/>
      <c r="K1745" s="11"/>
      <c r="L1745" s="11"/>
      <c r="M1745" s="11"/>
      <c r="N1745" s="11"/>
      <c r="O1745" s="11"/>
      <c r="P1745" s="43"/>
      <c r="Q1745" s="11"/>
      <c r="R1745" s="11"/>
      <c r="S1745" s="11"/>
      <c r="T1745" s="11"/>
      <c r="U1745" s="11"/>
      <c r="V1745" s="11"/>
      <c r="W1745" s="11"/>
      <c r="X1745" s="12"/>
      <c r="Y1745" s="12"/>
      <c r="Z1745" s="12"/>
      <c r="AA1745" s="44"/>
      <c r="AB1745" s="45"/>
      <c r="AC1745" s="12"/>
      <c r="AD1745" s="12"/>
      <c r="AE1745" s="12"/>
      <c r="AF1745" s="12"/>
      <c r="AG1745" s="44"/>
      <c r="AH1745" s="45"/>
      <c r="AI1745" s="12"/>
      <c r="AJ1745" s="12"/>
      <c r="AK1745" s="12"/>
      <c r="AL1745" s="12"/>
      <c r="AM1745" s="44"/>
      <c r="AN1745" s="45"/>
      <c r="AO1745" s="12"/>
      <c r="AP1745" s="12"/>
      <c r="AQ1745" s="12"/>
      <c r="AR1745" s="12"/>
      <c r="AS1745" s="44"/>
      <c r="AT1745" s="45"/>
      <c r="AU1745" s="12"/>
      <c r="AV1745" s="12"/>
      <c r="AW1745" s="12"/>
      <c r="AX1745" s="12"/>
      <c r="AY1745" s="44"/>
      <c r="AZ1745" s="45"/>
      <c r="BA1745" s="12"/>
      <c r="BB1745" s="12"/>
      <c r="BC1745" s="12"/>
      <c r="BD1745" s="12"/>
      <c r="BE1745" s="44"/>
      <c r="BF1745" s="45"/>
      <c r="BG1745" s="12"/>
      <c r="BH1745" s="12"/>
      <c r="BI1745" s="12"/>
      <c r="BJ1745" s="12"/>
      <c r="BK1745" s="44"/>
      <c r="BL1745" s="45"/>
      <c r="BM1745" s="12"/>
      <c r="BN1745" s="12"/>
      <c r="BO1745" s="12"/>
      <c r="BP1745" s="12"/>
      <c r="BQ1745" s="48"/>
      <c r="BR1745" s="49"/>
      <c r="BS1745" s="13"/>
      <c r="BT1745" s="12"/>
      <c r="BV1745" s="14"/>
      <c r="BW1745" s="50"/>
      <c r="BX1745" s="54"/>
      <c r="BY1745" s="14"/>
      <c r="BZ1745" s="14"/>
      <c r="CA1745" s="14"/>
      <c r="CB1745" s="14"/>
      <c r="CC1745" s="14"/>
      <c r="CD1745" s="14"/>
      <c r="CE1745" s="14"/>
      <c r="CF1745" s="15"/>
      <c r="CG1745" s="14"/>
      <c r="CH1745" s="14"/>
      <c r="CI1745" s="50"/>
      <c r="CJ1745" s="54"/>
      <c r="CK1745" s="14"/>
      <c r="CL1745" s="14"/>
      <c r="CM1745" s="14"/>
      <c r="CN1745" s="14"/>
      <c r="CO1745" s="14"/>
      <c r="CP1745" s="14"/>
      <c r="CQ1745" s="14"/>
      <c r="CR1745" s="14"/>
      <c r="CS1745" s="14"/>
      <c r="CT1745" s="14"/>
      <c r="CU1745" s="16"/>
      <c r="CV1745" s="14"/>
      <c r="CW1745" s="50"/>
      <c r="CX1745" s="17"/>
    </row>
    <row r="1746" spans="4:102" x14ac:dyDescent="0.25">
      <c r="D1746" s="11"/>
      <c r="E1746" s="11"/>
      <c r="F1746" s="11"/>
      <c r="G1746" s="11"/>
      <c r="H1746" s="11"/>
      <c r="I1746" s="11"/>
      <c r="J1746" s="11"/>
      <c r="K1746" s="11"/>
      <c r="L1746" s="11"/>
      <c r="M1746" s="11"/>
      <c r="N1746" s="11"/>
      <c r="O1746" s="11"/>
      <c r="P1746" s="43"/>
      <c r="Q1746" s="11"/>
      <c r="R1746" s="11"/>
      <c r="S1746" s="11"/>
      <c r="T1746" s="11"/>
      <c r="U1746" s="11"/>
      <c r="V1746" s="11"/>
      <c r="W1746" s="11"/>
      <c r="X1746" s="12"/>
      <c r="Y1746" s="12"/>
      <c r="Z1746" s="12"/>
      <c r="AA1746" s="44"/>
      <c r="AB1746" s="45"/>
      <c r="AC1746" s="12"/>
      <c r="AD1746" s="12"/>
      <c r="AE1746" s="12"/>
      <c r="AF1746" s="12"/>
      <c r="AG1746" s="44"/>
      <c r="AH1746" s="45"/>
      <c r="AI1746" s="12"/>
      <c r="AJ1746" s="12"/>
      <c r="AK1746" s="12"/>
      <c r="AL1746" s="12"/>
      <c r="AM1746" s="44"/>
      <c r="AN1746" s="45"/>
      <c r="AO1746" s="12"/>
      <c r="AP1746" s="12"/>
      <c r="AQ1746" s="12"/>
      <c r="AR1746" s="12"/>
      <c r="AS1746" s="44"/>
      <c r="AT1746" s="45"/>
      <c r="AU1746" s="12"/>
      <c r="AV1746" s="12"/>
      <c r="AW1746" s="12"/>
      <c r="AX1746" s="12"/>
      <c r="AY1746" s="44"/>
      <c r="AZ1746" s="45"/>
      <c r="BA1746" s="12"/>
      <c r="BB1746" s="12"/>
      <c r="BC1746" s="12"/>
      <c r="BD1746" s="12"/>
      <c r="BE1746" s="44"/>
      <c r="BF1746" s="45"/>
      <c r="BG1746" s="12"/>
      <c r="BH1746" s="12"/>
      <c r="BI1746" s="12"/>
      <c r="BJ1746" s="12"/>
      <c r="BK1746" s="44"/>
      <c r="BL1746" s="45"/>
      <c r="BM1746" s="12"/>
      <c r="BN1746" s="12"/>
      <c r="BO1746" s="12"/>
      <c r="BP1746" s="12"/>
      <c r="BQ1746" s="48"/>
      <c r="BR1746" s="49"/>
      <c r="BS1746" s="13"/>
      <c r="BT1746" s="12"/>
      <c r="BV1746" s="14"/>
      <c r="BW1746" s="50"/>
      <c r="BX1746" s="54"/>
      <c r="BY1746" s="14"/>
      <c r="BZ1746" s="14"/>
      <c r="CA1746" s="14"/>
      <c r="CB1746" s="14"/>
      <c r="CC1746" s="14"/>
      <c r="CD1746" s="14"/>
      <c r="CE1746" s="14"/>
      <c r="CF1746" s="15"/>
      <c r="CG1746" s="14"/>
      <c r="CH1746" s="14"/>
      <c r="CI1746" s="50"/>
      <c r="CJ1746" s="54"/>
      <c r="CK1746" s="14"/>
      <c r="CL1746" s="14"/>
      <c r="CM1746" s="14"/>
      <c r="CN1746" s="14"/>
      <c r="CO1746" s="14"/>
      <c r="CP1746" s="14"/>
      <c r="CQ1746" s="14"/>
      <c r="CR1746" s="14"/>
      <c r="CS1746" s="14"/>
      <c r="CT1746" s="14"/>
      <c r="CU1746" s="16"/>
      <c r="CV1746" s="14"/>
      <c r="CW1746" s="50"/>
      <c r="CX1746" s="17"/>
    </row>
    <row r="1747" spans="4:102" x14ac:dyDescent="0.25">
      <c r="D1747" s="11"/>
      <c r="E1747" s="11"/>
      <c r="F1747" s="11"/>
      <c r="G1747" s="11"/>
      <c r="H1747" s="11"/>
      <c r="I1747" s="11"/>
      <c r="J1747" s="11"/>
      <c r="K1747" s="11"/>
      <c r="L1747" s="11"/>
      <c r="M1747" s="11"/>
      <c r="N1747" s="11"/>
      <c r="O1747" s="11"/>
      <c r="P1747" s="43"/>
      <c r="Q1747" s="11"/>
      <c r="R1747" s="11"/>
      <c r="S1747" s="11"/>
      <c r="T1747" s="11"/>
      <c r="U1747" s="11"/>
      <c r="V1747" s="11"/>
      <c r="W1747" s="11"/>
      <c r="X1747" s="12"/>
      <c r="Y1747" s="12"/>
      <c r="Z1747" s="12"/>
      <c r="AA1747" s="44"/>
      <c r="AB1747" s="45"/>
      <c r="AC1747" s="12"/>
      <c r="AD1747" s="12"/>
      <c r="AE1747" s="12"/>
      <c r="AF1747" s="12"/>
      <c r="AG1747" s="44"/>
      <c r="AH1747" s="45"/>
      <c r="AI1747" s="12"/>
      <c r="AJ1747" s="12"/>
      <c r="AK1747" s="12"/>
      <c r="AL1747" s="12"/>
      <c r="AM1747" s="44"/>
      <c r="AN1747" s="45"/>
      <c r="AO1747" s="12"/>
      <c r="AP1747" s="12"/>
      <c r="AQ1747" s="12"/>
      <c r="AR1747" s="12"/>
      <c r="AS1747" s="44"/>
      <c r="AT1747" s="45"/>
      <c r="AU1747" s="12"/>
      <c r="AV1747" s="12"/>
      <c r="AW1747" s="12"/>
      <c r="AX1747" s="12"/>
      <c r="AY1747" s="44"/>
      <c r="AZ1747" s="45"/>
      <c r="BA1747" s="12"/>
      <c r="BB1747" s="12"/>
      <c r="BC1747" s="12"/>
      <c r="BD1747" s="12"/>
      <c r="BE1747" s="44"/>
      <c r="BF1747" s="45"/>
      <c r="BG1747" s="12"/>
      <c r="BH1747" s="12"/>
      <c r="BI1747" s="12"/>
      <c r="BJ1747" s="12"/>
      <c r="BK1747" s="44"/>
      <c r="BL1747" s="45"/>
      <c r="BM1747" s="12"/>
      <c r="BN1747" s="12"/>
      <c r="BO1747" s="12"/>
      <c r="BP1747" s="12"/>
      <c r="BQ1747" s="48"/>
      <c r="BR1747" s="49"/>
      <c r="BS1747" s="13"/>
      <c r="BT1747" s="12"/>
      <c r="BV1747" s="14"/>
      <c r="BW1747" s="50"/>
      <c r="BX1747" s="54"/>
      <c r="BY1747" s="14"/>
      <c r="BZ1747" s="14"/>
      <c r="CA1747" s="14"/>
      <c r="CB1747" s="14"/>
      <c r="CC1747" s="14"/>
      <c r="CD1747" s="14"/>
      <c r="CE1747" s="14"/>
      <c r="CF1747" s="15"/>
      <c r="CG1747" s="14"/>
      <c r="CH1747" s="14"/>
      <c r="CI1747" s="50"/>
      <c r="CJ1747" s="54"/>
      <c r="CK1747" s="14"/>
      <c r="CL1747" s="14"/>
      <c r="CM1747" s="14"/>
      <c r="CN1747" s="14"/>
      <c r="CO1747" s="14"/>
      <c r="CP1747" s="14"/>
      <c r="CQ1747" s="14"/>
      <c r="CR1747" s="14"/>
      <c r="CS1747" s="14"/>
      <c r="CT1747" s="14"/>
      <c r="CU1747" s="16"/>
      <c r="CV1747" s="14"/>
      <c r="CW1747" s="50"/>
      <c r="CX1747" s="17"/>
    </row>
    <row r="1748" spans="4:102" x14ac:dyDescent="0.25">
      <c r="D1748" s="11"/>
      <c r="E1748" s="11"/>
      <c r="F1748" s="11"/>
      <c r="G1748" s="11"/>
      <c r="H1748" s="11"/>
      <c r="I1748" s="11"/>
      <c r="J1748" s="11"/>
      <c r="K1748" s="11"/>
      <c r="L1748" s="11"/>
      <c r="M1748" s="11"/>
      <c r="N1748" s="11"/>
      <c r="O1748" s="11"/>
      <c r="P1748" s="43"/>
      <c r="Q1748" s="11"/>
      <c r="R1748" s="11"/>
      <c r="S1748" s="11"/>
      <c r="T1748" s="11"/>
      <c r="U1748" s="11"/>
      <c r="V1748" s="11"/>
      <c r="W1748" s="11"/>
      <c r="X1748" s="12"/>
      <c r="Y1748" s="12"/>
      <c r="Z1748" s="12"/>
      <c r="AA1748" s="44"/>
      <c r="AB1748" s="45"/>
      <c r="AC1748" s="12"/>
      <c r="AD1748" s="12"/>
      <c r="AE1748" s="12"/>
      <c r="AF1748" s="12"/>
      <c r="AG1748" s="44"/>
      <c r="AH1748" s="45"/>
      <c r="AI1748" s="12"/>
      <c r="AJ1748" s="12"/>
      <c r="AK1748" s="12"/>
      <c r="AL1748" s="12"/>
      <c r="AM1748" s="44"/>
      <c r="AN1748" s="45"/>
      <c r="AO1748" s="12"/>
      <c r="AP1748" s="12"/>
      <c r="AQ1748" s="12"/>
      <c r="AR1748" s="12"/>
      <c r="AS1748" s="44"/>
      <c r="AT1748" s="45"/>
      <c r="AU1748" s="12"/>
      <c r="AV1748" s="12"/>
      <c r="AW1748" s="12"/>
      <c r="AX1748" s="12"/>
      <c r="AY1748" s="44"/>
      <c r="AZ1748" s="45"/>
      <c r="BA1748" s="12"/>
      <c r="BB1748" s="12"/>
      <c r="BC1748" s="12"/>
      <c r="BD1748" s="12"/>
      <c r="BE1748" s="44"/>
      <c r="BF1748" s="45"/>
      <c r="BG1748" s="12"/>
      <c r="BH1748" s="12"/>
      <c r="BI1748" s="12"/>
      <c r="BJ1748" s="12"/>
      <c r="BK1748" s="44"/>
      <c r="BL1748" s="45"/>
      <c r="BM1748" s="12"/>
      <c r="BN1748" s="12"/>
      <c r="BO1748" s="12"/>
      <c r="BP1748" s="12"/>
      <c r="BQ1748" s="48"/>
      <c r="BR1748" s="49"/>
      <c r="BS1748" s="13"/>
      <c r="BT1748" s="12"/>
      <c r="BV1748" s="14"/>
      <c r="BW1748" s="50"/>
      <c r="BX1748" s="54"/>
      <c r="BY1748" s="14"/>
      <c r="BZ1748" s="14"/>
      <c r="CA1748" s="14"/>
      <c r="CB1748" s="14"/>
      <c r="CC1748" s="14"/>
      <c r="CD1748" s="14"/>
      <c r="CE1748" s="14"/>
      <c r="CF1748" s="15"/>
      <c r="CG1748" s="14"/>
      <c r="CH1748" s="14"/>
      <c r="CI1748" s="50"/>
      <c r="CJ1748" s="54"/>
      <c r="CK1748" s="14"/>
      <c r="CL1748" s="14"/>
      <c r="CM1748" s="14"/>
      <c r="CN1748" s="14"/>
      <c r="CO1748" s="14"/>
      <c r="CP1748" s="14"/>
      <c r="CQ1748" s="14"/>
      <c r="CR1748" s="14"/>
      <c r="CS1748" s="14"/>
      <c r="CT1748" s="14"/>
      <c r="CU1748" s="16"/>
      <c r="CV1748" s="14"/>
      <c r="CW1748" s="50"/>
      <c r="CX1748" s="17"/>
    </row>
    <row r="1749" spans="4:102" x14ac:dyDescent="0.25">
      <c r="D1749" s="11"/>
      <c r="E1749" s="11"/>
      <c r="F1749" s="11"/>
      <c r="G1749" s="11"/>
      <c r="H1749" s="11"/>
      <c r="I1749" s="11"/>
      <c r="J1749" s="11"/>
      <c r="K1749" s="11"/>
      <c r="L1749" s="11"/>
      <c r="M1749" s="11"/>
      <c r="N1749" s="11"/>
      <c r="O1749" s="11"/>
      <c r="P1749" s="43"/>
      <c r="Q1749" s="11"/>
      <c r="R1749" s="11"/>
      <c r="S1749" s="11"/>
      <c r="T1749" s="11"/>
      <c r="U1749" s="11"/>
      <c r="V1749" s="11"/>
      <c r="W1749" s="11"/>
      <c r="X1749" s="12"/>
      <c r="Y1749" s="12"/>
      <c r="Z1749" s="12"/>
      <c r="AA1749" s="44"/>
      <c r="AB1749" s="45"/>
      <c r="AC1749" s="12"/>
      <c r="AD1749" s="12"/>
      <c r="AE1749" s="12"/>
      <c r="AF1749" s="12"/>
      <c r="AG1749" s="44"/>
      <c r="AH1749" s="45"/>
      <c r="AI1749" s="12"/>
      <c r="AJ1749" s="12"/>
      <c r="AK1749" s="12"/>
      <c r="AL1749" s="12"/>
      <c r="AM1749" s="44"/>
      <c r="AN1749" s="45"/>
      <c r="AO1749" s="12"/>
      <c r="AP1749" s="12"/>
      <c r="AQ1749" s="12"/>
      <c r="AR1749" s="12"/>
      <c r="AS1749" s="44"/>
      <c r="AT1749" s="45"/>
      <c r="AU1749" s="12"/>
      <c r="AV1749" s="12"/>
      <c r="AW1749" s="12"/>
      <c r="AX1749" s="12"/>
      <c r="AY1749" s="44"/>
      <c r="AZ1749" s="45"/>
      <c r="BA1749" s="12"/>
      <c r="BB1749" s="12"/>
      <c r="BC1749" s="12"/>
      <c r="BD1749" s="12"/>
      <c r="BE1749" s="44"/>
      <c r="BF1749" s="45"/>
      <c r="BG1749" s="12"/>
      <c r="BH1749" s="12"/>
      <c r="BI1749" s="12"/>
      <c r="BJ1749" s="12"/>
      <c r="BK1749" s="44"/>
      <c r="BL1749" s="45"/>
      <c r="BM1749" s="12"/>
      <c r="BN1749" s="12"/>
      <c r="BO1749" s="12"/>
      <c r="BP1749" s="12"/>
      <c r="BQ1749" s="48"/>
      <c r="BR1749" s="49"/>
      <c r="BS1749" s="13"/>
      <c r="BT1749" s="12"/>
      <c r="BV1749" s="14"/>
      <c r="BW1749" s="50"/>
      <c r="BX1749" s="54"/>
      <c r="BY1749" s="14"/>
      <c r="BZ1749" s="14"/>
      <c r="CA1749" s="14"/>
      <c r="CB1749" s="14"/>
      <c r="CC1749" s="14"/>
      <c r="CD1749" s="14"/>
      <c r="CE1749" s="14"/>
      <c r="CF1749" s="15"/>
      <c r="CG1749" s="14"/>
      <c r="CH1749" s="14"/>
      <c r="CI1749" s="50"/>
      <c r="CJ1749" s="54"/>
      <c r="CK1749" s="14"/>
      <c r="CL1749" s="14"/>
      <c r="CM1749" s="14"/>
      <c r="CN1749" s="14"/>
      <c r="CO1749" s="14"/>
      <c r="CP1749" s="14"/>
      <c r="CQ1749" s="14"/>
      <c r="CR1749" s="14"/>
      <c r="CS1749" s="14"/>
      <c r="CT1749" s="14"/>
      <c r="CU1749" s="16"/>
      <c r="CV1749" s="14"/>
      <c r="CW1749" s="50"/>
      <c r="CX1749" s="17"/>
    </row>
    <row r="1750" spans="4:102" x14ac:dyDescent="0.25">
      <c r="D1750" s="11"/>
      <c r="E1750" s="11"/>
      <c r="F1750" s="11"/>
      <c r="G1750" s="11"/>
      <c r="H1750" s="11"/>
      <c r="I1750" s="11"/>
      <c r="J1750" s="11"/>
      <c r="K1750" s="11"/>
      <c r="L1750" s="11"/>
      <c r="M1750" s="11"/>
      <c r="N1750" s="11"/>
      <c r="O1750" s="11"/>
      <c r="P1750" s="43"/>
      <c r="Q1750" s="11"/>
      <c r="R1750" s="11"/>
      <c r="S1750" s="11"/>
      <c r="T1750" s="11"/>
      <c r="U1750" s="11"/>
      <c r="V1750" s="11"/>
      <c r="W1750" s="11"/>
      <c r="X1750" s="12"/>
      <c r="Y1750" s="12"/>
      <c r="Z1750" s="12"/>
      <c r="AA1750" s="44"/>
      <c r="AB1750" s="45"/>
      <c r="AC1750" s="12"/>
      <c r="AD1750" s="12"/>
      <c r="AE1750" s="12"/>
      <c r="AF1750" s="12"/>
      <c r="AG1750" s="44"/>
      <c r="AH1750" s="45"/>
      <c r="AI1750" s="12"/>
      <c r="AJ1750" s="12"/>
      <c r="AK1750" s="12"/>
      <c r="AL1750" s="12"/>
      <c r="AM1750" s="44"/>
      <c r="AN1750" s="45"/>
      <c r="AO1750" s="12"/>
      <c r="AP1750" s="12"/>
      <c r="AQ1750" s="12"/>
      <c r="AR1750" s="12"/>
      <c r="AS1750" s="44"/>
      <c r="AT1750" s="45"/>
      <c r="AU1750" s="12"/>
      <c r="AV1750" s="12"/>
      <c r="AW1750" s="12"/>
      <c r="AX1750" s="12"/>
      <c r="AY1750" s="44"/>
      <c r="AZ1750" s="45"/>
      <c r="BA1750" s="12"/>
      <c r="BB1750" s="12"/>
      <c r="BC1750" s="12"/>
      <c r="BD1750" s="12"/>
      <c r="BE1750" s="44"/>
      <c r="BF1750" s="45"/>
      <c r="BG1750" s="12"/>
      <c r="BH1750" s="12"/>
      <c r="BI1750" s="12"/>
      <c r="BJ1750" s="12"/>
      <c r="BK1750" s="44"/>
      <c r="BL1750" s="45"/>
      <c r="BM1750" s="12"/>
      <c r="BN1750" s="12"/>
      <c r="BO1750" s="12"/>
      <c r="BP1750" s="12"/>
      <c r="BQ1750" s="48"/>
      <c r="BR1750" s="49"/>
      <c r="BS1750" s="13"/>
      <c r="BT1750" s="12"/>
      <c r="BV1750" s="14"/>
      <c r="BW1750" s="50"/>
      <c r="BX1750" s="54"/>
      <c r="BY1750" s="14"/>
      <c r="BZ1750" s="14"/>
      <c r="CA1750" s="14"/>
      <c r="CB1750" s="14"/>
      <c r="CC1750" s="14"/>
      <c r="CD1750" s="14"/>
      <c r="CE1750" s="14"/>
      <c r="CF1750" s="15"/>
      <c r="CG1750" s="14"/>
      <c r="CH1750" s="14"/>
      <c r="CI1750" s="50"/>
      <c r="CJ1750" s="54"/>
      <c r="CK1750" s="14"/>
      <c r="CL1750" s="14"/>
      <c r="CM1750" s="14"/>
      <c r="CN1750" s="14"/>
      <c r="CO1750" s="14"/>
      <c r="CP1750" s="14"/>
      <c r="CQ1750" s="14"/>
      <c r="CR1750" s="14"/>
      <c r="CS1750" s="14"/>
      <c r="CT1750" s="14"/>
      <c r="CU1750" s="16"/>
      <c r="CV1750" s="14"/>
      <c r="CW1750" s="50"/>
      <c r="CX1750" s="17"/>
    </row>
    <row r="1751" spans="4:102" x14ac:dyDescent="0.25">
      <c r="D1751" s="11"/>
      <c r="E1751" s="11"/>
      <c r="F1751" s="11"/>
      <c r="G1751" s="11"/>
      <c r="H1751" s="11"/>
      <c r="I1751" s="11"/>
      <c r="J1751" s="11"/>
      <c r="K1751" s="11"/>
      <c r="L1751" s="11"/>
      <c r="M1751" s="11"/>
      <c r="N1751" s="11"/>
      <c r="O1751" s="11"/>
      <c r="P1751" s="43"/>
      <c r="Q1751" s="11"/>
      <c r="R1751" s="11"/>
      <c r="S1751" s="11"/>
      <c r="T1751" s="11"/>
      <c r="U1751" s="11"/>
      <c r="V1751" s="11"/>
      <c r="W1751" s="11"/>
      <c r="X1751" s="12"/>
      <c r="Y1751" s="12"/>
      <c r="Z1751" s="12"/>
      <c r="AA1751" s="44"/>
      <c r="AB1751" s="45"/>
      <c r="AC1751" s="12"/>
      <c r="AD1751" s="12"/>
      <c r="AE1751" s="12"/>
      <c r="AF1751" s="12"/>
      <c r="AG1751" s="44"/>
      <c r="AH1751" s="45"/>
      <c r="AI1751" s="12"/>
      <c r="AJ1751" s="12"/>
      <c r="AK1751" s="12"/>
      <c r="AL1751" s="12"/>
      <c r="AM1751" s="44"/>
      <c r="AN1751" s="45"/>
      <c r="AO1751" s="12"/>
      <c r="AP1751" s="12"/>
      <c r="AQ1751" s="12"/>
      <c r="AR1751" s="12"/>
      <c r="AS1751" s="44"/>
      <c r="AT1751" s="45"/>
      <c r="AU1751" s="12"/>
      <c r="AV1751" s="12"/>
      <c r="AW1751" s="12"/>
      <c r="AX1751" s="12"/>
      <c r="AY1751" s="44"/>
      <c r="AZ1751" s="45"/>
      <c r="BA1751" s="12"/>
      <c r="BB1751" s="12"/>
      <c r="BC1751" s="12"/>
      <c r="BD1751" s="12"/>
      <c r="BE1751" s="44"/>
      <c r="BF1751" s="45"/>
      <c r="BG1751" s="12"/>
      <c r="BH1751" s="12"/>
      <c r="BI1751" s="12"/>
      <c r="BJ1751" s="12"/>
      <c r="BK1751" s="44"/>
      <c r="BL1751" s="45"/>
      <c r="BM1751" s="12"/>
      <c r="BN1751" s="12"/>
      <c r="BO1751" s="12"/>
      <c r="BP1751" s="12"/>
      <c r="BQ1751" s="48"/>
      <c r="BR1751" s="49"/>
      <c r="BS1751" s="13"/>
      <c r="BT1751" s="12"/>
      <c r="BV1751" s="14"/>
      <c r="BW1751" s="50"/>
      <c r="BX1751" s="54"/>
      <c r="BY1751" s="14"/>
      <c r="BZ1751" s="14"/>
      <c r="CA1751" s="14"/>
      <c r="CB1751" s="14"/>
      <c r="CC1751" s="14"/>
      <c r="CD1751" s="14"/>
      <c r="CE1751" s="14"/>
      <c r="CF1751" s="15"/>
      <c r="CG1751" s="14"/>
      <c r="CH1751" s="14"/>
      <c r="CI1751" s="50"/>
      <c r="CJ1751" s="54"/>
      <c r="CK1751" s="14"/>
      <c r="CL1751" s="14"/>
      <c r="CM1751" s="14"/>
      <c r="CN1751" s="14"/>
      <c r="CO1751" s="14"/>
      <c r="CP1751" s="14"/>
      <c r="CQ1751" s="14"/>
      <c r="CR1751" s="14"/>
      <c r="CS1751" s="14"/>
      <c r="CT1751" s="14"/>
      <c r="CU1751" s="16"/>
      <c r="CV1751" s="14"/>
      <c r="CW1751" s="50"/>
      <c r="CX1751" s="17"/>
    </row>
    <row r="1752" spans="4:102" x14ac:dyDescent="0.25">
      <c r="D1752" s="11"/>
      <c r="E1752" s="11"/>
      <c r="F1752" s="11"/>
      <c r="G1752" s="11"/>
      <c r="H1752" s="11"/>
      <c r="I1752" s="11"/>
      <c r="J1752" s="11"/>
      <c r="K1752" s="11"/>
      <c r="L1752" s="11"/>
      <c r="M1752" s="11"/>
      <c r="N1752" s="11"/>
      <c r="O1752" s="11"/>
      <c r="P1752" s="43"/>
      <c r="Q1752" s="11"/>
      <c r="R1752" s="11"/>
      <c r="S1752" s="11"/>
      <c r="T1752" s="11"/>
      <c r="U1752" s="11"/>
      <c r="V1752" s="11"/>
      <c r="W1752" s="11"/>
      <c r="X1752" s="12"/>
      <c r="Y1752" s="12"/>
      <c r="Z1752" s="12"/>
      <c r="AA1752" s="44"/>
      <c r="AB1752" s="45"/>
      <c r="AC1752" s="12"/>
      <c r="AD1752" s="12"/>
      <c r="AE1752" s="12"/>
      <c r="AF1752" s="12"/>
      <c r="AG1752" s="44"/>
      <c r="AH1752" s="45"/>
      <c r="AI1752" s="12"/>
      <c r="AJ1752" s="12"/>
      <c r="AK1752" s="12"/>
      <c r="AL1752" s="12"/>
      <c r="AM1752" s="44"/>
      <c r="AN1752" s="45"/>
      <c r="AO1752" s="12"/>
      <c r="AP1752" s="12"/>
      <c r="AQ1752" s="12"/>
      <c r="AR1752" s="12"/>
      <c r="AS1752" s="44"/>
      <c r="AT1752" s="45"/>
      <c r="AU1752" s="12"/>
      <c r="AV1752" s="12"/>
      <c r="AW1752" s="12"/>
      <c r="AX1752" s="12"/>
      <c r="AY1752" s="44"/>
      <c r="AZ1752" s="45"/>
      <c r="BA1752" s="12"/>
      <c r="BB1752" s="12"/>
      <c r="BC1752" s="12"/>
      <c r="BD1752" s="12"/>
      <c r="BE1752" s="44"/>
      <c r="BF1752" s="45"/>
      <c r="BG1752" s="12"/>
      <c r="BH1752" s="12"/>
      <c r="BI1752" s="12"/>
      <c r="BJ1752" s="12"/>
      <c r="BK1752" s="44"/>
      <c r="BL1752" s="45"/>
      <c r="BM1752" s="12"/>
      <c r="BN1752" s="12"/>
      <c r="BO1752" s="12"/>
      <c r="BP1752" s="12"/>
      <c r="BQ1752" s="48"/>
      <c r="BR1752" s="49"/>
      <c r="BS1752" s="13"/>
      <c r="BT1752" s="12"/>
      <c r="BV1752" s="14"/>
      <c r="BW1752" s="50"/>
      <c r="BX1752" s="54"/>
      <c r="BY1752" s="14"/>
      <c r="BZ1752" s="14"/>
      <c r="CA1752" s="14"/>
      <c r="CB1752" s="14"/>
      <c r="CC1752" s="14"/>
      <c r="CD1752" s="14"/>
      <c r="CE1752" s="14"/>
      <c r="CF1752" s="15"/>
      <c r="CG1752" s="14"/>
      <c r="CH1752" s="14"/>
      <c r="CI1752" s="50"/>
      <c r="CJ1752" s="54"/>
      <c r="CK1752" s="14"/>
      <c r="CL1752" s="14"/>
      <c r="CM1752" s="14"/>
      <c r="CN1752" s="14"/>
      <c r="CO1752" s="14"/>
      <c r="CP1752" s="14"/>
      <c r="CQ1752" s="14"/>
      <c r="CR1752" s="14"/>
      <c r="CS1752" s="14"/>
      <c r="CT1752" s="14"/>
      <c r="CU1752" s="16"/>
      <c r="CV1752" s="14"/>
      <c r="CW1752" s="50"/>
      <c r="CX1752" s="17"/>
    </row>
    <row r="1753" spans="4:102" x14ac:dyDescent="0.25">
      <c r="D1753" s="11"/>
      <c r="E1753" s="11"/>
      <c r="F1753" s="11"/>
      <c r="G1753" s="11"/>
      <c r="H1753" s="11"/>
      <c r="I1753" s="11"/>
      <c r="J1753" s="11"/>
      <c r="K1753" s="11"/>
      <c r="L1753" s="11"/>
      <c r="M1753" s="11"/>
      <c r="N1753" s="11"/>
      <c r="O1753" s="11"/>
      <c r="P1753" s="43"/>
      <c r="Q1753" s="11"/>
      <c r="R1753" s="11"/>
      <c r="S1753" s="11"/>
      <c r="T1753" s="11"/>
      <c r="U1753" s="11"/>
      <c r="V1753" s="11"/>
      <c r="W1753" s="11"/>
      <c r="X1753" s="12"/>
      <c r="Y1753" s="12"/>
      <c r="Z1753" s="12"/>
      <c r="AA1753" s="44"/>
      <c r="AB1753" s="45"/>
      <c r="AC1753" s="12"/>
      <c r="AD1753" s="12"/>
      <c r="AE1753" s="12"/>
      <c r="AF1753" s="12"/>
      <c r="AG1753" s="44"/>
      <c r="AH1753" s="45"/>
      <c r="AI1753" s="12"/>
      <c r="AJ1753" s="12"/>
      <c r="AK1753" s="12"/>
      <c r="AL1753" s="12"/>
      <c r="AM1753" s="44"/>
      <c r="AN1753" s="45"/>
      <c r="AO1753" s="12"/>
      <c r="AP1753" s="12"/>
      <c r="AQ1753" s="12"/>
      <c r="AR1753" s="12"/>
      <c r="AS1753" s="44"/>
      <c r="AT1753" s="45"/>
      <c r="AU1753" s="12"/>
      <c r="AV1753" s="12"/>
      <c r="AW1753" s="12"/>
      <c r="AX1753" s="12"/>
      <c r="AY1753" s="44"/>
      <c r="AZ1753" s="45"/>
      <c r="BA1753" s="12"/>
      <c r="BB1753" s="12"/>
      <c r="BC1753" s="12"/>
      <c r="BD1753" s="12"/>
      <c r="BE1753" s="44"/>
      <c r="BF1753" s="45"/>
      <c r="BG1753" s="12"/>
      <c r="BH1753" s="12"/>
      <c r="BI1753" s="12"/>
      <c r="BJ1753" s="12"/>
      <c r="BK1753" s="44"/>
      <c r="BL1753" s="45"/>
      <c r="BM1753" s="12"/>
      <c r="BN1753" s="12"/>
      <c r="BO1753" s="12"/>
      <c r="BP1753" s="12"/>
      <c r="BQ1753" s="48"/>
      <c r="BR1753" s="49"/>
      <c r="BS1753" s="13"/>
      <c r="BT1753" s="12"/>
      <c r="BV1753" s="14"/>
      <c r="BW1753" s="50"/>
      <c r="BX1753" s="54"/>
      <c r="BY1753" s="14"/>
      <c r="BZ1753" s="14"/>
      <c r="CA1753" s="14"/>
      <c r="CB1753" s="14"/>
      <c r="CC1753" s="14"/>
      <c r="CD1753" s="14"/>
      <c r="CE1753" s="14"/>
      <c r="CF1753" s="15"/>
      <c r="CG1753" s="14"/>
      <c r="CH1753" s="14"/>
      <c r="CI1753" s="50"/>
      <c r="CJ1753" s="54"/>
      <c r="CK1753" s="14"/>
      <c r="CL1753" s="14"/>
      <c r="CM1753" s="14"/>
      <c r="CN1753" s="14"/>
      <c r="CO1753" s="14"/>
      <c r="CP1753" s="14"/>
      <c r="CQ1753" s="14"/>
      <c r="CR1753" s="14"/>
      <c r="CS1753" s="14"/>
      <c r="CT1753" s="14"/>
      <c r="CU1753" s="16"/>
      <c r="CV1753" s="14"/>
      <c r="CW1753" s="50"/>
      <c r="CX1753" s="17"/>
    </row>
    <row r="1754" spans="4:102" x14ac:dyDescent="0.25">
      <c r="D1754" s="11"/>
      <c r="E1754" s="11"/>
      <c r="F1754" s="11"/>
      <c r="G1754" s="11"/>
      <c r="H1754" s="11"/>
      <c r="I1754" s="11"/>
      <c r="J1754" s="11"/>
      <c r="K1754" s="11"/>
      <c r="L1754" s="11"/>
      <c r="M1754" s="11"/>
      <c r="N1754" s="11"/>
      <c r="O1754" s="11"/>
      <c r="P1754" s="43"/>
      <c r="Q1754" s="11"/>
      <c r="R1754" s="11"/>
      <c r="S1754" s="11"/>
      <c r="T1754" s="11"/>
      <c r="U1754" s="11"/>
      <c r="V1754" s="11"/>
      <c r="W1754" s="11"/>
      <c r="X1754" s="12"/>
      <c r="Y1754" s="12"/>
      <c r="Z1754" s="12"/>
      <c r="AA1754" s="44"/>
      <c r="AB1754" s="45"/>
      <c r="AC1754" s="12"/>
      <c r="AD1754" s="12"/>
      <c r="AE1754" s="12"/>
      <c r="AF1754" s="12"/>
      <c r="AG1754" s="44"/>
      <c r="AH1754" s="45"/>
      <c r="AI1754" s="12"/>
      <c r="AJ1754" s="12"/>
      <c r="AK1754" s="12"/>
      <c r="AL1754" s="12"/>
      <c r="AM1754" s="44"/>
      <c r="AN1754" s="45"/>
      <c r="AO1754" s="12"/>
      <c r="AP1754" s="12"/>
      <c r="AQ1754" s="12"/>
      <c r="AR1754" s="12"/>
      <c r="AS1754" s="44"/>
      <c r="AT1754" s="45"/>
      <c r="AU1754" s="12"/>
      <c r="AV1754" s="12"/>
      <c r="AW1754" s="12"/>
      <c r="AX1754" s="12"/>
      <c r="AY1754" s="44"/>
      <c r="AZ1754" s="45"/>
      <c r="BA1754" s="12"/>
      <c r="BB1754" s="12"/>
      <c r="BC1754" s="12"/>
      <c r="BD1754" s="12"/>
      <c r="BE1754" s="44"/>
      <c r="BF1754" s="45"/>
      <c r="BG1754" s="12"/>
      <c r="BH1754" s="12"/>
      <c r="BI1754" s="12"/>
      <c r="BJ1754" s="12"/>
      <c r="BK1754" s="44"/>
      <c r="BL1754" s="45"/>
      <c r="BM1754" s="12"/>
      <c r="BN1754" s="12"/>
      <c r="BO1754" s="12"/>
      <c r="BP1754" s="12"/>
      <c r="BQ1754" s="48"/>
      <c r="BR1754" s="49"/>
      <c r="BS1754" s="13"/>
      <c r="BT1754" s="12"/>
      <c r="BV1754" s="14"/>
      <c r="BW1754" s="50"/>
      <c r="BX1754" s="54"/>
      <c r="BY1754" s="14"/>
      <c r="BZ1754" s="14"/>
      <c r="CA1754" s="14"/>
      <c r="CB1754" s="14"/>
      <c r="CC1754" s="14"/>
      <c r="CD1754" s="14"/>
      <c r="CE1754" s="14"/>
      <c r="CF1754" s="15"/>
      <c r="CG1754" s="14"/>
      <c r="CH1754" s="14"/>
      <c r="CI1754" s="50"/>
      <c r="CJ1754" s="54"/>
      <c r="CK1754" s="14"/>
      <c r="CL1754" s="14"/>
      <c r="CM1754" s="14"/>
      <c r="CN1754" s="14"/>
      <c r="CO1754" s="14"/>
      <c r="CP1754" s="14"/>
      <c r="CQ1754" s="14"/>
      <c r="CR1754" s="14"/>
      <c r="CS1754" s="14"/>
      <c r="CT1754" s="14"/>
      <c r="CU1754" s="16"/>
      <c r="CV1754" s="14"/>
      <c r="CW1754" s="50"/>
      <c r="CX1754" s="17"/>
    </row>
    <row r="1755" spans="4:102" x14ac:dyDescent="0.25">
      <c r="D1755" s="11"/>
      <c r="E1755" s="11"/>
      <c r="F1755" s="11"/>
      <c r="G1755" s="11"/>
      <c r="H1755" s="11"/>
      <c r="I1755" s="11"/>
      <c r="J1755" s="11"/>
      <c r="K1755" s="11"/>
      <c r="L1755" s="11"/>
      <c r="M1755" s="11"/>
      <c r="N1755" s="11"/>
      <c r="O1755" s="11"/>
      <c r="P1755" s="43"/>
      <c r="Q1755" s="11"/>
      <c r="R1755" s="11"/>
      <c r="S1755" s="11"/>
      <c r="T1755" s="11"/>
      <c r="U1755" s="11"/>
      <c r="V1755" s="11"/>
      <c r="W1755" s="11"/>
      <c r="X1755" s="12"/>
      <c r="Y1755" s="12"/>
      <c r="Z1755" s="12"/>
      <c r="AA1755" s="44"/>
      <c r="AB1755" s="45"/>
      <c r="AC1755" s="12"/>
      <c r="AD1755" s="12"/>
      <c r="AE1755" s="12"/>
      <c r="AF1755" s="12"/>
      <c r="AG1755" s="44"/>
      <c r="AH1755" s="45"/>
      <c r="AI1755" s="12"/>
      <c r="AJ1755" s="12"/>
      <c r="AK1755" s="12"/>
      <c r="AL1755" s="12"/>
      <c r="AM1755" s="44"/>
      <c r="AN1755" s="45"/>
      <c r="AO1755" s="12"/>
      <c r="AP1755" s="12"/>
      <c r="AQ1755" s="12"/>
      <c r="AR1755" s="12"/>
      <c r="AS1755" s="44"/>
      <c r="AT1755" s="45"/>
      <c r="AU1755" s="12"/>
      <c r="AV1755" s="12"/>
      <c r="AW1755" s="12"/>
      <c r="AX1755" s="12"/>
      <c r="AY1755" s="44"/>
      <c r="AZ1755" s="45"/>
      <c r="BA1755" s="12"/>
      <c r="BB1755" s="12"/>
      <c r="BC1755" s="12"/>
      <c r="BD1755" s="12"/>
      <c r="BE1755" s="44"/>
      <c r="BF1755" s="45"/>
      <c r="BG1755" s="12"/>
      <c r="BH1755" s="12"/>
      <c r="BI1755" s="12"/>
      <c r="BJ1755" s="12"/>
      <c r="BK1755" s="44"/>
      <c r="BL1755" s="45"/>
      <c r="BM1755" s="12"/>
      <c r="BN1755" s="12"/>
      <c r="BO1755" s="12"/>
      <c r="BP1755" s="12"/>
      <c r="BQ1755" s="48"/>
      <c r="BR1755" s="49"/>
      <c r="BS1755" s="13"/>
      <c r="BT1755" s="12"/>
      <c r="BV1755" s="14"/>
      <c r="BW1755" s="50"/>
      <c r="BX1755" s="54"/>
      <c r="BY1755" s="14"/>
      <c r="BZ1755" s="14"/>
      <c r="CA1755" s="14"/>
      <c r="CB1755" s="14"/>
      <c r="CC1755" s="14"/>
      <c r="CD1755" s="14"/>
      <c r="CE1755" s="14"/>
      <c r="CF1755" s="15"/>
      <c r="CG1755" s="14"/>
      <c r="CH1755" s="14"/>
      <c r="CI1755" s="50"/>
      <c r="CJ1755" s="54"/>
      <c r="CK1755" s="14"/>
      <c r="CL1755" s="14"/>
      <c r="CM1755" s="14"/>
      <c r="CN1755" s="14"/>
      <c r="CO1755" s="14"/>
      <c r="CP1755" s="14"/>
      <c r="CQ1755" s="14"/>
      <c r="CR1755" s="14"/>
      <c r="CS1755" s="14"/>
      <c r="CT1755" s="14"/>
      <c r="CU1755" s="16"/>
      <c r="CV1755" s="14"/>
      <c r="CW1755" s="50"/>
      <c r="CX1755" s="17"/>
    </row>
    <row r="1756" spans="4:102" x14ac:dyDescent="0.25">
      <c r="D1756" s="11"/>
      <c r="E1756" s="11"/>
      <c r="F1756" s="11"/>
      <c r="G1756" s="11"/>
      <c r="H1756" s="11"/>
      <c r="I1756" s="11"/>
      <c r="J1756" s="11"/>
      <c r="K1756" s="11"/>
      <c r="L1756" s="11"/>
      <c r="M1756" s="11"/>
      <c r="N1756" s="11"/>
      <c r="O1756" s="11"/>
      <c r="P1756" s="43"/>
      <c r="Q1756" s="11"/>
      <c r="R1756" s="11"/>
      <c r="S1756" s="11"/>
      <c r="T1756" s="11"/>
      <c r="U1756" s="11"/>
      <c r="V1756" s="11"/>
      <c r="W1756" s="11"/>
      <c r="X1756" s="12"/>
      <c r="Y1756" s="12"/>
      <c r="Z1756" s="12"/>
      <c r="AA1756" s="44"/>
      <c r="AB1756" s="45"/>
      <c r="AC1756" s="12"/>
      <c r="AD1756" s="12"/>
      <c r="AE1756" s="12"/>
      <c r="AF1756" s="12"/>
      <c r="AG1756" s="44"/>
      <c r="AH1756" s="45"/>
      <c r="AI1756" s="12"/>
      <c r="AJ1756" s="12"/>
      <c r="AK1756" s="12"/>
      <c r="AL1756" s="12"/>
      <c r="AM1756" s="44"/>
      <c r="AN1756" s="45"/>
      <c r="AO1756" s="12"/>
      <c r="AP1756" s="12"/>
      <c r="AQ1756" s="12"/>
      <c r="AR1756" s="12"/>
      <c r="AS1756" s="44"/>
      <c r="AT1756" s="45"/>
      <c r="AU1756" s="12"/>
      <c r="AV1756" s="12"/>
      <c r="AW1756" s="12"/>
      <c r="AX1756" s="12"/>
      <c r="AY1756" s="44"/>
      <c r="AZ1756" s="45"/>
      <c r="BA1756" s="12"/>
      <c r="BB1756" s="12"/>
      <c r="BC1756" s="12"/>
      <c r="BD1756" s="12"/>
      <c r="BE1756" s="44"/>
      <c r="BF1756" s="45"/>
      <c r="BG1756" s="12"/>
      <c r="BH1756" s="12"/>
      <c r="BI1756" s="12"/>
      <c r="BJ1756" s="12"/>
      <c r="BK1756" s="44"/>
      <c r="BL1756" s="45"/>
      <c r="BM1756" s="12"/>
      <c r="BN1756" s="12"/>
      <c r="BO1756" s="12"/>
      <c r="BP1756" s="12"/>
      <c r="BQ1756" s="48"/>
      <c r="BR1756" s="49"/>
      <c r="BS1756" s="13"/>
      <c r="BT1756" s="12"/>
      <c r="BV1756" s="14"/>
      <c r="BW1756" s="50"/>
      <c r="BX1756" s="54"/>
      <c r="BY1756" s="14"/>
      <c r="BZ1756" s="14"/>
      <c r="CA1756" s="14"/>
      <c r="CB1756" s="14"/>
      <c r="CC1756" s="14"/>
      <c r="CD1756" s="14"/>
      <c r="CE1756" s="14"/>
      <c r="CF1756" s="15"/>
      <c r="CG1756" s="14"/>
      <c r="CH1756" s="14"/>
      <c r="CI1756" s="50"/>
      <c r="CJ1756" s="54"/>
      <c r="CK1756" s="14"/>
      <c r="CL1756" s="14"/>
      <c r="CM1756" s="14"/>
      <c r="CN1756" s="14"/>
      <c r="CO1756" s="14"/>
      <c r="CP1756" s="14"/>
      <c r="CQ1756" s="14"/>
      <c r="CR1756" s="14"/>
      <c r="CS1756" s="14"/>
      <c r="CT1756" s="14"/>
      <c r="CU1756" s="16"/>
      <c r="CV1756" s="14"/>
      <c r="CW1756" s="50"/>
      <c r="CX1756" s="17"/>
    </row>
    <row r="1757" spans="4:102" x14ac:dyDescent="0.25">
      <c r="D1757" s="11"/>
      <c r="E1757" s="11"/>
      <c r="F1757" s="11"/>
      <c r="G1757" s="11"/>
      <c r="H1757" s="11"/>
      <c r="I1757" s="11"/>
      <c r="J1757" s="11"/>
      <c r="K1757" s="11"/>
      <c r="L1757" s="11"/>
      <c r="M1757" s="11"/>
      <c r="N1757" s="11"/>
      <c r="O1757" s="11"/>
      <c r="P1757" s="43"/>
      <c r="Q1757" s="11"/>
      <c r="R1757" s="11"/>
      <c r="S1757" s="11"/>
      <c r="T1757" s="11"/>
      <c r="U1757" s="11"/>
      <c r="V1757" s="11"/>
      <c r="W1757" s="11"/>
      <c r="X1757" s="12"/>
      <c r="Y1757" s="12"/>
      <c r="Z1757" s="12"/>
      <c r="AA1757" s="44"/>
      <c r="AB1757" s="45"/>
      <c r="AC1757" s="12"/>
      <c r="AD1757" s="12"/>
      <c r="AE1757" s="12"/>
      <c r="AF1757" s="12"/>
      <c r="AG1757" s="44"/>
      <c r="AH1757" s="45"/>
      <c r="AI1757" s="12"/>
      <c r="AJ1757" s="12"/>
      <c r="AK1757" s="12"/>
      <c r="AL1757" s="12"/>
      <c r="AM1757" s="44"/>
      <c r="AN1757" s="45"/>
      <c r="AO1757" s="12"/>
      <c r="AP1757" s="12"/>
      <c r="AQ1757" s="12"/>
      <c r="AR1757" s="12"/>
      <c r="AS1757" s="44"/>
      <c r="AT1757" s="45"/>
      <c r="AU1757" s="12"/>
      <c r="AV1757" s="12"/>
      <c r="AW1757" s="12"/>
      <c r="AX1757" s="12"/>
      <c r="AY1757" s="44"/>
      <c r="AZ1757" s="45"/>
      <c r="BA1757" s="12"/>
      <c r="BB1757" s="12"/>
      <c r="BC1757" s="12"/>
      <c r="BD1757" s="12"/>
      <c r="BE1757" s="44"/>
      <c r="BF1757" s="45"/>
      <c r="BG1757" s="12"/>
      <c r="BH1757" s="12"/>
      <c r="BI1757" s="12"/>
      <c r="BJ1757" s="12"/>
      <c r="BK1757" s="44"/>
      <c r="BL1757" s="45"/>
      <c r="BM1757" s="12"/>
      <c r="BN1757" s="12"/>
      <c r="BO1757" s="12"/>
      <c r="BP1757" s="12"/>
      <c r="BQ1757" s="48"/>
      <c r="BR1757" s="49"/>
      <c r="BS1757" s="13"/>
      <c r="BT1757" s="12"/>
      <c r="BV1757" s="14"/>
      <c r="BW1757" s="50"/>
      <c r="BX1757" s="54"/>
      <c r="BY1757" s="14"/>
      <c r="BZ1757" s="14"/>
      <c r="CA1757" s="14"/>
      <c r="CB1757" s="14"/>
      <c r="CC1757" s="14"/>
      <c r="CD1757" s="14"/>
      <c r="CE1757" s="14"/>
      <c r="CF1757" s="15"/>
      <c r="CG1757" s="14"/>
      <c r="CH1757" s="14"/>
      <c r="CI1757" s="50"/>
      <c r="CJ1757" s="54"/>
      <c r="CK1757" s="14"/>
      <c r="CL1757" s="14"/>
      <c r="CM1757" s="14"/>
      <c r="CN1757" s="14"/>
      <c r="CO1757" s="14"/>
      <c r="CP1757" s="14"/>
      <c r="CQ1757" s="14"/>
      <c r="CR1757" s="14"/>
      <c r="CS1757" s="14"/>
      <c r="CT1757" s="14"/>
      <c r="CU1757" s="16"/>
      <c r="CV1757" s="14"/>
      <c r="CW1757" s="50"/>
      <c r="CX1757" s="17"/>
    </row>
    <row r="1758" spans="4:102" x14ac:dyDescent="0.25">
      <c r="D1758" s="11"/>
      <c r="E1758" s="11"/>
      <c r="F1758" s="11"/>
      <c r="G1758" s="11"/>
      <c r="H1758" s="11"/>
      <c r="I1758" s="11"/>
      <c r="J1758" s="11"/>
      <c r="K1758" s="11"/>
      <c r="L1758" s="11"/>
      <c r="M1758" s="11"/>
      <c r="N1758" s="11"/>
      <c r="O1758" s="11"/>
      <c r="P1758" s="43"/>
      <c r="Q1758" s="11"/>
      <c r="R1758" s="11"/>
      <c r="S1758" s="11"/>
      <c r="T1758" s="11"/>
      <c r="U1758" s="11"/>
      <c r="V1758" s="11"/>
      <c r="W1758" s="11"/>
      <c r="X1758" s="12"/>
      <c r="Y1758" s="12"/>
      <c r="Z1758" s="12"/>
      <c r="AA1758" s="44"/>
      <c r="AB1758" s="45"/>
      <c r="AC1758" s="12"/>
      <c r="AD1758" s="12"/>
      <c r="AE1758" s="12"/>
      <c r="AF1758" s="12"/>
      <c r="AG1758" s="44"/>
      <c r="AH1758" s="45"/>
      <c r="AI1758" s="12"/>
      <c r="AJ1758" s="12"/>
      <c r="AK1758" s="12"/>
      <c r="AL1758" s="12"/>
      <c r="AM1758" s="44"/>
      <c r="AN1758" s="45"/>
      <c r="AO1758" s="12"/>
      <c r="AP1758" s="12"/>
      <c r="AQ1758" s="12"/>
      <c r="AR1758" s="12"/>
      <c r="AS1758" s="44"/>
      <c r="AT1758" s="45"/>
      <c r="AU1758" s="12"/>
      <c r="AV1758" s="12"/>
      <c r="AW1758" s="12"/>
      <c r="AX1758" s="12"/>
      <c r="AY1758" s="44"/>
      <c r="AZ1758" s="45"/>
      <c r="BA1758" s="12"/>
      <c r="BB1758" s="12"/>
      <c r="BC1758" s="12"/>
      <c r="BD1758" s="12"/>
      <c r="BE1758" s="44"/>
      <c r="BF1758" s="45"/>
      <c r="BG1758" s="12"/>
      <c r="BH1758" s="12"/>
      <c r="BI1758" s="12"/>
      <c r="BJ1758" s="12"/>
      <c r="BK1758" s="44"/>
      <c r="BL1758" s="45"/>
      <c r="BM1758" s="12"/>
      <c r="BN1758" s="12"/>
      <c r="BO1758" s="12"/>
      <c r="BP1758" s="12"/>
      <c r="BQ1758" s="48"/>
      <c r="BR1758" s="49"/>
      <c r="BS1758" s="13"/>
      <c r="BT1758" s="12"/>
      <c r="BV1758" s="14"/>
      <c r="BW1758" s="50"/>
      <c r="BX1758" s="54"/>
      <c r="BY1758" s="14"/>
      <c r="BZ1758" s="14"/>
      <c r="CA1758" s="14"/>
      <c r="CB1758" s="14"/>
      <c r="CC1758" s="14"/>
      <c r="CD1758" s="14"/>
      <c r="CE1758" s="14"/>
      <c r="CF1758" s="15"/>
      <c r="CG1758" s="14"/>
      <c r="CH1758" s="14"/>
      <c r="CI1758" s="50"/>
      <c r="CJ1758" s="54"/>
      <c r="CK1758" s="14"/>
      <c r="CL1758" s="14"/>
      <c r="CM1758" s="14"/>
      <c r="CN1758" s="14"/>
      <c r="CO1758" s="14"/>
      <c r="CP1758" s="14"/>
      <c r="CQ1758" s="14"/>
      <c r="CR1758" s="14"/>
      <c r="CS1758" s="14"/>
      <c r="CT1758" s="14"/>
      <c r="CU1758" s="16"/>
      <c r="CV1758" s="14"/>
      <c r="CW1758" s="50"/>
      <c r="CX1758" s="17"/>
    </row>
    <row r="1759" spans="4:102" x14ac:dyDescent="0.25">
      <c r="D1759" s="11"/>
      <c r="E1759" s="11"/>
      <c r="F1759" s="11"/>
      <c r="G1759" s="11"/>
      <c r="H1759" s="11"/>
      <c r="I1759" s="11"/>
      <c r="J1759" s="11"/>
      <c r="K1759" s="11"/>
      <c r="L1759" s="11"/>
      <c r="M1759" s="11"/>
      <c r="N1759" s="11"/>
      <c r="O1759" s="11"/>
      <c r="P1759" s="43"/>
      <c r="Q1759" s="11"/>
      <c r="R1759" s="11"/>
      <c r="S1759" s="11"/>
      <c r="T1759" s="11"/>
      <c r="U1759" s="11"/>
      <c r="V1759" s="11"/>
      <c r="W1759" s="11"/>
      <c r="X1759" s="12"/>
      <c r="Y1759" s="12"/>
      <c r="Z1759" s="12"/>
      <c r="AA1759" s="44"/>
      <c r="AB1759" s="45"/>
      <c r="AC1759" s="12"/>
      <c r="AD1759" s="12"/>
      <c r="AE1759" s="12"/>
      <c r="AF1759" s="12"/>
      <c r="AG1759" s="44"/>
      <c r="AH1759" s="45"/>
      <c r="AI1759" s="12"/>
      <c r="AJ1759" s="12"/>
      <c r="AK1759" s="12"/>
      <c r="AL1759" s="12"/>
      <c r="AM1759" s="44"/>
      <c r="AN1759" s="45"/>
      <c r="AO1759" s="12"/>
      <c r="AP1759" s="12"/>
      <c r="AQ1759" s="12"/>
      <c r="AR1759" s="12"/>
      <c r="AS1759" s="44"/>
      <c r="AT1759" s="45"/>
      <c r="AU1759" s="12"/>
      <c r="AV1759" s="12"/>
      <c r="AW1759" s="12"/>
      <c r="AX1759" s="12"/>
      <c r="AY1759" s="44"/>
      <c r="AZ1759" s="45"/>
      <c r="BA1759" s="12"/>
      <c r="BB1759" s="12"/>
      <c r="BC1759" s="12"/>
      <c r="BD1759" s="12"/>
      <c r="BE1759" s="44"/>
      <c r="BF1759" s="45"/>
      <c r="BG1759" s="12"/>
      <c r="BH1759" s="12"/>
      <c r="BI1759" s="12"/>
      <c r="BJ1759" s="12"/>
      <c r="BK1759" s="44"/>
      <c r="BL1759" s="45"/>
      <c r="BM1759" s="12"/>
      <c r="BN1759" s="12"/>
      <c r="BO1759" s="12"/>
      <c r="BP1759" s="12"/>
      <c r="BQ1759" s="48"/>
      <c r="BR1759" s="49"/>
      <c r="BS1759" s="13"/>
      <c r="BT1759" s="12"/>
      <c r="BV1759" s="14"/>
      <c r="BW1759" s="50"/>
      <c r="BX1759" s="54"/>
      <c r="BY1759" s="14"/>
      <c r="BZ1759" s="14"/>
      <c r="CA1759" s="14"/>
      <c r="CB1759" s="14"/>
      <c r="CC1759" s="14"/>
      <c r="CD1759" s="14"/>
      <c r="CE1759" s="14"/>
      <c r="CF1759" s="15"/>
      <c r="CG1759" s="14"/>
      <c r="CH1759" s="14"/>
      <c r="CI1759" s="50"/>
      <c r="CJ1759" s="54"/>
      <c r="CK1759" s="14"/>
      <c r="CL1759" s="14"/>
      <c r="CM1759" s="14"/>
      <c r="CN1759" s="14"/>
      <c r="CO1759" s="14"/>
      <c r="CP1759" s="14"/>
      <c r="CQ1759" s="14"/>
      <c r="CR1759" s="14"/>
      <c r="CS1759" s="14"/>
      <c r="CT1759" s="14"/>
      <c r="CU1759" s="16"/>
      <c r="CV1759" s="14"/>
      <c r="CW1759" s="50"/>
      <c r="CX1759" s="17"/>
    </row>
    <row r="1760" spans="4:102" x14ac:dyDescent="0.25">
      <c r="D1760" s="11"/>
      <c r="E1760" s="11"/>
      <c r="F1760" s="11"/>
      <c r="G1760" s="11"/>
      <c r="H1760" s="11"/>
      <c r="I1760" s="11"/>
      <c r="J1760" s="11"/>
      <c r="K1760" s="11"/>
      <c r="L1760" s="11"/>
      <c r="M1760" s="11"/>
      <c r="N1760" s="11"/>
      <c r="O1760" s="11"/>
      <c r="P1760" s="43"/>
      <c r="Q1760" s="11"/>
      <c r="R1760" s="11"/>
      <c r="S1760" s="11"/>
      <c r="T1760" s="11"/>
      <c r="U1760" s="11"/>
      <c r="V1760" s="11"/>
      <c r="W1760" s="11"/>
      <c r="X1760" s="12"/>
      <c r="Y1760" s="12"/>
      <c r="Z1760" s="12"/>
      <c r="AA1760" s="44"/>
      <c r="AB1760" s="45"/>
      <c r="AC1760" s="12"/>
      <c r="AD1760" s="12"/>
      <c r="AE1760" s="12"/>
      <c r="AF1760" s="12"/>
      <c r="AG1760" s="44"/>
      <c r="AH1760" s="45"/>
      <c r="AI1760" s="12"/>
      <c r="AJ1760" s="12"/>
      <c r="AK1760" s="12"/>
      <c r="AL1760" s="12"/>
      <c r="AM1760" s="44"/>
      <c r="AN1760" s="45"/>
      <c r="AO1760" s="12"/>
      <c r="AP1760" s="12"/>
      <c r="AQ1760" s="12"/>
      <c r="AR1760" s="12"/>
      <c r="AS1760" s="44"/>
      <c r="AT1760" s="45"/>
      <c r="AU1760" s="12"/>
      <c r="AV1760" s="12"/>
      <c r="AW1760" s="12"/>
      <c r="AX1760" s="12"/>
      <c r="AY1760" s="44"/>
      <c r="AZ1760" s="45"/>
      <c r="BA1760" s="12"/>
      <c r="BB1760" s="12"/>
      <c r="BC1760" s="12"/>
      <c r="BD1760" s="12"/>
      <c r="BE1760" s="44"/>
      <c r="BF1760" s="45"/>
      <c r="BG1760" s="12"/>
      <c r="BH1760" s="12"/>
      <c r="BI1760" s="12"/>
      <c r="BJ1760" s="12"/>
      <c r="BK1760" s="44"/>
      <c r="BL1760" s="45"/>
      <c r="BM1760" s="12"/>
      <c r="BN1760" s="12"/>
      <c r="BO1760" s="12"/>
      <c r="BP1760" s="12"/>
      <c r="BQ1760" s="48"/>
      <c r="BR1760" s="49"/>
      <c r="BS1760" s="13"/>
      <c r="BT1760" s="12"/>
      <c r="BV1760" s="14"/>
      <c r="BW1760" s="50"/>
      <c r="BX1760" s="54"/>
      <c r="BY1760" s="14"/>
      <c r="BZ1760" s="14"/>
      <c r="CA1760" s="14"/>
      <c r="CB1760" s="14"/>
      <c r="CC1760" s="14"/>
      <c r="CD1760" s="14"/>
      <c r="CE1760" s="14"/>
      <c r="CF1760" s="15"/>
      <c r="CG1760" s="14"/>
      <c r="CH1760" s="14"/>
      <c r="CI1760" s="50"/>
      <c r="CJ1760" s="54"/>
      <c r="CK1760" s="14"/>
      <c r="CL1760" s="14"/>
      <c r="CM1760" s="14"/>
      <c r="CN1760" s="14"/>
      <c r="CO1760" s="14"/>
      <c r="CP1760" s="14"/>
      <c r="CQ1760" s="14"/>
      <c r="CR1760" s="14"/>
      <c r="CS1760" s="14"/>
      <c r="CT1760" s="14"/>
      <c r="CU1760" s="16"/>
      <c r="CV1760" s="14"/>
      <c r="CW1760" s="50"/>
      <c r="CX1760" s="17"/>
    </row>
    <row r="1761" spans="4:102" x14ac:dyDescent="0.25">
      <c r="D1761" s="11"/>
      <c r="E1761" s="11"/>
      <c r="F1761" s="11"/>
      <c r="G1761" s="11"/>
      <c r="H1761" s="11"/>
      <c r="I1761" s="11"/>
      <c r="J1761" s="11"/>
      <c r="K1761" s="11"/>
      <c r="L1761" s="11"/>
      <c r="M1761" s="11"/>
      <c r="N1761" s="11"/>
      <c r="O1761" s="11"/>
      <c r="P1761" s="43"/>
      <c r="Q1761" s="11"/>
      <c r="R1761" s="11"/>
      <c r="S1761" s="11"/>
      <c r="T1761" s="11"/>
      <c r="U1761" s="11"/>
      <c r="V1761" s="11"/>
      <c r="W1761" s="11"/>
      <c r="X1761" s="12"/>
      <c r="Y1761" s="12"/>
      <c r="Z1761" s="12"/>
      <c r="AA1761" s="44"/>
      <c r="AB1761" s="45"/>
      <c r="AC1761" s="12"/>
      <c r="AD1761" s="12"/>
      <c r="AE1761" s="12"/>
      <c r="AF1761" s="12"/>
      <c r="AG1761" s="44"/>
      <c r="AH1761" s="45"/>
      <c r="AI1761" s="12"/>
      <c r="AJ1761" s="12"/>
      <c r="AK1761" s="12"/>
      <c r="AL1761" s="12"/>
      <c r="AM1761" s="44"/>
      <c r="AN1761" s="45"/>
      <c r="AO1761" s="12"/>
      <c r="AP1761" s="12"/>
      <c r="AQ1761" s="12"/>
      <c r="AR1761" s="12"/>
      <c r="AS1761" s="44"/>
      <c r="AT1761" s="45"/>
      <c r="AU1761" s="12"/>
      <c r="AV1761" s="12"/>
      <c r="AW1761" s="12"/>
      <c r="AX1761" s="12"/>
      <c r="AY1761" s="44"/>
      <c r="AZ1761" s="45"/>
      <c r="BA1761" s="12"/>
      <c r="BB1761" s="12"/>
      <c r="BC1761" s="12"/>
      <c r="BD1761" s="12"/>
      <c r="BE1761" s="44"/>
      <c r="BF1761" s="45"/>
      <c r="BG1761" s="12"/>
      <c r="BH1761" s="12"/>
      <c r="BI1761" s="12"/>
      <c r="BJ1761" s="12"/>
      <c r="BK1761" s="44"/>
      <c r="BL1761" s="45"/>
      <c r="BM1761" s="12"/>
      <c r="BN1761" s="12"/>
      <c r="BO1761" s="12"/>
      <c r="BP1761" s="12"/>
      <c r="BQ1761" s="48"/>
      <c r="BR1761" s="49"/>
      <c r="BS1761" s="13"/>
      <c r="BT1761" s="12"/>
      <c r="BV1761" s="14"/>
      <c r="BW1761" s="50"/>
      <c r="BX1761" s="54"/>
      <c r="BY1761" s="14"/>
      <c r="BZ1761" s="14"/>
      <c r="CA1761" s="14"/>
      <c r="CB1761" s="14"/>
      <c r="CC1761" s="14"/>
      <c r="CD1761" s="14"/>
      <c r="CE1761" s="14"/>
      <c r="CF1761" s="15"/>
      <c r="CG1761" s="14"/>
      <c r="CH1761" s="14"/>
      <c r="CI1761" s="50"/>
      <c r="CJ1761" s="54"/>
      <c r="CK1761" s="14"/>
      <c r="CL1761" s="14"/>
      <c r="CM1761" s="14"/>
      <c r="CN1761" s="14"/>
      <c r="CO1761" s="14"/>
      <c r="CP1761" s="14"/>
      <c r="CQ1761" s="14"/>
      <c r="CR1761" s="14"/>
      <c r="CS1761" s="14"/>
      <c r="CT1761" s="14"/>
      <c r="CU1761" s="16"/>
      <c r="CV1761" s="14"/>
      <c r="CW1761" s="50"/>
      <c r="CX1761" s="17"/>
    </row>
    <row r="1762" spans="4:102" x14ac:dyDescent="0.25">
      <c r="D1762" s="11"/>
      <c r="E1762" s="11"/>
      <c r="F1762" s="11"/>
      <c r="G1762" s="11"/>
      <c r="H1762" s="11"/>
      <c r="I1762" s="11"/>
      <c r="J1762" s="11"/>
      <c r="K1762" s="11"/>
      <c r="L1762" s="11"/>
      <c r="M1762" s="11"/>
      <c r="N1762" s="11"/>
      <c r="O1762" s="11"/>
      <c r="P1762" s="43"/>
      <c r="Q1762" s="11"/>
      <c r="R1762" s="11"/>
      <c r="S1762" s="11"/>
      <c r="T1762" s="11"/>
      <c r="U1762" s="11"/>
      <c r="V1762" s="11"/>
      <c r="W1762" s="11"/>
      <c r="X1762" s="12"/>
      <c r="Y1762" s="12"/>
      <c r="Z1762" s="12"/>
      <c r="AA1762" s="44"/>
      <c r="AB1762" s="45"/>
      <c r="AC1762" s="12"/>
      <c r="AD1762" s="12"/>
      <c r="AE1762" s="12"/>
      <c r="AF1762" s="12"/>
      <c r="AG1762" s="44"/>
      <c r="AH1762" s="45"/>
      <c r="AI1762" s="12"/>
      <c r="AJ1762" s="12"/>
      <c r="AK1762" s="12"/>
      <c r="AL1762" s="12"/>
      <c r="AM1762" s="44"/>
      <c r="AN1762" s="45"/>
      <c r="AO1762" s="12"/>
      <c r="AP1762" s="12"/>
      <c r="AQ1762" s="12"/>
      <c r="AR1762" s="12"/>
      <c r="AS1762" s="44"/>
      <c r="AT1762" s="45"/>
      <c r="AU1762" s="12"/>
      <c r="AV1762" s="12"/>
      <c r="AW1762" s="12"/>
      <c r="AX1762" s="12"/>
      <c r="AY1762" s="44"/>
      <c r="AZ1762" s="45"/>
      <c r="BA1762" s="12"/>
      <c r="BB1762" s="12"/>
      <c r="BC1762" s="12"/>
      <c r="BD1762" s="12"/>
      <c r="BE1762" s="44"/>
      <c r="BF1762" s="45"/>
      <c r="BG1762" s="12"/>
      <c r="BH1762" s="12"/>
      <c r="BI1762" s="12"/>
      <c r="BJ1762" s="12"/>
      <c r="BK1762" s="44"/>
      <c r="BL1762" s="45"/>
      <c r="BM1762" s="12"/>
      <c r="BN1762" s="12"/>
      <c r="BO1762" s="12"/>
      <c r="BP1762" s="12"/>
      <c r="BQ1762" s="48"/>
      <c r="BR1762" s="49"/>
      <c r="BS1762" s="13"/>
      <c r="BT1762" s="12"/>
      <c r="BV1762" s="14"/>
      <c r="BW1762" s="50"/>
      <c r="BX1762" s="54"/>
      <c r="BY1762" s="14"/>
      <c r="BZ1762" s="14"/>
      <c r="CA1762" s="14"/>
      <c r="CB1762" s="14"/>
      <c r="CC1762" s="14"/>
      <c r="CD1762" s="14"/>
      <c r="CE1762" s="14"/>
      <c r="CF1762" s="15"/>
      <c r="CG1762" s="14"/>
      <c r="CH1762" s="14"/>
      <c r="CI1762" s="50"/>
      <c r="CJ1762" s="54"/>
      <c r="CK1762" s="14"/>
      <c r="CL1762" s="14"/>
      <c r="CM1762" s="14"/>
      <c r="CN1762" s="14"/>
      <c r="CO1762" s="14"/>
      <c r="CP1762" s="14"/>
      <c r="CQ1762" s="14"/>
      <c r="CR1762" s="14"/>
      <c r="CS1762" s="14"/>
      <c r="CT1762" s="14"/>
      <c r="CU1762" s="16"/>
      <c r="CV1762" s="14"/>
      <c r="CW1762" s="50"/>
      <c r="CX1762" s="17"/>
    </row>
    <row r="1763" spans="4:102" x14ac:dyDescent="0.25">
      <c r="D1763" s="11"/>
      <c r="E1763" s="11"/>
      <c r="F1763" s="11"/>
      <c r="G1763" s="11"/>
      <c r="H1763" s="11"/>
      <c r="I1763" s="11"/>
      <c r="J1763" s="11"/>
      <c r="K1763" s="11"/>
      <c r="L1763" s="11"/>
      <c r="M1763" s="11"/>
      <c r="N1763" s="11"/>
      <c r="O1763" s="11"/>
      <c r="P1763" s="43"/>
      <c r="Q1763" s="11"/>
      <c r="R1763" s="11"/>
      <c r="S1763" s="11"/>
      <c r="T1763" s="11"/>
      <c r="U1763" s="11"/>
      <c r="V1763" s="11"/>
      <c r="W1763" s="11"/>
      <c r="X1763" s="12"/>
      <c r="Y1763" s="12"/>
      <c r="Z1763" s="12"/>
      <c r="AA1763" s="44"/>
      <c r="AB1763" s="45"/>
      <c r="AC1763" s="12"/>
      <c r="AD1763" s="12"/>
      <c r="AE1763" s="12"/>
      <c r="AF1763" s="12"/>
      <c r="AG1763" s="44"/>
      <c r="AH1763" s="45"/>
      <c r="AI1763" s="12"/>
      <c r="AJ1763" s="12"/>
      <c r="AK1763" s="12"/>
      <c r="AL1763" s="12"/>
      <c r="AM1763" s="44"/>
      <c r="AN1763" s="45"/>
      <c r="AO1763" s="12"/>
      <c r="AP1763" s="12"/>
      <c r="AQ1763" s="12"/>
      <c r="AR1763" s="12"/>
      <c r="AS1763" s="44"/>
      <c r="AT1763" s="45"/>
      <c r="AU1763" s="12"/>
      <c r="AV1763" s="12"/>
      <c r="AW1763" s="12"/>
      <c r="AX1763" s="12"/>
      <c r="AY1763" s="44"/>
      <c r="AZ1763" s="45"/>
      <c r="BA1763" s="12"/>
      <c r="BB1763" s="12"/>
      <c r="BC1763" s="12"/>
      <c r="BD1763" s="12"/>
      <c r="BE1763" s="44"/>
      <c r="BF1763" s="45"/>
      <c r="BG1763" s="12"/>
      <c r="BH1763" s="12"/>
      <c r="BI1763" s="12"/>
      <c r="BJ1763" s="12"/>
      <c r="BK1763" s="44"/>
      <c r="BL1763" s="45"/>
      <c r="BM1763" s="12"/>
      <c r="BN1763" s="12"/>
      <c r="BO1763" s="12"/>
      <c r="BP1763" s="12"/>
      <c r="BQ1763" s="48"/>
      <c r="BR1763" s="49"/>
      <c r="BS1763" s="13"/>
      <c r="BT1763" s="12"/>
      <c r="BV1763" s="14"/>
      <c r="BW1763" s="50"/>
      <c r="BX1763" s="54"/>
      <c r="BY1763" s="14"/>
      <c r="BZ1763" s="14"/>
      <c r="CA1763" s="14"/>
      <c r="CB1763" s="14"/>
      <c r="CC1763" s="14"/>
      <c r="CD1763" s="14"/>
      <c r="CE1763" s="14"/>
      <c r="CF1763" s="15"/>
      <c r="CG1763" s="14"/>
      <c r="CH1763" s="14"/>
      <c r="CI1763" s="50"/>
      <c r="CJ1763" s="54"/>
      <c r="CK1763" s="14"/>
      <c r="CL1763" s="14"/>
      <c r="CM1763" s="14"/>
      <c r="CN1763" s="14"/>
      <c r="CO1763" s="14"/>
      <c r="CP1763" s="14"/>
      <c r="CQ1763" s="14"/>
      <c r="CR1763" s="14"/>
      <c r="CS1763" s="14"/>
      <c r="CT1763" s="14"/>
      <c r="CU1763" s="16"/>
      <c r="CV1763" s="14"/>
      <c r="CW1763" s="50"/>
      <c r="CX1763" s="17"/>
    </row>
    <row r="1764" spans="4:102" x14ac:dyDescent="0.25">
      <c r="D1764" s="11"/>
      <c r="E1764" s="11"/>
      <c r="F1764" s="11"/>
      <c r="G1764" s="11"/>
      <c r="H1764" s="11"/>
      <c r="I1764" s="11"/>
      <c r="J1764" s="11"/>
      <c r="K1764" s="11"/>
      <c r="L1764" s="11"/>
      <c r="M1764" s="11"/>
      <c r="N1764" s="11"/>
      <c r="O1764" s="11"/>
      <c r="P1764" s="43"/>
      <c r="Q1764" s="11"/>
      <c r="R1764" s="11"/>
      <c r="S1764" s="11"/>
      <c r="T1764" s="11"/>
      <c r="U1764" s="11"/>
      <c r="V1764" s="11"/>
      <c r="W1764" s="11"/>
      <c r="X1764" s="12"/>
      <c r="Y1764" s="12"/>
      <c r="Z1764" s="12"/>
      <c r="AA1764" s="44"/>
      <c r="AB1764" s="45"/>
      <c r="AC1764" s="12"/>
      <c r="AD1764" s="12"/>
      <c r="AE1764" s="12"/>
      <c r="AF1764" s="12"/>
      <c r="AG1764" s="44"/>
      <c r="AH1764" s="45"/>
      <c r="AI1764" s="12"/>
      <c r="AJ1764" s="12"/>
      <c r="AK1764" s="12"/>
      <c r="AL1764" s="12"/>
      <c r="AM1764" s="44"/>
      <c r="AN1764" s="45"/>
      <c r="AO1764" s="12"/>
      <c r="AP1764" s="12"/>
      <c r="AQ1764" s="12"/>
      <c r="AR1764" s="12"/>
      <c r="AS1764" s="44"/>
      <c r="AT1764" s="45"/>
      <c r="AU1764" s="12"/>
      <c r="AV1764" s="12"/>
      <c r="AW1764" s="12"/>
      <c r="AX1764" s="12"/>
      <c r="AY1764" s="44"/>
      <c r="AZ1764" s="45"/>
      <c r="BA1764" s="12"/>
      <c r="BB1764" s="12"/>
      <c r="BC1764" s="12"/>
      <c r="BD1764" s="12"/>
      <c r="BE1764" s="44"/>
      <c r="BF1764" s="45"/>
      <c r="BG1764" s="12"/>
      <c r="BH1764" s="12"/>
      <c r="BI1764" s="12"/>
      <c r="BJ1764" s="12"/>
      <c r="BK1764" s="44"/>
      <c r="BL1764" s="45"/>
      <c r="BM1764" s="12"/>
      <c r="BN1764" s="12"/>
      <c r="BO1764" s="12"/>
      <c r="BP1764" s="12"/>
      <c r="BQ1764" s="48"/>
      <c r="BR1764" s="49"/>
      <c r="BS1764" s="13"/>
      <c r="BT1764" s="12"/>
      <c r="BV1764" s="14"/>
      <c r="BW1764" s="50"/>
      <c r="BX1764" s="54"/>
      <c r="BY1764" s="14"/>
      <c r="BZ1764" s="14"/>
      <c r="CA1764" s="14"/>
      <c r="CB1764" s="14"/>
      <c r="CC1764" s="14"/>
      <c r="CD1764" s="14"/>
      <c r="CE1764" s="14"/>
      <c r="CF1764" s="15"/>
      <c r="CG1764" s="14"/>
      <c r="CH1764" s="14"/>
      <c r="CI1764" s="50"/>
      <c r="CJ1764" s="54"/>
      <c r="CK1764" s="14"/>
      <c r="CL1764" s="14"/>
      <c r="CM1764" s="14"/>
      <c r="CN1764" s="14"/>
      <c r="CO1764" s="14"/>
      <c r="CP1764" s="14"/>
      <c r="CQ1764" s="14"/>
      <c r="CR1764" s="14"/>
      <c r="CS1764" s="14"/>
      <c r="CT1764" s="14"/>
      <c r="CU1764" s="16"/>
      <c r="CV1764" s="14"/>
      <c r="CW1764" s="50"/>
      <c r="CX1764" s="17"/>
    </row>
    <row r="1765" spans="4:102" x14ac:dyDescent="0.25">
      <c r="D1765" s="11"/>
      <c r="E1765" s="11"/>
      <c r="F1765" s="11"/>
      <c r="G1765" s="11"/>
      <c r="H1765" s="11"/>
      <c r="I1765" s="11"/>
      <c r="J1765" s="11"/>
      <c r="K1765" s="11"/>
      <c r="L1765" s="11"/>
      <c r="M1765" s="11"/>
      <c r="N1765" s="11"/>
      <c r="O1765" s="11"/>
      <c r="P1765" s="43"/>
      <c r="Q1765" s="11"/>
      <c r="R1765" s="11"/>
      <c r="S1765" s="11"/>
      <c r="T1765" s="11"/>
      <c r="U1765" s="11"/>
      <c r="V1765" s="11"/>
      <c r="W1765" s="11"/>
      <c r="X1765" s="12"/>
      <c r="Y1765" s="12"/>
      <c r="Z1765" s="12"/>
      <c r="AA1765" s="44"/>
      <c r="AB1765" s="45"/>
      <c r="AC1765" s="12"/>
      <c r="AD1765" s="12"/>
      <c r="AE1765" s="12"/>
      <c r="AF1765" s="12"/>
      <c r="AG1765" s="44"/>
      <c r="AH1765" s="45"/>
      <c r="AI1765" s="12"/>
      <c r="AJ1765" s="12"/>
      <c r="AK1765" s="12"/>
      <c r="AL1765" s="12"/>
      <c r="AM1765" s="44"/>
      <c r="AN1765" s="45"/>
      <c r="AO1765" s="12"/>
      <c r="AP1765" s="12"/>
      <c r="AQ1765" s="12"/>
      <c r="AR1765" s="12"/>
      <c r="AS1765" s="44"/>
      <c r="AT1765" s="45"/>
      <c r="AU1765" s="12"/>
      <c r="AV1765" s="12"/>
      <c r="AW1765" s="12"/>
      <c r="AX1765" s="12"/>
      <c r="AY1765" s="44"/>
      <c r="AZ1765" s="45"/>
      <c r="BA1765" s="12"/>
      <c r="BB1765" s="12"/>
      <c r="BC1765" s="12"/>
      <c r="BD1765" s="12"/>
      <c r="BE1765" s="44"/>
      <c r="BF1765" s="45"/>
      <c r="BG1765" s="12"/>
      <c r="BH1765" s="12"/>
      <c r="BI1765" s="12"/>
      <c r="BJ1765" s="12"/>
      <c r="BK1765" s="44"/>
      <c r="BL1765" s="45"/>
      <c r="BM1765" s="12"/>
      <c r="BN1765" s="12"/>
      <c r="BO1765" s="12"/>
      <c r="BP1765" s="12"/>
      <c r="BQ1765" s="48"/>
      <c r="BR1765" s="49"/>
      <c r="BS1765" s="13"/>
      <c r="BT1765" s="12"/>
      <c r="BV1765" s="14"/>
      <c r="BW1765" s="50"/>
      <c r="BX1765" s="54"/>
      <c r="BY1765" s="14"/>
      <c r="BZ1765" s="14"/>
      <c r="CA1765" s="14"/>
      <c r="CB1765" s="14"/>
      <c r="CC1765" s="14"/>
      <c r="CD1765" s="14"/>
      <c r="CE1765" s="14"/>
      <c r="CF1765" s="15"/>
      <c r="CG1765" s="14"/>
      <c r="CH1765" s="14"/>
      <c r="CI1765" s="50"/>
      <c r="CJ1765" s="54"/>
      <c r="CK1765" s="14"/>
      <c r="CL1765" s="14"/>
      <c r="CM1765" s="14"/>
      <c r="CN1765" s="14"/>
      <c r="CO1765" s="14"/>
      <c r="CP1765" s="14"/>
      <c r="CQ1765" s="14"/>
      <c r="CR1765" s="14"/>
      <c r="CS1765" s="14"/>
      <c r="CT1765" s="14"/>
      <c r="CU1765" s="16"/>
      <c r="CV1765" s="14"/>
      <c r="CW1765" s="50"/>
      <c r="CX1765" s="17"/>
    </row>
    <row r="1766" spans="4:102" x14ac:dyDescent="0.25">
      <c r="D1766" s="11"/>
      <c r="E1766" s="11"/>
      <c r="F1766" s="11"/>
      <c r="G1766" s="11"/>
      <c r="H1766" s="11"/>
      <c r="I1766" s="11"/>
      <c r="J1766" s="11"/>
      <c r="K1766" s="11"/>
      <c r="L1766" s="11"/>
      <c r="M1766" s="11"/>
      <c r="N1766" s="11"/>
      <c r="O1766" s="11"/>
      <c r="P1766" s="43"/>
      <c r="Q1766" s="11"/>
      <c r="R1766" s="11"/>
      <c r="S1766" s="11"/>
      <c r="T1766" s="11"/>
      <c r="U1766" s="11"/>
      <c r="V1766" s="11"/>
      <c r="W1766" s="11"/>
      <c r="X1766" s="12"/>
      <c r="Y1766" s="12"/>
      <c r="Z1766" s="12"/>
      <c r="AA1766" s="44"/>
      <c r="AB1766" s="45"/>
      <c r="AC1766" s="12"/>
      <c r="AD1766" s="12"/>
      <c r="AE1766" s="12"/>
      <c r="AF1766" s="12"/>
      <c r="AG1766" s="44"/>
      <c r="AH1766" s="45"/>
      <c r="AI1766" s="12"/>
      <c r="AJ1766" s="12"/>
      <c r="AK1766" s="12"/>
      <c r="AL1766" s="12"/>
      <c r="AM1766" s="44"/>
      <c r="AN1766" s="45"/>
      <c r="AO1766" s="12"/>
      <c r="AP1766" s="12"/>
      <c r="AQ1766" s="12"/>
      <c r="AR1766" s="12"/>
      <c r="AS1766" s="44"/>
      <c r="AT1766" s="45"/>
      <c r="AU1766" s="12"/>
      <c r="AV1766" s="12"/>
      <c r="AW1766" s="12"/>
      <c r="AX1766" s="12"/>
      <c r="AY1766" s="44"/>
      <c r="AZ1766" s="45"/>
      <c r="BA1766" s="12"/>
      <c r="BB1766" s="12"/>
      <c r="BC1766" s="12"/>
      <c r="BD1766" s="12"/>
      <c r="BE1766" s="44"/>
      <c r="BF1766" s="45"/>
      <c r="BG1766" s="12"/>
      <c r="BH1766" s="12"/>
      <c r="BI1766" s="12"/>
      <c r="BJ1766" s="12"/>
      <c r="BK1766" s="44"/>
      <c r="BL1766" s="45"/>
      <c r="BM1766" s="12"/>
      <c r="BN1766" s="12"/>
      <c r="BO1766" s="12"/>
      <c r="BP1766" s="12"/>
      <c r="BQ1766" s="48"/>
      <c r="BR1766" s="49"/>
      <c r="BS1766" s="13"/>
      <c r="BT1766" s="12"/>
      <c r="BV1766" s="14"/>
      <c r="BW1766" s="50"/>
      <c r="BX1766" s="54"/>
      <c r="BY1766" s="14"/>
      <c r="BZ1766" s="14"/>
      <c r="CA1766" s="14"/>
      <c r="CB1766" s="14"/>
      <c r="CC1766" s="14"/>
      <c r="CD1766" s="14"/>
      <c r="CE1766" s="14"/>
      <c r="CF1766" s="15"/>
      <c r="CG1766" s="14"/>
      <c r="CH1766" s="14"/>
      <c r="CI1766" s="50"/>
      <c r="CJ1766" s="54"/>
      <c r="CK1766" s="14"/>
      <c r="CL1766" s="14"/>
      <c r="CM1766" s="14"/>
      <c r="CN1766" s="14"/>
      <c r="CO1766" s="14"/>
      <c r="CP1766" s="14"/>
      <c r="CQ1766" s="14"/>
      <c r="CR1766" s="14"/>
      <c r="CS1766" s="14"/>
      <c r="CT1766" s="14"/>
      <c r="CU1766" s="16"/>
      <c r="CV1766" s="14"/>
      <c r="CW1766" s="50"/>
      <c r="CX1766" s="17"/>
    </row>
    <row r="1767" spans="4:102" x14ac:dyDescent="0.25">
      <c r="D1767" s="11"/>
      <c r="E1767" s="11"/>
      <c r="F1767" s="11"/>
      <c r="G1767" s="11"/>
      <c r="H1767" s="11"/>
      <c r="I1767" s="11"/>
      <c r="J1767" s="11"/>
      <c r="K1767" s="11"/>
      <c r="L1767" s="11"/>
      <c r="M1767" s="11"/>
      <c r="N1767" s="11"/>
      <c r="O1767" s="11"/>
      <c r="P1767" s="43"/>
      <c r="Q1767" s="11"/>
      <c r="R1767" s="11"/>
      <c r="S1767" s="11"/>
      <c r="T1767" s="11"/>
      <c r="U1767" s="11"/>
      <c r="V1767" s="11"/>
      <c r="W1767" s="11"/>
      <c r="X1767" s="12"/>
      <c r="Y1767" s="12"/>
      <c r="Z1767" s="12"/>
      <c r="AA1767" s="44"/>
      <c r="AB1767" s="45"/>
      <c r="AC1767" s="12"/>
      <c r="AD1767" s="12"/>
      <c r="AE1767" s="12"/>
      <c r="AF1767" s="12"/>
      <c r="AG1767" s="44"/>
      <c r="AH1767" s="45"/>
      <c r="AI1767" s="12"/>
      <c r="AJ1767" s="12"/>
      <c r="AK1767" s="12"/>
      <c r="AL1767" s="12"/>
      <c r="AM1767" s="44"/>
      <c r="AN1767" s="45"/>
      <c r="AO1767" s="12"/>
      <c r="AP1767" s="12"/>
      <c r="AQ1767" s="12"/>
      <c r="AR1767" s="12"/>
      <c r="AS1767" s="44"/>
      <c r="AT1767" s="45"/>
      <c r="AU1767" s="12"/>
      <c r="AV1767" s="12"/>
      <c r="AW1767" s="12"/>
      <c r="AX1767" s="12"/>
      <c r="AY1767" s="44"/>
      <c r="AZ1767" s="45"/>
      <c r="BA1767" s="12"/>
      <c r="BB1767" s="12"/>
      <c r="BC1767" s="12"/>
      <c r="BD1767" s="12"/>
      <c r="BE1767" s="44"/>
      <c r="BF1767" s="45"/>
      <c r="BG1767" s="12"/>
      <c r="BH1767" s="12"/>
      <c r="BI1767" s="12"/>
      <c r="BJ1767" s="12"/>
      <c r="BK1767" s="44"/>
      <c r="BL1767" s="45"/>
      <c r="BM1767" s="12"/>
      <c r="BN1767" s="12"/>
      <c r="BO1767" s="12"/>
      <c r="BP1767" s="12"/>
      <c r="BQ1767" s="48"/>
      <c r="BR1767" s="49"/>
      <c r="BS1767" s="13"/>
      <c r="BT1767" s="12"/>
      <c r="BV1767" s="14"/>
      <c r="BW1767" s="50"/>
      <c r="BX1767" s="54"/>
      <c r="BY1767" s="14"/>
      <c r="BZ1767" s="14"/>
      <c r="CA1767" s="14"/>
      <c r="CB1767" s="14"/>
      <c r="CC1767" s="14"/>
      <c r="CD1767" s="14"/>
      <c r="CE1767" s="14"/>
      <c r="CF1767" s="15"/>
      <c r="CG1767" s="14"/>
      <c r="CH1767" s="14"/>
      <c r="CI1767" s="50"/>
      <c r="CJ1767" s="54"/>
      <c r="CK1767" s="14"/>
      <c r="CL1767" s="14"/>
      <c r="CM1767" s="14"/>
      <c r="CN1767" s="14"/>
      <c r="CO1767" s="14"/>
      <c r="CP1767" s="14"/>
      <c r="CQ1767" s="14"/>
      <c r="CR1767" s="14"/>
      <c r="CS1767" s="14"/>
      <c r="CT1767" s="14"/>
      <c r="CU1767" s="16"/>
      <c r="CV1767" s="14"/>
      <c r="CW1767" s="50"/>
      <c r="CX1767" s="17"/>
    </row>
    <row r="1768" spans="4:102" x14ac:dyDescent="0.25">
      <c r="D1768" s="11"/>
      <c r="E1768" s="11"/>
      <c r="F1768" s="11"/>
      <c r="G1768" s="11"/>
      <c r="H1768" s="11"/>
      <c r="I1768" s="11"/>
      <c r="J1768" s="11"/>
      <c r="K1768" s="11"/>
      <c r="L1768" s="11"/>
      <c r="M1768" s="11"/>
      <c r="N1768" s="11"/>
      <c r="O1768" s="11"/>
      <c r="P1768" s="43"/>
      <c r="Q1768" s="11"/>
      <c r="R1768" s="11"/>
      <c r="S1768" s="11"/>
      <c r="T1768" s="11"/>
      <c r="U1768" s="11"/>
      <c r="V1768" s="11"/>
      <c r="W1768" s="11"/>
      <c r="X1768" s="12"/>
      <c r="Y1768" s="12"/>
      <c r="Z1768" s="12"/>
      <c r="AA1768" s="44"/>
      <c r="AB1768" s="45"/>
      <c r="AC1768" s="12"/>
      <c r="AD1768" s="12"/>
      <c r="AE1768" s="12"/>
      <c r="AF1768" s="12"/>
      <c r="AG1768" s="44"/>
      <c r="AH1768" s="45"/>
      <c r="AI1768" s="12"/>
      <c r="AJ1768" s="12"/>
      <c r="AK1768" s="12"/>
      <c r="AL1768" s="12"/>
      <c r="AM1768" s="44"/>
      <c r="AN1768" s="45"/>
      <c r="AO1768" s="12"/>
      <c r="AP1768" s="12"/>
      <c r="AQ1768" s="12"/>
      <c r="AR1768" s="12"/>
      <c r="AS1768" s="44"/>
      <c r="AT1768" s="45"/>
      <c r="AU1768" s="12"/>
      <c r="AV1768" s="12"/>
      <c r="AW1768" s="12"/>
      <c r="AX1768" s="12"/>
      <c r="AY1768" s="44"/>
      <c r="AZ1768" s="45"/>
      <c r="BA1768" s="12"/>
      <c r="BB1768" s="12"/>
      <c r="BC1768" s="12"/>
      <c r="BD1768" s="12"/>
      <c r="BE1768" s="44"/>
      <c r="BF1768" s="45"/>
      <c r="BG1768" s="12"/>
      <c r="BH1768" s="12"/>
      <c r="BI1768" s="12"/>
      <c r="BJ1768" s="12"/>
      <c r="BK1768" s="44"/>
      <c r="BL1768" s="45"/>
      <c r="BM1768" s="12"/>
      <c r="BN1768" s="12"/>
      <c r="BO1768" s="12"/>
      <c r="BP1768" s="12"/>
      <c r="BQ1768" s="48"/>
      <c r="BR1768" s="49"/>
      <c r="BS1768" s="13"/>
      <c r="BT1768" s="12"/>
      <c r="BV1768" s="14"/>
      <c r="BW1768" s="50"/>
      <c r="BX1768" s="54"/>
      <c r="BY1768" s="14"/>
      <c r="BZ1768" s="14"/>
      <c r="CA1768" s="14"/>
      <c r="CB1768" s="14"/>
      <c r="CC1768" s="14"/>
      <c r="CD1768" s="14"/>
      <c r="CE1768" s="14"/>
      <c r="CF1768" s="15"/>
      <c r="CG1768" s="14"/>
      <c r="CH1768" s="14"/>
      <c r="CI1768" s="50"/>
      <c r="CJ1768" s="54"/>
      <c r="CK1768" s="14"/>
      <c r="CL1768" s="14"/>
      <c r="CM1768" s="14"/>
      <c r="CN1768" s="14"/>
      <c r="CO1768" s="14"/>
      <c r="CP1768" s="14"/>
      <c r="CQ1768" s="14"/>
      <c r="CR1768" s="14"/>
      <c r="CS1768" s="14"/>
      <c r="CT1768" s="14"/>
      <c r="CU1768" s="16"/>
      <c r="CV1768" s="14"/>
      <c r="CW1768" s="50"/>
      <c r="CX1768" s="17"/>
    </row>
    <row r="1769" spans="4:102" x14ac:dyDescent="0.25">
      <c r="D1769" s="11"/>
      <c r="E1769" s="11"/>
      <c r="F1769" s="11"/>
      <c r="G1769" s="11"/>
      <c r="H1769" s="11"/>
      <c r="I1769" s="11"/>
      <c r="J1769" s="11"/>
      <c r="K1769" s="11"/>
      <c r="L1769" s="11"/>
      <c r="M1769" s="11"/>
      <c r="N1769" s="11"/>
      <c r="O1769" s="11"/>
      <c r="P1769" s="43"/>
      <c r="Q1769" s="11"/>
      <c r="R1769" s="11"/>
      <c r="S1769" s="11"/>
      <c r="T1769" s="11"/>
      <c r="U1769" s="11"/>
      <c r="V1769" s="11"/>
      <c r="W1769" s="11"/>
      <c r="X1769" s="12"/>
      <c r="Y1769" s="12"/>
      <c r="Z1769" s="12"/>
      <c r="AA1769" s="44"/>
      <c r="AB1769" s="45"/>
      <c r="AC1769" s="12"/>
      <c r="AD1769" s="12"/>
      <c r="AE1769" s="12"/>
      <c r="AF1769" s="12"/>
      <c r="AG1769" s="44"/>
      <c r="AH1769" s="45"/>
      <c r="AI1769" s="12"/>
      <c r="AJ1769" s="12"/>
      <c r="AK1769" s="12"/>
      <c r="AL1769" s="12"/>
      <c r="AM1769" s="44"/>
      <c r="AN1769" s="45"/>
      <c r="AO1769" s="12"/>
      <c r="AP1769" s="12"/>
      <c r="AQ1769" s="12"/>
      <c r="AR1769" s="12"/>
      <c r="AS1769" s="44"/>
      <c r="AT1769" s="45"/>
      <c r="AU1769" s="12"/>
      <c r="AV1769" s="12"/>
      <c r="AW1769" s="12"/>
      <c r="AX1769" s="12"/>
      <c r="AY1769" s="44"/>
      <c r="AZ1769" s="45"/>
      <c r="BA1769" s="12"/>
      <c r="BB1769" s="12"/>
      <c r="BC1769" s="12"/>
      <c r="BD1769" s="12"/>
      <c r="BE1769" s="44"/>
      <c r="BF1769" s="45"/>
      <c r="BG1769" s="12"/>
      <c r="BH1769" s="12"/>
      <c r="BI1769" s="12"/>
      <c r="BJ1769" s="12"/>
      <c r="BK1769" s="44"/>
      <c r="BL1769" s="45"/>
      <c r="BM1769" s="12"/>
      <c r="BN1769" s="12"/>
      <c r="BO1769" s="12"/>
      <c r="BP1769" s="12"/>
      <c r="BQ1769" s="48"/>
      <c r="BR1769" s="49"/>
      <c r="BS1769" s="13"/>
      <c r="BT1769" s="12"/>
      <c r="BV1769" s="14"/>
      <c r="BW1769" s="50"/>
      <c r="BX1769" s="54"/>
      <c r="BY1769" s="14"/>
      <c r="BZ1769" s="14"/>
      <c r="CA1769" s="14"/>
      <c r="CB1769" s="14"/>
      <c r="CC1769" s="14"/>
      <c r="CD1769" s="14"/>
      <c r="CE1769" s="14"/>
      <c r="CF1769" s="15"/>
      <c r="CG1769" s="14"/>
      <c r="CH1769" s="14"/>
      <c r="CI1769" s="50"/>
      <c r="CJ1769" s="54"/>
      <c r="CK1769" s="14"/>
      <c r="CL1769" s="14"/>
      <c r="CM1769" s="14"/>
      <c r="CN1769" s="14"/>
      <c r="CO1769" s="14"/>
      <c r="CP1769" s="14"/>
      <c r="CQ1769" s="14"/>
      <c r="CR1769" s="14"/>
      <c r="CS1769" s="14"/>
      <c r="CT1769" s="14"/>
      <c r="CU1769" s="16"/>
      <c r="CV1769" s="14"/>
      <c r="CW1769" s="50"/>
      <c r="CX1769" s="17"/>
    </row>
    <row r="1770" spans="4:102" x14ac:dyDescent="0.25">
      <c r="D1770" s="11"/>
      <c r="E1770" s="11"/>
      <c r="F1770" s="11"/>
      <c r="G1770" s="11"/>
      <c r="H1770" s="11"/>
      <c r="I1770" s="11"/>
      <c r="J1770" s="11"/>
      <c r="K1770" s="11"/>
      <c r="L1770" s="11"/>
      <c r="M1770" s="11"/>
      <c r="N1770" s="11"/>
      <c r="O1770" s="11"/>
      <c r="P1770" s="43"/>
      <c r="Q1770" s="11"/>
      <c r="R1770" s="11"/>
      <c r="S1770" s="11"/>
      <c r="T1770" s="11"/>
      <c r="U1770" s="11"/>
      <c r="V1770" s="11"/>
      <c r="W1770" s="11"/>
      <c r="X1770" s="12"/>
      <c r="Y1770" s="12"/>
      <c r="Z1770" s="12"/>
      <c r="AA1770" s="44"/>
      <c r="AB1770" s="45"/>
      <c r="AC1770" s="12"/>
      <c r="AD1770" s="12"/>
      <c r="AE1770" s="12"/>
      <c r="AF1770" s="12"/>
      <c r="AG1770" s="44"/>
      <c r="AH1770" s="45"/>
      <c r="AI1770" s="12"/>
      <c r="AJ1770" s="12"/>
      <c r="AK1770" s="12"/>
      <c r="AL1770" s="12"/>
      <c r="AM1770" s="44"/>
      <c r="AN1770" s="45"/>
      <c r="AO1770" s="12"/>
      <c r="AP1770" s="12"/>
      <c r="AQ1770" s="12"/>
      <c r="AR1770" s="12"/>
      <c r="AS1770" s="44"/>
      <c r="AT1770" s="45"/>
      <c r="AU1770" s="12"/>
      <c r="AV1770" s="12"/>
      <c r="AW1770" s="12"/>
      <c r="AX1770" s="12"/>
      <c r="AY1770" s="44"/>
      <c r="AZ1770" s="45"/>
      <c r="BA1770" s="12"/>
      <c r="BB1770" s="12"/>
      <c r="BC1770" s="12"/>
      <c r="BD1770" s="12"/>
      <c r="BE1770" s="44"/>
      <c r="BF1770" s="45"/>
      <c r="BG1770" s="12"/>
      <c r="BH1770" s="12"/>
      <c r="BI1770" s="12"/>
      <c r="BJ1770" s="12"/>
      <c r="BK1770" s="44"/>
      <c r="BL1770" s="45"/>
      <c r="BM1770" s="12"/>
      <c r="BN1770" s="12"/>
      <c r="BO1770" s="12"/>
      <c r="BP1770" s="12"/>
      <c r="BQ1770" s="48"/>
      <c r="BR1770" s="49"/>
      <c r="BS1770" s="13"/>
      <c r="BT1770" s="12"/>
      <c r="BV1770" s="14"/>
      <c r="BW1770" s="50"/>
      <c r="BX1770" s="54"/>
      <c r="BY1770" s="14"/>
      <c r="BZ1770" s="14"/>
      <c r="CA1770" s="14"/>
      <c r="CB1770" s="14"/>
      <c r="CC1770" s="14"/>
      <c r="CD1770" s="14"/>
      <c r="CE1770" s="14"/>
      <c r="CF1770" s="15"/>
      <c r="CG1770" s="14"/>
      <c r="CH1770" s="14"/>
      <c r="CI1770" s="50"/>
      <c r="CJ1770" s="54"/>
      <c r="CK1770" s="14"/>
      <c r="CL1770" s="14"/>
      <c r="CM1770" s="14"/>
      <c r="CN1770" s="14"/>
      <c r="CO1770" s="14"/>
      <c r="CP1770" s="14"/>
      <c r="CQ1770" s="14"/>
      <c r="CR1770" s="14"/>
      <c r="CS1770" s="14"/>
      <c r="CT1770" s="14"/>
      <c r="CU1770" s="16"/>
      <c r="CV1770" s="14"/>
      <c r="CW1770" s="50"/>
      <c r="CX1770" s="17"/>
    </row>
    <row r="1771" spans="4:102" x14ac:dyDescent="0.25">
      <c r="D1771" s="11"/>
      <c r="E1771" s="11"/>
      <c r="F1771" s="11"/>
      <c r="G1771" s="11"/>
      <c r="H1771" s="11"/>
      <c r="I1771" s="11"/>
      <c r="J1771" s="11"/>
      <c r="K1771" s="11"/>
      <c r="L1771" s="11"/>
      <c r="M1771" s="11"/>
      <c r="N1771" s="11"/>
      <c r="O1771" s="11"/>
      <c r="P1771" s="43"/>
      <c r="Q1771" s="11"/>
      <c r="R1771" s="11"/>
      <c r="S1771" s="11"/>
      <c r="T1771" s="11"/>
      <c r="U1771" s="11"/>
      <c r="V1771" s="11"/>
      <c r="W1771" s="11"/>
      <c r="X1771" s="12"/>
      <c r="Y1771" s="12"/>
      <c r="Z1771" s="12"/>
      <c r="AA1771" s="44"/>
      <c r="AB1771" s="45"/>
      <c r="AC1771" s="12"/>
      <c r="AD1771" s="12"/>
      <c r="AE1771" s="12"/>
      <c r="AF1771" s="12"/>
      <c r="AG1771" s="44"/>
      <c r="AH1771" s="45"/>
      <c r="AI1771" s="12"/>
      <c r="AJ1771" s="12"/>
      <c r="AK1771" s="12"/>
      <c r="AL1771" s="12"/>
      <c r="AM1771" s="44"/>
      <c r="AN1771" s="45"/>
      <c r="AO1771" s="12"/>
      <c r="AP1771" s="12"/>
      <c r="AQ1771" s="12"/>
      <c r="AR1771" s="12"/>
      <c r="AS1771" s="44"/>
      <c r="AT1771" s="45"/>
      <c r="AU1771" s="12"/>
      <c r="AV1771" s="12"/>
      <c r="AW1771" s="12"/>
      <c r="AX1771" s="12"/>
      <c r="AY1771" s="44"/>
      <c r="AZ1771" s="45"/>
      <c r="BA1771" s="12"/>
      <c r="BB1771" s="12"/>
      <c r="BC1771" s="12"/>
      <c r="BD1771" s="12"/>
      <c r="BE1771" s="44"/>
      <c r="BF1771" s="45"/>
      <c r="BG1771" s="12"/>
      <c r="BH1771" s="12"/>
      <c r="BI1771" s="12"/>
      <c r="BJ1771" s="12"/>
      <c r="BK1771" s="44"/>
      <c r="BL1771" s="45"/>
      <c r="BM1771" s="12"/>
      <c r="BN1771" s="12"/>
      <c r="BO1771" s="12"/>
      <c r="BP1771" s="12"/>
      <c r="BQ1771" s="48"/>
      <c r="BR1771" s="49"/>
      <c r="BS1771" s="13"/>
      <c r="BT1771" s="12"/>
      <c r="BV1771" s="14"/>
      <c r="BW1771" s="50"/>
      <c r="BX1771" s="54"/>
      <c r="BY1771" s="14"/>
      <c r="BZ1771" s="14"/>
      <c r="CA1771" s="14"/>
      <c r="CB1771" s="14"/>
      <c r="CC1771" s="14"/>
      <c r="CD1771" s="14"/>
      <c r="CE1771" s="14"/>
      <c r="CF1771" s="15"/>
      <c r="CG1771" s="14"/>
      <c r="CH1771" s="14"/>
      <c r="CI1771" s="50"/>
      <c r="CJ1771" s="54"/>
      <c r="CK1771" s="14"/>
      <c r="CL1771" s="14"/>
      <c r="CM1771" s="14"/>
      <c r="CN1771" s="14"/>
      <c r="CO1771" s="14"/>
      <c r="CP1771" s="14"/>
      <c r="CQ1771" s="14"/>
      <c r="CR1771" s="14"/>
      <c r="CS1771" s="14"/>
      <c r="CT1771" s="14"/>
      <c r="CU1771" s="16"/>
      <c r="CV1771" s="14"/>
      <c r="CW1771" s="50"/>
      <c r="CX1771" s="17"/>
    </row>
    <row r="1772" spans="4:102" x14ac:dyDescent="0.25">
      <c r="D1772" s="11"/>
      <c r="E1772" s="11"/>
      <c r="F1772" s="11"/>
      <c r="G1772" s="11"/>
      <c r="H1772" s="11"/>
      <c r="I1772" s="11"/>
      <c r="J1772" s="11"/>
      <c r="K1772" s="11"/>
      <c r="L1772" s="11"/>
      <c r="M1772" s="11"/>
      <c r="N1772" s="11"/>
      <c r="O1772" s="11"/>
      <c r="P1772" s="43"/>
      <c r="Q1772" s="11"/>
      <c r="R1772" s="11"/>
      <c r="S1772" s="11"/>
      <c r="T1772" s="11"/>
      <c r="U1772" s="11"/>
      <c r="V1772" s="11"/>
      <c r="W1772" s="11"/>
      <c r="X1772" s="12"/>
      <c r="Y1772" s="12"/>
      <c r="Z1772" s="12"/>
      <c r="AA1772" s="44"/>
      <c r="AB1772" s="45"/>
      <c r="AC1772" s="12"/>
      <c r="AD1772" s="12"/>
      <c r="AE1772" s="12"/>
      <c r="AF1772" s="12"/>
      <c r="AG1772" s="44"/>
      <c r="AH1772" s="45"/>
      <c r="AI1772" s="12"/>
      <c r="AJ1772" s="12"/>
      <c r="AK1772" s="12"/>
      <c r="AL1772" s="12"/>
      <c r="AM1772" s="44"/>
      <c r="AN1772" s="45"/>
      <c r="AO1772" s="12"/>
      <c r="AP1772" s="12"/>
      <c r="AQ1772" s="12"/>
      <c r="AR1772" s="12"/>
      <c r="AS1772" s="44"/>
      <c r="AT1772" s="45"/>
      <c r="AU1772" s="12"/>
      <c r="AV1772" s="12"/>
      <c r="AW1772" s="12"/>
      <c r="AX1772" s="12"/>
      <c r="AY1772" s="44"/>
      <c r="AZ1772" s="45"/>
      <c r="BA1772" s="12"/>
      <c r="BB1772" s="12"/>
      <c r="BC1772" s="12"/>
      <c r="BD1772" s="12"/>
      <c r="BE1772" s="44"/>
      <c r="BF1772" s="45"/>
      <c r="BG1772" s="12"/>
      <c r="BH1772" s="12"/>
      <c r="BI1772" s="12"/>
      <c r="BJ1772" s="12"/>
      <c r="BK1772" s="44"/>
      <c r="BL1772" s="45"/>
      <c r="BM1772" s="12"/>
      <c r="BN1772" s="12"/>
      <c r="BO1772" s="12"/>
      <c r="BP1772" s="12"/>
      <c r="BQ1772" s="48"/>
      <c r="BR1772" s="49"/>
      <c r="BS1772" s="13"/>
      <c r="BT1772" s="12"/>
      <c r="BV1772" s="14"/>
      <c r="BW1772" s="50"/>
      <c r="BX1772" s="54"/>
      <c r="BY1772" s="14"/>
      <c r="BZ1772" s="14"/>
      <c r="CA1772" s="14"/>
      <c r="CB1772" s="14"/>
      <c r="CC1772" s="14"/>
      <c r="CD1772" s="14"/>
      <c r="CE1772" s="14"/>
      <c r="CF1772" s="15"/>
      <c r="CG1772" s="14"/>
      <c r="CH1772" s="14"/>
      <c r="CI1772" s="50"/>
      <c r="CJ1772" s="54"/>
      <c r="CK1772" s="14"/>
      <c r="CL1772" s="14"/>
      <c r="CM1772" s="14"/>
      <c r="CN1772" s="14"/>
      <c r="CO1772" s="14"/>
      <c r="CP1772" s="14"/>
      <c r="CQ1772" s="14"/>
      <c r="CR1772" s="14"/>
      <c r="CS1772" s="14"/>
      <c r="CT1772" s="14"/>
      <c r="CU1772" s="16"/>
      <c r="CV1772" s="14"/>
      <c r="CW1772" s="50"/>
      <c r="CX1772" s="17"/>
    </row>
    <row r="1773" spans="4:102" x14ac:dyDescent="0.25">
      <c r="D1773" s="11"/>
      <c r="E1773" s="11"/>
      <c r="F1773" s="11"/>
      <c r="G1773" s="11"/>
      <c r="H1773" s="11"/>
      <c r="I1773" s="11"/>
      <c r="J1773" s="11"/>
      <c r="K1773" s="11"/>
      <c r="L1773" s="11"/>
      <c r="M1773" s="11"/>
      <c r="N1773" s="11"/>
      <c r="O1773" s="11"/>
      <c r="P1773" s="43"/>
      <c r="Q1773" s="11"/>
      <c r="R1773" s="11"/>
      <c r="S1773" s="11"/>
      <c r="T1773" s="11"/>
      <c r="U1773" s="11"/>
      <c r="V1773" s="11"/>
      <c r="W1773" s="11"/>
      <c r="X1773" s="12"/>
      <c r="Y1773" s="12"/>
      <c r="Z1773" s="12"/>
      <c r="AA1773" s="44"/>
      <c r="AB1773" s="45"/>
      <c r="AC1773" s="12"/>
      <c r="AD1773" s="12"/>
      <c r="AE1773" s="12"/>
      <c r="AF1773" s="12"/>
      <c r="AG1773" s="44"/>
      <c r="AH1773" s="45"/>
      <c r="AI1773" s="12"/>
      <c r="AJ1773" s="12"/>
      <c r="AK1773" s="12"/>
      <c r="AL1773" s="12"/>
      <c r="AM1773" s="44"/>
      <c r="AN1773" s="45"/>
      <c r="AO1773" s="12"/>
      <c r="AP1773" s="12"/>
      <c r="AQ1773" s="12"/>
      <c r="AR1773" s="12"/>
      <c r="AS1773" s="44"/>
      <c r="AT1773" s="45"/>
      <c r="AU1773" s="12"/>
      <c r="AV1773" s="12"/>
      <c r="AW1773" s="12"/>
      <c r="AX1773" s="12"/>
      <c r="AY1773" s="44"/>
      <c r="AZ1773" s="45"/>
      <c r="BA1773" s="12"/>
      <c r="BB1773" s="12"/>
      <c r="BC1773" s="12"/>
      <c r="BD1773" s="12"/>
      <c r="BE1773" s="44"/>
      <c r="BF1773" s="45"/>
      <c r="BG1773" s="12"/>
      <c r="BH1773" s="12"/>
      <c r="BI1773" s="12"/>
      <c r="BJ1773" s="12"/>
      <c r="BK1773" s="44"/>
      <c r="BL1773" s="45"/>
      <c r="BM1773" s="12"/>
      <c r="BN1773" s="12"/>
      <c r="BO1773" s="12"/>
      <c r="BP1773" s="12"/>
      <c r="BQ1773" s="48"/>
      <c r="BR1773" s="49"/>
      <c r="BS1773" s="13"/>
      <c r="BT1773" s="12"/>
      <c r="BV1773" s="14"/>
      <c r="BW1773" s="50"/>
      <c r="BX1773" s="54"/>
      <c r="BY1773" s="14"/>
      <c r="BZ1773" s="14"/>
      <c r="CA1773" s="14"/>
      <c r="CB1773" s="14"/>
      <c r="CC1773" s="14"/>
      <c r="CD1773" s="14"/>
      <c r="CE1773" s="14"/>
      <c r="CF1773" s="15"/>
      <c r="CG1773" s="14"/>
      <c r="CH1773" s="14"/>
      <c r="CI1773" s="50"/>
      <c r="CJ1773" s="54"/>
      <c r="CK1773" s="14"/>
      <c r="CL1773" s="14"/>
      <c r="CM1773" s="14"/>
      <c r="CN1773" s="14"/>
      <c r="CO1773" s="14"/>
      <c r="CP1773" s="14"/>
      <c r="CQ1773" s="14"/>
      <c r="CR1773" s="14"/>
      <c r="CS1773" s="14"/>
      <c r="CT1773" s="14"/>
      <c r="CU1773" s="16"/>
      <c r="CV1773" s="14"/>
      <c r="CW1773" s="50"/>
      <c r="CX1773" s="17"/>
    </row>
    <row r="1774" spans="4:102" x14ac:dyDescent="0.25">
      <c r="D1774" s="11"/>
      <c r="E1774" s="11"/>
      <c r="F1774" s="11"/>
      <c r="G1774" s="11"/>
      <c r="H1774" s="11"/>
      <c r="I1774" s="11"/>
      <c r="J1774" s="11"/>
      <c r="K1774" s="11"/>
      <c r="L1774" s="11"/>
      <c r="M1774" s="11"/>
      <c r="N1774" s="11"/>
      <c r="O1774" s="11"/>
      <c r="P1774" s="43"/>
      <c r="Q1774" s="11"/>
      <c r="R1774" s="11"/>
      <c r="S1774" s="11"/>
      <c r="T1774" s="11"/>
      <c r="U1774" s="11"/>
      <c r="V1774" s="11"/>
      <c r="W1774" s="11"/>
      <c r="X1774" s="12"/>
      <c r="Y1774" s="12"/>
      <c r="Z1774" s="12"/>
      <c r="AA1774" s="44"/>
      <c r="AB1774" s="45"/>
      <c r="AC1774" s="12"/>
      <c r="AD1774" s="12"/>
      <c r="AE1774" s="12"/>
      <c r="AF1774" s="12"/>
      <c r="AG1774" s="44"/>
      <c r="AH1774" s="45"/>
      <c r="AI1774" s="12"/>
      <c r="AJ1774" s="12"/>
      <c r="AK1774" s="12"/>
      <c r="AL1774" s="12"/>
      <c r="AM1774" s="44"/>
      <c r="AN1774" s="45"/>
      <c r="AO1774" s="12"/>
      <c r="AP1774" s="12"/>
      <c r="AQ1774" s="12"/>
      <c r="AR1774" s="12"/>
      <c r="AS1774" s="44"/>
      <c r="AT1774" s="45"/>
      <c r="AU1774" s="12"/>
      <c r="AV1774" s="12"/>
      <c r="AW1774" s="12"/>
      <c r="AX1774" s="12"/>
      <c r="AY1774" s="44"/>
      <c r="AZ1774" s="45"/>
      <c r="BA1774" s="12"/>
      <c r="BB1774" s="12"/>
      <c r="BC1774" s="12"/>
      <c r="BD1774" s="12"/>
      <c r="BE1774" s="44"/>
      <c r="BF1774" s="45"/>
      <c r="BG1774" s="12"/>
      <c r="BH1774" s="12"/>
      <c r="BI1774" s="12"/>
      <c r="BJ1774" s="12"/>
      <c r="BK1774" s="44"/>
      <c r="BL1774" s="45"/>
      <c r="BM1774" s="12"/>
      <c r="BN1774" s="12"/>
      <c r="BO1774" s="12"/>
      <c r="BP1774" s="12"/>
      <c r="BQ1774" s="48"/>
      <c r="BR1774" s="49"/>
      <c r="BS1774" s="13"/>
      <c r="BT1774" s="12"/>
      <c r="BV1774" s="14"/>
      <c r="BW1774" s="50"/>
      <c r="BX1774" s="54"/>
      <c r="BY1774" s="14"/>
      <c r="BZ1774" s="14"/>
      <c r="CA1774" s="14"/>
      <c r="CB1774" s="14"/>
      <c r="CC1774" s="14"/>
      <c r="CD1774" s="14"/>
      <c r="CE1774" s="14"/>
      <c r="CF1774" s="15"/>
      <c r="CG1774" s="14"/>
      <c r="CH1774" s="14"/>
      <c r="CI1774" s="50"/>
      <c r="CJ1774" s="54"/>
      <c r="CK1774" s="14"/>
      <c r="CL1774" s="14"/>
      <c r="CM1774" s="14"/>
      <c r="CN1774" s="14"/>
      <c r="CO1774" s="14"/>
      <c r="CP1774" s="14"/>
      <c r="CQ1774" s="14"/>
      <c r="CR1774" s="14"/>
      <c r="CS1774" s="14"/>
      <c r="CT1774" s="14"/>
      <c r="CU1774" s="16"/>
      <c r="CV1774" s="14"/>
      <c r="CW1774" s="50"/>
      <c r="CX1774" s="17"/>
    </row>
    <row r="1775" spans="4:102" x14ac:dyDescent="0.25">
      <c r="D1775" s="11"/>
      <c r="E1775" s="11"/>
      <c r="F1775" s="11"/>
      <c r="G1775" s="11"/>
      <c r="H1775" s="11"/>
      <c r="I1775" s="11"/>
      <c r="J1775" s="11"/>
      <c r="K1775" s="11"/>
      <c r="L1775" s="11"/>
      <c r="M1775" s="11"/>
      <c r="N1775" s="11"/>
      <c r="O1775" s="11"/>
      <c r="P1775" s="43"/>
      <c r="Q1775" s="11"/>
      <c r="R1775" s="11"/>
      <c r="S1775" s="11"/>
      <c r="T1775" s="11"/>
      <c r="U1775" s="11"/>
      <c r="V1775" s="11"/>
      <c r="W1775" s="11"/>
      <c r="X1775" s="12"/>
      <c r="Y1775" s="12"/>
      <c r="Z1775" s="12"/>
      <c r="AA1775" s="44"/>
      <c r="AB1775" s="45"/>
      <c r="AC1775" s="12"/>
      <c r="AD1775" s="12"/>
      <c r="AE1775" s="12"/>
      <c r="AF1775" s="12"/>
      <c r="AG1775" s="44"/>
      <c r="AH1775" s="45"/>
      <c r="AI1775" s="12"/>
      <c r="AJ1775" s="12"/>
      <c r="AK1775" s="12"/>
      <c r="AL1775" s="12"/>
      <c r="AM1775" s="44"/>
      <c r="AN1775" s="45"/>
      <c r="AO1775" s="12"/>
      <c r="AP1775" s="12"/>
      <c r="AQ1775" s="12"/>
      <c r="AR1775" s="12"/>
      <c r="AS1775" s="44"/>
      <c r="AT1775" s="45"/>
      <c r="AU1775" s="12"/>
      <c r="AV1775" s="12"/>
      <c r="AW1775" s="12"/>
      <c r="AX1775" s="12"/>
      <c r="AY1775" s="44"/>
      <c r="AZ1775" s="45"/>
      <c r="BA1775" s="12"/>
      <c r="BB1775" s="12"/>
      <c r="BC1775" s="12"/>
      <c r="BD1775" s="12"/>
      <c r="BE1775" s="44"/>
      <c r="BF1775" s="45"/>
      <c r="BG1775" s="12"/>
      <c r="BH1775" s="12"/>
      <c r="BI1775" s="12"/>
      <c r="BJ1775" s="12"/>
      <c r="BK1775" s="44"/>
      <c r="BL1775" s="45"/>
      <c r="BM1775" s="12"/>
      <c r="BN1775" s="12"/>
      <c r="BO1775" s="12"/>
      <c r="BP1775" s="12"/>
      <c r="BQ1775" s="48"/>
      <c r="BR1775" s="49"/>
      <c r="BS1775" s="13"/>
      <c r="BT1775" s="12"/>
      <c r="BV1775" s="14"/>
      <c r="BW1775" s="50"/>
      <c r="BX1775" s="54"/>
      <c r="BY1775" s="14"/>
      <c r="BZ1775" s="14"/>
      <c r="CA1775" s="14"/>
      <c r="CB1775" s="14"/>
      <c r="CC1775" s="14"/>
      <c r="CD1775" s="14"/>
      <c r="CE1775" s="14"/>
      <c r="CF1775" s="15"/>
      <c r="CG1775" s="14"/>
      <c r="CH1775" s="14"/>
      <c r="CI1775" s="50"/>
      <c r="CJ1775" s="54"/>
      <c r="CK1775" s="14"/>
      <c r="CL1775" s="14"/>
      <c r="CM1775" s="14"/>
      <c r="CN1775" s="14"/>
      <c r="CO1775" s="14"/>
      <c r="CP1775" s="14"/>
      <c r="CQ1775" s="14"/>
      <c r="CR1775" s="14"/>
      <c r="CS1775" s="14"/>
      <c r="CT1775" s="14"/>
      <c r="CU1775" s="16"/>
      <c r="CV1775" s="14"/>
      <c r="CW1775" s="50"/>
      <c r="CX1775" s="17"/>
    </row>
    <row r="1776" spans="4:102" x14ac:dyDescent="0.25">
      <c r="D1776" s="11"/>
      <c r="E1776" s="11"/>
      <c r="F1776" s="11"/>
      <c r="G1776" s="11"/>
      <c r="H1776" s="11"/>
      <c r="I1776" s="11"/>
      <c r="J1776" s="11"/>
      <c r="K1776" s="11"/>
      <c r="L1776" s="11"/>
      <c r="M1776" s="11"/>
      <c r="N1776" s="11"/>
      <c r="O1776" s="11"/>
      <c r="P1776" s="43"/>
      <c r="Q1776" s="11"/>
      <c r="R1776" s="11"/>
      <c r="S1776" s="11"/>
      <c r="T1776" s="11"/>
      <c r="U1776" s="11"/>
      <c r="V1776" s="11"/>
      <c r="W1776" s="11"/>
      <c r="X1776" s="12"/>
      <c r="Y1776" s="12"/>
      <c r="Z1776" s="12"/>
      <c r="AA1776" s="44"/>
      <c r="AB1776" s="45"/>
      <c r="AC1776" s="12"/>
      <c r="AD1776" s="12"/>
      <c r="AE1776" s="12"/>
      <c r="AF1776" s="12"/>
      <c r="AG1776" s="44"/>
      <c r="AH1776" s="45"/>
      <c r="AI1776" s="12"/>
      <c r="AJ1776" s="12"/>
      <c r="AK1776" s="12"/>
      <c r="AL1776" s="12"/>
      <c r="AM1776" s="44"/>
      <c r="AN1776" s="45"/>
      <c r="AO1776" s="12"/>
      <c r="AP1776" s="12"/>
      <c r="AQ1776" s="12"/>
      <c r="AR1776" s="12"/>
      <c r="AS1776" s="44"/>
      <c r="AT1776" s="45"/>
      <c r="AU1776" s="12"/>
      <c r="AV1776" s="12"/>
      <c r="AW1776" s="12"/>
      <c r="AX1776" s="12"/>
      <c r="AY1776" s="44"/>
      <c r="AZ1776" s="45"/>
      <c r="BA1776" s="12"/>
      <c r="BB1776" s="12"/>
      <c r="BC1776" s="12"/>
      <c r="BD1776" s="12"/>
      <c r="BE1776" s="44"/>
      <c r="BF1776" s="45"/>
      <c r="BG1776" s="12"/>
      <c r="BH1776" s="12"/>
      <c r="BI1776" s="12"/>
      <c r="BJ1776" s="12"/>
      <c r="BK1776" s="44"/>
      <c r="BL1776" s="45"/>
      <c r="BM1776" s="12"/>
      <c r="BN1776" s="12"/>
      <c r="BO1776" s="12"/>
      <c r="BP1776" s="12"/>
      <c r="BQ1776" s="48"/>
      <c r="BR1776" s="49"/>
      <c r="BS1776" s="13"/>
      <c r="BT1776" s="12"/>
      <c r="BV1776" s="14"/>
      <c r="BW1776" s="50"/>
      <c r="BX1776" s="54"/>
      <c r="BY1776" s="14"/>
      <c r="BZ1776" s="14"/>
      <c r="CA1776" s="14"/>
      <c r="CB1776" s="14"/>
      <c r="CC1776" s="14"/>
      <c r="CD1776" s="14"/>
      <c r="CE1776" s="14"/>
      <c r="CF1776" s="15"/>
      <c r="CG1776" s="14"/>
      <c r="CH1776" s="14"/>
      <c r="CI1776" s="50"/>
      <c r="CJ1776" s="54"/>
      <c r="CK1776" s="14"/>
      <c r="CL1776" s="14"/>
      <c r="CM1776" s="14"/>
      <c r="CN1776" s="14"/>
      <c r="CO1776" s="14"/>
      <c r="CP1776" s="14"/>
      <c r="CQ1776" s="14"/>
      <c r="CR1776" s="14"/>
      <c r="CS1776" s="14"/>
      <c r="CT1776" s="14"/>
      <c r="CU1776" s="16"/>
      <c r="CV1776" s="14"/>
      <c r="CW1776" s="50"/>
      <c r="CX1776" s="17"/>
    </row>
    <row r="1777" spans="4:102" x14ac:dyDescent="0.25">
      <c r="D1777" s="11"/>
      <c r="E1777" s="11"/>
      <c r="F1777" s="11"/>
      <c r="G1777" s="11"/>
      <c r="H1777" s="11"/>
      <c r="I1777" s="11"/>
      <c r="J1777" s="11"/>
      <c r="K1777" s="11"/>
      <c r="L1777" s="11"/>
      <c r="M1777" s="11"/>
      <c r="N1777" s="11"/>
      <c r="O1777" s="11"/>
      <c r="P1777" s="43"/>
      <c r="Q1777" s="11"/>
      <c r="R1777" s="11"/>
      <c r="S1777" s="11"/>
      <c r="T1777" s="11"/>
      <c r="U1777" s="11"/>
      <c r="V1777" s="11"/>
      <c r="W1777" s="11"/>
      <c r="X1777" s="12"/>
      <c r="Y1777" s="12"/>
      <c r="Z1777" s="12"/>
      <c r="AA1777" s="44"/>
      <c r="AB1777" s="45"/>
      <c r="AC1777" s="12"/>
      <c r="AD1777" s="12"/>
      <c r="AE1777" s="12"/>
      <c r="AF1777" s="12"/>
      <c r="AG1777" s="44"/>
      <c r="AH1777" s="45"/>
      <c r="AI1777" s="12"/>
      <c r="AJ1777" s="12"/>
      <c r="AK1777" s="12"/>
      <c r="AL1777" s="12"/>
      <c r="AM1777" s="44"/>
      <c r="AN1777" s="45"/>
      <c r="AO1777" s="12"/>
      <c r="AP1777" s="12"/>
      <c r="AQ1777" s="12"/>
      <c r="AR1777" s="12"/>
      <c r="AS1777" s="44"/>
      <c r="AT1777" s="45"/>
      <c r="AU1777" s="12"/>
      <c r="AV1777" s="12"/>
      <c r="AW1777" s="12"/>
      <c r="AX1777" s="12"/>
      <c r="AY1777" s="44"/>
      <c r="AZ1777" s="45"/>
      <c r="BA1777" s="12"/>
      <c r="BB1777" s="12"/>
      <c r="BC1777" s="12"/>
      <c r="BD1777" s="12"/>
      <c r="BE1777" s="44"/>
      <c r="BF1777" s="45"/>
      <c r="BG1777" s="12"/>
      <c r="BH1777" s="12"/>
      <c r="BI1777" s="12"/>
      <c r="BJ1777" s="12"/>
      <c r="BK1777" s="44"/>
      <c r="BL1777" s="45"/>
      <c r="BM1777" s="12"/>
      <c r="BN1777" s="12"/>
      <c r="BO1777" s="12"/>
      <c r="BP1777" s="12"/>
      <c r="BQ1777" s="48"/>
      <c r="BR1777" s="49"/>
      <c r="BS1777" s="13"/>
      <c r="BT1777" s="12"/>
      <c r="BV1777" s="14"/>
      <c r="BW1777" s="50"/>
      <c r="BX1777" s="54"/>
      <c r="BY1777" s="14"/>
      <c r="BZ1777" s="14"/>
      <c r="CA1777" s="14"/>
      <c r="CB1777" s="14"/>
      <c r="CC1777" s="14"/>
      <c r="CD1777" s="14"/>
      <c r="CE1777" s="14"/>
      <c r="CF1777" s="15"/>
      <c r="CG1777" s="14"/>
      <c r="CH1777" s="14"/>
      <c r="CI1777" s="50"/>
      <c r="CJ1777" s="54"/>
      <c r="CK1777" s="14"/>
      <c r="CL1777" s="14"/>
      <c r="CM1777" s="14"/>
      <c r="CN1777" s="14"/>
      <c r="CO1777" s="14"/>
      <c r="CP1777" s="14"/>
      <c r="CQ1777" s="14"/>
      <c r="CR1777" s="14"/>
      <c r="CS1777" s="14"/>
      <c r="CT1777" s="14"/>
      <c r="CU1777" s="16"/>
      <c r="CV1777" s="14"/>
      <c r="CW1777" s="50"/>
      <c r="CX1777" s="17"/>
    </row>
    <row r="1778" spans="4:102" x14ac:dyDescent="0.25">
      <c r="D1778" s="11"/>
      <c r="E1778" s="11"/>
      <c r="F1778" s="11"/>
      <c r="G1778" s="11"/>
      <c r="H1778" s="11"/>
      <c r="I1778" s="11"/>
      <c r="J1778" s="11"/>
      <c r="K1778" s="11"/>
      <c r="L1778" s="11"/>
      <c r="M1778" s="11"/>
      <c r="N1778" s="11"/>
      <c r="O1778" s="11"/>
      <c r="P1778" s="43"/>
      <c r="Q1778" s="11"/>
      <c r="R1778" s="11"/>
      <c r="S1778" s="11"/>
      <c r="T1778" s="11"/>
      <c r="U1778" s="11"/>
      <c r="V1778" s="11"/>
      <c r="W1778" s="11"/>
      <c r="X1778" s="12"/>
      <c r="Y1778" s="12"/>
      <c r="Z1778" s="12"/>
      <c r="AA1778" s="44"/>
      <c r="AB1778" s="45"/>
      <c r="AC1778" s="12"/>
      <c r="AD1778" s="12"/>
      <c r="AE1778" s="12"/>
      <c r="AF1778" s="12"/>
      <c r="AG1778" s="44"/>
      <c r="AH1778" s="45"/>
      <c r="AI1778" s="12"/>
      <c r="AJ1778" s="12"/>
      <c r="AK1778" s="12"/>
      <c r="AL1778" s="12"/>
      <c r="AM1778" s="44"/>
      <c r="AN1778" s="45"/>
      <c r="AO1778" s="12"/>
      <c r="AP1778" s="12"/>
      <c r="AQ1778" s="12"/>
      <c r="AR1778" s="12"/>
      <c r="AS1778" s="44"/>
      <c r="AT1778" s="45"/>
      <c r="AU1778" s="12"/>
      <c r="AV1778" s="12"/>
      <c r="AW1778" s="12"/>
      <c r="AX1778" s="12"/>
      <c r="AY1778" s="44"/>
      <c r="AZ1778" s="45"/>
      <c r="BA1778" s="12"/>
      <c r="BB1778" s="12"/>
      <c r="BC1778" s="12"/>
      <c r="BD1778" s="12"/>
      <c r="BE1778" s="44"/>
      <c r="BF1778" s="45"/>
      <c r="BG1778" s="12"/>
      <c r="BH1778" s="12"/>
      <c r="BI1778" s="12"/>
      <c r="BJ1778" s="12"/>
      <c r="BK1778" s="44"/>
      <c r="BL1778" s="45"/>
      <c r="BM1778" s="12"/>
      <c r="BN1778" s="12"/>
      <c r="BO1778" s="12"/>
      <c r="BP1778" s="12"/>
      <c r="BQ1778" s="48"/>
      <c r="BR1778" s="49"/>
      <c r="BS1778" s="13"/>
      <c r="BT1778" s="12"/>
      <c r="BV1778" s="14"/>
      <c r="BW1778" s="50"/>
      <c r="BX1778" s="54"/>
      <c r="BY1778" s="14"/>
      <c r="BZ1778" s="14"/>
      <c r="CA1778" s="14"/>
      <c r="CB1778" s="14"/>
      <c r="CC1778" s="14"/>
      <c r="CD1778" s="14"/>
      <c r="CE1778" s="14"/>
      <c r="CF1778" s="15"/>
      <c r="CG1778" s="14"/>
      <c r="CH1778" s="14"/>
      <c r="CI1778" s="50"/>
      <c r="CJ1778" s="54"/>
      <c r="CK1778" s="14"/>
      <c r="CL1778" s="14"/>
      <c r="CM1778" s="14"/>
      <c r="CN1778" s="14"/>
      <c r="CO1778" s="14"/>
      <c r="CP1778" s="14"/>
      <c r="CQ1778" s="14"/>
      <c r="CR1778" s="14"/>
      <c r="CS1778" s="14"/>
      <c r="CT1778" s="14"/>
      <c r="CU1778" s="16"/>
      <c r="CV1778" s="14"/>
      <c r="CW1778" s="50"/>
      <c r="CX1778" s="17"/>
    </row>
    <row r="1779" spans="4:102" x14ac:dyDescent="0.25">
      <c r="D1779" s="11"/>
      <c r="E1779" s="11"/>
      <c r="F1779" s="11"/>
      <c r="G1779" s="11"/>
      <c r="H1779" s="11"/>
      <c r="I1779" s="11"/>
      <c r="J1779" s="11"/>
      <c r="K1779" s="11"/>
      <c r="L1779" s="11"/>
      <c r="M1779" s="11"/>
      <c r="N1779" s="11"/>
      <c r="O1779" s="11"/>
      <c r="P1779" s="43"/>
      <c r="Q1779" s="11"/>
      <c r="R1779" s="11"/>
      <c r="S1779" s="11"/>
      <c r="T1779" s="11"/>
      <c r="U1779" s="11"/>
      <c r="V1779" s="11"/>
      <c r="W1779" s="11"/>
      <c r="X1779" s="12"/>
      <c r="Y1779" s="12"/>
      <c r="Z1779" s="12"/>
      <c r="AA1779" s="44"/>
      <c r="AB1779" s="45"/>
      <c r="AC1779" s="12"/>
      <c r="AD1779" s="12"/>
      <c r="AE1779" s="12"/>
      <c r="AF1779" s="12"/>
      <c r="AG1779" s="44"/>
      <c r="AH1779" s="45"/>
      <c r="AI1779" s="12"/>
      <c r="AJ1779" s="12"/>
      <c r="AK1779" s="12"/>
      <c r="AL1779" s="12"/>
      <c r="AM1779" s="44"/>
      <c r="AN1779" s="45"/>
      <c r="AO1779" s="12"/>
      <c r="AP1779" s="12"/>
      <c r="AQ1779" s="12"/>
      <c r="AR1779" s="12"/>
      <c r="AS1779" s="44"/>
      <c r="AT1779" s="45"/>
      <c r="AU1779" s="12"/>
      <c r="AV1779" s="12"/>
      <c r="AW1779" s="12"/>
      <c r="AX1779" s="12"/>
      <c r="AY1779" s="44"/>
      <c r="AZ1779" s="45"/>
      <c r="BA1779" s="12"/>
      <c r="BB1779" s="12"/>
      <c r="BC1779" s="12"/>
      <c r="BD1779" s="12"/>
      <c r="BE1779" s="44"/>
      <c r="BF1779" s="45"/>
      <c r="BG1779" s="12"/>
      <c r="BH1779" s="12"/>
      <c r="BI1779" s="12"/>
      <c r="BJ1779" s="12"/>
      <c r="BK1779" s="44"/>
      <c r="BL1779" s="45"/>
      <c r="BM1779" s="12"/>
      <c r="BN1779" s="12"/>
      <c r="BO1779" s="12"/>
      <c r="BP1779" s="12"/>
      <c r="BQ1779" s="48"/>
      <c r="BR1779" s="49"/>
      <c r="BS1779" s="13"/>
      <c r="BT1779" s="12"/>
      <c r="BV1779" s="14"/>
      <c r="BW1779" s="50"/>
      <c r="BX1779" s="54"/>
      <c r="BY1779" s="14"/>
      <c r="BZ1779" s="14"/>
      <c r="CA1779" s="14"/>
      <c r="CB1779" s="14"/>
      <c r="CC1779" s="14"/>
      <c r="CD1779" s="14"/>
      <c r="CE1779" s="14"/>
      <c r="CF1779" s="15"/>
      <c r="CG1779" s="14"/>
      <c r="CH1779" s="14"/>
      <c r="CI1779" s="50"/>
      <c r="CJ1779" s="54"/>
      <c r="CK1779" s="14"/>
      <c r="CL1779" s="14"/>
      <c r="CM1779" s="14"/>
      <c r="CN1779" s="14"/>
      <c r="CO1779" s="14"/>
      <c r="CP1779" s="14"/>
      <c r="CQ1779" s="14"/>
      <c r="CR1779" s="14"/>
      <c r="CS1779" s="14"/>
      <c r="CT1779" s="14"/>
      <c r="CU1779" s="16"/>
      <c r="CV1779" s="14"/>
      <c r="CW1779" s="50"/>
      <c r="CX1779" s="17"/>
    </row>
    <row r="1780" spans="4:102" x14ac:dyDescent="0.25">
      <c r="D1780" s="11"/>
      <c r="E1780" s="11"/>
      <c r="F1780" s="11"/>
      <c r="G1780" s="11"/>
      <c r="H1780" s="11"/>
      <c r="I1780" s="11"/>
      <c r="J1780" s="11"/>
      <c r="K1780" s="11"/>
      <c r="L1780" s="11"/>
      <c r="M1780" s="11"/>
      <c r="N1780" s="11"/>
      <c r="O1780" s="11"/>
      <c r="P1780" s="43"/>
      <c r="Q1780" s="11"/>
      <c r="R1780" s="11"/>
      <c r="S1780" s="11"/>
      <c r="T1780" s="11"/>
      <c r="U1780" s="11"/>
      <c r="V1780" s="11"/>
      <c r="W1780" s="11"/>
      <c r="X1780" s="12"/>
      <c r="Y1780" s="12"/>
      <c r="Z1780" s="12"/>
      <c r="AA1780" s="44"/>
      <c r="AB1780" s="45"/>
      <c r="AC1780" s="12"/>
      <c r="AD1780" s="12"/>
      <c r="AE1780" s="12"/>
      <c r="AF1780" s="12"/>
      <c r="AG1780" s="44"/>
      <c r="AH1780" s="45"/>
      <c r="AI1780" s="12"/>
      <c r="AJ1780" s="12"/>
      <c r="AK1780" s="12"/>
      <c r="AL1780" s="12"/>
      <c r="AM1780" s="44"/>
      <c r="AN1780" s="45"/>
      <c r="AO1780" s="12"/>
      <c r="AP1780" s="12"/>
      <c r="AQ1780" s="12"/>
      <c r="AR1780" s="12"/>
      <c r="AS1780" s="44"/>
      <c r="AT1780" s="45"/>
      <c r="AU1780" s="12"/>
      <c r="AV1780" s="12"/>
      <c r="AW1780" s="12"/>
      <c r="AX1780" s="12"/>
      <c r="AY1780" s="44"/>
      <c r="AZ1780" s="45"/>
      <c r="BA1780" s="12"/>
      <c r="BB1780" s="12"/>
      <c r="BC1780" s="12"/>
      <c r="BD1780" s="12"/>
      <c r="BE1780" s="44"/>
      <c r="BF1780" s="45"/>
      <c r="BG1780" s="12"/>
      <c r="BH1780" s="12"/>
      <c r="BI1780" s="12"/>
      <c r="BJ1780" s="12"/>
      <c r="BK1780" s="44"/>
      <c r="BL1780" s="45"/>
      <c r="BM1780" s="12"/>
      <c r="BN1780" s="12"/>
      <c r="BO1780" s="12"/>
      <c r="BP1780" s="12"/>
      <c r="BQ1780" s="48"/>
      <c r="BR1780" s="49"/>
      <c r="BS1780" s="13"/>
      <c r="BT1780" s="12"/>
      <c r="BV1780" s="14"/>
      <c r="BW1780" s="50"/>
      <c r="BX1780" s="54"/>
      <c r="BY1780" s="14"/>
      <c r="BZ1780" s="14"/>
      <c r="CA1780" s="14"/>
      <c r="CB1780" s="14"/>
      <c r="CC1780" s="14"/>
      <c r="CD1780" s="14"/>
      <c r="CE1780" s="14"/>
      <c r="CF1780" s="15"/>
      <c r="CG1780" s="14"/>
      <c r="CH1780" s="14"/>
      <c r="CI1780" s="50"/>
      <c r="CJ1780" s="54"/>
      <c r="CK1780" s="14"/>
      <c r="CL1780" s="14"/>
      <c r="CM1780" s="14"/>
      <c r="CN1780" s="14"/>
      <c r="CO1780" s="14"/>
      <c r="CP1780" s="14"/>
      <c r="CQ1780" s="14"/>
      <c r="CR1780" s="14"/>
      <c r="CS1780" s="14"/>
      <c r="CT1780" s="14"/>
      <c r="CU1780" s="16"/>
      <c r="CV1780" s="14"/>
      <c r="CW1780" s="50"/>
      <c r="CX1780" s="17"/>
    </row>
    <row r="1781" spans="4:102" x14ac:dyDescent="0.25">
      <c r="D1781" s="11"/>
      <c r="E1781" s="11"/>
      <c r="F1781" s="11"/>
      <c r="G1781" s="11"/>
      <c r="H1781" s="11"/>
      <c r="I1781" s="11"/>
      <c r="J1781" s="11"/>
      <c r="K1781" s="11"/>
      <c r="L1781" s="11"/>
      <c r="M1781" s="11"/>
      <c r="N1781" s="11"/>
      <c r="O1781" s="11"/>
      <c r="P1781" s="43"/>
      <c r="Q1781" s="11"/>
      <c r="R1781" s="11"/>
      <c r="S1781" s="11"/>
      <c r="T1781" s="11"/>
      <c r="U1781" s="11"/>
      <c r="V1781" s="11"/>
      <c r="W1781" s="11"/>
      <c r="X1781" s="12"/>
      <c r="Y1781" s="12"/>
      <c r="Z1781" s="12"/>
      <c r="AA1781" s="44"/>
      <c r="AB1781" s="45"/>
      <c r="AC1781" s="12"/>
      <c r="AD1781" s="12"/>
      <c r="AE1781" s="12"/>
      <c r="AF1781" s="12"/>
      <c r="AG1781" s="44"/>
      <c r="AH1781" s="45"/>
      <c r="AI1781" s="12"/>
      <c r="AJ1781" s="12"/>
      <c r="AK1781" s="12"/>
      <c r="AL1781" s="12"/>
      <c r="AM1781" s="44"/>
      <c r="AN1781" s="45"/>
      <c r="AO1781" s="12"/>
      <c r="AP1781" s="12"/>
      <c r="AQ1781" s="12"/>
      <c r="AR1781" s="12"/>
      <c r="AS1781" s="44"/>
      <c r="AT1781" s="45"/>
      <c r="AU1781" s="12"/>
      <c r="AV1781" s="12"/>
      <c r="AW1781" s="12"/>
      <c r="AX1781" s="12"/>
      <c r="AY1781" s="44"/>
      <c r="AZ1781" s="45"/>
      <c r="BA1781" s="12"/>
      <c r="BB1781" s="12"/>
      <c r="BC1781" s="12"/>
      <c r="BD1781" s="12"/>
      <c r="BE1781" s="44"/>
      <c r="BF1781" s="45"/>
      <c r="BG1781" s="12"/>
      <c r="BH1781" s="12"/>
      <c r="BI1781" s="12"/>
      <c r="BJ1781" s="12"/>
      <c r="BK1781" s="44"/>
      <c r="BL1781" s="45"/>
      <c r="BM1781" s="12"/>
      <c r="BN1781" s="12"/>
      <c r="BO1781" s="12"/>
      <c r="BP1781" s="12"/>
      <c r="BQ1781" s="48"/>
      <c r="BR1781" s="49"/>
      <c r="BS1781" s="13"/>
      <c r="BT1781" s="12"/>
      <c r="BV1781" s="14"/>
      <c r="BW1781" s="50"/>
      <c r="BX1781" s="54"/>
      <c r="BY1781" s="14"/>
      <c r="BZ1781" s="14"/>
      <c r="CA1781" s="14"/>
      <c r="CB1781" s="14"/>
      <c r="CC1781" s="14"/>
      <c r="CD1781" s="14"/>
      <c r="CE1781" s="14"/>
      <c r="CF1781" s="15"/>
      <c r="CG1781" s="14"/>
      <c r="CH1781" s="14"/>
      <c r="CI1781" s="50"/>
      <c r="CJ1781" s="54"/>
      <c r="CK1781" s="14"/>
      <c r="CL1781" s="14"/>
      <c r="CM1781" s="14"/>
      <c r="CN1781" s="14"/>
      <c r="CO1781" s="14"/>
      <c r="CP1781" s="14"/>
      <c r="CQ1781" s="14"/>
      <c r="CR1781" s="14"/>
      <c r="CS1781" s="14"/>
      <c r="CT1781" s="14"/>
      <c r="CU1781" s="16"/>
      <c r="CV1781" s="14"/>
      <c r="CW1781" s="50"/>
      <c r="CX1781" s="17"/>
    </row>
    <row r="1782" spans="4:102" x14ac:dyDescent="0.25">
      <c r="D1782" s="11"/>
      <c r="E1782" s="11"/>
      <c r="F1782" s="11"/>
      <c r="G1782" s="11"/>
      <c r="H1782" s="11"/>
      <c r="I1782" s="11"/>
      <c r="J1782" s="11"/>
      <c r="K1782" s="11"/>
      <c r="L1782" s="11"/>
      <c r="M1782" s="11"/>
      <c r="N1782" s="11"/>
      <c r="O1782" s="11"/>
      <c r="P1782" s="43"/>
      <c r="Q1782" s="11"/>
      <c r="R1782" s="11"/>
      <c r="S1782" s="11"/>
      <c r="T1782" s="11"/>
      <c r="U1782" s="11"/>
      <c r="V1782" s="11"/>
      <c r="W1782" s="11"/>
      <c r="X1782" s="12"/>
      <c r="Y1782" s="12"/>
      <c r="Z1782" s="12"/>
      <c r="AA1782" s="44"/>
      <c r="AB1782" s="45"/>
      <c r="AC1782" s="12"/>
      <c r="AD1782" s="12"/>
      <c r="AE1782" s="12"/>
      <c r="AF1782" s="12"/>
      <c r="AG1782" s="44"/>
      <c r="AH1782" s="45"/>
      <c r="AI1782" s="12"/>
      <c r="AJ1782" s="12"/>
      <c r="AK1782" s="12"/>
      <c r="AL1782" s="12"/>
      <c r="AM1782" s="44"/>
      <c r="AN1782" s="45"/>
      <c r="AO1782" s="12"/>
      <c r="AP1782" s="12"/>
      <c r="AQ1782" s="12"/>
      <c r="AR1782" s="12"/>
      <c r="AS1782" s="44"/>
      <c r="AT1782" s="45"/>
      <c r="AU1782" s="12"/>
      <c r="AV1782" s="12"/>
      <c r="AW1782" s="12"/>
      <c r="AX1782" s="12"/>
      <c r="AY1782" s="44"/>
      <c r="AZ1782" s="45"/>
      <c r="BA1782" s="12"/>
      <c r="BB1782" s="12"/>
      <c r="BC1782" s="12"/>
      <c r="BD1782" s="12"/>
      <c r="BE1782" s="44"/>
      <c r="BF1782" s="45"/>
      <c r="BG1782" s="12"/>
      <c r="BH1782" s="12"/>
      <c r="BI1782" s="12"/>
      <c r="BJ1782" s="12"/>
      <c r="BK1782" s="44"/>
      <c r="BL1782" s="45"/>
      <c r="BM1782" s="12"/>
      <c r="BN1782" s="12"/>
      <c r="BO1782" s="12"/>
      <c r="BP1782" s="12"/>
      <c r="BQ1782" s="48"/>
      <c r="BR1782" s="49"/>
      <c r="BS1782" s="13"/>
      <c r="BT1782" s="12"/>
      <c r="BV1782" s="14"/>
      <c r="BW1782" s="50"/>
      <c r="BX1782" s="54"/>
      <c r="BY1782" s="14"/>
      <c r="BZ1782" s="14"/>
      <c r="CA1782" s="14"/>
      <c r="CB1782" s="14"/>
      <c r="CC1782" s="14"/>
      <c r="CD1782" s="14"/>
      <c r="CE1782" s="14"/>
      <c r="CF1782" s="15"/>
      <c r="CG1782" s="14"/>
      <c r="CH1782" s="14"/>
      <c r="CI1782" s="50"/>
      <c r="CJ1782" s="54"/>
      <c r="CK1782" s="14"/>
      <c r="CL1782" s="14"/>
      <c r="CM1782" s="14"/>
      <c r="CN1782" s="14"/>
      <c r="CO1782" s="14"/>
      <c r="CP1782" s="14"/>
      <c r="CQ1782" s="14"/>
      <c r="CR1782" s="14"/>
      <c r="CS1782" s="14"/>
      <c r="CT1782" s="14"/>
      <c r="CU1782" s="16"/>
      <c r="CV1782" s="14"/>
      <c r="CW1782" s="50"/>
      <c r="CX1782" s="17"/>
    </row>
    <row r="1783" spans="4:102" x14ac:dyDescent="0.25">
      <c r="D1783" s="11"/>
      <c r="E1783" s="11"/>
      <c r="F1783" s="11"/>
      <c r="G1783" s="11"/>
      <c r="H1783" s="11"/>
      <c r="I1783" s="11"/>
      <c r="J1783" s="11"/>
      <c r="K1783" s="11"/>
      <c r="L1783" s="11"/>
      <c r="M1783" s="11"/>
      <c r="N1783" s="11"/>
      <c r="O1783" s="11"/>
      <c r="P1783" s="43"/>
      <c r="Q1783" s="11"/>
      <c r="R1783" s="11"/>
      <c r="S1783" s="11"/>
      <c r="T1783" s="11"/>
      <c r="U1783" s="11"/>
      <c r="V1783" s="11"/>
      <c r="W1783" s="11"/>
      <c r="X1783" s="12"/>
      <c r="Y1783" s="12"/>
      <c r="Z1783" s="12"/>
      <c r="AA1783" s="44"/>
      <c r="AB1783" s="45"/>
      <c r="AC1783" s="12"/>
      <c r="AD1783" s="12"/>
      <c r="AE1783" s="12"/>
      <c r="AF1783" s="12"/>
      <c r="AG1783" s="44"/>
      <c r="AH1783" s="45"/>
      <c r="AI1783" s="12"/>
      <c r="AJ1783" s="12"/>
      <c r="AK1783" s="12"/>
      <c r="AL1783" s="12"/>
      <c r="AM1783" s="44"/>
      <c r="AN1783" s="45"/>
      <c r="AO1783" s="12"/>
      <c r="AP1783" s="12"/>
      <c r="AQ1783" s="12"/>
      <c r="AR1783" s="12"/>
      <c r="AS1783" s="44"/>
      <c r="AT1783" s="45"/>
      <c r="AU1783" s="12"/>
      <c r="AV1783" s="12"/>
      <c r="AW1783" s="12"/>
      <c r="AX1783" s="12"/>
      <c r="AY1783" s="44"/>
      <c r="AZ1783" s="45"/>
      <c r="BA1783" s="12"/>
      <c r="BB1783" s="12"/>
      <c r="BC1783" s="12"/>
      <c r="BD1783" s="12"/>
      <c r="BE1783" s="44"/>
      <c r="BF1783" s="45"/>
      <c r="BG1783" s="12"/>
      <c r="BH1783" s="12"/>
      <c r="BI1783" s="12"/>
      <c r="BJ1783" s="12"/>
      <c r="BK1783" s="44"/>
      <c r="BL1783" s="45"/>
      <c r="BM1783" s="12"/>
      <c r="BN1783" s="12"/>
      <c r="BO1783" s="12"/>
      <c r="BP1783" s="12"/>
      <c r="BQ1783" s="48"/>
      <c r="BR1783" s="49"/>
      <c r="BS1783" s="13"/>
      <c r="BT1783" s="12"/>
      <c r="BV1783" s="14"/>
      <c r="BW1783" s="50"/>
      <c r="BX1783" s="54"/>
      <c r="BY1783" s="14"/>
      <c r="BZ1783" s="14"/>
      <c r="CA1783" s="14"/>
      <c r="CB1783" s="14"/>
      <c r="CC1783" s="14"/>
      <c r="CD1783" s="14"/>
      <c r="CE1783" s="14"/>
      <c r="CF1783" s="15"/>
      <c r="CG1783" s="14"/>
      <c r="CH1783" s="14"/>
      <c r="CI1783" s="50"/>
      <c r="CJ1783" s="54"/>
      <c r="CK1783" s="14"/>
      <c r="CL1783" s="14"/>
      <c r="CM1783" s="14"/>
      <c r="CN1783" s="14"/>
      <c r="CO1783" s="14"/>
      <c r="CP1783" s="14"/>
      <c r="CQ1783" s="14"/>
      <c r="CR1783" s="14"/>
      <c r="CS1783" s="14"/>
      <c r="CT1783" s="14"/>
      <c r="CU1783" s="16"/>
      <c r="CV1783" s="14"/>
      <c r="CW1783" s="50"/>
      <c r="CX1783" s="17"/>
    </row>
    <row r="1784" spans="4:102" x14ac:dyDescent="0.25">
      <c r="D1784" s="11"/>
      <c r="E1784" s="11"/>
      <c r="F1784" s="11"/>
      <c r="G1784" s="11"/>
      <c r="H1784" s="11"/>
      <c r="I1784" s="11"/>
      <c r="J1784" s="11"/>
      <c r="K1784" s="11"/>
      <c r="L1784" s="11"/>
      <c r="M1784" s="11"/>
      <c r="N1784" s="11"/>
      <c r="O1784" s="11"/>
      <c r="P1784" s="43"/>
      <c r="Q1784" s="11"/>
      <c r="R1784" s="11"/>
      <c r="S1784" s="11"/>
      <c r="T1784" s="11"/>
      <c r="U1784" s="11"/>
      <c r="V1784" s="11"/>
      <c r="W1784" s="11"/>
      <c r="X1784" s="12"/>
      <c r="Y1784" s="12"/>
      <c r="Z1784" s="12"/>
      <c r="AA1784" s="44"/>
      <c r="AB1784" s="45"/>
      <c r="AC1784" s="12"/>
      <c r="AD1784" s="12"/>
      <c r="AE1784" s="12"/>
      <c r="AF1784" s="12"/>
      <c r="AG1784" s="44"/>
      <c r="AH1784" s="45"/>
      <c r="AI1784" s="12"/>
      <c r="AJ1784" s="12"/>
      <c r="AK1784" s="12"/>
      <c r="AL1784" s="12"/>
      <c r="AM1784" s="44"/>
      <c r="AN1784" s="45"/>
      <c r="AO1784" s="12"/>
      <c r="AP1784" s="12"/>
      <c r="AQ1784" s="12"/>
      <c r="AR1784" s="12"/>
      <c r="AS1784" s="44"/>
      <c r="AT1784" s="45"/>
      <c r="AU1784" s="12"/>
      <c r="AV1784" s="12"/>
      <c r="AW1784" s="12"/>
      <c r="AX1784" s="12"/>
      <c r="AY1784" s="44"/>
      <c r="AZ1784" s="45"/>
      <c r="BA1784" s="12"/>
      <c r="BB1784" s="12"/>
      <c r="BC1784" s="12"/>
      <c r="BD1784" s="12"/>
      <c r="BE1784" s="44"/>
      <c r="BF1784" s="45"/>
      <c r="BG1784" s="12"/>
      <c r="BH1784" s="12"/>
      <c r="BI1784" s="12"/>
      <c r="BJ1784" s="12"/>
      <c r="BK1784" s="44"/>
      <c r="BL1784" s="45"/>
      <c r="BM1784" s="12"/>
      <c r="BN1784" s="12"/>
      <c r="BO1784" s="12"/>
      <c r="BP1784" s="12"/>
      <c r="BQ1784" s="48"/>
      <c r="BR1784" s="49"/>
      <c r="BS1784" s="13"/>
      <c r="BT1784" s="12"/>
      <c r="BV1784" s="14"/>
      <c r="BW1784" s="50"/>
      <c r="BX1784" s="54"/>
      <c r="BY1784" s="14"/>
      <c r="BZ1784" s="14"/>
      <c r="CA1784" s="14"/>
      <c r="CB1784" s="14"/>
      <c r="CC1784" s="14"/>
      <c r="CD1784" s="14"/>
      <c r="CE1784" s="14"/>
      <c r="CF1784" s="15"/>
      <c r="CG1784" s="14"/>
      <c r="CH1784" s="14"/>
      <c r="CI1784" s="50"/>
      <c r="CJ1784" s="54"/>
      <c r="CK1784" s="14"/>
      <c r="CL1784" s="14"/>
      <c r="CM1784" s="14"/>
      <c r="CN1784" s="14"/>
      <c r="CO1784" s="14"/>
      <c r="CP1784" s="14"/>
      <c r="CQ1784" s="14"/>
      <c r="CR1784" s="14"/>
      <c r="CS1784" s="14"/>
      <c r="CT1784" s="14"/>
      <c r="CU1784" s="16"/>
      <c r="CV1784" s="14"/>
      <c r="CW1784" s="50"/>
      <c r="CX1784" s="17"/>
    </row>
    <row r="1785" spans="4:102" x14ac:dyDescent="0.25">
      <c r="D1785" s="11"/>
      <c r="E1785" s="11"/>
      <c r="F1785" s="11"/>
      <c r="G1785" s="11"/>
      <c r="H1785" s="11"/>
      <c r="I1785" s="11"/>
      <c r="J1785" s="11"/>
      <c r="K1785" s="11"/>
      <c r="L1785" s="11"/>
      <c r="M1785" s="11"/>
      <c r="N1785" s="11"/>
      <c r="O1785" s="11"/>
      <c r="P1785" s="43"/>
      <c r="Q1785" s="11"/>
      <c r="R1785" s="11"/>
      <c r="S1785" s="11"/>
      <c r="T1785" s="11"/>
      <c r="U1785" s="11"/>
      <c r="V1785" s="11"/>
      <c r="W1785" s="11"/>
      <c r="X1785" s="12"/>
      <c r="Y1785" s="12"/>
      <c r="Z1785" s="12"/>
      <c r="AA1785" s="44"/>
      <c r="AB1785" s="45"/>
      <c r="AC1785" s="12"/>
      <c r="AD1785" s="12"/>
      <c r="AE1785" s="12"/>
      <c r="AF1785" s="12"/>
      <c r="AG1785" s="44"/>
      <c r="AH1785" s="45"/>
      <c r="AI1785" s="12"/>
      <c r="AJ1785" s="12"/>
      <c r="AK1785" s="12"/>
      <c r="AL1785" s="12"/>
      <c r="AM1785" s="44"/>
      <c r="AN1785" s="45"/>
      <c r="AO1785" s="12"/>
      <c r="AP1785" s="12"/>
      <c r="AQ1785" s="12"/>
      <c r="AR1785" s="12"/>
      <c r="AS1785" s="44"/>
      <c r="AT1785" s="45"/>
      <c r="AU1785" s="12"/>
      <c r="AV1785" s="12"/>
      <c r="AW1785" s="12"/>
      <c r="AX1785" s="12"/>
      <c r="AY1785" s="44"/>
      <c r="AZ1785" s="45"/>
      <c r="BA1785" s="12"/>
      <c r="BB1785" s="12"/>
      <c r="BC1785" s="12"/>
      <c r="BD1785" s="12"/>
      <c r="BE1785" s="44"/>
      <c r="BF1785" s="45"/>
      <c r="BG1785" s="12"/>
      <c r="BH1785" s="12"/>
      <c r="BI1785" s="12"/>
      <c r="BJ1785" s="12"/>
      <c r="BK1785" s="44"/>
      <c r="BL1785" s="45"/>
      <c r="BM1785" s="12"/>
      <c r="BN1785" s="12"/>
      <c r="BO1785" s="12"/>
      <c r="BP1785" s="12"/>
      <c r="BQ1785" s="48"/>
      <c r="BR1785" s="49"/>
      <c r="BS1785" s="13"/>
      <c r="BT1785" s="12"/>
      <c r="BV1785" s="14"/>
      <c r="BW1785" s="50"/>
      <c r="BX1785" s="54"/>
      <c r="BY1785" s="14"/>
      <c r="BZ1785" s="14"/>
      <c r="CA1785" s="14"/>
      <c r="CB1785" s="14"/>
      <c r="CC1785" s="14"/>
      <c r="CD1785" s="14"/>
      <c r="CE1785" s="14"/>
      <c r="CF1785" s="15"/>
      <c r="CG1785" s="14"/>
      <c r="CH1785" s="14"/>
      <c r="CI1785" s="50"/>
      <c r="CJ1785" s="54"/>
      <c r="CK1785" s="14"/>
      <c r="CL1785" s="14"/>
      <c r="CM1785" s="14"/>
      <c r="CN1785" s="14"/>
      <c r="CO1785" s="14"/>
      <c r="CP1785" s="14"/>
      <c r="CQ1785" s="14"/>
      <c r="CR1785" s="14"/>
      <c r="CS1785" s="14"/>
      <c r="CT1785" s="14"/>
      <c r="CU1785" s="16"/>
      <c r="CV1785" s="14"/>
      <c r="CW1785" s="50"/>
      <c r="CX1785" s="17"/>
    </row>
    <row r="1786" spans="4:102" x14ac:dyDescent="0.25">
      <c r="D1786" s="11"/>
      <c r="E1786" s="11"/>
      <c r="F1786" s="11"/>
      <c r="G1786" s="11"/>
      <c r="H1786" s="11"/>
      <c r="I1786" s="11"/>
      <c r="J1786" s="11"/>
      <c r="K1786" s="11"/>
      <c r="L1786" s="11"/>
      <c r="M1786" s="11"/>
      <c r="N1786" s="11"/>
      <c r="O1786" s="11"/>
      <c r="P1786" s="43"/>
      <c r="Q1786" s="11"/>
      <c r="R1786" s="11"/>
      <c r="S1786" s="11"/>
      <c r="T1786" s="11"/>
      <c r="U1786" s="11"/>
      <c r="V1786" s="11"/>
      <c r="W1786" s="11"/>
      <c r="X1786" s="12"/>
      <c r="Y1786" s="12"/>
      <c r="Z1786" s="12"/>
      <c r="AA1786" s="44"/>
      <c r="AB1786" s="45"/>
      <c r="AC1786" s="12"/>
      <c r="AD1786" s="12"/>
      <c r="AE1786" s="12"/>
      <c r="AF1786" s="12"/>
      <c r="AG1786" s="44"/>
      <c r="AH1786" s="45"/>
      <c r="AI1786" s="12"/>
      <c r="AJ1786" s="12"/>
      <c r="AK1786" s="12"/>
      <c r="AL1786" s="12"/>
      <c r="AM1786" s="44"/>
      <c r="AN1786" s="45"/>
      <c r="AO1786" s="12"/>
      <c r="AP1786" s="12"/>
      <c r="AQ1786" s="12"/>
      <c r="AR1786" s="12"/>
      <c r="AS1786" s="44"/>
      <c r="AT1786" s="45"/>
      <c r="AU1786" s="12"/>
      <c r="AV1786" s="12"/>
      <c r="AW1786" s="12"/>
      <c r="AX1786" s="12"/>
      <c r="AY1786" s="44"/>
      <c r="AZ1786" s="45"/>
      <c r="BA1786" s="12"/>
      <c r="BB1786" s="12"/>
      <c r="BC1786" s="12"/>
      <c r="BD1786" s="12"/>
      <c r="BE1786" s="44"/>
      <c r="BF1786" s="45"/>
      <c r="BG1786" s="12"/>
      <c r="BH1786" s="12"/>
      <c r="BI1786" s="12"/>
      <c r="BJ1786" s="12"/>
      <c r="BK1786" s="44"/>
      <c r="BL1786" s="45"/>
      <c r="BM1786" s="12"/>
      <c r="BN1786" s="12"/>
      <c r="BO1786" s="12"/>
      <c r="BP1786" s="12"/>
      <c r="BQ1786" s="48"/>
      <c r="BR1786" s="49"/>
      <c r="BS1786" s="13"/>
      <c r="BT1786" s="12"/>
      <c r="BV1786" s="14"/>
      <c r="BW1786" s="50"/>
      <c r="BX1786" s="54"/>
      <c r="BY1786" s="14"/>
      <c r="BZ1786" s="14"/>
      <c r="CA1786" s="14"/>
      <c r="CB1786" s="14"/>
      <c r="CC1786" s="14"/>
      <c r="CD1786" s="14"/>
      <c r="CE1786" s="14"/>
      <c r="CF1786" s="15"/>
      <c r="CG1786" s="14"/>
      <c r="CH1786" s="14"/>
      <c r="CI1786" s="50"/>
      <c r="CJ1786" s="54"/>
      <c r="CK1786" s="14"/>
      <c r="CL1786" s="14"/>
      <c r="CM1786" s="14"/>
      <c r="CN1786" s="14"/>
      <c r="CO1786" s="14"/>
      <c r="CP1786" s="14"/>
      <c r="CQ1786" s="14"/>
      <c r="CR1786" s="14"/>
      <c r="CS1786" s="14"/>
      <c r="CT1786" s="14"/>
      <c r="CU1786" s="16"/>
      <c r="CV1786" s="14"/>
      <c r="CW1786" s="50"/>
      <c r="CX1786" s="17"/>
    </row>
    <row r="1787" spans="4:102" x14ac:dyDescent="0.25">
      <c r="D1787" s="11"/>
      <c r="E1787" s="11"/>
      <c r="F1787" s="11"/>
      <c r="G1787" s="11"/>
      <c r="H1787" s="11"/>
      <c r="I1787" s="11"/>
      <c r="J1787" s="11"/>
      <c r="K1787" s="11"/>
      <c r="L1787" s="11"/>
      <c r="M1787" s="11"/>
      <c r="N1787" s="11"/>
      <c r="O1787" s="11"/>
      <c r="P1787" s="43"/>
      <c r="Q1787" s="11"/>
      <c r="R1787" s="11"/>
      <c r="S1787" s="11"/>
      <c r="T1787" s="11"/>
      <c r="U1787" s="11"/>
      <c r="V1787" s="11"/>
      <c r="W1787" s="11"/>
      <c r="X1787" s="12"/>
      <c r="Y1787" s="12"/>
      <c r="Z1787" s="12"/>
      <c r="AA1787" s="44"/>
      <c r="AB1787" s="45"/>
      <c r="AC1787" s="12"/>
      <c r="AD1787" s="12"/>
      <c r="AE1787" s="12"/>
      <c r="AF1787" s="12"/>
      <c r="AG1787" s="44"/>
      <c r="AH1787" s="45"/>
      <c r="AI1787" s="12"/>
      <c r="AJ1787" s="12"/>
      <c r="AK1787" s="12"/>
      <c r="AL1787" s="12"/>
      <c r="AM1787" s="44"/>
      <c r="AN1787" s="45"/>
      <c r="AO1787" s="12"/>
      <c r="AP1787" s="12"/>
      <c r="AQ1787" s="12"/>
      <c r="AR1787" s="12"/>
      <c r="AS1787" s="44"/>
      <c r="AT1787" s="45"/>
      <c r="AU1787" s="12"/>
      <c r="AV1787" s="12"/>
      <c r="AW1787" s="12"/>
      <c r="AX1787" s="12"/>
      <c r="AY1787" s="44"/>
      <c r="AZ1787" s="45"/>
      <c r="BA1787" s="12"/>
      <c r="BB1787" s="12"/>
      <c r="BC1787" s="12"/>
      <c r="BD1787" s="12"/>
      <c r="BE1787" s="44"/>
      <c r="BF1787" s="45"/>
      <c r="BG1787" s="12"/>
      <c r="BH1787" s="12"/>
      <c r="BI1787" s="12"/>
      <c r="BJ1787" s="12"/>
      <c r="BK1787" s="44"/>
      <c r="BL1787" s="45"/>
      <c r="BM1787" s="12"/>
      <c r="BN1787" s="12"/>
      <c r="BO1787" s="12"/>
      <c r="BP1787" s="12"/>
      <c r="BQ1787" s="48"/>
      <c r="BR1787" s="49"/>
      <c r="BS1787" s="13"/>
      <c r="BT1787" s="12"/>
      <c r="BV1787" s="14"/>
      <c r="BW1787" s="50"/>
      <c r="BX1787" s="54"/>
      <c r="BY1787" s="14"/>
      <c r="BZ1787" s="14"/>
      <c r="CA1787" s="14"/>
      <c r="CB1787" s="14"/>
      <c r="CC1787" s="14"/>
      <c r="CD1787" s="14"/>
      <c r="CE1787" s="14"/>
      <c r="CF1787" s="15"/>
      <c r="CG1787" s="14"/>
      <c r="CH1787" s="14"/>
      <c r="CI1787" s="50"/>
      <c r="CJ1787" s="54"/>
      <c r="CK1787" s="14"/>
      <c r="CL1787" s="14"/>
      <c r="CM1787" s="14"/>
      <c r="CN1787" s="14"/>
      <c r="CO1787" s="14"/>
      <c r="CP1787" s="14"/>
      <c r="CQ1787" s="14"/>
      <c r="CR1787" s="14"/>
      <c r="CS1787" s="14"/>
      <c r="CT1787" s="14"/>
      <c r="CU1787" s="16"/>
      <c r="CV1787" s="14"/>
      <c r="CW1787" s="50"/>
      <c r="CX1787" s="17"/>
    </row>
    <row r="1788" spans="4:102" x14ac:dyDescent="0.25">
      <c r="D1788" s="11"/>
      <c r="E1788" s="11"/>
      <c r="F1788" s="11"/>
      <c r="G1788" s="11"/>
      <c r="H1788" s="11"/>
      <c r="I1788" s="11"/>
      <c r="J1788" s="11"/>
      <c r="K1788" s="11"/>
      <c r="L1788" s="11"/>
      <c r="M1788" s="11"/>
      <c r="N1788" s="11"/>
      <c r="O1788" s="11"/>
      <c r="P1788" s="43"/>
      <c r="Q1788" s="11"/>
      <c r="R1788" s="11"/>
      <c r="S1788" s="11"/>
      <c r="T1788" s="11"/>
      <c r="U1788" s="11"/>
      <c r="V1788" s="11"/>
      <c r="W1788" s="11"/>
      <c r="X1788" s="12"/>
      <c r="Y1788" s="12"/>
      <c r="Z1788" s="12"/>
      <c r="AA1788" s="44"/>
      <c r="AB1788" s="45"/>
      <c r="AC1788" s="12"/>
      <c r="AD1788" s="12"/>
      <c r="AE1788" s="12"/>
      <c r="AF1788" s="12"/>
      <c r="AG1788" s="44"/>
      <c r="AH1788" s="45"/>
      <c r="AI1788" s="12"/>
      <c r="AJ1788" s="12"/>
      <c r="AK1788" s="12"/>
      <c r="AL1788" s="12"/>
      <c r="AM1788" s="44"/>
      <c r="AN1788" s="45"/>
      <c r="AO1788" s="12"/>
      <c r="AP1788" s="12"/>
      <c r="AQ1788" s="12"/>
      <c r="AR1788" s="12"/>
      <c r="AS1788" s="44"/>
      <c r="AT1788" s="45"/>
      <c r="AU1788" s="12"/>
      <c r="AV1788" s="12"/>
      <c r="AW1788" s="12"/>
      <c r="AX1788" s="12"/>
      <c r="AY1788" s="44"/>
      <c r="AZ1788" s="45"/>
      <c r="BA1788" s="12"/>
      <c r="BB1788" s="12"/>
      <c r="BC1788" s="12"/>
      <c r="BD1788" s="12"/>
      <c r="BE1788" s="44"/>
      <c r="BF1788" s="45"/>
      <c r="BG1788" s="12"/>
      <c r="BH1788" s="12"/>
      <c r="BI1788" s="12"/>
      <c r="BJ1788" s="12"/>
      <c r="BK1788" s="44"/>
      <c r="BL1788" s="45"/>
      <c r="BM1788" s="12"/>
      <c r="BN1788" s="12"/>
      <c r="BO1788" s="12"/>
      <c r="BP1788" s="12"/>
      <c r="BQ1788" s="48"/>
      <c r="BR1788" s="49"/>
      <c r="BS1788" s="13"/>
      <c r="BT1788" s="12"/>
      <c r="BV1788" s="14"/>
      <c r="BW1788" s="50"/>
      <c r="BX1788" s="54"/>
      <c r="BY1788" s="14"/>
      <c r="BZ1788" s="14"/>
      <c r="CA1788" s="14"/>
      <c r="CB1788" s="14"/>
      <c r="CC1788" s="14"/>
      <c r="CD1788" s="14"/>
      <c r="CE1788" s="14"/>
      <c r="CF1788" s="15"/>
      <c r="CG1788" s="14"/>
      <c r="CH1788" s="14"/>
      <c r="CI1788" s="50"/>
      <c r="CJ1788" s="54"/>
      <c r="CK1788" s="14"/>
      <c r="CL1788" s="14"/>
      <c r="CM1788" s="14"/>
      <c r="CN1788" s="14"/>
      <c r="CO1788" s="14"/>
      <c r="CP1788" s="14"/>
      <c r="CQ1788" s="14"/>
      <c r="CR1788" s="14"/>
      <c r="CS1788" s="14"/>
      <c r="CT1788" s="14"/>
      <c r="CU1788" s="16"/>
      <c r="CV1788" s="14"/>
      <c r="CW1788" s="50"/>
      <c r="CX1788" s="17"/>
    </row>
    <row r="1789" spans="4:102" x14ac:dyDescent="0.25">
      <c r="D1789" s="11"/>
      <c r="E1789" s="11"/>
      <c r="F1789" s="11"/>
      <c r="G1789" s="11"/>
      <c r="H1789" s="11"/>
      <c r="I1789" s="11"/>
      <c r="J1789" s="11"/>
      <c r="K1789" s="11"/>
      <c r="L1789" s="11"/>
      <c r="M1789" s="11"/>
      <c r="N1789" s="11"/>
      <c r="O1789" s="11"/>
      <c r="P1789" s="43"/>
      <c r="Q1789" s="11"/>
      <c r="R1789" s="11"/>
      <c r="S1789" s="11"/>
      <c r="T1789" s="11"/>
      <c r="U1789" s="11"/>
      <c r="V1789" s="11"/>
      <c r="W1789" s="11"/>
      <c r="X1789" s="12"/>
      <c r="Y1789" s="12"/>
      <c r="Z1789" s="12"/>
      <c r="AA1789" s="44"/>
      <c r="AB1789" s="45"/>
      <c r="AC1789" s="12"/>
      <c r="AD1789" s="12"/>
      <c r="AE1789" s="12"/>
      <c r="AF1789" s="12"/>
      <c r="AG1789" s="44"/>
      <c r="AH1789" s="45"/>
      <c r="AI1789" s="12"/>
      <c r="AJ1789" s="12"/>
      <c r="AK1789" s="12"/>
      <c r="AL1789" s="12"/>
      <c r="AM1789" s="44"/>
      <c r="AN1789" s="45"/>
      <c r="AO1789" s="12"/>
      <c r="AP1789" s="12"/>
      <c r="AQ1789" s="12"/>
      <c r="AR1789" s="12"/>
      <c r="AS1789" s="44"/>
      <c r="AT1789" s="45"/>
      <c r="AU1789" s="12"/>
      <c r="AV1789" s="12"/>
      <c r="AW1789" s="12"/>
      <c r="AX1789" s="12"/>
      <c r="AY1789" s="44"/>
      <c r="AZ1789" s="45"/>
      <c r="BA1789" s="12"/>
      <c r="BB1789" s="12"/>
      <c r="BC1789" s="12"/>
      <c r="BD1789" s="12"/>
      <c r="BE1789" s="44"/>
      <c r="BF1789" s="45"/>
      <c r="BG1789" s="12"/>
      <c r="BH1789" s="12"/>
      <c r="BI1789" s="12"/>
      <c r="BJ1789" s="12"/>
      <c r="BK1789" s="44"/>
      <c r="BL1789" s="45"/>
      <c r="BM1789" s="12"/>
      <c r="BN1789" s="12"/>
      <c r="BO1789" s="12"/>
      <c r="BP1789" s="12"/>
      <c r="BQ1789" s="48"/>
      <c r="BR1789" s="49"/>
      <c r="BS1789" s="13"/>
      <c r="BT1789" s="12"/>
      <c r="BV1789" s="14"/>
      <c r="BW1789" s="50"/>
      <c r="BX1789" s="54"/>
      <c r="BY1789" s="14"/>
      <c r="BZ1789" s="14"/>
      <c r="CA1789" s="14"/>
      <c r="CB1789" s="14"/>
      <c r="CC1789" s="14"/>
      <c r="CD1789" s="14"/>
      <c r="CE1789" s="14"/>
      <c r="CF1789" s="15"/>
      <c r="CG1789" s="14"/>
      <c r="CH1789" s="14"/>
      <c r="CI1789" s="50"/>
      <c r="CJ1789" s="54"/>
      <c r="CK1789" s="14"/>
      <c r="CL1789" s="14"/>
      <c r="CM1789" s="14"/>
      <c r="CN1789" s="14"/>
      <c r="CO1789" s="14"/>
      <c r="CP1789" s="14"/>
      <c r="CQ1789" s="14"/>
      <c r="CR1789" s="14"/>
      <c r="CS1789" s="14"/>
      <c r="CT1789" s="14"/>
      <c r="CU1789" s="16"/>
      <c r="CV1789" s="14"/>
      <c r="CW1789" s="50"/>
      <c r="CX1789" s="17"/>
    </row>
    <row r="1790" spans="4:102" x14ac:dyDescent="0.25">
      <c r="D1790" s="11"/>
      <c r="E1790" s="11"/>
      <c r="F1790" s="11"/>
      <c r="G1790" s="11"/>
      <c r="H1790" s="11"/>
      <c r="I1790" s="11"/>
      <c r="J1790" s="11"/>
      <c r="K1790" s="11"/>
      <c r="L1790" s="11"/>
      <c r="M1790" s="11"/>
      <c r="N1790" s="11"/>
      <c r="O1790" s="11"/>
      <c r="P1790" s="43"/>
      <c r="Q1790" s="11"/>
      <c r="R1790" s="11"/>
      <c r="S1790" s="11"/>
      <c r="T1790" s="11"/>
      <c r="U1790" s="11"/>
      <c r="V1790" s="11"/>
      <c r="W1790" s="11"/>
      <c r="X1790" s="12"/>
      <c r="Y1790" s="12"/>
      <c r="Z1790" s="12"/>
      <c r="AA1790" s="44"/>
      <c r="AB1790" s="45"/>
      <c r="AC1790" s="12"/>
      <c r="AD1790" s="12"/>
      <c r="AE1790" s="12"/>
      <c r="AF1790" s="12"/>
      <c r="AG1790" s="44"/>
      <c r="AH1790" s="45"/>
      <c r="AI1790" s="12"/>
      <c r="AJ1790" s="12"/>
      <c r="AK1790" s="12"/>
      <c r="AL1790" s="12"/>
      <c r="AM1790" s="44"/>
      <c r="AN1790" s="45"/>
      <c r="AO1790" s="12"/>
      <c r="AP1790" s="12"/>
      <c r="AQ1790" s="12"/>
      <c r="AR1790" s="12"/>
      <c r="AS1790" s="44"/>
      <c r="AT1790" s="45"/>
      <c r="AU1790" s="12"/>
      <c r="AV1790" s="12"/>
      <c r="AW1790" s="12"/>
      <c r="AX1790" s="12"/>
      <c r="AY1790" s="44"/>
      <c r="AZ1790" s="45"/>
      <c r="BA1790" s="12"/>
      <c r="BB1790" s="12"/>
      <c r="BC1790" s="12"/>
      <c r="BD1790" s="12"/>
      <c r="BE1790" s="44"/>
      <c r="BF1790" s="45"/>
      <c r="BG1790" s="12"/>
      <c r="BH1790" s="12"/>
      <c r="BI1790" s="12"/>
      <c r="BJ1790" s="12"/>
      <c r="BK1790" s="44"/>
      <c r="BL1790" s="45"/>
      <c r="BM1790" s="12"/>
      <c r="BN1790" s="12"/>
      <c r="BO1790" s="12"/>
      <c r="BP1790" s="12"/>
      <c r="BQ1790" s="48"/>
      <c r="BR1790" s="49"/>
      <c r="BS1790" s="13"/>
      <c r="BT1790" s="12"/>
      <c r="BV1790" s="14"/>
      <c r="BW1790" s="50"/>
      <c r="BX1790" s="54"/>
      <c r="BY1790" s="14"/>
      <c r="BZ1790" s="14"/>
      <c r="CA1790" s="14"/>
      <c r="CB1790" s="14"/>
      <c r="CC1790" s="14"/>
      <c r="CD1790" s="14"/>
      <c r="CE1790" s="14"/>
      <c r="CF1790" s="15"/>
      <c r="CG1790" s="14"/>
      <c r="CH1790" s="14"/>
      <c r="CI1790" s="50"/>
      <c r="CJ1790" s="54"/>
      <c r="CK1790" s="14"/>
      <c r="CL1790" s="14"/>
      <c r="CM1790" s="14"/>
      <c r="CN1790" s="14"/>
      <c r="CO1790" s="14"/>
      <c r="CP1790" s="14"/>
      <c r="CQ1790" s="14"/>
      <c r="CR1790" s="14"/>
      <c r="CS1790" s="14"/>
      <c r="CT1790" s="14"/>
      <c r="CU1790" s="16"/>
      <c r="CV1790" s="14"/>
      <c r="CW1790" s="50"/>
      <c r="CX1790" s="17"/>
    </row>
    <row r="1791" spans="4:102" x14ac:dyDescent="0.25">
      <c r="D1791" s="11"/>
      <c r="E1791" s="11"/>
      <c r="F1791" s="11"/>
      <c r="G1791" s="11"/>
      <c r="H1791" s="11"/>
      <c r="I1791" s="11"/>
      <c r="J1791" s="11"/>
      <c r="K1791" s="11"/>
      <c r="L1791" s="11"/>
      <c r="M1791" s="11"/>
      <c r="N1791" s="11"/>
      <c r="O1791" s="11"/>
      <c r="P1791" s="43"/>
      <c r="Q1791" s="11"/>
      <c r="R1791" s="11"/>
      <c r="S1791" s="11"/>
      <c r="T1791" s="11"/>
      <c r="U1791" s="11"/>
      <c r="V1791" s="11"/>
      <c r="W1791" s="11"/>
      <c r="X1791" s="12"/>
      <c r="Y1791" s="12"/>
      <c r="Z1791" s="12"/>
      <c r="AA1791" s="44"/>
      <c r="AB1791" s="45"/>
      <c r="AC1791" s="12"/>
      <c r="AD1791" s="12"/>
      <c r="AE1791" s="12"/>
      <c r="AF1791" s="12"/>
      <c r="AG1791" s="44"/>
      <c r="AH1791" s="45"/>
      <c r="AI1791" s="12"/>
      <c r="AJ1791" s="12"/>
      <c r="AK1791" s="12"/>
      <c r="AL1791" s="12"/>
      <c r="AM1791" s="44"/>
      <c r="AN1791" s="45"/>
      <c r="AO1791" s="12"/>
      <c r="AP1791" s="12"/>
      <c r="AQ1791" s="12"/>
      <c r="AR1791" s="12"/>
      <c r="AS1791" s="44"/>
      <c r="AT1791" s="45"/>
      <c r="AU1791" s="12"/>
      <c r="AV1791" s="12"/>
      <c r="AW1791" s="12"/>
      <c r="AX1791" s="12"/>
      <c r="AY1791" s="44"/>
      <c r="AZ1791" s="45"/>
      <c r="BA1791" s="12"/>
      <c r="BB1791" s="12"/>
      <c r="BC1791" s="12"/>
      <c r="BD1791" s="12"/>
      <c r="BE1791" s="44"/>
      <c r="BF1791" s="45"/>
      <c r="BG1791" s="12"/>
      <c r="BH1791" s="12"/>
      <c r="BI1791" s="12"/>
      <c r="BJ1791" s="12"/>
      <c r="BK1791" s="44"/>
      <c r="BL1791" s="45"/>
      <c r="BM1791" s="12"/>
      <c r="BN1791" s="12"/>
      <c r="BO1791" s="12"/>
      <c r="BP1791" s="12"/>
      <c r="BQ1791" s="48"/>
      <c r="BR1791" s="49"/>
      <c r="BS1791" s="13"/>
      <c r="BT1791" s="12"/>
      <c r="BV1791" s="14"/>
      <c r="BW1791" s="50"/>
      <c r="BX1791" s="54"/>
      <c r="BY1791" s="14"/>
      <c r="BZ1791" s="14"/>
      <c r="CA1791" s="14"/>
      <c r="CB1791" s="14"/>
      <c r="CC1791" s="14"/>
      <c r="CD1791" s="14"/>
      <c r="CE1791" s="14"/>
      <c r="CF1791" s="15"/>
      <c r="CG1791" s="14"/>
      <c r="CH1791" s="14"/>
      <c r="CI1791" s="50"/>
      <c r="CJ1791" s="54"/>
      <c r="CK1791" s="14"/>
      <c r="CL1791" s="14"/>
      <c r="CM1791" s="14"/>
      <c r="CN1791" s="14"/>
      <c r="CO1791" s="14"/>
      <c r="CP1791" s="14"/>
      <c r="CQ1791" s="14"/>
      <c r="CR1791" s="14"/>
      <c r="CS1791" s="14"/>
      <c r="CT1791" s="14"/>
      <c r="CU1791" s="16"/>
      <c r="CV1791" s="14"/>
      <c r="CW1791" s="50"/>
      <c r="CX1791" s="17"/>
    </row>
    <row r="1792" spans="4:102" x14ac:dyDescent="0.25">
      <c r="D1792" s="11"/>
      <c r="E1792" s="11"/>
      <c r="F1792" s="11"/>
      <c r="G1792" s="11"/>
      <c r="H1792" s="11"/>
      <c r="I1792" s="11"/>
      <c r="J1792" s="11"/>
      <c r="K1792" s="11"/>
      <c r="L1792" s="11"/>
      <c r="M1792" s="11"/>
      <c r="N1792" s="11"/>
      <c r="O1792" s="11"/>
      <c r="P1792" s="43"/>
      <c r="Q1792" s="11"/>
      <c r="R1792" s="11"/>
      <c r="S1792" s="11"/>
      <c r="T1792" s="11"/>
      <c r="U1792" s="11"/>
      <c r="V1792" s="11"/>
      <c r="W1792" s="11"/>
      <c r="X1792" s="12"/>
      <c r="Y1792" s="12"/>
      <c r="Z1792" s="12"/>
      <c r="AA1792" s="44"/>
      <c r="AB1792" s="45"/>
      <c r="AC1792" s="12"/>
      <c r="AD1792" s="12"/>
      <c r="AE1792" s="12"/>
      <c r="AF1792" s="12"/>
      <c r="AG1792" s="44"/>
      <c r="AH1792" s="45"/>
      <c r="AI1792" s="12"/>
      <c r="AJ1792" s="12"/>
      <c r="AK1792" s="12"/>
      <c r="AL1792" s="12"/>
      <c r="AM1792" s="44"/>
      <c r="AN1792" s="45"/>
      <c r="AO1792" s="12"/>
      <c r="AP1792" s="12"/>
      <c r="AQ1792" s="12"/>
      <c r="AR1792" s="12"/>
      <c r="AS1792" s="44"/>
      <c r="AT1792" s="45"/>
      <c r="AU1792" s="12"/>
      <c r="AV1792" s="12"/>
      <c r="AW1792" s="12"/>
      <c r="AX1792" s="12"/>
      <c r="AY1792" s="44"/>
      <c r="AZ1792" s="45"/>
      <c r="BA1792" s="12"/>
      <c r="BB1792" s="12"/>
      <c r="BC1792" s="12"/>
      <c r="BD1792" s="12"/>
      <c r="BE1792" s="44"/>
      <c r="BF1792" s="45"/>
      <c r="BG1792" s="12"/>
      <c r="BH1792" s="12"/>
      <c r="BI1792" s="12"/>
      <c r="BJ1792" s="12"/>
      <c r="BK1792" s="44"/>
      <c r="BL1792" s="45"/>
      <c r="BM1792" s="12"/>
      <c r="BN1792" s="12"/>
      <c r="BO1792" s="12"/>
      <c r="BP1792" s="12"/>
      <c r="BQ1792" s="48"/>
      <c r="BR1792" s="49"/>
      <c r="BS1792" s="13"/>
      <c r="BT1792" s="12"/>
      <c r="BV1792" s="14"/>
      <c r="BW1792" s="50"/>
      <c r="BX1792" s="54"/>
      <c r="BY1792" s="14"/>
      <c r="BZ1792" s="14"/>
      <c r="CA1792" s="14"/>
      <c r="CB1792" s="14"/>
      <c r="CC1792" s="14"/>
      <c r="CD1792" s="14"/>
      <c r="CE1792" s="14"/>
      <c r="CF1792" s="15"/>
      <c r="CG1792" s="14"/>
      <c r="CH1792" s="14"/>
      <c r="CI1792" s="50"/>
      <c r="CJ1792" s="54"/>
      <c r="CK1792" s="14"/>
      <c r="CL1792" s="14"/>
      <c r="CM1792" s="14"/>
      <c r="CN1792" s="14"/>
      <c r="CO1792" s="14"/>
      <c r="CP1792" s="14"/>
      <c r="CQ1792" s="14"/>
      <c r="CR1792" s="14"/>
      <c r="CS1792" s="14"/>
      <c r="CT1792" s="14"/>
      <c r="CU1792" s="16"/>
      <c r="CV1792" s="14"/>
      <c r="CW1792" s="50"/>
      <c r="CX1792" s="17"/>
    </row>
    <row r="1793" spans="4:102" x14ac:dyDescent="0.25">
      <c r="D1793" s="11"/>
      <c r="E1793" s="11"/>
      <c r="F1793" s="11"/>
      <c r="G1793" s="11"/>
      <c r="H1793" s="11"/>
      <c r="I1793" s="11"/>
      <c r="J1793" s="11"/>
      <c r="K1793" s="11"/>
      <c r="L1793" s="11"/>
      <c r="M1793" s="11"/>
      <c r="N1793" s="11"/>
      <c r="O1793" s="11"/>
      <c r="P1793" s="43"/>
      <c r="Q1793" s="11"/>
      <c r="R1793" s="11"/>
      <c r="S1793" s="11"/>
      <c r="T1793" s="11"/>
      <c r="U1793" s="11"/>
      <c r="V1793" s="11"/>
      <c r="W1793" s="11"/>
      <c r="X1793" s="12"/>
      <c r="Y1793" s="12"/>
      <c r="Z1793" s="12"/>
      <c r="AA1793" s="44"/>
      <c r="AB1793" s="45"/>
      <c r="AC1793" s="12"/>
      <c r="AD1793" s="12"/>
      <c r="AE1793" s="12"/>
      <c r="AF1793" s="12"/>
      <c r="AG1793" s="44"/>
      <c r="AH1793" s="45"/>
      <c r="AI1793" s="12"/>
      <c r="AJ1793" s="12"/>
      <c r="AK1793" s="12"/>
      <c r="AL1793" s="12"/>
      <c r="AM1793" s="44"/>
      <c r="AN1793" s="45"/>
      <c r="AO1793" s="12"/>
      <c r="AP1793" s="12"/>
      <c r="AQ1793" s="12"/>
      <c r="AR1793" s="12"/>
      <c r="AS1793" s="44"/>
      <c r="AT1793" s="45"/>
      <c r="AU1793" s="12"/>
      <c r="AV1793" s="12"/>
      <c r="AW1793" s="12"/>
      <c r="AX1793" s="12"/>
      <c r="AY1793" s="44"/>
      <c r="AZ1793" s="45"/>
      <c r="BA1793" s="12"/>
      <c r="BB1793" s="12"/>
      <c r="BC1793" s="12"/>
      <c r="BD1793" s="12"/>
      <c r="BE1793" s="44"/>
      <c r="BF1793" s="45"/>
      <c r="BG1793" s="12"/>
      <c r="BH1793" s="12"/>
      <c r="BI1793" s="12"/>
      <c r="BJ1793" s="12"/>
      <c r="BK1793" s="44"/>
      <c r="BL1793" s="45"/>
      <c r="BM1793" s="12"/>
      <c r="BN1793" s="12"/>
      <c r="BO1793" s="12"/>
      <c r="BP1793" s="12"/>
      <c r="BQ1793" s="48"/>
      <c r="BR1793" s="49"/>
      <c r="BS1793" s="13"/>
      <c r="BT1793" s="12"/>
      <c r="BV1793" s="14"/>
      <c r="BW1793" s="50"/>
      <c r="BX1793" s="54"/>
      <c r="BY1793" s="14"/>
      <c r="BZ1793" s="14"/>
      <c r="CA1793" s="14"/>
      <c r="CB1793" s="14"/>
      <c r="CC1793" s="14"/>
      <c r="CD1793" s="14"/>
      <c r="CE1793" s="14"/>
      <c r="CF1793" s="15"/>
      <c r="CG1793" s="14"/>
      <c r="CH1793" s="14"/>
      <c r="CI1793" s="50"/>
      <c r="CJ1793" s="54"/>
      <c r="CK1793" s="14"/>
      <c r="CL1793" s="14"/>
      <c r="CM1793" s="14"/>
      <c r="CN1793" s="14"/>
      <c r="CO1793" s="14"/>
      <c r="CP1793" s="14"/>
      <c r="CQ1793" s="14"/>
      <c r="CR1793" s="14"/>
      <c r="CS1793" s="14"/>
      <c r="CT1793" s="14"/>
      <c r="CU1793" s="16"/>
      <c r="CV1793" s="14"/>
      <c r="CW1793" s="50"/>
      <c r="CX1793" s="17"/>
    </row>
    <row r="1794" spans="4:102" x14ac:dyDescent="0.25">
      <c r="D1794" s="11"/>
      <c r="E1794" s="11"/>
      <c r="F1794" s="11"/>
      <c r="G1794" s="11"/>
      <c r="H1794" s="11"/>
      <c r="I1794" s="11"/>
      <c r="J1794" s="11"/>
      <c r="K1794" s="11"/>
      <c r="L1794" s="11"/>
      <c r="M1794" s="11"/>
      <c r="N1794" s="11"/>
      <c r="O1794" s="11"/>
      <c r="P1794" s="43"/>
      <c r="Q1794" s="11"/>
      <c r="R1794" s="11"/>
      <c r="S1794" s="11"/>
      <c r="T1794" s="11"/>
      <c r="U1794" s="11"/>
      <c r="V1794" s="11"/>
      <c r="W1794" s="11"/>
      <c r="X1794" s="12"/>
      <c r="Y1794" s="12"/>
      <c r="Z1794" s="12"/>
      <c r="AA1794" s="44"/>
      <c r="AB1794" s="45"/>
      <c r="AC1794" s="12"/>
      <c r="AD1794" s="12"/>
      <c r="AE1794" s="12"/>
      <c r="AF1794" s="12"/>
      <c r="AG1794" s="44"/>
      <c r="AH1794" s="45"/>
      <c r="AI1794" s="12"/>
      <c r="AJ1794" s="12"/>
      <c r="AK1794" s="12"/>
      <c r="AL1794" s="12"/>
      <c r="AM1794" s="44"/>
      <c r="AN1794" s="45"/>
      <c r="AO1794" s="12"/>
      <c r="AP1794" s="12"/>
      <c r="AQ1794" s="12"/>
      <c r="AR1794" s="12"/>
      <c r="AS1794" s="44"/>
      <c r="AT1794" s="45"/>
      <c r="AU1794" s="12"/>
      <c r="AV1794" s="12"/>
      <c r="AW1794" s="12"/>
      <c r="AX1794" s="12"/>
      <c r="AY1794" s="44"/>
      <c r="AZ1794" s="45"/>
      <c r="BA1794" s="12"/>
      <c r="BB1794" s="12"/>
      <c r="BC1794" s="12"/>
      <c r="BD1794" s="12"/>
      <c r="BE1794" s="44"/>
      <c r="BF1794" s="45"/>
      <c r="BG1794" s="12"/>
      <c r="BH1794" s="12"/>
      <c r="BI1794" s="12"/>
      <c r="BJ1794" s="12"/>
      <c r="BK1794" s="44"/>
      <c r="BL1794" s="45"/>
      <c r="BM1794" s="12"/>
      <c r="BN1794" s="12"/>
      <c r="BO1794" s="12"/>
      <c r="BP1794" s="12"/>
      <c r="BQ1794" s="48"/>
      <c r="BR1794" s="49"/>
      <c r="BS1794" s="13"/>
      <c r="BT1794" s="12"/>
      <c r="BV1794" s="14"/>
      <c r="BW1794" s="50"/>
      <c r="BX1794" s="54"/>
      <c r="BY1794" s="14"/>
      <c r="BZ1794" s="14"/>
      <c r="CA1794" s="14"/>
      <c r="CB1794" s="14"/>
      <c r="CC1794" s="14"/>
      <c r="CD1794" s="14"/>
      <c r="CE1794" s="14"/>
      <c r="CF1794" s="15"/>
      <c r="CG1794" s="14"/>
      <c r="CH1794" s="14"/>
      <c r="CI1794" s="50"/>
      <c r="CJ1794" s="54"/>
      <c r="CK1794" s="14"/>
      <c r="CL1794" s="14"/>
      <c r="CM1794" s="14"/>
      <c r="CN1794" s="14"/>
      <c r="CO1794" s="14"/>
      <c r="CP1794" s="14"/>
      <c r="CQ1794" s="14"/>
      <c r="CR1794" s="14"/>
      <c r="CS1794" s="14"/>
      <c r="CT1794" s="14"/>
      <c r="CU1794" s="16"/>
      <c r="CV1794" s="14"/>
      <c r="CW1794" s="50"/>
      <c r="CX1794" s="17"/>
    </row>
    <row r="1795" spans="4:102" x14ac:dyDescent="0.25">
      <c r="D1795" s="11"/>
      <c r="E1795" s="11"/>
      <c r="F1795" s="11"/>
      <c r="G1795" s="11"/>
      <c r="H1795" s="11"/>
      <c r="I1795" s="11"/>
      <c r="J1795" s="11"/>
      <c r="K1795" s="11"/>
      <c r="L1795" s="11"/>
      <c r="M1795" s="11"/>
      <c r="N1795" s="11"/>
      <c r="O1795" s="11"/>
      <c r="P1795" s="43"/>
      <c r="Q1795" s="11"/>
      <c r="R1795" s="11"/>
      <c r="S1795" s="11"/>
      <c r="T1795" s="11"/>
      <c r="U1795" s="11"/>
      <c r="V1795" s="11"/>
      <c r="W1795" s="11"/>
      <c r="X1795" s="12"/>
      <c r="Y1795" s="12"/>
      <c r="Z1795" s="12"/>
      <c r="AA1795" s="44"/>
      <c r="AB1795" s="45"/>
      <c r="AC1795" s="12"/>
      <c r="AD1795" s="12"/>
      <c r="AE1795" s="12"/>
      <c r="AF1795" s="12"/>
      <c r="AG1795" s="44"/>
      <c r="AH1795" s="45"/>
      <c r="AI1795" s="12"/>
      <c r="AJ1795" s="12"/>
      <c r="AK1795" s="12"/>
      <c r="AL1795" s="12"/>
      <c r="AM1795" s="44"/>
      <c r="AN1795" s="45"/>
      <c r="AO1795" s="12"/>
      <c r="AP1795" s="12"/>
      <c r="AQ1795" s="12"/>
      <c r="AR1795" s="12"/>
      <c r="AS1795" s="44"/>
      <c r="AT1795" s="45"/>
      <c r="AU1795" s="12"/>
      <c r="AV1795" s="12"/>
      <c r="AW1795" s="12"/>
      <c r="AX1795" s="12"/>
      <c r="AY1795" s="44"/>
      <c r="AZ1795" s="45"/>
      <c r="BA1795" s="12"/>
      <c r="BB1795" s="12"/>
      <c r="BC1795" s="12"/>
      <c r="BD1795" s="12"/>
      <c r="BE1795" s="44"/>
      <c r="BF1795" s="45"/>
      <c r="BG1795" s="12"/>
      <c r="BH1795" s="12"/>
      <c r="BI1795" s="12"/>
      <c r="BJ1795" s="12"/>
      <c r="BK1795" s="44"/>
      <c r="BL1795" s="45"/>
      <c r="BM1795" s="12"/>
      <c r="BN1795" s="12"/>
      <c r="BO1795" s="12"/>
      <c r="BP1795" s="12"/>
      <c r="BQ1795" s="48"/>
      <c r="BR1795" s="49"/>
      <c r="BS1795" s="13"/>
      <c r="BT1795" s="12"/>
      <c r="BV1795" s="14"/>
      <c r="BW1795" s="50"/>
      <c r="BX1795" s="54"/>
      <c r="BY1795" s="14"/>
      <c r="BZ1795" s="14"/>
      <c r="CA1795" s="14"/>
      <c r="CB1795" s="14"/>
      <c r="CC1795" s="14"/>
      <c r="CD1795" s="14"/>
      <c r="CE1795" s="14"/>
      <c r="CF1795" s="15"/>
      <c r="CG1795" s="14"/>
      <c r="CH1795" s="14"/>
      <c r="CI1795" s="50"/>
      <c r="CJ1795" s="54"/>
      <c r="CK1795" s="14"/>
      <c r="CL1795" s="14"/>
      <c r="CM1795" s="14"/>
      <c r="CN1795" s="14"/>
      <c r="CO1795" s="14"/>
      <c r="CP1795" s="14"/>
      <c r="CQ1795" s="14"/>
      <c r="CR1795" s="14"/>
      <c r="CS1795" s="14"/>
      <c r="CT1795" s="14"/>
      <c r="CU1795" s="16"/>
      <c r="CV1795" s="14"/>
      <c r="CW1795" s="50"/>
      <c r="CX1795" s="17"/>
    </row>
    <row r="1796" spans="4:102" x14ac:dyDescent="0.25">
      <c r="D1796" s="11"/>
      <c r="E1796" s="11"/>
      <c r="F1796" s="11"/>
      <c r="G1796" s="11"/>
      <c r="H1796" s="11"/>
      <c r="I1796" s="11"/>
      <c r="J1796" s="11"/>
      <c r="K1796" s="11"/>
      <c r="L1796" s="11"/>
      <c r="M1796" s="11"/>
      <c r="N1796" s="11"/>
      <c r="O1796" s="11"/>
      <c r="P1796" s="43"/>
      <c r="Q1796" s="11"/>
      <c r="R1796" s="11"/>
      <c r="S1796" s="11"/>
      <c r="T1796" s="11"/>
      <c r="U1796" s="11"/>
      <c r="V1796" s="11"/>
      <c r="W1796" s="11"/>
      <c r="X1796" s="12"/>
      <c r="Y1796" s="12"/>
      <c r="Z1796" s="12"/>
      <c r="AA1796" s="44"/>
      <c r="AB1796" s="45"/>
      <c r="AC1796" s="12"/>
      <c r="AD1796" s="12"/>
      <c r="AE1796" s="12"/>
      <c r="AF1796" s="12"/>
      <c r="AG1796" s="44"/>
      <c r="AH1796" s="45"/>
      <c r="AI1796" s="12"/>
      <c r="AJ1796" s="12"/>
      <c r="AK1796" s="12"/>
      <c r="AL1796" s="12"/>
      <c r="AM1796" s="44"/>
      <c r="AN1796" s="45"/>
      <c r="AO1796" s="12"/>
      <c r="AP1796" s="12"/>
      <c r="AQ1796" s="12"/>
      <c r="AR1796" s="12"/>
      <c r="AS1796" s="44"/>
      <c r="AT1796" s="45"/>
      <c r="AU1796" s="12"/>
      <c r="AV1796" s="12"/>
      <c r="AW1796" s="12"/>
      <c r="AX1796" s="12"/>
      <c r="AY1796" s="44"/>
      <c r="AZ1796" s="45"/>
      <c r="BA1796" s="12"/>
      <c r="BB1796" s="12"/>
      <c r="BC1796" s="12"/>
      <c r="BD1796" s="12"/>
      <c r="BE1796" s="44"/>
      <c r="BF1796" s="45"/>
      <c r="BG1796" s="12"/>
      <c r="BH1796" s="12"/>
      <c r="BI1796" s="12"/>
      <c r="BJ1796" s="12"/>
      <c r="BK1796" s="44"/>
      <c r="BL1796" s="45"/>
      <c r="BM1796" s="12"/>
      <c r="BN1796" s="12"/>
      <c r="BO1796" s="12"/>
      <c r="BP1796" s="12"/>
      <c r="BQ1796" s="48"/>
      <c r="BR1796" s="49"/>
      <c r="BS1796" s="13"/>
      <c r="BT1796" s="12"/>
      <c r="BV1796" s="14"/>
      <c r="BW1796" s="50"/>
      <c r="BX1796" s="54"/>
      <c r="BY1796" s="14"/>
      <c r="BZ1796" s="14"/>
      <c r="CA1796" s="14"/>
      <c r="CB1796" s="14"/>
      <c r="CC1796" s="14"/>
      <c r="CD1796" s="14"/>
      <c r="CE1796" s="14"/>
      <c r="CF1796" s="15"/>
      <c r="CG1796" s="14"/>
      <c r="CH1796" s="14"/>
      <c r="CI1796" s="50"/>
      <c r="CJ1796" s="54"/>
      <c r="CK1796" s="14"/>
      <c r="CL1796" s="14"/>
      <c r="CM1796" s="14"/>
      <c r="CN1796" s="14"/>
      <c r="CO1796" s="14"/>
      <c r="CP1796" s="14"/>
      <c r="CQ1796" s="14"/>
      <c r="CR1796" s="14"/>
      <c r="CS1796" s="14"/>
      <c r="CT1796" s="14"/>
      <c r="CU1796" s="16"/>
      <c r="CV1796" s="14"/>
      <c r="CW1796" s="50"/>
      <c r="CX1796" s="17"/>
    </row>
    <row r="1797" spans="4:102" x14ac:dyDescent="0.25">
      <c r="D1797" s="11"/>
      <c r="E1797" s="11"/>
      <c r="F1797" s="11"/>
      <c r="G1797" s="11"/>
      <c r="H1797" s="11"/>
      <c r="I1797" s="11"/>
      <c r="J1797" s="11"/>
      <c r="K1797" s="11"/>
      <c r="L1797" s="11"/>
      <c r="M1797" s="11"/>
      <c r="N1797" s="11"/>
      <c r="O1797" s="11"/>
      <c r="P1797" s="43"/>
      <c r="Q1797" s="11"/>
      <c r="R1797" s="11"/>
      <c r="S1797" s="11"/>
      <c r="T1797" s="11"/>
      <c r="U1797" s="11"/>
      <c r="V1797" s="11"/>
      <c r="W1797" s="11"/>
      <c r="X1797" s="12"/>
      <c r="Y1797" s="12"/>
      <c r="Z1797" s="12"/>
      <c r="AA1797" s="44"/>
      <c r="AB1797" s="45"/>
      <c r="AC1797" s="12"/>
      <c r="AD1797" s="12"/>
      <c r="AE1797" s="12"/>
      <c r="AF1797" s="12"/>
      <c r="AG1797" s="44"/>
      <c r="AH1797" s="45"/>
      <c r="AI1797" s="12"/>
      <c r="AJ1797" s="12"/>
      <c r="AK1797" s="12"/>
      <c r="AL1797" s="12"/>
      <c r="AM1797" s="44"/>
      <c r="AN1797" s="45"/>
      <c r="AO1797" s="12"/>
      <c r="AP1797" s="12"/>
      <c r="AQ1797" s="12"/>
      <c r="AR1797" s="12"/>
      <c r="AS1797" s="44"/>
      <c r="AT1797" s="45"/>
      <c r="AU1797" s="12"/>
      <c r="AV1797" s="12"/>
      <c r="AW1797" s="12"/>
      <c r="AX1797" s="12"/>
      <c r="AY1797" s="44"/>
      <c r="AZ1797" s="45"/>
      <c r="BA1797" s="12"/>
      <c r="BB1797" s="12"/>
      <c r="BC1797" s="12"/>
      <c r="BD1797" s="12"/>
      <c r="BE1797" s="44"/>
      <c r="BF1797" s="45"/>
      <c r="BG1797" s="12"/>
      <c r="BH1797" s="12"/>
      <c r="BI1797" s="12"/>
      <c r="BJ1797" s="12"/>
      <c r="BK1797" s="44"/>
      <c r="BL1797" s="45"/>
      <c r="BM1797" s="12"/>
      <c r="BN1797" s="12"/>
      <c r="BO1797" s="12"/>
      <c r="BP1797" s="12"/>
      <c r="BQ1797" s="48"/>
      <c r="BR1797" s="49"/>
      <c r="BS1797" s="13"/>
      <c r="BT1797" s="12"/>
      <c r="BV1797" s="14"/>
      <c r="BW1797" s="50"/>
      <c r="BX1797" s="54"/>
      <c r="BY1797" s="14"/>
      <c r="BZ1797" s="14"/>
      <c r="CA1797" s="14"/>
      <c r="CB1797" s="14"/>
      <c r="CC1797" s="14"/>
      <c r="CD1797" s="14"/>
      <c r="CE1797" s="14"/>
      <c r="CF1797" s="15"/>
      <c r="CG1797" s="14"/>
      <c r="CH1797" s="14"/>
      <c r="CI1797" s="50"/>
      <c r="CJ1797" s="54"/>
      <c r="CK1797" s="14"/>
      <c r="CL1797" s="14"/>
      <c r="CM1797" s="14"/>
      <c r="CN1797" s="14"/>
      <c r="CO1797" s="14"/>
      <c r="CP1797" s="14"/>
      <c r="CQ1797" s="14"/>
      <c r="CR1797" s="14"/>
      <c r="CS1797" s="14"/>
      <c r="CT1797" s="14"/>
      <c r="CU1797" s="16"/>
      <c r="CV1797" s="14"/>
      <c r="CW1797" s="50"/>
      <c r="CX1797" s="17"/>
    </row>
    <row r="1798" spans="4:102" x14ac:dyDescent="0.25">
      <c r="D1798" s="11"/>
      <c r="E1798" s="11"/>
      <c r="F1798" s="11"/>
      <c r="G1798" s="11"/>
      <c r="H1798" s="11"/>
      <c r="I1798" s="11"/>
      <c r="J1798" s="11"/>
      <c r="K1798" s="11"/>
      <c r="L1798" s="11"/>
      <c r="M1798" s="11"/>
      <c r="N1798" s="11"/>
      <c r="O1798" s="11"/>
      <c r="P1798" s="43"/>
      <c r="Q1798" s="11"/>
      <c r="R1798" s="11"/>
      <c r="S1798" s="11"/>
      <c r="T1798" s="11"/>
      <c r="U1798" s="11"/>
      <c r="V1798" s="11"/>
      <c r="W1798" s="11"/>
      <c r="X1798" s="12"/>
      <c r="Y1798" s="12"/>
      <c r="Z1798" s="12"/>
      <c r="AA1798" s="44"/>
      <c r="AB1798" s="45"/>
      <c r="AC1798" s="12"/>
      <c r="AD1798" s="12"/>
      <c r="AE1798" s="12"/>
      <c r="AF1798" s="12"/>
      <c r="AG1798" s="44"/>
      <c r="AH1798" s="45"/>
      <c r="AI1798" s="12"/>
      <c r="AJ1798" s="12"/>
      <c r="AK1798" s="12"/>
      <c r="AL1798" s="12"/>
      <c r="AM1798" s="44"/>
      <c r="AN1798" s="45"/>
      <c r="AO1798" s="12"/>
      <c r="AP1798" s="12"/>
      <c r="AQ1798" s="12"/>
      <c r="AR1798" s="12"/>
      <c r="AS1798" s="44"/>
      <c r="AT1798" s="45"/>
      <c r="AU1798" s="12"/>
      <c r="AV1798" s="12"/>
      <c r="AW1798" s="12"/>
      <c r="AX1798" s="12"/>
      <c r="AY1798" s="44"/>
      <c r="AZ1798" s="45"/>
      <c r="BA1798" s="12"/>
      <c r="BB1798" s="12"/>
      <c r="BC1798" s="12"/>
      <c r="BD1798" s="12"/>
      <c r="BE1798" s="44"/>
      <c r="BF1798" s="45"/>
      <c r="BG1798" s="12"/>
      <c r="BH1798" s="12"/>
      <c r="BI1798" s="12"/>
      <c r="BJ1798" s="12"/>
      <c r="BK1798" s="44"/>
      <c r="BL1798" s="45"/>
      <c r="BM1798" s="12"/>
      <c r="BN1798" s="12"/>
      <c r="BO1798" s="12"/>
      <c r="BP1798" s="12"/>
      <c r="BQ1798" s="48"/>
      <c r="BR1798" s="49"/>
      <c r="BS1798" s="13"/>
      <c r="BT1798" s="12"/>
      <c r="BV1798" s="14"/>
      <c r="BW1798" s="50"/>
      <c r="BX1798" s="54"/>
      <c r="BY1798" s="14"/>
      <c r="BZ1798" s="14"/>
      <c r="CA1798" s="14"/>
      <c r="CB1798" s="14"/>
      <c r="CC1798" s="14"/>
      <c r="CD1798" s="14"/>
      <c r="CE1798" s="14"/>
      <c r="CF1798" s="15"/>
      <c r="CG1798" s="14"/>
      <c r="CH1798" s="14"/>
      <c r="CI1798" s="50"/>
      <c r="CJ1798" s="54"/>
      <c r="CK1798" s="14"/>
      <c r="CL1798" s="14"/>
      <c r="CM1798" s="14"/>
      <c r="CN1798" s="14"/>
      <c r="CO1798" s="14"/>
      <c r="CP1798" s="14"/>
      <c r="CQ1798" s="14"/>
      <c r="CR1798" s="14"/>
      <c r="CS1798" s="14"/>
      <c r="CT1798" s="14"/>
      <c r="CU1798" s="16"/>
      <c r="CV1798" s="14"/>
      <c r="CW1798" s="50"/>
      <c r="CX1798" s="17"/>
    </row>
    <row r="1799" spans="4:102" x14ac:dyDescent="0.25">
      <c r="D1799" s="11"/>
      <c r="E1799" s="11"/>
      <c r="F1799" s="11"/>
      <c r="G1799" s="11"/>
      <c r="H1799" s="11"/>
      <c r="I1799" s="11"/>
      <c r="J1799" s="11"/>
      <c r="K1799" s="11"/>
      <c r="L1799" s="11"/>
      <c r="M1799" s="11"/>
      <c r="N1799" s="11"/>
      <c r="O1799" s="11"/>
      <c r="P1799" s="43"/>
      <c r="Q1799" s="11"/>
      <c r="R1799" s="11"/>
      <c r="S1799" s="11"/>
      <c r="T1799" s="11"/>
      <c r="U1799" s="11"/>
      <c r="V1799" s="11"/>
      <c r="W1799" s="11"/>
      <c r="X1799" s="12"/>
      <c r="Y1799" s="12"/>
      <c r="Z1799" s="12"/>
      <c r="AA1799" s="44"/>
      <c r="AB1799" s="45"/>
      <c r="AC1799" s="12"/>
      <c r="AD1799" s="12"/>
      <c r="AE1799" s="12"/>
      <c r="AF1799" s="12"/>
      <c r="AG1799" s="44"/>
      <c r="AH1799" s="45"/>
      <c r="AI1799" s="12"/>
      <c r="AJ1799" s="12"/>
      <c r="AK1799" s="12"/>
      <c r="AL1799" s="12"/>
      <c r="AM1799" s="44"/>
      <c r="AN1799" s="45"/>
      <c r="AO1799" s="12"/>
      <c r="AP1799" s="12"/>
      <c r="AQ1799" s="12"/>
      <c r="AR1799" s="12"/>
      <c r="AS1799" s="44"/>
      <c r="AT1799" s="45"/>
      <c r="AU1799" s="12"/>
      <c r="AV1799" s="12"/>
      <c r="AW1799" s="12"/>
      <c r="AX1799" s="12"/>
      <c r="AY1799" s="44"/>
      <c r="AZ1799" s="45"/>
      <c r="BA1799" s="12"/>
      <c r="BB1799" s="12"/>
      <c r="BC1799" s="12"/>
      <c r="BD1799" s="12"/>
      <c r="BE1799" s="44"/>
      <c r="BF1799" s="45"/>
      <c r="BG1799" s="12"/>
      <c r="BH1799" s="12"/>
      <c r="BI1799" s="12"/>
      <c r="BJ1799" s="12"/>
      <c r="BK1799" s="44"/>
      <c r="BL1799" s="45"/>
      <c r="BM1799" s="12"/>
      <c r="BN1799" s="12"/>
      <c r="BO1799" s="12"/>
      <c r="BP1799" s="12"/>
      <c r="BQ1799" s="48"/>
      <c r="BR1799" s="49"/>
      <c r="BS1799" s="13"/>
      <c r="BT1799" s="12"/>
      <c r="BV1799" s="14"/>
      <c r="BW1799" s="50"/>
      <c r="BX1799" s="54"/>
      <c r="BY1799" s="14"/>
      <c r="BZ1799" s="14"/>
      <c r="CA1799" s="14"/>
      <c r="CB1799" s="14"/>
      <c r="CC1799" s="14"/>
      <c r="CD1799" s="14"/>
      <c r="CE1799" s="14"/>
      <c r="CF1799" s="15"/>
      <c r="CG1799" s="14"/>
      <c r="CH1799" s="14"/>
      <c r="CI1799" s="50"/>
      <c r="CJ1799" s="54"/>
      <c r="CK1799" s="14"/>
      <c r="CL1799" s="14"/>
      <c r="CM1799" s="14"/>
      <c r="CN1799" s="14"/>
      <c r="CO1799" s="14"/>
      <c r="CP1799" s="14"/>
      <c r="CQ1799" s="14"/>
      <c r="CR1799" s="14"/>
      <c r="CS1799" s="14"/>
      <c r="CT1799" s="14"/>
      <c r="CU1799" s="16"/>
      <c r="CV1799" s="14"/>
      <c r="CW1799" s="50"/>
      <c r="CX1799" s="17"/>
    </row>
    <row r="1800" spans="4:102" x14ac:dyDescent="0.25">
      <c r="D1800" s="11"/>
      <c r="E1800" s="11"/>
      <c r="F1800" s="11"/>
      <c r="G1800" s="11"/>
      <c r="H1800" s="11"/>
      <c r="I1800" s="11"/>
      <c r="J1800" s="11"/>
      <c r="K1800" s="11"/>
      <c r="L1800" s="11"/>
      <c r="M1800" s="11"/>
      <c r="N1800" s="11"/>
      <c r="O1800" s="11"/>
      <c r="P1800" s="43"/>
      <c r="Q1800" s="11"/>
      <c r="R1800" s="11"/>
      <c r="S1800" s="11"/>
      <c r="T1800" s="11"/>
      <c r="U1800" s="11"/>
      <c r="V1800" s="11"/>
      <c r="W1800" s="11"/>
      <c r="X1800" s="12"/>
      <c r="Y1800" s="12"/>
      <c r="Z1800" s="12"/>
      <c r="AA1800" s="44"/>
      <c r="AB1800" s="45"/>
      <c r="AC1800" s="12"/>
      <c r="AD1800" s="12"/>
      <c r="AE1800" s="12"/>
      <c r="AF1800" s="12"/>
      <c r="AG1800" s="44"/>
      <c r="AH1800" s="45"/>
      <c r="AI1800" s="12"/>
      <c r="AJ1800" s="12"/>
      <c r="AK1800" s="12"/>
      <c r="AL1800" s="12"/>
      <c r="AM1800" s="44"/>
      <c r="AN1800" s="45"/>
      <c r="AO1800" s="12"/>
      <c r="AP1800" s="12"/>
      <c r="AQ1800" s="12"/>
      <c r="AR1800" s="12"/>
      <c r="AS1800" s="44"/>
      <c r="AT1800" s="45"/>
      <c r="AU1800" s="12"/>
      <c r="AV1800" s="12"/>
      <c r="AW1800" s="12"/>
      <c r="AX1800" s="12"/>
      <c r="AY1800" s="44"/>
      <c r="AZ1800" s="45"/>
      <c r="BA1800" s="12"/>
      <c r="BB1800" s="12"/>
      <c r="BC1800" s="12"/>
      <c r="BD1800" s="12"/>
      <c r="BE1800" s="44"/>
      <c r="BF1800" s="45"/>
      <c r="BG1800" s="12"/>
      <c r="BH1800" s="12"/>
      <c r="BI1800" s="12"/>
      <c r="BJ1800" s="12"/>
      <c r="BK1800" s="44"/>
      <c r="BL1800" s="45"/>
      <c r="BM1800" s="12"/>
      <c r="BN1800" s="12"/>
      <c r="BO1800" s="12"/>
      <c r="BP1800" s="12"/>
      <c r="BQ1800" s="48"/>
      <c r="BR1800" s="49"/>
      <c r="BS1800" s="13"/>
      <c r="BT1800" s="12"/>
      <c r="BV1800" s="14"/>
      <c r="BW1800" s="50"/>
      <c r="BX1800" s="54"/>
      <c r="BY1800" s="14"/>
      <c r="BZ1800" s="14"/>
      <c r="CA1800" s="14"/>
      <c r="CB1800" s="14"/>
      <c r="CC1800" s="14"/>
      <c r="CD1800" s="14"/>
      <c r="CE1800" s="14"/>
      <c r="CF1800" s="15"/>
      <c r="CG1800" s="14"/>
      <c r="CH1800" s="14"/>
      <c r="CI1800" s="50"/>
      <c r="CJ1800" s="54"/>
      <c r="CK1800" s="14"/>
      <c r="CL1800" s="14"/>
      <c r="CM1800" s="14"/>
      <c r="CN1800" s="14"/>
      <c r="CO1800" s="14"/>
      <c r="CP1800" s="14"/>
      <c r="CQ1800" s="14"/>
      <c r="CR1800" s="14"/>
      <c r="CS1800" s="14"/>
      <c r="CT1800" s="14"/>
      <c r="CU1800" s="16"/>
      <c r="CV1800" s="14"/>
      <c r="CW1800" s="50"/>
      <c r="CX1800" s="17"/>
    </row>
    <row r="1801" spans="4:102" x14ac:dyDescent="0.25">
      <c r="D1801" s="11"/>
      <c r="E1801" s="11"/>
      <c r="F1801" s="11"/>
      <c r="G1801" s="11"/>
      <c r="H1801" s="11"/>
      <c r="I1801" s="11"/>
      <c r="J1801" s="11"/>
      <c r="K1801" s="11"/>
      <c r="L1801" s="11"/>
      <c r="M1801" s="11"/>
      <c r="N1801" s="11"/>
      <c r="O1801" s="11"/>
      <c r="P1801" s="43"/>
      <c r="Q1801" s="11"/>
      <c r="R1801" s="11"/>
      <c r="S1801" s="11"/>
      <c r="T1801" s="11"/>
      <c r="U1801" s="11"/>
      <c r="V1801" s="11"/>
      <c r="W1801" s="11"/>
      <c r="X1801" s="12"/>
      <c r="Y1801" s="12"/>
      <c r="Z1801" s="12"/>
      <c r="AA1801" s="44"/>
      <c r="AB1801" s="45"/>
      <c r="AC1801" s="12"/>
      <c r="AD1801" s="12"/>
      <c r="AE1801" s="12"/>
      <c r="AF1801" s="12"/>
      <c r="AG1801" s="44"/>
      <c r="AH1801" s="45"/>
      <c r="AI1801" s="12"/>
      <c r="AJ1801" s="12"/>
      <c r="AK1801" s="12"/>
      <c r="AL1801" s="12"/>
      <c r="AM1801" s="44"/>
      <c r="AN1801" s="45"/>
      <c r="AO1801" s="12"/>
      <c r="AP1801" s="12"/>
      <c r="AQ1801" s="12"/>
      <c r="AR1801" s="12"/>
      <c r="AS1801" s="44"/>
      <c r="AT1801" s="45"/>
      <c r="AU1801" s="12"/>
      <c r="AV1801" s="12"/>
      <c r="AW1801" s="12"/>
      <c r="AX1801" s="12"/>
      <c r="AY1801" s="44"/>
      <c r="AZ1801" s="45"/>
      <c r="BA1801" s="12"/>
      <c r="BB1801" s="12"/>
      <c r="BC1801" s="12"/>
      <c r="BD1801" s="12"/>
      <c r="BE1801" s="44"/>
      <c r="BF1801" s="45"/>
      <c r="BG1801" s="12"/>
      <c r="BH1801" s="12"/>
      <c r="BI1801" s="12"/>
      <c r="BJ1801" s="12"/>
      <c r="BK1801" s="44"/>
      <c r="BL1801" s="45"/>
      <c r="BM1801" s="12"/>
      <c r="BN1801" s="12"/>
      <c r="BO1801" s="12"/>
      <c r="BP1801" s="12"/>
      <c r="BQ1801" s="48"/>
      <c r="BR1801" s="49"/>
      <c r="BS1801" s="13"/>
      <c r="BT1801" s="12"/>
      <c r="BV1801" s="14"/>
      <c r="BW1801" s="50"/>
      <c r="BX1801" s="54"/>
      <c r="BY1801" s="14"/>
      <c r="BZ1801" s="14"/>
      <c r="CA1801" s="14"/>
      <c r="CB1801" s="14"/>
      <c r="CC1801" s="14"/>
      <c r="CD1801" s="14"/>
      <c r="CE1801" s="14"/>
      <c r="CF1801" s="15"/>
      <c r="CG1801" s="14"/>
      <c r="CH1801" s="14"/>
      <c r="CI1801" s="50"/>
      <c r="CJ1801" s="54"/>
      <c r="CK1801" s="14"/>
      <c r="CL1801" s="14"/>
      <c r="CM1801" s="14"/>
      <c r="CN1801" s="14"/>
      <c r="CO1801" s="14"/>
      <c r="CP1801" s="14"/>
      <c r="CQ1801" s="14"/>
      <c r="CR1801" s="14"/>
      <c r="CS1801" s="14"/>
      <c r="CT1801" s="14"/>
      <c r="CU1801" s="16"/>
      <c r="CV1801" s="14"/>
      <c r="CW1801" s="50"/>
      <c r="CX1801" s="17"/>
    </row>
    <row r="1802" spans="4:102" x14ac:dyDescent="0.25">
      <c r="D1802" s="11"/>
      <c r="E1802" s="11"/>
      <c r="F1802" s="11"/>
      <c r="G1802" s="11"/>
      <c r="H1802" s="11"/>
      <c r="I1802" s="11"/>
      <c r="J1802" s="11"/>
      <c r="K1802" s="11"/>
      <c r="L1802" s="11"/>
      <c r="M1802" s="11"/>
      <c r="N1802" s="11"/>
      <c r="O1802" s="11"/>
      <c r="P1802" s="43"/>
      <c r="Q1802" s="11"/>
      <c r="R1802" s="11"/>
      <c r="S1802" s="11"/>
      <c r="T1802" s="11"/>
      <c r="U1802" s="11"/>
      <c r="V1802" s="11"/>
      <c r="W1802" s="11"/>
      <c r="X1802" s="12"/>
      <c r="Y1802" s="12"/>
      <c r="Z1802" s="12"/>
      <c r="AA1802" s="44"/>
      <c r="AB1802" s="45"/>
      <c r="AC1802" s="12"/>
      <c r="AD1802" s="12"/>
      <c r="AE1802" s="12"/>
      <c r="AF1802" s="12"/>
      <c r="AG1802" s="44"/>
      <c r="AH1802" s="45"/>
      <c r="AI1802" s="12"/>
      <c r="AJ1802" s="12"/>
      <c r="AK1802" s="12"/>
      <c r="AL1802" s="12"/>
      <c r="AM1802" s="44"/>
      <c r="AN1802" s="45"/>
      <c r="AO1802" s="12"/>
      <c r="AP1802" s="12"/>
      <c r="AQ1802" s="12"/>
      <c r="AR1802" s="12"/>
      <c r="AS1802" s="44"/>
      <c r="AT1802" s="45"/>
      <c r="AU1802" s="12"/>
      <c r="AV1802" s="12"/>
      <c r="AW1802" s="12"/>
      <c r="AX1802" s="12"/>
      <c r="AY1802" s="44"/>
      <c r="AZ1802" s="45"/>
      <c r="BA1802" s="12"/>
      <c r="BB1802" s="12"/>
      <c r="BC1802" s="12"/>
      <c r="BD1802" s="12"/>
      <c r="BE1802" s="44"/>
      <c r="BF1802" s="45"/>
      <c r="BG1802" s="12"/>
      <c r="BH1802" s="12"/>
      <c r="BI1802" s="12"/>
      <c r="BJ1802" s="12"/>
      <c r="BK1802" s="44"/>
      <c r="BL1802" s="45"/>
      <c r="BM1802" s="12"/>
      <c r="BN1802" s="12"/>
      <c r="BO1802" s="12"/>
      <c r="BP1802" s="12"/>
      <c r="BQ1802" s="48"/>
      <c r="BR1802" s="49"/>
      <c r="BS1802" s="13"/>
      <c r="BT1802" s="12"/>
      <c r="BV1802" s="14"/>
      <c r="BW1802" s="50"/>
      <c r="BX1802" s="54"/>
      <c r="BY1802" s="14"/>
      <c r="BZ1802" s="14"/>
      <c r="CA1802" s="14"/>
      <c r="CB1802" s="14"/>
      <c r="CC1802" s="14"/>
      <c r="CD1802" s="14"/>
      <c r="CE1802" s="14"/>
      <c r="CF1802" s="15"/>
      <c r="CG1802" s="14"/>
      <c r="CH1802" s="14"/>
      <c r="CI1802" s="50"/>
      <c r="CJ1802" s="54"/>
      <c r="CK1802" s="14"/>
      <c r="CL1802" s="14"/>
      <c r="CM1802" s="14"/>
      <c r="CN1802" s="14"/>
      <c r="CO1802" s="14"/>
      <c r="CP1802" s="14"/>
      <c r="CQ1802" s="14"/>
      <c r="CR1802" s="14"/>
      <c r="CS1802" s="14"/>
      <c r="CT1802" s="14"/>
      <c r="CU1802" s="16"/>
      <c r="CV1802" s="14"/>
      <c r="CW1802" s="50"/>
      <c r="CX1802" s="17"/>
    </row>
    <row r="1803" spans="4:102" x14ac:dyDescent="0.25">
      <c r="D1803" s="11"/>
      <c r="E1803" s="11"/>
      <c r="F1803" s="11"/>
      <c r="G1803" s="11"/>
      <c r="H1803" s="11"/>
      <c r="I1803" s="11"/>
      <c r="J1803" s="11"/>
      <c r="K1803" s="11"/>
      <c r="L1803" s="11"/>
      <c r="M1803" s="11"/>
      <c r="N1803" s="11"/>
      <c r="O1803" s="11"/>
      <c r="P1803" s="43"/>
      <c r="Q1803" s="11"/>
      <c r="R1803" s="11"/>
      <c r="S1803" s="11"/>
      <c r="T1803" s="11"/>
      <c r="U1803" s="11"/>
      <c r="V1803" s="11"/>
      <c r="W1803" s="11"/>
      <c r="X1803" s="12"/>
      <c r="Y1803" s="12"/>
      <c r="Z1803" s="12"/>
      <c r="AA1803" s="44"/>
      <c r="AB1803" s="45"/>
      <c r="AC1803" s="12"/>
      <c r="AD1803" s="12"/>
      <c r="AE1803" s="12"/>
      <c r="AF1803" s="12"/>
      <c r="AG1803" s="44"/>
      <c r="AH1803" s="45"/>
      <c r="AI1803" s="12"/>
      <c r="AJ1803" s="12"/>
      <c r="AK1803" s="12"/>
      <c r="AL1803" s="12"/>
      <c r="AM1803" s="44"/>
      <c r="AN1803" s="45"/>
      <c r="AO1803" s="12"/>
      <c r="AP1803" s="12"/>
      <c r="AQ1803" s="12"/>
      <c r="AR1803" s="12"/>
      <c r="AS1803" s="44"/>
      <c r="AT1803" s="45"/>
      <c r="AU1803" s="12"/>
      <c r="AV1803" s="12"/>
      <c r="AW1803" s="12"/>
      <c r="AX1803" s="12"/>
      <c r="AY1803" s="44"/>
      <c r="AZ1803" s="45"/>
      <c r="BA1803" s="12"/>
      <c r="BB1803" s="12"/>
      <c r="BC1803" s="12"/>
      <c r="BD1803" s="12"/>
      <c r="BE1803" s="44"/>
      <c r="BF1803" s="45"/>
      <c r="BG1803" s="12"/>
      <c r="BH1803" s="12"/>
      <c r="BI1803" s="12"/>
      <c r="BJ1803" s="12"/>
      <c r="BK1803" s="44"/>
      <c r="BL1803" s="45"/>
      <c r="BM1803" s="12"/>
      <c r="BN1803" s="12"/>
      <c r="BO1803" s="12"/>
      <c r="BP1803" s="12"/>
      <c r="BQ1803" s="48"/>
      <c r="BR1803" s="49"/>
      <c r="BS1803" s="13"/>
      <c r="BT1803" s="12"/>
      <c r="BV1803" s="14"/>
      <c r="BW1803" s="50"/>
      <c r="BX1803" s="54"/>
      <c r="BY1803" s="14"/>
      <c r="BZ1803" s="14"/>
      <c r="CA1803" s="14"/>
      <c r="CB1803" s="14"/>
      <c r="CC1803" s="14"/>
      <c r="CD1803" s="14"/>
      <c r="CE1803" s="14"/>
      <c r="CF1803" s="15"/>
      <c r="CG1803" s="14"/>
      <c r="CH1803" s="14"/>
      <c r="CI1803" s="50"/>
      <c r="CJ1803" s="54"/>
      <c r="CK1803" s="14"/>
      <c r="CL1803" s="14"/>
      <c r="CM1803" s="14"/>
      <c r="CN1803" s="14"/>
      <c r="CO1803" s="14"/>
      <c r="CP1803" s="14"/>
      <c r="CQ1803" s="14"/>
      <c r="CR1803" s="14"/>
      <c r="CS1803" s="14"/>
      <c r="CT1803" s="14"/>
      <c r="CU1803" s="16"/>
      <c r="CV1803" s="14"/>
      <c r="CW1803" s="50"/>
      <c r="CX1803" s="17"/>
    </row>
    <row r="1804" spans="4:102" x14ac:dyDescent="0.25">
      <c r="D1804" s="11"/>
      <c r="E1804" s="11"/>
      <c r="F1804" s="11"/>
      <c r="G1804" s="11"/>
      <c r="H1804" s="11"/>
      <c r="I1804" s="11"/>
      <c r="J1804" s="11"/>
      <c r="K1804" s="11"/>
      <c r="L1804" s="11"/>
      <c r="M1804" s="11"/>
      <c r="N1804" s="11"/>
      <c r="O1804" s="11"/>
      <c r="P1804" s="43"/>
      <c r="Q1804" s="11"/>
      <c r="R1804" s="11"/>
      <c r="S1804" s="11"/>
      <c r="T1804" s="11"/>
      <c r="U1804" s="11"/>
      <c r="V1804" s="11"/>
      <c r="W1804" s="11"/>
      <c r="X1804" s="12"/>
      <c r="Y1804" s="12"/>
      <c r="Z1804" s="12"/>
      <c r="AA1804" s="44"/>
      <c r="AB1804" s="45"/>
      <c r="AC1804" s="12"/>
      <c r="AD1804" s="12"/>
      <c r="AE1804" s="12"/>
      <c r="AF1804" s="12"/>
      <c r="AG1804" s="44"/>
      <c r="AH1804" s="45"/>
      <c r="AI1804" s="12"/>
      <c r="AJ1804" s="12"/>
      <c r="AK1804" s="12"/>
      <c r="AL1804" s="12"/>
      <c r="AM1804" s="44"/>
      <c r="AN1804" s="45"/>
      <c r="AO1804" s="12"/>
      <c r="AP1804" s="12"/>
      <c r="AQ1804" s="12"/>
      <c r="AR1804" s="12"/>
      <c r="AS1804" s="44"/>
      <c r="AT1804" s="45"/>
      <c r="AU1804" s="12"/>
      <c r="AV1804" s="12"/>
      <c r="AW1804" s="12"/>
      <c r="AX1804" s="12"/>
      <c r="AY1804" s="44"/>
      <c r="AZ1804" s="45"/>
      <c r="BA1804" s="12"/>
      <c r="BB1804" s="12"/>
      <c r="BC1804" s="12"/>
      <c r="BD1804" s="12"/>
      <c r="BE1804" s="44"/>
      <c r="BF1804" s="45"/>
      <c r="BG1804" s="12"/>
      <c r="BH1804" s="12"/>
      <c r="BI1804" s="12"/>
      <c r="BJ1804" s="12"/>
      <c r="BK1804" s="44"/>
      <c r="BL1804" s="45"/>
      <c r="BM1804" s="12"/>
      <c r="BN1804" s="12"/>
      <c r="BO1804" s="12"/>
      <c r="BP1804" s="12"/>
      <c r="BQ1804" s="48"/>
      <c r="BR1804" s="49"/>
      <c r="BS1804" s="13"/>
      <c r="BT1804" s="12"/>
      <c r="BV1804" s="14"/>
      <c r="BW1804" s="50"/>
      <c r="BX1804" s="54"/>
      <c r="BY1804" s="14"/>
      <c r="BZ1804" s="14"/>
      <c r="CA1804" s="14"/>
      <c r="CB1804" s="14"/>
      <c r="CC1804" s="14"/>
      <c r="CD1804" s="14"/>
      <c r="CE1804" s="14"/>
      <c r="CF1804" s="15"/>
      <c r="CG1804" s="14"/>
      <c r="CH1804" s="14"/>
      <c r="CI1804" s="50"/>
      <c r="CJ1804" s="54"/>
      <c r="CK1804" s="14"/>
      <c r="CL1804" s="14"/>
      <c r="CM1804" s="14"/>
      <c r="CN1804" s="14"/>
      <c r="CO1804" s="14"/>
      <c r="CP1804" s="14"/>
      <c r="CQ1804" s="14"/>
      <c r="CR1804" s="14"/>
      <c r="CS1804" s="14"/>
      <c r="CT1804" s="14"/>
      <c r="CU1804" s="16"/>
      <c r="CV1804" s="14"/>
      <c r="CW1804" s="50"/>
      <c r="CX1804" s="17"/>
    </row>
    <row r="1805" spans="4:102" x14ac:dyDescent="0.25">
      <c r="D1805" s="11"/>
      <c r="E1805" s="11"/>
      <c r="F1805" s="11"/>
      <c r="G1805" s="11"/>
      <c r="H1805" s="11"/>
      <c r="I1805" s="11"/>
      <c r="J1805" s="11"/>
      <c r="K1805" s="11"/>
      <c r="L1805" s="11"/>
      <c r="M1805" s="11"/>
      <c r="N1805" s="11"/>
      <c r="O1805" s="11"/>
      <c r="P1805" s="43"/>
      <c r="Q1805" s="11"/>
      <c r="R1805" s="11"/>
      <c r="S1805" s="11"/>
      <c r="T1805" s="11"/>
      <c r="U1805" s="11"/>
      <c r="V1805" s="11"/>
      <c r="W1805" s="11"/>
      <c r="X1805" s="12"/>
      <c r="Y1805" s="12"/>
      <c r="Z1805" s="12"/>
      <c r="AA1805" s="44"/>
      <c r="AB1805" s="45"/>
      <c r="AC1805" s="12"/>
      <c r="AD1805" s="12"/>
      <c r="AE1805" s="12"/>
      <c r="AF1805" s="12"/>
      <c r="AG1805" s="44"/>
      <c r="AH1805" s="45"/>
      <c r="AI1805" s="12"/>
      <c r="AJ1805" s="12"/>
      <c r="AK1805" s="12"/>
      <c r="AL1805" s="12"/>
      <c r="AM1805" s="44"/>
      <c r="AN1805" s="45"/>
      <c r="AO1805" s="12"/>
      <c r="AP1805" s="12"/>
      <c r="AQ1805" s="12"/>
      <c r="AR1805" s="12"/>
      <c r="AS1805" s="44"/>
      <c r="AT1805" s="45"/>
      <c r="AU1805" s="12"/>
      <c r="AV1805" s="12"/>
      <c r="AW1805" s="12"/>
      <c r="AX1805" s="12"/>
      <c r="AY1805" s="44"/>
      <c r="AZ1805" s="45"/>
      <c r="BA1805" s="12"/>
      <c r="BB1805" s="12"/>
      <c r="BC1805" s="12"/>
      <c r="BD1805" s="12"/>
      <c r="BE1805" s="44"/>
      <c r="BF1805" s="45"/>
      <c r="BG1805" s="12"/>
      <c r="BH1805" s="12"/>
      <c r="BI1805" s="12"/>
      <c r="BJ1805" s="12"/>
      <c r="BK1805" s="44"/>
      <c r="BL1805" s="45"/>
      <c r="BM1805" s="12"/>
      <c r="BN1805" s="12"/>
      <c r="BO1805" s="12"/>
      <c r="BP1805" s="12"/>
      <c r="BQ1805" s="48"/>
      <c r="BR1805" s="49"/>
      <c r="BS1805" s="13"/>
      <c r="BT1805" s="12"/>
      <c r="BV1805" s="14"/>
      <c r="BW1805" s="50"/>
      <c r="BX1805" s="54"/>
      <c r="BY1805" s="14"/>
      <c r="BZ1805" s="14"/>
      <c r="CA1805" s="14"/>
      <c r="CB1805" s="14"/>
      <c r="CC1805" s="14"/>
      <c r="CD1805" s="14"/>
      <c r="CE1805" s="14"/>
      <c r="CF1805" s="15"/>
      <c r="CG1805" s="14"/>
      <c r="CH1805" s="14"/>
      <c r="CI1805" s="50"/>
      <c r="CJ1805" s="54"/>
      <c r="CK1805" s="14"/>
      <c r="CL1805" s="14"/>
      <c r="CM1805" s="14"/>
      <c r="CN1805" s="14"/>
      <c r="CO1805" s="14"/>
      <c r="CP1805" s="14"/>
      <c r="CQ1805" s="14"/>
      <c r="CR1805" s="14"/>
      <c r="CS1805" s="14"/>
      <c r="CT1805" s="14"/>
      <c r="CU1805" s="16"/>
      <c r="CV1805" s="14"/>
      <c r="CW1805" s="50"/>
      <c r="CX1805" s="17"/>
    </row>
    <row r="1806" spans="4:102" x14ac:dyDescent="0.25">
      <c r="D1806" s="11"/>
      <c r="E1806" s="11"/>
      <c r="F1806" s="11"/>
      <c r="G1806" s="11"/>
      <c r="H1806" s="11"/>
      <c r="I1806" s="11"/>
      <c r="J1806" s="11"/>
      <c r="K1806" s="11"/>
      <c r="L1806" s="11"/>
      <c r="M1806" s="11"/>
      <c r="N1806" s="11"/>
      <c r="O1806" s="11"/>
      <c r="P1806" s="43"/>
      <c r="Q1806" s="11"/>
      <c r="R1806" s="11"/>
      <c r="S1806" s="11"/>
      <c r="T1806" s="11"/>
      <c r="U1806" s="11"/>
      <c r="V1806" s="11"/>
      <c r="W1806" s="11"/>
      <c r="X1806" s="12"/>
      <c r="Y1806" s="12"/>
      <c r="Z1806" s="12"/>
      <c r="AA1806" s="44"/>
      <c r="AB1806" s="45"/>
      <c r="AC1806" s="12"/>
      <c r="AD1806" s="12"/>
      <c r="AE1806" s="12"/>
      <c r="AF1806" s="12"/>
      <c r="AG1806" s="44"/>
      <c r="AH1806" s="45"/>
      <c r="AI1806" s="12"/>
      <c r="AJ1806" s="12"/>
      <c r="AK1806" s="12"/>
      <c r="AL1806" s="12"/>
      <c r="AM1806" s="44"/>
      <c r="AN1806" s="45"/>
      <c r="AO1806" s="12"/>
      <c r="AP1806" s="12"/>
      <c r="AQ1806" s="12"/>
      <c r="AR1806" s="12"/>
      <c r="AS1806" s="44"/>
      <c r="AT1806" s="45"/>
      <c r="AU1806" s="12"/>
      <c r="AV1806" s="12"/>
      <c r="AW1806" s="12"/>
      <c r="AX1806" s="12"/>
      <c r="AY1806" s="44"/>
      <c r="AZ1806" s="45"/>
      <c r="BA1806" s="12"/>
      <c r="BB1806" s="12"/>
      <c r="BC1806" s="12"/>
      <c r="BD1806" s="12"/>
      <c r="BE1806" s="44"/>
      <c r="BF1806" s="45"/>
      <c r="BG1806" s="12"/>
      <c r="BH1806" s="12"/>
      <c r="BI1806" s="12"/>
      <c r="BJ1806" s="12"/>
      <c r="BK1806" s="44"/>
      <c r="BL1806" s="45"/>
      <c r="BM1806" s="12"/>
      <c r="BN1806" s="12"/>
      <c r="BO1806" s="12"/>
      <c r="BP1806" s="12"/>
      <c r="BQ1806" s="48"/>
      <c r="BR1806" s="49"/>
      <c r="BS1806" s="13"/>
      <c r="BT1806" s="12"/>
      <c r="BV1806" s="14"/>
      <c r="BW1806" s="50"/>
      <c r="BX1806" s="54"/>
      <c r="BY1806" s="14"/>
      <c r="BZ1806" s="14"/>
      <c r="CA1806" s="14"/>
      <c r="CB1806" s="14"/>
      <c r="CC1806" s="14"/>
      <c r="CD1806" s="14"/>
      <c r="CE1806" s="14"/>
      <c r="CF1806" s="15"/>
      <c r="CG1806" s="14"/>
      <c r="CH1806" s="14"/>
      <c r="CI1806" s="50"/>
      <c r="CJ1806" s="54"/>
      <c r="CK1806" s="14"/>
      <c r="CL1806" s="14"/>
      <c r="CM1806" s="14"/>
      <c r="CN1806" s="14"/>
      <c r="CO1806" s="14"/>
      <c r="CP1806" s="14"/>
      <c r="CQ1806" s="14"/>
      <c r="CR1806" s="14"/>
      <c r="CS1806" s="14"/>
      <c r="CT1806" s="14"/>
      <c r="CU1806" s="16"/>
      <c r="CV1806" s="14"/>
      <c r="CW1806" s="50"/>
      <c r="CX1806" s="17"/>
    </row>
    <row r="1807" spans="4:102" x14ac:dyDescent="0.25">
      <c r="D1807" s="11"/>
      <c r="E1807" s="11"/>
      <c r="F1807" s="11"/>
      <c r="G1807" s="11"/>
      <c r="H1807" s="11"/>
      <c r="I1807" s="11"/>
      <c r="J1807" s="11"/>
      <c r="K1807" s="11"/>
      <c r="L1807" s="11"/>
      <c r="M1807" s="11"/>
      <c r="N1807" s="11"/>
      <c r="O1807" s="11"/>
      <c r="P1807" s="43"/>
      <c r="Q1807" s="11"/>
      <c r="R1807" s="11"/>
      <c r="S1807" s="11"/>
      <c r="T1807" s="11"/>
      <c r="U1807" s="11"/>
      <c r="V1807" s="11"/>
      <c r="W1807" s="11"/>
      <c r="X1807" s="12"/>
      <c r="Y1807" s="12"/>
      <c r="Z1807" s="12"/>
      <c r="AA1807" s="44"/>
      <c r="AB1807" s="45"/>
      <c r="AC1807" s="12"/>
      <c r="AD1807" s="12"/>
      <c r="AE1807" s="12"/>
      <c r="AF1807" s="12"/>
      <c r="AG1807" s="44"/>
      <c r="AH1807" s="45"/>
      <c r="AI1807" s="12"/>
      <c r="AJ1807" s="12"/>
      <c r="AK1807" s="12"/>
      <c r="AL1807" s="12"/>
      <c r="AM1807" s="44"/>
      <c r="AN1807" s="45"/>
      <c r="AO1807" s="12"/>
      <c r="AP1807" s="12"/>
      <c r="AQ1807" s="12"/>
      <c r="AR1807" s="12"/>
      <c r="AS1807" s="44"/>
      <c r="AT1807" s="45"/>
      <c r="AU1807" s="12"/>
      <c r="AV1807" s="12"/>
      <c r="AW1807" s="12"/>
      <c r="AX1807" s="12"/>
      <c r="AY1807" s="44"/>
      <c r="AZ1807" s="45"/>
      <c r="BA1807" s="12"/>
      <c r="BB1807" s="12"/>
      <c r="BC1807" s="12"/>
      <c r="BD1807" s="12"/>
      <c r="BE1807" s="44"/>
      <c r="BF1807" s="45"/>
      <c r="BG1807" s="12"/>
      <c r="BH1807" s="12"/>
      <c r="BI1807" s="12"/>
      <c r="BJ1807" s="12"/>
      <c r="BK1807" s="44"/>
      <c r="BL1807" s="45"/>
      <c r="BM1807" s="12"/>
      <c r="BN1807" s="12"/>
      <c r="BO1807" s="12"/>
      <c r="BP1807" s="12"/>
      <c r="BQ1807" s="48"/>
      <c r="BR1807" s="49"/>
      <c r="BS1807" s="13"/>
      <c r="BT1807" s="12"/>
      <c r="BV1807" s="14"/>
      <c r="BW1807" s="50"/>
      <c r="BX1807" s="54"/>
      <c r="BY1807" s="14"/>
      <c r="BZ1807" s="14"/>
      <c r="CA1807" s="14"/>
      <c r="CB1807" s="14"/>
      <c r="CC1807" s="14"/>
      <c r="CD1807" s="14"/>
      <c r="CE1807" s="14"/>
      <c r="CF1807" s="15"/>
      <c r="CG1807" s="14"/>
      <c r="CH1807" s="14"/>
      <c r="CI1807" s="50"/>
      <c r="CJ1807" s="54"/>
      <c r="CK1807" s="14"/>
      <c r="CL1807" s="14"/>
      <c r="CM1807" s="14"/>
      <c r="CN1807" s="14"/>
      <c r="CO1807" s="14"/>
      <c r="CP1807" s="14"/>
      <c r="CQ1807" s="14"/>
      <c r="CR1807" s="14"/>
      <c r="CS1807" s="14"/>
      <c r="CT1807" s="14"/>
      <c r="CU1807" s="16"/>
      <c r="CV1807" s="14"/>
      <c r="CW1807" s="50"/>
      <c r="CX1807" s="17"/>
    </row>
    <row r="1808" spans="4:102" x14ac:dyDescent="0.25">
      <c r="D1808" s="11"/>
      <c r="E1808" s="11"/>
      <c r="F1808" s="11"/>
      <c r="G1808" s="11"/>
      <c r="H1808" s="11"/>
      <c r="I1808" s="11"/>
      <c r="J1808" s="11"/>
      <c r="K1808" s="11"/>
      <c r="L1808" s="11"/>
      <c r="M1808" s="11"/>
      <c r="N1808" s="11"/>
      <c r="O1808" s="11"/>
      <c r="P1808" s="43"/>
      <c r="Q1808" s="11"/>
      <c r="R1808" s="11"/>
      <c r="S1808" s="11"/>
      <c r="T1808" s="11"/>
      <c r="U1808" s="11"/>
      <c r="V1808" s="11"/>
      <c r="W1808" s="11"/>
      <c r="X1808" s="12"/>
      <c r="Y1808" s="12"/>
      <c r="Z1808" s="12"/>
      <c r="AA1808" s="44"/>
      <c r="AB1808" s="45"/>
      <c r="AC1808" s="12"/>
      <c r="AD1808" s="12"/>
      <c r="AE1808" s="12"/>
      <c r="AF1808" s="12"/>
      <c r="AG1808" s="44"/>
      <c r="AH1808" s="45"/>
      <c r="AI1808" s="12"/>
      <c r="AJ1808" s="12"/>
      <c r="AK1808" s="12"/>
      <c r="AL1808" s="12"/>
      <c r="AM1808" s="44"/>
      <c r="AN1808" s="45"/>
      <c r="AO1808" s="12"/>
      <c r="AP1808" s="12"/>
      <c r="AQ1808" s="12"/>
      <c r="AR1808" s="12"/>
      <c r="AS1808" s="44"/>
      <c r="AT1808" s="45"/>
      <c r="AU1808" s="12"/>
      <c r="AV1808" s="12"/>
      <c r="AW1808" s="12"/>
      <c r="AX1808" s="12"/>
      <c r="AY1808" s="44"/>
      <c r="AZ1808" s="45"/>
      <c r="BA1808" s="12"/>
      <c r="BB1808" s="12"/>
      <c r="BC1808" s="12"/>
      <c r="BD1808" s="12"/>
      <c r="BE1808" s="44"/>
      <c r="BF1808" s="45"/>
      <c r="BG1808" s="12"/>
      <c r="BH1808" s="12"/>
      <c r="BI1808" s="12"/>
      <c r="BJ1808" s="12"/>
      <c r="BK1808" s="44"/>
      <c r="BL1808" s="45"/>
      <c r="BM1808" s="12"/>
      <c r="BN1808" s="12"/>
      <c r="BO1808" s="12"/>
      <c r="BP1808" s="12"/>
      <c r="BQ1808" s="48"/>
      <c r="BR1808" s="49"/>
      <c r="BS1808" s="13"/>
      <c r="BT1808" s="12"/>
      <c r="BV1808" s="14"/>
      <c r="BW1808" s="50"/>
      <c r="BX1808" s="54"/>
      <c r="BY1808" s="14"/>
      <c r="BZ1808" s="14"/>
      <c r="CA1808" s="14"/>
      <c r="CB1808" s="14"/>
      <c r="CC1808" s="14"/>
      <c r="CD1808" s="14"/>
      <c r="CE1808" s="14"/>
      <c r="CF1808" s="15"/>
      <c r="CG1808" s="14"/>
      <c r="CH1808" s="14"/>
      <c r="CI1808" s="50"/>
      <c r="CJ1808" s="54"/>
      <c r="CK1808" s="14"/>
      <c r="CL1808" s="14"/>
      <c r="CM1808" s="14"/>
      <c r="CN1808" s="14"/>
      <c r="CO1808" s="14"/>
      <c r="CP1808" s="14"/>
      <c r="CQ1808" s="14"/>
      <c r="CR1808" s="14"/>
      <c r="CS1808" s="14"/>
      <c r="CT1808" s="14"/>
      <c r="CU1808" s="16"/>
      <c r="CV1808" s="14"/>
      <c r="CW1808" s="50"/>
      <c r="CX1808" s="17"/>
    </row>
    <row r="1809" spans="4:102" x14ac:dyDescent="0.25">
      <c r="D1809" s="11"/>
      <c r="E1809" s="11"/>
      <c r="F1809" s="11"/>
      <c r="G1809" s="11"/>
      <c r="H1809" s="11"/>
      <c r="I1809" s="11"/>
      <c r="J1809" s="11"/>
      <c r="K1809" s="11"/>
      <c r="L1809" s="11"/>
      <c r="M1809" s="11"/>
      <c r="N1809" s="11"/>
      <c r="O1809" s="11"/>
      <c r="P1809" s="43"/>
      <c r="Q1809" s="11"/>
      <c r="R1809" s="11"/>
      <c r="S1809" s="11"/>
      <c r="T1809" s="11"/>
      <c r="U1809" s="11"/>
      <c r="V1809" s="11"/>
      <c r="W1809" s="11"/>
      <c r="X1809" s="12"/>
      <c r="Y1809" s="12"/>
      <c r="Z1809" s="12"/>
      <c r="AA1809" s="44"/>
      <c r="AB1809" s="45"/>
      <c r="AC1809" s="12"/>
      <c r="AD1809" s="12"/>
      <c r="AE1809" s="12"/>
      <c r="AF1809" s="12"/>
      <c r="AG1809" s="44"/>
      <c r="AH1809" s="45"/>
      <c r="AI1809" s="12"/>
      <c r="AJ1809" s="12"/>
      <c r="AK1809" s="12"/>
      <c r="AL1809" s="12"/>
      <c r="AM1809" s="44"/>
      <c r="AN1809" s="45"/>
      <c r="AO1809" s="12"/>
      <c r="AP1809" s="12"/>
      <c r="AQ1809" s="12"/>
      <c r="AR1809" s="12"/>
      <c r="AS1809" s="44"/>
      <c r="AT1809" s="45"/>
      <c r="AU1809" s="12"/>
      <c r="AV1809" s="12"/>
      <c r="AW1809" s="12"/>
      <c r="AX1809" s="12"/>
      <c r="AY1809" s="44"/>
      <c r="AZ1809" s="45"/>
      <c r="BA1809" s="12"/>
      <c r="BB1809" s="12"/>
      <c r="BC1809" s="12"/>
      <c r="BD1809" s="12"/>
      <c r="BE1809" s="44"/>
      <c r="BF1809" s="45"/>
      <c r="BG1809" s="12"/>
      <c r="BH1809" s="12"/>
      <c r="BI1809" s="12"/>
      <c r="BJ1809" s="12"/>
      <c r="BK1809" s="44"/>
      <c r="BL1809" s="45"/>
      <c r="BM1809" s="12"/>
      <c r="BN1809" s="12"/>
      <c r="BO1809" s="12"/>
      <c r="BP1809" s="12"/>
      <c r="BQ1809" s="48"/>
      <c r="BR1809" s="49"/>
      <c r="BS1809" s="13"/>
      <c r="BT1809" s="12"/>
      <c r="BV1809" s="14"/>
      <c r="BW1809" s="50"/>
      <c r="BX1809" s="54"/>
      <c r="BY1809" s="14"/>
      <c r="BZ1809" s="14"/>
      <c r="CA1809" s="14"/>
      <c r="CB1809" s="14"/>
      <c r="CC1809" s="14"/>
      <c r="CD1809" s="14"/>
      <c r="CE1809" s="14"/>
      <c r="CF1809" s="15"/>
      <c r="CG1809" s="14"/>
      <c r="CH1809" s="14"/>
      <c r="CI1809" s="50"/>
      <c r="CJ1809" s="54"/>
      <c r="CK1809" s="14"/>
      <c r="CL1809" s="14"/>
      <c r="CM1809" s="14"/>
      <c r="CN1809" s="14"/>
      <c r="CO1809" s="14"/>
      <c r="CP1809" s="14"/>
      <c r="CQ1809" s="14"/>
      <c r="CR1809" s="14"/>
      <c r="CS1809" s="14"/>
      <c r="CT1809" s="14"/>
      <c r="CU1809" s="16"/>
      <c r="CV1809" s="14"/>
      <c r="CW1809" s="50"/>
      <c r="CX1809" s="17"/>
    </row>
    <row r="1810" spans="4:102" x14ac:dyDescent="0.25">
      <c r="D1810" s="11"/>
      <c r="E1810" s="11"/>
      <c r="F1810" s="11"/>
      <c r="G1810" s="11"/>
      <c r="H1810" s="11"/>
      <c r="I1810" s="11"/>
      <c r="J1810" s="11"/>
      <c r="K1810" s="11"/>
      <c r="L1810" s="11"/>
      <c r="M1810" s="11"/>
      <c r="N1810" s="11"/>
      <c r="O1810" s="11"/>
      <c r="P1810" s="43"/>
      <c r="Q1810" s="11"/>
      <c r="R1810" s="11"/>
      <c r="S1810" s="11"/>
      <c r="T1810" s="11"/>
      <c r="U1810" s="11"/>
      <c r="V1810" s="11"/>
      <c r="W1810" s="11"/>
      <c r="X1810" s="12"/>
      <c r="Y1810" s="12"/>
      <c r="Z1810" s="12"/>
      <c r="AA1810" s="44"/>
      <c r="AB1810" s="45"/>
      <c r="AC1810" s="12"/>
      <c r="AD1810" s="12"/>
      <c r="AE1810" s="12"/>
      <c r="AF1810" s="12"/>
      <c r="AG1810" s="44"/>
      <c r="AH1810" s="45"/>
      <c r="AI1810" s="12"/>
      <c r="AJ1810" s="12"/>
      <c r="AK1810" s="12"/>
      <c r="AL1810" s="12"/>
      <c r="AM1810" s="44"/>
      <c r="AN1810" s="45"/>
      <c r="AO1810" s="12"/>
      <c r="AP1810" s="12"/>
      <c r="AQ1810" s="12"/>
      <c r="AR1810" s="12"/>
      <c r="AS1810" s="44"/>
      <c r="AT1810" s="45"/>
      <c r="AU1810" s="12"/>
      <c r="AV1810" s="12"/>
      <c r="AW1810" s="12"/>
      <c r="AX1810" s="12"/>
      <c r="AY1810" s="44"/>
      <c r="AZ1810" s="45"/>
      <c r="BA1810" s="12"/>
      <c r="BB1810" s="12"/>
      <c r="BC1810" s="12"/>
      <c r="BD1810" s="12"/>
      <c r="BE1810" s="44"/>
      <c r="BF1810" s="45"/>
      <c r="BG1810" s="12"/>
      <c r="BH1810" s="12"/>
      <c r="BI1810" s="12"/>
      <c r="BJ1810" s="12"/>
      <c r="BK1810" s="44"/>
      <c r="BL1810" s="45"/>
      <c r="BM1810" s="12"/>
      <c r="BN1810" s="12"/>
      <c r="BO1810" s="12"/>
      <c r="BP1810" s="12"/>
      <c r="BQ1810" s="48"/>
      <c r="BR1810" s="49"/>
      <c r="BS1810" s="13"/>
      <c r="BT1810" s="12"/>
      <c r="BV1810" s="14"/>
      <c r="BW1810" s="50"/>
      <c r="BX1810" s="54"/>
      <c r="BY1810" s="14"/>
      <c r="BZ1810" s="14"/>
      <c r="CA1810" s="14"/>
      <c r="CB1810" s="14"/>
      <c r="CC1810" s="14"/>
      <c r="CD1810" s="14"/>
      <c r="CE1810" s="14"/>
      <c r="CF1810" s="15"/>
      <c r="CG1810" s="14"/>
      <c r="CH1810" s="14"/>
      <c r="CI1810" s="50"/>
      <c r="CJ1810" s="54"/>
      <c r="CK1810" s="14"/>
      <c r="CL1810" s="14"/>
      <c r="CM1810" s="14"/>
      <c r="CN1810" s="14"/>
      <c r="CO1810" s="14"/>
      <c r="CP1810" s="14"/>
      <c r="CQ1810" s="14"/>
      <c r="CR1810" s="14"/>
      <c r="CS1810" s="14"/>
      <c r="CT1810" s="14"/>
      <c r="CU1810" s="16"/>
      <c r="CV1810" s="14"/>
      <c r="CW1810" s="50"/>
      <c r="CX1810" s="17"/>
    </row>
    <row r="1811" spans="4:102" x14ac:dyDescent="0.25">
      <c r="D1811" s="11"/>
      <c r="E1811" s="11"/>
      <c r="F1811" s="11"/>
      <c r="G1811" s="11"/>
      <c r="H1811" s="11"/>
      <c r="I1811" s="11"/>
      <c r="J1811" s="11"/>
      <c r="K1811" s="11"/>
      <c r="L1811" s="11"/>
      <c r="M1811" s="11"/>
      <c r="N1811" s="11"/>
      <c r="O1811" s="11"/>
      <c r="P1811" s="43"/>
      <c r="Q1811" s="11"/>
      <c r="R1811" s="11"/>
      <c r="S1811" s="11"/>
      <c r="T1811" s="11"/>
      <c r="U1811" s="11"/>
      <c r="V1811" s="11"/>
      <c r="W1811" s="11"/>
      <c r="X1811" s="12"/>
      <c r="Y1811" s="12"/>
      <c r="Z1811" s="12"/>
      <c r="AA1811" s="44"/>
      <c r="AB1811" s="45"/>
      <c r="AC1811" s="12"/>
      <c r="AD1811" s="12"/>
      <c r="AE1811" s="12"/>
      <c r="AF1811" s="12"/>
      <c r="AG1811" s="44"/>
      <c r="AH1811" s="45"/>
      <c r="AI1811" s="12"/>
      <c r="AJ1811" s="12"/>
      <c r="AK1811" s="12"/>
      <c r="AL1811" s="12"/>
      <c r="AM1811" s="44"/>
      <c r="AN1811" s="45"/>
      <c r="AO1811" s="12"/>
      <c r="AP1811" s="12"/>
      <c r="AQ1811" s="12"/>
      <c r="AR1811" s="12"/>
      <c r="AS1811" s="44"/>
      <c r="AT1811" s="45"/>
      <c r="AU1811" s="12"/>
      <c r="AV1811" s="12"/>
      <c r="AW1811" s="12"/>
      <c r="AX1811" s="12"/>
      <c r="AY1811" s="44"/>
      <c r="AZ1811" s="45"/>
      <c r="BA1811" s="12"/>
      <c r="BB1811" s="12"/>
      <c r="BC1811" s="12"/>
      <c r="BD1811" s="12"/>
      <c r="BE1811" s="44"/>
      <c r="BF1811" s="45"/>
      <c r="BG1811" s="12"/>
      <c r="BH1811" s="12"/>
      <c r="BI1811" s="12"/>
      <c r="BJ1811" s="12"/>
      <c r="BK1811" s="44"/>
      <c r="BL1811" s="45"/>
      <c r="BM1811" s="12"/>
      <c r="BN1811" s="12"/>
      <c r="BO1811" s="12"/>
      <c r="BP1811" s="12"/>
      <c r="BQ1811" s="48"/>
      <c r="BR1811" s="49"/>
      <c r="BS1811" s="13"/>
      <c r="BT1811" s="12"/>
      <c r="BV1811" s="14"/>
      <c r="BW1811" s="50"/>
      <c r="BX1811" s="54"/>
      <c r="BY1811" s="14"/>
      <c r="BZ1811" s="14"/>
      <c r="CA1811" s="14"/>
      <c r="CB1811" s="14"/>
      <c r="CC1811" s="14"/>
      <c r="CD1811" s="14"/>
      <c r="CE1811" s="14"/>
      <c r="CF1811" s="15"/>
      <c r="CG1811" s="14"/>
      <c r="CH1811" s="14"/>
      <c r="CI1811" s="50"/>
      <c r="CJ1811" s="54"/>
      <c r="CK1811" s="14"/>
      <c r="CL1811" s="14"/>
      <c r="CM1811" s="14"/>
      <c r="CN1811" s="14"/>
      <c r="CO1811" s="14"/>
      <c r="CP1811" s="14"/>
      <c r="CQ1811" s="14"/>
      <c r="CR1811" s="14"/>
      <c r="CS1811" s="14"/>
      <c r="CT1811" s="14"/>
      <c r="CU1811" s="16"/>
      <c r="CV1811" s="14"/>
      <c r="CW1811" s="50"/>
      <c r="CX1811" s="17"/>
    </row>
    <row r="1812" spans="4:102" x14ac:dyDescent="0.25">
      <c r="D1812" s="11"/>
      <c r="E1812" s="11"/>
      <c r="F1812" s="11"/>
      <c r="G1812" s="11"/>
      <c r="H1812" s="11"/>
      <c r="I1812" s="11"/>
      <c r="J1812" s="11"/>
      <c r="K1812" s="11"/>
      <c r="L1812" s="11"/>
      <c r="M1812" s="11"/>
      <c r="N1812" s="11"/>
      <c r="O1812" s="11"/>
      <c r="P1812" s="43"/>
      <c r="Q1812" s="11"/>
      <c r="R1812" s="11"/>
      <c r="S1812" s="11"/>
      <c r="T1812" s="11"/>
      <c r="U1812" s="11"/>
      <c r="V1812" s="11"/>
      <c r="W1812" s="11"/>
      <c r="X1812" s="12"/>
      <c r="Y1812" s="12"/>
      <c r="Z1812" s="12"/>
      <c r="AA1812" s="44"/>
      <c r="AB1812" s="45"/>
      <c r="AC1812" s="12"/>
      <c r="AD1812" s="12"/>
      <c r="AE1812" s="12"/>
      <c r="AF1812" s="12"/>
      <c r="AG1812" s="44"/>
      <c r="AH1812" s="45"/>
      <c r="AI1812" s="12"/>
      <c r="AJ1812" s="12"/>
      <c r="AK1812" s="12"/>
      <c r="AL1812" s="12"/>
      <c r="AM1812" s="44"/>
      <c r="AN1812" s="45"/>
      <c r="AO1812" s="12"/>
      <c r="AP1812" s="12"/>
      <c r="AQ1812" s="12"/>
      <c r="AR1812" s="12"/>
      <c r="AS1812" s="44"/>
      <c r="AT1812" s="45"/>
      <c r="AU1812" s="12"/>
      <c r="AV1812" s="12"/>
      <c r="AW1812" s="12"/>
      <c r="AX1812" s="12"/>
      <c r="AY1812" s="44"/>
      <c r="AZ1812" s="45"/>
      <c r="BA1812" s="12"/>
      <c r="BB1812" s="12"/>
      <c r="BC1812" s="12"/>
      <c r="BD1812" s="12"/>
      <c r="BE1812" s="44"/>
      <c r="BF1812" s="45"/>
      <c r="BG1812" s="12"/>
      <c r="BH1812" s="12"/>
      <c r="BI1812" s="12"/>
      <c r="BJ1812" s="12"/>
      <c r="BK1812" s="44"/>
      <c r="BL1812" s="45"/>
      <c r="BM1812" s="12"/>
      <c r="BN1812" s="12"/>
      <c r="BO1812" s="12"/>
      <c r="BP1812" s="12"/>
      <c r="BQ1812" s="48"/>
      <c r="BR1812" s="49"/>
      <c r="BS1812" s="13"/>
      <c r="BT1812" s="12"/>
      <c r="BV1812" s="14"/>
      <c r="BW1812" s="50"/>
      <c r="BX1812" s="54"/>
      <c r="BY1812" s="14"/>
      <c r="BZ1812" s="14"/>
      <c r="CA1812" s="14"/>
      <c r="CB1812" s="14"/>
      <c r="CC1812" s="14"/>
      <c r="CD1812" s="14"/>
      <c r="CE1812" s="14"/>
      <c r="CF1812" s="15"/>
      <c r="CG1812" s="14"/>
      <c r="CH1812" s="14"/>
      <c r="CI1812" s="50"/>
      <c r="CJ1812" s="54"/>
      <c r="CK1812" s="14"/>
      <c r="CL1812" s="14"/>
      <c r="CM1812" s="14"/>
      <c r="CN1812" s="14"/>
      <c r="CO1812" s="14"/>
      <c r="CP1812" s="14"/>
      <c r="CQ1812" s="14"/>
      <c r="CR1812" s="14"/>
      <c r="CS1812" s="14"/>
      <c r="CT1812" s="14"/>
      <c r="CU1812" s="16"/>
      <c r="CV1812" s="14"/>
      <c r="CW1812" s="50"/>
      <c r="CX1812" s="17"/>
    </row>
    <row r="1813" spans="4:102" x14ac:dyDescent="0.25">
      <c r="D1813" s="11"/>
      <c r="E1813" s="11"/>
      <c r="F1813" s="11"/>
      <c r="G1813" s="11"/>
      <c r="H1813" s="11"/>
      <c r="I1813" s="11"/>
      <c r="J1813" s="11"/>
      <c r="K1813" s="11"/>
      <c r="L1813" s="11"/>
      <c r="M1813" s="11"/>
      <c r="N1813" s="11"/>
      <c r="O1813" s="11"/>
      <c r="P1813" s="43"/>
      <c r="Q1813" s="11"/>
      <c r="R1813" s="11"/>
      <c r="S1813" s="11"/>
      <c r="T1813" s="11"/>
      <c r="U1813" s="11"/>
      <c r="V1813" s="11"/>
      <c r="W1813" s="11"/>
      <c r="X1813" s="12"/>
      <c r="Y1813" s="12"/>
      <c r="Z1813" s="12"/>
      <c r="AA1813" s="44"/>
      <c r="AB1813" s="45"/>
      <c r="AC1813" s="12"/>
      <c r="AD1813" s="12"/>
      <c r="AE1813" s="12"/>
      <c r="AF1813" s="12"/>
      <c r="AG1813" s="44"/>
      <c r="AH1813" s="45"/>
      <c r="AI1813" s="12"/>
      <c r="AJ1813" s="12"/>
      <c r="AK1813" s="12"/>
      <c r="AL1813" s="12"/>
      <c r="AM1813" s="44"/>
      <c r="AN1813" s="45"/>
      <c r="AO1813" s="12"/>
      <c r="AP1813" s="12"/>
      <c r="AQ1813" s="12"/>
      <c r="AR1813" s="12"/>
      <c r="AS1813" s="44"/>
      <c r="AT1813" s="45"/>
      <c r="AU1813" s="12"/>
      <c r="AV1813" s="12"/>
      <c r="AW1813" s="12"/>
      <c r="AX1813" s="12"/>
      <c r="AY1813" s="44"/>
      <c r="AZ1813" s="45"/>
      <c r="BA1813" s="12"/>
      <c r="BB1813" s="12"/>
      <c r="BC1813" s="12"/>
      <c r="BD1813" s="12"/>
      <c r="BE1813" s="44"/>
      <c r="BF1813" s="45"/>
      <c r="BG1813" s="12"/>
      <c r="BH1813" s="12"/>
      <c r="BI1813" s="12"/>
      <c r="BJ1813" s="12"/>
      <c r="BK1813" s="44"/>
      <c r="BL1813" s="45"/>
      <c r="BM1813" s="12"/>
      <c r="BN1813" s="12"/>
      <c r="BO1813" s="12"/>
      <c r="BP1813" s="12"/>
      <c r="BQ1813" s="48"/>
      <c r="BR1813" s="49"/>
      <c r="BS1813" s="13"/>
      <c r="BT1813" s="12"/>
      <c r="BV1813" s="14"/>
      <c r="BW1813" s="50"/>
      <c r="BX1813" s="54"/>
      <c r="BY1813" s="14"/>
      <c r="BZ1813" s="14"/>
      <c r="CA1813" s="14"/>
      <c r="CB1813" s="14"/>
      <c r="CC1813" s="14"/>
      <c r="CD1813" s="14"/>
      <c r="CE1813" s="14"/>
      <c r="CF1813" s="15"/>
      <c r="CG1813" s="14"/>
      <c r="CH1813" s="14"/>
      <c r="CI1813" s="50"/>
      <c r="CJ1813" s="54"/>
      <c r="CK1813" s="14"/>
      <c r="CL1813" s="14"/>
      <c r="CM1813" s="14"/>
      <c r="CN1813" s="14"/>
      <c r="CO1813" s="14"/>
      <c r="CP1813" s="14"/>
      <c r="CQ1813" s="14"/>
      <c r="CR1813" s="14"/>
      <c r="CS1813" s="14"/>
      <c r="CT1813" s="14"/>
      <c r="CU1813" s="16"/>
      <c r="CV1813" s="14"/>
      <c r="CW1813" s="50"/>
      <c r="CX1813" s="17"/>
    </row>
    <row r="1814" spans="4:102" x14ac:dyDescent="0.25">
      <c r="D1814" s="11"/>
      <c r="E1814" s="11"/>
      <c r="F1814" s="11"/>
      <c r="G1814" s="11"/>
      <c r="H1814" s="11"/>
      <c r="I1814" s="11"/>
      <c r="J1814" s="11"/>
      <c r="K1814" s="11"/>
      <c r="L1814" s="11"/>
      <c r="M1814" s="11"/>
      <c r="N1814" s="11"/>
      <c r="O1814" s="11"/>
      <c r="P1814" s="43"/>
      <c r="Q1814" s="11"/>
      <c r="R1814" s="11"/>
      <c r="S1814" s="11"/>
      <c r="T1814" s="11"/>
      <c r="U1814" s="11"/>
      <c r="V1814" s="11"/>
      <c r="W1814" s="11"/>
      <c r="X1814" s="12"/>
      <c r="Y1814" s="12"/>
      <c r="Z1814" s="12"/>
      <c r="AA1814" s="44"/>
      <c r="AB1814" s="45"/>
      <c r="AC1814" s="12"/>
      <c r="AD1814" s="12"/>
      <c r="AE1814" s="12"/>
      <c r="AF1814" s="12"/>
      <c r="AG1814" s="44"/>
      <c r="AH1814" s="45"/>
      <c r="AI1814" s="12"/>
      <c r="AJ1814" s="12"/>
      <c r="AK1814" s="12"/>
      <c r="AL1814" s="12"/>
      <c r="AM1814" s="44"/>
      <c r="AN1814" s="45"/>
      <c r="AO1814" s="12"/>
      <c r="AP1814" s="12"/>
      <c r="AQ1814" s="12"/>
      <c r="AR1814" s="12"/>
      <c r="AS1814" s="44"/>
      <c r="AT1814" s="45"/>
      <c r="AU1814" s="12"/>
      <c r="AV1814" s="12"/>
      <c r="AW1814" s="12"/>
      <c r="AX1814" s="12"/>
      <c r="AY1814" s="44"/>
      <c r="AZ1814" s="45"/>
      <c r="BA1814" s="12"/>
      <c r="BB1814" s="12"/>
      <c r="BC1814" s="12"/>
      <c r="BD1814" s="12"/>
      <c r="BE1814" s="44"/>
      <c r="BF1814" s="45"/>
      <c r="BG1814" s="12"/>
      <c r="BH1814" s="12"/>
      <c r="BI1814" s="12"/>
      <c r="BJ1814" s="12"/>
      <c r="BK1814" s="44"/>
      <c r="BL1814" s="45"/>
      <c r="BM1814" s="12"/>
      <c r="BN1814" s="12"/>
      <c r="BO1814" s="12"/>
      <c r="BP1814" s="12"/>
      <c r="BQ1814" s="48"/>
      <c r="BR1814" s="49"/>
      <c r="BS1814" s="13"/>
      <c r="BT1814" s="12"/>
      <c r="BV1814" s="14"/>
      <c r="BW1814" s="50"/>
      <c r="BX1814" s="54"/>
      <c r="BY1814" s="14"/>
      <c r="BZ1814" s="14"/>
      <c r="CA1814" s="14"/>
      <c r="CB1814" s="14"/>
      <c r="CC1814" s="14"/>
      <c r="CD1814" s="14"/>
      <c r="CE1814" s="14"/>
      <c r="CF1814" s="15"/>
      <c r="CG1814" s="14"/>
      <c r="CH1814" s="14"/>
      <c r="CI1814" s="50"/>
      <c r="CJ1814" s="54"/>
      <c r="CK1814" s="14"/>
      <c r="CL1814" s="14"/>
      <c r="CM1814" s="14"/>
      <c r="CN1814" s="14"/>
      <c r="CO1814" s="14"/>
      <c r="CP1814" s="14"/>
      <c r="CQ1814" s="14"/>
      <c r="CR1814" s="14"/>
      <c r="CS1814" s="14"/>
      <c r="CT1814" s="14"/>
      <c r="CU1814" s="16"/>
      <c r="CV1814" s="14"/>
      <c r="CW1814" s="50"/>
      <c r="CX1814" s="17"/>
    </row>
    <row r="1815" spans="4:102" x14ac:dyDescent="0.25">
      <c r="D1815" s="11"/>
      <c r="E1815" s="11"/>
      <c r="F1815" s="11"/>
      <c r="G1815" s="11"/>
      <c r="H1815" s="11"/>
      <c r="I1815" s="11"/>
      <c r="J1815" s="11"/>
      <c r="K1815" s="11"/>
      <c r="L1815" s="11"/>
      <c r="M1815" s="11"/>
      <c r="N1815" s="11"/>
      <c r="O1815" s="11"/>
      <c r="P1815" s="43"/>
      <c r="Q1815" s="11"/>
      <c r="R1815" s="11"/>
      <c r="S1815" s="11"/>
      <c r="T1815" s="11"/>
      <c r="U1815" s="11"/>
      <c r="V1815" s="11"/>
      <c r="W1815" s="11"/>
      <c r="X1815" s="12"/>
      <c r="Y1815" s="12"/>
      <c r="Z1815" s="12"/>
      <c r="AA1815" s="44"/>
      <c r="AB1815" s="45"/>
      <c r="AC1815" s="12"/>
      <c r="AD1815" s="12"/>
      <c r="AE1815" s="12"/>
      <c r="AF1815" s="12"/>
      <c r="AG1815" s="44"/>
      <c r="AH1815" s="45"/>
      <c r="AI1815" s="12"/>
      <c r="AJ1815" s="12"/>
      <c r="AK1815" s="12"/>
      <c r="AL1815" s="12"/>
      <c r="AM1815" s="44"/>
      <c r="AN1815" s="45"/>
      <c r="AO1815" s="12"/>
      <c r="AP1815" s="12"/>
      <c r="AQ1815" s="12"/>
      <c r="AR1815" s="12"/>
      <c r="AS1815" s="44"/>
      <c r="AT1815" s="45"/>
      <c r="AU1815" s="12"/>
      <c r="AV1815" s="12"/>
      <c r="AW1815" s="12"/>
      <c r="AX1815" s="12"/>
      <c r="AY1815" s="44"/>
      <c r="AZ1815" s="45"/>
      <c r="BA1815" s="12"/>
      <c r="BB1815" s="12"/>
      <c r="BC1815" s="12"/>
      <c r="BD1815" s="12"/>
      <c r="BE1815" s="44"/>
      <c r="BF1815" s="45"/>
      <c r="BG1815" s="12"/>
      <c r="BH1815" s="12"/>
      <c r="BI1815" s="12"/>
      <c r="BJ1815" s="12"/>
      <c r="BK1815" s="44"/>
      <c r="BL1815" s="45"/>
      <c r="BM1815" s="12"/>
      <c r="BN1815" s="12"/>
      <c r="BO1815" s="12"/>
      <c r="BP1815" s="12"/>
      <c r="BQ1815" s="48"/>
      <c r="BR1815" s="49"/>
      <c r="BS1815" s="13"/>
      <c r="BT1815" s="12"/>
      <c r="BV1815" s="14"/>
      <c r="BW1815" s="50"/>
      <c r="BX1815" s="54"/>
      <c r="BY1815" s="14"/>
      <c r="BZ1815" s="14"/>
      <c r="CA1815" s="14"/>
      <c r="CB1815" s="14"/>
      <c r="CC1815" s="14"/>
      <c r="CD1815" s="14"/>
      <c r="CE1815" s="14"/>
      <c r="CF1815" s="15"/>
      <c r="CG1815" s="14"/>
      <c r="CH1815" s="14"/>
      <c r="CI1815" s="50"/>
      <c r="CJ1815" s="54"/>
      <c r="CK1815" s="14"/>
      <c r="CL1815" s="14"/>
      <c r="CM1815" s="14"/>
      <c r="CN1815" s="14"/>
      <c r="CO1815" s="14"/>
      <c r="CP1815" s="14"/>
      <c r="CQ1815" s="14"/>
      <c r="CR1815" s="14"/>
      <c r="CS1815" s="14"/>
      <c r="CT1815" s="14"/>
      <c r="CU1815" s="16"/>
      <c r="CV1815" s="14"/>
      <c r="CW1815" s="50"/>
      <c r="CX1815" s="17"/>
    </row>
    <row r="1816" spans="4:102" x14ac:dyDescent="0.25">
      <c r="D1816" s="11"/>
      <c r="E1816" s="11"/>
      <c r="F1816" s="11"/>
      <c r="G1816" s="11"/>
      <c r="H1816" s="11"/>
      <c r="I1816" s="11"/>
      <c r="J1816" s="11"/>
      <c r="K1816" s="11"/>
      <c r="L1816" s="11"/>
      <c r="M1816" s="11"/>
      <c r="N1816" s="11"/>
      <c r="O1816" s="11"/>
      <c r="P1816" s="43"/>
      <c r="Q1816" s="11"/>
      <c r="R1816" s="11"/>
      <c r="S1816" s="11"/>
      <c r="T1816" s="11"/>
      <c r="U1816" s="11"/>
      <c r="V1816" s="11"/>
      <c r="W1816" s="11"/>
      <c r="X1816" s="12"/>
      <c r="Y1816" s="12"/>
      <c r="Z1816" s="12"/>
      <c r="AA1816" s="44"/>
      <c r="AB1816" s="45"/>
      <c r="AC1816" s="12"/>
      <c r="AD1816" s="12"/>
      <c r="AE1816" s="12"/>
      <c r="AF1816" s="12"/>
      <c r="AG1816" s="44"/>
      <c r="AH1816" s="45"/>
      <c r="AI1816" s="12"/>
      <c r="AJ1816" s="12"/>
      <c r="AK1816" s="12"/>
      <c r="AL1816" s="12"/>
      <c r="AM1816" s="44"/>
      <c r="AN1816" s="45"/>
      <c r="AO1816" s="12"/>
      <c r="AP1816" s="12"/>
      <c r="AQ1816" s="12"/>
      <c r="AR1816" s="12"/>
      <c r="AS1816" s="44"/>
      <c r="AT1816" s="45"/>
      <c r="AU1816" s="12"/>
      <c r="AV1816" s="12"/>
      <c r="AW1816" s="12"/>
      <c r="AX1816" s="12"/>
      <c r="AY1816" s="44"/>
      <c r="AZ1816" s="45"/>
      <c r="BA1816" s="12"/>
      <c r="BB1816" s="12"/>
      <c r="BC1816" s="12"/>
      <c r="BD1816" s="12"/>
      <c r="BE1816" s="44"/>
      <c r="BF1816" s="45"/>
      <c r="BG1816" s="12"/>
      <c r="BH1816" s="12"/>
      <c r="BI1816" s="12"/>
      <c r="BJ1816" s="12"/>
      <c r="BK1816" s="44"/>
      <c r="BL1816" s="45"/>
      <c r="BM1816" s="12"/>
      <c r="BN1816" s="12"/>
      <c r="BO1816" s="12"/>
      <c r="BP1816" s="12"/>
      <c r="BQ1816" s="48"/>
      <c r="BR1816" s="49"/>
      <c r="BS1816" s="13"/>
      <c r="BT1816" s="12"/>
      <c r="BV1816" s="14"/>
      <c r="BW1816" s="50"/>
      <c r="BX1816" s="54"/>
      <c r="BY1816" s="14"/>
      <c r="BZ1816" s="14"/>
      <c r="CA1816" s="14"/>
      <c r="CB1816" s="14"/>
      <c r="CC1816" s="14"/>
      <c r="CD1816" s="14"/>
      <c r="CE1816" s="14"/>
      <c r="CF1816" s="15"/>
      <c r="CG1816" s="14"/>
      <c r="CH1816" s="14"/>
      <c r="CI1816" s="50"/>
      <c r="CJ1816" s="54"/>
      <c r="CK1816" s="14"/>
      <c r="CL1816" s="14"/>
      <c r="CM1816" s="14"/>
      <c r="CN1816" s="14"/>
      <c r="CO1816" s="14"/>
      <c r="CP1816" s="14"/>
      <c r="CQ1816" s="14"/>
      <c r="CR1816" s="14"/>
      <c r="CS1816" s="14"/>
      <c r="CT1816" s="14"/>
      <c r="CU1816" s="16"/>
      <c r="CV1816" s="14"/>
      <c r="CW1816" s="50"/>
      <c r="CX1816" s="17"/>
    </row>
    <row r="1817" spans="4:102" x14ac:dyDescent="0.25">
      <c r="D1817" s="11"/>
      <c r="E1817" s="11"/>
      <c r="F1817" s="11"/>
      <c r="G1817" s="11"/>
      <c r="H1817" s="11"/>
      <c r="I1817" s="11"/>
      <c r="J1817" s="11"/>
      <c r="K1817" s="11"/>
      <c r="L1817" s="11"/>
      <c r="M1817" s="11"/>
      <c r="N1817" s="11"/>
      <c r="O1817" s="11"/>
      <c r="P1817" s="43"/>
      <c r="Q1817" s="11"/>
      <c r="R1817" s="11"/>
      <c r="S1817" s="11"/>
      <c r="T1817" s="11"/>
      <c r="U1817" s="11"/>
      <c r="V1817" s="11"/>
      <c r="W1817" s="11"/>
      <c r="X1817" s="12"/>
      <c r="Y1817" s="12"/>
      <c r="Z1817" s="12"/>
      <c r="AA1817" s="44"/>
      <c r="AB1817" s="45"/>
      <c r="AC1817" s="12"/>
      <c r="AD1817" s="12"/>
      <c r="AE1817" s="12"/>
      <c r="AF1817" s="12"/>
      <c r="AG1817" s="44"/>
      <c r="AH1817" s="45"/>
      <c r="AI1817" s="12"/>
      <c r="AJ1817" s="12"/>
      <c r="AK1817" s="12"/>
      <c r="AL1817" s="12"/>
      <c r="AM1817" s="44"/>
      <c r="AN1817" s="45"/>
      <c r="AO1817" s="12"/>
      <c r="AP1817" s="12"/>
      <c r="AQ1817" s="12"/>
      <c r="AR1817" s="12"/>
      <c r="AS1817" s="44"/>
      <c r="AT1817" s="45"/>
      <c r="AU1817" s="12"/>
      <c r="AV1817" s="12"/>
      <c r="AW1817" s="12"/>
      <c r="AX1817" s="12"/>
      <c r="AY1817" s="44"/>
      <c r="AZ1817" s="45"/>
      <c r="BA1817" s="12"/>
      <c r="BB1817" s="12"/>
      <c r="BC1817" s="12"/>
      <c r="BD1817" s="12"/>
      <c r="BE1817" s="44"/>
      <c r="BF1817" s="45"/>
      <c r="BG1817" s="12"/>
      <c r="BH1817" s="12"/>
      <c r="BI1817" s="12"/>
      <c r="BJ1817" s="12"/>
      <c r="BK1817" s="44"/>
      <c r="BL1817" s="45"/>
      <c r="BM1817" s="12"/>
      <c r="BN1817" s="12"/>
      <c r="BO1817" s="12"/>
      <c r="BP1817" s="12"/>
      <c r="BQ1817" s="48"/>
      <c r="BR1817" s="49"/>
      <c r="BS1817" s="13"/>
      <c r="BT1817" s="12"/>
      <c r="BV1817" s="14"/>
      <c r="BW1817" s="50"/>
      <c r="BX1817" s="54"/>
      <c r="BY1817" s="14"/>
      <c r="BZ1817" s="14"/>
      <c r="CA1817" s="14"/>
      <c r="CB1817" s="14"/>
      <c r="CC1817" s="14"/>
      <c r="CD1817" s="14"/>
      <c r="CE1817" s="14"/>
      <c r="CF1817" s="15"/>
      <c r="CG1817" s="14"/>
      <c r="CH1817" s="14"/>
      <c r="CI1817" s="50"/>
      <c r="CJ1817" s="54"/>
      <c r="CK1817" s="14"/>
      <c r="CL1817" s="14"/>
      <c r="CM1817" s="14"/>
      <c r="CN1817" s="14"/>
      <c r="CO1817" s="14"/>
      <c r="CP1817" s="14"/>
      <c r="CQ1817" s="14"/>
      <c r="CR1817" s="14"/>
      <c r="CS1817" s="14"/>
      <c r="CT1817" s="14"/>
      <c r="CU1817" s="16"/>
      <c r="CV1817" s="14"/>
      <c r="CW1817" s="50"/>
      <c r="CX1817" s="17"/>
    </row>
    <row r="1818" spans="4:102" x14ac:dyDescent="0.25">
      <c r="D1818" s="11"/>
      <c r="E1818" s="11"/>
      <c r="F1818" s="11"/>
      <c r="G1818" s="11"/>
      <c r="H1818" s="11"/>
      <c r="I1818" s="11"/>
      <c r="J1818" s="11"/>
      <c r="K1818" s="11"/>
      <c r="L1818" s="11"/>
      <c r="M1818" s="11"/>
      <c r="N1818" s="11"/>
      <c r="O1818" s="11"/>
      <c r="P1818" s="43"/>
      <c r="Q1818" s="11"/>
      <c r="R1818" s="11"/>
      <c r="S1818" s="11"/>
      <c r="T1818" s="11"/>
      <c r="U1818" s="11"/>
      <c r="V1818" s="11"/>
      <c r="W1818" s="11"/>
      <c r="X1818" s="12"/>
      <c r="Y1818" s="12"/>
      <c r="Z1818" s="12"/>
      <c r="AA1818" s="44"/>
      <c r="AB1818" s="45"/>
      <c r="AC1818" s="12"/>
      <c r="AD1818" s="12"/>
      <c r="AE1818" s="12"/>
      <c r="AF1818" s="12"/>
      <c r="AG1818" s="44"/>
      <c r="AH1818" s="45"/>
      <c r="AI1818" s="12"/>
      <c r="AJ1818" s="12"/>
      <c r="AK1818" s="12"/>
      <c r="AL1818" s="12"/>
      <c r="AM1818" s="44"/>
      <c r="AN1818" s="45"/>
      <c r="AO1818" s="12"/>
      <c r="AP1818" s="12"/>
      <c r="AQ1818" s="12"/>
      <c r="AR1818" s="12"/>
      <c r="AS1818" s="44"/>
      <c r="AT1818" s="45"/>
      <c r="AU1818" s="12"/>
      <c r="AV1818" s="12"/>
      <c r="AW1818" s="12"/>
      <c r="AX1818" s="12"/>
      <c r="AY1818" s="44"/>
      <c r="AZ1818" s="45"/>
      <c r="BA1818" s="12"/>
      <c r="BB1818" s="12"/>
      <c r="BC1818" s="12"/>
      <c r="BD1818" s="12"/>
      <c r="BE1818" s="44"/>
      <c r="BF1818" s="45"/>
      <c r="BG1818" s="12"/>
      <c r="BH1818" s="12"/>
      <c r="BI1818" s="12"/>
      <c r="BJ1818" s="12"/>
      <c r="BK1818" s="44"/>
      <c r="BL1818" s="45"/>
      <c r="BM1818" s="12"/>
      <c r="BN1818" s="12"/>
      <c r="BO1818" s="12"/>
      <c r="BP1818" s="12"/>
      <c r="BQ1818" s="48"/>
      <c r="BR1818" s="49"/>
      <c r="BS1818" s="13"/>
      <c r="BT1818" s="12"/>
      <c r="BV1818" s="14"/>
      <c r="BW1818" s="50"/>
      <c r="BX1818" s="54"/>
      <c r="BY1818" s="14"/>
      <c r="BZ1818" s="14"/>
      <c r="CA1818" s="14"/>
      <c r="CB1818" s="14"/>
      <c r="CC1818" s="14"/>
      <c r="CD1818" s="14"/>
      <c r="CE1818" s="14"/>
      <c r="CF1818" s="15"/>
      <c r="CG1818" s="14"/>
      <c r="CH1818" s="14"/>
      <c r="CI1818" s="50"/>
      <c r="CJ1818" s="54"/>
      <c r="CK1818" s="14"/>
      <c r="CL1818" s="14"/>
      <c r="CM1818" s="14"/>
      <c r="CN1818" s="14"/>
      <c r="CO1818" s="14"/>
      <c r="CP1818" s="14"/>
      <c r="CQ1818" s="14"/>
      <c r="CR1818" s="14"/>
      <c r="CS1818" s="14"/>
      <c r="CT1818" s="14"/>
      <c r="CU1818" s="16"/>
      <c r="CV1818" s="14"/>
      <c r="CW1818" s="50"/>
      <c r="CX1818" s="17"/>
    </row>
    <row r="1819" spans="4:102" x14ac:dyDescent="0.25">
      <c r="D1819" s="11"/>
      <c r="E1819" s="11"/>
      <c r="F1819" s="11"/>
      <c r="G1819" s="11"/>
      <c r="H1819" s="11"/>
      <c r="I1819" s="11"/>
      <c r="J1819" s="11"/>
      <c r="K1819" s="11"/>
      <c r="L1819" s="11"/>
      <c r="M1819" s="11"/>
      <c r="N1819" s="11"/>
      <c r="O1819" s="11"/>
      <c r="P1819" s="43"/>
      <c r="Q1819" s="11"/>
      <c r="R1819" s="11"/>
      <c r="S1819" s="11"/>
      <c r="T1819" s="11"/>
      <c r="U1819" s="11"/>
      <c r="V1819" s="11"/>
      <c r="W1819" s="11"/>
      <c r="X1819" s="12"/>
      <c r="Y1819" s="12"/>
      <c r="Z1819" s="12"/>
      <c r="AA1819" s="44"/>
      <c r="AB1819" s="45"/>
      <c r="AC1819" s="12"/>
      <c r="AD1819" s="12"/>
      <c r="AE1819" s="12"/>
      <c r="AF1819" s="12"/>
      <c r="AG1819" s="44"/>
      <c r="AH1819" s="45"/>
      <c r="AI1819" s="12"/>
      <c r="AJ1819" s="12"/>
      <c r="AK1819" s="12"/>
      <c r="AL1819" s="12"/>
      <c r="AM1819" s="44"/>
      <c r="AN1819" s="45"/>
      <c r="AO1819" s="12"/>
      <c r="AP1819" s="12"/>
      <c r="AQ1819" s="12"/>
      <c r="AR1819" s="12"/>
      <c r="AS1819" s="44"/>
      <c r="AT1819" s="45"/>
      <c r="AU1819" s="12"/>
      <c r="AV1819" s="12"/>
      <c r="AW1819" s="12"/>
      <c r="AX1819" s="12"/>
      <c r="AY1819" s="44"/>
      <c r="AZ1819" s="45"/>
      <c r="BA1819" s="12"/>
      <c r="BB1819" s="12"/>
      <c r="BC1819" s="12"/>
      <c r="BD1819" s="12"/>
      <c r="BE1819" s="44"/>
      <c r="BF1819" s="45"/>
      <c r="BG1819" s="12"/>
      <c r="BH1819" s="12"/>
      <c r="BI1819" s="12"/>
      <c r="BJ1819" s="12"/>
      <c r="BK1819" s="44"/>
      <c r="BL1819" s="45"/>
      <c r="BM1819" s="12"/>
      <c r="BN1819" s="12"/>
      <c r="BO1819" s="12"/>
      <c r="BP1819" s="12"/>
      <c r="BQ1819" s="48"/>
      <c r="BR1819" s="49"/>
      <c r="BS1819" s="13"/>
      <c r="BT1819" s="12"/>
      <c r="BV1819" s="14"/>
      <c r="BW1819" s="50"/>
      <c r="BX1819" s="54"/>
      <c r="BY1819" s="14"/>
      <c r="BZ1819" s="14"/>
      <c r="CA1819" s="14"/>
      <c r="CB1819" s="14"/>
      <c r="CC1819" s="14"/>
      <c r="CD1819" s="14"/>
      <c r="CE1819" s="14"/>
      <c r="CF1819" s="15"/>
      <c r="CG1819" s="14"/>
      <c r="CH1819" s="14"/>
      <c r="CI1819" s="50"/>
      <c r="CJ1819" s="54"/>
      <c r="CK1819" s="14"/>
      <c r="CL1819" s="14"/>
      <c r="CM1819" s="14"/>
      <c r="CN1819" s="14"/>
      <c r="CO1819" s="14"/>
      <c r="CP1819" s="14"/>
      <c r="CQ1819" s="14"/>
      <c r="CR1819" s="14"/>
      <c r="CS1819" s="14"/>
      <c r="CT1819" s="14"/>
      <c r="CU1819" s="16"/>
      <c r="CV1819" s="14"/>
      <c r="CW1819" s="50"/>
      <c r="CX1819" s="17"/>
    </row>
    <row r="1820" spans="4:102" x14ac:dyDescent="0.25">
      <c r="D1820" s="11"/>
      <c r="E1820" s="11"/>
      <c r="F1820" s="11"/>
      <c r="G1820" s="11"/>
      <c r="H1820" s="11"/>
      <c r="I1820" s="11"/>
      <c r="J1820" s="11"/>
      <c r="K1820" s="11"/>
      <c r="L1820" s="11"/>
      <c r="M1820" s="11"/>
      <c r="N1820" s="11"/>
      <c r="O1820" s="11"/>
      <c r="P1820" s="43"/>
      <c r="Q1820" s="11"/>
      <c r="R1820" s="11"/>
      <c r="S1820" s="11"/>
      <c r="T1820" s="11"/>
      <c r="U1820" s="11"/>
      <c r="V1820" s="11"/>
      <c r="W1820" s="11"/>
      <c r="X1820" s="12"/>
      <c r="Y1820" s="12"/>
      <c r="Z1820" s="12"/>
      <c r="AA1820" s="44"/>
      <c r="AB1820" s="45"/>
      <c r="AC1820" s="12"/>
      <c r="AD1820" s="12"/>
      <c r="AE1820" s="12"/>
      <c r="AF1820" s="12"/>
      <c r="AG1820" s="44"/>
      <c r="AH1820" s="45"/>
      <c r="AI1820" s="12"/>
      <c r="AJ1820" s="12"/>
      <c r="AK1820" s="12"/>
      <c r="AL1820" s="12"/>
      <c r="AM1820" s="44"/>
      <c r="AN1820" s="45"/>
      <c r="AO1820" s="12"/>
      <c r="AP1820" s="12"/>
      <c r="AQ1820" s="12"/>
      <c r="AR1820" s="12"/>
      <c r="AS1820" s="44"/>
      <c r="AT1820" s="45"/>
      <c r="AU1820" s="12"/>
      <c r="AV1820" s="12"/>
      <c r="AW1820" s="12"/>
      <c r="AX1820" s="12"/>
      <c r="AY1820" s="44"/>
      <c r="AZ1820" s="45"/>
      <c r="BA1820" s="12"/>
      <c r="BB1820" s="12"/>
      <c r="BC1820" s="12"/>
      <c r="BD1820" s="12"/>
      <c r="BE1820" s="44"/>
      <c r="BF1820" s="45"/>
      <c r="BG1820" s="12"/>
      <c r="BH1820" s="12"/>
      <c r="BI1820" s="12"/>
      <c r="BJ1820" s="12"/>
      <c r="BK1820" s="44"/>
      <c r="BL1820" s="45"/>
      <c r="BM1820" s="12"/>
      <c r="BN1820" s="12"/>
      <c r="BO1820" s="12"/>
      <c r="BP1820" s="12"/>
      <c r="BQ1820" s="48"/>
      <c r="BR1820" s="49"/>
      <c r="BS1820" s="13"/>
      <c r="BT1820" s="12"/>
      <c r="BV1820" s="14"/>
      <c r="BW1820" s="50"/>
      <c r="BX1820" s="54"/>
      <c r="BY1820" s="14"/>
      <c r="BZ1820" s="14"/>
      <c r="CA1820" s="14"/>
      <c r="CB1820" s="14"/>
      <c r="CC1820" s="14"/>
      <c r="CD1820" s="14"/>
      <c r="CE1820" s="14"/>
      <c r="CF1820" s="15"/>
      <c r="CG1820" s="14"/>
      <c r="CH1820" s="14"/>
      <c r="CI1820" s="50"/>
      <c r="CJ1820" s="54"/>
      <c r="CK1820" s="14"/>
      <c r="CL1820" s="14"/>
      <c r="CM1820" s="14"/>
      <c r="CN1820" s="14"/>
      <c r="CO1820" s="14"/>
      <c r="CP1820" s="14"/>
      <c r="CQ1820" s="14"/>
      <c r="CR1820" s="14"/>
      <c r="CS1820" s="14"/>
      <c r="CT1820" s="14"/>
      <c r="CU1820" s="16"/>
      <c r="CV1820" s="14"/>
      <c r="CW1820" s="50"/>
      <c r="CX1820" s="17"/>
    </row>
    <row r="1821" spans="4:102" x14ac:dyDescent="0.25">
      <c r="D1821" s="11"/>
      <c r="E1821" s="11"/>
      <c r="F1821" s="11"/>
      <c r="G1821" s="11"/>
      <c r="H1821" s="11"/>
      <c r="I1821" s="11"/>
      <c r="J1821" s="11"/>
      <c r="K1821" s="11"/>
      <c r="L1821" s="11"/>
      <c r="M1821" s="11"/>
      <c r="N1821" s="11"/>
      <c r="O1821" s="11"/>
      <c r="P1821" s="43"/>
      <c r="Q1821" s="11"/>
      <c r="R1821" s="11"/>
      <c r="S1821" s="11"/>
      <c r="T1821" s="11"/>
      <c r="U1821" s="11"/>
      <c r="V1821" s="11"/>
      <c r="W1821" s="11"/>
      <c r="X1821" s="12"/>
      <c r="Y1821" s="12"/>
      <c r="Z1821" s="12"/>
      <c r="AA1821" s="44"/>
      <c r="AB1821" s="45"/>
      <c r="AC1821" s="12"/>
      <c r="AD1821" s="12"/>
      <c r="AE1821" s="12"/>
      <c r="AF1821" s="12"/>
      <c r="AG1821" s="44"/>
      <c r="AH1821" s="45"/>
      <c r="AI1821" s="12"/>
      <c r="AJ1821" s="12"/>
      <c r="AK1821" s="12"/>
      <c r="AL1821" s="12"/>
      <c r="AM1821" s="44"/>
      <c r="AN1821" s="45"/>
      <c r="AO1821" s="12"/>
      <c r="AP1821" s="12"/>
      <c r="AQ1821" s="12"/>
      <c r="AR1821" s="12"/>
      <c r="AS1821" s="44"/>
      <c r="AT1821" s="45"/>
      <c r="AU1821" s="12"/>
      <c r="AV1821" s="12"/>
      <c r="AW1821" s="12"/>
      <c r="AX1821" s="12"/>
      <c r="AY1821" s="44"/>
      <c r="AZ1821" s="45"/>
      <c r="BA1821" s="12"/>
      <c r="BB1821" s="12"/>
      <c r="BC1821" s="12"/>
      <c r="BD1821" s="12"/>
      <c r="BE1821" s="44"/>
      <c r="BF1821" s="45"/>
      <c r="BG1821" s="12"/>
      <c r="BH1821" s="12"/>
      <c r="BI1821" s="12"/>
      <c r="BJ1821" s="12"/>
      <c r="BK1821" s="44"/>
      <c r="BL1821" s="45"/>
      <c r="BM1821" s="12"/>
      <c r="BN1821" s="12"/>
      <c r="BO1821" s="12"/>
      <c r="BP1821" s="12"/>
      <c r="BQ1821" s="48"/>
      <c r="BR1821" s="49"/>
      <c r="BS1821" s="13"/>
      <c r="BT1821" s="12"/>
      <c r="BV1821" s="14"/>
      <c r="BW1821" s="50"/>
      <c r="BX1821" s="54"/>
      <c r="BY1821" s="14"/>
      <c r="BZ1821" s="14"/>
      <c r="CA1821" s="14"/>
      <c r="CB1821" s="14"/>
      <c r="CC1821" s="14"/>
      <c r="CD1821" s="14"/>
      <c r="CE1821" s="14"/>
      <c r="CF1821" s="15"/>
      <c r="CG1821" s="14"/>
      <c r="CH1821" s="14"/>
      <c r="CI1821" s="50"/>
      <c r="CJ1821" s="54"/>
      <c r="CK1821" s="14"/>
      <c r="CL1821" s="14"/>
      <c r="CM1821" s="14"/>
      <c r="CN1821" s="14"/>
      <c r="CO1821" s="14"/>
      <c r="CP1821" s="14"/>
      <c r="CQ1821" s="14"/>
      <c r="CR1821" s="14"/>
      <c r="CS1821" s="14"/>
      <c r="CT1821" s="14"/>
      <c r="CU1821" s="16"/>
      <c r="CV1821" s="14"/>
      <c r="CW1821" s="50"/>
      <c r="CX1821" s="17"/>
    </row>
    <row r="1822" spans="4:102" x14ac:dyDescent="0.25">
      <c r="D1822" s="11"/>
      <c r="E1822" s="11"/>
      <c r="F1822" s="11"/>
      <c r="G1822" s="11"/>
      <c r="H1822" s="11"/>
      <c r="I1822" s="11"/>
      <c r="J1822" s="11"/>
      <c r="K1822" s="11"/>
      <c r="L1822" s="11"/>
      <c r="M1822" s="11"/>
      <c r="N1822" s="11"/>
      <c r="O1822" s="11"/>
      <c r="P1822" s="43"/>
      <c r="Q1822" s="11"/>
      <c r="R1822" s="11"/>
      <c r="S1822" s="11"/>
      <c r="T1822" s="11"/>
      <c r="U1822" s="11"/>
      <c r="V1822" s="11"/>
      <c r="W1822" s="11"/>
      <c r="X1822" s="12"/>
      <c r="Y1822" s="12"/>
      <c r="Z1822" s="12"/>
      <c r="AA1822" s="44"/>
      <c r="AB1822" s="45"/>
      <c r="AC1822" s="12"/>
      <c r="AD1822" s="12"/>
      <c r="AE1822" s="12"/>
      <c r="AF1822" s="12"/>
      <c r="AG1822" s="44"/>
      <c r="AH1822" s="45"/>
      <c r="AI1822" s="12"/>
      <c r="AJ1822" s="12"/>
      <c r="AK1822" s="12"/>
      <c r="AL1822" s="12"/>
      <c r="AM1822" s="44"/>
      <c r="AN1822" s="45"/>
      <c r="AO1822" s="12"/>
      <c r="AP1822" s="12"/>
      <c r="AQ1822" s="12"/>
      <c r="AR1822" s="12"/>
      <c r="AS1822" s="44"/>
      <c r="AT1822" s="45"/>
      <c r="AU1822" s="12"/>
      <c r="AV1822" s="12"/>
      <c r="AW1822" s="12"/>
      <c r="AX1822" s="12"/>
      <c r="AY1822" s="44"/>
      <c r="AZ1822" s="45"/>
      <c r="BA1822" s="12"/>
      <c r="BB1822" s="12"/>
      <c r="BC1822" s="12"/>
      <c r="BD1822" s="12"/>
      <c r="BE1822" s="44"/>
      <c r="BF1822" s="45"/>
      <c r="BG1822" s="12"/>
      <c r="BH1822" s="12"/>
      <c r="BI1822" s="12"/>
      <c r="BJ1822" s="12"/>
      <c r="BK1822" s="44"/>
      <c r="BL1822" s="45"/>
      <c r="BM1822" s="12"/>
      <c r="BN1822" s="12"/>
      <c r="BO1822" s="12"/>
      <c r="BP1822" s="12"/>
      <c r="BQ1822" s="48"/>
      <c r="BR1822" s="49"/>
      <c r="BS1822" s="13"/>
      <c r="BT1822" s="12"/>
      <c r="BV1822" s="14"/>
      <c r="BW1822" s="50"/>
      <c r="BX1822" s="54"/>
      <c r="BY1822" s="14"/>
      <c r="BZ1822" s="14"/>
      <c r="CA1822" s="14"/>
      <c r="CB1822" s="14"/>
      <c r="CC1822" s="14"/>
      <c r="CD1822" s="14"/>
      <c r="CE1822" s="14"/>
      <c r="CF1822" s="15"/>
      <c r="CG1822" s="14"/>
      <c r="CH1822" s="14"/>
      <c r="CI1822" s="50"/>
      <c r="CJ1822" s="54"/>
      <c r="CK1822" s="14"/>
      <c r="CL1822" s="14"/>
      <c r="CM1822" s="14"/>
      <c r="CN1822" s="14"/>
      <c r="CO1822" s="14"/>
      <c r="CP1822" s="14"/>
      <c r="CQ1822" s="14"/>
      <c r="CR1822" s="14"/>
      <c r="CS1822" s="14"/>
      <c r="CT1822" s="14"/>
      <c r="CU1822" s="16"/>
      <c r="CV1822" s="14"/>
      <c r="CW1822" s="50"/>
      <c r="CX1822" s="17"/>
    </row>
    <row r="1823" spans="4:102" x14ac:dyDescent="0.25">
      <c r="D1823" s="11"/>
      <c r="E1823" s="11"/>
      <c r="F1823" s="11"/>
      <c r="G1823" s="11"/>
      <c r="H1823" s="11"/>
      <c r="I1823" s="11"/>
      <c r="J1823" s="11"/>
      <c r="K1823" s="11"/>
      <c r="L1823" s="11"/>
      <c r="M1823" s="11"/>
      <c r="N1823" s="11"/>
      <c r="O1823" s="11"/>
      <c r="P1823" s="43"/>
      <c r="Q1823" s="11"/>
      <c r="R1823" s="11"/>
      <c r="S1823" s="11"/>
      <c r="T1823" s="11"/>
      <c r="U1823" s="11"/>
      <c r="V1823" s="11"/>
      <c r="W1823" s="11"/>
      <c r="X1823" s="12"/>
      <c r="Y1823" s="12"/>
      <c r="Z1823" s="12"/>
      <c r="AA1823" s="44"/>
      <c r="AB1823" s="45"/>
      <c r="AC1823" s="12"/>
      <c r="AD1823" s="12"/>
      <c r="AE1823" s="12"/>
      <c r="AF1823" s="12"/>
      <c r="AG1823" s="44"/>
      <c r="AH1823" s="45"/>
      <c r="AI1823" s="12"/>
      <c r="AJ1823" s="12"/>
      <c r="AK1823" s="12"/>
      <c r="AL1823" s="12"/>
      <c r="AM1823" s="44"/>
      <c r="AN1823" s="45"/>
      <c r="AO1823" s="12"/>
      <c r="AP1823" s="12"/>
      <c r="AQ1823" s="12"/>
      <c r="AR1823" s="12"/>
      <c r="AS1823" s="44"/>
      <c r="AT1823" s="45"/>
      <c r="AU1823" s="12"/>
      <c r="AV1823" s="12"/>
      <c r="AW1823" s="12"/>
      <c r="AX1823" s="12"/>
      <c r="AY1823" s="44"/>
      <c r="AZ1823" s="45"/>
      <c r="BA1823" s="12"/>
      <c r="BB1823" s="12"/>
      <c r="BC1823" s="12"/>
      <c r="BD1823" s="12"/>
      <c r="BE1823" s="44"/>
      <c r="BF1823" s="45"/>
      <c r="BG1823" s="12"/>
      <c r="BH1823" s="12"/>
      <c r="BI1823" s="12"/>
      <c r="BJ1823" s="12"/>
      <c r="BK1823" s="44"/>
      <c r="BL1823" s="45"/>
      <c r="BM1823" s="12"/>
      <c r="BN1823" s="12"/>
      <c r="BO1823" s="12"/>
      <c r="BP1823" s="12"/>
      <c r="BQ1823" s="48"/>
      <c r="BR1823" s="49"/>
      <c r="BS1823" s="13"/>
      <c r="BT1823" s="12"/>
      <c r="BV1823" s="14"/>
      <c r="BW1823" s="50"/>
      <c r="BX1823" s="54"/>
      <c r="BY1823" s="14"/>
      <c r="BZ1823" s="14"/>
      <c r="CA1823" s="14"/>
      <c r="CB1823" s="14"/>
      <c r="CC1823" s="14"/>
      <c r="CD1823" s="14"/>
      <c r="CE1823" s="14"/>
      <c r="CF1823" s="15"/>
      <c r="CG1823" s="14"/>
      <c r="CH1823" s="14"/>
      <c r="CI1823" s="50"/>
      <c r="CJ1823" s="54"/>
      <c r="CK1823" s="14"/>
      <c r="CL1823" s="14"/>
      <c r="CM1823" s="14"/>
      <c r="CN1823" s="14"/>
      <c r="CO1823" s="14"/>
      <c r="CP1823" s="14"/>
      <c r="CQ1823" s="14"/>
      <c r="CR1823" s="14"/>
      <c r="CS1823" s="14"/>
      <c r="CT1823" s="14"/>
      <c r="CU1823" s="16"/>
      <c r="CV1823" s="14"/>
      <c r="CW1823" s="50"/>
      <c r="CX1823" s="17"/>
    </row>
    <row r="1824" spans="4:102" x14ac:dyDescent="0.25">
      <c r="D1824" s="11"/>
      <c r="E1824" s="11"/>
      <c r="F1824" s="11"/>
      <c r="G1824" s="11"/>
      <c r="H1824" s="11"/>
      <c r="I1824" s="11"/>
      <c r="J1824" s="11"/>
      <c r="K1824" s="11"/>
      <c r="L1824" s="11"/>
      <c r="M1824" s="11"/>
      <c r="N1824" s="11"/>
      <c r="O1824" s="11"/>
      <c r="P1824" s="43"/>
      <c r="Q1824" s="11"/>
      <c r="R1824" s="11"/>
      <c r="S1824" s="11"/>
      <c r="T1824" s="11"/>
      <c r="U1824" s="11"/>
      <c r="V1824" s="11"/>
      <c r="W1824" s="11"/>
      <c r="X1824" s="12"/>
      <c r="Y1824" s="12"/>
      <c r="Z1824" s="12"/>
      <c r="AA1824" s="44"/>
      <c r="AB1824" s="45"/>
      <c r="AC1824" s="12"/>
      <c r="AD1824" s="12"/>
      <c r="AE1824" s="12"/>
      <c r="AF1824" s="12"/>
      <c r="AG1824" s="44"/>
      <c r="AH1824" s="45"/>
      <c r="AI1824" s="12"/>
      <c r="AJ1824" s="12"/>
      <c r="AK1824" s="12"/>
      <c r="AL1824" s="12"/>
      <c r="AM1824" s="44"/>
      <c r="AN1824" s="45"/>
      <c r="AO1824" s="12"/>
      <c r="AP1824" s="12"/>
      <c r="AQ1824" s="12"/>
      <c r="AR1824" s="12"/>
      <c r="AS1824" s="44"/>
      <c r="AT1824" s="45"/>
      <c r="AU1824" s="12"/>
      <c r="AV1824" s="12"/>
      <c r="AW1824" s="12"/>
      <c r="AX1824" s="12"/>
      <c r="AY1824" s="44"/>
      <c r="AZ1824" s="45"/>
      <c r="BA1824" s="12"/>
      <c r="BB1824" s="12"/>
      <c r="BC1824" s="12"/>
      <c r="BD1824" s="12"/>
      <c r="BE1824" s="44"/>
      <c r="BF1824" s="45"/>
      <c r="BG1824" s="12"/>
      <c r="BH1824" s="12"/>
      <c r="BI1824" s="12"/>
      <c r="BJ1824" s="12"/>
      <c r="BK1824" s="44"/>
      <c r="BL1824" s="45"/>
      <c r="BM1824" s="12"/>
      <c r="BN1824" s="12"/>
      <c r="BO1824" s="12"/>
      <c r="BP1824" s="12"/>
      <c r="BQ1824" s="48"/>
      <c r="BR1824" s="49"/>
      <c r="BS1824" s="13"/>
      <c r="BT1824" s="12"/>
      <c r="BV1824" s="14"/>
      <c r="BW1824" s="50"/>
      <c r="BX1824" s="54"/>
      <c r="BY1824" s="14"/>
      <c r="BZ1824" s="14"/>
      <c r="CA1824" s="14"/>
      <c r="CB1824" s="14"/>
      <c r="CC1824" s="14"/>
      <c r="CD1824" s="14"/>
      <c r="CE1824" s="14"/>
      <c r="CF1824" s="15"/>
      <c r="CG1824" s="14"/>
      <c r="CH1824" s="14"/>
      <c r="CI1824" s="50"/>
      <c r="CJ1824" s="54"/>
      <c r="CK1824" s="14"/>
      <c r="CL1824" s="14"/>
      <c r="CM1824" s="14"/>
      <c r="CN1824" s="14"/>
      <c r="CO1824" s="14"/>
      <c r="CP1824" s="14"/>
      <c r="CQ1824" s="14"/>
      <c r="CR1824" s="14"/>
      <c r="CS1824" s="14"/>
      <c r="CT1824" s="14"/>
      <c r="CU1824" s="16"/>
      <c r="CV1824" s="14"/>
      <c r="CW1824" s="50"/>
      <c r="CX1824" s="17"/>
    </row>
    <row r="1825" spans="4:102" x14ac:dyDescent="0.25">
      <c r="D1825" s="11"/>
      <c r="E1825" s="11"/>
      <c r="F1825" s="11"/>
      <c r="G1825" s="11"/>
      <c r="H1825" s="11"/>
      <c r="I1825" s="11"/>
      <c r="J1825" s="11"/>
      <c r="K1825" s="11"/>
      <c r="L1825" s="11"/>
      <c r="M1825" s="11"/>
      <c r="N1825" s="11"/>
      <c r="O1825" s="11"/>
      <c r="P1825" s="43"/>
      <c r="Q1825" s="11"/>
      <c r="R1825" s="11"/>
      <c r="S1825" s="11"/>
      <c r="T1825" s="11"/>
      <c r="U1825" s="11"/>
      <c r="V1825" s="11"/>
      <c r="W1825" s="11"/>
      <c r="X1825" s="12"/>
      <c r="Y1825" s="12"/>
      <c r="Z1825" s="12"/>
      <c r="AA1825" s="44"/>
      <c r="AB1825" s="45"/>
      <c r="AC1825" s="12"/>
      <c r="AD1825" s="12"/>
      <c r="AE1825" s="12"/>
      <c r="AF1825" s="12"/>
      <c r="AG1825" s="44"/>
      <c r="AH1825" s="45"/>
      <c r="AI1825" s="12"/>
      <c r="AJ1825" s="12"/>
      <c r="AK1825" s="12"/>
      <c r="AL1825" s="12"/>
      <c r="AM1825" s="44"/>
      <c r="AN1825" s="45"/>
      <c r="AO1825" s="12"/>
      <c r="AP1825" s="12"/>
      <c r="AQ1825" s="12"/>
      <c r="AR1825" s="12"/>
      <c r="AS1825" s="44"/>
      <c r="AT1825" s="45"/>
      <c r="AU1825" s="12"/>
      <c r="AV1825" s="12"/>
      <c r="AW1825" s="12"/>
      <c r="AX1825" s="12"/>
      <c r="AY1825" s="44"/>
      <c r="AZ1825" s="45"/>
      <c r="BA1825" s="12"/>
      <c r="BB1825" s="12"/>
      <c r="BC1825" s="12"/>
      <c r="BD1825" s="12"/>
      <c r="BE1825" s="44"/>
      <c r="BF1825" s="45"/>
      <c r="BG1825" s="12"/>
      <c r="BH1825" s="12"/>
      <c r="BI1825" s="12"/>
      <c r="BJ1825" s="12"/>
      <c r="BK1825" s="44"/>
      <c r="BL1825" s="45"/>
      <c r="BM1825" s="12"/>
      <c r="BN1825" s="12"/>
      <c r="BO1825" s="12"/>
      <c r="BP1825" s="12"/>
      <c r="BQ1825" s="48"/>
      <c r="BR1825" s="49"/>
      <c r="BS1825" s="13"/>
      <c r="BT1825" s="12"/>
      <c r="BV1825" s="14"/>
      <c r="BW1825" s="50"/>
      <c r="BX1825" s="54"/>
      <c r="BY1825" s="14"/>
      <c r="BZ1825" s="14"/>
      <c r="CA1825" s="14"/>
      <c r="CB1825" s="14"/>
      <c r="CC1825" s="14"/>
      <c r="CD1825" s="14"/>
      <c r="CE1825" s="14"/>
      <c r="CF1825" s="15"/>
      <c r="CG1825" s="14"/>
      <c r="CH1825" s="14"/>
      <c r="CI1825" s="50"/>
      <c r="CJ1825" s="54"/>
      <c r="CK1825" s="14"/>
      <c r="CL1825" s="14"/>
      <c r="CM1825" s="14"/>
      <c r="CN1825" s="14"/>
      <c r="CO1825" s="14"/>
      <c r="CP1825" s="14"/>
      <c r="CQ1825" s="14"/>
      <c r="CR1825" s="14"/>
      <c r="CS1825" s="14"/>
      <c r="CT1825" s="14"/>
      <c r="CU1825" s="16"/>
      <c r="CV1825" s="14"/>
      <c r="CW1825" s="50"/>
      <c r="CX1825" s="17"/>
    </row>
    <row r="1826" spans="4:102" x14ac:dyDescent="0.25">
      <c r="D1826" s="11"/>
      <c r="E1826" s="11"/>
      <c r="F1826" s="11"/>
      <c r="G1826" s="11"/>
      <c r="H1826" s="11"/>
      <c r="I1826" s="11"/>
      <c r="J1826" s="11"/>
      <c r="K1826" s="11"/>
      <c r="L1826" s="11"/>
      <c r="M1826" s="11"/>
      <c r="N1826" s="11"/>
      <c r="O1826" s="11"/>
      <c r="P1826" s="43"/>
      <c r="Q1826" s="11"/>
      <c r="R1826" s="11"/>
      <c r="S1826" s="11"/>
      <c r="T1826" s="11"/>
      <c r="U1826" s="11"/>
      <c r="V1826" s="11"/>
      <c r="W1826" s="11"/>
      <c r="X1826" s="12"/>
      <c r="Y1826" s="12"/>
      <c r="Z1826" s="12"/>
      <c r="AA1826" s="44"/>
      <c r="AB1826" s="45"/>
      <c r="AC1826" s="12"/>
      <c r="AD1826" s="12"/>
      <c r="AE1826" s="12"/>
      <c r="AF1826" s="12"/>
      <c r="AG1826" s="44"/>
      <c r="AH1826" s="45"/>
      <c r="AI1826" s="12"/>
      <c r="AJ1826" s="12"/>
      <c r="AK1826" s="12"/>
      <c r="AL1826" s="12"/>
      <c r="AM1826" s="44"/>
      <c r="AN1826" s="45"/>
      <c r="AO1826" s="12"/>
      <c r="AP1826" s="12"/>
      <c r="AQ1826" s="12"/>
      <c r="AR1826" s="12"/>
      <c r="AS1826" s="44"/>
      <c r="AT1826" s="45"/>
      <c r="AU1826" s="12"/>
      <c r="AV1826" s="12"/>
      <c r="AW1826" s="12"/>
      <c r="AX1826" s="12"/>
      <c r="AY1826" s="44"/>
      <c r="AZ1826" s="45"/>
      <c r="BA1826" s="12"/>
      <c r="BB1826" s="12"/>
      <c r="BC1826" s="12"/>
      <c r="BD1826" s="12"/>
      <c r="BE1826" s="44"/>
      <c r="BF1826" s="45"/>
      <c r="BG1826" s="12"/>
      <c r="BH1826" s="12"/>
      <c r="BI1826" s="12"/>
      <c r="BJ1826" s="12"/>
      <c r="BK1826" s="44"/>
      <c r="BL1826" s="45"/>
      <c r="BM1826" s="12"/>
      <c r="BN1826" s="12"/>
      <c r="BO1826" s="12"/>
      <c r="BP1826" s="12"/>
      <c r="BQ1826" s="48"/>
      <c r="BR1826" s="49"/>
      <c r="BS1826" s="13"/>
      <c r="BT1826" s="12"/>
      <c r="BV1826" s="14"/>
      <c r="BW1826" s="50"/>
      <c r="BX1826" s="54"/>
      <c r="BY1826" s="14"/>
      <c r="BZ1826" s="14"/>
      <c r="CA1826" s="14"/>
      <c r="CB1826" s="14"/>
      <c r="CC1826" s="14"/>
      <c r="CD1826" s="14"/>
      <c r="CE1826" s="14"/>
      <c r="CF1826" s="15"/>
      <c r="CG1826" s="14"/>
      <c r="CH1826" s="14"/>
      <c r="CI1826" s="50"/>
      <c r="CJ1826" s="54"/>
      <c r="CK1826" s="14"/>
      <c r="CL1826" s="14"/>
      <c r="CM1826" s="14"/>
      <c r="CN1826" s="14"/>
      <c r="CO1826" s="14"/>
      <c r="CP1826" s="14"/>
      <c r="CQ1826" s="14"/>
      <c r="CR1826" s="14"/>
      <c r="CS1826" s="14"/>
      <c r="CT1826" s="14"/>
      <c r="CU1826" s="16"/>
      <c r="CV1826" s="14"/>
      <c r="CW1826" s="50"/>
      <c r="CX1826" s="17"/>
    </row>
    <row r="1827" spans="4:102" x14ac:dyDescent="0.25">
      <c r="D1827" s="11"/>
      <c r="E1827" s="11"/>
      <c r="F1827" s="11"/>
      <c r="G1827" s="11"/>
      <c r="H1827" s="11"/>
      <c r="I1827" s="11"/>
      <c r="J1827" s="11"/>
      <c r="K1827" s="11"/>
      <c r="L1827" s="11"/>
      <c r="M1827" s="11"/>
      <c r="N1827" s="11"/>
      <c r="O1827" s="11"/>
      <c r="P1827" s="43"/>
      <c r="Q1827" s="11"/>
      <c r="R1827" s="11"/>
      <c r="S1827" s="11"/>
      <c r="T1827" s="11"/>
      <c r="U1827" s="11"/>
      <c r="V1827" s="11"/>
      <c r="W1827" s="11"/>
      <c r="X1827" s="12"/>
      <c r="Y1827" s="12"/>
      <c r="Z1827" s="12"/>
      <c r="AA1827" s="44"/>
      <c r="AB1827" s="45"/>
      <c r="AC1827" s="12"/>
      <c r="AD1827" s="12"/>
      <c r="AE1827" s="12"/>
      <c r="AF1827" s="12"/>
      <c r="AG1827" s="44"/>
      <c r="AH1827" s="45"/>
      <c r="AI1827" s="12"/>
      <c r="AJ1827" s="12"/>
      <c r="AK1827" s="12"/>
      <c r="AL1827" s="12"/>
      <c r="AM1827" s="44"/>
      <c r="AN1827" s="45"/>
      <c r="AO1827" s="12"/>
      <c r="AP1827" s="12"/>
      <c r="AQ1827" s="12"/>
      <c r="AR1827" s="12"/>
      <c r="AS1827" s="44"/>
      <c r="AT1827" s="45"/>
      <c r="AU1827" s="12"/>
      <c r="AV1827" s="12"/>
      <c r="AW1827" s="12"/>
      <c r="AX1827" s="12"/>
      <c r="AY1827" s="44"/>
      <c r="AZ1827" s="45"/>
      <c r="BA1827" s="12"/>
      <c r="BB1827" s="12"/>
      <c r="BC1827" s="12"/>
      <c r="BD1827" s="12"/>
      <c r="BE1827" s="44"/>
      <c r="BF1827" s="45"/>
      <c r="BG1827" s="12"/>
      <c r="BH1827" s="12"/>
      <c r="BI1827" s="12"/>
      <c r="BJ1827" s="12"/>
      <c r="BK1827" s="44"/>
      <c r="BL1827" s="45"/>
      <c r="BM1827" s="12"/>
      <c r="BN1827" s="12"/>
      <c r="BO1827" s="12"/>
      <c r="BP1827" s="12"/>
      <c r="BQ1827" s="48"/>
      <c r="BR1827" s="49"/>
      <c r="BS1827" s="13"/>
      <c r="BT1827" s="12"/>
      <c r="BV1827" s="14"/>
      <c r="BW1827" s="50"/>
      <c r="BX1827" s="54"/>
      <c r="BY1827" s="14"/>
      <c r="BZ1827" s="14"/>
      <c r="CA1827" s="14"/>
      <c r="CB1827" s="14"/>
      <c r="CC1827" s="14"/>
      <c r="CD1827" s="14"/>
      <c r="CE1827" s="14"/>
      <c r="CF1827" s="15"/>
      <c r="CG1827" s="14"/>
      <c r="CH1827" s="14"/>
      <c r="CI1827" s="50"/>
      <c r="CJ1827" s="54"/>
      <c r="CK1827" s="14"/>
      <c r="CL1827" s="14"/>
      <c r="CM1827" s="14"/>
      <c r="CN1827" s="14"/>
      <c r="CO1827" s="14"/>
      <c r="CP1827" s="14"/>
      <c r="CQ1827" s="14"/>
      <c r="CR1827" s="14"/>
      <c r="CS1827" s="14"/>
      <c r="CT1827" s="14"/>
      <c r="CU1827" s="16"/>
      <c r="CV1827" s="14"/>
      <c r="CW1827" s="50"/>
      <c r="CX1827" s="17"/>
    </row>
    <row r="1828" spans="4:102" x14ac:dyDescent="0.25">
      <c r="D1828" s="11"/>
      <c r="E1828" s="11"/>
      <c r="F1828" s="11"/>
      <c r="G1828" s="11"/>
      <c r="H1828" s="11"/>
      <c r="I1828" s="11"/>
      <c r="J1828" s="11"/>
      <c r="K1828" s="11"/>
      <c r="L1828" s="11"/>
      <c r="M1828" s="11"/>
      <c r="N1828" s="11"/>
      <c r="O1828" s="11"/>
      <c r="P1828" s="43"/>
      <c r="Q1828" s="11"/>
      <c r="R1828" s="11"/>
      <c r="S1828" s="11"/>
      <c r="T1828" s="11"/>
      <c r="U1828" s="11"/>
      <c r="V1828" s="11"/>
      <c r="W1828" s="11"/>
      <c r="X1828" s="12"/>
      <c r="Y1828" s="12"/>
      <c r="Z1828" s="12"/>
      <c r="AA1828" s="44"/>
      <c r="AB1828" s="45"/>
      <c r="AC1828" s="12"/>
      <c r="AD1828" s="12"/>
      <c r="AE1828" s="12"/>
      <c r="AF1828" s="12"/>
      <c r="AG1828" s="44"/>
      <c r="AH1828" s="45"/>
      <c r="AI1828" s="12"/>
      <c r="AJ1828" s="12"/>
      <c r="AK1828" s="12"/>
      <c r="AL1828" s="12"/>
      <c r="AM1828" s="44"/>
      <c r="AN1828" s="45"/>
      <c r="AO1828" s="12"/>
      <c r="AP1828" s="12"/>
      <c r="AQ1828" s="12"/>
      <c r="AR1828" s="12"/>
      <c r="AS1828" s="44"/>
      <c r="AT1828" s="45"/>
      <c r="AU1828" s="12"/>
      <c r="AV1828" s="12"/>
      <c r="AW1828" s="12"/>
      <c r="AX1828" s="12"/>
      <c r="AY1828" s="44"/>
      <c r="AZ1828" s="45"/>
      <c r="BA1828" s="12"/>
      <c r="BB1828" s="12"/>
      <c r="BC1828" s="12"/>
      <c r="BD1828" s="12"/>
      <c r="BE1828" s="44"/>
      <c r="BF1828" s="45"/>
      <c r="BG1828" s="12"/>
      <c r="BH1828" s="12"/>
      <c r="BI1828" s="12"/>
      <c r="BJ1828" s="12"/>
      <c r="BK1828" s="44"/>
      <c r="BL1828" s="45"/>
      <c r="BM1828" s="12"/>
      <c r="BN1828" s="12"/>
      <c r="BO1828" s="12"/>
      <c r="BP1828" s="12"/>
      <c r="BQ1828" s="48"/>
      <c r="BR1828" s="49"/>
      <c r="BS1828" s="13"/>
      <c r="BT1828" s="12"/>
      <c r="BV1828" s="14"/>
      <c r="BW1828" s="50"/>
      <c r="BX1828" s="54"/>
      <c r="BY1828" s="14"/>
      <c r="BZ1828" s="14"/>
      <c r="CA1828" s="14"/>
      <c r="CB1828" s="14"/>
      <c r="CC1828" s="14"/>
      <c r="CD1828" s="14"/>
      <c r="CE1828" s="14"/>
      <c r="CF1828" s="15"/>
      <c r="CG1828" s="14"/>
      <c r="CH1828" s="14"/>
      <c r="CI1828" s="50"/>
      <c r="CJ1828" s="54"/>
      <c r="CK1828" s="14"/>
      <c r="CL1828" s="14"/>
      <c r="CM1828" s="14"/>
      <c r="CN1828" s="14"/>
      <c r="CO1828" s="14"/>
      <c r="CP1828" s="14"/>
      <c r="CQ1828" s="14"/>
      <c r="CR1828" s="14"/>
      <c r="CS1828" s="14"/>
      <c r="CT1828" s="14"/>
      <c r="CU1828" s="16"/>
      <c r="CV1828" s="14"/>
      <c r="CW1828" s="50"/>
      <c r="CX1828" s="17"/>
    </row>
    <row r="1829" spans="4:102" x14ac:dyDescent="0.25">
      <c r="D1829" s="11"/>
      <c r="E1829" s="11"/>
      <c r="F1829" s="11"/>
      <c r="G1829" s="11"/>
      <c r="H1829" s="11"/>
      <c r="I1829" s="11"/>
      <c r="J1829" s="11"/>
      <c r="K1829" s="11"/>
      <c r="L1829" s="11"/>
      <c r="M1829" s="11"/>
      <c r="N1829" s="11"/>
      <c r="O1829" s="11"/>
      <c r="P1829" s="43"/>
      <c r="Q1829" s="11"/>
      <c r="R1829" s="11"/>
      <c r="S1829" s="11"/>
      <c r="T1829" s="11"/>
      <c r="U1829" s="11"/>
      <c r="V1829" s="11"/>
      <c r="W1829" s="11"/>
      <c r="X1829" s="12"/>
      <c r="Y1829" s="12"/>
      <c r="Z1829" s="12"/>
      <c r="AA1829" s="44"/>
      <c r="AB1829" s="45"/>
      <c r="AC1829" s="12"/>
      <c r="AD1829" s="12"/>
      <c r="AE1829" s="12"/>
      <c r="AF1829" s="12"/>
      <c r="AG1829" s="44"/>
      <c r="AH1829" s="45"/>
      <c r="AI1829" s="12"/>
      <c r="AJ1829" s="12"/>
      <c r="AK1829" s="12"/>
      <c r="AL1829" s="12"/>
      <c r="AM1829" s="44"/>
      <c r="AN1829" s="45"/>
      <c r="AO1829" s="12"/>
      <c r="AP1829" s="12"/>
      <c r="AQ1829" s="12"/>
      <c r="AR1829" s="12"/>
      <c r="AS1829" s="44"/>
      <c r="AT1829" s="45"/>
      <c r="AU1829" s="12"/>
      <c r="AV1829" s="12"/>
      <c r="AW1829" s="12"/>
      <c r="AX1829" s="12"/>
      <c r="AY1829" s="44"/>
      <c r="AZ1829" s="45"/>
      <c r="BA1829" s="12"/>
      <c r="BB1829" s="12"/>
      <c r="BC1829" s="12"/>
      <c r="BD1829" s="12"/>
      <c r="BE1829" s="44"/>
      <c r="BF1829" s="45"/>
      <c r="BG1829" s="12"/>
      <c r="BH1829" s="12"/>
      <c r="BI1829" s="12"/>
      <c r="BJ1829" s="12"/>
      <c r="BK1829" s="44"/>
      <c r="BL1829" s="45"/>
      <c r="BM1829" s="12"/>
      <c r="BN1829" s="12"/>
      <c r="BO1829" s="12"/>
      <c r="BP1829" s="12"/>
      <c r="BQ1829" s="48"/>
      <c r="BR1829" s="49"/>
      <c r="BS1829" s="13"/>
      <c r="BT1829" s="12"/>
      <c r="BV1829" s="14"/>
      <c r="BW1829" s="50"/>
      <c r="BX1829" s="54"/>
      <c r="BY1829" s="14"/>
      <c r="BZ1829" s="14"/>
      <c r="CA1829" s="14"/>
      <c r="CB1829" s="14"/>
      <c r="CC1829" s="14"/>
      <c r="CD1829" s="14"/>
      <c r="CE1829" s="14"/>
      <c r="CF1829" s="15"/>
      <c r="CG1829" s="14"/>
      <c r="CH1829" s="14"/>
      <c r="CI1829" s="50"/>
      <c r="CJ1829" s="54"/>
      <c r="CK1829" s="14"/>
      <c r="CL1829" s="14"/>
      <c r="CM1829" s="14"/>
      <c r="CN1829" s="14"/>
      <c r="CO1829" s="14"/>
      <c r="CP1829" s="14"/>
      <c r="CQ1829" s="14"/>
      <c r="CR1829" s="14"/>
      <c r="CS1829" s="14"/>
      <c r="CT1829" s="14"/>
      <c r="CU1829" s="16"/>
      <c r="CV1829" s="14"/>
      <c r="CW1829" s="50"/>
      <c r="CX1829" s="17"/>
    </row>
    <row r="1830" spans="4:102" x14ac:dyDescent="0.25">
      <c r="D1830" s="11"/>
      <c r="E1830" s="11"/>
      <c r="F1830" s="11"/>
      <c r="G1830" s="11"/>
      <c r="H1830" s="11"/>
      <c r="I1830" s="11"/>
      <c r="J1830" s="11"/>
      <c r="K1830" s="11"/>
      <c r="L1830" s="11"/>
      <c r="M1830" s="11"/>
      <c r="N1830" s="11"/>
      <c r="O1830" s="11"/>
      <c r="P1830" s="43"/>
      <c r="Q1830" s="11"/>
      <c r="R1830" s="11"/>
      <c r="S1830" s="11"/>
      <c r="T1830" s="11"/>
      <c r="U1830" s="11"/>
      <c r="V1830" s="11"/>
      <c r="W1830" s="11"/>
      <c r="X1830" s="12"/>
      <c r="Y1830" s="12"/>
      <c r="Z1830" s="12"/>
      <c r="AA1830" s="44"/>
      <c r="AB1830" s="45"/>
      <c r="AC1830" s="12"/>
      <c r="AD1830" s="12"/>
      <c r="AE1830" s="12"/>
      <c r="AF1830" s="12"/>
      <c r="AG1830" s="44"/>
      <c r="AH1830" s="45"/>
      <c r="AI1830" s="12"/>
      <c r="AJ1830" s="12"/>
      <c r="AK1830" s="12"/>
      <c r="AL1830" s="12"/>
      <c r="AM1830" s="44"/>
      <c r="AN1830" s="45"/>
      <c r="AO1830" s="12"/>
      <c r="AP1830" s="12"/>
      <c r="AQ1830" s="12"/>
      <c r="AR1830" s="12"/>
      <c r="AS1830" s="44"/>
      <c r="AT1830" s="45"/>
      <c r="AU1830" s="12"/>
      <c r="AV1830" s="12"/>
      <c r="AW1830" s="12"/>
      <c r="AX1830" s="12"/>
      <c r="AY1830" s="44"/>
      <c r="AZ1830" s="45"/>
      <c r="BA1830" s="12"/>
      <c r="BB1830" s="12"/>
      <c r="BC1830" s="12"/>
      <c r="BD1830" s="12"/>
      <c r="BE1830" s="44"/>
      <c r="BF1830" s="45"/>
      <c r="BG1830" s="12"/>
      <c r="BH1830" s="12"/>
      <c r="BI1830" s="12"/>
      <c r="BJ1830" s="12"/>
      <c r="BK1830" s="44"/>
      <c r="BL1830" s="45"/>
      <c r="BM1830" s="12"/>
      <c r="BN1830" s="12"/>
      <c r="BO1830" s="12"/>
      <c r="BP1830" s="12"/>
      <c r="BQ1830" s="48"/>
      <c r="BR1830" s="49"/>
      <c r="BS1830" s="13"/>
      <c r="BT1830" s="12"/>
      <c r="BV1830" s="14"/>
      <c r="BW1830" s="50"/>
      <c r="BX1830" s="54"/>
      <c r="BY1830" s="14"/>
      <c r="BZ1830" s="14"/>
      <c r="CA1830" s="14"/>
      <c r="CB1830" s="14"/>
      <c r="CC1830" s="14"/>
      <c r="CD1830" s="14"/>
      <c r="CE1830" s="14"/>
      <c r="CF1830" s="15"/>
      <c r="CG1830" s="14"/>
      <c r="CH1830" s="14"/>
      <c r="CI1830" s="50"/>
      <c r="CJ1830" s="54"/>
      <c r="CK1830" s="14"/>
      <c r="CL1830" s="14"/>
      <c r="CM1830" s="14"/>
      <c r="CN1830" s="14"/>
      <c r="CO1830" s="14"/>
      <c r="CP1830" s="14"/>
      <c r="CQ1830" s="14"/>
      <c r="CR1830" s="14"/>
      <c r="CS1830" s="14"/>
      <c r="CT1830" s="14"/>
      <c r="CU1830" s="16"/>
      <c r="CV1830" s="14"/>
      <c r="CW1830" s="50"/>
      <c r="CX1830" s="17"/>
    </row>
    <row r="1831" spans="4:102" x14ac:dyDescent="0.25">
      <c r="D1831" s="11"/>
      <c r="E1831" s="11"/>
      <c r="F1831" s="11"/>
      <c r="G1831" s="11"/>
      <c r="H1831" s="11"/>
      <c r="I1831" s="11"/>
      <c r="J1831" s="11"/>
      <c r="K1831" s="11"/>
      <c r="L1831" s="11"/>
      <c r="M1831" s="11"/>
      <c r="N1831" s="11"/>
      <c r="O1831" s="11"/>
      <c r="P1831" s="43"/>
      <c r="Q1831" s="11"/>
      <c r="R1831" s="11"/>
      <c r="S1831" s="11"/>
      <c r="T1831" s="11"/>
      <c r="U1831" s="11"/>
      <c r="V1831" s="11"/>
      <c r="W1831" s="11"/>
      <c r="X1831" s="12"/>
      <c r="Y1831" s="12"/>
      <c r="Z1831" s="12"/>
      <c r="AA1831" s="44"/>
      <c r="AB1831" s="45"/>
      <c r="AC1831" s="12"/>
      <c r="AD1831" s="12"/>
      <c r="AE1831" s="12"/>
      <c r="AF1831" s="12"/>
      <c r="AG1831" s="44"/>
      <c r="AH1831" s="45"/>
      <c r="AI1831" s="12"/>
      <c r="AJ1831" s="12"/>
      <c r="AK1831" s="12"/>
      <c r="AL1831" s="12"/>
      <c r="AM1831" s="44"/>
      <c r="AN1831" s="45"/>
      <c r="AO1831" s="12"/>
      <c r="AP1831" s="12"/>
      <c r="AQ1831" s="12"/>
      <c r="AR1831" s="12"/>
      <c r="AS1831" s="44"/>
      <c r="AT1831" s="45"/>
      <c r="AU1831" s="12"/>
      <c r="AV1831" s="12"/>
      <c r="AW1831" s="12"/>
      <c r="AX1831" s="12"/>
      <c r="AY1831" s="44"/>
      <c r="AZ1831" s="45"/>
      <c r="BA1831" s="12"/>
      <c r="BB1831" s="12"/>
      <c r="BC1831" s="12"/>
      <c r="BD1831" s="12"/>
      <c r="BE1831" s="44"/>
      <c r="BF1831" s="45"/>
      <c r="BG1831" s="12"/>
      <c r="BH1831" s="12"/>
      <c r="BI1831" s="12"/>
      <c r="BJ1831" s="12"/>
      <c r="BK1831" s="44"/>
      <c r="BL1831" s="45"/>
      <c r="BM1831" s="12"/>
      <c r="BN1831" s="12"/>
      <c r="BO1831" s="12"/>
      <c r="BP1831" s="12"/>
      <c r="BQ1831" s="48"/>
      <c r="BR1831" s="49"/>
      <c r="BS1831" s="13"/>
      <c r="BT1831" s="12"/>
      <c r="BV1831" s="14"/>
      <c r="BW1831" s="50"/>
      <c r="BX1831" s="54"/>
      <c r="BY1831" s="14"/>
      <c r="BZ1831" s="14"/>
      <c r="CA1831" s="14"/>
      <c r="CB1831" s="14"/>
      <c r="CC1831" s="14"/>
      <c r="CD1831" s="14"/>
      <c r="CE1831" s="14"/>
      <c r="CF1831" s="15"/>
      <c r="CG1831" s="14"/>
      <c r="CH1831" s="14"/>
      <c r="CI1831" s="50"/>
      <c r="CJ1831" s="54"/>
      <c r="CK1831" s="14"/>
      <c r="CL1831" s="14"/>
      <c r="CM1831" s="14"/>
      <c r="CN1831" s="14"/>
      <c r="CO1831" s="14"/>
      <c r="CP1831" s="14"/>
      <c r="CQ1831" s="14"/>
      <c r="CR1831" s="14"/>
      <c r="CS1831" s="14"/>
      <c r="CT1831" s="14"/>
      <c r="CU1831" s="16"/>
      <c r="CV1831" s="14"/>
      <c r="CW1831" s="50"/>
      <c r="CX1831" s="17"/>
    </row>
    <row r="1832" spans="4:102" x14ac:dyDescent="0.25">
      <c r="D1832" s="11"/>
      <c r="E1832" s="11"/>
      <c r="F1832" s="11"/>
      <c r="G1832" s="11"/>
      <c r="H1832" s="11"/>
      <c r="I1832" s="11"/>
      <c r="J1832" s="11"/>
      <c r="K1832" s="11"/>
      <c r="L1832" s="11"/>
      <c r="M1832" s="11"/>
      <c r="N1832" s="11"/>
      <c r="O1832" s="11"/>
      <c r="P1832" s="43"/>
      <c r="Q1832" s="11"/>
      <c r="R1832" s="11"/>
      <c r="S1832" s="11"/>
      <c r="T1832" s="11"/>
      <c r="U1832" s="11"/>
      <c r="V1832" s="11"/>
      <c r="W1832" s="11"/>
      <c r="X1832" s="12"/>
      <c r="Y1832" s="12"/>
      <c r="Z1832" s="12"/>
      <c r="AA1832" s="44"/>
      <c r="AB1832" s="45"/>
      <c r="AC1832" s="12"/>
      <c r="AD1832" s="12"/>
      <c r="AE1832" s="12"/>
      <c r="AF1832" s="12"/>
      <c r="AG1832" s="44"/>
      <c r="AH1832" s="45"/>
      <c r="AI1832" s="12"/>
      <c r="AJ1832" s="12"/>
      <c r="AK1832" s="12"/>
      <c r="AL1832" s="12"/>
      <c r="AM1832" s="44"/>
      <c r="AN1832" s="45"/>
      <c r="AO1832" s="12"/>
      <c r="AP1832" s="12"/>
      <c r="AQ1832" s="12"/>
      <c r="AR1832" s="12"/>
      <c r="AS1832" s="44"/>
      <c r="AT1832" s="45"/>
      <c r="AU1832" s="12"/>
      <c r="AV1832" s="12"/>
      <c r="AW1832" s="12"/>
      <c r="AX1832" s="12"/>
      <c r="AY1832" s="44"/>
      <c r="AZ1832" s="45"/>
      <c r="BA1832" s="12"/>
      <c r="BB1832" s="12"/>
      <c r="BC1832" s="12"/>
      <c r="BD1832" s="12"/>
      <c r="BE1832" s="44"/>
      <c r="BF1832" s="45"/>
      <c r="BG1832" s="12"/>
      <c r="BH1832" s="12"/>
      <c r="BI1832" s="12"/>
      <c r="BJ1832" s="12"/>
      <c r="BK1832" s="44"/>
      <c r="BL1832" s="45"/>
      <c r="BM1832" s="12"/>
      <c r="BN1832" s="12"/>
      <c r="BO1832" s="12"/>
      <c r="BP1832" s="12"/>
      <c r="BQ1832" s="48"/>
      <c r="BR1832" s="49"/>
      <c r="BS1832" s="13"/>
      <c r="BT1832" s="12"/>
      <c r="BV1832" s="14"/>
      <c r="BW1832" s="50"/>
      <c r="BX1832" s="54"/>
      <c r="BY1832" s="14"/>
      <c r="BZ1832" s="14"/>
      <c r="CA1832" s="14"/>
      <c r="CB1832" s="14"/>
      <c r="CC1832" s="14"/>
      <c r="CD1832" s="14"/>
      <c r="CE1832" s="14"/>
      <c r="CF1832" s="15"/>
      <c r="CG1832" s="14"/>
      <c r="CH1832" s="14"/>
      <c r="CI1832" s="50"/>
      <c r="CJ1832" s="54"/>
      <c r="CK1832" s="14"/>
      <c r="CL1832" s="14"/>
      <c r="CM1832" s="14"/>
      <c r="CN1832" s="14"/>
      <c r="CO1832" s="14"/>
      <c r="CP1832" s="14"/>
      <c r="CQ1832" s="14"/>
      <c r="CR1832" s="14"/>
      <c r="CS1832" s="14"/>
      <c r="CT1832" s="14"/>
      <c r="CU1832" s="16"/>
      <c r="CV1832" s="14"/>
      <c r="CW1832" s="50"/>
      <c r="CX1832" s="17"/>
    </row>
    <row r="1833" spans="4:102" x14ac:dyDescent="0.25">
      <c r="D1833" s="11"/>
      <c r="E1833" s="11"/>
      <c r="F1833" s="11"/>
      <c r="G1833" s="11"/>
      <c r="H1833" s="11"/>
      <c r="I1833" s="11"/>
      <c r="J1833" s="11"/>
      <c r="K1833" s="11"/>
      <c r="L1833" s="11"/>
      <c r="M1833" s="11"/>
      <c r="N1833" s="11"/>
      <c r="O1833" s="11"/>
      <c r="P1833" s="43"/>
      <c r="Q1833" s="11"/>
      <c r="R1833" s="11"/>
      <c r="S1833" s="11"/>
      <c r="T1833" s="11"/>
      <c r="U1833" s="11"/>
      <c r="V1833" s="11"/>
      <c r="W1833" s="11"/>
      <c r="X1833" s="12"/>
      <c r="Y1833" s="12"/>
      <c r="Z1833" s="12"/>
      <c r="AA1833" s="44"/>
      <c r="AB1833" s="45"/>
      <c r="AC1833" s="12"/>
      <c r="AD1833" s="12"/>
      <c r="AE1833" s="12"/>
      <c r="AF1833" s="12"/>
      <c r="AG1833" s="44"/>
      <c r="AH1833" s="45"/>
      <c r="AI1833" s="12"/>
      <c r="AJ1833" s="12"/>
      <c r="AK1833" s="12"/>
      <c r="AL1833" s="12"/>
      <c r="AM1833" s="44"/>
      <c r="AN1833" s="45"/>
      <c r="AO1833" s="12"/>
      <c r="AP1833" s="12"/>
      <c r="AQ1833" s="12"/>
      <c r="AR1833" s="12"/>
      <c r="AS1833" s="44"/>
      <c r="AT1833" s="45"/>
      <c r="AU1833" s="12"/>
      <c r="AV1833" s="12"/>
      <c r="AW1833" s="12"/>
      <c r="AX1833" s="12"/>
      <c r="AY1833" s="44"/>
      <c r="AZ1833" s="45"/>
      <c r="BA1833" s="12"/>
      <c r="BB1833" s="12"/>
      <c r="BC1833" s="12"/>
      <c r="BD1833" s="12"/>
      <c r="BE1833" s="44"/>
      <c r="BF1833" s="45"/>
      <c r="BG1833" s="12"/>
      <c r="BH1833" s="12"/>
      <c r="BI1833" s="12"/>
      <c r="BJ1833" s="12"/>
      <c r="BK1833" s="44"/>
      <c r="BL1833" s="45"/>
      <c r="BM1833" s="12"/>
      <c r="BN1833" s="12"/>
      <c r="BO1833" s="12"/>
      <c r="BP1833" s="12"/>
      <c r="BQ1833" s="48"/>
      <c r="BR1833" s="49"/>
      <c r="BS1833" s="13"/>
      <c r="BT1833" s="12"/>
      <c r="BV1833" s="14"/>
      <c r="BW1833" s="50"/>
      <c r="BX1833" s="54"/>
      <c r="BY1833" s="14"/>
      <c r="BZ1833" s="14"/>
      <c r="CA1833" s="14"/>
      <c r="CB1833" s="14"/>
      <c r="CC1833" s="14"/>
      <c r="CD1833" s="14"/>
      <c r="CE1833" s="14"/>
      <c r="CF1833" s="15"/>
      <c r="CG1833" s="14"/>
      <c r="CH1833" s="14"/>
      <c r="CI1833" s="50"/>
      <c r="CJ1833" s="54"/>
      <c r="CK1833" s="14"/>
      <c r="CL1833" s="14"/>
      <c r="CM1833" s="14"/>
      <c r="CN1833" s="14"/>
      <c r="CO1833" s="14"/>
      <c r="CP1833" s="14"/>
      <c r="CQ1833" s="14"/>
      <c r="CR1833" s="14"/>
      <c r="CS1833" s="14"/>
      <c r="CT1833" s="14"/>
      <c r="CU1833" s="16"/>
      <c r="CV1833" s="14"/>
      <c r="CW1833" s="50"/>
      <c r="CX1833" s="17"/>
    </row>
    <row r="1834" spans="4:102" x14ac:dyDescent="0.25">
      <c r="D1834" s="11"/>
      <c r="E1834" s="11"/>
      <c r="F1834" s="11"/>
      <c r="G1834" s="11"/>
      <c r="H1834" s="11"/>
      <c r="I1834" s="11"/>
      <c r="J1834" s="11"/>
      <c r="K1834" s="11"/>
      <c r="L1834" s="11"/>
      <c r="M1834" s="11"/>
      <c r="N1834" s="11"/>
      <c r="O1834" s="11"/>
      <c r="P1834" s="43"/>
      <c r="Q1834" s="11"/>
      <c r="R1834" s="11"/>
      <c r="S1834" s="11"/>
      <c r="T1834" s="11"/>
      <c r="U1834" s="11"/>
      <c r="V1834" s="11"/>
      <c r="W1834" s="11"/>
      <c r="X1834" s="12"/>
      <c r="Y1834" s="12"/>
      <c r="Z1834" s="12"/>
      <c r="AA1834" s="44"/>
      <c r="AB1834" s="45"/>
      <c r="AC1834" s="12"/>
      <c r="AD1834" s="12"/>
      <c r="AE1834" s="12"/>
      <c r="AF1834" s="12"/>
      <c r="AG1834" s="44"/>
      <c r="AH1834" s="45"/>
      <c r="AI1834" s="12"/>
      <c r="AJ1834" s="12"/>
      <c r="AK1834" s="12"/>
      <c r="AL1834" s="12"/>
      <c r="AM1834" s="44"/>
      <c r="AN1834" s="45"/>
      <c r="AO1834" s="12"/>
      <c r="AP1834" s="12"/>
      <c r="AQ1834" s="12"/>
      <c r="AR1834" s="12"/>
      <c r="AS1834" s="44"/>
      <c r="AT1834" s="45"/>
      <c r="AU1834" s="12"/>
      <c r="AV1834" s="12"/>
      <c r="AW1834" s="12"/>
      <c r="AX1834" s="12"/>
      <c r="AY1834" s="44"/>
      <c r="AZ1834" s="45"/>
      <c r="BA1834" s="12"/>
      <c r="BB1834" s="12"/>
      <c r="BC1834" s="12"/>
      <c r="BD1834" s="12"/>
      <c r="BE1834" s="44"/>
      <c r="BF1834" s="45"/>
      <c r="BG1834" s="12"/>
      <c r="BH1834" s="12"/>
      <c r="BI1834" s="12"/>
      <c r="BJ1834" s="12"/>
      <c r="BK1834" s="44"/>
      <c r="BL1834" s="45"/>
      <c r="BM1834" s="12"/>
      <c r="BN1834" s="12"/>
      <c r="BO1834" s="12"/>
      <c r="BP1834" s="12"/>
      <c r="BQ1834" s="48"/>
      <c r="BR1834" s="49"/>
      <c r="BS1834" s="13"/>
      <c r="BT1834" s="12"/>
      <c r="BV1834" s="14"/>
      <c r="BW1834" s="50"/>
      <c r="BX1834" s="54"/>
      <c r="BY1834" s="14"/>
      <c r="BZ1834" s="14"/>
      <c r="CA1834" s="14"/>
      <c r="CB1834" s="14"/>
      <c r="CC1834" s="14"/>
      <c r="CD1834" s="14"/>
      <c r="CE1834" s="14"/>
      <c r="CF1834" s="15"/>
      <c r="CG1834" s="14"/>
      <c r="CH1834" s="14"/>
      <c r="CI1834" s="50"/>
      <c r="CJ1834" s="54"/>
      <c r="CK1834" s="14"/>
      <c r="CL1834" s="14"/>
      <c r="CM1834" s="14"/>
      <c r="CN1834" s="14"/>
      <c r="CO1834" s="14"/>
      <c r="CP1834" s="14"/>
      <c r="CQ1834" s="14"/>
      <c r="CR1834" s="14"/>
      <c r="CS1834" s="14"/>
      <c r="CT1834" s="14"/>
      <c r="CU1834" s="16"/>
      <c r="CV1834" s="14"/>
      <c r="CW1834" s="50"/>
      <c r="CX1834" s="17"/>
    </row>
    <row r="1835" spans="4:102" x14ac:dyDescent="0.25">
      <c r="D1835" s="11"/>
      <c r="E1835" s="11"/>
      <c r="F1835" s="11"/>
      <c r="G1835" s="11"/>
      <c r="H1835" s="11"/>
      <c r="I1835" s="11"/>
      <c r="J1835" s="11"/>
      <c r="K1835" s="11"/>
      <c r="L1835" s="11"/>
      <c r="M1835" s="11"/>
      <c r="N1835" s="11"/>
      <c r="O1835" s="11"/>
      <c r="P1835" s="43"/>
      <c r="Q1835" s="11"/>
      <c r="R1835" s="11"/>
      <c r="S1835" s="11"/>
      <c r="T1835" s="11"/>
      <c r="U1835" s="11"/>
      <c r="V1835" s="11"/>
      <c r="W1835" s="11"/>
      <c r="X1835" s="12"/>
      <c r="Y1835" s="12"/>
      <c r="Z1835" s="12"/>
      <c r="AA1835" s="44"/>
      <c r="AB1835" s="45"/>
      <c r="AC1835" s="12"/>
      <c r="AD1835" s="12"/>
      <c r="AE1835" s="12"/>
      <c r="AF1835" s="12"/>
      <c r="AG1835" s="44"/>
      <c r="AH1835" s="45"/>
      <c r="AI1835" s="12"/>
      <c r="AJ1835" s="12"/>
      <c r="AK1835" s="12"/>
      <c r="AL1835" s="12"/>
      <c r="AM1835" s="44"/>
      <c r="AN1835" s="45"/>
      <c r="AO1835" s="12"/>
      <c r="AP1835" s="12"/>
      <c r="AQ1835" s="12"/>
      <c r="AR1835" s="12"/>
      <c r="AS1835" s="44"/>
      <c r="AT1835" s="45"/>
      <c r="AU1835" s="12"/>
      <c r="AV1835" s="12"/>
      <c r="AW1835" s="12"/>
      <c r="AX1835" s="12"/>
      <c r="AY1835" s="44"/>
      <c r="AZ1835" s="45"/>
      <c r="BA1835" s="12"/>
      <c r="BB1835" s="12"/>
      <c r="BC1835" s="12"/>
      <c r="BD1835" s="12"/>
      <c r="BE1835" s="44"/>
      <c r="BF1835" s="45"/>
      <c r="BG1835" s="12"/>
      <c r="BH1835" s="12"/>
      <c r="BI1835" s="12"/>
      <c r="BJ1835" s="12"/>
      <c r="BK1835" s="44"/>
      <c r="BL1835" s="45"/>
      <c r="BM1835" s="12"/>
      <c r="BN1835" s="12"/>
      <c r="BO1835" s="12"/>
      <c r="BP1835" s="12"/>
      <c r="BQ1835" s="48"/>
      <c r="BR1835" s="49"/>
      <c r="BS1835" s="13"/>
      <c r="BT1835" s="12"/>
      <c r="BV1835" s="14"/>
      <c r="BW1835" s="50"/>
      <c r="BX1835" s="54"/>
      <c r="BY1835" s="14"/>
      <c r="BZ1835" s="14"/>
      <c r="CA1835" s="14"/>
      <c r="CB1835" s="14"/>
      <c r="CC1835" s="14"/>
      <c r="CD1835" s="14"/>
      <c r="CE1835" s="14"/>
      <c r="CF1835" s="15"/>
      <c r="CG1835" s="14"/>
      <c r="CH1835" s="14"/>
      <c r="CI1835" s="50"/>
      <c r="CJ1835" s="54"/>
      <c r="CK1835" s="14"/>
      <c r="CL1835" s="14"/>
      <c r="CM1835" s="14"/>
      <c r="CN1835" s="14"/>
      <c r="CO1835" s="14"/>
      <c r="CP1835" s="14"/>
      <c r="CQ1835" s="14"/>
      <c r="CR1835" s="14"/>
      <c r="CS1835" s="14"/>
      <c r="CT1835" s="14"/>
      <c r="CU1835" s="16"/>
      <c r="CV1835" s="14"/>
      <c r="CW1835" s="50"/>
      <c r="CX1835" s="17"/>
    </row>
    <row r="1836" spans="4:102" x14ac:dyDescent="0.25">
      <c r="D1836" s="11"/>
      <c r="E1836" s="11"/>
      <c r="F1836" s="11"/>
      <c r="G1836" s="11"/>
      <c r="H1836" s="11"/>
      <c r="I1836" s="11"/>
      <c r="J1836" s="11"/>
      <c r="K1836" s="11"/>
      <c r="L1836" s="11"/>
      <c r="M1836" s="11"/>
      <c r="N1836" s="11"/>
      <c r="O1836" s="11"/>
      <c r="P1836" s="43"/>
      <c r="Q1836" s="11"/>
      <c r="R1836" s="11"/>
      <c r="S1836" s="11"/>
      <c r="T1836" s="11"/>
      <c r="U1836" s="11"/>
      <c r="V1836" s="11"/>
      <c r="W1836" s="11"/>
      <c r="X1836" s="12"/>
      <c r="Y1836" s="12"/>
      <c r="Z1836" s="12"/>
      <c r="AA1836" s="44"/>
      <c r="AB1836" s="45"/>
      <c r="AC1836" s="12"/>
      <c r="AD1836" s="12"/>
      <c r="AE1836" s="12"/>
      <c r="AF1836" s="12"/>
      <c r="AG1836" s="44"/>
      <c r="AH1836" s="45"/>
      <c r="AI1836" s="12"/>
      <c r="AJ1836" s="12"/>
      <c r="AK1836" s="12"/>
      <c r="AL1836" s="12"/>
      <c r="AM1836" s="44"/>
      <c r="AN1836" s="45"/>
      <c r="AO1836" s="12"/>
      <c r="AP1836" s="12"/>
      <c r="AQ1836" s="12"/>
      <c r="AR1836" s="12"/>
      <c r="AS1836" s="44"/>
      <c r="AT1836" s="45"/>
      <c r="AU1836" s="12"/>
      <c r="AV1836" s="12"/>
      <c r="AW1836" s="12"/>
      <c r="AX1836" s="12"/>
      <c r="AY1836" s="44"/>
      <c r="AZ1836" s="45"/>
      <c r="BA1836" s="12"/>
      <c r="BB1836" s="12"/>
      <c r="BC1836" s="12"/>
      <c r="BD1836" s="12"/>
      <c r="BE1836" s="44"/>
      <c r="BF1836" s="45"/>
      <c r="BG1836" s="12"/>
      <c r="BH1836" s="12"/>
      <c r="BI1836" s="12"/>
      <c r="BJ1836" s="12"/>
      <c r="BK1836" s="44"/>
      <c r="BL1836" s="45"/>
      <c r="BM1836" s="12"/>
      <c r="BN1836" s="12"/>
      <c r="BO1836" s="12"/>
      <c r="BP1836" s="12"/>
      <c r="BQ1836" s="48"/>
      <c r="BR1836" s="49"/>
      <c r="BS1836" s="13"/>
      <c r="BT1836" s="12"/>
      <c r="BV1836" s="14"/>
      <c r="BW1836" s="50"/>
      <c r="BX1836" s="54"/>
      <c r="BY1836" s="14"/>
      <c r="BZ1836" s="14"/>
      <c r="CA1836" s="14"/>
      <c r="CB1836" s="14"/>
      <c r="CC1836" s="14"/>
      <c r="CD1836" s="14"/>
      <c r="CE1836" s="14"/>
      <c r="CF1836" s="15"/>
      <c r="CG1836" s="14"/>
      <c r="CH1836" s="14"/>
      <c r="CI1836" s="50"/>
      <c r="CJ1836" s="54"/>
      <c r="CK1836" s="14"/>
      <c r="CL1836" s="14"/>
      <c r="CM1836" s="14"/>
      <c r="CN1836" s="14"/>
      <c r="CO1836" s="14"/>
      <c r="CP1836" s="14"/>
      <c r="CQ1836" s="14"/>
      <c r="CR1836" s="14"/>
      <c r="CS1836" s="14"/>
      <c r="CT1836" s="14"/>
      <c r="CU1836" s="16"/>
      <c r="CV1836" s="14"/>
      <c r="CW1836" s="50"/>
      <c r="CX1836" s="17"/>
    </row>
    <row r="1837" spans="4:102" x14ac:dyDescent="0.25">
      <c r="D1837" s="11"/>
      <c r="E1837" s="11"/>
      <c r="F1837" s="11"/>
      <c r="G1837" s="11"/>
      <c r="H1837" s="11"/>
      <c r="I1837" s="11"/>
      <c r="J1837" s="11"/>
      <c r="K1837" s="11"/>
      <c r="L1837" s="11"/>
      <c r="M1837" s="11"/>
      <c r="N1837" s="11"/>
      <c r="O1837" s="11"/>
      <c r="P1837" s="43"/>
      <c r="Q1837" s="11"/>
      <c r="R1837" s="11"/>
      <c r="S1837" s="11"/>
      <c r="T1837" s="11"/>
      <c r="U1837" s="11"/>
      <c r="V1837" s="11"/>
      <c r="W1837" s="11"/>
      <c r="X1837" s="12"/>
      <c r="Y1837" s="12"/>
      <c r="Z1837" s="12"/>
      <c r="AA1837" s="44"/>
      <c r="AB1837" s="45"/>
      <c r="AC1837" s="12"/>
      <c r="AD1837" s="12"/>
      <c r="AE1837" s="12"/>
      <c r="AF1837" s="12"/>
      <c r="AG1837" s="44"/>
      <c r="AH1837" s="45"/>
      <c r="AI1837" s="12"/>
      <c r="AJ1837" s="12"/>
      <c r="AK1837" s="12"/>
      <c r="AL1837" s="12"/>
      <c r="AM1837" s="44"/>
      <c r="AN1837" s="45"/>
      <c r="AO1837" s="12"/>
      <c r="AP1837" s="12"/>
      <c r="AQ1837" s="12"/>
      <c r="AR1837" s="12"/>
      <c r="AS1837" s="44"/>
      <c r="AT1837" s="45"/>
      <c r="AU1837" s="12"/>
      <c r="AV1837" s="12"/>
      <c r="AW1837" s="12"/>
      <c r="AX1837" s="12"/>
      <c r="AY1837" s="44"/>
      <c r="AZ1837" s="45"/>
      <c r="BA1837" s="12"/>
      <c r="BB1837" s="12"/>
      <c r="BC1837" s="12"/>
      <c r="BD1837" s="12"/>
      <c r="BE1837" s="44"/>
      <c r="BF1837" s="45"/>
      <c r="BG1837" s="12"/>
      <c r="BH1837" s="12"/>
      <c r="BI1837" s="12"/>
      <c r="BJ1837" s="12"/>
      <c r="BK1837" s="44"/>
      <c r="BL1837" s="45"/>
      <c r="BM1837" s="12"/>
      <c r="BN1837" s="12"/>
      <c r="BO1837" s="12"/>
      <c r="BP1837" s="12"/>
      <c r="BQ1837" s="48"/>
      <c r="BR1837" s="49"/>
      <c r="BS1837" s="13"/>
      <c r="BT1837" s="12"/>
      <c r="BV1837" s="14"/>
      <c r="BW1837" s="50"/>
      <c r="BX1837" s="54"/>
      <c r="BY1837" s="14"/>
      <c r="BZ1837" s="14"/>
      <c r="CA1837" s="14"/>
      <c r="CB1837" s="14"/>
      <c r="CC1837" s="14"/>
      <c r="CD1837" s="14"/>
      <c r="CE1837" s="14"/>
      <c r="CF1837" s="15"/>
      <c r="CG1837" s="14"/>
      <c r="CH1837" s="14"/>
      <c r="CI1837" s="50"/>
      <c r="CJ1837" s="54"/>
      <c r="CK1837" s="14"/>
      <c r="CL1837" s="14"/>
      <c r="CM1837" s="14"/>
      <c r="CN1837" s="14"/>
      <c r="CO1837" s="14"/>
      <c r="CP1837" s="14"/>
      <c r="CQ1837" s="14"/>
      <c r="CR1837" s="14"/>
      <c r="CS1837" s="14"/>
      <c r="CT1837" s="14"/>
      <c r="CU1837" s="16"/>
      <c r="CV1837" s="14"/>
      <c r="CW1837" s="50"/>
      <c r="CX1837" s="17"/>
    </row>
    <row r="1838" spans="4:102" x14ac:dyDescent="0.25">
      <c r="D1838" s="11"/>
      <c r="E1838" s="11"/>
      <c r="F1838" s="11"/>
      <c r="G1838" s="11"/>
      <c r="H1838" s="11"/>
      <c r="I1838" s="11"/>
      <c r="J1838" s="11"/>
      <c r="K1838" s="11"/>
      <c r="L1838" s="11"/>
      <c r="M1838" s="11"/>
      <c r="N1838" s="11"/>
      <c r="O1838" s="11"/>
      <c r="P1838" s="43"/>
      <c r="Q1838" s="11"/>
      <c r="R1838" s="11"/>
      <c r="S1838" s="11"/>
      <c r="T1838" s="11"/>
      <c r="U1838" s="11"/>
      <c r="V1838" s="11"/>
      <c r="W1838" s="11"/>
      <c r="X1838" s="12"/>
      <c r="Y1838" s="12"/>
      <c r="Z1838" s="12"/>
      <c r="AA1838" s="44"/>
      <c r="AB1838" s="45"/>
      <c r="AC1838" s="12"/>
      <c r="AD1838" s="12"/>
      <c r="AE1838" s="12"/>
      <c r="AF1838" s="12"/>
      <c r="AG1838" s="44"/>
      <c r="AH1838" s="45"/>
      <c r="AI1838" s="12"/>
      <c r="AJ1838" s="12"/>
      <c r="AK1838" s="12"/>
      <c r="AL1838" s="12"/>
      <c r="AM1838" s="44"/>
      <c r="AN1838" s="45"/>
      <c r="AO1838" s="12"/>
      <c r="AP1838" s="12"/>
      <c r="AQ1838" s="12"/>
      <c r="AR1838" s="12"/>
      <c r="AS1838" s="44"/>
      <c r="AT1838" s="45"/>
      <c r="AU1838" s="12"/>
      <c r="AV1838" s="12"/>
      <c r="AW1838" s="12"/>
      <c r="AX1838" s="12"/>
      <c r="AY1838" s="44"/>
      <c r="AZ1838" s="45"/>
      <c r="BA1838" s="12"/>
      <c r="BB1838" s="12"/>
      <c r="BC1838" s="12"/>
      <c r="BD1838" s="12"/>
      <c r="BE1838" s="44"/>
      <c r="BF1838" s="45"/>
      <c r="BG1838" s="12"/>
      <c r="BH1838" s="12"/>
      <c r="BI1838" s="12"/>
      <c r="BJ1838" s="12"/>
      <c r="BK1838" s="44"/>
      <c r="BL1838" s="45"/>
      <c r="BM1838" s="12"/>
      <c r="BN1838" s="12"/>
      <c r="BO1838" s="12"/>
      <c r="BP1838" s="12"/>
      <c r="BQ1838" s="48"/>
      <c r="BR1838" s="49"/>
      <c r="BS1838" s="13"/>
      <c r="BT1838" s="12"/>
      <c r="BV1838" s="14"/>
      <c r="BW1838" s="50"/>
      <c r="BX1838" s="54"/>
      <c r="BY1838" s="14"/>
      <c r="BZ1838" s="14"/>
      <c r="CA1838" s="14"/>
      <c r="CB1838" s="14"/>
      <c r="CC1838" s="14"/>
      <c r="CD1838" s="14"/>
      <c r="CE1838" s="14"/>
      <c r="CF1838" s="15"/>
      <c r="CG1838" s="14"/>
      <c r="CH1838" s="14"/>
      <c r="CI1838" s="50"/>
      <c r="CJ1838" s="54"/>
      <c r="CK1838" s="14"/>
      <c r="CL1838" s="14"/>
      <c r="CM1838" s="14"/>
      <c r="CN1838" s="14"/>
      <c r="CO1838" s="14"/>
      <c r="CP1838" s="14"/>
      <c r="CQ1838" s="14"/>
      <c r="CR1838" s="14"/>
      <c r="CS1838" s="14"/>
      <c r="CT1838" s="14"/>
      <c r="CU1838" s="16"/>
      <c r="CV1838" s="14"/>
      <c r="CW1838" s="50"/>
      <c r="CX1838" s="17"/>
    </row>
    <row r="1839" spans="4:102" x14ac:dyDescent="0.25">
      <c r="D1839" s="11"/>
      <c r="E1839" s="11"/>
      <c r="F1839" s="11"/>
      <c r="G1839" s="11"/>
      <c r="H1839" s="11"/>
      <c r="I1839" s="11"/>
      <c r="J1839" s="11"/>
      <c r="K1839" s="11"/>
      <c r="L1839" s="11"/>
      <c r="M1839" s="11"/>
      <c r="N1839" s="11"/>
      <c r="O1839" s="11"/>
      <c r="P1839" s="43"/>
      <c r="Q1839" s="11"/>
      <c r="R1839" s="11"/>
      <c r="S1839" s="11"/>
      <c r="T1839" s="11"/>
      <c r="U1839" s="11"/>
      <c r="V1839" s="11"/>
      <c r="W1839" s="11"/>
      <c r="X1839" s="12"/>
      <c r="Y1839" s="12"/>
      <c r="Z1839" s="12"/>
      <c r="AA1839" s="44"/>
      <c r="AB1839" s="45"/>
      <c r="AC1839" s="12"/>
      <c r="AD1839" s="12"/>
      <c r="AE1839" s="12"/>
      <c r="AF1839" s="12"/>
      <c r="AG1839" s="44"/>
      <c r="AH1839" s="45"/>
      <c r="AI1839" s="12"/>
      <c r="AJ1839" s="12"/>
      <c r="AK1839" s="12"/>
      <c r="AL1839" s="12"/>
      <c r="AM1839" s="44"/>
      <c r="AN1839" s="45"/>
      <c r="AO1839" s="12"/>
      <c r="AP1839" s="12"/>
      <c r="AQ1839" s="12"/>
      <c r="AR1839" s="12"/>
      <c r="AS1839" s="44"/>
      <c r="AT1839" s="45"/>
      <c r="AU1839" s="12"/>
      <c r="AV1839" s="12"/>
      <c r="AW1839" s="12"/>
      <c r="AX1839" s="12"/>
      <c r="AY1839" s="44"/>
      <c r="AZ1839" s="45"/>
      <c r="BA1839" s="12"/>
      <c r="BB1839" s="12"/>
      <c r="BC1839" s="12"/>
      <c r="BD1839" s="12"/>
      <c r="BE1839" s="44"/>
      <c r="BF1839" s="45"/>
      <c r="BG1839" s="12"/>
      <c r="BH1839" s="12"/>
      <c r="BI1839" s="12"/>
      <c r="BJ1839" s="12"/>
      <c r="BK1839" s="44"/>
      <c r="BL1839" s="45"/>
      <c r="BM1839" s="12"/>
      <c r="BN1839" s="12"/>
      <c r="BO1839" s="12"/>
      <c r="BP1839" s="12"/>
      <c r="BQ1839" s="48"/>
      <c r="BR1839" s="49"/>
      <c r="BS1839" s="13"/>
      <c r="BT1839" s="12"/>
      <c r="BV1839" s="14"/>
      <c r="BW1839" s="50"/>
      <c r="BX1839" s="54"/>
      <c r="BY1839" s="14"/>
      <c r="BZ1839" s="14"/>
      <c r="CA1839" s="14"/>
      <c r="CB1839" s="14"/>
      <c r="CC1839" s="14"/>
      <c r="CD1839" s="14"/>
      <c r="CE1839" s="14"/>
      <c r="CF1839" s="15"/>
      <c r="CG1839" s="14"/>
      <c r="CH1839" s="14"/>
      <c r="CI1839" s="50"/>
      <c r="CJ1839" s="54"/>
      <c r="CK1839" s="14"/>
      <c r="CL1839" s="14"/>
      <c r="CM1839" s="14"/>
      <c r="CN1839" s="14"/>
      <c r="CO1839" s="14"/>
      <c r="CP1839" s="14"/>
      <c r="CQ1839" s="14"/>
      <c r="CR1839" s="14"/>
      <c r="CS1839" s="14"/>
      <c r="CT1839" s="14"/>
      <c r="CU1839" s="16"/>
      <c r="CV1839" s="14"/>
      <c r="CW1839" s="50"/>
      <c r="CX1839" s="17"/>
    </row>
    <row r="1840" spans="4:102" x14ac:dyDescent="0.25">
      <c r="D1840" s="11"/>
      <c r="E1840" s="11"/>
      <c r="F1840" s="11"/>
      <c r="G1840" s="11"/>
      <c r="H1840" s="11"/>
      <c r="I1840" s="11"/>
      <c r="J1840" s="11"/>
      <c r="K1840" s="11"/>
      <c r="L1840" s="11"/>
      <c r="M1840" s="11"/>
      <c r="N1840" s="11"/>
      <c r="O1840" s="11"/>
      <c r="P1840" s="43"/>
      <c r="Q1840" s="11"/>
      <c r="R1840" s="11"/>
      <c r="S1840" s="11"/>
      <c r="T1840" s="11"/>
      <c r="U1840" s="11"/>
      <c r="V1840" s="11"/>
      <c r="W1840" s="11"/>
      <c r="X1840" s="12"/>
      <c r="Y1840" s="12"/>
      <c r="Z1840" s="12"/>
      <c r="AA1840" s="44"/>
      <c r="AB1840" s="45"/>
      <c r="AC1840" s="12"/>
      <c r="AD1840" s="12"/>
      <c r="AE1840" s="12"/>
      <c r="AF1840" s="12"/>
      <c r="AG1840" s="44"/>
      <c r="AH1840" s="45"/>
      <c r="AI1840" s="12"/>
      <c r="AJ1840" s="12"/>
      <c r="AK1840" s="12"/>
      <c r="AL1840" s="12"/>
      <c r="AM1840" s="44"/>
      <c r="AN1840" s="45"/>
      <c r="AO1840" s="12"/>
      <c r="AP1840" s="12"/>
      <c r="AQ1840" s="12"/>
      <c r="AR1840" s="12"/>
      <c r="AS1840" s="44"/>
      <c r="AT1840" s="45"/>
      <c r="AU1840" s="12"/>
      <c r="AV1840" s="12"/>
      <c r="AW1840" s="12"/>
      <c r="AX1840" s="12"/>
      <c r="AY1840" s="44"/>
      <c r="AZ1840" s="45"/>
      <c r="BA1840" s="12"/>
      <c r="BB1840" s="12"/>
      <c r="BC1840" s="12"/>
      <c r="BD1840" s="12"/>
      <c r="BE1840" s="44"/>
      <c r="BF1840" s="45"/>
      <c r="BG1840" s="12"/>
      <c r="BH1840" s="12"/>
      <c r="BI1840" s="12"/>
      <c r="BJ1840" s="12"/>
      <c r="BK1840" s="44"/>
      <c r="BL1840" s="45"/>
      <c r="BM1840" s="12"/>
      <c r="BN1840" s="12"/>
      <c r="BO1840" s="12"/>
      <c r="BP1840" s="12"/>
      <c r="BQ1840" s="48"/>
      <c r="BR1840" s="49"/>
      <c r="BS1840" s="13"/>
      <c r="BT1840" s="12"/>
      <c r="BV1840" s="14"/>
      <c r="BW1840" s="50"/>
      <c r="BX1840" s="54"/>
      <c r="BY1840" s="14"/>
      <c r="BZ1840" s="14"/>
      <c r="CA1840" s="14"/>
      <c r="CB1840" s="14"/>
      <c r="CC1840" s="14"/>
      <c r="CD1840" s="14"/>
      <c r="CE1840" s="14"/>
      <c r="CF1840" s="15"/>
      <c r="CG1840" s="14"/>
      <c r="CH1840" s="14"/>
      <c r="CI1840" s="50"/>
      <c r="CJ1840" s="54"/>
      <c r="CK1840" s="14"/>
      <c r="CL1840" s="14"/>
      <c r="CM1840" s="14"/>
      <c r="CN1840" s="14"/>
      <c r="CO1840" s="14"/>
      <c r="CP1840" s="14"/>
      <c r="CQ1840" s="14"/>
      <c r="CR1840" s="14"/>
      <c r="CS1840" s="14"/>
      <c r="CT1840" s="14"/>
      <c r="CU1840" s="16"/>
      <c r="CV1840" s="14"/>
      <c r="CW1840" s="50"/>
      <c r="CX1840" s="17"/>
    </row>
    <row r="1841" spans="4:102" x14ac:dyDescent="0.25">
      <c r="D1841" s="11"/>
      <c r="E1841" s="11"/>
      <c r="F1841" s="11"/>
      <c r="G1841" s="11"/>
      <c r="H1841" s="11"/>
      <c r="I1841" s="11"/>
      <c r="J1841" s="11"/>
      <c r="K1841" s="11"/>
      <c r="L1841" s="11"/>
      <c r="M1841" s="11"/>
      <c r="N1841" s="11"/>
      <c r="O1841" s="11"/>
      <c r="P1841" s="43"/>
      <c r="Q1841" s="11"/>
      <c r="R1841" s="11"/>
      <c r="S1841" s="11"/>
      <c r="T1841" s="11"/>
      <c r="U1841" s="11"/>
      <c r="V1841" s="11"/>
      <c r="W1841" s="11"/>
      <c r="X1841" s="12"/>
      <c r="Y1841" s="12"/>
      <c r="Z1841" s="12"/>
      <c r="AA1841" s="44"/>
      <c r="AB1841" s="45"/>
      <c r="AC1841" s="12"/>
      <c r="AD1841" s="12"/>
      <c r="AE1841" s="12"/>
      <c r="AF1841" s="12"/>
      <c r="AG1841" s="44"/>
      <c r="AH1841" s="45"/>
      <c r="AI1841" s="12"/>
      <c r="AJ1841" s="12"/>
      <c r="AK1841" s="12"/>
      <c r="AL1841" s="12"/>
      <c r="AM1841" s="44"/>
      <c r="AN1841" s="45"/>
      <c r="AO1841" s="12"/>
      <c r="AP1841" s="12"/>
      <c r="AQ1841" s="12"/>
      <c r="AR1841" s="12"/>
      <c r="AS1841" s="44"/>
      <c r="AT1841" s="45"/>
      <c r="AU1841" s="12"/>
      <c r="AV1841" s="12"/>
      <c r="AW1841" s="12"/>
      <c r="AX1841" s="12"/>
      <c r="AY1841" s="44"/>
      <c r="AZ1841" s="45"/>
      <c r="BA1841" s="12"/>
      <c r="BB1841" s="12"/>
      <c r="BC1841" s="12"/>
      <c r="BD1841" s="12"/>
      <c r="BE1841" s="44"/>
      <c r="BF1841" s="45"/>
      <c r="BG1841" s="12"/>
      <c r="BH1841" s="12"/>
      <c r="BI1841" s="12"/>
      <c r="BJ1841" s="12"/>
      <c r="BK1841" s="44"/>
      <c r="BL1841" s="45"/>
      <c r="BM1841" s="12"/>
      <c r="BN1841" s="12"/>
      <c r="BO1841" s="12"/>
      <c r="BP1841" s="12"/>
      <c r="BQ1841" s="48"/>
      <c r="BR1841" s="49"/>
      <c r="BS1841" s="13"/>
      <c r="BT1841" s="12"/>
      <c r="BV1841" s="14"/>
      <c r="BW1841" s="50"/>
      <c r="BX1841" s="54"/>
      <c r="BY1841" s="14"/>
      <c r="BZ1841" s="14"/>
      <c r="CA1841" s="14"/>
      <c r="CB1841" s="14"/>
      <c r="CC1841" s="14"/>
      <c r="CD1841" s="14"/>
      <c r="CE1841" s="14"/>
      <c r="CF1841" s="15"/>
      <c r="CG1841" s="14"/>
      <c r="CH1841" s="14"/>
      <c r="CI1841" s="50"/>
      <c r="CJ1841" s="54"/>
      <c r="CK1841" s="14"/>
      <c r="CL1841" s="14"/>
      <c r="CM1841" s="14"/>
      <c r="CN1841" s="14"/>
      <c r="CO1841" s="14"/>
      <c r="CP1841" s="14"/>
      <c r="CQ1841" s="14"/>
      <c r="CR1841" s="14"/>
      <c r="CS1841" s="14"/>
      <c r="CT1841" s="14"/>
      <c r="CU1841" s="16"/>
      <c r="CV1841" s="14"/>
      <c r="CW1841" s="50"/>
      <c r="CX1841" s="17"/>
    </row>
    <row r="1842" spans="4:102" x14ac:dyDescent="0.25">
      <c r="D1842" s="11"/>
      <c r="E1842" s="11"/>
      <c r="F1842" s="11"/>
      <c r="G1842" s="11"/>
      <c r="H1842" s="11"/>
      <c r="I1842" s="11"/>
      <c r="J1842" s="11"/>
      <c r="K1842" s="11"/>
      <c r="L1842" s="11"/>
      <c r="M1842" s="11"/>
      <c r="N1842" s="11"/>
      <c r="O1842" s="11"/>
      <c r="P1842" s="43"/>
      <c r="Q1842" s="11"/>
      <c r="R1842" s="11"/>
      <c r="S1842" s="11"/>
      <c r="T1842" s="11"/>
      <c r="U1842" s="11"/>
      <c r="V1842" s="11"/>
      <c r="W1842" s="11"/>
      <c r="X1842" s="12"/>
      <c r="Y1842" s="12"/>
      <c r="Z1842" s="12"/>
      <c r="AA1842" s="44"/>
      <c r="AB1842" s="45"/>
      <c r="AC1842" s="12"/>
      <c r="AD1842" s="12"/>
      <c r="AE1842" s="12"/>
      <c r="AF1842" s="12"/>
      <c r="AG1842" s="44"/>
      <c r="AH1842" s="45"/>
      <c r="AI1842" s="12"/>
      <c r="AJ1842" s="12"/>
      <c r="AK1842" s="12"/>
      <c r="AL1842" s="12"/>
      <c r="AM1842" s="44"/>
      <c r="AN1842" s="45"/>
      <c r="AO1842" s="12"/>
      <c r="AP1842" s="12"/>
      <c r="AQ1842" s="12"/>
      <c r="AR1842" s="12"/>
      <c r="AS1842" s="44"/>
      <c r="AT1842" s="45"/>
      <c r="AU1842" s="12"/>
      <c r="AV1842" s="12"/>
      <c r="AW1842" s="12"/>
      <c r="AX1842" s="12"/>
      <c r="AY1842" s="44"/>
      <c r="AZ1842" s="45"/>
      <c r="BA1842" s="12"/>
      <c r="BB1842" s="12"/>
      <c r="BC1842" s="12"/>
      <c r="BD1842" s="12"/>
      <c r="BE1842" s="44"/>
      <c r="BF1842" s="45"/>
      <c r="BG1842" s="12"/>
      <c r="BH1842" s="12"/>
      <c r="BI1842" s="12"/>
      <c r="BJ1842" s="12"/>
      <c r="BK1842" s="44"/>
      <c r="BL1842" s="45"/>
      <c r="BM1842" s="12"/>
      <c r="BN1842" s="12"/>
      <c r="BO1842" s="12"/>
      <c r="BP1842" s="12"/>
      <c r="BQ1842" s="48"/>
      <c r="BR1842" s="49"/>
      <c r="BS1842" s="13"/>
      <c r="BT1842" s="12"/>
      <c r="BV1842" s="14"/>
      <c r="BW1842" s="50"/>
      <c r="BX1842" s="54"/>
      <c r="BY1842" s="14"/>
      <c r="BZ1842" s="14"/>
      <c r="CA1842" s="14"/>
      <c r="CB1842" s="14"/>
      <c r="CC1842" s="14"/>
      <c r="CD1842" s="14"/>
      <c r="CE1842" s="14"/>
      <c r="CF1842" s="15"/>
      <c r="CG1842" s="14"/>
      <c r="CH1842" s="14"/>
      <c r="CI1842" s="50"/>
      <c r="CJ1842" s="54"/>
      <c r="CK1842" s="14"/>
      <c r="CL1842" s="14"/>
      <c r="CM1842" s="14"/>
      <c r="CN1842" s="14"/>
      <c r="CO1842" s="14"/>
      <c r="CP1842" s="14"/>
      <c r="CQ1842" s="14"/>
      <c r="CR1842" s="14"/>
      <c r="CS1842" s="14"/>
      <c r="CT1842" s="14"/>
      <c r="CU1842" s="16"/>
      <c r="CV1842" s="14"/>
      <c r="CW1842" s="50"/>
      <c r="CX1842" s="17"/>
    </row>
    <row r="1843" spans="4:102" x14ac:dyDescent="0.25">
      <c r="D1843" s="11"/>
      <c r="E1843" s="11"/>
      <c r="F1843" s="11"/>
      <c r="G1843" s="11"/>
      <c r="H1843" s="11"/>
      <c r="I1843" s="11"/>
      <c r="J1843" s="11"/>
      <c r="K1843" s="11"/>
      <c r="L1843" s="11"/>
      <c r="M1843" s="11"/>
      <c r="N1843" s="11"/>
      <c r="O1843" s="11"/>
      <c r="P1843" s="43"/>
      <c r="Q1843" s="11"/>
      <c r="R1843" s="11"/>
      <c r="S1843" s="11"/>
      <c r="T1843" s="11"/>
      <c r="U1843" s="11"/>
      <c r="V1843" s="11"/>
      <c r="W1843" s="11"/>
      <c r="X1843" s="12"/>
      <c r="Y1843" s="12"/>
      <c r="Z1843" s="12"/>
      <c r="AA1843" s="44"/>
      <c r="AB1843" s="45"/>
      <c r="AC1843" s="12"/>
      <c r="AD1843" s="12"/>
      <c r="AE1843" s="12"/>
      <c r="AF1843" s="12"/>
      <c r="AG1843" s="44"/>
      <c r="AH1843" s="45"/>
      <c r="AI1843" s="12"/>
      <c r="AJ1843" s="12"/>
      <c r="AK1843" s="12"/>
      <c r="AL1843" s="12"/>
      <c r="AM1843" s="44"/>
      <c r="AN1843" s="45"/>
      <c r="AO1843" s="12"/>
      <c r="AP1843" s="12"/>
      <c r="AQ1843" s="12"/>
      <c r="AR1843" s="12"/>
      <c r="AS1843" s="44"/>
      <c r="AT1843" s="45"/>
      <c r="AU1843" s="12"/>
      <c r="AV1843" s="12"/>
      <c r="AW1843" s="12"/>
      <c r="AX1843" s="12"/>
      <c r="AY1843" s="44"/>
      <c r="AZ1843" s="45"/>
      <c r="BA1843" s="12"/>
      <c r="BB1843" s="12"/>
      <c r="BC1843" s="12"/>
      <c r="BD1843" s="12"/>
      <c r="BE1843" s="44"/>
      <c r="BF1843" s="45"/>
      <c r="BG1843" s="12"/>
      <c r="BH1843" s="12"/>
      <c r="BI1843" s="12"/>
      <c r="BJ1843" s="12"/>
      <c r="BK1843" s="44"/>
      <c r="BL1843" s="45"/>
      <c r="BM1843" s="12"/>
      <c r="BN1843" s="12"/>
      <c r="BO1843" s="12"/>
      <c r="BP1843" s="12"/>
      <c r="BQ1843" s="48"/>
      <c r="BR1843" s="49"/>
      <c r="BS1843" s="13"/>
      <c r="BT1843" s="12"/>
      <c r="BV1843" s="14"/>
      <c r="BW1843" s="50"/>
      <c r="BX1843" s="54"/>
      <c r="BY1843" s="14"/>
      <c r="BZ1843" s="14"/>
      <c r="CA1843" s="14"/>
      <c r="CB1843" s="14"/>
      <c r="CC1843" s="14"/>
      <c r="CD1843" s="14"/>
      <c r="CE1843" s="14"/>
      <c r="CF1843" s="15"/>
      <c r="CG1843" s="14"/>
      <c r="CH1843" s="14"/>
      <c r="CI1843" s="50"/>
      <c r="CJ1843" s="54"/>
      <c r="CK1843" s="14"/>
      <c r="CL1843" s="14"/>
      <c r="CM1843" s="14"/>
      <c r="CN1843" s="14"/>
      <c r="CO1843" s="14"/>
      <c r="CP1843" s="14"/>
      <c r="CQ1843" s="14"/>
      <c r="CR1843" s="14"/>
      <c r="CS1843" s="14"/>
      <c r="CT1843" s="14"/>
      <c r="CU1843" s="16"/>
      <c r="CV1843" s="14"/>
      <c r="CW1843" s="50"/>
      <c r="CX1843" s="17"/>
    </row>
    <row r="1844" spans="4:102" x14ac:dyDescent="0.25">
      <c r="D1844" s="11"/>
      <c r="E1844" s="11"/>
      <c r="F1844" s="11"/>
      <c r="G1844" s="11"/>
      <c r="H1844" s="11"/>
      <c r="I1844" s="11"/>
      <c r="J1844" s="11"/>
      <c r="K1844" s="11"/>
      <c r="L1844" s="11"/>
      <c r="M1844" s="11"/>
      <c r="N1844" s="11"/>
      <c r="O1844" s="11"/>
      <c r="P1844" s="43"/>
      <c r="Q1844" s="11"/>
      <c r="R1844" s="11"/>
      <c r="S1844" s="11"/>
      <c r="T1844" s="11"/>
      <c r="U1844" s="11"/>
      <c r="V1844" s="11"/>
      <c r="W1844" s="11"/>
      <c r="X1844" s="12"/>
      <c r="Y1844" s="12"/>
      <c r="Z1844" s="12"/>
      <c r="AA1844" s="44"/>
      <c r="AB1844" s="45"/>
      <c r="AC1844" s="12"/>
      <c r="AD1844" s="12"/>
      <c r="AE1844" s="12"/>
      <c r="AF1844" s="12"/>
      <c r="AG1844" s="44"/>
      <c r="AH1844" s="45"/>
      <c r="AI1844" s="12"/>
      <c r="AJ1844" s="12"/>
      <c r="AK1844" s="12"/>
      <c r="AL1844" s="12"/>
      <c r="AM1844" s="44"/>
      <c r="AN1844" s="45"/>
      <c r="AO1844" s="12"/>
      <c r="AP1844" s="12"/>
      <c r="AQ1844" s="12"/>
      <c r="AR1844" s="12"/>
      <c r="AS1844" s="44"/>
      <c r="AT1844" s="45"/>
      <c r="AU1844" s="12"/>
      <c r="AV1844" s="12"/>
      <c r="AW1844" s="12"/>
      <c r="AX1844" s="12"/>
      <c r="AY1844" s="44"/>
      <c r="AZ1844" s="45"/>
      <c r="BA1844" s="12"/>
      <c r="BB1844" s="12"/>
      <c r="BC1844" s="12"/>
      <c r="BD1844" s="12"/>
      <c r="BE1844" s="44"/>
      <c r="BF1844" s="45"/>
      <c r="BG1844" s="12"/>
      <c r="BH1844" s="12"/>
      <c r="BI1844" s="12"/>
      <c r="BJ1844" s="12"/>
      <c r="BK1844" s="44"/>
      <c r="BL1844" s="45"/>
      <c r="BM1844" s="12"/>
      <c r="BN1844" s="12"/>
      <c r="BO1844" s="12"/>
      <c r="BP1844" s="12"/>
      <c r="BQ1844" s="48"/>
      <c r="BR1844" s="49"/>
      <c r="BS1844" s="13"/>
      <c r="BT1844" s="12"/>
      <c r="BV1844" s="14"/>
      <c r="BW1844" s="50"/>
      <c r="BX1844" s="54"/>
      <c r="BY1844" s="14"/>
      <c r="BZ1844" s="14"/>
      <c r="CA1844" s="14"/>
      <c r="CB1844" s="14"/>
      <c r="CC1844" s="14"/>
      <c r="CD1844" s="14"/>
      <c r="CE1844" s="14"/>
      <c r="CF1844" s="15"/>
      <c r="CG1844" s="14"/>
      <c r="CH1844" s="14"/>
      <c r="CI1844" s="50"/>
      <c r="CJ1844" s="54"/>
      <c r="CK1844" s="14"/>
      <c r="CL1844" s="14"/>
      <c r="CM1844" s="14"/>
      <c r="CN1844" s="14"/>
      <c r="CO1844" s="14"/>
      <c r="CP1844" s="14"/>
      <c r="CQ1844" s="14"/>
      <c r="CR1844" s="14"/>
      <c r="CS1844" s="14"/>
      <c r="CT1844" s="14"/>
      <c r="CU1844" s="16"/>
      <c r="CV1844" s="14"/>
      <c r="CW1844" s="50"/>
      <c r="CX1844" s="17"/>
    </row>
    <row r="1845" spans="4:102" x14ac:dyDescent="0.25">
      <c r="D1845" s="11"/>
      <c r="E1845" s="11"/>
      <c r="F1845" s="11"/>
      <c r="G1845" s="11"/>
      <c r="H1845" s="11"/>
      <c r="I1845" s="11"/>
      <c r="J1845" s="11"/>
      <c r="K1845" s="11"/>
      <c r="L1845" s="11"/>
      <c r="M1845" s="11"/>
      <c r="N1845" s="11"/>
      <c r="O1845" s="11"/>
      <c r="P1845" s="43"/>
      <c r="Q1845" s="11"/>
      <c r="R1845" s="11"/>
      <c r="S1845" s="11"/>
      <c r="T1845" s="11"/>
      <c r="U1845" s="11"/>
      <c r="V1845" s="11"/>
      <c r="W1845" s="11"/>
      <c r="X1845" s="12"/>
      <c r="Y1845" s="12"/>
      <c r="Z1845" s="12"/>
      <c r="AA1845" s="44"/>
      <c r="AB1845" s="45"/>
      <c r="AC1845" s="12"/>
      <c r="AD1845" s="12"/>
      <c r="AE1845" s="12"/>
      <c r="AF1845" s="12"/>
      <c r="AG1845" s="44"/>
      <c r="AH1845" s="45"/>
      <c r="AI1845" s="12"/>
      <c r="AJ1845" s="12"/>
      <c r="AK1845" s="12"/>
      <c r="AL1845" s="12"/>
      <c r="AM1845" s="44"/>
      <c r="AN1845" s="45"/>
      <c r="AO1845" s="12"/>
      <c r="AP1845" s="12"/>
      <c r="AQ1845" s="12"/>
      <c r="AR1845" s="12"/>
      <c r="AS1845" s="44"/>
      <c r="AT1845" s="45"/>
      <c r="AU1845" s="12"/>
      <c r="AV1845" s="12"/>
      <c r="AW1845" s="12"/>
      <c r="AX1845" s="12"/>
      <c r="AY1845" s="44"/>
      <c r="AZ1845" s="45"/>
      <c r="BA1845" s="12"/>
      <c r="BB1845" s="12"/>
      <c r="BC1845" s="12"/>
      <c r="BD1845" s="12"/>
      <c r="BE1845" s="44"/>
      <c r="BF1845" s="45"/>
      <c r="BG1845" s="12"/>
      <c r="BH1845" s="12"/>
      <c r="BI1845" s="12"/>
      <c r="BJ1845" s="12"/>
      <c r="BK1845" s="44"/>
      <c r="BL1845" s="45"/>
      <c r="BM1845" s="12"/>
      <c r="BN1845" s="12"/>
      <c r="BO1845" s="12"/>
      <c r="BP1845" s="12"/>
      <c r="BQ1845" s="48"/>
      <c r="BR1845" s="49"/>
      <c r="BS1845" s="13"/>
      <c r="BT1845" s="12"/>
      <c r="BV1845" s="14"/>
      <c r="BW1845" s="50"/>
      <c r="BX1845" s="54"/>
      <c r="BY1845" s="14"/>
      <c r="BZ1845" s="14"/>
      <c r="CA1845" s="14"/>
      <c r="CB1845" s="14"/>
      <c r="CC1845" s="14"/>
      <c r="CD1845" s="14"/>
      <c r="CE1845" s="14"/>
      <c r="CF1845" s="15"/>
      <c r="CG1845" s="14"/>
      <c r="CH1845" s="14"/>
      <c r="CI1845" s="50"/>
      <c r="CJ1845" s="54"/>
      <c r="CK1845" s="14"/>
      <c r="CL1845" s="14"/>
      <c r="CM1845" s="14"/>
      <c r="CN1845" s="14"/>
      <c r="CO1845" s="14"/>
      <c r="CP1845" s="14"/>
      <c r="CQ1845" s="14"/>
      <c r="CR1845" s="14"/>
      <c r="CS1845" s="14"/>
      <c r="CT1845" s="14"/>
      <c r="CU1845" s="16"/>
      <c r="CV1845" s="14"/>
      <c r="CW1845" s="50"/>
      <c r="CX1845" s="17"/>
    </row>
    <row r="1846" spans="4:102" x14ac:dyDescent="0.25">
      <c r="D1846" s="11"/>
      <c r="E1846" s="11"/>
      <c r="F1846" s="11"/>
      <c r="G1846" s="11"/>
      <c r="H1846" s="11"/>
      <c r="I1846" s="11"/>
      <c r="J1846" s="11"/>
      <c r="K1846" s="11"/>
      <c r="L1846" s="11"/>
      <c r="M1846" s="11"/>
      <c r="N1846" s="11"/>
      <c r="O1846" s="11"/>
      <c r="P1846" s="43"/>
      <c r="Q1846" s="11"/>
      <c r="R1846" s="11"/>
      <c r="S1846" s="11"/>
      <c r="T1846" s="11"/>
      <c r="U1846" s="11"/>
      <c r="V1846" s="11"/>
      <c r="W1846" s="11"/>
      <c r="X1846" s="12"/>
      <c r="Y1846" s="12"/>
      <c r="Z1846" s="12"/>
      <c r="AA1846" s="44"/>
      <c r="AB1846" s="45"/>
      <c r="AC1846" s="12"/>
      <c r="AD1846" s="12"/>
      <c r="AE1846" s="12"/>
      <c r="AF1846" s="12"/>
      <c r="AG1846" s="44"/>
      <c r="AH1846" s="45"/>
      <c r="AI1846" s="12"/>
      <c r="AJ1846" s="12"/>
      <c r="AK1846" s="12"/>
      <c r="AL1846" s="12"/>
      <c r="AM1846" s="44"/>
      <c r="AN1846" s="45"/>
      <c r="AO1846" s="12"/>
      <c r="AP1846" s="12"/>
      <c r="AQ1846" s="12"/>
      <c r="AR1846" s="12"/>
      <c r="AS1846" s="44"/>
      <c r="AT1846" s="45"/>
      <c r="AU1846" s="12"/>
      <c r="AV1846" s="12"/>
      <c r="AW1846" s="12"/>
      <c r="AX1846" s="12"/>
      <c r="AY1846" s="44"/>
      <c r="AZ1846" s="45"/>
      <c r="BA1846" s="12"/>
      <c r="BB1846" s="12"/>
      <c r="BC1846" s="12"/>
      <c r="BD1846" s="12"/>
      <c r="BE1846" s="44"/>
      <c r="BF1846" s="45"/>
      <c r="BG1846" s="12"/>
      <c r="BH1846" s="12"/>
      <c r="BI1846" s="12"/>
      <c r="BJ1846" s="12"/>
      <c r="BK1846" s="44"/>
      <c r="BL1846" s="45"/>
      <c r="BM1846" s="12"/>
      <c r="BN1846" s="12"/>
      <c r="BO1846" s="12"/>
      <c r="BP1846" s="12"/>
      <c r="BQ1846" s="48"/>
      <c r="BR1846" s="49"/>
      <c r="BS1846" s="13"/>
      <c r="BT1846" s="12"/>
      <c r="BV1846" s="14"/>
      <c r="BW1846" s="50"/>
      <c r="BX1846" s="54"/>
      <c r="BY1846" s="14"/>
      <c r="BZ1846" s="14"/>
      <c r="CA1846" s="14"/>
      <c r="CB1846" s="14"/>
      <c r="CC1846" s="14"/>
      <c r="CD1846" s="14"/>
      <c r="CE1846" s="14"/>
      <c r="CF1846" s="15"/>
      <c r="CG1846" s="14"/>
      <c r="CH1846" s="14"/>
      <c r="CI1846" s="50"/>
      <c r="CJ1846" s="54"/>
      <c r="CK1846" s="14"/>
      <c r="CL1846" s="14"/>
      <c r="CM1846" s="14"/>
      <c r="CN1846" s="14"/>
      <c r="CO1846" s="14"/>
      <c r="CP1846" s="14"/>
      <c r="CQ1846" s="14"/>
      <c r="CR1846" s="14"/>
      <c r="CS1846" s="14"/>
      <c r="CT1846" s="14"/>
      <c r="CU1846" s="16"/>
      <c r="CV1846" s="14"/>
      <c r="CW1846" s="50"/>
      <c r="CX1846" s="17"/>
    </row>
    <row r="1847" spans="4:102" x14ac:dyDescent="0.25">
      <c r="D1847" s="11"/>
      <c r="E1847" s="11"/>
      <c r="F1847" s="11"/>
      <c r="G1847" s="11"/>
      <c r="H1847" s="11"/>
      <c r="I1847" s="11"/>
      <c r="J1847" s="11"/>
      <c r="K1847" s="11"/>
      <c r="L1847" s="11"/>
      <c r="M1847" s="11"/>
      <c r="N1847" s="11"/>
      <c r="O1847" s="11"/>
      <c r="P1847" s="43"/>
      <c r="Q1847" s="11"/>
      <c r="R1847" s="11"/>
      <c r="S1847" s="11"/>
      <c r="T1847" s="11"/>
      <c r="U1847" s="11"/>
      <c r="V1847" s="11"/>
      <c r="W1847" s="11"/>
      <c r="X1847" s="12"/>
      <c r="Y1847" s="12"/>
      <c r="Z1847" s="12"/>
      <c r="AA1847" s="44"/>
      <c r="AB1847" s="45"/>
      <c r="AC1847" s="12"/>
      <c r="AD1847" s="12"/>
      <c r="AE1847" s="12"/>
      <c r="AF1847" s="12"/>
      <c r="AG1847" s="44"/>
      <c r="AH1847" s="45"/>
      <c r="AI1847" s="12"/>
      <c r="AJ1847" s="12"/>
      <c r="AK1847" s="12"/>
      <c r="AL1847" s="12"/>
      <c r="AM1847" s="44"/>
      <c r="AN1847" s="45"/>
      <c r="AO1847" s="12"/>
      <c r="AP1847" s="12"/>
      <c r="AQ1847" s="12"/>
      <c r="AR1847" s="12"/>
      <c r="AS1847" s="44"/>
      <c r="AT1847" s="45"/>
      <c r="AU1847" s="12"/>
      <c r="AV1847" s="12"/>
      <c r="AW1847" s="12"/>
      <c r="AX1847" s="12"/>
      <c r="AY1847" s="44"/>
      <c r="AZ1847" s="45"/>
      <c r="BA1847" s="12"/>
      <c r="BB1847" s="12"/>
      <c r="BC1847" s="12"/>
      <c r="BD1847" s="12"/>
      <c r="BE1847" s="44"/>
      <c r="BF1847" s="45"/>
      <c r="BG1847" s="12"/>
      <c r="BH1847" s="12"/>
      <c r="BI1847" s="12"/>
      <c r="BJ1847" s="12"/>
      <c r="BK1847" s="44"/>
      <c r="BL1847" s="45"/>
      <c r="BM1847" s="12"/>
      <c r="BN1847" s="12"/>
      <c r="BO1847" s="12"/>
      <c r="BP1847" s="12"/>
      <c r="BQ1847" s="48"/>
      <c r="BR1847" s="49"/>
      <c r="BS1847" s="13"/>
      <c r="BT1847" s="12"/>
      <c r="BV1847" s="14"/>
      <c r="BW1847" s="50"/>
      <c r="BX1847" s="54"/>
      <c r="BY1847" s="14"/>
      <c r="BZ1847" s="14"/>
      <c r="CA1847" s="14"/>
      <c r="CB1847" s="14"/>
      <c r="CC1847" s="14"/>
      <c r="CD1847" s="14"/>
      <c r="CE1847" s="14"/>
      <c r="CF1847" s="15"/>
      <c r="CG1847" s="14"/>
      <c r="CH1847" s="14"/>
      <c r="CI1847" s="50"/>
      <c r="CJ1847" s="54"/>
      <c r="CK1847" s="14"/>
      <c r="CL1847" s="14"/>
      <c r="CM1847" s="14"/>
      <c r="CN1847" s="14"/>
      <c r="CO1847" s="14"/>
      <c r="CP1847" s="14"/>
      <c r="CQ1847" s="14"/>
      <c r="CR1847" s="14"/>
      <c r="CS1847" s="14"/>
      <c r="CT1847" s="14"/>
      <c r="CU1847" s="16"/>
      <c r="CV1847" s="14"/>
      <c r="CW1847" s="50"/>
      <c r="CX1847" s="17"/>
    </row>
    <row r="1848" spans="4:102" x14ac:dyDescent="0.25">
      <c r="D1848" s="11"/>
      <c r="E1848" s="11"/>
      <c r="F1848" s="11"/>
      <c r="G1848" s="11"/>
      <c r="H1848" s="11"/>
      <c r="I1848" s="11"/>
      <c r="J1848" s="11"/>
      <c r="K1848" s="11"/>
      <c r="L1848" s="11"/>
      <c r="M1848" s="11"/>
      <c r="N1848" s="11"/>
      <c r="O1848" s="11"/>
      <c r="P1848" s="43"/>
      <c r="Q1848" s="11"/>
      <c r="R1848" s="11"/>
      <c r="S1848" s="11"/>
      <c r="T1848" s="11"/>
      <c r="U1848" s="11"/>
      <c r="V1848" s="11"/>
      <c r="W1848" s="11"/>
      <c r="X1848" s="12"/>
      <c r="Y1848" s="12"/>
      <c r="Z1848" s="12"/>
      <c r="AA1848" s="44"/>
      <c r="AB1848" s="45"/>
      <c r="AC1848" s="12"/>
      <c r="AD1848" s="12"/>
      <c r="AE1848" s="12"/>
      <c r="AF1848" s="12"/>
      <c r="AG1848" s="44"/>
      <c r="AH1848" s="45"/>
      <c r="AI1848" s="12"/>
      <c r="AJ1848" s="12"/>
      <c r="AK1848" s="12"/>
      <c r="AL1848" s="12"/>
      <c r="AM1848" s="44"/>
      <c r="AN1848" s="45"/>
      <c r="AO1848" s="12"/>
      <c r="AP1848" s="12"/>
      <c r="AQ1848" s="12"/>
      <c r="AR1848" s="12"/>
      <c r="AS1848" s="44"/>
      <c r="AT1848" s="45"/>
      <c r="AU1848" s="12"/>
      <c r="AV1848" s="12"/>
      <c r="AW1848" s="12"/>
      <c r="AX1848" s="12"/>
      <c r="AY1848" s="44"/>
      <c r="AZ1848" s="45"/>
      <c r="BA1848" s="12"/>
      <c r="BB1848" s="12"/>
      <c r="BC1848" s="12"/>
      <c r="BD1848" s="12"/>
      <c r="BE1848" s="44"/>
      <c r="BF1848" s="45"/>
      <c r="BG1848" s="12"/>
      <c r="BH1848" s="12"/>
      <c r="BI1848" s="12"/>
      <c r="BJ1848" s="12"/>
      <c r="BK1848" s="44"/>
      <c r="BL1848" s="45"/>
      <c r="BM1848" s="12"/>
      <c r="BN1848" s="12"/>
      <c r="BO1848" s="12"/>
      <c r="BP1848" s="12"/>
      <c r="BQ1848" s="48"/>
      <c r="BR1848" s="49"/>
      <c r="BS1848" s="13"/>
      <c r="BT1848" s="12"/>
      <c r="BV1848" s="14"/>
      <c r="BW1848" s="50"/>
      <c r="BX1848" s="54"/>
      <c r="BY1848" s="14"/>
      <c r="BZ1848" s="14"/>
      <c r="CA1848" s="14"/>
      <c r="CB1848" s="14"/>
      <c r="CC1848" s="14"/>
      <c r="CD1848" s="14"/>
      <c r="CE1848" s="14"/>
      <c r="CF1848" s="15"/>
      <c r="CG1848" s="14"/>
      <c r="CH1848" s="14"/>
      <c r="CI1848" s="50"/>
      <c r="CJ1848" s="54"/>
      <c r="CK1848" s="14"/>
      <c r="CL1848" s="14"/>
      <c r="CM1848" s="14"/>
      <c r="CN1848" s="14"/>
      <c r="CO1848" s="14"/>
      <c r="CP1848" s="14"/>
      <c r="CQ1848" s="14"/>
      <c r="CR1848" s="14"/>
      <c r="CS1848" s="14"/>
      <c r="CT1848" s="14"/>
      <c r="CU1848" s="16"/>
      <c r="CV1848" s="14"/>
      <c r="CW1848" s="50"/>
      <c r="CX1848" s="17"/>
    </row>
    <row r="1849" spans="4:102" x14ac:dyDescent="0.25">
      <c r="D1849" s="11"/>
      <c r="E1849" s="11"/>
      <c r="F1849" s="11"/>
      <c r="G1849" s="11"/>
      <c r="H1849" s="11"/>
      <c r="I1849" s="11"/>
      <c r="J1849" s="11"/>
      <c r="K1849" s="11"/>
      <c r="L1849" s="11"/>
      <c r="M1849" s="11"/>
      <c r="N1849" s="11"/>
      <c r="O1849" s="11"/>
      <c r="P1849" s="43"/>
      <c r="Q1849" s="11"/>
      <c r="R1849" s="11"/>
      <c r="S1849" s="11"/>
      <c r="T1849" s="11"/>
      <c r="U1849" s="11"/>
      <c r="V1849" s="11"/>
      <c r="W1849" s="11"/>
      <c r="X1849" s="12"/>
      <c r="Y1849" s="12"/>
      <c r="Z1849" s="12"/>
      <c r="AA1849" s="44"/>
      <c r="AB1849" s="45"/>
      <c r="AC1849" s="12"/>
      <c r="AD1849" s="12"/>
      <c r="AE1849" s="12"/>
      <c r="AF1849" s="12"/>
      <c r="AG1849" s="44"/>
      <c r="AH1849" s="45"/>
      <c r="AI1849" s="12"/>
      <c r="AJ1849" s="12"/>
      <c r="AK1849" s="12"/>
      <c r="AL1849" s="12"/>
      <c r="AM1849" s="44"/>
      <c r="AN1849" s="45"/>
      <c r="AO1849" s="12"/>
      <c r="AP1849" s="12"/>
      <c r="AQ1849" s="12"/>
      <c r="AR1849" s="12"/>
      <c r="AS1849" s="44"/>
      <c r="AT1849" s="45"/>
      <c r="AU1849" s="12"/>
      <c r="AV1849" s="12"/>
      <c r="AW1849" s="12"/>
      <c r="AX1849" s="12"/>
      <c r="AY1849" s="44"/>
      <c r="AZ1849" s="45"/>
      <c r="BA1849" s="12"/>
      <c r="BB1849" s="12"/>
      <c r="BC1849" s="12"/>
      <c r="BD1849" s="12"/>
      <c r="BE1849" s="44"/>
      <c r="BF1849" s="45"/>
      <c r="BG1849" s="12"/>
      <c r="BH1849" s="12"/>
      <c r="BI1849" s="12"/>
      <c r="BJ1849" s="12"/>
      <c r="BK1849" s="44"/>
      <c r="BL1849" s="45"/>
      <c r="BM1849" s="12"/>
      <c r="BN1849" s="12"/>
      <c r="BO1849" s="12"/>
      <c r="BP1849" s="12"/>
      <c r="BQ1849" s="48"/>
      <c r="BR1849" s="49"/>
      <c r="BS1849" s="13"/>
      <c r="BT1849" s="12"/>
      <c r="BV1849" s="14"/>
      <c r="BW1849" s="50"/>
      <c r="BX1849" s="54"/>
      <c r="BY1849" s="14"/>
      <c r="BZ1849" s="14"/>
      <c r="CA1849" s="14"/>
      <c r="CB1849" s="14"/>
      <c r="CC1849" s="14"/>
      <c r="CD1849" s="14"/>
      <c r="CE1849" s="14"/>
      <c r="CF1849" s="15"/>
      <c r="CG1849" s="14"/>
      <c r="CH1849" s="14"/>
      <c r="CI1849" s="50"/>
      <c r="CJ1849" s="54"/>
      <c r="CK1849" s="14"/>
      <c r="CL1849" s="14"/>
      <c r="CM1849" s="14"/>
      <c r="CN1849" s="14"/>
      <c r="CO1849" s="14"/>
      <c r="CP1849" s="14"/>
      <c r="CQ1849" s="14"/>
      <c r="CR1849" s="14"/>
      <c r="CS1849" s="14"/>
      <c r="CT1849" s="14"/>
      <c r="CU1849" s="16"/>
      <c r="CV1849" s="14"/>
      <c r="CW1849" s="50"/>
      <c r="CX1849" s="17"/>
    </row>
    <row r="1850" spans="4:102" x14ac:dyDescent="0.25">
      <c r="D1850" s="11"/>
      <c r="E1850" s="11"/>
      <c r="F1850" s="11"/>
      <c r="G1850" s="11"/>
      <c r="H1850" s="11"/>
      <c r="I1850" s="11"/>
      <c r="J1850" s="11"/>
      <c r="K1850" s="11"/>
      <c r="L1850" s="11"/>
      <c r="M1850" s="11"/>
      <c r="N1850" s="11"/>
      <c r="O1850" s="11"/>
      <c r="P1850" s="43"/>
      <c r="Q1850" s="11"/>
      <c r="R1850" s="11"/>
      <c r="S1850" s="11"/>
      <c r="T1850" s="11"/>
      <c r="U1850" s="11"/>
      <c r="V1850" s="11"/>
      <c r="W1850" s="11"/>
      <c r="X1850" s="12"/>
      <c r="Y1850" s="12"/>
      <c r="Z1850" s="12"/>
      <c r="AA1850" s="44"/>
      <c r="AB1850" s="45"/>
      <c r="AC1850" s="12"/>
      <c r="AD1850" s="12"/>
      <c r="AE1850" s="12"/>
      <c r="AF1850" s="12"/>
      <c r="AG1850" s="44"/>
      <c r="AH1850" s="45"/>
      <c r="AI1850" s="12"/>
      <c r="AJ1850" s="12"/>
      <c r="AK1850" s="12"/>
      <c r="AL1850" s="12"/>
      <c r="AM1850" s="44"/>
      <c r="AN1850" s="45"/>
      <c r="AO1850" s="12"/>
      <c r="AP1850" s="12"/>
      <c r="AQ1850" s="12"/>
      <c r="AR1850" s="12"/>
      <c r="AS1850" s="44"/>
      <c r="AT1850" s="45"/>
      <c r="AU1850" s="12"/>
      <c r="AV1850" s="12"/>
      <c r="AW1850" s="12"/>
      <c r="AX1850" s="12"/>
      <c r="AY1850" s="44"/>
      <c r="AZ1850" s="45"/>
      <c r="BA1850" s="12"/>
      <c r="BB1850" s="12"/>
      <c r="BC1850" s="12"/>
      <c r="BD1850" s="12"/>
      <c r="BE1850" s="44"/>
      <c r="BF1850" s="45"/>
      <c r="BG1850" s="12"/>
      <c r="BH1850" s="12"/>
      <c r="BI1850" s="12"/>
      <c r="BJ1850" s="12"/>
      <c r="BK1850" s="44"/>
      <c r="BL1850" s="45"/>
      <c r="BM1850" s="12"/>
      <c r="BN1850" s="12"/>
      <c r="BO1850" s="12"/>
      <c r="BP1850" s="12"/>
      <c r="BQ1850" s="48"/>
      <c r="BR1850" s="49"/>
      <c r="BS1850" s="13"/>
      <c r="BT1850" s="12"/>
      <c r="BV1850" s="14"/>
      <c r="BW1850" s="50"/>
      <c r="BX1850" s="54"/>
      <c r="BY1850" s="14"/>
      <c r="BZ1850" s="14"/>
      <c r="CA1850" s="14"/>
      <c r="CB1850" s="14"/>
      <c r="CC1850" s="14"/>
      <c r="CD1850" s="14"/>
      <c r="CE1850" s="14"/>
      <c r="CF1850" s="15"/>
      <c r="CG1850" s="14"/>
      <c r="CH1850" s="14"/>
      <c r="CI1850" s="50"/>
      <c r="CJ1850" s="54"/>
      <c r="CK1850" s="14"/>
      <c r="CL1850" s="14"/>
      <c r="CM1850" s="14"/>
      <c r="CN1850" s="14"/>
      <c r="CO1850" s="14"/>
      <c r="CP1850" s="14"/>
      <c r="CQ1850" s="14"/>
      <c r="CR1850" s="14"/>
      <c r="CS1850" s="14"/>
      <c r="CT1850" s="14"/>
      <c r="CU1850" s="16"/>
      <c r="CV1850" s="14"/>
      <c r="CW1850" s="50"/>
      <c r="CX1850" s="17"/>
    </row>
    <row r="1851" spans="4:102" x14ac:dyDescent="0.25">
      <c r="D1851" s="11"/>
      <c r="E1851" s="11"/>
      <c r="F1851" s="11"/>
      <c r="G1851" s="11"/>
      <c r="H1851" s="11"/>
      <c r="I1851" s="11"/>
      <c r="J1851" s="11"/>
      <c r="K1851" s="11"/>
      <c r="L1851" s="11"/>
      <c r="M1851" s="11"/>
      <c r="N1851" s="11"/>
      <c r="O1851" s="11"/>
      <c r="P1851" s="43"/>
      <c r="Q1851" s="11"/>
      <c r="R1851" s="11"/>
      <c r="S1851" s="11"/>
      <c r="T1851" s="11"/>
      <c r="U1851" s="11"/>
      <c r="V1851" s="11"/>
      <c r="W1851" s="11"/>
      <c r="X1851" s="12"/>
      <c r="Y1851" s="12"/>
      <c r="Z1851" s="12"/>
      <c r="AA1851" s="44"/>
      <c r="AB1851" s="45"/>
      <c r="AC1851" s="12"/>
      <c r="AD1851" s="12"/>
      <c r="AE1851" s="12"/>
      <c r="AF1851" s="12"/>
      <c r="AG1851" s="44"/>
      <c r="AH1851" s="45"/>
      <c r="AI1851" s="12"/>
      <c r="AJ1851" s="12"/>
      <c r="AK1851" s="12"/>
      <c r="AL1851" s="12"/>
      <c r="AM1851" s="44"/>
      <c r="AN1851" s="45"/>
      <c r="AO1851" s="12"/>
      <c r="AP1851" s="12"/>
      <c r="AQ1851" s="12"/>
      <c r="AR1851" s="12"/>
      <c r="AS1851" s="44"/>
      <c r="AT1851" s="45"/>
      <c r="AU1851" s="12"/>
      <c r="AV1851" s="12"/>
      <c r="AW1851" s="12"/>
      <c r="AX1851" s="12"/>
      <c r="AY1851" s="44"/>
      <c r="AZ1851" s="45"/>
      <c r="BA1851" s="12"/>
      <c r="BB1851" s="12"/>
      <c r="BC1851" s="12"/>
      <c r="BD1851" s="12"/>
      <c r="BE1851" s="44"/>
      <c r="BF1851" s="45"/>
      <c r="BG1851" s="12"/>
      <c r="BH1851" s="12"/>
      <c r="BI1851" s="12"/>
      <c r="BJ1851" s="12"/>
      <c r="BK1851" s="44"/>
      <c r="BL1851" s="45"/>
      <c r="BM1851" s="12"/>
      <c r="BN1851" s="12"/>
      <c r="BO1851" s="12"/>
      <c r="BP1851" s="12"/>
      <c r="BQ1851" s="48"/>
      <c r="BR1851" s="49"/>
      <c r="BS1851" s="13"/>
      <c r="BT1851" s="12"/>
      <c r="BV1851" s="14"/>
      <c r="BW1851" s="50"/>
      <c r="BX1851" s="54"/>
      <c r="BY1851" s="14"/>
      <c r="BZ1851" s="14"/>
      <c r="CA1851" s="14"/>
      <c r="CB1851" s="14"/>
      <c r="CC1851" s="14"/>
      <c r="CD1851" s="14"/>
      <c r="CE1851" s="14"/>
      <c r="CF1851" s="15"/>
      <c r="CG1851" s="14"/>
      <c r="CH1851" s="14"/>
      <c r="CI1851" s="50"/>
      <c r="CJ1851" s="54"/>
      <c r="CK1851" s="14"/>
      <c r="CL1851" s="14"/>
      <c r="CM1851" s="14"/>
      <c r="CN1851" s="14"/>
      <c r="CO1851" s="14"/>
      <c r="CP1851" s="14"/>
      <c r="CQ1851" s="14"/>
      <c r="CR1851" s="14"/>
      <c r="CS1851" s="14"/>
      <c r="CT1851" s="14"/>
      <c r="CU1851" s="16"/>
      <c r="CV1851" s="14"/>
      <c r="CW1851" s="50"/>
      <c r="CX1851" s="17"/>
    </row>
    <row r="1852" spans="4:102" x14ac:dyDescent="0.25">
      <c r="D1852" s="11"/>
      <c r="E1852" s="11"/>
      <c r="F1852" s="11"/>
      <c r="G1852" s="11"/>
      <c r="H1852" s="11"/>
      <c r="I1852" s="11"/>
      <c r="J1852" s="11"/>
      <c r="K1852" s="11"/>
      <c r="L1852" s="11"/>
      <c r="M1852" s="11"/>
      <c r="N1852" s="11"/>
      <c r="O1852" s="11"/>
      <c r="P1852" s="43"/>
      <c r="Q1852" s="11"/>
      <c r="R1852" s="11"/>
      <c r="S1852" s="11"/>
      <c r="T1852" s="11"/>
      <c r="U1852" s="11"/>
      <c r="V1852" s="11"/>
      <c r="W1852" s="11"/>
      <c r="X1852" s="12"/>
      <c r="Y1852" s="12"/>
      <c r="Z1852" s="12"/>
      <c r="AA1852" s="44"/>
      <c r="AB1852" s="45"/>
      <c r="AC1852" s="12"/>
      <c r="AD1852" s="12"/>
      <c r="AE1852" s="12"/>
      <c r="AF1852" s="12"/>
      <c r="AG1852" s="44"/>
      <c r="AH1852" s="45"/>
      <c r="AI1852" s="12"/>
      <c r="AJ1852" s="12"/>
      <c r="AK1852" s="12"/>
      <c r="AL1852" s="12"/>
      <c r="AM1852" s="44"/>
      <c r="AN1852" s="45"/>
      <c r="AO1852" s="12"/>
      <c r="AP1852" s="12"/>
      <c r="AQ1852" s="12"/>
      <c r="AR1852" s="12"/>
      <c r="AS1852" s="44"/>
      <c r="AT1852" s="45"/>
      <c r="AU1852" s="12"/>
      <c r="AV1852" s="12"/>
      <c r="AW1852" s="12"/>
      <c r="AX1852" s="12"/>
      <c r="AY1852" s="44"/>
      <c r="AZ1852" s="45"/>
      <c r="BA1852" s="12"/>
      <c r="BB1852" s="12"/>
      <c r="BC1852" s="12"/>
      <c r="BD1852" s="12"/>
      <c r="BE1852" s="44"/>
      <c r="BF1852" s="45"/>
      <c r="BG1852" s="12"/>
      <c r="BH1852" s="12"/>
      <c r="BI1852" s="12"/>
      <c r="BJ1852" s="12"/>
      <c r="BK1852" s="44"/>
      <c r="BL1852" s="45"/>
      <c r="BM1852" s="12"/>
      <c r="BN1852" s="12"/>
      <c r="BO1852" s="12"/>
      <c r="BP1852" s="12"/>
      <c r="BQ1852" s="48"/>
      <c r="BR1852" s="49"/>
      <c r="BS1852" s="13"/>
      <c r="BT1852" s="12"/>
      <c r="BV1852" s="14"/>
      <c r="BW1852" s="50"/>
      <c r="BX1852" s="54"/>
      <c r="BY1852" s="14"/>
      <c r="BZ1852" s="14"/>
      <c r="CA1852" s="14"/>
      <c r="CB1852" s="14"/>
      <c r="CC1852" s="14"/>
      <c r="CD1852" s="14"/>
      <c r="CE1852" s="14"/>
      <c r="CF1852" s="15"/>
      <c r="CG1852" s="14"/>
      <c r="CH1852" s="14"/>
      <c r="CI1852" s="50"/>
      <c r="CJ1852" s="54"/>
      <c r="CK1852" s="14"/>
      <c r="CL1852" s="14"/>
      <c r="CM1852" s="14"/>
      <c r="CN1852" s="14"/>
      <c r="CO1852" s="14"/>
      <c r="CP1852" s="14"/>
      <c r="CQ1852" s="14"/>
      <c r="CR1852" s="14"/>
      <c r="CS1852" s="14"/>
      <c r="CT1852" s="14"/>
      <c r="CU1852" s="16"/>
      <c r="CV1852" s="14"/>
      <c r="CW1852" s="50"/>
      <c r="CX1852" s="17"/>
    </row>
    <row r="1853" spans="4:102" x14ac:dyDescent="0.25">
      <c r="D1853" s="11"/>
      <c r="E1853" s="11"/>
      <c r="F1853" s="11"/>
      <c r="G1853" s="11"/>
      <c r="H1853" s="11"/>
      <c r="I1853" s="11"/>
      <c r="J1853" s="11"/>
      <c r="K1853" s="11"/>
      <c r="L1853" s="11"/>
      <c r="M1853" s="11"/>
      <c r="N1853" s="11"/>
      <c r="O1853" s="11"/>
      <c r="P1853" s="43"/>
      <c r="Q1853" s="11"/>
      <c r="R1853" s="11"/>
      <c r="S1853" s="11"/>
      <c r="T1853" s="11"/>
      <c r="U1853" s="11"/>
      <c r="V1853" s="11"/>
      <c r="W1853" s="11"/>
      <c r="X1853" s="12"/>
      <c r="Y1853" s="12"/>
      <c r="Z1853" s="12"/>
      <c r="AA1853" s="44"/>
      <c r="AB1853" s="45"/>
      <c r="AC1853" s="12"/>
      <c r="AD1853" s="12"/>
      <c r="AE1853" s="12"/>
      <c r="AF1853" s="12"/>
      <c r="AG1853" s="44"/>
      <c r="AH1853" s="45"/>
      <c r="AI1853" s="12"/>
      <c r="AJ1853" s="12"/>
      <c r="AK1853" s="12"/>
      <c r="AL1853" s="12"/>
      <c r="AM1853" s="44"/>
      <c r="AN1853" s="45"/>
      <c r="AO1853" s="12"/>
      <c r="AP1853" s="12"/>
      <c r="AQ1853" s="12"/>
      <c r="AR1853" s="12"/>
      <c r="AS1853" s="44"/>
      <c r="AT1853" s="45"/>
      <c r="AU1853" s="12"/>
      <c r="AV1853" s="12"/>
      <c r="AW1853" s="12"/>
      <c r="AX1853" s="12"/>
      <c r="AY1853" s="44"/>
      <c r="AZ1853" s="45"/>
      <c r="BA1853" s="12"/>
      <c r="BB1853" s="12"/>
      <c r="BC1853" s="12"/>
      <c r="BD1853" s="12"/>
      <c r="BE1853" s="44"/>
      <c r="BF1853" s="45"/>
      <c r="BG1853" s="12"/>
      <c r="BH1853" s="12"/>
      <c r="BI1853" s="12"/>
      <c r="BJ1853" s="12"/>
      <c r="BK1853" s="44"/>
      <c r="BL1853" s="45"/>
      <c r="BM1853" s="12"/>
      <c r="BN1853" s="12"/>
      <c r="BO1853" s="12"/>
      <c r="BP1853" s="12"/>
      <c r="BQ1853" s="48"/>
      <c r="BR1853" s="49"/>
      <c r="BS1853" s="13"/>
      <c r="BT1853" s="12"/>
      <c r="BV1853" s="14"/>
      <c r="BW1853" s="50"/>
      <c r="BX1853" s="54"/>
      <c r="BY1853" s="14"/>
      <c r="BZ1853" s="14"/>
      <c r="CA1853" s="14"/>
      <c r="CB1853" s="14"/>
      <c r="CC1853" s="14"/>
      <c r="CD1853" s="14"/>
      <c r="CE1853" s="14"/>
      <c r="CF1853" s="15"/>
      <c r="CG1853" s="14"/>
      <c r="CH1853" s="14"/>
      <c r="CI1853" s="50"/>
      <c r="CJ1853" s="54"/>
      <c r="CK1853" s="14"/>
      <c r="CL1853" s="14"/>
      <c r="CM1853" s="14"/>
      <c r="CN1853" s="14"/>
      <c r="CO1853" s="14"/>
      <c r="CP1853" s="14"/>
      <c r="CQ1853" s="14"/>
      <c r="CR1853" s="14"/>
      <c r="CS1853" s="14"/>
      <c r="CT1853" s="14"/>
      <c r="CU1853" s="16"/>
      <c r="CV1853" s="14"/>
      <c r="CW1853" s="50"/>
      <c r="CX1853" s="17"/>
    </row>
    <row r="1854" spans="4:102" x14ac:dyDescent="0.25">
      <c r="D1854" s="11"/>
      <c r="E1854" s="11"/>
      <c r="F1854" s="11"/>
      <c r="G1854" s="11"/>
      <c r="H1854" s="11"/>
      <c r="I1854" s="11"/>
      <c r="J1854" s="11"/>
      <c r="K1854" s="11"/>
      <c r="L1854" s="11"/>
      <c r="M1854" s="11"/>
      <c r="N1854" s="11"/>
      <c r="O1854" s="11"/>
      <c r="P1854" s="43"/>
      <c r="Q1854" s="11"/>
      <c r="R1854" s="11"/>
      <c r="S1854" s="11"/>
      <c r="T1854" s="11"/>
      <c r="U1854" s="11"/>
      <c r="V1854" s="11"/>
      <c r="W1854" s="11"/>
      <c r="X1854" s="12"/>
      <c r="Y1854" s="12"/>
      <c r="Z1854" s="12"/>
      <c r="AA1854" s="44"/>
      <c r="AB1854" s="45"/>
      <c r="AC1854" s="12"/>
      <c r="AD1854" s="12"/>
      <c r="AE1854" s="12"/>
      <c r="AF1854" s="12"/>
      <c r="AG1854" s="44"/>
      <c r="AH1854" s="45"/>
      <c r="AI1854" s="12"/>
      <c r="AJ1854" s="12"/>
      <c r="AK1854" s="12"/>
      <c r="AL1854" s="12"/>
      <c r="AM1854" s="44"/>
      <c r="AN1854" s="45"/>
      <c r="AO1854" s="12"/>
      <c r="AP1854" s="12"/>
      <c r="AQ1854" s="12"/>
      <c r="AR1854" s="12"/>
      <c r="AS1854" s="44"/>
      <c r="AT1854" s="45"/>
      <c r="AU1854" s="12"/>
      <c r="AV1854" s="12"/>
      <c r="AW1854" s="12"/>
      <c r="AX1854" s="12"/>
      <c r="AY1854" s="44"/>
      <c r="AZ1854" s="45"/>
      <c r="BA1854" s="12"/>
      <c r="BB1854" s="12"/>
      <c r="BC1854" s="12"/>
      <c r="BD1854" s="12"/>
      <c r="BE1854" s="44"/>
      <c r="BF1854" s="45"/>
      <c r="BG1854" s="12"/>
      <c r="BH1854" s="12"/>
      <c r="BI1854" s="12"/>
      <c r="BJ1854" s="12"/>
      <c r="BK1854" s="44"/>
      <c r="BL1854" s="45"/>
      <c r="BM1854" s="12"/>
      <c r="BN1854" s="12"/>
      <c r="BO1854" s="12"/>
      <c r="BP1854" s="12"/>
      <c r="BQ1854" s="48"/>
      <c r="BR1854" s="49"/>
      <c r="BS1854" s="13"/>
      <c r="BT1854" s="12"/>
      <c r="BV1854" s="14"/>
      <c r="BW1854" s="50"/>
      <c r="BX1854" s="54"/>
      <c r="BY1854" s="14"/>
      <c r="BZ1854" s="14"/>
      <c r="CA1854" s="14"/>
      <c r="CB1854" s="14"/>
      <c r="CC1854" s="14"/>
      <c r="CD1854" s="14"/>
      <c r="CE1854" s="14"/>
      <c r="CF1854" s="15"/>
      <c r="CG1854" s="14"/>
      <c r="CH1854" s="14"/>
      <c r="CI1854" s="50"/>
      <c r="CJ1854" s="54"/>
      <c r="CK1854" s="14"/>
      <c r="CL1854" s="14"/>
      <c r="CM1854" s="14"/>
      <c r="CN1854" s="14"/>
      <c r="CO1854" s="14"/>
      <c r="CP1854" s="14"/>
      <c r="CQ1854" s="14"/>
      <c r="CR1854" s="14"/>
      <c r="CS1854" s="14"/>
      <c r="CT1854" s="14"/>
      <c r="CU1854" s="16"/>
      <c r="CV1854" s="14"/>
      <c r="CW1854" s="50"/>
      <c r="CX1854" s="17"/>
    </row>
    <row r="1855" spans="4:102" x14ac:dyDescent="0.25">
      <c r="D1855" s="11"/>
      <c r="E1855" s="11"/>
      <c r="F1855" s="11"/>
      <c r="G1855" s="11"/>
      <c r="H1855" s="11"/>
      <c r="I1855" s="11"/>
      <c r="J1855" s="11"/>
      <c r="K1855" s="11"/>
      <c r="L1855" s="11"/>
      <c r="M1855" s="11"/>
      <c r="N1855" s="11"/>
      <c r="O1855" s="11"/>
      <c r="P1855" s="43"/>
      <c r="Q1855" s="11"/>
      <c r="R1855" s="11"/>
      <c r="S1855" s="11"/>
      <c r="T1855" s="11"/>
      <c r="U1855" s="11"/>
      <c r="V1855" s="11"/>
      <c r="W1855" s="11"/>
      <c r="X1855" s="12"/>
      <c r="Y1855" s="12"/>
      <c r="Z1855" s="12"/>
      <c r="AA1855" s="44"/>
      <c r="AB1855" s="45"/>
      <c r="AC1855" s="12"/>
      <c r="AD1855" s="12"/>
      <c r="AE1855" s="12"/>
      <c r="AF1855" s="12"/>
      <c r="AG1855" s="44"/>
      <c r="AH1855" s="45"/>
      <c r="AI1855" s="12"/>
      <c r="AJ1855" s="12"/>
      <c r="AK1855" s="12"/>
      <c r="AL1855" s="12"/>
      <c r="AM1855" s="44"/>
      <c r="AN1855" s="45"/>
      <c r="AO1855" s="12"/>
      <c r="AP1855" s="12"/>
      <c r="AQ1855" s="12"/>
      <c r="AR1855" s="12"/>
      <c r="AS1855" s="44"/>
      <c r="AT1855" s="45"/>
      <c r="AU1855" s="12"/>
      <c r="AV1855" s="12"/>
      <c r="AW1855" s="12"/>
      <c r="AX1855" s="12"/>
      <c r="AY1855" s="44"/>
      <c r="AZ1855" s="45"/>
      <c r="BA1855" s="12"/>
      <c r="BB1855" s="12"/>
      <c r="BC1855" s="12"/>
      <c r="BD1855" s="12"/>
      <c r="BE1855" s="44"/>
      <c r="BF1855" s="45"/>
      <c r="BG1855" s="12"/>
      <c r="BH1855" s="12"/>
      <c r="BI1855" s="12"/>
      <c r="BJ1855" s="12"/>
      <c r="BK1855" s="44"/>
      <c r="BL1855" s="45"/>
      <c r="BM1855" s="12"/>
      <c r="BN1855" s="12"/>
      <c r="BO1855" s="12"/>
      <c r="BP1855" s="12"/>
      <c r="BQ1855" s="48"/>
      <c r="BR1855" s="49"/>
      <c r="BS1855" s="13"/>
      <c r="BT1855" s="12"/>
      <c r="BV1855" s="14"/>
      <c r="BW1855" s="50"/>
      <c r="BX1855" s="54"/>
      <c r="BY1855" s="14"/>
      <c r="BZ1855" s="14"/>
      <c r="CA1855" s="14"/>
      <c r="CB1855" s="14"/>
      <c r="CC1855" s="14"/>
      <c r="CD1855" s="14"/>
      <c r="CE1855" s="14"/>
      <c r="CF1855" s="15"/>
      <c r="CG1855" s="14"/>
      <c r="CH1855" s="14"/>
      <c r="CI1855" s="50"/>
      <c r="CJ1855" s="54"/>
      <c r="CK1855" s="14"/>
      <c r="CL1855" s="14"/>
      <c r="CM1855" s="14"/>
      <c r="CN1855" s="14"/>
      <c r="CO1855" s="14"/>
      <c r="CP1855" s="14"/>
      <c r="CQ1855" s="14"/>
      <c r="CR1855" s="14"/>
      <c r="CS1855" s="14"/>
      <c r="CT1855" s="14"/>
      <c r="CU1855" s="16"/>
      <c r="CV1855" s="14"/>
      <c r="CW1855" s="50"/>
      <c r="CX1855" s="17"/>
    </row>
    <row r="1856" spans="4:102" x14ac:dyDescent="0.25">
      <c r="D1856" s="11"/>
      <c r="E1856" s="11"/>
      <c r="F1856" s="11"/>
      <c r="G1856" s="11"/>
      <c r="H1856" s="11"/>
      <c r="I1856" s="11"/>
      <c r="J1856" s="11"/>
      <c r="K1856" s="11"/>
      <c r="L1856" s="11"/>
      <c r="M1856" s="11"/>
      <c r="N1856" s="11"/>
      <c r="O1856" s="11"/>
      <c r="P1856" s="43"/>
      <c r="Q1856" s="11"/>
      <c r="R1856" s="11"/>
      <c r="S1856" s="11"/>
      <c r="T1856" s="11"/>
      <c r="U1856" s="11"/>
      <c r="V1856" s="11"/>
      <c r="W1856" s="11"/>
      <c r="X1856" s="12"/>
      <c r="Y1856" s="12"/>
      <c r="Z1856" s="12"/>
      <c r="AA1856" s="44"/>
      <c r="AB1856" s="45"/>
      <c r="AC1856" s="12"/>
      <c r="AD1856" s="12"/>
      <c r="AE1856" s="12"/>
      <c r="AF1856" s="12"/>
      <c r="AG1856" s="44"/>
      <c r="AH1856" s="45"/>
      <c r="AI1856" s="12"/>
      <c r="AJ1856" s="12"/>
      <c r="AK1856" s="12"/>
      <c r="AL1856" s="12"/>
      <c r="AM1856" s="44"/>
      <c r="AN1856" s="45"/>
      <c r="AO1856" s="12"/>
      <c r="AP1856" s="12"/>
      <c r="AQ1856" s="12"/>
      <c r="AR1856" s="12"/>
      <c r="AS1856" s="44"/>
      <c r="AT1856" s="45"/>
      <c r="AU1856" s="12"/>
      <c r="AV1856" s="12"/>
      <c r="AW1856" s="12"/>
      <c r="AX1856" s="12"/>
      <c r="AY1856" s="44"/>
      <c r="AZ1856" s="45"/>
      <c r="BA1856" s="12"/>
      <c r="BB1856" s="12"/>
      <c r="BC1856" s="12"/>
      <c r="BD1856" s="12"/>
      <c r="BE1856" s="44"/>
      <c r="BF1856" s="45"/>
      <c r="BG1856" s="12"/>
      <c r="BH1856" s="12"/>
      <c r="BI1856" s="12"/>
      <c r="BJ1856" s="12"/>
      <c r="BK1856" s="44"/>
      <c r="BL1856" s="45"/>
      <c r="BM1856" s="12"/>
      <c r="BN1856" s="12"/>
      <c r="BO1856" s="12"/>
      <c r="BP1856" s="12"/>
      <c r="BQ1856" s="48"/>
      <c r="BR1856" s="49"/>
      <c r="BS1856" s="13"/>
      <c r="BT1856" s="12"/>
      <c r="BV1856" s="14"/>
      <c r="BW1856" s="50"/>
      <c r="BX1856" s="54"/>
      <c r="BY1856" s="14"/>
      <c r="BZ1856" s="14"/>
      <c r="CA1856" s="14"/>
      <c r="CB1856" s="14"/>
      <c r="CC1856" s="14"/>
      <c r="CD1856" s="14"/>
      <c r="CE1856" s="14"/>
      <c r="CF1856" s="15"/>
      <c r="CG1856" s="14"/>
      <c r="CH1856" s="14"/>
      <c r="CI1856" s="50"/>
      <c r="CJ1856" s="54"/>
      <c r="CK1856" s="14"/>
      <c r="CL1856" s="14"/>
      <c r="CM1856" s="14"/>
      <c r="CN1856" s="14"/>
      <c r="CO1856" s="14"/>
      <c r="CP1856" s="14"/>
      <c r="CQ1856" s="14"/>
      <c r="CR1856" s="14"/>
      <c r="CS1856" s="14"/>
      <c r="CT1856" s="14"/>
      <c r="CU1856" s="16"/>
      <c r="CV1856" s="14"/>
      <c r="CW1856" s="50"/>
      <c r="CX1856" s="17"/>
    </row>
    <row r="1857" spans="4:102" x14ac:dyDescent="0.25">
      <c r="D1857" s="11"/>
      <c r="E1857" s="11"/>
      <c r="F1857" s="11"/>
      <c r="G1857" s="11"/>
      <c r="H1857" s="11"/>
      <c r="I1857" s="11"/>
      <c r="J1857" s="11"/>
      <c r="K1857" s="11"/>
      <c r="L1857" s="11"/>
      <c r="M1857" s="11"/>
      <c r="N1857" s="11"/>
      <c r="O1857" s="11"/>
      <c r="P1857" s="43"/>
      <c r="Q1857" s="11"/>
      <c r="R1857" s="11"/>
      <c r="S1857" s="11"/>
      <c r="T1857" s="11"/>
      <c r="U1857" s="11"/>
      <c r="V1857" s="11"/>
      <c r="W1857" s="11"/>
      <c r="X1857" s="12"/>
      <c r="Y1857" s="12"/>
      <c r="Z1857" s="12"/>
      <c r="AA1857" s="44"/>
      <c r="AB1857" s="45"/>
      <c r="AC1857" s="12"/>
      <c r="AD1857" s="12"/>
      <c r="AE1857" s="12"/>
      <c r="AF1857" s="12"/>
      <c r="AG1857" s="44"/>
      <c r="AH1857" s="45"/>
      <c r="AI1857" s="12"/>
      <c r="AJ1857" s="12"/>
      <c r="AK1857" s="12"/>
      <c r="AL1857" s="12"/>
      <c r="AM1857" s="44"/>
      <c r="AN1857" s="45"/>
      <c r="AO1857" s="12"/>
      <c r="AP1857" s="12"/>
      <c r="AQ1857" s="12"/>
      <c r="AR1857" s="12"/>
      <c r="AS1857" s="44"/>
      <c r="AT1857" s="45"/>
      <c r="AU1857" s="12"/>
      <c r="AV1857" s="12"/>
      <c r="AW1857" s="12"/>
      <c r="AX1857" s="12"/>
      <c r="AY1857" s="44"/>
      <c r="AZ1857" s="45"/>
      <c r="BA1857" s="12"/>
      <c r="BB1857" s="12"/>
      <c r="BC1857" s="12"/>
      <c r="BD1857" s="12"/>
      <c r="BE1857" s="44"/>
      <c r="BF1857" s="45"/>
      <c r="BG1857" s="12"/>
      <c r="BH1857" s="12"/>
      <c r="BI1857" s="12"/>
      <c r="BJ1857" s="12"/>
      <c r="BK1857" s="44"/>
      <c r="BL1857" s="45"/>
      <c r="BM1857" s="12"/>
      <c r="BN1857" s="12"/>
      <c r="BO1857" s="12"/>
      <c r="BP1857" s="12"/>
      <c r="BQ1857" s="48"/>
      <c r="BR1857" s="49"/>
      <c r="BS1857" s="13"/>
      <c r="BT1857" s="12"/>
      <c r="BV1857" s="14"/>
      <c r="BW1857" s="50"/>
      <c r="BX1857" s="54"/>
      <c r="BY1857" s="14"/>
      <c r="BZ1857" s="14"/>
      <c r="CA1857" s="14"/>
      <c r="CB1857" s="14"/>
      <c r="CC1857" s="14"/>
      <c r="CD1857" s="14"/>
      <c r="CE1857" s="14"/>
      <c r="CF1857" s="15"/>
      <c r="CG1857" s="14"/>
      <c r="CH1857" s="14"/>
      <c r="CI1857" s="50"/>
      <c r="CJ1857" s="54"/>
      <c r="CK1857" s="14"/>
      <c r="CL1857" s="14"/>
      <c r="CM1857" s="14"/>
      <c r="CN1857" s="14"/>
      <c r="CO1857" s="14"/>
      <c r="CP1857" s="14"/>
      <c r="CQ1857" s="14"/>
      <c r="CR1857" s="14"/>
      <c r="CS1857" s="14"/>
      <c r="CT1857" s="14"/>
      <c r="CU1857" s="16"/>
      <c r="CV1857" s="14"/>
      <c r="CW1857" s="50"/>
      <c r="CX1857" s="17"/>
    </row>
    <row r="1858" spans="4:102" x14ac:dyDescent="0.25">
      <c r="D1858" s="11"/>
      <c r="E1858" s="11"/>
      <c r="F1858" s="11"/>
      <c r="G1858" s="11"/>
      <c r="H1858" s="11"/>
      <c r="I1858" s="11"/>
      <c r="J1858" s="11"/>
      <c r="K1858" s="11"/>
      <c r="L1858" s="11"/>
      <c r="M1858" s="11"/>
      <c r="N1858" s="11"/>
      <c r="O1858" s="11"/>
      <c r="P1858" s="43"/>
      <c r="Q1858" s="11"/>
      <c r="R1858" s="11"/>
      <c r="S1858" s="11"/>
      <c r="T1858" s="11"/>
      <c r="U1858" s="11"/>
      <c r="V1858" s="11"/>
      <c r="W1858" s="11"/>
      <c r="X1858" s="12"/>
      <c r="Y1858" s="12"/>
      <c r="Z1858" s="12"/>
      <c r="AA1858" s="44"/>
      <c r="AB1858" s="45"/>
      <c r="AC1858" s="12"/>
      <c r="AD1858" s="12"/>
      <c r="AE1858" s="12"/>
      <c r="AF1858" s="12"/>
      <c r="AG1858" s="44"/>
      <c r="AH1858" s="45"/>
      <c r="AI1858" s="12"/>
      <c r="AJ1858" s="12"/>
      <c r="AK1858" s="12"/>
      <c r="AL1858" s="12"/>
      <c r="AM1858" s="44"/>
      <c r="AN1858" s="45"/>
      <c r="AO1858" s="12"/>
      <c r="AP1858" s="12"/>
      <c r="AQ1858" s="12"/>
      <c r="AR1858" s="12"/>
      <c r="AS1858" s="44"/>
      <c r="AT1858" s="45"/>
      <c r="AU1858" s="12"/>
      <c r="AV1858" s="12"/>
      <c r="AW1858" s="12"/>
      <c r="AX1858" s="12"/>
      <c r="AY1858" s="44"/>
      <c r="AZ1858" s="45"/>
      <c r="BA1858" s="12"/>
      <c r="BB1858" s="12"/>
      <c r="BC1858" s="12"/>
      <c r="BD1858" s="12"/>
      <c r="BE1858" s="44"/>
      <c r="BF1858" s="45"/>
      <c r="BG1858" s="12"/>
      <c r="BH1858" s="12"/>
      <c r="BI1858" s="12"/>
      <c r="BJ1858" s="12"/>
      <c r="BK1858" s="44"/>
      <c r="BL1858" s="45"/>
      <c r="BM1858" s="12"/>
      <c r="BN1858" s="12"/>
      <c r="BO1858" s="12"/>
      <c r="BP1858" s="12"/>
      <c r="BQ1858" s="48"/>
      <c r="BR1858" s="49"/>
      <c r="BS1858" s="13"/>
      <c r="BT1858" s="12"/>
      <c r="BV1858" s="14"/>
      <c r="BW1858" s="50"/>
      <c r="BX1858" s="54"/>
      <c r="BY1858" s="14"/>
      <c r="BZ1858" s="14"/>
      <c r="CA1858" s="14"/>
      <c r="CB1858" s="14"/>
      <c r="CC1858" s="14"/>
      <c r="CD1858" s="14"/>
      <c r="CE1858" s="14"/>
      <c r="CF1858" s="15"/>
      <c r="CG1858" s="14"/>
      <c r="CH1858" s="14"/>
      <c r="CI1858" s="50"/>
      <c r="CJ1858" s="54"/>
      <c r="CK1858" s="14"/>
      <c r="CL1858" s="14"/>
      <c r="CM1858" s="14"/>
      <c r="CN1858" s="14"/>
      <c r="CO1858" s="14"/>
      <c r="CP1858" s="14"/>
      <c r="CQ1858" s="14"/>
      <c r="CR1858" s="14"/>
      <c r="CS1858" s="14"/>
      <c r="CT1858" s="14"/>
      <c r="CU1858" s="16"/>
      <c r="CV1858" s="14"/>
      <c r="CW1858" s="50"/>
      <c r="CX1858" s="17"/>
    </row>
    <row r="1859" spans="4:102" x14ac:dyDescent="0.25">
      <c r="D1859" s="11"/>
      <c r="E1859" s="11"/>
      <c r="F1859" s="11"/>
      <c r="G1859" s="11"/>
      <c r="H1859" s="11"/>
      <c r="I1859" s="11"/>
      <c r="J1859" s="11"/>
      <c r="K1859" s="11"/>
      <c r="L1859" s="11"/>
      <c r="M1859" s="11"/>
      <c r="N1859" s="11"/>
      <c r="O1859" s="11"/>
      <c r="P1859" s="43"/>
      <c r="Q1859" s="11"/>
      <c r="R1859" s="11"/>
      <c r="S1859" s="11"/>
      <c r="T1859" s="11"/>
      <c r="U1859" s="11"/>
      <c r="V1859" s="11"/>
      <c r="W1859" s="11"/>
      <c r="X1859" s="12"/>
      <c r="Y1859" s="12"/>
      <c r="Z1859" s="12"/>
      <c r="AA1859" s="44"/>
      <c r="AB1859" s="45"/>
      <c r="AC1859" s="12"/>
      <c r="AD1859" s="12"/>
      <c r="AE1859" s="12"/>
      <c r="AF1859" s="12"/>
      <c r="AG1859" s="44"/>
      <c r="AH1859" s="45"/>
      <c r="AI1859" s="12"/>
      <c r="AJ1859" s="12"/>
      <c r="AK1859" s="12"/>
      <c r="AL1859" s="12"/>
      <c r="AM1859" s="44"/>
      <c r="AN1859" s="45"/>
      <c r="AO1859" s="12"/>
      <c r="AP1859" s="12"/>
      <c r="AQ1859" s="12"/>
      <c r="AR1859" s="12"/>
      <c r="AS1859" s="44"/>
      <c r="AT1859" s="45"/>
      <c r="AU1859" s="12"/>
      <c r="AV1859" s="12"/>
      <c r="AW1859" s="12"/>
      <c r="AX1859" s="12"/>
      <c r="AY1859" s="44"/>
      <c r="AZ1859" s="45"/>
      <c r="BA1859" s="12"/>
      <c r="BB1859" s="12"/>
      <c r="BC1859" s="12"/>
      <c r="BD1859" s="12"/>
      <c r="BE1859" s="44"/>
      <c r="BF1859" s="45"/>
      <c r="BG1859" s="12"/>
      <c r="BH1859" s="12"/>
      <c r="BI1859" s="12"/>
      <c r="BJ1859" s="12"/>
      <c r="BK1859" s="44"/>
      <c r="BL1859" s="45"/>
      <c r="BM1859" s="12"/>
      <c r="BN1859" s="12"/>
      <c r="BO1859" s="12"/>
      <c r="BP1859" s="12"/>
      <c r="BQ1859" s="48"/>
      <c r="BR1859" s="49"/>
      <c r="BS1859" s="13"/>
      <c r="BT1859" s="12"/>
      <c r="BV1859" s="14"/>
      <c r="BW1859" s="50"/>
      <c r="BX1859" s="54"/>
      <c r="BY1859" s="14"/>
      <c r="BZ1859" s="14"/>
      <c r="CA1859" s="14"/>
      <c r="CB1859" s="14"/>
      <c r="CC1859" s="14"/>
      <c r="CD1859" s="14"/>
      <c r="CE1859" s="14"/>
      <c r="CF1859" s="15"/>
      <c r="CG1859" s="14"/>
      <c r="CH1859" s="14"/>
      <c r="CI1859" s="50"/>
      <c r="CJ1859" s="54"/>
      <c r="CK1859" s="14"/>
      <c r="CL1859" s="14"/>
      <c r="CM1859" s="14"/>
      <c r="CN1859" s="14"/>
      <c r="CO1859" s="14"/>
      <c r="CP1859" s="14"/>
      <c r="CQ1859" s="14"/>
      <c r="CR1859" s="14"/>
      <c r="CS1859" s="14"/>
      <c r="CT1859" s="14"/>
      <c r="CU1859" s="16"/>
      <c r="CV1859" s="14"/>
      <c r="CW1859" s="50"/>
      <c r="CX1859" s="17"/>
    </row>
    <row r="1860" spans="4:102" x14ac:dyDescent="0.25"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  <c r="O1860" s="11"/>
      <c r="P1860" s="43"/>
      <c r="Q1860" s="11"/>
      <c r="R1860" s="11"/>
      <c r="S1860" s="11"/>
      <c r="T1860" s="11"/>
      <c r="U1860" s="11"/>
      <c r="V1860" s="11"/>
      <c r="W1860" s="11"/>
      <c r="X1860" s="12"/>
      <c r="Y1860" s="12"/>
      <c r="Z1860" s="12"/>
      <c r="AA1860" s="44"/>
      <c r="AB1860" s="45"/>
      <c r="AC1860" s="12"/>
      <c r="AD1860" s="12"/>
      <c r="AE1860" s="12"/>
      <c r="AF1860" s="12"/>
      <c r="AG1860" s="44"/>
      <c r="AH1860" s="45"/>
      <c r="AI1860" s="12"/>
      <c r="AJ1860" s="12"/>
      <c r="AK1860" s="12"/>
      <c r="AL1860" s="12"/>
      <c r="AM1860" s="44"/>
      <c r="AN1860" s="45"/>
      <c r="AO1860" s="12"/>
      <c r="AP1860" s="12"/>
      <c r="AQ1860" s="12"/>
      <c r="AR1860" s="12"/>
      <c r="AS1860" s="44"/>
      <c r="AT1860" s="45"/>
      <c r="AU1860" s="12"/>
      <c r="AV1860" s="12"/>
      <c r="AW1860" s="12"/>
      <c r="AX1860" s="12"/>
      <c r="AY1860" s="44"/>
      <c r="AZ1860" s="45"/>
      <c r="BA1860" s="12"/>
      <c r="BB1860" s="12"/>
      <c r="BC1860" s="12"/>
      <c r="BD1860" s="12"/>
      <c r="BE1860" s="44"/>
      <c r="BF1860" s="45"/>
      <c r="BG1860" s="12"/>
      <c r="BH1860" s="12"/>
      <c r="BI1860" s="12"/>
      <c r="BJ1860" s="12"/>
      <c r="BK1860" s="44"/>
      <c r="BL1860" s="45"/>
      <c r="BM1860" s="12"/>
      <c r="BN1860" s="12"/>
      <c r="BO1860" s="12"/>
      <c r="BP1860" s="12"/>
      <c r="BQ1860" s="48"/>
      <c r="BR1860" s="49"/>
      <c r="BS1860" s="13"/>
      <c r="BT1860" s="12"/>
      <c r="BV1860" s="14"/>
      <c r="BW1860" s="50"/>
      <c r="BX1860" s="54"/>
      <c r="BY1860" s="14"/>
      <c r="BZ1860" s="14"/>
      <c r="CA1860" s="14"/>
      <c r="CB1860" s="14"/>
      <c r="CC1860" s="14"/>
      <c r="CD1860" s="14"/>
      <c r="CE1860" s="14"/>
      <c r="CF1860" s="15"/>
      <c r="CG1860" s="14"/>
      <c r="CH1860" s="14"/>
      <c r="CI1860" s="50"/>
      <c r="CJ1860" s="54"/>
      <c r="CK1860" s="14"/>
      <c r="CL1860" s="14"/>
      <c r="CM1860" s="14"/>
      <c r="CN1860" s="14"/>
      <c r="CO1860" s="14"/>
      <c r="CP1860" s="14"/>
      <c r="CQ1860" s="14"/>
      <c r="CR1860" s="14"/>
      <c r="CS1860" s="14"/>
      <c r="CT1860" s="14"/>
      <c r="CU1860" s="16"/>
      <c r="CV1860" s="14"/>
      <c r="CW1860" s="50"/>
      <c r="CX1860" s="17"/>
    </row>
    <row r="1861" spans="4:102" x14ac:dyDescent="0.25">
      <c r="D1861" s="11"/>
      <c r="E1861" s="11"/>
      <c r="F1861" s="11"/>
      <c r="G1861" s="11"/>
      <c r="H1861" s="11"/>
      <c r="I1861" s="11"/>
      <c r="J1861" s="11"/>
      <c r="K1861" s="11"/>
      <c r="L1861" s="11"/>
      <c r="M1861" s="11"/>
      <c r="N1861" s="11"/>
      <c r="O1861" s="11"/>
      <c r="P1861" s="43"/>
      <c r="Q1861" s="11"/>
      <c r="R1861" s="11"/>
      <c r="S1861" s="11"/>
      <c r="T1861" s="11"/>
      <c r="U1861" s="11"/>
      <c r="V1861" s="11"/>
      <c r="W1861" s="11"/>
      <c r="X1861" s="12"/>
      <c r="Y1861" s="12"/>
      <c r="Z1861" s="12"/>
      <c r="AA1861" s="44"/>
      <c r="AB1861" s="45"/>
      <c r="AC1861" s="12"/>
      <c r="AD1861" s="12"/>
      <c r="AE1861" s="12"/>
      <c r="AF1861" s="12"/>
      <c r="AG1861" s="44"/>
      <c r="AH1861" s="45"/>
      <c r="AI1861" s="12"/>
      <c r="AJ1861" s="12"/>
      <c r="AK1861" s="12"/>
      <c r="AL1861" s="12"/>
      <c r="AM1861" s="44"/>
      <c r="AN1861" s="45"/>
      <c r="AO1861" s="12"/>
      <c r="AP1861" s="12"/>
      <c r="AQ1861" s="12"/>
      <c r="AR1861" s="12"/>
      <c r="AS1861" s="44"/>
      <c r="AT1861" s="45"/>
      <c r="AU1861" s="12"/>
      <c r="AV1861" s="12"/>
      <c r="AW1861" s="12"/>
      <c r="AX1861" s="12"/>
      <c r="AY1861" s="44"/>
      <c r="AZ1861" s="45"/>
      <c r="BA1861" s="12"/>
      <c r="BB1861" s="12"/>
      <c r="BC1861" s="12"/>
      <c r="BD1861" s="12"/>
      <c r="BE1861" s="44"/>
      <c r="BF1861" s="45"/>
      <c r="BG1861" s="12"/>
      <c r="BH1861" s="12"/>
      <c r="BI1861" s="12"/>
      <c r="BJ1861" s="12"/>
      <c r="BK1861" s="44"/>
      <c r="BL1861" s="45"/>
      <c r="BM1861" s="12"/>
      <c r="BN1861" s="12"/>
      <c r="BO1861" s="12"/>
      <c r="BP1861" s="12"/>
      <c r="BQ1861" s="48"/>
      <c r="BR1861" s="49"/>
      <c r="BS1861" s="13"/>
      <c r="BT1861" s="12"/>
      <c r="BV1861" s="14"/>
      <c r="BW1861" s="50"/>
      <c r="BX1861" s="54"/>
      <c r="BY1861" s="14"/>
      <c r="BZ1861" s="14"/>
      <c r="CA1861" s="14"/>
      <c r="CB1861" s="14"/>
      <c r="CC1861" s="14"/>
      <c r="CD1861" s="14"/>
      <c r="CE1861" s="14"/>
      <c r="CF1861" s="15"/>
      <c r="CG1861" s="14"/>
      <c r="CH1861" s="14"/>
      <c r="CI1861" s="50"/>
      <c r="CJ1861" s="54"/>
      <c r="CK1861" s="14"/>
      <c r="CL1861" s="14"/>
      <c r="CM1861" s="14"/>
      <c r="CN1861" s="14"/>
      <c r="CO1861" s="14"/>
      <c r="CP1861" s="14"/>
      <c r="CQ1861" s="14"/>
      <c r="CR1861" s="14"/>
      <c r="CS1861" s="14"/>
      <c r="CT1861" s="14"/>
      <c r="CU1861" s="16"/>
      <c r="CV1861" s="14"/>
      <c r="CW1861" s="50"/>
      <c r="CX1861" s="17"/>
    </row>
    <row r="1862" spans="4:102" x14ac:dyDescent="0.25">
      <c r="D1862" s="11"/>
      <c r="E1862" s="11"/>
      <c r="F1862" s="11"/>
      <c r="G1862" s="11"/>
      <c r="H1862" s="11"/>
      <c r="I1862" s="11"/>
      <c r="J1862" s="11"/>
      <c r="K1862" s="11"/>
      <c r="L1862" s="11"/>
      <c r="M1862" s="11"/>
      <c r="N1862" s="11"/>
      <c r="O1862" s="11"/>
      <c r="P1862" s="43"/>
      <c r="Q1862" s="11"/>
      <c r="R1862" s="11"/>
      <c r="S1862" s="11"/>
      <c r="T1862" s="11"/>
      <c r="U1862" s="11"/>
      <c r="V1862" s="11"/>
      <c r="W1862" s="11"/>
      <c r="X1862" s="12"/>
      <c r="Y1862" s="12"/>
      <c r="Z1862" s="12"/>
      <c r="AA1862" s="44"/>
      <c r="AB1862" s="45"/>
      <c r="AC1862" s="12"/>
      <c r="AD1862" s="12"/>
      <c r="AE1862" s="12"/>
      <c r="AF1862" s="12"/>
      <c r="AG1862" s="44"/>
      <c r="AH1862" s="45"/>
      <c r="AI1862" s="12"/>
      <c r="AJ1862" s="12"/>
      <c r="AK1862" s="12"/>
      <c r="AL1862" s="12"/>
      <c r="AM1862" s="44"/>
      <c r="AN1862" s="45"/>
      <c r="AO1862" s="12"/>
      <c r="AP1862" s="12"/>
      <c r="AQ1862" s="12"/>
      <c r="AR1862" s="12"/>
      <c r="AS1862" s="44"/>
      <c r="AT1862" s="45"/>
      <c r="AU1862" s="12"/>
      <c r="AV1862" s="12"/>
      <c r="AW1862" s="12"/>
      <c r="AX1862" s="12"/>
      <c r="AY1862" s="44"/>
      <c r="AZ1862" s="45"/>
      <c r="BA1862" s="12"/>
      <c r="BB1862" s="12"/>
      <c r="BC1862" s="12"/>
      <c r="BD1862" s="12"/>
      <c r="BE1862" s="44"/>
      <c r="BF1862" s="45"/>
      <c r="BG1862" s="12"/>
      <c r="BH1862" s="12"/>
      <c r="BI1862" s="12"/>
      <c r="BJ1862" s="12"/>
      <c r="BK1862" s="44"/>
      <c r="BL1862" s="45"/>
      <c r="BM1862" s="12"/>
      <c r="BN1862" s="12"/>
      <c r="BO1862" s="12"/>
      <c r="BP1862" s="12"/>
      <c r="BQ1862" s="48"/>
      <c r="BR1862" s="49"/>
      <c r="BS1862" s="13"/>
      <c r="BT1862" s="12"/>
      <c r="BV1862" s="14"/>
      <c r="BW1862" s="50"/>
      <c r="BX1862" s="54"/>
      <c r="BY1862" s="14"/>
      <c r="BZ1862" s="14"/>
      <c r="CA1862" s="14"/>
      <c r="CB1862" s="14"/>
      <c r="CC1862" s="14"/>
      <c r="CD1862" s="14"/>
      <c r="CE1862" s="14"/>
      <c r="CF1862" s="15"/>
      <c r="CG1862" s="14"/>
      <c r="CH1862" s="14"/>
      <c r="CI1862" s="50"/>
      <c r="CJ1862" s="54"/>
      <c r="CK1862" s="14"/>
      <c r="CL1862" s="14"/>
      <c r="CM1862" s="14"/>
      <c r="CN1862" s="14"/>
      <c r="CO1862" s="14"/>
      <c r="CP1862" s="14"/>
      <c r="CQ1862" s="14"/>
      <c r="CR1862" s="14"/>
      <c r="CS1862" s="14"/>
      <c r="CT1862" s="14"/>
      <c r="CU1862" s="16"/>
      <c r="CV1862" s="14"/>
      <c r="CW1862" s="50"/>
      <c r="CX1862" s="17"/>
    </row>
    <row r="1863" spans="4:102" x14ac:dyDescent="0.25">
      <c r="D1863" s="11"/>
      <c r="E1863" s="11"/>
      <c r="F1863" s="11"/>
      <c r="G1863" s="11"/>
      <c r="H1863" s="11"/>
      <c r="I1863" s="11"/>
      <c r="J1863" s="11"/>
      <c r="K1863" s="11"/>
      <c r="L1863" s="11"/>
      <c r="M1863" s="11"/>
      <c r="N1863" s="11"/>
      <c r="O1863" s="11"/>
      <c r="P1863" s="43"/>
      <c r="Q1863" s="11"/>
      <c r="R1863" s="11"/>
      <c r="S1863" s="11"/>
      <c r="T1863" s="11"/>
      <c r="U1863" s="11"/>
      <c r="V1863" s="11"/>
      <c r="W1863" s="11"/>
      <c r="X1863" s="12"/>
      <c r="Y1863" s="12"/>
      <c r="Z1863" s="12"/>
      <c r="AA1863" s="44"/>
      <c r="AB1863" s="45"/>
      <c r="AC1863" s="12"/>
      <c r="AD1863" s="12"/>
      <c r="AE1863" s="12"/>
      <c r="AF1863" s="12"/>
      <c r="AG1863" s="44"/>
      <c r="AH1863" s="45"/>
      <c r="AI1863" s="12"/>
      <c r="AJ1863" s="12"/>
      <c r="AK1863" s="12"/>
      <c r="AL1863" s="12"/>
      <c r="AM1863" s="44"/>
      <c r="AN1863" s="45"/>
      <c r="AO1863" s="12"/>
      <c r="AP1863" s="12"/>
      <c r="AQ1863" s="12"/>
      <c r="AR1863" s="12"/>
      <c r="AS1863" s="44"/>
      <c r="AT1863" s="45"/>
      <c r="AU1863" s="12"/>
      <c r="AV1863" s="12"/>
      <c r="AW1863" s="12"/>
      <c r="AX1863" s="12"/>
      <c r="AY1863" s="44"/>
      <c r="AZ1863" s="45"/>
      <c r="BA1863" s="12"/>
      <c r="BB1863" s="12"/>
      <c r="BC1863" s="12"/>
      <c r="BD1863" s="12"/>
      <c r="BE1863" s="44"/>
      <c r="BF1863" s="45"/>
      <c r="BG1863" s="12"/>
      <c r="BH1863" s="12"/>
      <c r="BI1863" s="12"/>
      <c r="BJ1863" s="12"/>
      <c r="BK1863" s="44"/>
      <c r="BL1863" s="45"/>
      <c r="BM1863" s="12"/>
      <c r="BN1863" s="12"/>
      <c r="BO1863" s="12"/>
      <c r="BP1863" s="12"/>
      <c r="BQ1863" s="48"/>
      <c r="BR1863" s="49"/>
      <c r="BS1863" s="13"/>
      <c r="BT1863" s="12"/>
      <c r="BV1863" s="14"/>
      <c r="BW1863" s="50"/>
      <c r="BX1863" s="54"/>
      <c r="BY1863" s="14"/>
      <c r="BZ1863" s="14"/>
      <c r="CA1863" s="14"/>
      <c r="CB1863" s="14"/>
      <c r="CC1863" s="14"/>
      <c r="CD1863" s="14"/>
      <c r="CE1863" s="14"/>
      <c r="CF1863" s="15"/>
      <c r="CG1863" s="14"/>
      <c r="CH1863" s="14"/>
      <c r="CI1863" s="50"/>
      <c r="CJ1863" s="54"/>
      <c r="CK1863" s="14"/>
      <c r="CL1863" s="14"/>
      <c r="CM1863" s="14"/>
      <c r="CN1863" s="14"/>
      <c r="CO1863" s="14"/>
      <c r="CP1863" s="14"/>
      <c r="CQ1863" s="14"/>
      <c r="CR1863" s="14"/>
      <c r="CS1863" s="14"/>
      <c r="CT1863" s="14"/>
      <c r="CU1863" s="16"/>
      <c r="CV1863" s="14"/>
      <c r="CW1863" s="50"/>
      <c r="CX1863" s="17"/>
    </row>
    <row r="1864" spans="4:102" x14ac:dyDescent="0.25"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43"/>
      <c r="Q1864" s="11"/>
      <c r="R1864" s="11"/>
      <c r="S1864" s="11"/>
      <c r="T1864" s="11"/>
      <c r="U1864" s="11"/>
      <c r="V1864" s="11"/>
      <c r="W1864" s="11"/>
      <c r="X1864" s="12"/>
      <c r="Y1864" s="12"/>
      <c r="Z1864" s="12"/>
      <c r="AA1864" s="44"/>
      <c r="AB1864" s="45"/>
      <c r="AC1864" s="12"/>
      <c r="AD1864" s="12"/>
      <c r="AE1864" s="12"/>
      <c r="AF1864" s="12"/>
      <c r="AG1864" s="44"/>
      <c r="AH1864" s="45"/>
      <c r="AI1864" s="12"/>
      <c r="AJ1864" s="12"/>
      <c r="AK1864" s="12"/>
      <c r="AL1864" s="12"/>
      <c r="AM1864" s="44"/>
      <c r="AN1864" s="45"/>
      <c r="AO1864" s="12"/>
      <c r="AP1864" s="12"/>
      <c r="AQ1864" s="12"/>
      <c r="AR1864" s="12"/>
      <c r="AS1864" s="44"/>
      <c r="AT1864" s="45"/>
      <c r="AU1864" s="12"/>
      <c r="AV1864" s="12"/>
      <c r="AW1864" s="12"/>
      <c r="AX1864" s="12"/>
      <c r="AY1864" s="44"/>
      <c r="AZ1864" s="45"/>
      <c r="BA1864" s="12"/>
      <c r="BB1864" s="12"/>
      <c r="BC1864" s="12"/>
      <c r="BD1864" s="12"/>
      <c r="BE1864" s="44"/>
      <c r="BF1864" s="45"/>
      <c r="BG1864" s="12"/>
      <c r="BH1864" s="12"/>
      <c r="BI1864" s="12"/>
      <c r="BJ1864" s="12"/>
      <c r="BK1864" s="44"/>
      <c r="BL1864" s="45"/>
      <c r="BM1864" s="12"/>
      <c r="BN1864" s="12"/>
      <c r="BO1864" s="12"/>
      <c r="BP1864" s="12"/>
      <c r="BQ1864" s="48"/>
      <c r="BR1864" s="49"/>
      <c r="BS1864" s="13"/>
      <c r="BT1864" s="12"/>
      <c r="BV1864" s="14"/>
      <c r="BW1864" s="50"/>
      <c r="BX1864" s="54"/>
      <c r="BY1864" s="14"/>
      <c r="BZ1864" s="14"/>
      <c r="CA1864" s="14"/>
      <c r="CB1864" s="14"/>
      <c r="CC1864" s="14"/>
      <c r="CD1864" s="14"/>
      <c r="CE1864" s="14"/>
      <c r="CF1864" s="15"/>
      <c r="CG1864" s="14"/>
      <c r="CH1864" s="14"/>
      <c r="CI1864" s="50"/>
      <c r="CJ1864" s="54"/>
      <c r="CK1864" s="14"/>
      <c r="CL1864" s="14"/>
      <c r="CM1864" s="14"/>
      <c r="CN1864" s="14"/>
      <c r="CO1864" s="14"/>
      <c r="CP1864" s="14"/>
      <c r="CQ1864" s="14"/>
      <c r="CR1864" s="14"/>
      <c r="CS1864" s="14"/>
      <c r="CT1864" s="14"/>
      <c r="CU1864" s="16"/>
      <c r="CV1864" s="14"/>
      <c r="CW1864" s="50"/>
      <c r="CX1864" s="17"/>
    </row>
    <row r="1865" spans="4:102" x14ac:dyDescent="0.25">
      <c r="D1865" s="11"/>
      <c r="E1865" s="11"/>
      <c r="F1865" s="11"/>
      <c r="G1865" s="11"/>
      <c r="H1865" s="11"/>
      <c r="I1865" s="11"/>
      <c r="J1865" s="11"/>
      <c r="K1865" s="11"/>
      <c r="L1865" s="11"/>
      <c r="M1865" s="11"/>
      <c r="N1865" s="11"/>
      <c r="O1865" s="11"/>
      <c r="P1865" s="43"/>
      <c r="Q1865" s="11"/>
      <c r="R1865" s="11"/>
      <c r="S1865" s="11"/>
      <c r="T1865" s="11"/>
      <c r="U1865" s="11"/>
      <c r="V1865" s="11"/>
      <c r="W1865" s="11"/>
      <c r="X1865" s="12"/>
      <c r="Y1865" s="12"/>
      <c r="Z1865" s="12"/>
      <c r="AA1865" s="44"/>
      <c r="AB1865" s="45"/>
      <c r="AC1865" s="12"/>
      <c r="AD1865" s="12"/>
      <c r="AE1865" s="12"/>
      <c r="AF1865" s="12"/>
      <c r="AG1865" s="44"/>
      <c r="AH1865" s="45"/>
      <c r="AI1865" s="12"/>
      <c r="AJ1865" s="12"/>
      <c r="AK1865" s="12"/>
      <c r="AL1865" s="12"/>
      <c r="AM1865" s="44"/>
      <c r="AN1865" s="45"/>
      <c r="AO1865" s="12"/>
      <c r="AP1865" s="12"/>
      <c r="AQ1865" s="12"/>
      <c r="AR1865" s="12"/>
      <c r="AS1865" s="44"/>
      <c r="AT1865" s="45"/>
      <c r="AU1865" s="12"/>
      <c r="AV1865" s="12"/>
      <c r="AW1865" s="12"/>
      <c r="AX1865" s="12"/>
      <c r="AY1865" s="44"/>
      <c r="AZ1865" s="45"/>
      <c r="BA1865" s="12"/>
      <c r="BB1865" s="12"/>
      <c r="BC1865" s="12"/>
      <c r="BD1865" s="12"/>
      <c r="BE1865" s="44"/>
      <c r="BF1865" s="45"/>
      <c r="BG1865" s="12"/>
      <c r="BH1865" s="12"/>
      <c r="BI1865" s="12"/>
      <c r="BJ1865" s="12"/>
      <c r="BK1865" s="44"/>
      <c r="BL1865" s="45"/>
      <c r="BM1865" s="12"/>
      <c r="BN1865" s="12"/>
      <c r="BO1865" s="12"/>
      <c r="BP1865" s="12"/>
      <c r="BQ1865" s="48"/>
      <c r="BR1865" s="49"/>
      <c r="BS1865" s="13"/>
      <c r="BT1865" s="12"/>
      <c r="BV1865" s="14"/>
      <c r="BW1865" s="50"/>
      <c r="BX1865" s="54"/>
      <c r="BY1865" s="14"/>
      <c r="BZ1865" s="14"/>
      <c r="CA1865" s="14"/>
      <c r="CB1865" s="14"/>
      <c r="CC1865" s="14"/>
      <c r="CD1865" s="14"/>
      <c r="CE1865" s="14"/>
      <c r="CF1865" s="15"/>
      <c r="CG1865" s="14"/>
      <c r="CH1865" s="14"/>
      <c r="CI1865" s="50"/>
      <c r="CJ1865" s="54"/>
      <c r="CK1865" s="14"/>
      <c r="CL1865" s="14"/>
      <c r="CM1865" s="14"/>
      <c r="CN1865" s="14"/>
      <c r="CO1865" s="14"/>
      <c r="CP1865" s="14"/>
      <c r="CQ1865" s="14"/>
      <c r="CR1865" s="14"/>
      <c r="CS1865" s="14"/>
      <c r="CT1865" s="14"/>
      <c r="CU1865" s="16"/>
      <c r="CV1865" s="14"/>
      <c r="CW1865" s="50"/>
      <c r="CX1865" s="17"/>
    </row>
    <row r="1866" spans="4:102" x14ac:dyDescent="0.25">
      <c r="D1866" s="11"/>
      <c r="E1866" s="11"/>
      <c r="F1866" s="11"/>
      <c r="G1866" s="11"/>
      <c r="H1866" s="11"/>
      <c r="I1866" s="11"/>
      <c r="J1866" s="11"/>
      <c r="K1866" s="11"/>
      <c r="L1866" s="11"/>
      <c r="M1866" s="11"/>
      <c r="N1866" s="11"/>
      <c r="O1866" s="11"/>
      <c r="P1866" s="43"/>
      <c r="Q1866" s="11"/>
      <c r="R1866" s="11"/>
      <c r="S1866" s="11"/>
      <c r="T1866" s="11"/>
      <c r="U1866" s="11"/>
      <c r="V1866" s="11"/>
      <c r="W1866" s="11"/>
      <c r="X1866" s="12"/>
      <c r="Y1866" s="12"/>
      <c r="Z1866" s="12"/>
      <c r="AA1866" s="44"/>
      <c r="AB1866" s="45"/>
      <c r="AC1866" s="12"/>
      <c r="AD1866" s="12"/>
      <c r="AE1866" s="12"/>
      <c r="AF1866" s="12"/>
      <c r="AG1866" s="44"/>
      <c r="AH1866" s="45"/>
      <c r="AI1866" s="12"/>
      <c r="AJ1866" s="12"/>
      <c r="AK1866" s="12"/>
      <c r="AL1866" s="12"/>
      <c r="AM1866" s="44"/>
      <c r="AN1866" s="45"/>
      <c r="AO1866" s="12"/>
      <c r="AP1866" s="12"/>
      <c r="AQ1866" s="12"/>
      <c r="AR1866" s="12"/>
      <c r="AS1866" s="44"/>
      <c r="AT1866" s="45"/>
      <c r="AU1866" s="12"/>
      <c r="AV1866" s="12"/>
      <c r="AW1866" s="12"/>
      <c r="AX1866" s="12"/>
      <c r="AY1866" s="44"/>
      <c r="AZ1866" s="45"/>
      <c r="BA1866" s="12"/>
      <c r="BB1866" s="12"/>
      <c r="BC1866" s="12"/>
      <c r="BD1866" s="12"/>
      <c r="BE1866" s="44"/>
      <c r="BF1866" s="45"/>
      <c r="BG1866" s="12"/>
      <c r="BH1866" s="12"/>
      <c r="BI1866" s="12"/>
      <c r="BJ1866" s="12"/>
      <c r="BK1866" s="44"/>
      <c r="BL1866" s="45"/>
      <c r="BM1866" s="12"/>
      <c r="BN1866" s="12"/>
      <c r="BO1866" s="12"/>
      <c r="BP1866" s="12"/>
      <c r="BQ1866" s="48"/>
      <c r="BR1866" s="49"/>
      <c r="BS1866" s="13"/>
      <c r="BT1866" s="12"/>
      <c r="BV1866" s="14"/>
      <c r="BW1866" s="50"/>
      <c r="BX1866" s="54"/>
      <c r="BY1866" s="14"/>
      <c r="BZ1866" s="14"/>
      <c r="CA1866" s="14"/>
      <c r="CB1866" s="14"/>
      <c r="CC1866" s="14"/>
      <c r="CD1866" s="14"/>
      <c r="CE1866" s="14"/>
      <c r="CF1866" s="15"/>
      <c r="CG1866" s="14"/>
      <c r="CH1866" s="14"/>
      <c r="CI1866" s="50"/>
      <c r="CJ1866" s="54"/>
      <c r="CK1866" s="14"/>
      <c r="CL1866" s="14"/>
      <c r="CM1866" s="14"/>
      <c r="CN1866" s="14"/>
      <c r="CO1866" s="14"/>
      <c r="CP1866" s="14"/>
      <c r="CQ1866" s="14"/>
      <c r="CR1866" s="14"/>
      <c r="CS1866" s="14"/>
      <c r="CT1866" s="14"/>
      <c r="CU1866" s="16"/>
      <c r="CV1866" s="14"/>
      <c r="CW1866" s="50"/>
      <c r="CX1866" s="17"/>
    </row>
    <row r="1867" spans="4:102" x14ac:dyDescent="0.25">
      <c r="D1867" s="11"/>
      <c r="E1867" s="11"/>
      <c r="F1867" s="11"/>
      <c r="G1867" s="11"/>
      <c r="H1867" s="11"/>
      <c r="I1867" s="11"/>
      <c r="J1867" s="11"/>
      <c r="K1867" s="11"/>
      <c r="L1867" s="11"/>
      <c r="M1867" s="11"/>
      <c r="N1867" s="11"/>
      <c r="O1867" s="11"/>
      <c r="P1867" s="43"/>
      <c r="Q1867" s="11"/>
      <c r="R1867" s="11"/>
      <c r="S1867" s="11"/>
      <c r="T1867" s="11"/>
      <c r="U1867" s="11"/>
      <c r="V1867" s="11"/>
      <c r="W1867" s="11"/>
      <c r="X1867" s="12"/>
      <c r="Y1867" s="12"/>
      <c r="Z1867" s="12"/>
      <c r="AA1867" s="44"/>
      <c r="AB1867" s="45"/>
      <c r="AC1867" s="12"/>
      <c r="AD1867" s="12"/>
      <c r="AE1867" s="12"/>
      <c r="AF1867" s="12"/>
      <c r="AG1867" s="44"/>
      <c r="AH1867" s="45"/>
      <c r="AI1867" s="12"/>
      <c r="AJ1867" s="12"/>
      <c r="AK1867" s="12"/>
      <c r="AL1867" s="12"/>
      <c r="AM1867" s="44"/>
      <c r="AN1867" s="45"/>
      <c r="AO1867" s="12"/>
      <c r="AP1867" s="12"/>
      <c r="AQ1867" s="12"/>
      <c r="AR1867" s="12"/>
      <c r="AS1867" s="44"/>
      <c r="AT1867" s="45"/>
      <c r="AU1867" s="12"/>
      <c r="AV1867" s="12"/>
      <c r="AW1867" s="12"/>
      <c r="AX1867" s="12"/>
      <c r="AY1867" s="44"/>
      <c r="AZ1867" s="45"/>
      <c r="BA1867" s="12"/>
      <c r="BB1867" s="12"/>
      <c r="BC1867" s="12"/>
      <c r="BD1867" s="12"/>
      <c r="BE1867" s="44"/>
      <c r="BF1867" s="45"/>
      <c r="BG1867" s="12"/>
      <c r="BH1867" s="12"/>
      <c r="BI1867" s="12"/>
      <c r="BJ1867" s="12"/>
      <c r="BK1867" s="44"/>
      <c r="BL1867" s="45"/>
      <c r="BM1867" s="12"/>
      <c r="BN1867" s="12"/>
      <c r="BO1867" s="12"/>
      <c r="BP1867" s="12"/>
      <c r="BQ1867" s="48"/>
      <c r="BR1867" s="49"/>
      <c r="BS1867" s="13"/>
      <c r="BT1867" s="12"/>
      <c r="BV1867" s="14"/>
      <c r="BW1867" s="50"/>
      <c r="BX1867" s="54"/>
      <c r="BY1867" s="14"/>
      <c r="BZ1867" s="14"/>
      <c r="CA1867" s="14"/>
      <c r="CB1867" s="14"/>
      <c r="CC1867" s="14"/>
      <c r="CD1867" s="14"/>
      <c r="CE1867" s="14"/>
      <c r="CF1867" s="15"/>
      <c r="CG1867" s="14"/>
      <c r="CH1867" s="14"/>
      <c r="CI1867" s="50"/>
      <c r="CJ1867" s="54"/>
      <c r="CK1867" s="14"/>
      <c r="CL1867" s="14"/>
      <c r="CM1867" s="14"/>
      <c r="CN1867" s="14"/>
      <c r="CO1867" s="14"/>
      <c r="CP1867" s="14"/>
      <c r="CQ1867" s="14"/>
      <c r="CR1867" s="14"/>
      <c r="CS1867" s="14"/>
      <c r="CT1867" s="14"/>
      <c r="CU1867" s="16"/>
      <c r="CV1867" s="14"/>
      <c r="CW1867" s="50"/>
      <c r="CX1867" s="17"/>
    </row>
    <row r="1868" spans="4:102" x14ac:dyDescent="0.25"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1"/>
      <c r="O1868" s="11"/>
      <c r="P1868" s="43"/>
      <c r="Q1868" s="11"/>
      <c r="R1868" s="11"/>
      <c r="S1868" s="11"/>
      <c r="T1868" s="11"/>
      <c r="U1868" s="11"/>
      <c r="V1868" s="11"/>
      <c r="W1868" s="11"/>
      <c r="X1868" s="12"/>
      <c r="Y1868" s="12"/>
      <c r="Z1868" s="12"/>
      <c r="AA1868" s="44"/>
      <c r="AB1868" s="45"/>
      <c r="AC1868" s="12"/>
      <c r="AD1868" s="12"/>
      <c r="AE1868" s="12"/>
      <c r="AF1868" s="12"/>
      <c r="AG1868" s="44"/>
      <c r="AH1868" s="45"/>
      <c r="AI1868" s="12"/>
      <c r="AJ1868" s="12"/>
      <c r="AK1868" s="12"/>
      <c r="AL1868" s="12"/>
      <c r="AM1868" s="44"/>
      <c r="AN1868" s="45"/>
      <c r="AO1868" s="12"/>
      <c r="AP1868" s="12"/>
      <c r="AQ1868" s="12"/>
      <c r="AR1868" s="12"/>
      <c r="AS1868" s="44"/>
      <c r="AT1868" s="45"/>
      <c r="AU1868" s="12"/>
      <c r="AV1868" s="12"/>
      <c r="AW1868" s="12"/>
      <c r="AX1868" s="12"/>
      <c r="AY1868" s="44"/>
      <c r="AZ1868" s="45"/>
      <c r="BA1868" s="12"/>
      <c r="BB1868" s="12"/>
      <c r="BC1868" s="12"/>
      <c r="BD1868" s="12"/>
      <c r="BE1868" s="44"/>
      <c r="BF1868" s="45"/>
      <c r="BG1868" s="12"/>
      <c r="BH1868" s="12"/>
      <c r="BI1868" s="12"/>
      <c r="BJ1868" s="12"/>
      <c r="BK1868" s="44"/>
      <c r="BL1868" s="45"/>
      <c r="BM1868" s="12"/>
      <c r="BN1868" s="12"/>
      <c r="BO1868" s="12"/>
      <c r="BP1868" s="12"/>
      <c r="BQ1868" s="48"/>
      <c r="BR1868" s="49"/>
      <c r="BS1868" s="13"/>
      <c r="BT1868" s="12"/>
      <c r="BV1868" s="14"/>
      <c r="BW1868" s="50"/>
      <c r="BX1868" s="54"/>
      <c r="BY1868" s="14"/>
      <c r="BZ1868" s="14"/>
      <c r="CA1868" s="14"/>
      <c r="CB1868" s="14"/>
      <c r="CC1868" s="14"/>
      <c r="CD1868" s="14"/>
      <c r="CE1868" s="14"/>
      <c r="CF1868" s="15"/>
      <c r="CG1868" s="14"/>
      <c r="CH1868" s="14"/>
      <c r="CI1868" s="50"/>
      <c r="CJ1868" s="54"/>
      <c r="CK1868" s="14"/>
      <c r="CL1868" s="14"/>
      <c r="CM1868" s="14"/>
      <c r="CN1868" s="14"/>
      <c r="CO1868" s="14"/>
      <c r="CP1868" s="14"/>
      <c r="CQ1868" s="14"/>
      <c r="CR1868" s="14"/>
      <c r="CS1868" s="14"/>
      <c r="CT1868" s="14"/>
      <c r="CU1868" s="16"/>
      <c r="CV1868" s="14"/>
      <c r="CW1868" s="50"/>
      <c r="CX1868" s="17"/>
    </row>
    <row r="1869" spans="4:102" x14ac:dyDescent="0.25">
      <c r="D1869" s="11"/>
      <c r="E1869" s="11"/>
      <c r="F1869" s="11"/>
      <c r="G1869" s="11"/>
      <c r="H1869" s="11"/>
      <c r="I1869" s="11"/>
      <c r="J1869" s="11"/>
      <c r="K1869" s="11"/>
      <c r="L1869" s="11"/>
      <c r="M1869" s="11"/>
      <c r="N1869" s="11"/>
      <c r="O1869" s="11"/>
      <c r="P1869" s="43"/>
      <c r="Q1869" s="11"/>
      <c r="R1869" s="11"/>
      <c r="S1869" s="11"/>
      <c r="T1869" s="11"/>
      <c r="U1869" s="11"/>
      <c r="V1869" s="11"/>
      <c r="W1869" s="11"/>
      <c r="X1869" s="12"/>
      <c r="Y1869" s="12"/>
      <c r="Z1869" s="12"/>
      <c r="AA1869" s="44"/>
      <c r="AB1869" s="45"/>
      <c r="AC1869" s="12"/>
      <c r="AD1869" s="12"/>
      <c r="AE1869" s="12"/>
      <c r="AF1869" s="12"/>
      <c r="AG1869" s="44"/>
      <c r="AH1869" s="45"/>
      <c r="AI1869" s="12"/>
      <c r="AJ1869" s="12"/>
      <c r="AK1869" s="12"/>
      <c r="AL1869" s="12"/>
      <c r="AM1869" s="44"/>
      <c r="AN1869" s="45"/>
      <c r="AO1869" s="12"/>
      <c r="AP1869" s="12"/>
      <c r="AQ1869" s="12"/>
      <c r="AR1869" s="12"/>
      <c r="AS1869" s="44"/>
      <c r="AT1869" s="45"/>
      <c r="AU1869" s="12"/>
      <c r="AV1869" s="12"/>
      <c r="AW1869" s="12"/>
      <c r="AX1869" s="12"/>
      <c r="AY1869" s="44"/>
      <c r="AZ1869" s="45"/>
      <c r="BA1869" s="12"/>
      <c r="BB1869" s="12"/>
      <c r="BC1869" s="12"/>
      <c r="BD1869" s="12"/>
      <c r="BE1869" s="44"/>
      <c r="BF1869" s="45"/>
      <c r="BG1869" s="12"/>
      <c r="BH1869" s="12"/>
      <c r="BI1869" s="12"/>
      <c r="BJ1869" s="12"/>
      <c r="BK1869" s="44"/>
      <c r="BL1869" s="45"/>
      <c r="BM1869" s="12"/>
      <c r="BN1869" s="12"/>
      <c r="BO1869" s="12"/>
      <c r="BP1869" s="12"/>
      <c r="BQ1869" s="48"/>
      <c r="BR1869" s="49"/>
      <c r="BS1869" s="13"/>
      <c r="BT1869" s="12"/>
      <c r="BV1869" s="14"/>
      <c r="BW1869" s="50"/>
      <c r="BX1869" s="54"/>
      <c r="BY1869" s="14"/>
      <c r="BZ1869" s="14"/>
      <c r="CA1869" s="14"/>
      <c r="CB1869" s="14"/>
      <c r="CC1869" s="14"/>
      <c r="CD1869" s="14"/>
      <c r="CE1869" s="14"/>
      <c r="CF1869" s="15"/>
      <c r="CG1869" s="14"/>
      <c r="CH1869" s="14"/>
      <c r="CI1869" s="50"/>
      <c r="CJ1869" s="54"/>
      <c r="CK1869" s="14"/>
      <c r="CL1869" s="14"/>
      <c r="CM1869" s="14"/>
      <c r="CN1869" s="14"/>
      <c r="CO1869" s="14"/>
      <c r="CP1869" s="14"/>
      <c r="CQ1869" s="14"/>
      <c r="CR1869" s="14"/>
      <c r="CS1869" s="14"/>
      <c r="CT1869" s="14"/>
      <c r="CU1869" s="16"/>
      <c r="CV1869" s="14"/>
      <c r="CW1869" s="50"/>
      <c r="CX1869" s="17"/>
    </row>
    <row r="1870" spans="4:102" x14ac:dyDescent="0.25">
      <c r="D1870" s="11"/>
      <c r="E1870" s="11"/>
      <c r="F1870" s="11"/>
      <c r="G1870" s="11"/>
      <c r="H1870" s="11"/>
      <c r="I1870" s="11"/>
      <c r="J1870" s="11"/>
      <c r="K1870" s="11"/>
      <c r="L1870" s="11"/>
      <c r="M1870" s="11"/>
      <c r="N1870" s="11"/>
      <c r="O1870" s="11"/>
      <c r="P1870" s="43"/>
      <c r="Q1870" s="11"/>
      <c r="R1870" s="11"/>
      <c r="S1870" s="11"/>
      <c r="T1870" s="11"/>
      <c r="U1870" s="11"/>
      <c r="V1870" s="11"/>
      <c r="W1870" s="11"/>
      <c r="X1870" s="12"/>
      <c r="Y1870" s="12"/>
      <c r="Z1870" s="12"/>
      <c r="AA1870" s="44"/>
      <c r="AB1870" s="45"/>
      <c r="AC1870" s="12"/>
      <c r="AD1870" s="12"/>
      <c r="AE1870" s="12"/>
      <c r="AF1870" s="12"/>
      <c r="AG1870" s="44"/>
      <c r="AH1870" s="45"/>
      <c r="AI1870" s="12"/>
      <c r="AJ1870" s="12"/>
      <c r="AK1870" s="12"/>
      <c r="AL1870" s="12"/>
      <c r="AM1870" s="44"/>
      <c r="AN1870" s="45"/>
      <c r="AO1870" s="12"/>
      <c r="AP1870" s="12"/>
      <c r="AQ1870" s="12"/>
      <c r="AR1870" s="12"/>
      <c r="AS1870" s="44"/>
      <c r="AT1870" s="45"/>
      <c r="AU1870" s="12"/>
      <c r="AV1870" s="12"/>
      <c r="AW1870" s="12"/>
      <c r="AX1870" s="12"/>
      <c r="AY1870" s="44"/>
      <c r="AZ1870" s="45"/>
      <c r="BA1870" s="12"/>
      <c r="BB1870" s="12"/>
      <c r="BC1870" s="12"/>
      <c r="BD1870" s="12"/>
      <c r="BE1870" s="44"/>
      <c r="BF1870" s="45"/>
      <c r="BG1870" s="12"/>
      <c r="BH1870" s="12"/>
      <c r="BI1870" s="12"/>
      <c r="BJ1870" s="12"/>
      <c r="BK1870" s="44"/>
      <c r="BL1870" s="45"/>
      <c r="BM1870" s="12"/>
      <c r="BN1870" s="12"/>
      <c r="BO1870" s="12"/>
      <c r="BP1870" s="12"/>
      <c r="BQ1870" s="48"/>
      <c r="BR1870" s="49"/>
      <c r="BS1870" s="13"/>
      <c r="BT1870" s="12"/>
      <c r="BV1870" s="14"/>
      <c r="BW1870" s="50"/>
      <c r="BX1870" s="54"/>
      <c r="BY1870" s="14"/>
      <c r="BZ1870" s="14"/>
      <c r="CA1870" s="14"/>
      <c r="CB1870" s="14"/>
      <c r="CC1870" s="14"/>
      <c r="CD1870" s="14"/>
      <c r="CE1870" s="14"/>
      <c r="CF1870" s="15"/>
      <c r="CG1870" s="14"/>
      <c r="CH1870" s="14"/>
      <c r="CI1870" s="50"/>
      <c r="CJ1870" s="54"/>
      <c r="CK1870" s="14"/>
      <c r="CL1870" s="14"/>
      <c r="CM1870" s="14"/>
      <c r="CN1870" s="14"/>
      <c r="CO1870" s="14"/>
      <c r="CP1870" s="14"/>
      <c r="CQ1870" s="14"/>
      <c r="CR1870" s="14"/>
      <c r="CS1870" s="14"/>
      <c r="CT1870" s="14"/>
      <c r="CU1870" s="16"/>
      <c r="CV1870" s="14"/>
      <c r="CW1870" s="50"/>
      <c r="CX1870" s="17"/>
    </row>
    <row r="1871" spans="4:102" x14ac:dyDescent="0.25">
      <c r="D1871" s="11"/>
      <c r="E1871" s="11"/>
      <c r="F1871" s="11"/>
      <c r="G1871" s="11"/>
      <c r="H1871" s="11"/>
      <c r="I1871" s="11"/>
      <c r="J1871" s="11"/>
      <c r="K1871" s="11"/>
      <c r="L1871" s="11"/>
      <c r="M1871" s="11"/>
      <c r="N1871" s="11"/>
      <c r="O1871" s="11"/>
      <c r="P1871" s="43"/>
      <c r="Q1871" s="11"/>
      <c r="R1871" s="11"/>
      <c r="S1871" s="11"/>
      <c r="T1871" s="11"/>
      <c r="U1871" s="11"/>
      <c r="V1871" s="11"/>
      <c r="W1871" s="11"/>
      <c r="X1871" s="12"/>
      <c r="Y1871" s="12"/>
      <c r="Z1871" s="12"/>
      <c r="AA1871" s="44"/>
      <c r="AB1871" s="45"/>
      <c r="AC1871" s="12"/>
      <c r="AD1871" s="12"/>
      <c r="AE1871" s="12"/>
      <c r="AF1871" s="12"/>
      <c r="AG1871" s="44"/>
      <c r="AH1871" s="45"/>
      <c r="AI1871" s="12"/>
      <c r="AJ1871" s="12"/>
      <c r="AK1871" s="12"/>
      <c r="AL1871" s="12"/>
      <c r="AM1871" s="44"/>
      <c r="AN1871" s="45"/>
      <c r="AO1871" s="12"/>
      <c r="AP1871" s="12"/>
      <c r="AQ1871" s="12"/>
      <c r="AR1871" s="12"/>
      <c r="AS1871" s="44"/>
      <c r="AT1871" s="45"/>
      <c r="AU1871" s="12"/>
      <c r="AV1871" s="12"/>
      <c r="AW1871" s="12"/>
      <c r="AX1871" s="12"/>
      <c r="AY1871" s="44"/>
      <c r="AZ1871" s="45"/>
      <c r="BA1871" s="12"/>
      <c r="BB1871" s="12"/>
      <c r="BC1871" s="12"/>
      <c r="BD1871" s="12"/>
      <c r="BE1871" s="44"/>
      <c r="BF1871" s="45"/>
      <c r="BG1871" s="12"/>
      <c r="BH1871" s="12"/>
      <c r="BI1871" s="12"/>
      <c r="BJ1871" s="12"/>
      <c r="BK1871" s="44"/>
      <c r="BL1871" s="45"/>
      <c r="BM1871" s="12"/>
      <c r="BN1871" s="12"/>
      <c r="BO1871" s="12"/>
      <c r="BP1871" s="12"/>
      <c r="BQ1871" s="48"/>
      <c r="BR1871" s="49"/>
      <c r="BS1871" s="13"/>
      <c r="BT1871" s="12"/>
      <c r="BV1871" s="14"/>
      <c r="BW1871" s="50"/>
      <c r="BX1871" s="54"/>
      <c r="BY1871" s="14"/>
      <c r="BZ1871" s="14"/>
      <c r="CA1871" s="14"/>
      <c r="CB1871" s="14"/>
      <c r="CC1871" s="14"/>
      <c r="CD1871" s="14"/>
      <c r="CE1871" s="14"/>
      <c r="CF1871" s="15"/>
      <c r="CG1871" s="14"/>
      <c r="CH1871" s="14"/>
      <c r="CI1871" s="50"/>
      <c r="CJ1871" s="54"/>
      <c r="CK1871" s="14"/>
      <c r="CL1871" s="14"/>
      <c r="CM1871" s="14"/>
      <c r="CN1871" s="14"/>
      <c r="CO1871" s="14"/>
      <c r="CP1871" s="14"/>
      <c r="CQ1871" s="14"/>
      <c r="CR1871" s="14"/>
      <c r="CS1871" s="14"/>
      <c r="CT1871" s="14"/>
      <c r="CU1871" s="16"/>
      <c r="CV1871" s="14"/>
      <c r="CW1871" s="50"/>
      <c r="CX1871" s="17"/>
    </row>
    <row r="1872" spans="4:102" x14ac:dyDescent="0.25">
      <c r="D1872" s="11"/>
      <c r="E1872" s="11"/>
      <c r="F1872" s="11"/>
      <c r="G1872" s="11"/>
      <c r="H1872" s="11"/>
      <c r="I1872" s="11"/>
      <c r="J1872" s="11"/>
      <c r="K1872" s="11"/>
      <c r="L1872" s="11"/>
      <c r="M1872" s="11"/>
      <c r="N1872" s="11"/>
      <c r="O1872" s="11"/>
      <c r="P1872" s="43"/>
      <c r="Q1872" s="11"/>
      <c r="R1872" s="11"/>
      <c r="S1872" s="11"/>
      <c r="T1872" s="11"/>
      <c r="U1872" s="11"/>
      <c r="V1872" s="11"/>
      <c r="W1872" s="11"/>
      <c r="X1872" s="12"/>
      <c r="Y1872" s="12"/>
      <c r="Z1872" s="12"/>
      <c r="AA1872" s="44"/>
      <c r="AB1872" s="45"/>
      <c r="AC1872" s="12"/>
      <c r="AD1872" s="12"/>
      <c r="AE1872" s="12"/>
      <c r="AF1872" s="12"/>
      <c r="AG1872" s="44"/>
      <c r="AH1872" s="45"/>
      <c r="AI1872" s="12"/>
      <c r="AJ1872" s="12"/>
      <c r="AK1872" s="12"/>
      <c r="AL1872" s="12"/>
      <c r="AM1872" s="44"/>
      <c r="AN1872" s="45"/>
      <c r="AO1872" s="12"/>
      <c r="AP1872" s="12"/>
      <c r="AQ1872" s="12"/>
      <c r="AR1872" s="12"/>
      <c r="AS1872" s="44"/>
      <c r="AT1872" s="45"/>
      <c r="AU1872" s="12"/>
      <c r="AV1872" s="12"/>
      <c r="AW1872" s="12"/>
      <c r="AX1872" s="12"/>
      <c r="AY1872" s="44"/>
      <c r="AZ1872" s="45"/>
      <c r="BA1872" s="12"/>
      <c r="BB1872" s="12"/>
      <c r="BC1872" s="12"/>
      <c r="BD1872" s="12"/>
      <c r="BE1872" s="44"/>
      <c r="BF1872" s="45"/>
      <c r="BG1872" s="12"/>
      <c r="BH1872" s="12"/>
      <c r="BI1872" s="12"/>
      <c r="BJ1872" s="12"/>
      <c r="BK1872" s="44"/>
      <c r="BL1872" s="45"/>
      <c r="BM1872" s="12"/>
      <c r="BN1872" s="12"/>
      <c r="BO1872" s="12"/>
      <c r="BP1872" s="12"/>
      <c r="BQ1872" s="48"/>
      <c r="BR1872" s="49"/>
      <c r="BS1872" s="13"/>
      <c r="BT1872" s="12"/>
      <c r="BV1872" s="14"/>
      <c r="BW1872" s="50"/>
      <c r="BX1872" s="54"/>
      <c r="BY1872" s="14"/>
      <c r="BZ1872" s="14"/>
      <c r="CA1872" s="14"/>
      <c r="CB1872" s="14"/>
      <c r="CC1872" s="14"/>
      <c r="CD1872" s="14"/>
      <c r="CE1872" s="14"/>
      <c r="CF1872" s="15"/>
      <c r="CG1872" s="14"/>
      <c r="CH1872" s="14"/>
      <c r="CI1872" s="50"/>
      <c r="CJ1872" s="54"/>
      <c r="CK1872" s="14"/>
      <c r="CL1872" s="14"/>
      <c r="CM1872" s="14"/>
      <c r="CN1872" s="14"/>
      <c r="CO1872" s="14"/>
      <c r="CP1872" s="14"/>
      <c r="CQ1872" s="14"/>
      <c r="CR1872" s="14"/>
      <c r="CS1872" s="14"/>
      <c r="CT1872" s="14"/>
      <c r="CU1872" s="16"/>
      <c r="CV1872" s="14"/>
      <c r="CW1872" s="50"/>
      <c r="CX1872" s="17"/>
    </row>
    <row r="1873" spans="4:102" x14ac:dyDescent="0.25">
      <c r="D1873" s="11"/>
      <c r="E1873" s="11"/>
      <c r="F1873" s="11"/>
      <c r="G1873" s="11"/>
      <c r="H1873" s="11"/>
      <c r="I1873" s="11"/>
      <c r="J1873" s="11"/>
      <c r="K1873" s="11"/>
      <c r="L1873" s="11"/>
      <c r="M1873" s="11"/>
      <c r="N1873" s="11"/>
      <c r="O1873" s="11"/>
      <c r="P1873" s="43"/>
      <c r="Q1873" s="11"/>
      <c r="R1873" s="11"/>
      <c r="S1873" s="11"/>
      <c r="T1873" s="11"/>
      <c r="U1873" s="11"/>
      <c r="V1873" s="11"/>
      <c r="W1873" s="11"/>
      <c r="X1873" s="12"/>
      <c r="Y1873" s="12"/>
      <c r="Z1873" s="12"/>
      <c r="AA1873" s="44"/>
      <c r="AB1873" s="45"/>
      <c r="AC1873" s="12"/>
      <c r="AD1873" s="12"/>
      <c r="AE1873" s="12"/>
      <c r="AF1873" s="12"/>
      <c r="AG1873" s="44"/>
      <c r="AH1873" s="45"/>
      <c r="AI1873" s="12"/>
      <c r="AJ1873" s="12"/>
      <c r="AK1873" s="12"/>
      <c r="AL1873" s="12"/>
      <c r="AM1873" s="44"/>
      <c r="AN1873" s="45"/>
      <c r="AO1873" s="12"/>
      <c r="AP1873" s="12"/>
      <c r="AQ1873" s="12"/>
      <c r="AR1873" s="12"/>
      <c r="AS1873" s="44"/>
      <c r="AT1873" s="45"/>
      <c r="AU1873" s="12"/>
      <c r="AV1873" s="12"/>
      <c r="AW1873" s="12"/>
      <c r="AX1873" s="12"/>
      <c r="AY1873" s="44"/>
      <c r="AZ1873" s="45"/>
      <c r="BA1873" s="12"/>
      <c r="BB1873" s="12"/>
      <c r="BC1873" s="12"/>
      <c r="BD1873" s="12"/>
      <c r="BE1873" s="44"/>
      <c r="BF1873" s="45"/>
      <c r="BG1873" s="12"/>
      <c r="BH1873" s="12"/>
      <c r="BI1873" s="12"/>
      <c r="BJ1873" s="12"/>
      <c r="BK1873" s="44"/>
      <c r="BL1873" s="45"/>
      <c r="BM1873" s="12"/>
      <c r="BN1873" s="12"/>
      <c r="BO1873" s="12"/>
      <c r="BP1873" s="12"/>
      <c r="BQ1873" s="48"/>
      <c r="BR1873" s="49"/>
      <c r="BS1873" s="13"/>
      <c r="BT1873" s="12"/>
      <c r="BV1873" s="14"/>
      <c r="BW1873" s="50"/>
      <c r="BX1873" s="54"/>
      <c r="BY1873" s="14"/>
      <c r="BZ1873" s="14"/>
      <c r="CA1873" s="14"/>
      <c r="CB1873" s="14"/>
      <c r="CC1873" s="14"/>
      <c r="CD1873" s="14"/>
      <c r="CE1873" s="14"/>
      <c r="CF1873" s="15"/>
      <c r="CG1873" s="14"/>
      <c r="CH1873" s="14"/>
      <c r="CI1873" s="50"/>
      <c r="CJ1873" s="54"/>
      <c r="CK1873" s="14"/>
      <c r="CL1873" s="14"/>
      <c r="CM1873" s="14"/>
      <c r="CN1873" s="14"/>
      <c r="CO1873" s="14"/>
      <c r="CP1873" s="14"/>
      <c r="CQ1873" s="14"/>
      <c r="CR1873" s="14"/>
      <c r="CS1873" s="14"/>
      <c r="CT1873" s="14"/>
      <c r="CU1873" s="16"/>
      <c r="CV1873" s="14"/>
      <c r="CW1873" s="50"/>
      <c r="CX1873" s="17"/>
    </row>
    <row r="1874" spans="4:102" x14ac:dyDescent="0.25">
      <c r="D1874" s="11"/>
      <c r="E1874" s="11"/>
      <c r="F1874" s="11"/>
      <c r="G1874" s="11"/>
      <c r="H1874" s="11"/>
      <c r="I1874" s="11"/>
      <c r="J1874" s="11"/>
      <c r="K1874" s="11"/>
      <c r="L1874" s="11"/>
      <c r="M1874" s="11"/>
      <c r="N1874" s="11"/>
      <c r="O1874" s="11"/>
      <c r="P1874" s="43"/>
      <c r="Q1874" s="11"/>
      <c r="R1874" s="11"/>
      <c r="S1874" s="11"/>
      <c r="T1874" s="11"/>
      <c r="U1874" s="11"/>
      <c r="V1874" s="11"/>
      <c r="W1874" s="11"/>
      <c r="X1874" s="12"/>
      <c r="Y1874" s="12"/>
      <c r="Z1874" s="12"/>
      <c r="AA1874" s="44"/>
      <c r="AB1874" s="45"/>
      <c r="AC1874" s="12"/>
      <c r="AD1874" s="12"/>
      <c r="AE1874" s="12"/>
      <c r="AF1874" s="12"/>
      <c r="AG1874" s="44"/>
      <c r="AH1874" s="45"/>
      <c r="AI1874" s="12"/>
      <c r="AJ1874" s="12"/>
      <c r="AK1874" s="12"/>
      <c r="AL1874" s="12"/>
      <c r="AM1874" s="44"/>
      <c r="AN1874" s="45"/>
      <c r="AO1874" s="12"/>
      <c r="AP1874" s="12"/>
      <c r="AQ1874" s="12"/>
      <c r="AR1874" s="12"/>
      <c r="AS1874" s="44"/>
      <c r="AT1874" s="45"/>
      <c r="AU1874" s="12"/>
      <c r="AV1874" s="12"/>
      <c r="AW1874" s="12"/>
      <c r="AX1874" s="12"/>
      <c r="AY1874" s="44"/>
      <c r="AZ1874" s="45"/>
      <c r="BA1874" s="12"/>
      <c r="BB1874" s="12"/>
      <c r="BC1874" s="12"/>
      <c r="BD1874" s="12"/>
      <c r="BE1874" s="44"/>
      <c r="BF1874" s="45"/>
      <c r="BG1874" s="12"/>
      <c r="BH1874" s="12"/>
      <c r="BI1874" s="12"/>
      <c r="BJ1874" s="12"/>
      <c r="BK1874" s="44"/>
      <c r="BL1874" s="45"/>
      <c r="BM1874" s="12"/>
      <c r="BN1874" s="12"/>
      <c r="BO1874" s="12"/>
      <c r="BP1874" s="12"/>
      <c r="BQ1874" s="48"/>
      <c r="BR1874" s="49"/>
      <c r="BS1874" s="13"/>
      <c r="BT1874" s="12"/>
      <c r="BV1874" s="14"/>
      <c r="BW1874" s="50"/>
      <c r="BX1874" s="54"/>
      <c r="BY1874" s="14"/>
      <c r="BZ1874" s="14"/>
      <c r="CA1874" s="14"/>
      <c r="CB1874" s="14"/>
      <c r="CC1874" s="14"/>
      <c r="CD1874" s="14"/>
      <c r="CE1874" s="14"/>
      <c r="CF1874" s="15"/>
      <c r="CG1874" s="14"/>
      <c r="CH1874" s="14"/>
      <c r="CI1874" s="50"/>
      <c r="CJ1874" s="54"/>
      <c r="CK1874" s="14"/>
      <c r="CL1874" s="14"/>
      <c r="CM1874" s="14"/>
      <c r="CN1874" s="14"/>
      <c r="CO1874" s="14"/>
      <c r="CP1874" s="14"/>
      <c r="CQ1874" s="14"/>
      <c r="CR1874" s="14"/>
      <c r="CS1874" s="14"/>
      <c r="CT1874" s="14"/>
      <c r="CU1874" s="16"/>
      <c r="CV1874" s="14"/>
      <c r="CW1874" s="50"/>
      <c r="CX1874" s="17"/>
    </row>
    <row r="1875" spans="4:102" x14ac:dyDescent="0.25">
      <c r="D1875" s="11"/>
      <c r="E1875" s="11"/>
      <c r="F1875" s="11"/>
      <c r="G1875" s="11"/>
      <c r="H1875" s="11"/>
      <c r="I1875" s="11"/>
      <c r="J1875" s="11"/>
      <c r="K1875" s="11"/>
      <c r="L1875" s="11"/>
      <c r="M1875" s="11"/>
      <c r="N1875" s="11"/>
      <c r="O1875" s="11"/>
      <c r="P1875" s="43"/>
      <c r="Q1875" s="11"/>
      <c r="R1875" s="11"/>
      <c r="S1875" s="11"/>
      <c r="T1875" s="11"/>
      <c r="U1875" s="11"/>
      <c r="V1875" s="11"/>
      <c r="W1875" s="11"/>
      <c r="X1875" s="12"/>
      <c r="Y1875" s="12"/>
      <c r="Z1875" s="12"/>
      <c r="AA1875" s="44"/>
      <c r="AB1875" s="45"/>
      <c r="AC1875" s="12"/>
      <c r="AD1875" s="12"/>
      <c r="AE1875" s="12"/>
      <c r="AF1875" s="12"/>
      <c r="AG1875" s="44"/>
      <c r="AH1875" s="45"/>
      <c r="AI1875" s="12"/>
      <c r="AJ1875" s="12"/>
      <c r="AK1875" s="12"/>
      <c r="AL1875" s="12"/>
      <c r="AM1875" s="44"/>
      <c r="AN1875" s="45"/>
      <c r="AO1875" s="12"/>
      <c r="AP1875" s="12"/>
      <c r="AQ1875" s="12"/>
      <c r="AR1875" s="12"/>
      <c r="AS1875" s="44"/>
      <c r="AT1875" s="45"/>
      <c r="AU1875" s="12"/>
      <c r="AV1875" s="12"/>
      <c r="AW1875" s="12"/>
      <c r="AX1875" s="12"/>
      <c r="AY1875" s="44"/>
      <c r="AZ1875" s="45"/>
      <c r="BA1875" s="12"/>
      <c r="BB1875" s="12"/>
      <c r="BC1875" s="12"/>
      <c r="BD1875" s="12"/>
      <c r="BE1875" s="44"/>
      <c r="BF1875" s="45"/>
      <c r="BG1875" s="12"/>
      <c r="BH1875" s="12"/>
      <c r="BI1875" s="12"/>
      <c r="BJ1875" s="12"/>
      <c r="BK1875" s="44"/>
      <c r="BL1875" s="45"/>
      <c r="BM1875" s="12"/>
      <c r="BN1875" s="12"/>
      <c r="BO1875" s="12"/>
      <c r="BP1875" s="12"/>
      <c r="BQ1875" s="48"/>
      <c r="BR1875" s="49"/>
      <c r="BS1875" s="13"/>
      <c r="BT1875" s="12"/>
      <c r="BV1875" s="14"/>
      <c r="BW1875" s="50"/>
      <c r="BX1875" s="54"/>
      <c r="BY1875" s="14"/>
      <c r="BZ1875" s="14"/>
      <c r="CA1875" s="14"/>
      <c r="CB1875" s="14"/>
      <c r="CC1875" s="14"/>
      <c r="CD1875" s="14"/>
      <c r="CE1875" s="14"/>
      <c r="CF1875" s="15"/>
      <c r="CG1875" s="14"/>
      <c r="CH1875" s="14"/>
      <c r="CI1875" s="50"/>
      <c r="CJ1875" s="54"/>
      <c r="CK1875" s="14"/>
      <c r="CL1875" s="14"/>
      <c r="CM1875" s="14"/>
      <c r="CN1875" s="14"/>
      <c r="CO1875" s="14"/>
      <c r="CP1875" s="14"/>
      <c r="CQ1875" s="14"/>
      <c r="CR1875" s="14"/>
      <c r="CS1875" s="14"/>
      <c r="CT1875" s="14"/>
      <c r="CU1875" s="16"/>
      <c r="CV1875" s="14"/>
      <c r="CW1875" s="50"/>
      <c r="CX1875" s="17"/>
    </row>
    <row r="1876" spans="4:102" x14ac:dyDescent="0.25">
      <c r="D1876" s="11"/>
      <c r="E1876" s="11"/>
      <c r="F1876" s="11"/>
      <c r="G1876" s="11"/>
      <c r="H1876" s="11"/>
      <c r="I1876" s="11"/>
      <c r="J1876" s="11"/>
      <c r="K1876" s="11"/>
      <c r="L1876" s="11"/>
      <c r="M1876" s="11"/>
      <c r="N1876" s="11"/>
      <c r="O1876" s="11"/>
      <c r="P1876" s="43"/>
      <c r="Q1876" s="11"/>
      <c r="R1876" s="11"/>
      <c r="S1876" s="11"/>
      <c r="T1876" s="11"/>
      <c r="U1876" s="11"/>
      <c r="V1876" s="11"/>
      <c r="W1876" s="11"/>
      <c r="X1876" s="12"/>
      <c r="Y1876" s="12"/>
      <c r="Z1876" s="12"/>
      <c r="AA1876" s="44"/>
      <c r="AB1876" s="45"/>
      <c r="AC1876" s="12"/>
      <c r="AD1876" s="12"/>
      <c r="AE1876" s="12"/>
      <c r="AF1876" s="12"/>
      <c r="AG1876" s="44"/>
      <c r="AH1876" s="45"/>
      <c r="AI1876" s="12"/>
      <c r="AJ1876" s="12"/>
      <c r="AK1876" s="12"/>
      <c r="AL1876" s="12"/>
      <c r="AM1876" s="44"/>
      <c r="AN1876" s="45"/>
      <c r="AO1876" s="12"/>
      <c r="AP1876" s="12"/>
      <c r="AQ1876" s="12"/>
      <c r="AR1876" s="12"/>
      <c r="AS1876" s="44"/>
      <c r="AT1876" s="45"/>
      <c r="AU1876" s="12"/>
      <c r="AV1876" s="12"/>
      <c r="AW1876" s="12"/>
      <c r="AX1876" s="12"/>
      <c r="AY1876" s="44"/>
      <c r="AZ1876" s="45"/>
      <c r="BA1876" s="12"/>
      <c r="BB1876" s="12"/>
      <c r="BC1876" s="12"/>
      <c r="BD1876" s="12"/>
      <c r="BE1876" s="44"/>
      <c r="BF1876" s="45"/>
      <c r="BG1876" s="12"/>
      <c r="BH1876" s="12"/>
      <c r="BI1876" s="12"/>
      <c r="BJ1876" s="12"/>
      <c r="BK1876" s="44"/>
      <c r="BL1876" s="45"/>
      <c r="BM1876" s="12"/>
      <c r="BN1876" s="12"/>
      <c r="BO1876" s="12"/>
      <c r="BP1876" s="12"/>
      <c r="BQ1876" s="48"/>
      <c r="BR1876" s="49"/>
      <c r="BS1876" s="13"/>
      <c r="BT1876" s="12"/>
      <c r="BV1876" s="14"/>
      <c r="BW1876" s="50"/>
      <c r="BX1876" s="54"/>
      <c r="BY1876" s="14"/>
      <c r="BZ1876" s="14"/>
      <c r="CA1876" s="14"/>
      <c r="CB1876" s="14"/>
      <c r="CC1876" s="14"/>
      <c r="CD1876" s="14"/>
      <c r="CE1876" s="14"/>
      <c r="CF1876" s="15"/>
      <c r="CG1876" s="14"/>
      <c r="CH1876" s="14"/>
      <c r="CI1876" s="50"/>
      <c r="CJ1876" s="54"/>
      <c r="CK1876" s="14"/>
      <c r="CL1876" s="14"/>
      <c r="CM1876" s="14"/>
      <c r="CN1876" s="14"/>
      <c r="CO1876" s="14"/>
      <c r="CP1876" s="14"/>
      <c r="CQ1876" s="14"/>
      <c r="CR1876" s="14"/>
      <c r="CS1876" s="14"/>
      <c r="CT1876" s="14"/>
      <c r="CU1876" s="16"/>
      <c r="CV1876" s="14"/>
      <c r="CW1876" s="50"/>
      <c r="CX1876" s="17"/>
    </row>
    <row r="1877" spans="4:102" x14ac:dyDescent="0.25">
      <c r="D1877" s="11"/>
      <c r="E1877" s="11"/>
      <c r="F1877" s="11"/>
      <c r="G1877" s="11"/>
      <c r="H1877" s="11"/>
      <c r="I1877" s="11"/>
      <c r="J1877" s="11"/>
      <c r="K1877" s="11"/>
      <c r="L1877" s="11"/>
      <c r="M1877" s="11"/>
      <c r="N1877" s="11"/>
      <c r="O1877" s="11"/>
      <c r="P1877" s="43"/>
      <c r="Q1877" s="11"/>
      <c r="R1877" s="11"/>
      <c r="S1877" s="11"/>
      <c r="T1877" s="11"/>
      <c r="U1877" s="11"/>
      <c r="V1877" s="11"/>
      <c r="W1877" s="11"/>
      <c r="X1877" s="12"/>
      <c r="Y1877" s="12"/>
      <c r="Z1877" s="12"/>
      <c r="AA1877" s="44"/>
      <c r="AB1877" s="45"/>
      <c r="AC1877" s="12"/>
      <c r="AD1877" s="12"/>
      <c r="AE1877" s="12"/>
      <c r="AF1877" s="12"/>
      <c r="AG1877" s="44"/>
      <c r="AH1877" s="45"/>
      <c r="AI1877" s="12"/>
      <c r="AJ1877" s="12"/>
      <c r="AK1877" s="12"/>
      <c r="AL1877" s="12"/>
      <c r="AM1877" s="44"/>
      <c r="AN1877" s="45"/>
      <c r="AO1877" s="12"/>
      <c r="AP1877" s="12"/>
      <c r="AQ1877" s="12"/>
      <c r="AR1877" s="12"/>
      <c r="AS1877" s="44"/>
      <c r="AT1877" s="45"/>
      <c r="AU1877" s="12"/>
      <c r="AV1877" s="12"/>
      <c r="AW1877" s="12"/>
      <c r="AX1877" s="12"/>
      <c r="AY1877" s="44"/>
      <c r="AZ1877" s="45"/>
      <c r="BA1877" s="12"/>
      <c r="BB1877" s="12"/>
      <c r="BC1877" s="12"/>
      <c r="BD1877" s="12"/>
      <c r="BE1877" s="44"/>
      <c r="BF1877" s="45"/>
      <c r="BG1877" s="12"/>
      <c r="BH1877" s="12"/>
      <c r="BI1877" s="12"/>
      <c r="BJ1877" s="12"/>
      <c r="BK1877" s="44"/>
      <c r="BL1877" s="45"/>
      <c r="BM1877" s="12"/>
      <c r="BN1877" s="12"/>
      <c r="BO1877" s="12"/>
      <c r="BP1877" s="12"/>
      <c r="BQ1877" s="48"/>
      <c r="BR1877" s="49"/>
      <c r="BS1877" s="13"/>
      <c r="BT1877" s="12"/>
      <c r="BV1877" s="14"/>
      <c r="BW1877" s="50"/>
      <c r="BX1877" s="54"/>
      <c r="BY1877" s="14"/>
      <c r="BZ1877" s="14"/>
      <c r="CA1877" s="14"/>
      <c r="CB1877" s="14"/>
      <c r="CC1877" s="14"/>
      <c r="CD1877" s="14"/>
      <c r="CE1877" s="14"/>
      <c r="CF1877" s="15"/>
      <c r="CG1877" s="14"/>
      <c r="CH1877" s="14"/>
      <c r="CI1877" s="50"/>
      <c r="CJ1877" s="54"/>
      <c r="CK1877" s="14"/>
      <c r="CL1877" s="14"/>
      <c r="CM1877" s="14"/>
      <c r="CN1877" s="14"/>
      <c r="CO1877" s="14"/>
      <c r="CP1877" s="14"/>
      <c r="CQ1877" s="14"/>
      <c r="CR1877" s="14"/>
      <c r="CS1877" s="14"/>
      <c r="CT1877" s="14"/>
      <c r="CU1877" s="16"/>
      <c r="CV1877" s="14"/>
      <c r="CW1877" s="50"/>
      <c r="CX1877" s="17"/>
    </row>
    <row r="1878" spans="4:102" x14ac:dyDescent="0.25">
      <c r="D1878" s="11"/>
      <c r="E1878" s="11"/>
      <c r="F1878" s="11"/>
      <c r="G1878" s="11"/>
      <c r="H1878" s="11"/>
      <c r="I1878" s="11"/>
      <c r="J1878" s="11"/>
      <c r="K1878" s="11"/>
      <c r="L1878" s="11"/>
      <c r="M1878" s="11"/>
      <c r="N1878" s="11"/>
      <c r="O1878" s="11"/>
      <c r="P1878" s="43"/>
      <c r="Q1878" s="11"/>
      <c r="R1878" s="11"/>
      <c r="S1878" s="11"/>
      <c r="T1878" s="11"/>
      <c r="U1878" s="11"/>
      <c r="V1878" s="11"/>
      <c r="W1878" s="11"/>
      <c r="X1878" s="12"/>
      <c r="Y1878" s="12"/>
      <c r="Z1878" s="12"/>
      <c r="AA1878" s="44"/>
      <c r="AB1878" s="45"/>
      <c r="AC1878" s="12"/>
      <c r="AD1878" s="12"/>
      <c r="AE1878" s="12"/>
      <c r="AF1878" s="12"/>
      <c r="AG1878" s="44"/>
      <c r="AH1878" s="45"/>
      <c r="AI1878" s="12"/>
      <c r="AJ1878" s="12"/>
      <c r="AK1878" s="12"/>
      <c r="AL1878" s="12"/>
      <c r="AM1878" s="44"/>
      <c r="AN1878" s="45"/>
      <c r="AO1878" s="12"/>
      <c r="AP1878" s="12"/>
      <c r="AQ1878" s="12"/>
      <c r="AR1878" s="12"/>
      <c r="AS1878" s="44"/>
      <c r="AT1878" s="45"/>
      <c r="AU1878" s="12"/>
      <c r="AV1878" s="12"/>
      <c r="AW1878" s="12"/>
      <c r="AX1878" s="12"/>
      <c r="AY1878" s="44"/>
      <c r="AZ1878" s="45"/>
      <c r="BA1878" s="12"/>
      <c r="BB1878" s="12"/>
      <c r="BC1878" s="12"/>
      <c r="BD1878" s="12"/>
      <c r="BE1878" s="44"/>
      <c r="BF1878" s="45"/>
      <c r="BG1878" s="12"/>
      <c r="BH1878" s="12"/>
      <c r="BI1878" s="12"/>
      <c r="BJ1878" s="12"/>
      <c r="BK1878" s="44"/>
      <c r="BL1878" s="45"/>
      <c r="BM1878" s="12"/>
      <c r="BN1878" s="12"/>
      <c r="BO1878" s="12"/>
      <c r="BP1878" s="12"/>
      <c r="BQ1878" s="48"/>
      <c r="BR1878" s="49"/>
      <c r="BS1878" s="13"/>
      <c r="BT1878" s="12"/>
      <c r="BV1878" s="14"/>
      <c r="BW1878" s="50"/>
      <c r="BX1878" s="54"/>
      <c r="BY1878" s="14"/>
      <c r="BZ1878" s="14"/>
      <c r="CA1878" s="14"/>
      <c r="CB1878" s="14"/>
      <c r="CC1878" s="14"/>
      <c r="CD1878" s="14"/>
      <c r="CE1878" s="14"/>
      <c r="CF1878" s="15"/>
      <c r="CG1878" s="14"/>
      <c r="CH1878" s="14"/>
      <c r="CI1878" s="50"/>
      <c r="CJ1878" s="54"/>
      <c r="CK1878" s="14"/>
      <c r="CL1878" s="14"/>
      <c r="CM1878" s="14"/>
      <c r="CN1878" s="14"/>
      <c r="CO1878" s="14"/>
      <c r="CP1878" s="14"/>
      <c r="CQ1878" s="14"/>
      <c r="CR1878" s="14"/>
      <c r="CS1878" s="14"/>
      <c r="CT1878" s="14"/>
      <c r="CU1878" s="16"/>
      <c r="CV1878" s="14"/>
      <c r="CW1878" s="50"/>
      <c r="CX1878" s="17"/>
    </row>
    <row r="1879" spans="4:102" x14ac:dyDescent="0.25">
      <c r="D1879" s="11"/>
      <c r="E1879" s="11"/>
      <c r="F1879" s="11"/>
      <c r="G1879" s="11"/>
      <c r="H1879" s="11"/>
      <c r="I1879" s="11"/>
      <c r="J1879" s="11"/>
      <c r="K1879" s="11"/>
      <c r="L1879" s="11"/>
      <c r="M1879" s="11"/>
      <c r="N1879" s="11"/>
      <c r="O1879" s="11"/>
      <c r="P1879" s="43"/>
      <c r="Q1879" s="11"/>
      <c r="R1879" s="11"/>
      <c r="S1879" s="11"/>
      <c r="T1879" s="11"/>
      <c r="U1879" s="11"/>
      <c r="V1879" s="11"/>
      <c r="W1879" s="11"/>
      <c r="X1879" s="12"/>
      <c r="Y1879" s="12"/>
      <c r="Z1879" s="12"/>
      <c r="AA1879" s="44"/>
      <c r="AB1879" s="45"/>
      <c r="AC1879" s="12"/>
      <c r="AD1879" s="12"/>
      <c r="AE1879" s="12"/>
      <c r="AF1879" s="12"/>
      <c r="AG1879" s="44"/>
      <c r="AH1879" s="45"/>
      <c r="AI1879" s="12"/>
      <c r="AJ1879" s="12"/>
      <c r="AK1879" s="12"/>
      <c r="AL1879" s="12"/>
      <c r="AM1879" s="44"/>
      <c r="AN1879" s="45"/>
      <c r="AO1879" s="12"/>
      <c r="AP1879" s="12"/>
      <c r="AQ1879" s="12"/>
      <c r="AR1879" s="12"/>
      <c r="AS1879" s="44"/>
      <c r="AT1879" s="45"/>
      <c r="AU1879" s="12"/>
      <c r="AV1879" s="12"/>
      <c r="AW1879" s="12"/>
      <c r="AX1879" s="12"/>
      <c r="AY1879" s="44"/>
      <c r="AZ1879" s="45"/>
      <c r="BA1879" s="12"/>
      <c r="BB1879" s="12"/>
      <c r="BC1879" s="12"/>
      <c r="BD1879" s="12"/>
      <c r="BE1879" s="44"/>
      <c r="BF1879" s="45"/>
      <c r="BG1879" s="12"/>
      <c r="BH1879" s="12"/>
      <c r="BI1879" s="12"/>
      <c r="BJ1879" s="12"/>
      <c r="BK1879" s="44"/>
      <c r="BL1879" s="45"/>
      <c r="BM1879" s="12"/>
      <c r="BN1879" s="12"/>
      <c r="BO1879" s="12"/>
      <c r="BP1879" s="12"/>
      <c r="BQ1879" s="48"/>
      <c r="BR1879" s="49"/>
      <c r="BS1879" s="13"/>
      <c r="BT1879" s="12"/>
      <c r="BV1879" s="14"/>
      <c r="BW1879" s="50"/>
      <c r="BX1879" s="54"/>
      <c r="BY1879" s="14"/>
      <c r="BZ1879" s="14"/>
      <c r="CA1879" s="14"/>
      <c r="CB1879" s="14"/>
      <c r="CC1879" s="14"/>
      <c r="CD1879" s="14"/>
      <c r="CE1879" s="14"/>
      <c r="CF1879" s="15"/>
      <c r="CG1879" s="14"/>
      <c r="CH1879" s="14"/>
      <c r="CI1879" s="50"/>
      <c r="CJ1879" s="54"/>
      <c r="CK1879" s="14"/>
      <c r="CL1879" s="14"/>
      <c r="CM1879" s="14"/>
      <c r="CN1879" s="14"/>
      <c r="CO1879" s="14"/>
      <c r="CP1879" s="14"/>
      <c r="CQ1879" s="14"/>
      <c r="CR1879" s="14"/>
      <c r="CS1879" s="14"/>
      <c r="CT1879" s="14"/>
      <c r="CU1879" s="16"/>
      <c r="CV1879" s="14"/>
      <c r="CW1879" s="50"/>
      <c r="CX1879" s="17"/>
    </row>
    <row r="1880" spans="4:102" x14ac:dyDescent="0.25">
      <c r="D1880" s="11"/>
      <c r="E1880" s="11"/>
      <c r="F1880" s="11"/>
      <c r="G1880" s="11"/>
      <c r="H1880" s="11"/>
      <c r="I1880" s="11"/>
      <c r="J1880" s="11"/>
      <c r="K1880" s="11"/>
      <c r="L1880" s="11"/>
      <c r="M1880" s="11"/>
      <c r="N1880" s="11"/>
      <c r="O1880" s="11"/>
      <c r="P1880" s="43"/>
      <c r="Q1880" s="11"/>
      <c r="R1880" s="11"/>
      <c r="S1880" s="11"/>
      <c r="T1880" s="11"/>
      <c r="U1880" s="11"/>
      <c r="V1880" s="11"/>
      <c r="W1880" s="11"/>
      <c r="X1880" s="12"/>
      <c r="Y1880" s="12"/>
      <c r="Z1880" s="12"/>
      <c r="AA1880" s="44"/>
      <c r="AB1880" s="45"/>
      <c r="AC1880" s="12"/>
      <c r="AD1880" s="12"/>
      <c r="AE1880" s="12"/>
      <c r="AF1880" s="12"/>
      <c r="AG1880" s="44"/>
      <c r="AH1880" s="45"/>
      <c r="AI1880" s="12"/>
      <c r="AJ1880" s="12"/>
      <c r="AK1880" s="12"/>
      <c r="AL1880" s="12"/>
      <c r="AM1880" s="44"/>
      <c r="AN1880" s="45"/>
      <c r="AO1880" s="12"/>
      <c r="AP1880" s="12"/>
      <c r="AQ1880" s="12"/>
      <c r="AR1880" s="12"/>
      <c r="AS1880" s="44"/>
      <c r="AT1880" s="45"/>
      <c r="AU1880" s="12"/>
      <c r="AV1880" s="12"/>
      <c r="AW1880" s="12"/>
      <c r="AX1880" s="12"/>
      <c r="AY1880" s="44"/>
      <c r="AZ1880" s="45"/>
      <c r="BA1880" s="12"/>
      <c r="BB1880" s="12"/>
      <c r="BC1880" s="12"/>
      <c r="BD1880" s="12"/>
      <c r="BE1880" s="44"/>
      <c r="BF1880" s="45"/>
      <c r="BG1880" s="12"/>
      <c r="BH1880" s="12"/>
      <c r="BI1880" s="12"/>
      <c r="BJ1880" s="12"/>
      <c r="BK1880" s="44"/>
      <c r="BL1880" s="45"/>
      <c r="BM1880" s="12"/>
      <c r="BN1880" s="12"/>
      <c r="BO1880" s="12"/>
      <c r="BP1880" s="12"/>
      <c r="BQ1880" s="48"/>
      <c r="BR1880" s="49"/>
      <c r="BS1880" s="13"/>
      <c r="BT1880" s="12"/>
      <c r="BV1880" s="14"/>
      <c r="BW1880" s="50"/>
      <c r="BX1880" s="54"/>
      <c r="BY1880" s="14"/>
      <c r="BZ1880" s="14"/>
      <c r="CA1880" s="14"/>
      <c r="CB1880" s="14"/>
      <c r="CC1880" s="14"/>
      <c r="CD1880" s="14"/>
      <c r="CE1880" s="14"/>
      <c r="CF1880" s="15"/>
      <c r="CG1880" s="14"/>
      <c r="CH1880" s="14"/>
      <c r="CI1880" s="50"/>
      <c r="CJ1880" s="54"/>
      <c r="CK1880" s="14"/>
      <c r="CL1880" s="14"/>
      <c r="CM1880" s="14"/>
      <c r="CN1880" s="14"/>
      <c r="CO1880" s="14"/>
      <c r="CP1880" s="14"/>
      <c r="CQ1880" s="14"/>
      <c r="CR1880" s="14"/>
      <c r="CS1880" s="14"/>
      <c r="CT1880" s="14"/>
      <c r="CU1880" s="16"/>
      <c r="CV1880" s="14"/>
      <c r="CW1880" s="50"/>
      <c r="CX1880" s="17"/>
    </row>
    <row r="1881" spans="4:102" x14ac:dyDescent="0.25">
      <c r="D1881" s="11"/>
      <c r="E1881" s="11"/>
      <c r="F1881" s="11"/>
      <c r="G1881" s="11"/>
      <c r="H1881" s="11"/>
      <c r="I1881" s="11"/>
      <c r="J1881" s="11"/>
      <c r="K1881" s="11"/>
      <c r="L1881" s="11"/>
      <c r="M1881" s="11"/>
      <c r="N1881" s="11"/>
      <c r="O1881" s="11"/>
      <c r="P1881" s="43"/>
      <c r="Q1881" s="11"/>
      <c r="R1881" s="11"/>
      <c r="S1881" s="11"/>
      <c r="T1881" s="11"/>
      <c r="U1881" s="11"/>
      <c r="V1881" s="11"/>
      <c r="W1881" s="11"/>
      <c r="X1881" s="12"/>
      <c r="Y1881" s="12"/>
      <c r="Z1881" s="12"/>
      <c r="AA1881" s="44"/>
      <c r="AB1881" s="45"/>
      <c r="AC1881" s="12"/>
      <c r="AD1881" s="12"/>
      <c r="AE1881" s="12"/>
      <c r="AF1881" s="12"/>
      <c r="AG1881" s="44"/>
      <c r="AH1881" s="45"/>
      <c r="AI1881" s="12"/>
      <c r="AJ1881" s="12"/>
      <c r="AK1881" s="12"/>
      <c r="AL1881" s="12"/>
      <c r="AM1881" s="44"/>
      <c r="AN1881" s="45"/>
      <c r="AO1881" s="12"/>
      <c r="AP1881" s="12"/>
      <c r="AQ1881" s="12"/>
      <c r="AR1881" s="12"/>
      <c r="AS1881" s="44"/>
      <c r="AT1881" s="45"/>
      <c r="AU1881" s="12"/>
      <c r="AV1881" s="12"/>
      <c r="AW1881" s="12"/>
      <c r="AX1881" s="12"/>
      <c r="AY1881" s="44"/>
      <c r="AZ1881" s="45"/>
      <c r="BA1881" s="12"/>
      <c r="BB1881" s="12"/>
      <c r="BC1881" s="12"/>
      <c r="BD1881" s="12"/>
      <c r="BE1881" s="44"/>
      <c r="BF1881" s="45"/>
      <c r="BG1881" s="12"/>
      <c r="BH1881" s="12"/>
      <c r="BI1881" s="12"/>
      <c r="BJ1881" s="12"/>
      <c r="BK1881" s="44"/>
      <c r="BL1881" s="45"/>
      <c r="BM1881" s="12"/>
      <c r="BN1881" s="12"/>
      <c r="BO1881" s="12"/>
      <c r="BP1881" s="12"/>
      <c r="BQ1881" s="48"/>
      <c r="BR1881" s="49"/>
      <c r="BS1881" s="13"/>
      <c r="BT1881" s="12"/>
      <c r="BV1881" s="14"/>
      <c r="BW1881" s="50"/>
      <c r="BX1881" s="54"/>
      <c r="BY1881" s="14"/>
      <c r="BZ1881" s="14"/>
      <c r="CA1881" s="14"/>
      <c r="CB1881" s="14"/>
      <c r="CC1881" s="14"/>
      <c r="CD1881" s="14"/>
      <c r="CE1881" s="14"/>
      <c r="CF1881" s="15"/>
      <c r="CG1881" s="14"/>
      <c r="CH1881" s="14"/>
      <c r="CI1881" s="50"/>
      <c r="CJ1881" s="54"/>
      <c r="CK1881" s="14"/>
      <c r="CL1881" s="14"/>
      <c r="CM1881" s="14"/>
      <c r="CN1881" s="14"/>
      <c r="CO1881" s="14"/>
      <c r="CP1881" s="14"/>
      <c r="CQ1881" s="14"/>
      <c r="CR1881" s="14"/>
      <c r="CS1881" s="14"/>
      <c r="CT1881" s="14"/>
      <c r="CU1881" s="16"/>
      <c r="CV1881" s="14"/>
      <c r="CW1881" s="50"/>
      <c r="CX1881" s="17"/>
    </row>
    <row r="1882" spans="4:102" x14ac:dyDescent="0.25">
      <c r="D1882" s="11"/>
      <c r="E1882" s="11"/>
      <c r="F1882" s="11"/>
      <c r="G1882" s="11"/>
      <c r="H1882" s="11"/>
      <c r="I1882" s="11"/>
      <c r="J1882" s="11"/>
      <c r="K1882" s="11"/>
      <c r="L1882" s="11"/>
      <c r="M1882" s="11"/>
      <c r="N1882" s="11"/>
      <c r="O1882" s="11"/>
      <c r="P1882" s="43"/>
      <c r="Q1882" s="11"/>
      <c r="R1882" s="11"/>
      <c r="S1882" s="11"/>
      <c r="T1882" s="11"/>
      <c r="U1882" s="11"/>
      <c r="V1882" s="11"/>
      <c r="W1882" s="11"/>
      <c r="X1882" s="12"/>
      <c r="Y1882" s="12"/>
      <c r="Z1882" s="12"/>
      <c r="AA1882" s="44"/>
      <c r="AB1882" s="45"/>
      <c r="AC1882" s="12"/>
      <c r="AD1882" s="12"/>
      <c r="AE1882" s="12"/>
      <c r="AF1882" s="12"/>
      <c r="AG1882" s="44"/>
      <c r="AH1882" s="45"/>
      <c r="AI1882" s="12"/>
      <c r="AJ1882" s="12"/>
      <c r="AK1882" s="12"/>
      <c r="AL1882" s="12"/>
      <c r="AM1882" s="44"/>
      <c r="AN1882" s="45"/>
      <c r="AO1882" s="12"/>
      <c r="AP1882" s="12"/>
      <c r="AQ1882" s="12"/>
      <c r="AR1882" s="12"/>
      <c r="AS1882" s="44"/>
      <c r="AT1882" s="45"/>
      <c r="AU1882" s="12"/>
      <c r="AV1882" s="12"/>
      <c r="AW1882" s="12"/>
      <c r="AX1882" s="12"/>
      <c r="AY1882" s="44"/>
      <c r="AZ1882" s="45"/>
      <c r="BA1882" s="12"/>
      <c r="BB1882" s="12"/>
      <c r="BC1882" s="12"/>
      <c r="BD1882" s="12"/>
      <c r="BE1882" s="44"/>
      <c r="BF1882" s="45"/>
      <c r="BG1882" s="12"/>
      <c r="BH1882" s="12"/>
      <c r="BI1882" s="12"/>
      <c r="BJ1882" s="12"/>
      <c r="BK1882" s="44"/>
      <c r="BL1882" s="45"/>
      <c r="BM1882" s="12"/>
      <c r="BN1882" s="12"/>
      <c r="BO1882" s="12"/>
      <c r="BP1882" s="12"/>
      <c r="BQ1882" s="48"/>
      <c r="BR1882" s="49"/>
      <c r="BS1882" s="13"/>
      <c r="BT1882" s="12"/>
      <c r="BV1882" s="14"/>
      <c r="BW1882" s="50"/>
      <c r="BX1882" s="54"/>
      <c r="BY1882" s="14"/>
      <c r="BZ1882" s="14"/>
      <c r="CA1882" s="14"/>
      <c r="CB1882" s="14"/>
      <c r="CC1882" s="14"/>
      <c r="CD1882" s="14"/>
      <c r="CE1882" s="14"/>
      <c r="CF1882" s="15"/>
      <c r="CG1882" s="14"/>
      <c r="CH1882" s="14"/>
      <c r="CI1882" s="50"/>
      <c r="CJ1882" s="54"/>
      <c r="CK1882" s="14"/>
      <c r="CL1882" s="14"/>
      <c r="CM1882" s="14"/>
      <c r="CN1882" s="14"/>
      <c r="CO1882" s="14"/>
      <c r="CP1882" s="14"/>
      <c r="CQ1882" s="14"/>
      <c r="CR1882" s="14"/>
      <c r="CS1882" s="14"/>
      <c r="CT1882" s="14"/>
      <c r="CU1882" s="16"/>
      <c r="CV1882" s="14"/>
      <c r="CW1882" s="50"/>
      <c r="CX1882" s="17"/>
    </row>
    <row r="1883" spans="4:102" x14ac:dyDescent="0.25">
      <c r="D1883" s="11"/>
      <c r="E1883" s="11"/>
      <c r="F1883" s="11"/>
      <c r="G1883" s="11"/>
      <c r="H1883" s="11"/>
      <c r="I1883" s="11"/>
      <c r="J1883" s="11"/>
      <c r="K1883" s="11"/>
      <c r="L1883" s="11"/>
      <c r="M1883" s="11"/>
      <c r="N1883" s="11"/>
      <c r="O1883" s="11"/>
      <c r="P1883" s="43"/>
      <c r="Q1883" s="11"/>
      <c r="R1883" s="11"/>
      <c r="S1883" s="11"/>
      <c r="T1883" s="11"/>
      <c r="U1883" s="11"/>
      <c r="V1883" s="11"/>
      <c r="W1883" s="11"/>
      <c r="X1883" s="12"/>
      <c r="Y1883" s="12"/>
      <c r="Z1883" s="12"/>
      <c r="AA1883" s="44"/>
      <c r="AB1883" s="45"/>
      <c r="AC1883" s="12"/>
      <c r="AD1883" s="12"/>
      <c r="AE1883" s="12"/>
      <c r="AF1883" s="12"/>
      <c r="AG1883" s="44"/>
      <c r="AH1883" s="45"/>
      <c r="AI1883" s="12"/>
      <c r="AJ1883" s="12"/>
      <c r="AK1883" s="12"/>
      <c r="AL1883" s="12"/>
      <c r="AM1883" s="44"/>
      <c r="AN1883" s="45"/>
      <c r="AO1883" s="12"/>
      <c r="AP1883" s="12"/>
      <c r="AQ1883" s="12"/>
      <c r="AR1883" s="12"/>
      <c r="AS1883" s="44"/>
      <c r="AT1883" s="45"/>
      <c r="AU1883" s="12"/>
      <c r="AV1883" s="12"/>
      <c r="AW1883" s="12"/>
      <c r="AX1883" s="12"/>
      <c r="AY1883" s="44"/>
      <c r="AZ1883" s="45"/>
      <c r="BA1883" s="12"/>
      <c r="BB1883" s="12"/>
      <c r="BC1883" s="12"/>
      <c r="BD1883" s="12"/>
      <c r="BE1883" s="44"/>
      <c r="BF1883" s="45"/>
      <c r="BG1883" s="12"/>
      <c r="BH1883" s="12"/>
      <c r="BI1883" s="12"/>
      <c r="BJ1883" s="12"/>
      <c r="BK1883" s="44"/>
      <c r="BL1883" s="45"/>
      <c r="BM1883" s="12"/>
      <c r="BN1883" s="12"/>
      <c r="BO1883" s="12"/>
      <c r="BP1883" s="12"/>
      <c r="BQ1883" s="48"/>
      <c r="BR1883" s="49"/>
      <c r="BS1883" s="13"/>
      <c r="BT1883" s="12"/>
      <c r="BV1883" s="14"/>
      <c r="BW1883" s="50"/>
      <c r="BX1883" s="54"/>
      <c r="BY1883" s="14"/>
      <c r="BZ1883" s="14"/>
      <c r="CA1883" s="14"/>
      <c r="CB1883" s="14"/>
      <c r="CC1883" s="14"/>
      <c r="CD1883" s="14"/>
      <c r="CE1883" s="14"/>
      <c r="CF1883" s="15"/>
      <c r="CG1883" s="14"/>
      <c r="CH1883" s="14"/>
      <c r="CI1883" s="50"/>
      <c r="CJ1883" s="54"/>
      <c r="CK1883" s="14"/>
      <c r="CL1883" s="14"/>
      <c r="CM1883" s="14"/>
      <c r="CN1883" s="14"/>
      <c r="CO1883" s="14"/>
      <c r="CP1883" s="14"/>
      <c r="CQ1883" s="14"/>
      <c r="CR1883" s="14"/>
      <c r="CS1883" s="14"/>
      <c r="CT1883" s="14"/>
      <c r="CU1883" s="16"/>
      <c r="CV1883" s="14"/>
      <c r="CW1883" s="50"/>
      <c r="CX1883" s="17"/>
    </row>
    <row r="1884" spans="4:102" x14ac:dyDescent="0.25">
      <c r="D1884" s="11"/>
      <c r="E1884" s="11"/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43"/>
      <c r="Q1884" s="11"/>
      <c r="R1884" s="11"/>
      <c r="S1884" s="11"/>
      <c r="T1884" s="11"/>
      <c r="U1884" s="11"/>
      <c r="V1884" s="11"/>
      <c r="W1884" s="11"/>
      <c r="X1884" s="12"/>
      <c r="Y1884" s="12"/>
      <c r="Z1884" s="12"/>
      <c r="AA1884" s="44"/>
      <c r="AB1884" s="45"/>
      <c r="AC1884" s="12"/>
      <c r="AD1884" s="12"/>
      <c r="AE1884" s="12"/>
      <c r="AF1884" s="12"/>
      <c r="AG1884" s="44"/>
      <c r="AH1884" s="45"/>
      <c r="AI1884" s="12"/>
      <c r="AJ1884" s="12"/>
      <c r="AK1884" s="12"/>
      <c r="AL1884" s="12"/>
      <c r="AM1884" s="44"/>
      <c r="AN1884" s="45"/>
      <c r="AO1884" s="12"/>
      <c r="AP1884" s="12"/>
      <c r="AQ1884" s="12"/>
      <c r="AR1884" s="12"/>
      <c r="AS1884" s="44"/>
      <c r="AT1884" s="45"/>
      <c r="AU1884" s="12"/>
      <c r="AV1884" s="12"/>
      <c r="AW1884" s="12"/>
      <c r="AX1884" s="12"/>
      <c r="AY1884" s="44"/>
      <c r="AZ1884" s="45"/>
      <c r="BA1884" s="12"/>
      <c r="BB1884" s="12"/>
      <c r="BC1884" s="12"/>
      <c r="BD1884" s="12"/>
      <c r="BE1884" s="44"/>
      <c r="BF1884" s="45"/>
      <c r="BG1884" s="12"/>
      <c r="BH1884" s="12"/>
      <c r="BI1884" s="12"/>
      <c r="BJ1884" s="12"/>
      <c r="BK1884" s="44"/>
      <c r="BL1884" s="45"/>
      <c r="BM1884" s="12"/>
      <c r="BN1884" s="12"/>
      <c r="BO1884" s="12"/>
      <c r="BP1884" s="12"/>
      <c r="BQ1884" s="48"/>
      <c r="BR1884" s="49"/>
      <c r="BS1884" s="13"/>
      <c r="BT1884" s="12"/>
      <c r="BV1884" s="14"/>
      <c r="BW1884" s="50"/>
      <c r="BX1884" s="54"/>
      <c r="BY1884" s="14"/>
      <c r="BZ1884" s="14"/>
      <c r="CA1884" s="14"/>
      <c r="CB1884" s="14"/>
      <c r="CC1884" s="14"/>
      <c r="CD1884" s="14"/>
      <c r="CE1884" s="14"/>
      <c r="CF1884" s="15"/>
      <c r="CG1884" s="14"/>
      <c r="CH1884" s="14"/>
      <c r="CI1884" s="50"/>
      <c r="CJ1884" s="54"/>
      <c r="CK1884" s="14"/>
      <c r="CL1884" s="14"/>
      <c r="CM1884" s="14"/>
      <c r="CN1884" s="14"/>
      <c r="CO1884" s="14"/>
      <c r="CP1884" s="14"/>
      <c r="CQ1884" s="14"/>
      <c r="CR1884" s="14"/>
      <c r="CS1884" s="14"/>
      <c r="CT1884" s="14"/>
      <c r="CU1884" s="16"/>
      <c r="CV1884" s="14"/>
      <c r="CW1884" s="50"/>
      <c r="CX1884" s="17"/>
    </row>
    <row r="1885" spans="4:102" x14ac:dyDescent="0.25">
      <c r="D1885" s="11"/>
      <c r="E1885" s="11"/>
      <c r="F1885" s="11"/>
      <c r="G1885" s="11"/>
      <c r="H1885" s="11"/>
      <c r="I1885" s="11"/>
      <c r="J1885" s="11"/>
      <c r="K1885" s="11"/>
      <c r="L1885" s="11"/>
      <c r="M1885" s="11"/>
      <c r="N1885" s="11"/>
      <c r="O1885" s="11"/>
      <c r="P1885" s="43"/>
      <c r="Q1885" s="11"/>
      <c r="R1885" s="11"/>
      <c r="S1885" s="11"/>
      <c r="T1885" s="11"/>
      <c r="U1885" s="11"/>
      <c r="V1885" s="11"/>
      <c r="W1885" s="11"/>
      <c r="X1885" s="12"/>
      <c r="Y1885" s="12"/>
      <c r="Z1885" s="12"/>
      <c r="AA1885" s="44"/>
      <c r="AB1885" s="45"/>
      <c r="AC1885" s="12"/>
      <c r="AD1885" s="12"/>
      <c r="AE1885" s="12"/>
      <c r="AF1885" s="12"/>
      <c r="AG1885" s="44"/>
      <c r="AH1885" s="45"/>
      <c r="AI1885" s="12"/>
      <c r="AJ1885" s="12"/>
      <c r="AK1885" s="12"/>
      <c r="AL1885" s="12"/>
      <c r="AM1885" s="44"/>
      <c r="AN1885" s="45"/>
      <c r="AO1885" s="12"/>
      <c r="AP1885" s="12"/>
      <c r="AQ1885" s="12"/>
      <c r="AR1885" s="12"/>
      <c r="AS1885" s="44"/>
      <c r="AT1885" s="45"/>
      <c r="AU1885" s="12"/>
      <c r="AV1885" s="12"/>
      <c r="AW1885" s="12"/>
      <c r="AX1885" s="12"/>
      <c r="AY1885" s="44"/>
      <c r="AZ1885" s="45"/>
      <c r="BA1885" s="12"/>
      <c r="BB1885" s="12"/>
      <c r="BC1885" s="12"/>
      <c r="BD1885" s="12"/>
      <c r="BE1885" s="44"/>
      <c r="BF1885" s="45"/>
      <c r="BG1885" s="12"/>
      <c r="BH1885" s="12"/>
      <c r="BI1885" s="12"/>
      <c r="BJ1885" s="12"/>
      <c r="BK1885" s="44"/>
      <c r="BL1885" s="45"/>
      <c r="BM1885" s="12"/>
      <c r="BN1885" s="12"/>
      <c r="BO1885" s="12"/>
      <c r="BP1885" s="12"/>
      <c r="BQ1885" s="48"/>
      <c r="BR1885" s="49"/>
      <c r="BS1885" s="13"/>
      <c r="BT1885" s="12"/>
      <c r="BV1885" s="14"/>
      <c r="BW1885" s="50"/>
      <c r="BX1885" s="54"/>
      <c r="BY1885" s="14"/>
      <c r="BZ1885" s="14"/>
      <c r="CA1885" s="14"/>
      <c r="CB1885" s="14"/>
      <c r="CC1885" s="14"/>
      <c r="CD1885" s="14"/>
      <c r="CE1885" s="14"/>
      <c r="CF1885" s="15"/>
      <c r="CG1885" s="14"/>
      <c r="CH1885" s="14"/>
      <c r="CI1885" s="50"/>
      <c r="CJ1885" s="54"/>
      <c r="CK1885" s="14"/>
      <c r="CL1885" s="14"/>
      <c r="CM1885" s="14"/>
      <c r="CN1885" s="14"/>
      <c r="CO1885" s="14"/>
      <c r="CP1885" s="14"/>
      <c r="CQ1885" s="14"/>
      <c r="CR1885" s="14"/>
      <c r="CS1885" s="14"/>
      <c r="CT1885" s="14"/>
      <c r="CU1885" s="16"/>
      <c r="CV1885" s="14"/>
      <c r="CW1885" s="50"/>
      <c r="CX1885" s="17"/>
    </row>
    <row r="1886" spans="4:102" x14ac:dyDescent="0.25">
      <c r="D1886" s="11"/>
      <c r="E1886" s="11"/>
      <c r="F1886" s="11"/>
      <c r="G1886" s="11"/>
      <c r="H1886" s="11"/>
      <c r="I1886" s="11"/>
      <c r="J1886" s="11"/>
      <c r="K1886" s="11"/>
      <c r="L1886" s="11"/>
      <c r="M1886" s="11"/>
      <c r="N1886" s="11"/>
      <c r="O1886" s="11"/>
      <c r="P1886" s="43"/>
      <c r="Q1886" s="11"/>
      <c r="R1886" s="11"/>
      <c r="S1886" s="11"/>
      <c r="T1886" s="11"/>
      <c r="U1886" s="11"/>
      <c r="V1886" s="11"/>
      <c r="W1886" s="11"/>
      <c r="X1886" s="12"/>
      <c r="Y1886" s="12"/>
      <c r="Z1886" s="12"/>
      <c r="AA1886" s="44"/>
      <c r="AB1886" s="45"/>
      <c r="AC1886" s="12"/>
      <c r="AD1886" s="12"/>
      <c r="AE1886" s="12"/>
      <c r="AF1886" s="12"/>
      <c r="AG1886" s="44"/>
      <c r="AH1886" s="45"/>
      <c r="AI1886" s="12"/>
      <c r="AJ1886" s="12"/>
      <c r="AK1886" s="12"/>
      <c r="AL1886" s="12"/>
      <c r="AM1886" s="44"/>
      <c r="AN1886" s="45"/>
      <c r="AO1886" s="12"/>
      <c r="AP1886" s="12"/>
      <c r="AQ1886" s="12"/>
      <c r="AR1886" s="12"/>
      <c r="AS1886" s="44"/>
      <c r="AT1886" s="45"/>
      <c r="AU1886" s="12"/>
      <c r="AV1886" s="12"/>
      <c r="AW1886" s="12"/>
      <c r="AX1886" s="12"/>
      <c r="AY1886" s="44"/>
      <c r="AZ1886" s="45"/>
      <c r="BA1886" s="12"/>
      <c r="BB1886" s="12"/>
      <c r="BC1886" s="12"/>
      <c r="BD1886" s="12"/>
      <c r="BE1886" s="44"/>
      <c r="BF1886" s="45"/>
      <c r="BG1886" s="12"/>
      <c r="BH1886" s="12"/>
      <c r="BI1886" s="12"/>
      <c r="BJ1886" s="12"/>
      <c r="BK1886" s="44"/>
      <c r="BL1886" s="45"/>
      <c r="BM1886" s="12"/>
      <c r="BN1886" s="12"/>
      <c r="BO1886" s="12"/>
      <c r="BP1886" s="12"/>
      <c r="BQ1886" s="48"/>
      <c r="BR1886" s="49"/>
      <c r="BS1886" s="13"/>
      <c r="BT1886" s="12"/>
      <c r="BV1886" s="14"/>
      <c r="BW1886" s="50"/>
      <c r="BX1886" s="54"/>
      <c r="BY1886" s="14"/>
      <c r="BZ1886" s="14"/>
      <c r="CA1886" s="14"/>
      <c r="CB1886" s="14"/>
      <c r="CC1886" s="14"/>
      <c r="CD1886" s="14"/>
      <c r="CE1886" s="14"/>
      <c r="CF1886" s="15"/>
      <c r="CG1886" s="14"/>
      <c r="CH1886" s="14"/>
      <c r="CI1886" s="50"/>
      <c r="CJ1886" s="54"/>
      <c r="CK1886" s="14"/>
      <c r="CL1886" s="14"/>
      <c r="CM1886" s="14"/>
      <c r="CN1886" s="14"/>
      <c r="CO1886" s="14"/>
      <c r="CP1886" s="14"/>
      <c r="CQ1886" s="14"/>
      <c r="CR1886" s="14"/>
      <c r="CS1886" s="14"/>
      <c r="CT1886" s="14"/>
      <c r="CU1886" s="16"/>
      <c r="CV1886" s="14"/>
      <c r="CW1886" s="50"/>
      <c r="CX1886" s="17"/>
    </row>
    <row r="1887" spans="4:102" x14ac:dyDescent="0.25">
      <c r="D1887" s="11"/>
      <c r="E1887" s="11"/>
      <c r="F1887" s="11"/>
      <c r="G1887" s="11"/>
      <c r="H1887" s="11"/>
      <c r="I1887" s="11"/>
      <c r="J1887" s="11"/>
      <c r="K1887" s="11"/>
      <c r="L1887" s="11"/>
      <c r="M1887" s="11"/>
      <c r="N1887" s="11"/>
      <c r="O1887" s="11"/>
      <c r="P1887" s="43"/>
      <c r="Q1887" s="11"/>
      <c r="R1887" s="11"/>
      <c r="S1887" s="11"/>
      <c r="T1887" s="11"/>
      <c r="U1887" s="11"/>
      <c r="V1887" s="11"/>
      <c r="W1887" s="11"/>
      <c r="X1887" s="12"/>
      <c r="Y1887" s="12"/>
      <c r="Z1887" s="12"/>
      <c r="AA1887" s="44"/>
      <c r="AB1887" s="45"/>
      <c r="AC1887" s="12"/>
      <c r="AD1887" s="12"/>
      <c r="AE1887" s="12"/>
      <c r="AF1887" s="12"/>
      <c r="AG1887" s="44"/>
      <c r="AH1887" s="45"/>
      <c r="AI1887" s="12"/>
      <c r="AJ1887" s="12"/>
      <c r="AK1887" s="12"/>
      <c r="AL1887" s="12"/>
      <c r="AM1887" s="44"/>
      <c r="AN1887" s="45"/>
      <c r="AO1887" s="12"/>
      <c r="AP1887" s="12"/>
      <c r="AQ1887" s="12"/>
      <c r="AR1887" s="12"/>
      <c r="AS1887" s="44"/>
      <c r="AT1887" s="45"/>
      <c r="AU1887" s="12"/>
      <c r="AV1887" s="12"/>
      <c r="AW1887" s="12"/>
      <c r="AX1887" s="12"/>
      <c r="AY1887" s="44"/>
      <c r="AZ1887" s="45"/>
      <c r="BA1887" s="12"/>
      <c r="BB1887" s="12"/>
      <c r="BC1887" s="12"/>
      <c r="BD1887" s="12"/>
      <c r="BE1887" s="44"/>
      <c r="BF1887" s="45"/>
      <c r="BG1887" s="12"/>
      <c r="BH1887" s="12"/>
      <c r="BI1887" s="12"/>
      <c r="BJ1887" s="12"/>
      <c r="BK1887" s="44"/>
      <c r="BL1887" s="45"/>
      <c r="BM1887" s="12"/>
      <c r="BN1887" s="12"/>
      <c r="BO1887" s="12"/>
      <c r="BP1887" s="12"/>
      <c r="BQ1887" s="48"/>
      <c r="BR1887" s="49"/>
      <c r="BS1887" s="13"/>
      <c r="BT1887" s="12"/>
      <c r="BV1887" s="14"/>
      <c r="BW1887" s="50"/>
      <c r="BX1887" s="54"/>
      <c r="BY1887" s="14"/>
      <c r="BZ1887" s="14"/>
      <c r="CA1887" s="14"/>
      <c r="CB1887" s="14"/>
      <c r="CC1887" s="14"/>
      <c r="CD1887" s="14"/>
      <c r="CE1887" s="14"/>
      <c r="CF1887" s="15"/>
      <c r="CG1887" s="14"/>
      <c r="CH1887" s="14"/>
      <c r="CI1887" s="50"/>
      <c r="CJ1887" s="54"/>
      <c r="CK1887" s="14"/>
      <c r="CL1887" s="14"/>
      <c r="CM1887" s="14"/>
      <c r="CN1887" s="14"/>
      <c r="CO1887" s="14"/>
      <c r="CP1887" s="14"/>
      <c r="CQ1887" s="14"/>
      <c r="CR1887" s="14"/>
      <c r="CS1887" s="14"/>
      <c r="CT1887" s="14"/>
      <c r="CU1887" s="16"/>
      <c r="CV1887" s="14"/>
      <c r="CW1887" s="50"/>
      <c r="CX1887" s="17"/>
    </row>
    <row r="1888" spans="4:102" x14ac:dyDescent="0.25">
      <c r="D1888" s="11"/>
      <c r="E1888" s="11"/>
      <c r="F1888" s="11"/>
      <c r="G1888" s="11"/>
      <c r="H1888" s="11"/>
      <c r="I1888" s="11"/>
      <c r="J1888" s="11"/>
      <c r="K1888" s="11"/>
      <c r="L1888" s="11"/>
      <c r="M1888" s="11"/>
      <c r="N1888" s="11"/>
      <c r="O1888" s="11"/>
      <c r="P1888" s="43"/>
      <c r="Q1888" s="11"/>
      <c r="R1888" s="11"/>
      <c r="S1888" s="11"/>
      <c r="T1888" s="11"/>
      <c r="U1888" s="11"/>
      <c r="V1888" s="11"/>
      <c r="W1888" s="11"/>
      <c r="X1888" s="12"/>
      <c r="Y1888" s="12"/>
      <c r="Z1888" s="12"/>
      <c r="AA1888" s="44"/>
      <c r="AB1888" s="45"/>
      <c r="AC1888" s="12"/>
      <c r="AD1888" s="12"/>
      <c r="AE1888" s="12"/>
      <c r="AF1888" s="12"/>
      <c r="AG1888" s="44"/>
      <c r="AH1888" s="45"/>
      <c r="AI1888" s="12"/>
      <c r="AJ1888" s="12"/>
      <c r="AK1888" s="12"/>
      <c r="AL1888" s="12"/>
      <c r="AM1888" s="44"/>
      <c r="AN1888" s="45"/>
      <c r="AO1888" s="12"/>
      <c r="AP1888" s="12"/>
      <c r="AQ1888" s="12"/>
      <c r="AR1888" s="12"/>
      <c r="AS1888" s="44"/>
      <c r="AT1888" s="45"/>
      <c r="AU1888" s="12"/>
      <c r="AV1888" s="12"/>
      <c r="AW1888" s="12"/>
      <c r="AX1888" s="12"/>
      <c r="AY1888" s="44"/>
      <c r="AZ1888" s="45"/>
      <c r="BA1888" s="12"/>
      <c r="BB1888" s="12"/>
      <c r="BC1888" s="12"/>
      <c r="BD1888" s="12"/>
      <c r="BE1888" s="44"/>
      <c r="BF1888" s="45"/>
      <c r="BG1888" s="12"/>
      <c r="BH1888" s="12"/>
      <c r="BI1888" s="12"/>
      <c r="BJ1888" s="12"/>
      <c r="BK1888" s="44"/>
      <c r="BL1888" s="45"/>
      <c r="BM1888" s="12"/>
      <c r="BN1888" s="12"/>
      <c r="BO1888" s="12"/>
      <c r="BP1888" s="12"/>
      <c r="BQ1888" s="48"/>
      <c r="BR1888" s="49"/>
      <c r="BS1888" s="13"/>
      <c r="BT1888" s="12"/>
      <c r="BV1888" s="14"/>
      <c r="BW1888" s="50"/>
      <c r="BX1888" s="54"/>
      <c r="BY1888" s="14"/>
      <c r="BZ1888" s="14"/>
      <c r="CA1888" s="14"/>
      <c r="CB1888" s="14"/>
      <c r="CC1888" s="14"/>
      <c r="CD1888" s="14"/>
      <c r="CE1888" s="14"/>
      <c r="CF1888" s="15"/>
      <c r="CG1888" s="14"/>
      <c r="CH1888" s="14"/>
      <c r="CI1888" s="50"/>
      <c r="CJ1888" s="54"/>
      <c r="CK1888" s="14"/>
      <c r="CL1888" s="14"/>
      <c r="CM1888" s="14"/>
      <c r="CN1888" s="14"/>
      <c r="CO1888" s="14"/>
      <c r="CP1888" s="14"/>
      <c r="CQ1888" s="14"/>
      <c r="CR1888" s="14"/>
      <c r="CS1888" s="14"/>
      <c r="CT1888" s="14"/>
      <c r="CU1888" s="16"/>
      <c r="CV1888" s="14"/>
      <c r="CW1888" s="50"/>
      <c r="CX1888" s="17"/>
    </row>
    <row r="1889" spans="4:102" x14ac:dyDescent="0.25">
      <c r="D1889" s="11"/>
      <c r="E1889" s="11"/>
      <c r="F1889" s="11"/>
      <c r="G1889" s="11"/>
      <c r="H1889" s="11"/>
      <c r="I1889" s="11"/>
      <c r="J1889" s="11"/>
      <c r="K1889" s="11"/>
      <c r="L1889" s="11"/>
      <c r="M1889" s="11"/>
      <c r="N1889" s="11"/>
      <c r="O1889" s="11"/>
      <c r="P1889" s="43"/>
      <c r="Q1889" s="11"/>
      <c r="R1889" s="11"/>
      <c r="S1889" s="11"/>
      <c r="T1889" s="11"/>
      <c r="U1889" s="11"/>
      <c r="V1889" s="11"/>
      <c r="W1889" s="11"/>
      <c r="X1889" s="12"/>
      <c r="Y1889" s="12"/>
      <c r="Z1889" s="12"/>
      <c r="AA1889" s="44"/>
      <c r="AB1889" s="45"/>
      <c r="AC1889" s="12"/>
      <c r="AD1889" s="12"/>
      <c r="AE1889" s="12"/>
      <c r="AF1889" s="12"/>
      <c r="AG1889" s="44"/>
      <c r="AH1889" s="45"/>
      <c r="AI1889" s="12"/>
      <c r="AJ1889" s="12"/>
      <c r="AK1889" s="12"/>
      <c r="AL1889" s="12"/>
      <c r="AM1889" s="44"/>
      <c r="AN1889" s="45"/>
      <c r="AO1889" s="12"/>
      <c r="AP1889" s="12"/>
      <c r="AQ1889" s="12"/>
      <c r="AR1889" s="12"/>
      <c r="AS1889" s="44"/>
      <c r="AT1889" s="45"/>
      <c r="AU1889" s="12"/>
      <c r="AV1889" s="12"/>
      <c r="AW1889" s="12"/>
      <c r="AX1889" s="12"/>
      <c r="AY1889" s="44"/>
      <c r="AZ1889" s="45"/>
      <c r="BA1889" s="12"/>
      <c r="BB1889" s="12"/>
      <c r="BC1889" s="12"/>
      <c r="BD1889" s="12"/>
      <c r="BE1889" s="44"/>
      <c r="BF1889" s="45"/>
      <c r="BG1889" s="12"/>
      <c r="BH1889" s="12"/>
      <c r="BI1889" s="12"/>
      <c r="BJ1889" s="12"/>
      <c r="BK1889" s="44"/>
      <c r="BL1889" s="45"/>
      <c r="BM1889" s="12"/>
      <c r="BN1889" s="12"/>
      <c r="BO1889" s="12"/>
      <c r="BP1889" s="12"/>
      <c r="BQ1889" s="48"/>
      <c r="BR1889" s="49"/>
      <c r="BS1889" s="13"/>
      <c r="BT1889" s="12"/>
      <c r="BV1889" s="14"/>
      <c r="BW1889" s="50"/>
      <c r="BX1889" s="54"/>
      <c r="BY1889" s="14"/>
      <c r="BZ1889" s="14"/>
      <c r="CA1889" s="14"/>
      <c r="CB1889" s="14"/>
      <c r="CC1889" s="14"/>
      <c r="CD1889" s="14"/>
      <c r="CE1889" s="14"/>
      <c r="CF1889" s="15"/>
      <c r="CG1889" s="14"/>
      <c r="CH1889" s="14"/>
      <c r="CI1889" s="50"/>
      <c r="CJ1889" s="54"/>
      <c r="CK1889" s="14"/>
      <c r="CL1889" s="14"/>
      <c r="CM1889" s="14"/>
      <c r="CN1889" s="14"/>
      <c r="CO1889" s="14"/>
      <c r="CP1889" s="14"/>
      <c r="CQ1889" s="14"/>
      <c r="CR1889" s="14"/>
      <c r="CS1889" s="14"/>
      <c r="CT1889" s="14"/>
      <c r="CU1889" s="16"/>
      <c r="CV1889" s="14"/>
      <c r="CW1889" s="50"/>
      <c r="CX1889" s="17"/>
    </row>
    <row r="1890" spans="4:102" x14ac:dyDescent="0.25">
      <c r="D1890" s="11"/>
      <c r="E1890" s="11"/>
      <c r="F1890" s="11"/>
      <c r="G1890" s="11"/>
      <c r="H1890" s="11"/>
      <c r="I1890" s="11"/>
      <c r="J1890" s="11"/>
      <c r="K1890" s="11"/>
      <c r="L1890" s="11"/>
      <c r="M1890" s="11"/>
      <c r="N1890" s="11"/>
      <c r="O1890" s="11"/>
      <c r="P1890" s="43"/>
      <c r="Q1890" s="11"/>
      <c r="R1890" s="11"/>
      <c r="S1890" s="11"/>
      <c r="T1890" s="11"/>
      <c r="U1890" s="11"/>
      <c r="V1890" s="11"/>
      <c r="W1890" s="11"/>
      <c r="X1890" s="12"/>
      <c r="Y1890" s="12"/>
      <c r="Z1890" s="12"/>
      <c r="AA1890" s="44"/>
      <c r="AB1890" s="45"/>
      <c r="AC1890" s="12"/>
      <c r="AD1890" s="12"/>
      <c r="AE1890" s="12"/>
      <c r="AF1890" s="12"/>
      <c r="AG1890" s="44"/>
      <c r="AH1890" s="45"/>
      <c r="AI1890" s="12"/>
      <c r="AJ1890" s="12"/>
      <c r="AK1890" s="12"/>
      <c r="AL1890" s="12"/>
      <c r="AM1890" s="44"/>
      <c r="AN1890" s="45"/>
      <c r="AO1890" s="12"/>
      <c r="AP1890" s="12"/>
      <c r="AQ1890" s="12"/>
      <c r="AR1890" s="12"/>
      <c r="AS1890" s="44"/>
      <c r="AT1890" s="45"/>
      <c r="AU1890" s="12"/>
      <c r="AV1890" s="12"/>
      <c r="AW1890" s="12"/>
      <c r="AX1890" s="12"/>
      <c r="AY1890" s="44"/>
      <c r="AZ1890" s="45"/>
      <c r="BA1890" s="12"/>
      <c r="BB1890" s="12"/>
      <c r="BC1890" s="12"/>
      <c r="BD1890" s="12"/>
      <c r="BE1890" s="44"/>
      <c r="BF1890" s="45"/>
      <c r="BG1890" s="12"/>
      <c r="BH1890" s="12"/>
      <c r="BI1890" s="12"/>
      <c r="BJ1890" s="12"/>
      <c r="BK1890" s="44"/>
      <c r="BL1890" s="45"/>
      <c r="BM1890" s="12"/>
      <c r="BN1890" s="12"/>
      <c r="BO1890" s="12"/>
      <c r="BP1890" s="12"/>
      <c r="BQ1890" s="48"/>
      <c r="BR1890" s="49"/>
      <c r="BS1890" s="13"/>
      <c r="BT1890" s="12"/>
      <c r="BV1890" s="14"/>
      <c r="BW1890" s="50"/>
      <c r="BX1890" s="54"/>
      <c r="BY1890" s="14"/>
      <c r="BZ1890" s="14"/>
      <c r="CA1890" s="14"/>
      <c r="CB1890" s="14"/>
      <c r="CC1890" s="14"/>
      <c r="CD1890" s="14"/>
      <c r="CE1890" s="14"/>
      <c r="CF1890" s="15"/>
      <c r="CG1890" s="14"/>
      <c r="CH1890" s="14"/>
      <c r="CI1890" s="50"/>
      <c r="CJ1890" s="54"/>
      <c r="CK1890" s="14"/>
      <c r="CL1890" s="14"/>
      <c r="CM1890" s="14"/>
      <c r="CN1890" s="14"/>
      <c r="CO1890" s="14"/>
      <c r="CP1890" s="14"/>
      <c r="CQ1890" s="14"/>
      <c r="CR1890" s="14"/>
      <c r="CS1890" s="14"/>
      <c r="CT1890" s="14"/>
      <c r="CU1890" s="16"/>
      <c r="CV1890" s="14"/>
      <c r="CW1890" s="50"/>
      <c r="CX1890" s="17"/>
    </row>
    <row r="1891" spans="4:102" x14ac:dyDescent="0.25">
      <c r="D1891" s="11"/>
      <c r="E1891" s="11"/>
      <c r="F1891" s="11"/>
      <c r="G1891" s="11"/>
      <c r="H1891" s="11"/>
      <c r="I1891" s="11"/>
      <c r="J1891" s="11"/>
      <c r="K1891" s="11"/>
      <c r="L1891" s="11"/>
      <c r="M1891" s="11"/>
      <c r="N1891" s="11"/>
      <c r="O1891" s="11"/>
      <c r="P1891" s="43"/>
      <c r="Q1891" s="11"/>
      <c r="R1891" s="11"/>
      <c r="S1891" s="11"/>
      <c r="T1891" s="11"/>
      <c r="U1891" s="11"/>
      <c r="V1891" s="11"/>
      <c r="W1891" s="11"/>
      <c r="X1891" s="12"/>
      <c r="Y1891" s="12"/>
      <c r="Z1891" s="12"/>
      <c r="AA1891" s="44"/>
      <c r="AB1891" s="45"/>
      <c r="AC1891" s="12"/>
      <c r="AD1891" s="12"/>
      <c r="AE1891" s="12"/>
      <c r="AF1891" s="12"/>
      <c r="AG1891" s="44"/>
      <c r="AH1891" s="45"/>
      <c r="AI1891" s="12"/>
      <c r="AJ1891" s="12"/>
      <c r="AK1891" s="12"/>
      <c r="AL1891" s="12"/>
      <c r="AM1891" s="44"/>
      <c r="AN1891" s="45"/>
      <c r="AO1891" s="12"/>
      <c r="AP1891" s="12"/>
      <c r="AQ1891" s="12"/>
      <c r="AR1891" s="12"/>
      <c r="AS1891" s="44"/>
      <c r="AT1891" s="45"/>
      <c r="AU1891" s="12"/>
      <c r="AV1891" s="12"/>
      <c r="AW1891" s="12"/>
      <c r="AX1891" s="12"/>
      <c r="AY1891" s="44"/>
      <c r="AZ1891" s="45"/>
      <c r="BA1891" s="12"/>
      <c r="BB1891" s="12"/>
      <c r="BC1891" s="12"/>
      <c r="BD1891" s="12"/>
      <c r="BE1891" s="44"/>
      <c r="BF1891" s="45"/>
      <c r="BG1891" s="12"/>
      <c r="BH1891" s="12"/>
      <c r="BI1891" s="12"/>
      <c r="BJ1891" s="12"/>
      <c r="BK1891" s="44"/>
      <c r="BL1891" s="45"/>
      <c r="BM1891" s="12"/>
      <c r="BN1891" s="12"/>
      <c r="BO1891" s="12"/>
      <c r="BP1891" s="12"/>
      <c r="BQ1891" s="48"/>
      <c r="BR1891" s="49"/>
      <c r="BS1891" s="13"/>
      <c r="BT1891" s="12"/>
      <c r="BV1891" s="14"/>
      <c r="BW1891" s="50"/>
      <c r="BX1891" s="54"/>
      <c r="BY1891" s="14"/>
      <c r="BZ1891" s="14"/>
      <c r="CA1891" s="14"/>
      <c r="CB1891" s="14"/>
      <c r="CC1891" s="14"/>
      <c r="CD1891" s="14"/>
      <c r="CE1891" s="14"/>
      <c r="CF1891" s="15"/>
      <c r="CG1891" s="14"/>
      <c r="CH1891" s="14"/>
      <c r="CI1891" s="50"/>
      <c r="CJ1891" s="54"/>
      <c r="CK1891" s="14"/>
      <c r="CL1891" s="14"/>
      <c r="CM1891" s="14"/>
      <c r="CN1891" s="14"/>
      <c r="CO1891" s="14"/>
      <c r="CP1891" s="14"/>
      <c r="CQ1891" s="14"/>
      <c r="CR1891" s="14"/>
      <c r="CS1891" s="14"/>
      <c r="CT1891" s="14"/>
      <c r="CU1891" s="16"/>
      <c r="CV1891" s="14"/>
      <c r="CW1891" s="50"/>
      <c r="CX1891" s="17"/>
    </row>
    <row r="1892" spans="4:102" x14ac:dyDescent="0.25">
      <c r="D1892" s="11"/>
      <c r="E1892" s="11"/>
      <c r="F1892" s="11"/>
      <c r="G1892" s="11"/>
      <c r="H1892" s="11"/>
      <c r="I1892" s="11"/>
      <c r="J1892" s="11"/>
      <c r="K1892" s="11"/>
      <c r="L1892" s="11"/>
      <c r="M1892" s="11"/>
      <c r="N1892" s="11"/>
      <c r="O1892" s="11"/>
      <c r="P1892" s="43"/>
      <c r="Q1892" s="11"/>
      <c r="R1892" s="11"/>
      <c r="S1892" s="11"/>
      <c r="T1892" s="11"/>
      <c r="U1892" s="11"/>
      <c r="V1892" s="11"/>
      <c r="W1892" s="11"/>
      <c r="X1892" s="12"/>
      <c r="Y1892" s="12"/>
      <c r="Z1892" s="12"/>
      <c r="AA1892" s="44"/>
      <c r="AB1892" s="45"/>
      <c r="AC1892" s="12"/>
      <c r="AD1892" s="12"/>
      <c r="AE1892" s="12"/>
      <c r="AF1892" s="12"/>
      <c r="AG1892" s="44"/>
      <c r="AH1892" s="45"/>
      <c r="AI1892" s="12"/>
      <c r="AJ1892" s="12"/>
      <c r="AK1892" s="12"/>
      <c r="AL1892" s="12"/>
      <c r="AM1892" s="44"/>
      <c r="AN1892" s="45"/>
      <c r="AO1892" s="12"/>
      <c r="AP1892" s="12"/>
      <c r="AQ1892" s="12"/>
      <c r="AR1892" s="12"/>
      <c r="AS1892" s="44"/>
      <c r="AT1892" s="45"/>
      <c r="AU1892" s="12"/>
      <c r="AV1892" s="12"/>
      <c r="AW1892" s="12"/>
      <c r="AX1892" s="12"/>
      <c r="AY1892" s="44"/>
      <c r="AZ1892" s="45"/>
      <c r="BA1892" s="12"/>
      <c r="BB1892" s="12"/>
      <c r="BC1892" s="12"/>
      <c r="BD1892" s="12"/>
      <c r="BE1892" s="44"/>
      <c r="BF1892" s="45"/>
      <c r="BG1892" s="12"/>
      <c r="BH1892" s="12"/>
      <c r="BI1892" s="12"/>
      <c r="BJ1892" s="12"/>
      <c r="BK1892" s="44"/>
      <c r="BL1892" s="45"/>
      <c r="BM1892" s="12"/>
      <c r="BN1892" s="12"/>
      <c r="BO1892" s="12"/>
      <c r="BP1892" s="12"/>
      <c r="BQ1892" s="48"/>
      <c r="BR1892" s="49"/>
      <c r="BS1892" s="13"/>
      <c r="BT1892" s="12"/>
      <c r="BV1892" s="14"/>
      <c r="BW1892" s="50"/>
      <c r="BX1892" s="54"/>
      <c r="BY1892" s="14"/>
      <c r="BZ1892" s="14"/>
      <c r="CA1892" s="14"/>
      <c r="CB1892" s="14"/>
      <c r="CC1892" s="14"/>
      <c r="CD1892" s="14"/>
      <c r="CE1892" s="14"/>
      <c r="CF1892" s="15"/>
      <c r="CG1892" s="14"/>
      <c r="CH1892" s="14"/>
      <c r="CI1892" s="50"/>
      <c r="CJ1892" s="54"/>
      <c r="CK1892" s="14"/>
      <c r="CL1892" s="14"/>
      <c r="CM1892" s="14"/>
      <c r="CN1892" s="14"/>
      <c r="CO1892" s="14"/>
      <c r="CP1892" s="14"/>
      <c r="CQ1892" s="14"/>
      <c r="CR1892" s="14"/>
      <c r="CS1892" s="14"/>
      <c r="CT1892" s="14"/>
      <c r="CU1892" s="16"/>
      <c r="CV1892" s="14"/>
      <c r="CW1892" s="50"/>
      <c r="CX1892" s="17"/>
    </row>
    <row r="1893" spans="4:102" x14ac:dyDescent="0.25">
      <c r="D1893" s="11"/>
      <c r="E1893" s="11"/>
      <c r="F1893" s="11"/>
      <c r="G1893" s="11"/>
      <c r="H1893" s="11"/>
      <c r="I1893" s="11"/>
      <c r="J1893" s="11"/>
      <c r="K1893" s="11"/>
      <c r="L1893" s="11"/>
      <c r="M1893" s="11"/>
      <c r="N1893" s="11"/>
      <c r="O1893" s="11"/>
      <c r="P1893" s="43"/>
      <c r="Q1893" s="11"/>
      <c r="R1893" s="11"/>
      <c r="S1893" s="11"/>
      <c r="T1893" s="11"/>
      <c r="U1893" s="11"/>
      <c r="V1893" s="11"/>
      <c r="W1893" s="11"/>
      <c r="X1893" s="12"/>
      <c r="Y1893" s="12"/>
      <c r="Z1893" s="12"/>
      <c r="AA1893" s="44"/>
      <c r="AB1893" s="45"/>
      <c r="AC1893" s="12"/>
      <c r="AD1893" s="12"/>
      <c r="AE1893" s="12"/>
      <c r="AF1893" s="12"/>
      <c r="AG1893" s="44"/>
      <c r="AH1893" s="45"/>
      <c r="AI1893" s="12"/>
      <c r="AJ1893" s="12"/>
      <c r="AK1893" s="12"/>
      <c r="AL1893" s="12"/>
      <c r="AM1893" s="44"/>
      <c r="AN1893" s="45"/>
      <c r="AO1893" s="12"/>
      <c r="AP1893" s="12"/>
      <c r="AQ1893" s="12"/>
      <c r="AR1893" s="12"/>
      <c r="AS1893" s="44"/>
      <c r="AT1893" s="45"/>
      <c r="AU1893" s="12"/>
      <c r="AV1893" s="12"/>
      <c r="AW1893" s="12"/>
      <c r="AX1893" s="12"/>
      <c r="AY1893" s="44"/>
      <c r="AZ1893" s="45"/>
      <c r="BA1893" s="12"/>
      <c r="BB1893" s="12"/>
      <c r="BC1893" s="12"/>
      <c r="BD1893" s="12"/>
      <c r="BE1893" s="44"/>
      <c r="BF1893" s="45"/>
      <c r="BG1893" s="12"/>
      <c r="BH1893" s="12"/>
      <c r="BI1893" s="12"/>
      <c r="BJ1893" s="12"/>
      <c r="BK1893" s="44"/>
      <c r="BL1893" s="45"/>
      <c r="BM1893" s="12"/>
      <c r="BN1893" s="12"/>
      <c r="BO1893" s="12"/>
      <c r="BP1893" s="12"/>
      <c r="BQ1893" s="48"/>
      <c r="BR1893" s="49"/>
      <c r="BS1893" s="13"/>
      <c r="BT1893" s="12"/>
      <c r="BV1893" s="14"/>
      <c r="BW1893" s="50"/>
      <c r="BX1893" s="54"/>
      <c r="BY1893" s="14"/>
      <c r="BZ1893" s="14"/>
      <c r="CA1893" s="14"/>
      <c r="CB1893" s="14"/>
      <c r="CC1893" s="14"/>
      <c r="CD1893" s="14"/>
      <c r="CE1893" s="14"/>
      <c r="CF1893" s="15"/>
      <c r="CG1893" s="14"/>
      <c r="CH1893" s="14"/>
      <c r="CI1893" s="50"/>
      <c r="CJ1893" s="54"/>
      <c r="CK1893" s="14"/>
      <c r="CL1893" s="14"/>
      <c r="CM1893" s="14"/>
      <c r="CN1893" s="14"/>
      <c r="CO1893" s="14"/>
      <c r="CP1893" s="14"/>
      <c r="CQ1893" s="14"/>
      <c r="CR1893" s="14"/>
      <c r="CS1893" s="14"/>
      <c r="CT1893" s="14"/>
      <c r="CU1893" s="16"/>
      <c r="CV1893" s="14"/>
      <c r="CW1893" s="50"/>
      <c r="CX1893" s="17"/>
    </row>
    <row r="1894" spans="4:102" x14ac:dyDescent="0.25">
      <c r="D1894" s="11"/>
      <c r="E1894" s="11"/>
      <c r="F1894" s="11"/>
      <c r="G1894" s="11"/>
      <c r="H1894" s="11"/>
      <c r="I1894" s="11"/>
      <c r="J1894" s="11"/>
      <c r="K1894" s="11"/>
      <c r="L1894" s="11"/>
      <c r="M1894" s="11"/>
      <c r="N1894" s="11"/>
      <c r="O1894" s="11"/>
      <c r="P1894" s="43"/>
      <c r="Q1894" s="11"/>
      <c r="R1894" s="11"/>
      <c r="S1894" s="11"/>
      <c r="T1894" s="11"/>
      <c r="U1894" s="11"/>
      <c r="V1894" s="11"/>
      <c r="W1894" s="11"/>
      <c r="X1894" s="12"/>
      <c r="Y1894" s="12"/>
      <c r="Z1894" s="12"/>
      <c r="AA1894" s="44"/>
      <c r="AB1894" s="45"/>
      <c r="AC1894" s="12"/>
      <c r="AD1894" s="12"/>
      <c r="AE1894" s="12"/>
      <c r="AF1894" s="12"/>
      <c r="AG1894" s="44"/>
      <c r="AH1894" s="45"/>
      <c r="AI1894" s="12"/>
      <c r="AJ1894" s="12"/>
      <c r="AK1894" s="12"/>
      <c r="AL1894" s="12"/>
      <c r="AM1894" s="44"/>
      <c r="AN1894" s="45"/>
      <c r="AO1894" s="12"/>
      <c r="AP1894" s="12"/>
      <c r="AQ1894" s="12"/>
      <c r="AR1894" s="12"/>
      <c r="AS1894" s="44"/>
      <c r="AT1894" s="45"/>
      <c r="AU1894" s="12"/>
      <c r="AV1894" s="12"/>
      <c r="AW1894" s="12"/>
      <c r="AX1894" s="12"/>
      <c r="AY1894" s="44"/>
      <c r="AZ1894" s="45"/>
      <c r="BA1894" s="12"/>
      <c r="BB1894" s="12"/>
      <c r="BC1894" s="12"/>
      <c r="BD1894" s="12"/>
      <c r="BE1894" s="44"/>
      <c r="BF1894" s="45"/>
      <c r="BG1894" s="12"/>
      <c r="BH1894" s="12"/>
      <c r="BI1894" s="12"/>
      <c r="BJ1894" s="12"/>
      <c r="BK1894" s="44"/>
      <c r="BL1894" s="45"/>
      <c r="BM1894" s="12"/>
      <c r="BN1894" s="12"/>
      <c r="BO1894" s="12"/>
      <c r="BP1894" s="12"/>
      <c r="BQ1894" s="48"/>
      <c r="BR1894" s="49"/>
      <c r="BS1894" s="13"/>
      <c r="BT1894" s="12"/>
      <c r="BV1894" s="14"/>
      <c r="BW1894" s="50"/>
      <c r="BX1894" s="54"/>
      <c r="BY1894" s="14"/>
      <c r="BZ1894" s="14"/>
      <c r="CA1894" s="14"/>
      <c r="CB1894" s="14"/>
      <c r="CC1894" s="14"/>
      <c r="CD1894" s="14"/>
      <c r="CE1894" s="14"/>
      <c r="CF1894" s="15"/>
      <c r="CG1894" s="14"/>
      <c r="CH1894" s="14"/>
      <c r="CI1894" s="50"/>
      <c r="CJ1894" s="54"/>
      <c r="CK1894" s="14"/>
      <c r="CL1894" s="14"/>
      <c r="CM1894" s="14"/>
      <c r="CN1894" s="14"/>
      <c r="CO1894" s="14"/>
      <c r="CP1894" s="14"/>
      <c r="CQ1894" s="14"/>
      <c r="CR1894" s="14"/>
      <c r="CS1894" s="14"/>
      <c r="CT1894" s="14"/>
      <c r="CU1894" s="16"/>
      <c r="CV1894" s="14"/>
      <c r="CW1894" s="50"/>
      <c r="CX1894" s="17"/>
    </row>
    <row r="1895" spans="4:102" x14ac:dyDescent="0.25">
      <c r="D1895" s="11"/>
      <c r="E1895" s="11"/>
      <c r="F1895" s="11"/>
      <c r="G1895" s="11"/>
      <c r="H1895" s="11"/>
      <c r="I1895" s="11"/>
      <c r="J1895" s="11"/>
      <c r="K1895" s="11"/>
      <c r="L1895" s="11"/>
      <c r="M1895" s="11"/>
      <c r="N1895" s="11"/>
      <c r="O1895" s="11"/>
      <c r="P1895" s="43"/>
      <c r="Q1895" s="11"/>
      <c r="R1895" s="11"/>
      <c r="S1895" s="11"/>
      <c r="T1895" s="11"/>
      <c r="U1895" s="11"/>
      <c r="V1895" s="11"/>
      <c r="W1895" s="11"/>
      <c r="X1895" s="12"/>
      <c r="Y1895" s="12"/>
      <c r="Z1895" s="12"/>
      <c r="AA1895" s="44"/>
      <c r="AB1895" s="45"/>
      <c r="AC1895" s="12"/>
      <c r="AD1895" s="12"/>
      <c r="AE1895" s="12"/>
      <c r="AF1895" s="12"/>
      <c r="AG1895" s="44"/>
      <c r="AH1895" s="45"/>
      <c r="AI1895" s="12"/>
      <c r="AJ1895" s="12"/>
      <c r="AK1895" s="12"/>
      <c r="AL1895" s="12"/>
      <c r="AM1895" s="44"/>
      <c r="AN1895" s="45"/>
      <c r="AO1895" s="12"/>
      <c r="AP1895" s="12"/>
      <c r="AQ1895" s="12"/>
      <c r="AR1895" s="12"/>
      <c r="AS1895" s="44"/>
      <c r="AT1895" s="45"/>
      <c r="AU1895" s="12"/>
      <c r="AV1895" s="12"/>
      <c r="AW1895" s="12"/>
      <c r="AX1895" s="12"/>
      <c r="AY1895" s="44"/>
      <c r="AZ1895" s="45"/>
      <c r="BA1895" s="12"/>
      <c r="BB1895" s="12"/>
      <c r="BC1895" s="12"/>
      <c r="BD1895" s="12"/>
      <c r="BE1895" s="44"/>
      <c r="BF1895" s="45"/>
      <c r="BG1895" s="12"/>
      <c r="BH1895" s="12"/>
      <c r="BI1895" s="12"/>
      <c r="BJ1895" s="12"/>
      <c r="BK1895" s="44"/>
      <c r="BL1895" s="45"/>
      <c r="BM1895" s="12"/>
      <c r="BN1895" s="12"/>
      <c r="BO1895" s="12"/>
      <c r="BP1895" s="12"/>
      <c r="BQ1895" s="48"/>
      <c r="BR1895" s="49"/>
      <c r="BS1895" s="13"/>
      <c r="BT1895" s="12"/>
      <c r="BV1895" s="14"/>
      <c r="BW1895" s="50"/>
      <c r="BX1895" s="54"/>
      <c r="BY1895" s="14"/>
      <c r="BZ1895" s="14"/>
      <c r="CA1895" s="14"/>
      <c r="CB1895" s="14"/>
      <c r="CC1895" s="14"/>
      <c r="CD1895" s="14"/>
      <c r="CE1895" s="14"/>
      <c r="CF1895" s="15"/>
      <c r="CG1895" s="14"/>
      <c r="CH1895" s="14"/>
      <c r="CI1895" s="50"/>
      <c r="CJ1895" s="54"/>
      <c r="CK1895" s="14"/>
      <c r="CL1895" s="14"/>
      <c r="CM1895" s="14"/>
      <c r="CN1895" s="14"/>
      <c r="CO1895" s="14"/>
      <c r="CP1895" s="14"/>
      <c r="CQ1895" s="14"/>
      <c r="CR1895" s="14"/>
      <c r="CS1895" s="14"/>
      <c r="CT1895" s="14"/>
      <c r="CU1895" s="16"/>
      <c r="CV1895" s="14"/>
      <c r="CW1895" s="50"/>
      <c r="CX1895" s="17"/>
    </row>
    <row r="1896" spans="4:102" x14ac:dyDescent="0.25">
      <c r="D1896" s="11"/>
      <c r="E1896" s="11"/>
      <c r="F1896" s="11"/>
      <c r="G1896" s="11"/>
      <c r="H1896" s="11"/>
      <c r="I1896" s="11"/>
      <c r="J1896" s="11"/>
      <c r="K1896" s="11"/>
      <c r="L1896" s="11"/>
      <c r="M1896" s="11"/>
      <c r="N1896" s="11"/>
      <c r="O1896" s="11"/>
      <c r="P1896" s="43"/>
      <c r="Q1896" s="11"/>
      <c r="R1896" s="11"/>
      <c r="S1896" s="11"/>
      <c r="T1896" s="11"/>
      <c r="U1896" s="11"/>
      <c r="V1896" s="11"/>
      <c r="W1896" s="11"/>
      <c r="X1896" s="12"/>
      <c r="Y1896" s="12"/>
      <c r="Z1896" s="12"/>
      <c r="AA1896" s="44"/>
      <c r="AB1896" s="45"/>
      <c r="AC1896" s="12"/>
      <c r="AD1896" s="12"/>
      <c r="AE1896" s="12"/>
      <c r="AF1896" s="12"/>
      <c r="AG1896" s="44"/>
      <c r="AH1896" s="45"/>
      <c r="AI1896" s="12"/>
      <c r="AJ1896" s="12"/>
      <c r="AK1896" s="12"/>
      <c r="AL1896" s="12"/>
      <c r="AM1896" s="44"/>
      <c r="AN1896" s="45"/>
      <c r="AO1896" s="12"/>
      <c r="AP1896" s="12"/>
      <c r="AQ1896" s="12"/>
      <c r="AR1896" s="12"/>
      <c r="AS1896" s="44"/>
      <c r="AT1896" s="45"/>
      <c r="AU1896" s="12"/>
      <c r="AV1896" s="12"/>
      <c r="AW1896" s="12"/>
      <c r="AX1896" s="12"/>
      <c r="AY1896" s="44"/>
      <c r="AZ1896" s="45"/>
      <c r="BA1896" s="12"/>
      <c r="BB1896" s="12"/>
      <c r="BC1896" s="12"/>
      <c r="BD1896" s="12"/>
      <c r="BE1896" s="44"/>
      <c r="BF1896" s="45"/>
      <c r="BG1896" s="12"/>
      <c r="BH1896" s="12"/>
      <c r="BI1896" s="12"/>
      <c r="BJ1896" s="12"/>
      <c r="BK1896" s="44"/>
      <c r="BL1896" s="45"/>
      <c r="BM1896" s="12"/>
      <c r="BN1896" s="12"/>
      <c r="BO1896" s="12"/>
      <c r="BP1896" s="12"/>
      <c r="BQ1896" s="48"/>
      <c r="BR1896" s="49"/>
      <c r="BS1896" s="13"/>
      <c r="BT1896" s="12"/>
      <c r="BV1896" s="14"/>
      <c r="BW1896" s="50"/>
      <c r="BX1896" s="54"/>
      <c r="BY1896" s="14"/>
      <c r="BZ1896" s="14"/>
      <c r="CA1896" s="14"/>
      <c r="CB1896" s="14"/>
      <c r="CC1896" s="14"/>
      <c r="CD1896" s="14"/>
      <c r="CE1896" s="14"/>
      <c r="CF1896" s="15"/>
      <c r="CG1896" s="14"/>
      <c r="CH1896" s="14"/>
      <c r="CI1896" s="50"/>
      <c r="CJ1896" s="54"/>
      <c r="CK1896" s="14"/>
      <c r="CL1896" s="14"/>
      <c r="CM1896" s="14"/>
      <c r="CN1896" s="14"/>
      <c r="CO1896" s="14"/>
      <c r="CP1896" s="14"/>
      <c r="CQ1896" s="14"/>
      <c r="CR1896" s="14"/>
      <c r="CS1896" s="14"/>
      <c r="CT1896" s="14"/>
      <c r="CU1896" s="16"/>
      <c r="CV1896" s="14"/>
      <c r="CW1896" s="50"/>
      <c r="CX1896" s="17"/>
    </row>
    <row r="1897" spans="4:102" x14ac:dyDescent="0.25">
      <c r="D1897" s="11"/>
      <c r="E1897" s="11"/>
      <c r="F1897" s="11"/>
      <c r="G1897" s="11"/>
      <c r="H1897" s="11"/>
      <c r="I1897" s="11"/>
      <c r="J1897" s="11"/>
      <c r="K1897" s="11"/>
      <c r="L1897" s="11"/>
      <c r="M1897" s="11"/>
      <c r="N1897" s="11"/>
      <c r="O1897" s="11"/>
      <c r="P1897" s="43"/>
      <c r="Q1897" s="11"/>
      <c r="R1897" s="11"/>
      <c r="S1897" s="11"/>
      <c r="T1897" s="11"/>
      <c r="U1897" s="11"/>
      <c r="V1897" s="11"/>
      <c r="W1897" s="11"/>
      <c r="X1897" s="12"/>
      <c r="Y1897" s="12"/>
      <c r="Z1897" s="12"/>
      <c r="AA1897" s="44"/>
      <c r="AB1897" s="45"/>
      <c r="AC1897" s="12"/>
      <c r="AD1897" s="12"/>
      <c r="AE1897" s="12"/>
      <c r="AF1897" s="12"/>
      <c r="AG1897" s="44"/>
      <c r="AH1897" s="45"/>
      <c r="AI1897" s="12"/>
      <c r="AJ1897" s="12"/>
      <c r="AK1897" s="12"/>
      <c r="AL1897" s="12"/>
      <c r="AM1897" s="44"/>
      <c r="AN1897" s="45"/>
      <c r="AO1897" s="12"/>
      <c r="AP1897" s="12"/>
      <c r="AQ1897" s="12"/>
      <c r="AR1897" s="12"/>
      <c r="AS1897" s="44"/>
      <c r="AT1897" s="45"/>
      <c r="AU1897" s="12"/>
      <c r="AV1897" s="12"/>
      <c r="AW1897" s="12"/>
      <c r="AX1897" s="12"/>
      <c r="AY1897" s="44"/>
      <c r="AZ1897" s="45"/>
      <c r="BA1897" s="12"/>
      <c r="BB1897" s="12"/>
      <c r="BC1897" s="12"/>
      <c r="BD1897" s="12"/>
      <c r="BE1897" s="44"/>
      <c r="BF1897" s="45"/>
      <c r="BG1897" s="12"/>
      <c r="BH1897" s="12"/>
      <c r="BI1897" s="12"/>
      <c r="BJ1897" s="12"/>
      <c r="BK1897" s="44"/>
      <c r="BL1897" s="45"/>
      <c r="BM1897" s="12"/>
      <c r="BN1897" s="12"/>
      <c r="BO1897" s="12"/>
      <c r="BP1897" s="12"/>
      <c r="BQ1897" s="48"/>
      <c r="BR1897" s="49"/>
      <c r="BS1897" s="13"/>
      <c r="BT1897" s="12"/>
      <c r="BV1897" s="14"/>
      <c r="BW1897" s="50"/>
      <c r="BX1897" s="54"/>
      <c r="BY1897" s="14"/>
      <c r="BZ1897" s="14"/>
      <c r="CA1897" s="14"/>
      <c r="CB1897" s="14"/>
      <c r="CC1897" s="14"/>
      <c r="CD1897" s="14"/>
      <c r="CE1897" s="14"/>
      <c r="CF1897" s="15"/>
      <c r="CG1897" s="14"/>
      <c r="CH1897" s="14"/>
      <c r="CI1897" s="50"/>
      <c r="CJ1897" s="54"/>
      <c r="CK1897" s="14"/>
      <c r="CL1897" s="14"/>
      <c r="CM1897" s="14"/>
      <c r="CN1897" s="14"/>
      <c r="CO1897" s="14"/>
      <c r="CP1897" s="14"/>
      <c r="CQ1897" s="14"/>
      <c r="CR1897" s="14"/>
      <c r="CS1897" s="14"/>
      <c r="CT1897" s="14"/>
      <c r="CU1897" s="16"/>
      <c r="CV1897" s="14"/>
      <c r="CW1897" s="50"/>
      <c r="CX1897" s="17"/>
    </row>
    <row r="1898" spans="4:102" x14ac:dyDescent="0.25">
      <c r="D1898" s="11"/>
      <c r="E1898" s="11"/>
      <c r="F1898" s="11"/>
      <c r="G1898" s="11"/>
      <c r="H1898" s="11"/>
      <c r="I1898" s="11"/>
      <c r="J1898" s="11"/>
      <c r="K1898" s="11"/>
      <c r="L1898" s="11"/>
      <c r="M1898" s="11"/>
      <c r="N1898" s="11"/>
      <c r="O1898" s="11"/>
      <c r="P1898" s="43"/>
      <c r="Q1898" s="11"/>
      <c r="R1898" s="11"/>
      <c r="S1898" s="11"/>
      <c r="T1898" s="11"/>
      <c r="U1898" s="11"/>
      <c r="V1898" s="11"/>
      <c r="W1898" s="11"/>
      <c r="X1898" s="12"/>
      <c r="Y1898" s="12"/>
      <c r="Z1898" s="12"/>
      <c r="AA1898" s="44"/>
      <c r="AB1898" s="45"/>
      <c r="AC1898" s="12"/>
      <c r="AD1898" s="12"/>
      <c r="AE1898" s="12"/>
      <c r="AF1898" s="12"/>
      <c r="AG1898" s="44"/>
      <c r="AH1898" s="45"/>
      <c r="AI1898" s="12"/>
      <c r="AJ1898" s="12"/>
      <c r="AK1898" s="12"/>
      <c r="AL1898" s="12"/>
      <c r="AM1898" s="44"/>
      <c r="AN1898" s="45"/>
      <c r="AO1898" s="12"/>
      <c r="AP1898" s="12"/>
      <c r="AQ1898" s="12"/>
      <c r="AR1898" s="12"/>
      <c r="AS1898" s="44"/>
      <c r="AT1898" s="45"/>
      <c r="AU1898" s="12"/>
      <c r="AV1898" s="12"/>
      <c r="AW1898" s="12"/>
      <c r="AX1898" s="12"/>
      <c r="AY1898" s="44"/>
      <c r="AZ1898" s="45"/>
      <c r="BA1898" s="12"/>
      <c r="BB1898" s="12"/>
      <c r="BC1898" s="12"/>
      <c r="BD1898" s="12"/>
      <c r="BE1898" s="44"/>
      <c r="BF1898" s="45"/>
      <c r="BG1898" s="12"/>
      <c r="BH1898" s="12"/>
      <c r="BI1898" s="12"/>
      <c r="BJ1898" s="12"/>
      <c r="BK1898" s="44"/>
      <c r="BL1898" s="45"/>
      <c r="BM1898" s="12"/>
      <c r="BN1898" s="12"/>
      <c r="BO1898" s="12"/>
      <c r="BP1898" s="12"/>
      <c r="BQ1898" s="48"/>
      <c r="BR1898" s="49"/>
      <c r="BS1898" s="13"/>
      <c r="BT1898" s="12"/>
      <c r="BV1898" s="14"/>
      <c r="BW1898" s="50"/>
      <c r="BX1898" s="54"/>
      <c r="BY1898" s="14"/>
      <c r="BZ1898" s="14"/>
      <c r="CA1898" s="14"/>
      <c r="CB1898" s="14"/>
      <c r="CC1898" s="14"/>
      <c r="CD1898" s="14"/>
      <c r="CE1898" s="14"/>
      <c r="CF1898" s="15"/>
      <c r="CG1898" s="14"/>
      <c r="CH1898" s="14"/>
      <c r="CI1898" s="50"/>
      <c r="CJ1898" s="54"/>
      <c r="CK1898" s="14"/>
      <c r="CL1898" s="14"/>
      <c r="CM1898" s="14"/>
      <c r="CN1898" s="14"/>
      <c r="CO1898" s="14"/>
      <c r="CP1898" s="14"/>
      <c r="CQ1898" s="14"/>
      <c r="CR1898" s="14"/>
      <c r="CS1898" s="14"/>
      <c r="CT1898" s="14"/>
      <c r="CU1898" s="16"/>
      <c r="CV1898" s="14"/>
      <c r="CW1898" s="50"/>
      <c r="CX1898" s="17"/>
    </row>
    <row r="1899" spans="4:102" x14ac:dyDescent="0.25">
      <c r="D1899" s="11"/>
      <c r="E1899" s="11"/>
      <c r="F1899" s="11"/>
      <c r="G1899" s="11"/>
      <c r="H1899" s="11"/>
      <c r="I1899" s="11"/>
      <c r="J1899" s="11"/>
      <c r="K1899" s="11"/>
      <c r="L1899" s="11"/>
      <c r="M1899" s="11"/>
      <c r="N1899" s="11"/>
      <c r="O1899" s="11"/>
      <c r="P1899" s="43"/>
      <c r="Q1899" s="11"/>
      <c r="R1899" s="11"/>
      <c r="S1899" s="11"/>
      <c r="T1899" s="11"/>
      <c r="U1899" s="11"/>
      <c r="V1899" s="11"/>
      <c r="W1899" s="11"/>
      <c r="X1899" s="12"/>
      <c r="Y1899" s="12"/>
      <c r="Z1899" s="12"/>
      <c r="AA1899" s="44"/>
      <c r="AB1899" s="45"/>
      <c r="AC1899" s="12"/>
      <c r="AD1899" s="12"/>
      <c r="AE1899" s="12"/>
      <c r="AF1899" s="12"/>
      <c r="AG1899" s="44"/>
      <c r="AH1899" s="45"/>
      <c r="AI1899" s="12"/>
      <c r="AJ1899" s="12"/>
      <c r="AK1899" s="12"/>
      <c r="AL1899" s="12"/>
      <c r="AM1899" s="44"/>
      <c r="AN1899" s="45"/>
      <c r="AO1899" s="12"/>
      <c r="AP1899" s="12"/>
      <c r="AQ1899" s="12"/>
      <c r="AR1899" s="12"/>
      <c r="AS1899" s="44"/>
      <c r="AT1899" s="45"/>
      <c r="AU1899" s="12"/>
      <c r="AV1899" s="12"/>
      <c r="AW1899" s="12"/>
      <c r="AX1899" s="12"/>
      <c r="AY1899" s="44"/>
      <c r="AZ1899" s="45"/>
      <c r="BA1899" s="12"/>
      <c r="BB1899" s="12"/>
      <c r="BC1899" s="12"/>
      <c r="BD1899" s="12"/>
      <c r="BE1899" s="44"/>
      <c r="BF1899" s="45"/>
      <c r="BG1899" s="12"/>
      <c r="BH1899" s="12"/>
      <c r="BI1899" s="12"/>
      <c r="BJ1899" s="12"/>
      <c r="BK1899" s="44"/>
      <c r="BL1899" s="45"/>
      <c r="BM1899" s="12"/>
      <c r="BN1899" s="12"/>
      <c r="BO1899" s="12"/>
      <c r="BP1899" s="12"/>
      <c r="BQ1899" s="48"/>
      <c r="BR1899" s="49"/>
      <c r="BS1899" s="13"/>
      <c r="BT1899" s="12"/>
      <c r="BV1899" s="14"/>
      <c r="BW1899" s="50"/>
      <c r="BX1899" s="54"/>
      <c r="BY1899" s="14"/>
      <c r="BZ1899" s="14"/>
      <c r="CA1899" s="14"/>
      <c r="CB1899" s="14"/>
      <c r="CC1899" s="14"/>
      <c r="CD1899" s="14"/>
      <c r="CE1899" s="14"/>
      <c r="CF1899" s="15"/>
      <c r="CG1899" s="14"/>
      <c r="CH1899" s="14"/>
      <c r="CI1899" s="50"/>
      <c r="CJ1899" s="54"/>
      <c r="CK1899" s="14"/>
      <c r="CL1899" s="14"/>
      <c r="CM1899" s="14"/>
      <c r="CN1899" s="14"/>
      <c r="CO1899" s="14"/>
      <c r="CP1899" s="14"/>
      <c r="CQ1899" s="14"/>
      <c r="CR1899" s="14"/>
      <c r="CS1899" s="14"/>
      <c r="CT1899" s="14"/>
      <c r="CU1899" s="16"/>
      <c r="CV1899" s="14"/>
      <c r="CW1899" s="50"/>
      <c r="CX1899" s="17"/>
    </row>
    <row r="1900" spans="4:102" x14ac:dyDescent="0.25">
      <c r="D1900" s="11"/>
      <c r="E1900" s="11"/>
      <c r="F1900" s="11"/>
      <c r="G1900" s="11"/>
      <c r="H1900" s="11"/>
      <c r="I1900" s="11"/>
      <c r="J1900" s="11"/>
      <c r="K1900" s="11"/>
      <c r="L1900" s="11"/>
      <c r="M1900" s="11"/>
      <c r="N1900" s="11"/>
      <c r="O1900" s="11"/>
      <c r="P1900" s="43"/>
      <c r="Q1900" s="11"/>
      <c r="R1900" s="11"/>
      <c r="S1900" s="11"/>
      <c r="T1900" s="11"/>
      <c r="U1900" s="11"/>
      <c r="V1900" s="11"/>
      <c r="W1900" s="11"/>
      <c r="X1900" s="12"/>
      <c r="Y1900" s="12"/>
      <c r="Z1900" s="12"/>
      <c r="AA1900" s="44"/>
      <c r="AB1900" s="45"/>
      <c r="AC1900" s="12"/>
      <c r="AD1900" s="12"/>
      <c r="AE1900" s="12"/>
      <c r="AF1900" s="12"/>
      <c r="AG1900" s="44"/>
      <c r="AH1900" s="45"/>
      <c r="AI1900" s="12"/>
      <c r="AJ1900" s="12"/>
      <c r="AK1900" s="12"/>
      <c r="AL1900" s="12"/>
      <c r="AM1900" s="44"/>
      <c r="AN1900" s="45"/>
      <c r="AO1900" s="12"/>
      <c r="AP1900" s="12"/>
      <c r="AQ1900" s="12"/>
      <c r="AR1900" s="12"/>
      <c r="AS1900" s="44"/>
      <c r="AT1900" s="45"/>
      <c r="AU1900" s="12"/>
      <c r="AV1900" s="12"/>
      <c r="AW1900" s="12"/>
      <c r="AX1900" s="12"/>
      <c r="AY1900" s="44"/>
      <c r="AZ1900" s="45"/>
      <c r="BA1900" s="12"/>
      <c r="BB1900" s="12"/>
      <c r="BC1900" s="12"/>
      <c r="BD1900" s="12"/>
      <c r="BE1900" s="44"/>
      <c r="BF1900" s="45"/>
      <c r="BG1900" s="12"/>
      <c r="BH1900" s="12"/>
      <c r="BI1900" s="12"/>
      <c r="BJ1900" s="12"/>
      <c r="BK1900" s="44"/>
      <c r="BL1900" s="45"/>
      <c r="BM1900" s="12"/>
      <c r="BN1900" s="12"/>
      <c r="BO1900" s="12"/>
      <c r="BP1900" s="12"/>
      <c r="BQ1900" s="48"/>
      <c r="BR1900" s="49"/>
      <c r="BS1900" s="13"/>
      <c r="BT1900" s="12"/>
      <c r="BV1900" s="14"/>
      <c r="BW1900" s="50"/>
      <c r="BX1900" s="54"/>
      <c r="BY1900" s="14"/>
      <c r="BZ1900" s="14"/>
      <c r="CA1900" s="14"/>
      <c r="CB1900" s="14"/>
      <c r="CC1900" s="14"/>
      <c r="CD1900" s="14"/>
      <c r="CE1900" s="14"/>
      <c r="CF1900" s="15"/>
      <c r="CG1900" s="14"/>
      <c r="CH1900" s="14"/>
      <c r="CI1900" s="50"/>
      <c r="CJ1900" s="54"/>
      <c r="CK1900" s="14"/>
      <c r="CL1900" s="14"/>
      <c r="CM1900" s="14"/>
      <c r="CN1900" s="14"/>
      <c r="CO1900" s="14"/>
      <c r="CP1900" s="14"/>
      <c r="CQ1900" s="14"/>
      <c r="CR1900" s="14"/>
      <c r="CS1900" s="14"/>
      <c r="CT1900" s="14"/>
      <c r="CU1900" s="16"/>
      <c r="CV1900" s="14"/>
      <c r="CW1900" s="50"/>
      <c r="CX1900" s="17"/>
    </row>
    <row r="1901" spans="4:102" x14ac:dyDescent="0.25">
      <c r="D1901" s="11"/>
      <c r="E1901" s="11"/>
      <c r="F1901" s="11"/>
      <c r="G1901" s="11"/>
      <c r="H1901" s="11"/>
      <c r="I1901" s="11"/>
      <c r="J1901" s="11"/>
      <c r="K1901" s="11"/>
      <c r="L1901" s="11"/>
      <c r="M1901" s="11"/>
      <c r="N1901" s="11"/>
      <c r="O1901" s="11"/>
      <c r="P1901" s="43"/>
      <c r="Q1901" s="11"/>
      <c r="R1901" s="11"/>
      <c r="S1901" s="11"/>
      <c r="T1901" s="11"/>
      <c r="U1901" s="11"/>
      <c r="V1901" s="11"/>
      <c r="W1901" s="11"/>
      <c r="X1901" s="12"/>
      <c r="Y1901" s="12"/>
      <c r="Z1901" s="12"/>
      <c r="AA1901" s="44"/>
      <c r="AB1901" s="45"/>
      <c r="AC1901" s="12"/>
      <c r="AD1901" s="12"/>
      <c r="AE1901" s="12"/>
      <c r="AF1901" s="12"/>
      <c r="AG1901" s="44"/>
      <c r="AH1901" s="45"/>
      <c r="AI1901" s="12"/>
      <c r="AJ1901" s="12"/>
      <c r="AK1901" s="12"/>
      <c r="AL1901" s="12"/>
      <c r="AM1901" s="44"/>
      <c r="AN1901" s="45"/>
      <c r="AO1901" s="12"/>
      <c r="AP1901" s="12"/>
      <c r="AQ1901" s="12"/>
      <c r="AR1901" s="12"/>
      <c r="AS1901" s="44"/>
      <c r="AT1901" s="45"/>
      <c r="AU1901" s="12"/>
      <c r="AV1901" s="12"/>
      <c r="AW1901" s="12"/>
      <c r="AX1901" s="12"/>
      <c r="AY1901" s="44"/>
      <c r="AZ1901" s="45"/>
      <c r="BA1901" s="12"/>
      <c r="BB1901" s="12"/>
      <c r="BC1901" s="12"/>
      <c r="BD1901" s="12"/>
      <c r="BE1901" s="44"/>
      <c r="BF1901" s="45"/>
      <c r="BG1901" s="12"/>
      <c r="BH1901" s="12"/>
      <c r="BI1901" s="12"/>
      <c r="BJ1901" s="12"/>
      <c r="BK1901" s="44"/>
      <c r="BL1901" s="45"/>
      <c r="BM1901" s="12"/>
      <c r="BN1901" s="12"/>
      <c r="BO1901" s="12"/>
      <c r="BP1901" s="12"/>
      <c r="BQ1901" s="48"/>
      <c r="BR1901" s="49"/>
      <c r="BS1901" s="13"/>
      <c r="BT1901" s="12"/>
      <c r="BV1901" s="14"/>
      <c r="BW1901" s="50"/>
      <c r="BX1901" s="54"/>
      <c r="BY1901" s="14"/>
      <c r="BZ1901" s="14"/>
      <c r="CA1901" s="14"/>
      <c r="CB1901" s="14"/>
      <c r="CC1901" s="14"/>
      <c r="CD1901" s="14"/>
      <c r="CE1901" s="14"/>
      <c r="CF1901" s="15"/>
      <c r="CG1901" s="14"/>
      <c r="CH1901" s="14"/>
      <c r="CI1901" s="50"/>
      <c r="CJ1901" s="54"/>
      <c r="CK1901" s="14"/>
      <c r="CL1901" s="14"/>
      <c r="CM1901" s="14"/>
      <c r="CN1901" s="14"/>
      <c r="CO1901" s="14"/>
      <c r="CP1901" s="14"/>
      <c r="CQ1901" s="14"/>
      <c r="CR1901" s="14"/>
      <c r="CS1901" s="14"/>
      <c r="CT1901" s="14"/>
      <c r="CU1901" s="16"/>
      <c r="CV1901" s="14"/>
      <c r="CW1901" s="50"/>
      <c r="CX1901" s="17"/>
    </row>
    <row r="1902" spans="4:102" x14ac:dyDescent="0.25">
      <c r="D1902" s="11"/>
      <c r="E1902" s="11"/>
      <c r="F1902" s="11"/>
      <c r="G1902" s="11"/>
      <c r="H1902" s="11"/>
      <c r="I1902" s="11"/>
      <c r="J1902" s="11"/>
      <c r="K1902" s="11"/>
      <c r="L1902" s="11"/>
      <c r="M1902" s="11"/>
      <c r="N1902" s="11"/>
      <c r="O1902" s="11"/>
      <c r="P1902" s="43"/>
      <c r="Q1902" s="11"/>
      <c r="R1902" s="11"/>
      <c r="S1902" s="11"/>
      <c r="T1902" s="11"/>
      <c r="U1902" s="11"/>
      <c r="V1902" s="11"/>
      <c r="W1902" s="11"/>
      <c r="X1902" s="12"/>
      <c r="Y1902" s="12"/>
      <c r="Z1902" s="12"/>
      <c r="AA1902" s="44"/>
      <c r="AB1902" s="45"/>
      <c r="AC1902" s="12"/>
      <c r="AD1902" s="12"/>
      <c r="AE1902" s="12"/>
      <c r="AF1902" s="12"/>
      <c r="AG1902" s="44"/>
      <c r="AH1902" s="45"/>
      <c r="AI1902" s="12"/>
      <c r="AJ1902" s="12"/>
      <c r="AK1902" s="12"/>
      <c r="AL1902" s="12"/>
      <c r="AM1902" s="44"/>
      <c r="AN1902" s="45"/>
      <c r="AO1902" s="12"/>
      <c r="AP1902" s="12"/>
      <c r="AQ1902" s="12"/>
      <c r="AR1902" s="12"/>
      <c r="AS1902" s="44"/>
      <c r="AT1902" s="45"/>
      <c r="AU1902" s="12"/>
      <c r="AV1902" s="12"/>
      <c r="AW1902" s="12"/>
      <c r="AX1902" s="12"/>
      <c r="AY1902" s="44"/>
      <c r="AZ1902" s="45"/>
      <c r="BA1902" s="12"/>
      <c r="BB1902" s="12"/>
      <c r="BC1902" s="12"/>
      <c r="BD1902" s="12"/>
      <c r="BE1902" s="44"/>
      <c r="BF1902" s="45"/>
      <c r="BG1902" s="12"/>
      <c r="BH1902" s="12"/>
      <c r="BI1902" s="12"/>
      <c r="BJ1902" s="12"/>
      <c r="BK1902" s="44"/>
      <c r="BL1902" s="45"/>
      <c r="BM1902" s="12"/>
      <c r="BN1902" s="12"/>
      <c r="BO1902" s="12"/>
      <c r="BP1902" s="12"/>
      <c r="BQ1902" s="48"/>
      <c r="BR1902" s="49"/>
      <c r="BS1902" s="13"/>
      <c r="BT1902" s="12"/>
      <c r="BV1902" s="14"/>
      <c r="BW1902" s="50"/>
      <c r="BX1902" s="54"/>
      <c r="BY1902" s="14"/>
      <c r="BZ1902" s="14"/>
      <c r="CA1902" s="14"/>
      <c r="CB1902" s="14"/>
      <c r="CC1902" s="14"/>
      <c r="CD1902" s="14"/>
      <c r="CE1902" s="14"/>
      <c r="CF1902" s="15"/>
      <c r="CG1902" s="14"/>
      <c r="CH1902" s="14"/>
      <c r="CI1902" s="50"/>
      <c r="CJ1902" s="54"/>
      <c r="CK1902" s="14"/>
      <c r="CL1902" s="14"/>
      <c r="CM1902" s="14"/>
      <c r="CN1902" s="14"/>
      <c r="CO1902" s="14"/>
      <c r="CP1902" s="14"/>
      <c r="CQ1902" s="14"/>
      <c r="CR1902" s="14"/>
      <c r="CS1902" s="14"/>
      <c r="CT1902" s="14"/>
      <c r="CU1902" s="16"/>
      <c r="CV1902" s="14"/>
      <c r="CW1902" s="50"/>
      <c r="CX1902" s="17"/>
    </row>
    <row r="1903" spans="4:102" x14ac:dyDescent="0.25">
      <c r="D1903" s="11"/>
      <c r="E1903" s="11"/>
      <c r="F1903" s="11"/>
      <c r="G1903" s="11"/>
      <c r="H1903" s="11"/>
      <c r="I1903" s="11"/>
      <c r="J1903" s="11"/>
      <c r="K1903" s="11"/>
      <c r="L1903" s="11"/>
      <c r="M1903" s="11"/>
      <c r="N1903" s="11"/>
      <c r="O1903" s="11"/>
      <c r="P1903" s="43"/>
      <c r="Q1903" s="11"/>
      <c r="R1903" s="11"/>
      <c r="S1903" s="11"/>
      <c r="T1903" s="11"/>
      <c r="U1903" s="11"/>
      <c r="V1903" s="11"/>
      <c r="W1903" s="11"/>
      <c r="X1903" s="12"/>
      <c r="Y1903" s="12"/>
      <c r="Z1903" s="12"/>
      <c r="AA1903" s="44"/>
      <c r="AB1903" s="45"/>
      <c r="AC1903" s="12"/>
      <c r="AD1903" s="12"/>
      <c r="AE1903" s="12"/>
      <c r="AF1903" s="12"/>
      <c r="AG1903" s="44"/>
      <c r="AH1903" s="45"/>
      <c r="AI1903" s="12"/>
      <c r="AJ1903" s="12"/>
      <c r="AK1903" s="12"/>
      <c r="AL1903" s="12"/>
      <c r="AM1903" s="44"/>
      <c r="AN1903" s="45"/>
      <c r="AO1903" s="12"/>
      <c r="AP1903" s="12"/>
      <c r="AQ1903" s="12"/>
      <c r="AR1903" s="12"/>
      <c r="AS1903" s="44"/>
      <c r="AT1903" s="45"/>
      <c r="AU1903" s="12"/>
      <c r="AV1903" s="12"/>
      <c r="AW1903" s="12"/>
      <c r="AX1903" s="12"/>
      <c r="AY1903" s="44"/>
      <c r="AZ1903" s="45"/>
      <c r="BA1903" s="12"/>
      <c r="BB1903" s="12"/>
      <c r="BC1903" s="12"/>
      <c r="BD1903" s="12"/>
      <c r="BE1903" s="44"/>
      <c r="BF1903" s="45"/>
      <c r="BG1903" s="12"/>
      <c r="BH1903" s="12"/>
      <c r="BI1903" s="12"/>
      <c r="BJ1903" s="12"/>
      <c r="BK1903" s="44"/>
      <c r="BL1903" s="45"/>
      <c r="BM1903" s="12"/>
      <c r="BN1903" s="12"/>
      <c r="BO1903" s="12"/>
      <c r="BP1903" s="12"/>
      <c r="BQ1903" s="48"/>
      <c r="BR1903" s="49"/>
      <c r="BS1903" s="13"/>
      <c r="BT1903" s="12"/>
      <c r="BV1903" s="14"/>
      <c r="BW1903" s="50"/>
      <c r="BX1903" s="54"/>
      <c r="BY1903" s="14"/>
      <c r="BZ1903" s="14"/>
      <c r="CA1903" s="14"/>
      <c r="CB1903" s="14"/>
      <c r="CC1903" s="14"/>
      <c r="CD1903" s="14"/>
      <c r="CE1903" s="14"/>
      <c r="CF1903" s="15"/>
      <c r="CG1903" s="14"/>
      <c r="CH1903" s="14"/>
      <c r="CI1903" s="50"/>
      <c r="CJ1903" s="54"/>
      <c r="CK1903" s="14"/>
      <c r="CL1903" s="14"/>
      <c r="CM1903" s="14"/>
      <c r="CN1903" s="14"/>
      <c r="CO1903" s="14"/>
      <c r="CP1903" s="14"/>
      <c r="CQ1903" s="14"/>
      <c r="CR1903" s="14"/>
      <c r="CS1903" s="14"/>
      <c r="CT1903" s="14"/>
      <c r="CU1903" s="16"/>
      <c r="CV1903" s="14"/>
      <c r="CW1903" s="50"/>
      <c r="CX1903" s="17"/>
    </row>
    <row r="1904" spans="4:102" x14ac:dyDescent="0.25">
      <c r="D1904" s="11"/>
      <c r="E1904" s="11"/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43"/>
      <c r="Q1904" s="11"/>
      <c r="R1904" s="11"/>
      <c r="S1904" s="11"/>
      <c r="T1904" s="11"/>
      <c r="U1904" s="11"/>
      <c r="V1904" s="11"/>
      <c r="W1904" s="11"/>
      <c r="X1904" s="12"/>
      <c r="Y1904" s="12"/>
      <c r="Z1904" s="12"/>
      <c r="AA1904" s="44"/>
      <c r="AB1904" s="45"/>
      <c r="AC1904" s="12"/>
      <c r="AD1904" s="12"/>
      <c r="AE1904" s="12"/>
      <c r="AF1904" s="12"/>
      <c r="AG1904" s="44"/>
      <c r="AH1904" s="45"/>
      <c r="AI1904" s="12"/>
      <c r="AJ1904" s="12"/>
      <c r="AK1904" s="12"/>
      <c r="AL1904" s="12"/>
      <c r="AM1904" s="44"/>
      <c r="AN1904" s="45"/>
      <c r="AO1904" s="12"/>
      <c r="AP1904" s="12"/>
      <c r="AQ1904" s="12"/>
      <c r="AR1904" s="12"/>
      <c r="AS1904" s="44"/>
      <c r="AT1904" s="45"/>
      <c r="AU1904" s="12"/>
      <c r="AV1904" s="12"/>
      <c r="AW1904" s="12"/>
      <c r="AX1904" s="12"/>
      <c r="AY1904" s="44"/>
      <c r="AZ1904" s="45"/>
      <c r="BA1904" s="12"/>
      <c r="BB1904" s="12"/>
      <c r="BC1904" s="12"/>
      <c r="BD1904" s="12"/>
      <c r="BE1904" s="44"/>
      <c r="BF1904" s="45"/>
      <c r="BG1904" s="12"/>
      <c r="BH1904" s="12"/>
      <c r="BI1904" s="12"/>
      <c r="BJ1904" s="12"/>
      <c r="BK1904" s="44"/>
      <c r="BL1904" s="45"/>
      <c r="BM1904" s="12"/>
      <c r="BN1904" s="12"/>
      <c r="BO1904" s="12"/>
      <c r="BP1904" s="12"/>
      <c r="BQ1904" s="48"/>
      <c r="BR1904" s="49"/>
      <c r="BS1904" s="13"/>
      <c r="BT1904" s="12"/>
      <c r="BV1904" s="14"/>
      <c r="BW1904" s="50"/>
      <c r="BX1904" s="54"/>
      <c r="BY1904" s="14"/>
      <c r="BZ1904" s="14"/>
      <c r="CA1904" s="14"/>
      <c r="CB1904" s="14"/>
      <c r="CC1904" s="14"/>
      <c r="CD1904" s="14"/>
      <c r="CE1904" s="14"/>
      <c r="CF1904" s="15"/>
      <c r="CG1904" s="14"/>
      <c r="CH1904" s="14"/>
      <c r="CI1904" s="50"/>
      <c r="CJ1904" s="54"/>
      <c r="CK1904" s="14"/>
      <c r="CL1904" s="14"/>
      <c r="CM1904" s="14"/>
      <c r="CN1904" s="14"/>
      <c r="CO1904" s="14"/>
      <c r="CP1904" s="14"/>
      <c r="CQ1904" s="14"/>
      <c r="CR1904" s="14"/>
      <c r="CS1904" s="14"/>
      <c r="CT1904" s="14"/>
      <c r="CU1904" s="16"/>
      <c r="CV1904" s="14"/>
      <c r="CW1904" s="50"/>
      <c r="CX1904" s="17"/>
    </row>
    <row r="1905" spans="4:102" x14ac:dyDescent="0.25">
      <c r="D1905" s="11"/>
      <c r="E1905" s="11"/>
      <c r="F1905" s="11"/>
      <c r="G1905" s="11"/>
      <c r="H1905" s="11"/>
      <c r="I1905" s="11"/>
      <c r="J1905" s="11"/>
      <c r="K1905" s="11"/>
      <c r="L1905" s="11"/>
      <c r="M1905" s="11"/>
      <c r="N1905" s="11"/>
      <c r="O1905" s="11"/>
      <c r="P1905" s="43"/>
      <c r="Q1905" s="11"/>
      <c r="R1905" s="11"/>
      <c r="S1905" s="11"/>
      <c r="T1905" s="11"/>
      <c r="U1905" s="11"/>
      <c r="V1905" s="11"/>
      <c r="W1905" s="11"/>
      <c r="X1905" s="12"/>
      <c r="Y1905" s="12"/>
      <c r="Z1905" s="12"/>
      <c r="AA1905" s="44"/>
      <c r="AB1905" s="45"/>
      <c r="AC1905" s="12"/>
      <c r="AD1905" s="12"/>
      <c r="AE1905" s="12"/>
      <c r="AF1905" s="12"/>
      <c r="AG1905" s="44"/>
      <c r="AH1905" s="45"/>
      <c r="AI1905" s="12"/>
      <c r="AJ1905" s="12"/>
      <c r="AK1905" s="12"/>
      <c r="AL1905" s="12"/>
      <c r="AM1905" s="44"/>
      <c r="AN1905" s="45"/>
      <c r="AO1905" s="12"/>
      <c r="AP1905" s="12"/>
      <c r="AQ1905" s="12"/>
      <c r="AR1905" s="12"/>
      <c r="AS1905" s="44"/>
      <c r="AT1905" s="45"/>
      <c r="AU1905" s="12"/>
      <c r="AV1905" s="12"/>
      <c r="AW1905" s="12"/>
      <c r="AX1905" s="12"/>
      <c r="AY1905" s="44"/>
      <c r="AZ1905" s="45"/>
      <c r="BA1905" s="12"/>
      <c r="BB1905" s="12"/>
      <c r="BC1905" s="12"/>
      <c r="BD1905" s="12"/>
      <c r="BE1905" s="44"/>
      <c r="BF1905" s="45"/>
      <c r="BG1905" s="12"/>
      <c r="BH1905" s="12"/>
      <c r="BI1905" s="12"/>
      <c r="BJ1905" s="12"/>
      <c r="BK1905" s="44"/>
      <c r="BL1905" s="45"/>
      <c r="BM1905" s="12"/>
      <c r="BN1905" s="12"/>
      <c r="BO1905" s="12"/>
      <c r="BP1905" s="12"/>
      <c r="BQ1905" s="48"/>
      <c r="BR1905" s="49"/>
      <c r="BS1905" s="13"/>
      <c r="BT1905" s="12"/>
      <c r="BV1905" s="14"/>
      <c r="BW1905" s="50"/>
      <c r="BX1905" s="54"/>
      <c r="BY1905" s="14"/>
      <c r="BZ1905" s="14"/>
      <c r="CA1905" s="14"/>
      <c r="CB1905" s="14"/>
      <c r="CC1905" s="14"/>
      <c r="CD1905" s="14"/>
      <c r="CE1905" s="14"/>
      <c r="CF1905" s="15"/>
      <c r="CG1905" s="14"/>
      <c r="CH1905" s="14"/>
      <c r="CI1905" s="50"/>
      <c r="CJ1905" s="54"/>
      <c r="CK1905" s="14"/>
      <c r="CL1905" s="14"/>
      <c r="CM1905" s="14"/>
      <c r="CN1905" s="14"/>
      <c r="CO1905" s="14"/>
      <c r="CP1905" s="14"/>
      <c r="CQ1905" s="14"/>
      <c r="CR1905" s="14"/>
      <c r="CS1905" s="14"/>
      <c r="CT1905" s="14"/>
      <c r="CU1905" s="16"/>
      <c r="CV1905" s="14"/>
      <c r="CW1905" s="50"/>
      <c r="CX1905" s="17"/>
    </row>
    <row r="1906" spans="4:102" x14ac:dyDescent="0.25">
      <c r="D1906" s="11"/>
      <c r="E1906" s="11"/>
      <c r="F1906" s="11"/>
      <c r="G1906" s="11"/>
      <c r="H1906" s="11"/>
      <c r="I1906" s="11"/>
      <c r="J1906" s="11"/>
      <c r="K1906" s="11"/>
      <c r="L1906" s="11"/>
      <c r="M1906" s="11"/>
      <c r="N1906" s="11"/>
      <c r="O1906" s="11"/>
      <c r="P1906" s="43"/>
      <c r="Q1906" s="11"/>
      <c r="R1906" s="11"/>
      <c r="S1906" s="11"/>
      <c r="T1906" s="11"/>
      <c r="U1906" s="11"/>
      <c r="V1906" s="11"/>
      <c r="W1906" s="11"/>
      <c r="X1906" s="12"/>
      <c r="Y1906" s="12"/>
      <c r="Z1906" s="12"/>
      <c r="AA1906" s="44"/>
      <c r="AB1906" s="45"/>
      <c r="AC1906" s="12"/>
      <c r="AD1906" s="12"/>
      <c r="AE1906" s="12"/>
      <c r="AF1906" s="12"/>
      <c r="AG1906" s="44"/>
      <c r="AH1906" s="45"/>
      <c r="AI1906" s="12"/>
      <c r="AJ1906" s="12"/>
      <c r="AK1906" s="12"/>
      <c r="AL1906" s="12"/>
      <c r="AM1906" s="44"/>
      <c r="AN1906" s="45"/>
      <c r="AO1906" s="12"/>
      <c r="AP1906" s="12"/>
      <c r="AQ1906" s="12"/>
      <c r="AR1906" s="12"/>
      <c r="AS1906" s="44"/>
      <c r="AT1906" s="45"/>
      <c r="AU1906" s="12"/>
      <c r="AV1906" s="12"/>
      <c r="AW1906" s="12"/>
      <c r="AX1906" s="12"/>
      <c r="AY1906" s="44"/>
      <c r="AZ1906" s="45"/>
      <c r="BA1906" s="12"/>
      <c r="BB1906" s="12"/>
      <c r="BC1906" s="12"/>
      <c r="BD1906" s="12"/>
      <c r="BE1906" s="44"/>
      <c r="BF1906" s="45"/>
      <c r="BG1906" s="12"/>
      <c r="BH1906" s="12"/>
      <c r="BI1906" s="12"/>
      <c r="BJ1906" s="12"/>
      <c r="BK1906" s="44"/>
      <c r="BL1906" s="45"/>
      <c r="BM1906" s="12"/>
      <c r="BN1906" s="12"/>
      <c r="BO1906" s="12"/>
      <c r="BP1906" s="12"/>
      <c r="BQ1906" s="48"/>
      <c r="BR1906" s="49"/>
      <c r="BS1906" s="13"/>
      <c r="BT1906" s="12"/>
      <c r="BV1906" s="14"/>
      <c r="BW1906" s="50"/>
      <c r="BX1906" s="54"/>
      <c r="BY1906" s="14"/>
      <c r="BZ1906" s="14"/>
      <c r="CA1906" s="14"/>
      <c r="CB1906" s="14"/>
      <c r="CC1906" s="14"/>
      <c r="CD1906" s="14"/>
      <c r="CE1906" s="14"/>
      <c r="CF1906" s="15"/>
      <c r="CG1906" s="14"/>
      <c r="CH1906" s="14"/>
      <c r="CI1906" s="50"/>
      <c r="CJ1906" s="54"/>
      <c r="CK1906" s="14"/>
      <c r="CL1906" s="14"/>
      <c r="CM1906" s="14"/>
      <c r="CN1906" s="14"/>
      <c r="CO1906" s="14"/>
      <c r="CP1906" s="14"/>
      <c r="CQ1906" s="14"/>
      <c r="CR1906" s="14"/>
      <c r="CS1906" s="14"/>
      <c r="CT1906" s="14"/>
      <c r="CU1906" s="16"/>
      <c r="CV1906" s="14"/>
      <c r="CW1906" s="50"/>
      <c r="CX1906" s="17"/>
    </row>
    <row r="1907" spans="4:102" x14ac:dyDescent="0.25">
      <c r="D1907" s="11"/>
      <c r="E1907" s="11"/>
      <c r="F1907" s="11"/>
      <c r="G1907" s="11"/>
      <c r="H1907" s="11"/>
      <c r="I1907" s="11"/>
      <c r="J1907" s="11"/>
      <c r="K1907" s="11"/>
      <c r="L1907" s="11"/>
      <c r="M1907" s="11"/>
      <c r="N1907" s="11"/>
      <c r="O1907" s="11"/>
      <c r="P1907" s="43"/>
      <c r="Q1907" s="11"/>
      <c r="R1907" s="11"/>
      <c r="S1907" s="11"/>
      <c r="T1907" s="11"/>
      <c r="U1907" s="11"/>
      <c r="V1907" s="11"/>
      <c r="W1907" s="11"/>
      <c r="X1907" s="12"/>
      <c r="Y1907" s="12"/>
      <c r="Z1907" s="12"/>
      <c r="AA1907" s="44"/>
      <c r="AB1907" s="45"/>
      <c r="AC1907" s="12"/>
      <c r="AD1907" s="12"/>
      <c r="AE1907" s="12"/>
      <c r="AF1907" s="12"/>
      <c r="AG1907" s="44"/>
      <c r="AH1907" s="45"/>
      <c r="AI1907" s="12"/>
      <c r="AJ1907" s="12"/>
      <c r="AK1907" s="12"/>
      <c r="AL1907" s="12"/>
      <c r="AM1907" s="44"/>
      <c r="AN1907" s="45"/>
      <c r="AO1907" s="12"/>
      <c r="AP1907" s="12"/>
      <c r="AQ1907" s="12"/>
      <c r="AR1907" s="12"/>
      <c r="AS1907" s="44"/>
      <c r="AT1907" s="45"/>
      <c r="AU1907" s="12"/>
      <c r="AV1907" s="12"/>
      <c r="AW1907" s="12"/>
      <c r="AX1907" s="12"/>
      <c r="AY1907" s="44"/>
      <c r="AZ1907" s="45"/>
      <c r="BA1907" s="12"/>
      <c r="BB1907" s="12"/>
      <c r="BC1907" s="12"/>
      <c r="BD1907" s="12"/>
      <c r="BE1907" s="44"/>
      <c r="BF1907" s="45"/>
      <c r="BG1907" s="12"/>
      <c r="BH1907" s="12"/>
      <c r="BI1907" s="12"/>
      <c r="BJ1907" s="12"/>
      <c r="BK1907" s="44"/>
      <c r="BL1907" s="45"/>
      <c r="BM1907" s="12"/>
      <c r="BN1907" s="12"/>
      <c r="BO1907" s="12"/>
      <c r="BP1907" s="12"/>
      <c r="BQ1907" s="48"/>
      <c r="BR1907" s="49"/>
      <c r="BS1907" s="13"/>
      <c r="BT1907" s="12"/>
      <c r="BV1907" s="14"/>
      <c r="BW1907" s="50"/>
      <c r="BX1907" s="54"/>
      <c r="BY1907" s="14"/>
      <c r="BZ1907" s="14"/>
      <c r="CA1907" s="14"/>
      <c r="CB1907" s="14"/>
      <c r="CC1907" s="14"/>
      <c r="CD1907" s="14"/>
      <c r="CE1907" s="14"/>
      <c r="CF1907" s="15"/>
      <c r="CG1907" s="14"/>
      <c r="CH1907" s="14"/>
      <c r="CI1907" s="50"/>
      <c r="CJ1907" s="54"/>
      <c r="CK1907" s="14"/>
      <c r="CL1907" s="14"/>
      <c r="CM1907" s="14"/>
      <c r="CN1907" s="14"/>
      <c r="CO1907" s="14"/>
      <c r="CP1907" s="14"/>
      <c r="CQ1907" s="14"/>
      <c r="CR1907" s="14"/>
      <c r="CS1907" s="14"/>
      <c r="CT1907" s="14"/>
      <c r="CU1907" s="16"/>
      <c r="CV1907" s="14"/>
      <c r="CW1907" s="50"/>
      <c r="CX1907" s="17"/>
    </row>
    <row r="1908" spans="4:102" x14ac:dyDescent="0.25">
      <c r="D1908" s="11"/>
      <c r="E1908" s="11"/>
      <c r="F1908" s="11"/>
      <c r="G1908" s="11"/>
      <c r="H1908" s="11"/>
      <c r="I1908" s="11"/>
      <c r="J1908" s="11"/>
      <c r="K1908" s="11"/>
      <c r="L1908" s="11"/>
      <c r="M1908" s="11"/>
      <c r="N1908" s="11"/>
      <c r="O1908" s="11"/>
      <c r="P1908" s="43"/>
      <c r="Q1908" s="11"/>
      <c r="R1908" s="11"/>
      <c r="S1908" s="11"/>
      <c r="T1908" s="11"/>
      <c r="U1908" s="11"/>
      <c r="V1908" s="11"/>
      <c r="W1908" s="11"/>
      <c r="X1908" s="12"/>
      <c r="Y1908" s="12"/>
      <c r="Z1908" s="12"/>
      <c r="AA1908" s="44"/>
      <c r="AB1908" s="45"/>
      <c r="AC1908" s="12"/>
      <c r="AD1908" s="12"/>
      <c r="AE1908" s="12"/>
      <c r="AF1908" s="12"/>
      <c r="AG1908" s="44"/>
      <c r="AH1908" s="45"/>
      <c r="AI1908" s="12"/>
      <c r="AJ1908" s="12"/>
      <c r="AK1908" s="12"/>
      <c r="AL1908" s="12"/>
      <c r="AM1908" s="44"/>
      <c r="AN1908" s="45"/>
      <c r="AO1908" s="12"/>
      <c r="AP1908" s="12"/>
      <c r="AQ1908" s="12"/>
      <c r="AR1908" s="12"/>
      <c r="AS1908" s="44"/>
      <c r="AT1908" s="45"/>
      <c r="AU1908" s="12"/>
      <c r="AV1908" s="12"/>
      <c r="AW1908" s="12"/>
      <c r="AX1908" s="12"/>
      <c r="AY1908" s="44"/>
      <c r="AZ1908" s="45"/>
      <c r="BA1908" s="12"/>
      <c r="BB1908" s="12"/>
      <c r="BC1908" s="12"/>
      <c r="BD1908" s="12"/>
      <c r="BE1908" s="44"/>
      <c r="BF1908" s="45"/>
      <c r="BG1908" s="12"/>
      <c r="BH1908" s="12"/>
      <c r="BI1908" s="12"/>
      <c r="BJ1908" s="12"/>
      <c r="BK1908" s="44"/>
      <c r="BL1908" s="45"/>
      <c r="BM1908" s="12"/>
      <c r="BN1908" s="12"/>
      <c r="BO1908" s="12"/>
      <c r="BP1908" s="12"/>
      <c r="BQ1908" s="48"/>
      <c r="BR1908" s="49"/>
      <c r="BS1908" s="13"/>
      <c r="BT1908" s="12"/>
      <c r="BV1908" s="14"/>
      <c r="BW1908" s="50"/>
      <c r="BX1908" s="54"/>
      <c r="BY1908" s="14"/>
      <c r="BZ1908" s="14"/>
      <c r="CA1908" s="14"/>
      <c r="CB1908" s="14"/>
      <c r="CC1908" s="14"/>
      <c r="CD1908" s="14"/>
      <c r="CE1908" s="14"/>
      <c r="CF1908" s="15"/>
      <c r="CG1908" s="14"/>
      <c r="CH1908" s="14"/>
      <c r="CI1908" s="50"/>
      <c r="CJ1908" s="54"/>
      <c r="CK1908" s="14"/>
      <c r="CL1908" s="14"/>
      <c r="CM1908" s="14"/>
      <c r="CN1908" s="14"/>
      <c r="CO1908" s="14"/>
      <c r="CP1908" s="14"/>
      <c r="CQ1908" s="14"/>
      <c r="CR1908" s="14"/>
      <c r="CS1908" s="14"/>
      <c r="CT1908" s="14"/>
      <c r="CU1908" s="16"/>
      <c r="CV1908" s="14"/>
      <c r="CW1908" s="50"/>
      <c r="CX1908" s="17"/>
    </row>
    <row r="1909" spans="4:102" x14ac:dyDescent="0.25">
      <c r="D1909" s="11"/>
      <c r="E1909" s="11"/>
      <c r="F1909" s="11"/>
      <c r="G1909" s="11"/>
      <c r="H1909" s="11"/>
      <c r="I1909" s="11"/>
      <c r="J1909" s="11"/>
      <c r="K1909" s="11"/>
      <c r="L1909" s="11"/>
      <c r="M1909" s="11"/>
      <c r="N1909" s="11"/>
      <c r="O1909" s="11"/>
      <c r="P1909" s="43"/>
      <c r="Q1909" s="11"/>
      <c r="R1909" s="11"/>
      <c r="S1909" s="11"/>
      <c r="T1909" s="11"/>
      <c r="U1909" s="11"/>
      <c r="V1909" s="11"/>
      <c r="W1909" s="11"/>
      <c r="X1909" s="12"/>
      <c r="Y1909" s="12"/>
      <c r="Z1909" s="12"/>
      <c r="AA1909" s="44"/>
      <c r="AB1909" s="45"/>
      <c r="AC1909" s="12"/>
      <c r="AD1909" s="12"/>
      <c r="AE1909" s="12"/>
      <c r="AF1909" s="12"/>
      <c r="AG1909" s="44"/>
      <c r="AH1909" s="45"/>
      <c r="AI1909" s="12"/>
      <c r="AJ1909" s="12"/>
      <c r="AK1909" s="12"/>
      <c r="AL1909" s="12"/>
      <c r="AM1909" s="44"/>
      <c r="AN1909" s="45"/>
      <c r="AO1909" s="12"/>
      <c r="AP1909" s="12"/>
      <c r="AQ1909" s="12"/>
      <c r="AR1909" s="12"/>
      <c r="AS1909" s="44"/>
      <c r="AT1909" s="45"/>
      <c r="AU1909" s="12"/>
      <c r="AV1909" s="12"/>
      <c r="AW1909" s="12"/>
      <c r="AX1909" s="12"/>
      <c r="AY1909" s="44"/>
      <c r="AZ1909" s="45"/>
      <c r="BA1909" s="12"/>
      <c r="BB1909" s="12"/>
      <c r="BC1909" s="12"/>
      <c r="BD1909" s="12"/>
      <c r="BE1909" s="44"/>
      <c r="BF1909" s="45"/>
      <c r="BG1909" s="12"/>
      <c r="BH1909" s="12"/>
      <c r="BI1909" s="12"/>
      <c r="BJ1909" s="12"/>
      <c r="BK1909" s="44"/>
      <c r="BL1909" s="45"/>
      <c r="BM1909" s="12"/>
      <c r="BN1909" s="12"/>
      <c r="BO1909" s="12"/>
      <c r="BP1909" s="12"/>
      <c r="BQ1909" s="48"/>
      <c r="BR1909" s="49"/>
      <c r="BS1909" s="13"/>
      <c r="BT1909" s="12"/>
      <c r="BV1909" s="14"/>
      <c r="BW1909" s="50"/>
      <c r="BX1909" s="54"/>
      <c r="BY1909" s="14"/>
      <c r="BZ1909" s="14"/>
      <c r="CA1909" s="14"/>
      <c r="CB1909" s="14"/>
      <c r="CC1909" s="14"/>
      <c r="CD1909" s="14"/>
      <c r="CE1909" s="14"/>
      <c r="CF1909" s="15"/>
      <c r="CG1909" s="14"/>
      <c r="CH1909" s="14"/>
      <c r="CI1909" s="50"/>
      <c r="CJ1909" s="54"/>
      <c r="CK1909" s="14"/>
      <c r="CL1909" s="14"/>
      <c r="CM1909" s="14"/>
      <c r="CN1909" s="14"/>
      <c r="CO1909" s="14"/>
      <c r="CP1909" s="14"/>
      <c r="CQ1909" s="14"/>
      <c r="CR1909" s="14"/>
      <c r="CS1909" s="14"/>
      <c r="CT1909" s="14"/>
      <c r="CU1909" s="16"/>
      <c r="CV1909" s="14"/>
      <c r="CW1909" s="50"/>
      <c r="CX1909" s="17"/>
    </row>
    <row r="1910" spans="4:102" x14ac:dyDescent="0.25">
      <c r="D1910" s="11"/>
      <c r="E1910" s="11"/>
      <c r="F1910" s="11"/>
      <c r="G1910" s="11"/>
      <c r="H1910" s="11"/>
      <c r="I1910" s="11"/>
      <c r="J1910" s="11"/>
      <c r="K1910" s="11"/>
      <c r="L1910" s="11"/>
      <c r="M1910" s="11"/>
      <c r="N1910" s="11"/>
      <c r="O1910" s="11"/>
      <c r="P1910" s="43"/>
      <c r="Q1910" s="11"/>
      <c r="R1910" s="11"/>
      <c r="S1910" s="11"/>
      <c r="T1910" s="11"/>
      <c r="U1910" s="11"/>
      <c r="V1910" s="11"/>
      <c r="W1910" s="11"/>
      <c r="X1910" s="12"/>
      <c r="Y1910" s="12"/>
      <c r="Z1910" s="12"/>
      <c r="AA1910" s="44"/>
      <c r="AB1910" s="45"/>
      <c r="AC1910" s="12"/>
      <c r="AD1910" s="12"/>
      <c r="AE1910" s="12"/>
      <c r="AF1910" s="12"/>
      <c r="AG1910" s="44"/>
      <c r="AH1910" s="45"/>
      <c r="AI1910" s="12"/>
      <c r="AJ1910" s="12"/>
      <c r="AK1910" s="12"/>
      <c r="AL1910" s="12"/>
      <c r="AM1910" s="44"/>
      <c r="AN1910" s="45"/>
      <c r="AO1910" s="12"/>
      <c r="AP1910" s="12"/>
      <c r="AQ1910" s="12"/>
      <c r="AR1910" s="12"/>
      <c r="AS1910" s="44"/>
      <c r="AT1910" s="45"/>
      <c r="AU1910" s="12"/>
      <c r="AV1910" s="12"/>
      <c r="AW1910" s="12"/>
      <c r="AX1910" s="12"/>
      <c r="AY1910" s="44"/>
      <c r="AZ1910" s="45"/>
      <c r="BA1910" s="12"/>
      <c r="BB1910" s="12"/>
      <c r="BC1910" s="12"/>
      <c r="BD1910" s="12"/>
      <c r="BE1910" s="44"/>
      <c r="BF1910" s="45"/>
      <c r="BG1910" s="12"/>
      <c r="BH1910" s="12"/>
      <c r="BI1910" s="12"/>
      <c r="BJ1910" s="12"/>
      <c r="BK1910" s="44"/>
      <c r="BL1910" s="45"/>
      <c r="BM1910" s="12"/>
      <c r="BN1910" s="12"/>
      <c r="BO1910" s="12"/>
      <c r="BP1910" s="12"/>
      <c r="BQ1910" s="48"/>
      <c r="BR1910" s="49"/>
      <c r="BS1910" s="13"/>
      <c r="BT1910" s="12"/>
      <c r="BV1910" s="14"/>
      <c r="BW1910" s="50"/>
      <c r="BX1910" s="54"/>
      <c r="BY1910" s="14"/>
      <c r="BZ1910" s="14"/>
      <c r="CA1910" s="14"/>
      <c r="CB1910" s="14"/>
      <c r="CC1910" s="14"/>
      <c r="CD1910" s="14"/>
      <c r="CE1910" s="14"/>
      <c r="CF1910" s="15"/>
      <c r="CG1910" s="14"/>
      <c r="CH1910" s="14"/>
      <c r="CI1910" s="50"/>
      <c r="CJ1910" s="54"/>
      <c r="CK1910" s="14"/>
      <c r="CL1910" s="14"/>
      <c r="CM1910" s="14"/>
      <c r="CN1910" s="14"/>
      <c r="CO1910" s="14"/>
      <c r="CP1910" s="14"/>
      <c r="CQ1910" s="14"/>
      <c r="CR1910" s="14"/>
      <c r="CS1910" s="14"/>
      <c r="CT1910" s="14"/>
      <c r="CU1910" s="16"/>
      <c r="CV1910" s="14"/>
      <c r="CW1910" s="50"/>
      <c r="CX1910" s="17"/>
    </row>
    <row r="1911" spans="4:102" x14ac:dyDescent="0.25">
      <c r="D1911" s="11"/>
      <c r="E1911" s="11"/>
      <c r="F1911" s="11"/>
      <c r="G1911" s="11"/>
      <c r="H1911" s="11"/>
      <c r="I1911" s="11"/>
      <c r="J1911" s="11"/>
      <c r="K1911" s="11"/>
      <c r="L1911" s="11"/>
      <c r="M1911" s="11"/>
      <c r="N1911" s="11"/>
      <c r="O1911" s="11"/>
      <c r="P1911" s="43"/>
      <c r="Q1911" s="11"/>
      <c r="R1911" s="11"/>
      <c r="S1911" s="11"/>
      <c r="T1911" s="11"/>
      <c r="U1911" s="11"/>
      <c r="V1911" s="11"/>
      <c r="W1911" s="11"/>
      <c r="X1911" s="12"/>
      <c r="Y1911" s="12"/>
      <c r="Z1911" s="12"/>
      <c r="AA1911" s="44"/>
      <c r="AB1911" s="45"/>
      <c r="AC1911" s="12"/>
      <c r="AD1911" s="12"/>
      <c r="AE1911" s="12"/>
      <c r="AF1911" s="12"/>
      <c r="AG1911" s="44"/>
      <c r="AH1911" s="45"/>
      <c r="AI1911" s="12"/>
      <c r="AJ1911" s="12"/>
      <c r="AK1911" s="12"/>
      <c r="AL1911" s="12"/>
      <c r="AM1911" s="44"/>
      <c r="AN1911" s="45"/>
      <c r="AO1911" s="12"/>
      <c r="AP1911" s="12"/>
      <c r="AQ1911" s="12"/>
      <c r="AR1911" s="12"/>
      <c r="AS1911" s="44"/>
      <c r="AT1911" s="45"/>
      <c r="AU1911" s="12"/>
      <c r="AV1911" s="12"/>
      <c r="AW1911" s="12"/>
      <c r="AX1911" s="12"/>
      <c r="AY1911" s="44"/>
      <c r="AZ1911" s="45"/>
      <c r="BA1911" s="12"/>
      <c r="BB1911" s="12"/>
      <c r="BC1911" s="12"/>
      <c r="BD1911" s="12"/>
      <c r="BE1911" s="44"/>
      <c r="BF1911" s="45"/>
      <c r="BG1911" s="12"/>
      <c r="BH1911" s="12"/>
      <c r="BI1911" s="12"/>
      <c r="BJ1911" s="12"/>
      <c r="BK1911" s="44"/>
      <c r="BL1911" s="45"/>
      <c r="BM1911" s="12"/>
      <c r="BN1911" s="12"/>
      <c r="BO1911" s="12"/>
      <c r="BP1911" s="12"/>
      <c r="BQ1911" s="48"/>
      <c r="BR1911" s="49"/>
      <c r="BS1911" s="13"/>
      <c r="BT1911" s="12"/>
      <c r="BV1911" s="14"/>
      <c r="BW1911" s="50"/>
      <c r="BX1911" s="54"/>
      <c r="BY1911" s="14"/>
      <c r="BZ1911" s="14"/>
      <c r="CA1911" s="14"/>
      <c r="CB1911" s="14"/>
      <c r="CC1911" s="14"/>
      <c r="CD1911" s="14"/>
      <c r="CE1911" s="14"/>
      <c r="CF1911" s="15"/>
      <c r="CG1911" s="14"/>
      <c r="CH1911" s="14"/>
      <c r="CI1911" s="50"/>
      <c r="CJ1911" s="54"/>
      <c r="CK1911" s="14"/>
      <c r="CL1911" s="14"/>
      <c r="CM1911" s="14"/>
      <c r="CN1911" s="14"/>
      <c r="CO1911" s="14"/>
      <c r="CP1911" s="14"/>
      <c r="CQ1911" s="14"/>
      <c r="CR1911" s="14"/>
      <c r="CS1911" s="14"/>
      <c r="CT1911" s="14"/>
      <c r="CU1911" s="16"/>
      <c r="CV1911" s="14"/>
      <c r="CW1911" s="50"/>
      <c r="CX1911" s="17"/>
    </row>
    <row r="1912" spans="4:102" x14ac:dyDescent="0.25">
      <c r="D1912" s="11"/>
      <c r="E1912" s="11"/>
      <c r="F1912" s="11"/>
      <c r="G1912" s="11"/>
      <c r="H1912" s="11"/>
      <c r="I1912" s="11"/>
      <c r="J1912" s="11"/>
      <c r="K1912" s="11"/>
      <c r="L1912" s="11"/>
      <c r="M1912" s="11"/>
      <c r="N1912" s="11"/>
      <c r="O1912" s="11"/>
      <c r="P1912" s="43"/>
      <c r="Q1912" s="11"/>
      <c r="R1912" s="11"/>
      <c r="S1912" s="11"/>
      <c r="T1912" s="11"/>
      <c r="U1912" s="11"/>
      <c r="V1912" s="11"/>
      <c r="W1912" s="11"/>
      <c r="X1912" s="12"/>
      <c r="Y1912" s="12"/>
      <c r="Z1912" s="12"/>
      <c r="AA1912" s="44"/>
      <c r="AB1912" s="45"/>
      <c r="AC1912" s="12"/>
      <c r="AD1912" s="12"/>
      <c r="AE1912" s="12"/>
      <c r="AF1912" s="12"/>
      <c r="AG1912" s="44"/>
      <c r="AH1912" s="45"/>
      <c r="AI1912" s="12"/>
      <c r="AJ1912" s="12"/>
      <c r="AK1912" s="12"/>
      <c r="AL1912" s="12"/>
      <c r="AM1912" s="44"/>
      <c r="AN1912" s="45"/>
      <c r="AO1912" s="12"/>
      <c r="AP1912" s="12"/>
      <c r="AQ1912" s="12"/>
      <c r="AR1912" s="12"/>
      <c r="AS1912" s="44"/>
      <c r="AT1912" s="45"/>
      <c r="AU1912" s="12"/>
      <c r="AV1912" s="12"/>
      <c r="AW1912" s="12"/>
      <c r="AX1912" s="12"/>
      <c r="AY1912" s="44"/>
      <c r="AZ1912" s="45"/>
      <c r="BA1912" s="12"/>
      <c r="BB1912" s="12"/>
      <c r="BC1912" s="12"/>
      <c r="BD1912" s="12"/>
      <c r="BE1912" s="44"/>
      <c r="BF1912" s="45"/>
      <c r="BG1912" s="12"/>
      <c r="BH1912" s="12"/>
      <c r="BI1912" s="12"/>
      <c r="BJ1912" s="12"/>
      <c r="BK1912" s="44"/>
      <c r="BL1912" s="45"/>
      <c r="BM1912" s="12"/>
      <c r="BN1912" s="12"/>
      <c r="BO1912" s="12"/>
      <c r="BP1912" s="12"/>
      <c r="BQ1912" s="48"/>
      <c r="BR1912" s="49"/>
      <c r="BS1912" s="13"/>
      <c r="BT1912" s="12"/>
      <c r="BV1912" s="14"/>
      <c r="BW1912" s="50"/>
      <c r="BX1912" s="54"/>
      <c r="BY1912" s="14"/>
      <c r="BZ1912" s="14"/>
      <c r="CA1912" s="14"/>
      <c r="CB1912" s="14"/>
      <c r="CC1912" s="14"/>
      <c r="CD1912" s="14"/>
      <c r="CE1912" s="14"/>
      <c r="CF1912" s="15"/>
      <c r="CG1912" s="14"/>
      <c r="CH1912" s="14"/>
      <c r="CI1912" s="50"/>
      <c r="CJ1912" s="54"/>
      <c r="CK1912" s="14"/>
      <c r="CL1912" s="14"/>
      <c r="CM1912" s="14"/>
      <c r="CN1912" s="14"/>
      <c r="CO1912" s="14"/>
      <c r="CP1912" s="14"/>
      <c r="CQ1912" s="14"/>
      <c r="CR1912" s="14"/>
      <c r="CS1912" s="14"/>
      <c r="CT1912" s="14"/>
      <c r="CU1912" s="16"/>
      <c r="CV1912" s="14"/>
      <c r="CW1912" s="50"/>
      <c r="CX1912" s="17"/>
    </row>
    <row r="1913" spans="4:102" x14ac:dyDescent="0.25">
      <c r="D1913" s="11"/>
      <c r="E1913" s="11"/>
      <c r="F1913" s="11"/>
      <c r="G1913" s="11"/>
      <c r="H1913" s="11"/>
      <c r="I1913" s="11"/>
      <c r="J1913" s="11"/>
      <c r="K1913" s="11"/>
      <c r="L1913" s="11"/>
      <c r="M1913" s="11"/>
      <c r="N1913" s="11"/>
      <c r="O1913" s="11"/>
      <c r="P1913" s="43"/>
      <c r="Q1913" s="11"/>
      <c r="R1913" s="11"/>
      <c r="S1913" s="11"/>
      <c r="T1913" s="11"/>
      <c r="U1913" s="11"/>
      <c r="V1913" s="11"/>
      <c r="W1913" s="11"/>
      <c r="X1913" s="12"/>
      <c r="Y1913" s="12"/>
      <c r="Z1913" s="12"/>
      <c r="AA1913" s="44"/>
      <c r="AB1913" s="45"/>
      <c r="AC1913" s="12"/>
      <c r="AD1913" s="12"/>
      <c r="AE1913" s="12"/>
      <c r="AF1913" s="12"/>
      <c r="AG1913" s="44"/>
      <c r="AH1913" s="45"/>
      <c r="AI1913" s="12"/>
      <c r="AJ1913" s="12"/>
      <c r="AK1913" s="12"/>
      <c r="AL1913" s="12"/>
      <c r="AM1913" s="44"/>
      <c r="AN1913" s="45"/>
      <c r="AO1913" s="12"/>
      <c r="AP1913" s="12"/>
      <c r="AQ1913" s="12"/>
      <c r="AR1913" s="12"/>
      <c r="AS1913" s="44"/>
      <c r="AT1913" s="45"/>
      <c r="AU1913" s="12"/>
      <c r="AV1913" s="12"/>
      <c r="AW1913" s="12"/>
      <c r="AX1913" s="12"/>
      <c r="AY1913" s="44"/>
      <c r="AZ1913" s="45"/>
      <c r="BA1913" s="12"/>
      <c r="BB1913" s="12"/>
      <c r="BC1913" s="12"/>
      <c r="BD1913" s="12"/>
      <c r="BE1913" s="44"/>
      <c r="BF1913" s="45"/>
      <c r="BG1913" s="12"/>
      <c r="BH1913" s="12"/>
      <c r="BI1913" s="12"/>
      <c r="BJ1913" s="12"/>
      <c r="BK1913" s="44"/>
      <c r="BL1913" s="45"/>
      <c r="BM1913" s="12"/>
      <c r="BN1913" s="12"/>
      <c r="BO1913" s="12"/>
      <c r="BP1913" s="12"/>
      <c r="BQ1913" s="48"/>
      <c r="BR1913" s="49"/>
      <c r="BS1913" s="13"/>
      <c r="BT1913" s="12"/>
      <c r="BV1913" s="14"/>
      <c r="BW1913" s="50"/>
      <c r="BX1913" s="54"/>
      <c r="BY1913" s="14"/>
      <c r="BZ1913" s="14"/>
      <c r="CA1913" s="14"/>
      <c r="CB1913" s="14"/>
      <c r="CC1913" s="14"/>
      <c r="CD1913" s="14"/>
      <c r="CE1913" s="14"/>
      <c r="CF1913" s="15"/>
      <c r="CG1913" s="14"/>
      <c r="CH1913" s="14"/>
      <c r="CI1913" s="50"/>
      <c r="CJ1913" s="54"/>
      <c r="CK1913" s="14"/>
      <c r="CL1913" s="14"/>
      <c r="CM1913" s="14"/>
      <c r="CN1913" s="14"/>
      <c r="CO1913" s="14"/>
      <c r="CP1913" s="14"/>
      <c r="CQ1913" s="14"/>
      <c r="CR1913" s="14"/>
      <c r="CS1913" s="14"/>
      <c r="CT1913" s="14"/>
      <c r="CU1913" s="16"/>
      <c r="CV1913" s="14"/>
      <c r="CW1913" s="50"/>
      <c r="CX1913" s="17"/>
    </row>
    <row r="1914" spans="4:102" x14ac:dyDescent="0.25">
      <c r="D1914" s="11"/>
      <c r="E1914" s="11"/>
      <c r="F1914" s="11"/>
      <c r="G1914" s="11"/>
      <c r="H1914" s="11"/>
      <c r="I1914" s="11"/>
      <c r="J1914" s="11"/>
      <c r="K1914" s="11"/>
      <c r="L1914" s="11"/>
      <c r="M1914" s="11"/>
      <c r="N1914" s="11"/>
      <c r="O1914" s="11"/>
      <c r="P1914" s="43"/>
      <c r="Q1914" s="11"/>
      <c r="R1914" s="11"/>
      <c r="S1914" s="11"/>
      <c r="T1914" s="11"/>
      <c r="U1914" s="11"/>
      <c r="V1914" s="11"/>
      <c r="W1914" s="11"/>
      <c r="X1914" s="12"/>
      <c r="Y1914" s="12"/>
      <c r="Z1914" s="12"/>
      <c r="AA1914" s="44"/>
      <c r="AB1914" s="45"/>
      <c r="AC1914" s="12"/>
      <c r="AD1914" s="12"/>
      <c r="AE1914" s="12"/>
      <c r="AF1914" s="12"/>
      <c r="AG1914" s="44"/>
      <c r="AH1914" s="45"/>
      <c r="AI1914" s="12"/>
      <c r="AJ1914" s="12"/>
      <c r="AK1914" s="12"/>
      <c r="AL1914" s="12"/>
      <c r="AM1914" s="44"/>
      <c r="AN1914" s="45"/>
      <c r="AO1914" s="12"/>
      <c r="AP1914" s="12"/>
      <c r="AQ1914" s="12"/>
      <c r="AR1914" s="12"/>
      <c r="AS1914" s="44"/>
      <c r="AT1914" s="45"/>
      <c r="AU1914" s="12"/>
      <c r="AV1914" s="12"/>
      <c r="AW1914" s="12"/>
      <c r="AX1914" s="12"/>
      <c r="AY1914" s="44"/>
      <c r="AZ1914" s="45"/>
      <c r="BA1914" s="12"/>
      <c r="BB1914" s="12"/>
      <c r="BC1914" s="12"/>
      <c r="BD1914" s="12"/>
      <c r="BE1914" s="44"/>
      <c r="BF1914" s="45"/>
      <c r="BG1914" s="12"/>
      <c r="BH1914" s="12"/>
      <c r="BI1914" s="12"/>
      <c r="BJ1914" s="12"/>
      <c r="BK1914" s="44"/>
      <c r="BL1914" s="45"/>
      <c r="BM1914" s="12"/>
      <c r="BN1914" s="12"/>
      <c r="BO1914" s="12"/>
      <c r="BP1914" s="12"/>
      <c r="BQ1914" s="48"/>
      <c r="BR1914" s="49"/>
      <c r="BS1914" s="13"/>
      <c r="BT1914" s="12"/>
      <c r="BV1914" s="14"/>
      <c r="BW1914" s="50"/>
      <c r="BX1914" s="54"/>
      <c r="BY1914" s="14"/>
      <c r="BZ1914" s="14"/>
      <c r="CA1914" s="14"/>
      <c r="CB1914" s="14"/>
      <c r="CC1914" s="14"/>
      <c r="CD1914" s="14"/>
      <c r="CE1914" s="14"/>
      <c r="CF1914" s="15"/>
      <c r="CG1914" s="14"/>
      <c r="CH1914" s="14"/>
      <c r="CI1914" s="50"/>
      <c r="CJ1914" s="54"/>
      <c r="CK1914" s="14"/>
      <c r="CL1914" s="14"/>
      <c r="CM1914" s="14"/>
      <c r="CN1914" s="14"/>
      <c r="CO1914" s="14"/>
      <c r="CP1914" s="14"/>
      <c r="CQ1914" s="14"/>
      <c r="CR1914" s="14"/>
      <c r="CS1914" s="14"/>
      <c r="CT1914" s="14"/>
      <c r="CU1914" s="16"/>
      <c r="CV1914" s="14"/>
      <c r="CW1914" s="50"/>
      <c r="CX1914" s="17"/>
    </row>
    <row r="1915" spans="4:102" x14ac:dyDescent="0.25">
      <c r="D1915" s="11"/>
      <c r="E1915" s="11"/>
      <c r="F1915" s="11"/>
      <c r="G1915" s="11"/>
      <c r="H1915" s="11"/>
      <c r="I1915" s="11"/>
      <c r="J1915" s="11"/>
      <c r="K1915" s="11"/>
      <c r="L1915" s="11"/>
      <c r="M1915" s="11"/>
      <c r="N1915" s="11"/>
      <c r="O1915" s="11"/>
      <c r="P1915" s="43"/>
      <c r="Q1915" s="11"/>
      <c r="R1915" s="11"/>
      <c r="S1915" s="11"/>
      <c r="T1915" s="11"/>
      <c r="U1915" s="11"/>
      <c r="V1915" s="11"/>
      <c r="W1915" s="11"/>
      <c r="X1915" s="12"/>
      <c r="Y1915" s="12"/>
      <c r="Z1915" s="12"/>
      <c r="AA1915" s="44"/>
      <c r="AB1915" s="45"/>
      <c r="AC1915" s="12"/>
      <c r="AD1915" s="12"/>
      <c r="AE1915" s="12"/>
      <c r="AF1915" s="12"/>
      <c r="AG1915" s="44"/>
      <c r="AH1915" s="45"/>
      <c r="AI1915" s="12"/>
      <c r="AJ1915" s="12"/>
      <c r="AK1915" s="12"/>
      <c r="AL1915" s="12"/>
      <c r="AM1915" s="44"/>
      <c r="AN1915" s="45"/>
      <c r="AO1915" s="12"/>
      <c r="AP1915" s="12"/>
      <c r="AQ1915" s="12"/>
      <c r="AR1915" s="12"/>
      <c r="AS1915" s="44"/>
      <c r="AT1915" s="45"/>
      <c r="AU1915" s="12"/>
      <c r="AV1915" s="12"/>
      <c r="AW1915" s="12"/>
      <c r="AX1915" s="12"/>
      <c r="AY1915" s="44"/>
      <c r="AZ1915" s="45"/>
      <c r="BA1915" s="12"/>
      <c r="BB1915" s="12"/>
      <c r="BC1915" s="12"/>
      <c r="BD1915" s="12"/>
      <c r="BE1915" s="44"/>
      <c r="BF1915" s="45"/>
      <c r="BG1915" s="12"/>
      <c r="BH1915" s="12"/>
      <c r="BI1915" s="12"/>
      <c r="BJ1915" s="12"/>
      <c r="BK1915" s="44"/>
      <c r="BL1915" s="45"/>
      <c r="BM1915" s="12"/>
      <c r="BN1915" s="12"/>
      <c r="BO1915" s="12"/>
      <c r="BP1915" s="12"/>
      <c r="BQ1915" s="48"/>
      <c r="BR1915" s="49"/>
      <c r="BS1915" s="13"/>
      <c r="BT1915" s="12"/>
      <c r="BV1915" s="14"/>
      <c r="BW1915" s="50"/>
      <c r="BX1915" s="54"/>
      <c r="BY1915" s="14"/>
      <c r="BZ1915" s="14"/>
      <c r="CA1915" s="14"/>
      <c r="CB1915" s="14"/>
      <c r="CC1915" s="14"/>
      <c r="CD1915" s="14"/>
      <c r="CE1915" s="14"/>
      <c r="CF1915" s="15"/>
      <c r="CG1915" s="14"/>
      <c r="CH1915" s="14"/>
      <c r="CI1915" s="50"/>
      <c r="CJ1915" s="54"/>
      <c r="CK1915" s="14"/>
      <c r="CL1915" s="14"/>
      <c r="CM1915" s="14"/>
      <c r="CN1915" s="14"/>
      <c r="CO1915" s="14"/>
      <c r="CP1915" s="14"/>
      <c r="CQ1915" s="14"/>
      <c r="CR1915" s="14"/>
      <c r="CS1915" s="14"/>
      <c r="CT1915" s="14"/>
      <c r="CU1915" s="16"/>
      <c r="CV1915" s="14"/>
      <c r="CW1915" s="50"/>
      <c r="CX1915" s="17"/>
    </row>
    <row r="1916" spans="4:102" x14ac:dyDescent="0.25">
      <c r="D1916" s="11"/>
      <c r="E1916" s="11"/>
      <c r="F1916" s="11"/>
      <c r="G1916" s="11"/>
      <c r="H1916" s="11"/>
      <c r="I1916" s="11"/>
      <c r="J1916" s="11"/>
      <c r="K1916" s="11"/>
      <c r="L1916" s="11"/>
      <c r="M1916" s="11"/>
      <c r="N1916" s="11"/>
      <c r="O1916" s="11"/>
      <c r="P1916" s="43"/>
      <c r="Q1916" s="11"/>
      <c r="R1916" s="11"/>
      <c r="S1916" s="11"/>
      <c r="T1916" s="11"/>
      <c r="U1916" s="11"/>
      <c r="V1916" s="11"/>
      <c r="W1916" s="11"/>
      <c r="X1916" s="12"/>
      <c r="Y1916" s="12"/>
      <c r="Z1916" s="12"/>
      <c r="AA1916" s="44"/>
      <c r="AB1916" s="45"/>
      <c r="AC1916" s="12"/>
      <c r="AD1916" s="12"/>
      <c r="AE1916" s="12"/>
      <c r="AF1916" s="12"/>
      <c r="AG1916" s="44"/>
      <c r="AH1916" s="45"/>
      <c r="AI1916" s="12"/>
      <c r="AJ1916" s="12"/>
      <c r="AK1916" s="12"/>
      <c r="AL1916" s="12"/>
      <c r="AM1916" s="44"/>
      <c r="AN1916" s="45"/>
      <c r="AO1916" s="12"/>
      <c r="AP1916" s="12"/>
      <c r="AQ1916" s="12"/>
      <c r="AR1916" s="12"/>
      <c r="AS1916" s="44"/>
      <c r="AT1916" s="45"/>
      <c r="AU1916" s="12"/>
      <c r="AV1916" s="12"/>
      <c r="AW1916" s="12"/>
      <c r="AX1916" s="12"/>
      <c r="AY1916" s="44"/>
      <c r="AZ1916" s="45"/>
      <c r="BA1916" s="12"/>
      <c r="BB1916" s="12"/>
      <c r="BC1916" s="12"/>
      <c r="BD1916" s="12"/>
      <c r="BE1916" s="44"/>
      <c r="BF1916" s="45"/>
      <c r="BG1916" s="12"/>
      <c r="BH1916" s="12"/>
      <c r="BI1916" s="12"/>
      <c r="BJ1916" s="12"/>
      <c r="BK1916" s="44"/>
      <c r="BL1916" s="45"/>
      <c r="BM1916" s="12"/>
      <c r="BN1916" s="12"/>
      <c r="BO1916" s="12"/>
      <c r="BP1916" s="12"/>
      <c r="BQ1916" s="48"/>
      <c r="BR1916" s="49"/>
      <c r="BS1916" s="13"/>
      <c r="BT1916" s="12"/>
      <c r="BV1916" s="14"/>
      <c r="BW1916" s="50"/>
      <c r="BX1916" s="54"/>
      <c r="BY1916" s="14"/>
      <c r="BZ1916" s="14"/>
      <c r="CA1916" s="14"/>
      <c r="CB1916" s="14"/>
      <c r="CC1916" s="14"/>
      <c r="CD1916" s="14"/>
      <c r="CE1916" s="14"/>
      <c r="CF1916" s="15"/>
      <c r="CG1916" s="14"/>
      <c r="CH1916" s="14"/>
      <c r="CI1916" s="50"/>
      <c r="CJ1916" s="54"/>
      <c r="CK1916" s="14"/>
      <c r="CL1916" s="14"/>
      <c r="CM1916" s="14"/>
      <c r="CN1916" s="14"/>
      <c r="CO1916" s="14"/>
      <c r="CP1916" s="14"/>
      <c r="CQ1916" s="14"/>
      <c r="CR1916" s="14"/>
      <c r="CS1916" s="14"/>
      <c r="CT1916" s="14"/>
      <c r="CU1916" s="16"/>
      <c r="CV1916" s="14"/>
      <c r="CW1916" s="50"/>
      <c r="CX1916" s="17"/>
    </row>
    <row r="1917" spans="4:102" x14ac:dyDescent="0.25">
      <c r="D1917" s="11"/>
      <c r="E1917" s="11"/>
      <c r="F1917" s="11"/>
      <c r="G1917" s="11"/>
      <c r="H1917" s="11"/>
      <c r="I1917" s="11"/>
      <c r="J1917" s="11"/>
      <c r="K1917" s="11"/>
      <c r="L1917" s="11"/>
      <c r="M1917" s="11"/>
      <c r="N1917" s="11"/>
      <c r="O1917" s="11"/>
      <c r="P1917" s="43"/>
      <c r="Q1917" s="11"/>
      <c r="R1917" s="11"/>
      <c r="S1917" s="11"/>
      <c r="T1917" s="11"/>
      <c r="U1917" s="11"/>
      <c r="V1917" s="11"/>
      <c r="W1917" s="11"/>
      <c r="X1917" s="12"/>
      <c r="Y1917" s="12"/>
      <c r="Z1917" s="12"/>
      <c r="AA1917" s="44"/>
      <c r="AB1917" s="45"/>
      <c r="AC1917" s="12"/>
      <c r="AD1917" s="12"/>
      <c r="AE1917" s="12"/>
      <c r="AF1917" s="12"/>
      <c r="AG1917" s="44"/>
      <c r="AH1917" s="45"/>
      <c r="AI1917" s="12"/>
      <c r="AJ1917" s="12"/>
      <c r="AK1917" s="12"/>
      <c r="AL1917" s="12"/>
      <c r="AM1917" s="44"/>
      <c r="AN1917" s="45"/>
      <c r="AO1917" s="12"/>
      <c r="AP1917" s="12"/>
      <c r="AQ1917" s="12"/>
      <c r="AR1917" s="12"/>
      <c r="AS1917" s="44"/>
      <c r="AT1917" s="45"/>
      <c r="AU1917" s="12"/>
      <c r="AV1917" s="12"/>
      <c r="AW1917" s="12"/>
      <c r="AX1917" s="12"/>
      <c r="AY1917" s="44"/>
      <c r="AZ1917" s="45"/>
      <c r="BA1917" s="12"/>
      <c r="BB1917" s="12"/>
      <c r="BC1917" s="12"/>
      <c r="BD1917" s="12"/>
      <c r="BE1917" s="44"/>
      <c r="BF1917" s="45"/>
      <c r="BG1917" s="12"/>
      <c r="BH1917" s="12"/>
      <c r="BI1917" s="12"/>
      <c r="BJ1917" s="12"/>
      <c r="BK1917" s="44"/>
      <c r="BL1917" s="45"/>
      <c r="BM1917" s="12"/>
      <c r="BN1917" s="12"/>
      <c r="BO1917" s="12"/>
      <c r="BP1917" s="12"/>
      <c r="BQ1917" s="48"/>
      <c r="BR1917" s="49"/>
      <c r="BS1917" s="13"/>
      <c r="BT1917" s="12"/>
      <c r="BV1917" s="14"/>
      <c r="BW1917" s="50"/>
      <c r="BX1917" s="54"/>
      <c r="BY1917" s="14"/>
      <c r="BZ1917" s="14"/>
      <c r="CA1917" s="14"/>
      <c r="CB1917" s="14"/>
      <c r="CC1917" s="14"/>
      <c r="CD1917" s="14"/>
      <c r="CE1917" s="14"/>
      <c r="CF1917" s="15"/>
      <c r="CG1917" s="14"/>
      <c r="CH1917" s="14"/>
      <c r="CI1917" s="50"/>
      <c r="CJ1917" s="54"/>
      <c r="CK1917" s="14"/>
      <c r="CL1917" s="14"/>
      <c r="CM1917" s="14"/>
      <c r="CN1917" s="14"/>
      <c r="CO1917" s="14"/>
      <c r="CP1917" s="14"/>
      <c r="CQ1917" s="14"/>
      <c r="CR1917" s="14"/>
      <c r="CS1917" s="14"/>
      <c r="CT1917" s="14"/>
      <c r="CU1917" s="16"/>
      <c r="CV1917" s="14"/>
      <c r="CW1917" s="50"/>
      <c r="CX1917" s="17"/>
    </row>
    <row r="1918" spans="4:102" x14ac:dyDescent="0.25">
      <c r="D1918" s="11"/>
      <c r="E1918" s="11"/>
      <c r="F1918" s="11"/>
      <c r="G1918" s="11"/>
      <c r="H1918" s="11"/>
      <c r="I1918" s="11"/>
      <c r="J1918" s="11"/>
      <c r="K1918" s="11"/>
      <c r="L1918" s="11"/>
      <c r="M1918" s="11"/>
      <c r="N1918" s="11"/>
      <c r="O1918" s="11"/>
      <c r="P1918" s="43"/>
      <c r="Q1918" s="11"/>
      <c r="R1918" s="11"/>
      <c r="S1918" s="11"/>
      <c r="T1918" s="11"/>
      <c r="U1918" s="11"/>
      <c r="V1918" s="11"/>
      <c r="W1918" s="11"/>
      <c r="X1918" s="12"/>
      <c r="Y1918" s="12"/>
      <c r="Z1918" s="12"/>
      <c r="AA1918" s="44"/>
      <c r="AB1918" s="45"/>
      <c r="AC1918" s="12"/>
      <c r="AD1918" s="12"/>
      <c r="AE1918" s="12"/>
      <c r="AF1918" s="12"/>
      <c r="AG1918" s="44"/>
      <c r="AH1918" s="45"/>
      <c r="AI1918" s="12"/>
      <c r="AJ1918" s="12"/>
      <c r="AK1918" s="12"/>
      <c r="AL1918" s="12"/>
      <c r="AM1918" s="44"/>
      <c r="AN1918" s="45"/>
      <c r="AO1918" s="12"/>
      <c r="AP1918" s="12"/>
      <c r="AQ1918" s="12"/>
      <c r="AR1918" s="12"/>
      <c r="AS1918" s="44"/>
      <c r="AT1918" s="45"/>
      <c r="AU1918" s="12"/>
      <c r="AV1918" s="12"/>
      <c r="AW1918" s="12"/>
      <c r="AX1918" s="12"/>
      <c r="AY1918" s="44"/>
      <c r="AZ1918" s="45"/>
      <c r="BA1918" s="12"/>
      <c r="BB1918" s="12"/>
      <c r="BC1918" s="12"/>
      <c r="BD1918" s="12"/>
      <c r="BE1918" s="44"/>
      <c r="BF1918" s="45"/>
      <c r="BG1918" s="12"/>
      <c r="BH1918" s="12"/>
      <c r="BI1918" s="12"/>
      <c r="BJ1918" s="12"/>
      <c r="BK1918" s="44"/>
      <c r="BL1918" s="45"/>
      <c r="BM1918" s="12"/>
      <c r="BN1918" s="12"/>
      <c r="BO1918" s="12"/>
      <c r="BP1918" s="12"/>
      <c r="BQ1918" s="48"/>
      <c r="BR1918" s="49"/>
      <c r="BS1918" s="13"/>
      <c r="BT1918" s="12"/>
      <c r="BV1918" s="14"/>
      <c r="BW1918" s="50"/>
      <c r="BX1918" s="54"/>
      <c r="BY1918" s="14"/>
      <c r="BZ1918" s="14"/>
      <c r="CA1918" s="14"/>
      <c r="CB1918" s="14"/>
      <c r="CC1918" s="14"/>
      <c r="CD1918" s="14"/>
      <c r="CE1918" s="14"/>
      <c r="CF1918" s="15"/>
      <c r="CG1918" s="14"/>
      <c r="CH1918" s="14"/>
      <c r="CI1918" s="50"/>
      <c r="CJ1918" s="54"/>
      <c r="CK1918" s="14"/>
      <c r="CL1918" s="14"/>
      <c r="CM1918" s="14"/>
      <c r="CN1918" s="14"/>
      <c r="CO1918" s="14"/>
      <c r="CP1918" s="14"/>
      <c r="CQ1918" s="14"/>
      <c r="CR1918" s="14"/>
      <c r="CS1918" s="14"/>
      <c r="CT1918" s="14"/>
      <c r="CU1918" s="16"/>
      <c r="CV1918" s="14"/>
      <c r="CW1918" s="50"/>
      <c r="CX1918" s="17"/>
    </row>
    <row r="1919" spans="4:102" x14ac:dyDescent="0.25">
      <c r="D1919" s="11"/>
      <c r="E1919" s="11"/>
      <c r="F1919" s="11"/>
      <c r="G1919" s="11"/>
      <c r="H1919" s="11"/>
      <c r="I1919" s="11"/>
      <c r="J1919" s="11"/>
      <c r="K1919" s="11"/>
      <c r="L1919" s="11"/>
      <c r="M1919" s="11"/>
      <c r="N1919" s="11"/>
      <c r="O1919" s="11"/>
      <c r="P1919" s="43"/>
      <c r="Q1919" s="11"/>
      <c r="R1919" s="11"/>
      <c r="S1919" s="11"/>
      <c r="T1919" s="11"/>
      <c r="U1919" s="11"/>
      <c r="V1919" s="11"/>
      <c r="W1919" s="11"/>
      <c r="X1919" s="12"/>
      <c r="Y1919" s="12"/>
      <c r="Z1919" s="12"/>
      <c r="AA1919" s="44"/>
      <c r="AB1919" s="45"/>
      <c r="AC1919" s="12"/>
      <c r="AD1919" s="12"/>
      <c r="AE1919" s="12"/>
      <c r="AF1919" s="12"/>
      <c r="AG1919" s="44"/>
      <c r="AH1919" s="45"/>
      <c r="AI1919" s="12"/>
      <c r="AJ1919" s="12"/>
      <c r="AK1919" s="12"/>
      <c r="AL1919" s="12"/>
      <c r="AM1919" s="44"/>
      <c r="AN1919" s="45"/>
      <c r="AO1919" s="12"/>
      <c r="AP1919" s="12"/>
      <c r="AQ1919" s="12"/>
      <c r="AR1919" s="12"/>
      <c r="AS1919" s="44"/>
      <c r="AT1919" s="45"/>
      <c r="AU1919" s="12"/>
      <c r="AV1919" s="12"/>
      <c r="AW1919" s="12"/>
      <c r="AX1919" s="12"/>
      <c r="AY1919" s="44"/>
      <c r="AZ1919" s="45"/>
      <c r="BA1919" s="12"/>
      <c r="BB1919" s="12"/>
      <c r="BC1919" s="12"/>
      <c r="BD1919" s="12"/>
      <c r="BE1919" s="44"/>
      <c r="BF1919" s="45"/>
      <c r="BG1919" s="12"/>
      <c r="BH1919" s="12"/>
      <c r="BI1919" s="12"/>
      <c r="BJ1919" s="12"/>
      <c r="BK1919" s="44"/>
      <c r="BL1919" s="45"/>
      <c r="BM1919" s="12"/>
      <c r="BN1919" s="12"/>
      <c r="BO1919" s="12"/>
      <c r="BP1919" s="12"/>
      <c r="BQ1919" s="48"/>
      <c r="BR1919" s="49"/>
      <c r="BS1919" s="13"/>
      <c r="BT1919" s="12"/>
      <c r="BV1919" s="14"/>
      <c r="BW1919" s="50"/>
      <c r="BX1919" s="54"/>
      <c r="BY1919" s="14"/>
      <c r="BZ1919" s="14"/>
      <c r="CA1919" s="14"/>
      <c r="CB1919" s="14"/>
      <c r="CC1919" s="14"/>
      <c r="CD1919" s="14"/>
      <c r="CE1919" s="14"/>
      <c r="CF1919" s="15"/>
      <c r="CG1919" s="14"/>
      <c r="CH1919" s="14"/>
      <c r="CI1919" s="50"/>
      <c r="CJ1919" s="54"/>
      <c r="CK1919" s="14"/>
      <c r="CL1919" s="14"/>
      <c r="CM1919" s="14"/>
      <c r="CN1919" s="14"/>
      <c r="CO1919" s="14"/>
      <c r="CP1919" s="14"/>
      <c r="CQ1919" s="14"/>
      <c r="CR1919" s="14"/>
      <c r="CS1919" s="14"/>
      <c r="CT1919" s="14"/>
      <c r="CU1919" s="16"/>
      <c r="CV1919" s="14"/>
      <c r="CW1919" s="50"/>
      <c r="CX1919" s="17"/>
    </row>
    <row r="1920" spans="4:102" x14ac:dyDescent="0.25">
      <c r="D1920" s="11"/>
      <c r="E1920" s="11"/>
      <c r="F1920" s="11"/>
      <c r="G1920" s="11"/>
      <c r="H1920" s="11"/>
      <c r="I1920" s="11"/>
      <c r="J1920" s="11"/>
      <c r="K1920" s="11"/>
      <c r="L1920" s="11"/>
      <c r="M1920" s="11"/>
      <c r="N1920" s="11"/>
      <c r="O1920" s="11"/>
      <c r="P1920" s="43"/>
      <c r="Q1920" s="11"/>
      <c r="R1920" s="11"/>
      <c r="S1920" s="11"/>
      <c r="T1920" s="11"/>
      <c r="U1920" s="11"/>
      <c r="V1920" s="11"/>
      <c r="W1920" s="11"/>
      <c r="X1920" s="12"/>
      <c r="Y1920" s="12"/>
      <c r="Z1920" s="12"/>
      <c r="AA1920" s="44"/>
      <c r="AB1920" s="45"/>
      <c r="AC1920" s="12"/>
      <c r="AD1920" s="12"/>
      <c r="AE1920" s="12"/>
      <c r="AF1920" s="12"/>
      <c r="AG1920" s="44"/>
      <c r="AH1920" s="45"/>
      <c r="AI1920" s="12"/>
      <c r="AJ1920" s="12"/>
      <c r="AK1920" s="12"/>
      <c r="AL1920" s="12"/>
      <c r="AM1920" s="44"/>
      <c r="AN1920" s="45"/>
      <c r="AO1920" s="12"/>
      <c r="AP1920" s="12"/>
      <c r="AQ1920" s="12"/>
      <c r="AR1920" s="12"/>
      <c r="AS1920" s="44"/>
      <c r="AT1920" s="45"/>
      <c r="AU1920" s="12"/>
      <c r="AV1920" s="12"/>
      <c r="AW1920" s="12"/>
      <c r="AX1920" s="12"/>
      <c r="AY1920" s="44"/>
      <c r="AZ1920" s="45"/>
      <c r="BA1920" s="12"/>
      <c r="BB1920" s="12"/>
      <c r="BC1920" s="12"/>
      <c r="BD1920" s="12"/>
      <c r="BE1920" s="44"/>
      <c r="BF1920" s="45"/>
      <c r="BG1920" s="12"/>
      <c r="BH1920" s="12"/>
      <c r="BI1920" s="12"/>
      <c r="BJ1920" s="12"/>
      <c r="BK1920" s="44"/>
      <c r="BL1920" s="45"/>
      <c r="BM1920" s="12"/>
      <c r="BN1920" s="12"/>
      <c r="BO1920" s="12"/>
      <c r="BP1920" s="12"/>
      <c r="BQ1920" s="48"/>
      <c r="BR1920" s="49"/>
      <c r="BS1920" s="13"/>
      <c r="BT1920" s="12"/>
      <c r="BV1920" s="14"/>
      <c r="BW1920" s="50"/>
      <c r="BX1920" s="54"/>
      <c r="BY1920" s="14"/>
      <c r="BZ1920" s="14"/>
      <c r="CA1920" s="14"/>
      <c r="CB1920" s="14"/>
      <c r="CC1920" s="14"/>
      <c r="CD1920" s="14"/>
      <c r="CE1920" s="14"/>
      <c r="CF1920" s="15"/>
      <c r="CG1920" s="14"/>
      <c r="CH1920" s="14"/>
      <c r="CI1920" s="50"/>
      <c r="CJ1920" s="54"/>
      <c r="CK1920" s="14"/>
      <c r="CL1920" s="14"/>
      <c r="CM1920" s="14"/>
      <c r="CN1920" s="14"/>
      <c r="CO1920" s="14"/>
      <c r="CP1920" s="14"/>
      <c r="CQ1920" s="14"/>
      <c r="CR1920" s="14"/>
      <c r="CS1920" s="14"/>
      <c r="CT1920" s="14"/>
      <c r="CU1920" s="16"/>
      <c r="CV1920" s="14"/>
      <c r="CW1920" s="50"/>
      <c r="CX1920" s="17"/>
    </row>
    <row r="1921" spans="4:102" x14ac:dyDescent="0.25">
      <c r="D1921" s="11"/>
      <c r="E1921" s="11"/>
      <c r="F1921" s="11"/>
      <c r="G1921" s="11"/>
      <c r="H1921" s="11"/>
      <c r="I1921" s="11"/>
      <c r="J1921" s="11"/>
      <c r="K1921" s="11"/>
      <c r="L1921" s="11"/>
      <c r="M1921" s="11"/>
      <c r="N1921" s="11"/>
      <c r="O1921" s="11"/>
      <c r="P1921" s="43"/>
      <c r="Q1921" s="11"/>
      <c r="R1921" s="11"/>
      <c r="S1921" s="11"/>
      <c r="T1921" s="11"/>
      <c r="U1921" s="11"/>
      <c r="V1921" s="11"/>
      <c r="W1921" s="11"/>
      <c r="X1921" s="12"/>
      <c r="Y1921" s="12"/>
      <c r="Z1921" s="12"/>
      <c r="AA1921" s="44"/>
      <c r="AB1921" s="45"/>
      <c r="AC1921" s="12"/>
      <c r="AD1921" s="12"/>
      <c r="AE1921" s="12"/>
      <c r="AF1921" s="12"/>
      <c r="AG1921" s="44"/>
      <c r="AH1921" s="45"/>
      <c r="AI1921" s="12"/>
      <c r="AJ1921" s="12"/>
      <c r="AK1921" s="12"/>
      <c r="AL1921" s="12"/>
      <c r="AM1921" s="44"/>
      <c r="AN1921" s="45"/>
      <c r="AO1921" s="12"/>
      <c r="AP1921" s="12"/>
      <c r="AQ1921" s="12"/>
      <c r="AR1921" s="12"/>
      <c r="AS1921" s="44"/>
      <c r="AT1921" s="45"/>
      <c r="AU1921" s="12"/>
      <c r="AV1921" s="12"/>
      <c r="AW1921" s="12"/>
      <c r="AX1921" s="12"/>
      <c r="AY1921" s="44"/>
      <c r="AZ1921" s="45"/>
      <c r="BA1921" s="12"/>
      <c r="BB1921" s="12"/>
      <c r="BC1921" s="12"/>
      <c r="BD1921" s="12"/>
      <c r="BE1921" s="44"/>
      <c r="BF1921" s="45"/>
      <c r="BG1921" s="12"/>
      <c r="BH1921" s="12"/>
      <c r="BI1921" s="12"/>
      <c r="BJ1921" s="12"/>
      <c r="BK1921" s="44"/>
      <c r="BL1921" s="45"/>
      <c r="BM1921" s="12"/>
      <c r="BN1921" s="12"/>
      <c r="BO1921" s="12"/>
      <c r="BP1921" s="12"/>
      <c r="BQ1921" s="48"/>
      <c r="BR1921" s="49"/>
      <c r="BS1921" s="13"/>
      <c r="BT1921" s="12"/>
      <c r="BV1921" s="14"/>
      <c r="BW1921" s="50"/>
      <c r="BX1921" s="54"/>
      <c r="BY1921" s="14"/>
      <c r="BZ1921" s="14"/>
      <c r="CA1921" s="14"/>
      <c r="CB1921" s="14"/>
      <c r="CC1921" s="14"/>
      <c r="CD1921" s="14"/>
      <c r="CE1921" s="14"/>
      <c r="CF1921" s="15"/>
      <c r="CG1921" s="14"/>
      <c r="CH1921" s="14"/>
      <c r="CI1921" s="50"/>
      <c r="CJ1921" s="54"/>
      <c r="CK1921" s="14"/>
      <c r="CL1921" s="14"/>
      <c r="CM1921" s="14"/>
      <c r="CN1921" s="14"/>
      <c r="CO1921" s="14"/>
      <c r="CP1921" s="14"/>
      <c r="CQ1921" s="14"/>
      <c r="CR1921" s="14"/>
      <c r="CS1921" s="14"/>
      <c r="CT1921" s="14"/>
      <c r="CU1921" s="16"/>
      <c r="CV1921" s="14"/>
      <c r="CW1921" s="50"/>
      <c r="CX1921" s="17"/>
    </row>
    <row r="1922" spans="4:102" x14ac:dyDescent="0.25">
      <c r="D1922" s="11"/>
      <c r="E1922" s="11"/>
      <c r="F1922" s="11"/>
      <c r="G1922" s="11"/>
      <c r="H1922" s="11"/>
      <c r="I1922" s="11"/>
      <c r="J1922" s="11"/>
      <c r="K1922" s="11"/>
      <c r="L1922" s="11"/>
      <c r="M1922" s="11"/>
      <c r="N1922" s="11"/>
      <c r="O1922" s="11"/>
      <c r="P1922" s="43"/>
      <c r="Q1922" s="11"/>
      <c r="R1922" s="11"/>
      <c r="S1922" s="11"/>
      <c r="T1922" s="11"/>
      <c r="U1922" s="11"/>
      <c r="V1922" s="11"/>
      <c r="W1922" s="11"/>
      <c r="X1922" s="12"/>
      <c r="Y1922" s="12"/>
      <c r="Z1922" s="12"/>
      <c r="AA1922" s="44"/>
      <c r="AB1922" s="45"/>
      <c r="AC1922" s="12"/>
      <c r="AD1922" s="12"/>
      <c r="AE1922" s="12"/>
      <c r="AF1922" s="12"/>
      <c r="AG1922" s="44"/>
      <c r="AH1922" s="45"/>
      <c r="AI1922" s="12"/>
      <c r="AJ1922" s="12"/>
      <c r="AK1922" s="12"/>
      <c r="AL1922" s="12"/>
      <c r="AM1922" s="44"/>
      <c r="AN1922" s="45"/>
      <c r="AO1922" s="12"/>
      <c r="AP1922" s="12"/>
      <c r="AQ1922" s="12"/>
      <c r="AR1922" s="12"/>
      <c r="AS1922" s="44"/>
      <c r="AT1922" s="45"/>
      <c r="AU1922" s="12"/>
      <c r="AV1922" s="12"/>
      <c r="AW1922" s="12"/>
      <c r="AX1922" s="12"/>
      <c r="AY1922" s="44"/>
      <c r="AZ1922" s="45"/>
      <c r="BA1922" s="12"/>
      <c r="BB1922" s="12"/>
      <c r="BC1922" s="12"/>
      <c r="BD1922" s="12"/>
      <c r="BE1922" s="44"/>
      <c r="BF1922" s="45"/>
      <c r="BG1922" s="12"/>
      <c r="BH1922" s="12"/>
      <c r="BI1922" s="12"/>
      <c r="BJ1922" s="12"/>
      <c r="BK1922" s="44"/>
      <c r="BL1922" s="45"/>
      <c r="BM1922" s="12"/>
      <c r="BN1922" s="12"/>
      <c r="BO1922" s="12"/>
      <c r="BP1922" s="12"/>
      <c r="BQ1922" s="48"/>
      <c r="BR1922" s="49"/>
      <c r="BS1922" s="13"/>
      <c r="BT1922" s="12"/>
      <c r="BV1922" s="14"/>
      <c r="BW1922" s="50"/>
      <c r="BX1922" s="54"/>
      <c r="BY1922" s="14"/>
      <c r="BZ1922" s="14"/>
      <c r="CA1922" s="14"/>
      <c r="CB1922" s="14"/>
      <c r="CC1922" s="14"/>
      <c r="CD1922" s="14"/>
      <c r="CE1922" s="14"/>
      <c r="CF1922" s="15"/>
      <c r="CG1922" s="14"/>
      <c r="CH1922" s="14"/>
      <c r="CI1922" s="50"/>
      <c r="CJ1922" s="54"/>
      <c r="CK1922" s="14"/>
      <c r="CL1922" s="14"/>
      <c r="CM1922" s="14"/>
      <c r="CN1922" s="14"/>
      <c r="CO1922" s="14"/>
      <c r="CP1922" s="14"/>
      <c r="CQ1922" s="14"/>
      <c r="CR1922" s="14"/>
      <c r="CS1922" s="14"/>
      <c r="CT1922" s="14"/>
      <c r="CU1922" s="16"/>
      <c r="CV1922" s="14"/>
      <c r="CW1922" s="50"/>
      <c r="CX1922" s="17"/>
    </row>
    <row r="1923" spans="4:102" x14ac:dyDescent="0.25">
      <c r="D1923" s="11"/>
      <c r="E1923" s="11"/>
      <c r="F1923" s="11"/>
      <c r="G1923" s="11"/>
      <c r="H1923" s="11"/>
      <c r="I1923" s="11"/>
      <c r="J1923" s="11"/>
      <c r="K1923" s="11"/>
      <c r="L1923" s="11"/>
      <c r="M1923" s="11"/>
      <c r="N1923" s="11"/>
      <c r="O1923" s="11"/>
      <c r="P1923" s="43"/>
      <c r="Q1923" s="11"/>
      <c r="R1923" s="11"/>
      <c r="S1923" s="11"/>
      <c r="T1923" s="11"/>
      <c r="U1923" s="11"/>
      <c r="V1923" s="11"/>
      <c r="W1923" s="11"/>
      <c r="X1923" s="12"/>
      <c r="Y1923" s="12"/>
      <c r="Z1923" s="12"/>
      <c r="AA1923" s="44"/>
      <c r="AB1923" s="45"/>
      <c r="AC1923" s="12"/>
      <c r="AD1923" s="12"/>
      <c r="AE1923" s="12"/>
      <c r="AF1923" s="12"/>
      <c r="AG1923" s="44"/>
      <c r="AH1923" s="45"/>
      <c r="AI1923" s="12"/>
      <c r="AJ1923" s="12"/>
      <c r="AK1923" s="12"/>
      <c r="AL1923" s="12"/>
      <c r="AM1923" s="44"/>
      <c r="AN1923" s="45"/>
      <c r="AO1923" s="12"/>
      <c r="AP1923" s="12"/>
      <c r="AQ1923" s="12"/>
      <c r="AR1923" s="12"/>
      <c r="AS1923" s="44"/>
      <c r="AT1923" s="45"/>
      <c r="AU1923" s="12"/>
      <c r="AV1923" s="12"/>
      <c r="AW1923" s="12"/>
      <c r="AX1923" s="12"/>
      <c r="AY1923" s="44"/>
      <c r="AZ1923" s="45"/>
      <c r="BA1923" s="12"/>
      <c r="BB1923" s="12"/>
      <c r="BC1923" s="12"/>
      <c r="BD1923" s="12"/>
      <c r="BE1923" s="44"/>
      <c r="BF1923" s="45"/>
      <c r="BG1923" s="12"/>
      <c r="BH1923" s="12"/>
      <c r="BI1923" s="12"/>
      <c r="BJ1923" s="12"/>
      <c r="BK1923" s="44"/>
      <c r="BL1923" s="45"/>
      <c r="BM1923" s="12"/>
      <c r="BN1923" s="12"/>
      <c r="BO1923" s="12"/>
      <c r="BP1923" s="12"/>
      <c r="BQ1923" s="48"/>
      <c r="BR1923" s="49"/>
      <c r="BS1923" s="13"/>
      <c r="BT1923" s="12"/>
      <c r="BV1923" s="14"/>
      <c r="BW1923" s="50"/>
      <c r="BX1923" s="54"/>
      <c r="BY1923" s="14"/>
      <c r="BZ1923" s="14"/>
      <c r="CA1923" s="14"/>
      <c r="CB1923" s="14"/>
      <c r="CC1923" s="14"/>
      <c r="CD1923" s="14"/>
      <c r="CE1923" s="14"/>
      <c r="CF1923" s="15"/>
      <c r="CG1923" s="14"/>
      <c r="CH1923" s="14"/>
      <c r="CI1923" s="50"/>
      <c r="CJ1923" s="54"/>
      <c r="CK1923" s="14"/>
      <c r="CL1923" s="14"/>
      <c r="CM1923" s="14"/>
      <c r="CN1923" s="14"/>
      <c r="CO1923" s="14"/>
      <c r="CP1923" s="14"/>
      <c r="CQ1923" s="14"/>
      <c r="CR1923" s="14"/>
      <c r="CS1923" s="14"/>
      <c r="CT1923" s="14"/>
      <c r="CU1923" s="16"/>
      <c r="CV1923" s="14"/>
      <c r="CW1923" s="50"/>
      <c r="CX1923" s="17"/>
    </row>
    <row r="1924" spans="4:102" x14ac:dyDescent="0.25">
      <c r="D1924" s="11"/>
      <c r="E1924" s="11"/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43"/>
      <c r="Q1924" s="11"/>
      <c r="R1924" s="11"/>
      <c r="S1924" s="11"/>
      <c r="T1924" s="11"/>
      <c r="U1924" s="11"/>
      <c r="V1924" s="11"/>
      <c r="W1924" s="11"/>
      <c r="X1924" s="12"/>
      <c r="Y1924" s="12"/>
      <c r="Z1924" s="12"/>
      <c r="AA1924" s="44"/>
      <c r="AB1924" s="45"/>
      <c r="AC1924" s="12"/>
      <c r="AD1924" s="12"/>
      <c r="AE1924" s="12"/>
      <c r="AF1924" s="12"/>
      <c r="AG1924" s="44"/>
      <c r="AH1924" s="45"/>
      <c r="AI1924" s="12"/>
      <c r="AJ1924" s="12"/>
      <c r="AK1924" s="12"/>
      <c r="AL1924" s="12"/>
      <c r="AM1924" s="44"/>
      <c r="AN1924" s="45"/>
      <c r="AO1924" s="12"/>
      <c r="AP1924" s="12"/>
      <c r="AQ1924" s="12"/>
      <c r="AR1924" s="12"/>
      <c r="AS1924" s="44"/>
      <c r="AT1924" s="45"/>
      <c r="AU1924" s="12"/>
      <c r="AV1924" s="12"/>
      <c r="AW1924" s="12"/>
      <c r="AX1924" s="12"/>
      <c r="AY1924" s="44"/>
      <c r="AZ1924" s="45"/>
      <c r="BA1924" s="12"/>
      <c r="BB1924" s="12"/>
      <c r="BC1924" s="12"/>
      <c r="BD1924" s="12"/>
      <c r="BE1924" s="44"/>
      <c r="BF1924" s="45"/>
      <c r="BG1924" s="12"/>
      <c r="BH1924" s="12"/>
      <c r="BI1924" s="12"/>
      <c r="BJ1924" s="12"/>
      <c r="BK1924" s="44"/>
      <c r="BL1924" s="45"/>
      <c r="BM1924" s="12"/>
      <c r="BN1924" s="12"/>
      <c r="BO1924" s="12"/>
      <c r="BP1924" s="12"/>
      <c r="BQ1924" s="48"/>
      <c r="BR1924" s="49"/>
      <c r="BS1924" s="13"/>
      <c r="BT1924" s="12"/>
      <c r="BV1924" s="14"/>
      <c r="BW1924" s="50"/>
      <c r="BX1924" s="54"/>
      <c r="BY1924" s="14"/>
      <c r="BZ1924" s="14"/>
      <c r="CA1924" s="14"/>
      <c r="CB1924" s="14"/>
      <c r="CC1924" s="14"/>
      <c r="CD1924" s="14"/>
      <c r="CE1924" s="14"/>
      <c r="CF1924" s="15"/>
      <c r="CG1924" s="14"/>
      <c r="CH1924" s="14"/>
      <c r="CI1924" s="50"/>
      <c r="CJ1924" s="54"/>
      <c r="CK1924" s="14"/>
      <c r="CL1924" s="14"/>
      <c r="CM1924" s="14"/>
      <c r="CN1924" s="14"/>
      <c r="CO1924" s="14"/>
      <c r="CP1924" s="14"/>
      <c r="CQ1924" s="14"/>
      <c r="CR1924" s="14"/>
      <c r="CS1924" s="14"/>
      <c r="CT1924" s="14"/>
      <c r="CU1924" s="16"/>
      <c r="CV1924" s="14"/>
      <c r="CW1924" s="50"/>
      <c r="CX1924" s="17"/>
    </row>
    <row r="1925" spans="4:102" x14ac:dyDescent="0.25">
      <c r="D1925" s="11"/>
      <c r="E1925" s="11"/>
      <c r="F1925" s="11"/>
      <c r="G1925" s="11"/>
      <c r="H1925" s="11"/>
      <c r="I1925" s="11"/>
      <c r="J1925" s="11"/>
      <c r="K1925" s="11"/>
      <c r="L1925" s="11"/>
      <c r="M1925" s="11"/>
      <c r="N1925" s="11"/>
      <c r="O1925" s="11"/>
      <c r="P1925" s="43"/>
      <c r="Q1925" s="11"/>
      <c r="R1925" s="11"/>
      <c r="S1925" s="11"/>
      <c r="T1925" s="11"/>
      <c r="U1925" s="11"/>
      <c r="V1925" s="11"/>
      <c r="W1925" s="11"/>
      <c r="X1925" s="12"/>
      <c r="Y1925" s="12"/>
      <c r="Z1925" s="12"/>
      <c r="AA1925" s="44"/>
      <c r="AB1925" s="45"/>
      <c r="AC1925" s="12"/>
      <c r="AD1925" s="12"/>
      <c r="AE1925" s="12"/>
      <c r="AF1925" s="12"/>
      <c r="AG1925" s="44"/>
      <c r="AH1925" s="45"/>
      <c r="AI1925" s="12"/>
      <c r="AJ1925" s="12"/>
      <c r="AK1925" s="12"/>
      <c r="AL1925" s="12"/>
      <c r="AM1925" s="44"/>
      <c r="AN1925" s="45"/>
      <c r="AO1925" s="12"/>
      <c r="AP1925" s="12"/>
      <c r="AQ1925" s="12"/>
      <c r="AR1925" s="12"/>
      <c r="AS1925" s="44"/>
      <c r="AT1925" s="45"/>
      <c r="AU1925" s="12"/>
      <c r="AV1925" s="12"/>
      <c r="AW1925" s="12"/>
      <c r="AX1925" s="12"/>
      <c r="AY1925" s="44"/>
      <c r="AZ1925" s="45"/>
      <c r="BA1925" s="12"/>
      <c r="BB1925" s="12"/>
      <c r="BC1925" s="12"/>
      <c r="BD1925" s="12"/>
      <c r="BE1925" s="44"/>
      <c r="BF1925" s="45"/>
      <c r="BG1925" s="12"/>
      <c r="BH1925" s="12"/>
      <c r="BI1925" s="12"/>
      <c r="BJ1925" s="12"/>
      <c r="BK1925" s="44"/>
      <c r="BL1925" s="45"/>
      <c r="BM1925" s="12"/>
      <c r="BN1925" s="12"/>
      <c r="BO1925" s="12"/>
      <c r="BP1925" s="12"/>
      <c r="BQ1925" s="48"/>
      <c r="BR1925" s="49"/>
      <c r="BS1925" s="13"/>
      <c r="BT1925" s="12"/>
      <c r="BV1925" s="14"/>
      <c r="BW1925" s="50"/>
      <c r="BX1925" s="54"/>
      <c r="BY1925" s="14"/>
      <c r="BZ1925" s="14"/>
      <c r="CA1925" s="14"/>
      <c r="CB1925" s="14"/>
      <c r="CC1925" s="14"/>
      <c r="CD1925" s="14"/>
      <c r="CE1925" s="14"/>
      <c r="CF1925" s="15"/>
      <c r="CG1925" s="14"/>
      <c r="CH1925" s="14"/>
      <c r="CI1925" s="50"/>
      <c r="CJ1925" s="54"/>
      <c r="CK1925" s="14"/>
      <c r="CL1925" s="14"/>
      <c r="CM1925" s="14"/>
      <c r="CN1925" s="14"/>
      <c r="CO1925" s="14"/>
      <c r="CP1925" s="14"/>
      <c r="CQ1925" s="14"/>
      <c r="CR1925" s="14"/>
      <c r="CS1925" s="14"/>
      <c r="CT1925" s="14"/>
      <c r="CU1925" s="16"/>
      <c r="CV1925" s="14"/>
      <c r="CW1925" s="50"/>
      <c r="CX1925" s="17"/>
    </row>
    <row r="1926" spans="4:102" x14ac:dyDescent="0.25">
      <c r="D1926" s="11"/>
      <c r="E1926" s="11"/>
      <c r="F1926" s="11"/>
      <c r="G1926" s="11"/>
      <c r="H1926" s="11"/>
      <c r="I1926" s="11"/>
      <c r="J1926" s="11"/>
      <c r="K1926" s="11"/>
      <c r="L1926" s="11"/>
      <c r="M1926" s="11"/>
      <c r="N1926" s="11"/>
      <c r="O1926" s="11"/>
      <c r="P1926" s="43"/>
      <c r="Q1926" s="11"/>
      <c r="R1926" s="11"/>
      <c r="S1926" s="11"/>
      <c r="T1926" s="11"/>
      <c r="U1926" s="11"/>
      <c r="V1926" s="11"/>
      <c r="W1926" s="11"/>
      <c r="X1926" s="12"/>
      <c r="Y1926" s="12"/>
      <c r="Z1926" s="12"/>
      <c r="AA1926" s="44"/>
      <c r="AB1926" s="45"/>
      <c r="AC1926" s="12"/>
      <c r="AD1926" s="12"/>
      <c r="AE1926" s="12"/>
      <c r="AF1926" s="12"/>
      <c r="AG1926" s="44"/>
      <c r="AH1926" s="45"/>
      <c r="AI1926" s="12"/>
      <c r="AJ1926" s="12"/>
      <c r="AK1926" s="12"/>
      <c r="AL1926" s="12"/>
      <c r="AM1926" s="44"/>
      <c r="AN1926" s="45"/>
      <c r="AO1926" s="12"/>
      <c r="AP1926" s="12"/>
      <c r="AQ1926" s="12"/>
      <c r="AR1926" s="12"/>
      <c r="AS1926" s="44"/>
      <c r="AT1926" s="45"/>
      <c r="AU1926" s="12"/>
      <c r="AV1926" s="12"/>
      <c r="AW1926" s="12"/>
      <c r="AX1926" s="12"/>
      <c r="AY1926" s="44"/>
      <c r="AZ1926" s="45"/>
      <c r="BA1926" s="12"/>
      <c r="BB1926" s="12"/>
      <c r="BC1926" s="12"/>
      <c r="BD1926" s="12"/>
      <c r="BE1926" s="44"/>
      <c r="BF1926" s="45"/>
      <c r="BG1926" s="12"/>
      <c r="BH1926" s="12"/>
      <c r="BI1926" s="12"/>
      <c r="BJ1926" s="12"/>
      <c r="BK1926" s="44"/>
      <c r="BL1926" s="45"/>
      <c r="BM1926" s="12"/>
      <c r="BN1926" s="12"/>
      <c r="BO1926" s="12"/>
      <c r="BP1926" s="12"/>
      <c r="BQ1926" s="48"/>
      <c r="BR1926" s="49"/>
      <c r="BS1926" s="13"/>
      <c r="BT1926" s="12"/>
      <c r="BV1926" s="14"/>
      <c r="BW1926" s="50"/>
      <c r="BX1926" s="54"/>
      <c r="BY1926" s="14"/>
      <c r="BZ1926" s="14"/>
      <c r="CA1926" s="14"/>
      <c r="CB1926" s="14"/>
      <c r="CC1926" s="14"/>
      <c r="CD1926" s="14"/>
      <c r="CE1926" s="14"/>
      <c r="CF1926" s="15"/>
      <c r="CG1926" s="14"/>
      <c r="CH1926" s="14"/>
      <c r="CI1926" s="50"/>
      <c r="CJ1926" s="54"/>
      <c r="CK1926" s="14"/>
      <c r="CL1926" s="14"/>
      <c r="CM1926" s="14"/>
      <c r="CN1926" s="14"/>
      <c r="CO1926" s="14"/>
      <c r="CP1926" s="14"/>
      <c r="CQ1926" s="14"/>
      <c r="CR1926" s="14"/>
      <c r="CS1926" s="14"/>
      <c r="CT1926" s="14"/>
      <c r="CU1926" s="16"/>
      <c r="CV1926" s="14"/>
      <c r="CW1926" s="50"/>
      <c r="CX1926" s="17"/>
    </row>
    <row r="1927" spans="4:102" x14ac:dyDescent="0.25">
      <c r="D1927" s="11"/>
      <c r="E1927" s="11"/>
      <c r="F1927" s="11"/>
      <c r="G1927" s="11"/>
      <c r="H1927" s="11"/>
      <c r="I1927" s="11"/>
      <c r="J1927" s="11"/>
      <c r="K1927" s="11"/>
      <c r="L1927" s="11"/>
      <c r="M1927" s="11"/>
      <c r="N1927" s="11"/>
      <c r="O1927" s="11"/>
      <c r="P1927" s="43"/>
      <c r="Q1927" s="11"/>
      <c r="R1927" s="11"/>
      <c r="S1927" s="11"/>
      <c r="T1927" s="11"/>
      <c r="U1927" s="11"/>
      <c r="V1927" s="11"/>
      <c r="W1927" s="11"/>
      <c r="X1927" s="12"/>
      <c r="Y1927" s="12"/>
      <c r="Z1927" s="12"/>
      <c r="AA1927" s="44"/>
      <c r="AB1927" s="45"/>
      <c r="AC1927" s="12"/>
      <c r="AD1927" s="12"/>
      <c r="AE1927" s="12"/>
      <c r="AF1927" s="12"/>
      <c r="AG1927" s="44"/>
      <c r="AH1927" s="45"/>
      <c r="AI1927" s="12"/>
      <c r="AJ1927" s="12"/>
      <c r="AK1927" s="12"/>
      <c r="AL1927" s="12"/>
      <c r="AM1927" s="44"/>
      <c r="AN1927" s="45"/>
      <c r="AO1927" s="12"/>
      <c r="AP1927" s="12"/>
      <c r="AQ1927" s="12"/>
      <c r="AR1927" s="12"/>
      <c r="AS1927" s="44"/>
      <c r="AT1927" s="45"/>
      <c r="AU1927" s="12"/>
      <c r="AV1927" s="12"/>
      <c r="AW1927" s="12"/>
      <c r="AX1927" s="12"/>
      <c r="AY1927" s="44"/>
      <c r="AZ1927" s="45"/>
      <c r="BA1927" s="12"/>
      <c r="BB1927" s="12"/>
      <c r="BC1927" s="12"/>
      <c r="BD1927" s="12"/>
      <c r="BE1927" s="44"/>
      <c r="BF1927" s="45"/>
      <c r="BG1927" s="12"/>
      <c r="BH1927" s="12"/>
      <c r="BI1927" s="12"/>
      <c r="BJ1927" s="12"/>
      <c r="BK1927" s="44"/>
      <c r="BL1927" s="45"/>
      <c r="BM1927" s="12"/>
      <c r="BN1927" s="12"/>
      <c r="BO1927" s="12"/>
      <c r="BP1927" s="12"/>
      <c r="BQ1927" s="48"/>
      <c r="BR1927" s="49"/>
      <c r="BS1927" s="13"/>
      <c r="BT1927" s="12"/>
      <c r="BV1927" s="14"/>
      <c r="BW1927" s="50"/>
      <c r="BX1927" s="54"/>
      <c r="BY1927" s="14"/>
      <c r="BZ1927" s="14"/>
      <c r="CA1927" s="14"/>
      <c r="CB1927" s="14"/>
      <c r="CC1927" s="14"/>
      <c r="CD1927" s="14"/>
      <c r="CE1927" s="14"/>
      <c r="CF1927" s="15"/>
      <c r="CG1927" s="14"/>
      <c r="CH1927" s="14"/>
      <c r="CI1927" s="50"/>
      <c r="CJ1927" s="54"/>
      <c r="CK1927" s="14"/>
      <c r="CL1927" s="14"/>
      <c r="CM1927" s="14"/>
      <c r="CN1927" s="14"/>
      <c r="CO1927" s="14"/>
      <c r="CP1927" s="14"/>
      <c r="CQ1927" s="14"/>
      <c r="CR1927" s="14"/>
      <c r="CS1927" s="14"/>
      <c r="CT1927" s="14"/>
      <c r="CU1927" s="16"/>
      <c r="CV1927" s="14"/>
      <c r="CW1927" s="50"/>
      <c r="CX1927" s="17"/>
    </row>
    <row r="1928" spans="4:102" x14ac:dyDescent="0.25">
      <c r="D1928" s="11"/>
      <c r="E1928" s="11"/>
      <c r="F1928" s="11"/>
      <c r="G1928" s="11"/>
      <c r="H1928" s="11"/>
      <c r="I1928" s="11"/>
      <c r="J1928" s="11"/>
      <c r="K1928" s="11"/>
      <c r="L1928" s="11"/>
      <c r="M1928" s="11"/>
      <c r="N1928" s="11"/>
      <c r="O1928" s="11"/>
      <c r="P1928" s="43"/>
      <c r="Q1928" s="11"/>
      <c r="R1928" s="11"/>
      <c r="S1928" s="11"/>
      <c r="T1928" s="11"/>
      <c r="U1928" s="11"/>
      <c r="V1928" s="11"/>
      <c r="W1928" s="11"/>
      <c r="X1928" s="12"/>
      <c r="Y1928" s="12"/>
      <c r="Z1928" s="12"/>
      <c r="AA1928" s="44"/>
      <c r="AB1928" s="45"/>
      <c r="AC1928" s="12"/>
      <c r="AD1928" s="12"/>
      <c r="AE1928" s="12"/>
      <c r="AF1928" s="12"/>
      <c r="AG1928" s="44"/>
      <c r="AH1928" s="45"/>
      <c r="AI1928" s="12"/>
      <c r="AJ1928" s="12"/>
      <c r="AK1928" s="12"/>
      <c r="AL1928" s="12"/>
      <c r="AM1928" s="44"/>
      <c r="AN1928" s="45"/>
      <c r="AO1928" s="12"/>
      <c r="AP1928" s="12"/>
      <c r="AQ1928" s="12"/>
      <c r="AR1928" s="12"/>
      <c r="AS1928" s="44"/>
      <c r="AT1928" s="45"/>
      <c r="AU1928" s="12"/>
      <c r="AV1928" s="12"/>
      <c r="AW1928" s="12"/>
      <c r="AX1928" s="12"/>
      <c r="AY1928" s="44"/>
      <c r="AZ1928" s="45"/>
      <c r="BA1928" s="12"/>
      <c r="BB1928" s="12"/>
      <c r="BC1928" s="12"/>
      <c r="BD1928" s="12"/>
      <c r="BE1928" s="44"/>
      <c r="BF1928" s="45"/>
      <c r="BG1928" s="12"/>
      <c r="BH1928" s="12"/>
      <c r="BI1928" s="12"/>
      <c r="BJ1928" s="12"/>
      <c r="BK1928" s="44"/>
      <c r="BL1928" s="45"/>
      <c r="BM1928" s="12"/>
      <c r="BN1928" s="12"/>
      <c r="BO1928" s="12"/>
      <c r="BP1928" s="12"/>
      <c r="BQ1928" s="48"/>
      <c r="BR1928" s="49"/>
      <c r="BS1928" s="13"/>
      <c r="BT1928" s="12"/>
      <c r="BV1928" s="14"/>
      <c r="BW1928" s="50"/>
      <c r="BX1928" s="54"/>
      <c r="BY1928" s="14"/>
      <c r="BZ1928" s="14"/>
      <c r="CA1928" s="14"/>
      <c r="CB1928" s="14"/>
      <c r="CC1928" s="14"/>
      <c r="CD1928" s="14"/>
      <c r="CE1928" s="14"/>
      <c r="CF1928" s="15"/>
      <c r="CG1928" s="14"/>
      <c r="CH1928" s="14"/>
      <c r="CI1928" s="50"/>
      <c r="CJ1928" s="54"/>
      <c r="CK1928" s="14"/>
      <c r="CL1928" s="14"/>
      <c r="CM1928" s="14"/>
      <c r="CN1928" s="14"/>
      <c r="CO1928" s="14"/>
      <c r="CP1928" s="14"/>
      <c r="CQ1928" s="14"/>
      <c r="CR1928" s="14"/>
      <c r="CS1928" s="14"/>
      <c r="CT1928" s="14"/>
      <c r="CU1928" s="16"/>
      <c r="CV1928" s="14"/>
      <c r="CW1928" s="50"/>
      <c r="CX1928" s="17"/>
    </row>
    <row r="1929" spans="4:102" x14ac:dyDescent="0.25">
      <c r="D1929" s="11"/>
      <c r="E1929" s="11"/>
      <c r="F1929" s="11"/>
      <c r="G1929" s="11"/>
      <c r="H1929" s="11"/>
      <c r="I1929" s="11"/>
      <c r="J1929" s="11"/>
      <c r="K1929" s="11"/>
      <c r="L1929" s="11"/>
      <c r="M1929" s="11"/>
      <c r="N1929" s="11"/>
      <c r="O1929" s="11"/>
      <c r="P1929" s="43"/>
      <c r="Q1929" s="11"/>
      <c r="R1929" s="11"/>
      <c r="S1929" s="11"/>
      <c r="T1929" s="11"/>
      <c r="U1929" s="11"/>
      <c r="V1929" s="11"/>
      <c r="W1929" s="11"/>
      <c r="X1929" s="12"/>
      <c r="Y1929" s="12"/>
      <c r="Z1929" s="12"/>
      <c r="AA1929" s="44"/>
      <c r="AB1929" s="45"/>
      <c r="AC1929" s="12"/>
      <c r="AD1929" s="12"/>
      <c r="AE1929" s="12"/>
      <c r="AF1929" s="12"/>
      <c r="AG1929" s="44"/>
      <c r="AH1929" s="45"/>
      <c r="AI1929" s="12"/>
      <c r="AJ1929" s="12"/>
      <c r="AK1929" s="12"/>
      <c r="AL1929" s="12"/>
      <c r="AM1929" s="44"/>
      <c r="AN1929" s="45"/>
      <c r="AO1929" s="12"/>
      <c r="AP1929" s="12"/>
      <c r="AQ1929" s="12"/>
      <c r="AR1929" s="12"/>
      <c r="AS1929" s="44"/>
      <c r="AT1929" s="45"/>
      <c r="AU1929" s="12"/>
      <c r="AV1929" s="12"/>
      <c r="AW1929" s="12"/>
      <c r="AX1929" s="12"/>
      <c r="AY1929" s="44"/>
      <c r="AZ1929" s="45"/>
      <c r="BA1929" s="12"/>
      <c r="BB1929" s="12"/>
      <c r="BC1929" s="12"/>
      <c r="BD1929" s="12"/>
      <c r="BE1929" s="44"/>
      <c r="BF1929" s="45"/>
      <c r="BG1929" s="12"/>
      <c r="BH1929" s="12"/>
      <c r="BI1929" s="12"/>
      <c r="BJ1929" s="12"/>
      <c r="BK1929" s="44"/>
      <c r="BL1929" s="45"/>
      <c r="BM1929" s="12"/>
      <c r="BN1929" s="12"/>
      <c r="BO1929" s="12"/>
      <c r="BP1929" s="12"/>
      <c r="BQ1929" s="48"/>
      <c r="BR1929" s="49"/>
      <c r="BS1929" s="13"/>
      <c r="BT1929" s="12"/>
      <c r="BV1929" s="14"/>
      <c r="BW1929" s="50"/>
      <c r="BX1929" s="54"/>
      <c r="BY1929" s="14"/>
      <c r="BZ1929" s="14"/>
      <c r="CA1929" s="14"/>
      <c r="CB1929" s="14"/>
      <c r="CC1929" s="14"/>
      <c r="CD1929" s="14"/>
      <c r="CE1929" s="14"/>
      <c r="CF1929" s="15"/>
      <c r="CG1929" s="14"/>
      <c r="CH1929" s="14"/>
      <c r="CI1929" s="50"/>
      <c r="CJ1929" s="54"/>
      <c r="CK1929" s="14"/>
      <c r="CL1929" s="14"/>
      <c r="CM1929" s="14"/>
      <c r="CN1929" s="14"/>
      <c r="CO1929" s="14"/>
      <c r="CP1929" s="14"/>
      <c r="CQ1929" s="14"/>
      <c r="CR1929" s="14"/>
      <c r="CS1929" s="14"/>
      <c r="CT1929" s="14"/>
      <c r="CU1929" s="16"/>
      <c r="CV1929" s="14"/>
      <c r="CW1929" s="50"/>
      <c r="CX1929" s="17"/>
    </row>
    <row r="1930" spans="4:102" x14ac:dyDescent="0.25">
      <c r="D1930" s="11"/>
      <c r="E1930" s="11"/>
      <c r="F1930" s="11"/>
      <c r="G1930" s="11"/>
      <c r="H1930" s="11"/>
      <c r="I1930" s="11"/>
      <c r="J1930" s="11"/>
      <c r="K1930" s="11"/>
      <c r="L1930" s="11"/>
      <c r="M1930" s="11"/>
      <c r="N1930" s="11"/>
      <c r="O1930" s="11"/>
      <c r="P1930" s="43"/>
      <c r="Q1930" s="11"/>
      <c r="R1930" s="11"/>
      <c r="S1930" s="11"/>
      <c r="T1930" s="11"/>
      <c r="U1930" s="11"/>
      <c r="V1930" s="11"/>
      <c r="W1930" s="11"/>
      <c r="X1930" s="12"/>
      <c r="Y1930" s="12"/>
      <c r="Z1930" s="12"/>
      <c r="AA1930" s="44"/>
      <c r="AB1930" s="45"/>
      <c r="AC1930" s="12"/>
      <c r="AD1930" s="12"/>
      <c r="AE1930" s="12"/>
      <c r="AF1930" s="12"/>
      <c r="AG1930" s="44"/>
      <c r="AH1930" s="45"/>
      <c r="AI1930" s="12"/>
      <c r="AJ1930" s="12"/>
      <c r="AK1930" s="12"/>
      <c r="AL1930" s="12"/>
      <c r="AM1930" s="44"/>
      <c r="AN1930" s="45"/>
      <c r="AO1930" s="12"/>
      <c r="AP1930" s="12"/>
      <c r="AQ1930" s="12"/>
      <c r="AR1930" s="12"/>
      <c r="AS1930" s="44"/>
      <c r="AT1930" s="45"/>
      <c r="AU1930" s="12"/>
      <c r="AV1930" s="12"/>
      <c r="AW1930" s="12"/>
      <c r="AX1930" s="12"/>
      <c r="AY1930" s="44"/>
      <c r="AZ1930" s="45"/>
      <c r="BA1930" s="12"/>
      <c r="BB1930" s="12"/>
      <c r="BC1930" s="12"/>
      <c r="BD1930" s="12"/>
      <c r="BE1930" s="44"/>
      <c r="BF1930" s="45"/>
      <c r="BG1930" s="12"/>
      <c r="BH1930" s="12"/>
      <c r="BI1930" s="12"/>
      <c r="BJ1930" s="12"/>
      <c r="BK1930" s="44"/>
      <c r="BL1930" s="45"/>
      <c r="BM1930" s="12"/>
      <c r="BN1930" s="12"/>
      <c r="BO1930" s="12"/>
      <c r="BP1930" s="12"/>
      <c r="BQ1930" s="48"/>
      <c r="BR1930" s="49"/>
      <c r="BS1930" s="13"/>
      <c r="BT1930" s="12"/>
      <c r="BV1930" s="14"/>
      <c r="BW1930" s="50"/>
      <c r="BX1930" s="54"/>
      <c r="BY1930" s="14"/>
      <c r="BZ1930" s="14"/>
      <c r="CA1930" s="14"/>
      <c r="CB1930" s="14"/>
      <c r="CC1930" s="14"/>
      <c r="CD1930" s="14"/>
      <c r="CE1930" s="14"/>
      <c r="CF1930" s="15"/>
      <c r="CG1930" s="14"/>
      <c r="CH1930" s="14"/>
      <c r="CI1930" s="50"/>
      <c r="CJ1930" s="54"/>
      <c r="CK1930" s="14"/>
      <c r="CL1930" s="14"/>
      <c r="CM1930" s="14"/>
      <c r="CN1930" s="14"/>
      <c r="CO1930" s="14"/>
      <c r="CP1930" s="14"/>
      <c r="CQ1930" s="14"/>
      <c r="CR1930" s="14"/>
      <c r="CS1930" s="14"/>
      <c r="CT1930" s="14"/>
      <c r="CU1930" s="16"/>
      <c r="CV1930" s="14"/>
      <c r="CW1930" s="50"/>
      <c r="CX1930" s="17"/>
    </row>
    <row r="1931" spans="4:102" x14ac:dyDescent="0.25">
      <c r="D1931" s="11"/>
      <c r="E1931" s="11"/>
      <c r="F1931" s="11"/>
      <c r="G1931" s="11"/>
      <c r="H1931" s="11"/>
      <c r="I1931" s="11"/>
      <c r="J1931" s="11"/>
      <c r="K1931" s="11"/>
      <c r="L1931" s="11"/>
      <c r="M1931" s="11"/>
      <c r="N1931" s="11"/>
      <c r="O1931" s="11"/>
      <c r="P1931" s="43"/>
      <c r="Q1931" s="11"/>
      <c r="R1931" s="11"/>
      <c r="S1931" s="11"/>
      <c r="T1931" s="11"/>
      <c r="U1931" s="11"/>
      <c r="V1931" s="11"/>
      <c r="W1931" s="11"/>
      <c r="X1931" s="12"/>
      <c r="Y1931" s="12"/>
      <c r="Z1931" s="12"/>
      <c r="AA1931" s="44"/>
      <c r="AB1931" s="45"/>
      <c r="AC1931" s="12"/>
      <c r="AD1931" s="12"/>
      <c r="AE1931" s="12"/>
      <c r="AF1931" s="12"/>
      <c r="AG1931" s="44"/>
      <c r="AH1931" s="45"/>
      <c r="AI1931" s="12"/>
      <c r="AJ1931" s="12"/>
      <c r="AK1931" s="12"/>
      <c r="AL1931" s="12"/>
      <c r="AM1931" s="44"/>
      <c r="AN1931" s="45"/>
      <c r="AO1931" s="12"/>
      <c r="AP1931" s="12"/>
      <c r="AQ1931" s="12"/>
      <c r="AR1931" s="12"/>
      <c r="AS1931" s="44"/>
      <c r="AT1931" s="45"/>
      <c r="AU1931" s="12"/>
      <c r="AV1931" s="12"/>
      <c r="AW1931" s="12"/>
      <c r="AX1931" s="12"/>
      <c r="AY1931" s="44"/>
      <c r="AZ1931" s="45"/>
      <c r="BA1931" s="12"/>
      <c r="BB1931" s="12"/>
      <c r="BC1931" s="12"/>
      <c r="BD1931" s="12"/>
      <c r="BE1931" s="44"/>
      <c r="BF1931" s="45"/>
      <c r="BG1931" s="12"/>
      <c r="BH1931" s="12"/>
      <c r="BI1931" s="12"/>
      <c r="BJ1931" s="12"/>
      <c r="BK1931" s="44"/>
      <c r="BL1931" s="45"/>
      <c r="BM1931" s="12"/>
      <c r="BN1931" s="12"/>
      <c r="BO1931" s="12"/>
      <c r="BP1931" s="12"/>
      <c r="BQ1931" s="48"/>
      <c r="BR1931" s="49"/>
      <c r="BS1931" s="13"/>
      <c r="BT1931" s="12"/>
      <c r="BV1931" s="14"/>
      <c r="BW1931" s="50"/>
      <c r="BX1931" s="54"/>
      <c r="BY1931" s="14"/>
      <c r="BZ1931" s="14"/>
      <c r="CA1931" s="14"/>
      <c r="CB1931" s="14"/>
      <c r="CC1931" s="14"/>
      <c r="CD1931" s="14"/>
      <c r="CE1931" s="14"/>
      <c r="CF1931" s="15"/>
      <c r="CG1931" s="14"/>
      <c r="CH1931" s="14"/>
      <c r="CI1931" s="50"/>
      <c r="CJ1931" s="54"/>
      <c r="CK1931" s="14"/>
      <c r="CL1931" s="14"/>
      <c r="CM1931" s="14"/>
      <c r="CN1931" s="14"/>
      <c r="CO1931" s="14"/>
      <c r="CP1931" s="14"/>
      <c r="CQ1931" s="14"/>
      <c r="CR1931" s="14"/>
      <c r="CS1931" s="14"/>
      <c r="CT1931" s="14"/>
      <c r="CU1931" s="16"/>
      <c r="CV1931" s="14"/>
      <c r="CW1931" s="50"/>
      <c r="CX1931" s="17"/>
    </row>
    <row r="1932" spans="4:102" x14ac:dyDescent="0.25">
      <c r="D1932" s="11"/>
      <c r="E1932" s="11"/>
      <c r="F1932" s="11"/>
      <c r="G1932" s="11"/>
      <c r="H1932" s="11"/>
      <c r="I1932" s="11"/>
      <c r="J1932" s="11"/>
      <c r="K1932" s="11"/>
      <c r="L1932" s="11"/>
      <c r="M1932" s="11"/>
      <c r="N1932" s="11"/>
      <c r="O1932" s="11"/>
      <c r="P1932" s="43"/>
      <c r="Q1932" s="11"/>
      <c r="R1932" s="11"/>
      <c r="S1932" s="11"/>
      <c r="T1932" s="11"/>
      <c r="U1932" s="11"/>
      <c r="V1932" s="11"/>
      <c r="W1932" s="11"/>
      <c r="X1932" s="12"/>
      <c r="Y1932" s="12"/>
      <c r="Z1932" s="12"/>
      <c r="AA1932" s="44"/>
      <c r="AB1932" s="45"/>
      <c r="AC1932" s="12"/>
      <c r="AD1932" s="12"/>
      <c r="AE1932" s="12"/>
      <c r="AF1932" s="12"/>
      <c r="AG1932" s="44"/>
      <c r="AH1932" s="45"/>
      <c r="AI1932" s="12"/>
      <c r="AJ1932" s="12"/>
      <c r="AK1932" s="12"/>
      <c r="AL1932" s="12"/>
      <c r="AM1932" s="44"/>
      <c r="AN1932" s="45"/>
      <c r="AO1932" s="12"/>
      <c r="AP1932" s="12"/>
      <c r="AQ1932" s="12"/>
      <c r="AR1932" s="12"/>
      <c r="AS1932" s="44"/>
      <c r="AT1932" s="45"/>
      <c r="AU1932" s="12"/>
      <c r="AV1932" s="12"/>
      <c r="AW1932" s="12"/>
      <c r="AX1932" s="12"/>
      <c r="AY1932" s="44"/>
      <c r="AZ1932" s="45"/>
      <c r="BA1932" s="12"/>
      <c r="BB1932" s="12"/>
      <c r="BC1932" s="12"/>
      <c r="BD1932" s="12"/>
      <c r="BE1932" s="44"/>
      <c r="BF1932" s="45"/>
      <c r="BG1932" s="12"/>
      <c r="BH1932" s="12"/>
      <c r="BI1932" s="12"/>
      <c r="BJ1932" s="12"/>
      <c r="BK1932" s="44"/>
      <c r="BL1932" s="45"/>
      <c r="BM1932" s="12"/>
      <c r="BN1932" s="12"/>
      <c r="BO1932" s="12"/>
      <c r="BP1932" s="12"/>
      <c r="BQ1932" s="48"/>
      <c r="BR1932" s="49"/>
      <c r="BS1932" s="13"/>
      <c r="BT1932" s="12"/>
      <c r="BV1932" s="14"/>
      <c r="BW1932" s="50"/>
      <c r="BX1932" s="54"/>
      <c r="BY1932" s="14"/>
      <c r="BZ1932" s="14"/>
      <c r="CA1932" s="14"/>
      <c r="CB1932" s="14"/>
      <c r="CC1932" s="14"/>
      <c r="CD1932" s="14"/>
      <c r="CE1932" s="14"/>
      <c r="CF1932" s="15"/>
      <c r="CG1932" s="14"/>
      <c r="CH1932" s="14"/>
      <c r="CI1932" s="50"/>
      <c r="CJ1932" s="54"/>
      <c r="CK1932" s="14"/>
      <c r="CL1932" s="14"/>
      <c r="CM1932" s="14"/>
      <c r="CN1932" s="14"/>
      <c r="CO1932" s="14"/>
      <c r="CP1932" s="14"/>
      <c r="CQ1932" s="14"/>
      <c r="CR1932" s="14"/>
      <c r="CS1932" s="14"/>
      <c r="CT1932" s="14"/>
      <c r="CU1932" s="16"/>
      <c r="CV1932" s="14"/>
      <c r="CW1932" s="50"/>
      <c r="CX1932" s="17"/>
    </row>
    <row r="1933" spans="4:102" x14ac:dyDescent="0.25">
      <c r="D1933" s="11"/>
      <c r="E1933" s="11"/>
      <c r="F1933" s="11"/>
      <c r="G1933" s="11"/>
      <c r="H1933" s="11"/>
      <c r="I1933" s="11"/>
      <c r="J1933" s="11"/>
      <c r="K1933" s="11"/>
      <c r="L1933" s="11"/>
      <c r="M1933" s="11"/>
      <c r="N1933" s="11"/>
      <c r="O1933" s="11"/>
      <c r="P1933" s="43"/>
      <c r="Q1933" s="11"/>
      <c r="R1933" s="11"/>
      <c r="S1933" s="11"/>
      <c r="T1933" s="11"/>
      <c r="U1933" s="11"/>
      <c r="V1933" s="11"/>
      <c r="W1933" s="11"/>
      <c r="X1933" s="12"/>
      <c r="Y1933" s="12"/>
      <c r="Z1933" s="12"/>
      <c r="AA1933" s="44"/>
      <c r="AB1933" s="45"/>
      <c r="AC1933" s="12"/>
      <c r="AD1933" s="12"/>
      <c r="AE1933" s="12"/>
      <c r="AF1933" s="12"/>
      <c r="AG1933" s="44"/>
      <c r="AH1933" s="45"/>
      <c r="AI1933" s="12"/>
      <c r="AJ1933" s="12"/>
      <c r="AK1933" s="12"/>
      <c r="AL1933" s="12"/>
      <c r="AM1933" s="44"/>
      <c r="AN1933" s="45"/>
      <c r="AO1933" s="12"/>
      <c r="AP1933" s="12"/>
      <c r="AQ1933" s="12"/>
      <c r="AR1933" s="12"/>
      <c r="AS1933" s="44"/>
      <c r="AT1933" s="45"/>
      <c r="AU1933" s="12"/>
      <c r="AV1933" s="12"/>
      <c r="AW1933" s="12"/>
      <c r="AX1933" s="12"/>
      <c r="AY1933" s="44"/>
      <c r="AZ1933" s="45"/>
      <c r="BA1933" s="12"/>
      <c r="BB1933" s="12"/>
      <c r="BC1933" s="12"/>
      <c r="BD1933" s="12"/>
      <c r="BE1933" s="44"/>
      <c r="BF1933" s="45"/>
      <c r="BG1933" s="12"/>
      <c r="BH1933" s="12"/>
      <c r="BI1933" s="12"/>
      <c r="BJ1933" s="12"/>
      <c r="BK1933" s="44"/>
      <c r="BL1933" s="45"/>
      <c r="BM1933" s="12"/>
      <c r="BN1933" s="12"/>
      <c r="BO1933" s="12"/>
      <c r="BP1933" s="12"/>
      <c r="BQ1933" s="48"/>
      <c r="BR1933" s="49"/>
      <c r="BS1933" s="13"/>
      <c r="BT1933" s="12"/>
      <c r="BV1933" s="14"/>
      <c r="BW1933" s="50"/>
      <c r="BX1933" s="54"/>
      <c r="BY1933" s="14"/>
      <c r="BZ1933" s="14"/>
      <c r="CA1933" s="14"/>
      <c r="CB1933" s="14"/>
      <c r="CC1933" s="14"/>
      <c r="CD1933" s="14"/>
      <c r="CE1933" s="14"/>
      <c r="CF1933" s="15"/>
      <c r="CG1933" s="14"/>
      <c r="CH1933" s="14"/>
      <c r="CI1933" s="50"/>
      <c r="CJ1933" s="54"/>
      <c r="CK1933" s="14"/>
      <c r="CL1933" s="14"/>
      <c r="CM1933" s="14"/>
      <c r="CN1933" s="14"/>
      <c r="CO1933" s="14"/>
      <c r="CP1933" s="14"/>
      <c r="CQ1933" s="14"/>
      <c r="CR1933" s="14"/>
      <c r="CS1933" s="14"/>
      <c r="CT1933" s="14"/>
      <c r="CU1933" s="16"/>
      <c r="CV1933" s="14"/>
      <c r="CW1933" s="50"/>
      <c r="CX1933" s="17"/>
    </row>
    <row r="1934" spans="4:102" x14ac:dyDescent="0.25">
      <c r="D1934" s="11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43"/>
      <c r="Q1934" s="11"/>
      <c r="R1934" s="11"/>
      <c r="S1934" s="11"/>
      <c r="T1934" s="11"/>
      <c r="U1934" s="11"/>
      <c r="V1934" s="11"/>
      <c r="W1934" s="11"/>
      <c r="X1934" s="12"/>
      <c r="Y1934" s="12"/>
      <c r="Z1934" s="12"/>
      <c r="AA1934" s="44"/>
      <c r="AB1934" s="45"/>
      <c r="AC1934" s="12"/>
      <c r="AD1934" s="12"/>
      <c r="AE1934" s="12"/>
      <c r="AF1934" s="12"/>
      <c r="AG1934" s="44"/>
      <c r="AH1934" s="45"/>
      <c r="AI1934" s="12"/>
      <c r="AJ1934" s="12"/>
      <c r="AK1934" s="12"/>
      <c r="AL1934" s="12"/>
      <c r="AM1934" s="44"/>
      <c r="AN1934" s="45"/>
      <c r="AO1934" s="12"/>
      <c r="AP1934" s="12"/>
      <c r="AQ1934" s="12"/>
      <c r="AR1934" s="12"/>
      <c r="AS1934" s="44"/>
      <c r="AT1934" s="45"/>
      <c r="AU1934" s="12"/>
      <c r="AV1934" s="12"/>
      <c r="AW1934" s="12"/>
      <c r="AX1934" s="12"/>
      <c r="AY1934" s="44"/>
      <c r="AZ1934" s="45"/>
      <c r="BA1934" s="12"/>
      <c r="BB1934" s="12"/>
      <c r="BC1934" s="12"/>
      <c r="BD1934" s="12"/>
      <c r="BE1934" s="44"/>
      <c r="BF1934" s="45"/>
      <c r="BG1934" s="12"/>
      <c r="BH1934" s="12"/>
      <c r="BI1934" s="12"/>
      <c r="BJ1934" s="12"/>
      <c r="BK1934" s="44"/>
      <c r="BL1934" s="45"/>
      <c r="BM1934" s="12"/>
      <c r="BN1934" s="12"/>
      <c r="BO1934" s="12"/>
      <c r="BP1934" s="12"/>
      <c r="BQ1934" s="48"/>
      <c r="BR1934" s="49"/>
      <c r="BS1934" s="13"/>
      <c r="BT1934" s="12"/>
      <c r="BV1934" s="14"/>
      <c r="BW1934" s="50"/>
      <c r="BX1934" s="54"/>
      <c r="BY1934" s="14"/>
      <c r="BZ1934" s="14"/>
      <c r="CA1934" s="14"/>
      <c r="CB1934" s="14"/>
      <c r="CC1934" s="14"/>
      <c r="CD1934" s="14"/>
      <c r="CE1934" s="14"/>
      <c r="CF1934" s="15"/>
      <c r="CG1934" s="14"/>
      <c r="CH1934" s="14"/>
      <c r="CI1934" s="50"/>
      <c r="CJ1934" s="54"/>
      <c r="CK1934" s="14"/>
      <c r="CL1934" s="14"/>
      <c r="CM1934" s="14"/>
      <c r="CN1934" s="14"/>
      <c r="CO1934" s="14"/>
      <c r="CP1934" s="14"/>
      <c r="CQ1934" s="14"/>
      <c r="CR1934" s="14"/>
      <c r="CS1934" s="14"/>
      <c r="CT1934" s="14"/>
      <c r="CU1934" s="16"/>
      <c r="CV1934" s="14"/>
      <c r="CW1934" s="50"/>
      <c r="CX1934" s="17"/>
    </row>
    <row r="1935" spans="4:102" x14ac:dyDescent="0.25">
      <c r="D1935" s="11"/>
      <c r="E1935" s="11"/>
      <c r="F1935" s="11"/>
      <c r="G1935" s="11"/>
      <c r="H1935" s="11"/>
      <c r="I1935" s="11"/>
      <c r="J1935" s="11"/>
      <c r="K1935" s="11"/>
      <c r="L1935" s="11"/>
      <c r="M1935" s="11"/>
      <c r="N1935" s="11"/>
      <c r="O1935" s="11"/>
      <c r="P1935" s="43"/>
      <c r="Q1935" s="11"/>
      <c r="R1935" s="11"/>
      <c r="S1935" s="11"/>
      <c r="T1935" s="11"/>
      <c r="U1935" s="11"/>
      <c r="V1935" s="11"/>
      <c r="W1935" s="11"/>
      <c r="X1935" s="12"/>
      <c r="Y1935" s="12"/>
      <c r="Z1935" s="12"/>
      <c r="AA1935" s="44"/>
      <c r="AB1935" s="45"/>
      <c r="AC1935" s="12"/>
      <c r="AD1935" s="12"/>
      <c r="AE1935" s="12"/>
      <c r="AF1935" s="12"/>
      <c r="AG1935" s="44"/>
      <c r="AH1935" s="45"/>
      <c r="AI1935" s="12"/>
      <c r="AJ1935" s="12"/>
      <c r="AK1935" s="12"/>
      <c r="AL1935" s="12"/>
      <c r="AM1935" s="44"/>
      <c r="AN1935" s="45"/>
      <c r="AO1935" s="12"/>
      <c r="AP1935" s="12"/>
      <c r="AQ1935" s="12"/>
      <c r="AR1935" s="12"/>
      <c r="AS1935" s="44"/>
      <c r="AT1935" s="45"/>
      <c r="AU1935" s="12"/>
      <c r="AV1935" s="12"/>
      <c r="AW1935" s="12"/>
      <c r="AX1935" s="12"/>
      <c r="AY1935" s="44"/>
      <c r="AZ1935" s="45"/>
      <c r="BA1935" s="12"/>
      <c r="BB1935" s="12"/>
      <c r="BC1935" s="12"/>
      <c r="BD1935" s="12"/>
      <c r="BE1935" s="44"/>
      <c r="BF1935" s="45"/>
      <c r="BG1935" s="12"/>
      <c r="BH1935" s="12"/>
      <c r="BI1935" s="12"/>
      <c r="BJ1935" s="12"/>
      <c r="BK1935" s="44"/>
      <c r="BL1935" s="45"/>
      <c r="BM1935" s="12"/>
      <c r="BN1935" s="12"/>
      <c r="BO1935" s="12"/>
      <c r="BP1935" s="12"/>
      <c r="BQ1935" s="48"/>
      <c r="BR1935" s="49"/>
      <c r="BS1935" s="13"/>
      <c r="BT1935" s="12"/>
      <c r="BV1935" s="14"/>
      <c r="BW1935" s="50"/>
      <c r="BX1935" s="54"/>
      <c r="BY1935" s="14"/>
      <c r="BZ1935" s="14"/>
      <c r="CA1935" s="14"/>
      <c r="CB1935" s="14"/>
      <c r="CC1935" s="14"/>
      <c r="CD1935" s="14"/>
      <c r="CE1935" s="14"/>
      <c r="CF1935" s="15"/>
      <c r="CG1935" s="14"/>
      <c r="CH1935" s="14"/>
      <c r="CI1935" s="50"/>
      <c r="CJ1935" s="54"/>
      <c r="CK1935" s="14"/>
      <c r="CL1935" s="14"/>
      <c r="CM1935" s="14"/>
      <c r="CN1935" s="14"/>
      <c r="CO1935" s="14"/>
      <c r="CP1935" s="14"/>
      <c r="CQ1935" s="14"/>
      <c r="CR1935" s="14"/>
      <c r="CS1935" s="14"/>
      <c r="CT1935" s="14"/>
      <c r="CU1935" s="16"/>
      <c r="CV1935" s="14"/>
      <c r="CW1935" s="50"/>
      <c r="CX1935" s="17"/>
    </row>
    <row r="1936" spans="4:102" x14ac:dyDescent="0.25">
      <c r="D1936" s="11"/>
      <c r="E1936" s="11"/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43"/>
      <c r="Q1936" s="11"/>
      <c r="R1936" s="11"/>
      <c r="S1936" s="11"/>
      <c r="T1936" s="11"/>
      <c r="U1936" s="11"/>
      <c r="V1936" s="11"/>
      <c r="W1936" s="11"/>
      <c r="X1936" s="12"/>
      <c r="Y1936" s="12"/>
      <c r="Z1936" s="12"/>
      <c r="AA1936" s="44"/>
      <c r="AB1936" s="45"/>
      <c r="AC1936" s="12"/>
      <c r="AD1936" s="12"/>
      <c r="AE1936" s="12"/>
      <c r="AF1936" s="12"/>
      <c r="AG1936" s="44"/>
      <c r="AH1936" s="45"/>
      <c r="AI1936" s="12"/>
      <c r="AJ1936" s="12"/>
      <c r="AK1936" s="12"/>
      <c r="AL1936" s="12"/>
      <c r="AM1936" s="44"/>
      <c r="AN1936" s="45"/>
      <c r="AO1936" s="12"/>
      <c r="AP1936" s="12"/>
      <c r="AQ1936" s="12"/>
      <c r="AR1936" s="12"/>
      <c r="AS1936" s="44"/>
      <c r="AT1936" s="45"/>
      <c r="AU1936" s="12"/>
      <c r="AV1936" s="12"/>
      <c r="AW1936" s="12"/>
      <c r="AX1936" s="12"/>
      <c r="AY1936" s="44"/>
      <c r="AZ1936" s="45"/>
      <c r="BA1936" s="12"/>
      <c r="BB1936" s="12"/>
      <c r="BC1936" s="12"/>
      <c r="BD1936" s="12"/>
      <c r="BE1936" s="44"/>
      <c r="BF1936" s="45"/>
      <c r="BG1936" s="12"/>
      <c r="BH1936" s="12"/>
      <c r="BI1936" s="12"/>
      <c r="BJ1936" s="12"/>
      <c r="BK1936" s="44"/>
      <c r="BL1936" s="45"/>
      <c r="BM1936" s="12"/>
      <c r="BN1936" s="12"/>
      <c r="BO1936" s="12"/>
      <c r="BP1936" s="12"/>
      <c r="BQ1936" s="48"/>
      <c r="BR1936" s="49"/>
      <c r="BS1936" s="13"/>
      <c r="BT1936" s="12"/>
      <c r="BV1936" s="14"/>
      <c r="BW1936" s="50"/>
      <c r="BX1936" s="54"/>
      <c r="BY1936" s="14"/>
      <c r="BZ1936" s="14"/>
      <c r="CA1936" s="14"/>
      <c r="CB1936" s="14"/>
      <c r="CC1936" s="14"/>
      <c r="CD1936" s="14"/>
      <c r="CE1936" s="14"/>
      <c r="CF1936" s="15"/>
      <c r="CG1936" s="14"/>
      <c r="CH1936" s="14"/>
      <c r="CI1936" s="50"/>
      <c r="CJ1936" s="54"/>
      <c r="CK1936" s="14"/>
      <c r="CL1936" s="14"/>
      <c r="CM1936" s="14"/>
      <c r="CN1936" s="14"/>
      <c r="CO1936" s="14"/>
      <c r="CP1936" s="14"/>
      <c r="CQ1936" s="14"/>
      <c r="CR1936" s="14"/>
      <c r="CS1936" s="14"/>
      <c r="CT1936" s="14"/>
      <c r="CU1936" s="16"/>
      <c r="CV1936" s="14"/>
      <c r="CW1936" s="50"/>
      <c r="CX1936" s="17"/>
    </row>
    <row r="1937" spans="4:102" x14ac:dyDescent="0.25">
      <c r="D1937" s="11"/>
      <c r="E1937" s="11"/>
      <c r="F1937" s="11"/>
      <c r="G1937" s="11"/>
      <c r="H1937" s="11"/>
      <c r="I1937" s="11"/>
      <c r="J1937" s="11"/>
      <c r="K1937" s="11"/>
      <c r="L1937" s="11"/>
      <c r="M1937" s="11"/>
      <c r="N1937" s="11"/>
      <c r="O1937" s="11"/>
      <c r="P1937" s="43"/>
      <c r="Q1937" s="11"/>
      <c r="R1937" s="11"/>
      <c r="S1937" s="11"/>
      <c r="T1937" s="11"/>
      <c r="U1937" s="11"/>
      <c r="V1937" s="11"/>
      <c r="W1937" s="11"/>
      <c r="X1937" s="12"/>
      <c r="Y1937" s="12"/>
      <c r="Z1937" s="12"/>
      <c r="AA1937" s="44"/>
      <c r="AB1937" s="45"/>
      <c r="AC1937" s="12"/>
      <c r="AD1937" s="12"/>
      <c r="AE1937" s="12"/>
      <c r="AF1937" s="12"/>
      <c r="AG1937" s="44"/>
      <c r="AH1937" s="45"/>
      <c r="AI1937" s="12"/>
      <c r="AJ1937" s="12"/>
      <c r="AK1937" s="12"/>
      <c r="AL1937" s="12"/>
      <c r="AM1937" s="44"/>
      <c r="AN1937" s="45"/>
      <c r="AO1937" s="12"/>
      <c r="AP1937" s="12"/>
      <c r="AQ1937" s="12"/>
      <c r="AR1937" s="12"/>
      <c r="AS1937" s="44"/>
      <c r="AT1937" s="45"/>
      <c r="AU1937" s="12"/>
      <c r="AV1937" s="12"/>
      <c r="AW1937" s="12"/>
      <c r="AX1937" s="12"/>
      <c r="AY1937" s="44"/>
      <c r="AZ1937" s="45"/>
      <c r="BA1937" s="12"/>
      <c r="BB1937" s="12"/>
      <c r="BC1937" s="12"/>
      <c r="BD1937" s="12"/>
      <c r="BE1937" s="44"/>
      <c r="BF1937" s="45"/>
      <c r="BG1937" s="12"/>
      <c r="BH1937" s="12"/>
      <c r="BI1937" s="12"/>
      <c r="BJ1937" s="12"/>
      <c r="BK1937" s="44"/>
      <c r="BL1937" s="45"/>
      <c r="BM1937" s="12"/>
      <c r="BN1937" s="12"/>
      <c r="BO1937" s="12"/>
      <c r="BP1937" s="12"/>
      <c r="BQ1937" s="48"/>
      <c r="BR1937" s="49"/>
      <c r="BS1937" s="13"/>
      <c r="BT1937" s="12"/>
      <c r="BV1937" s="14"/>
      <c r="BW1937" s="50"/>
      <c r="BX1937" s="54"/>
      <c r="BY1937" s="14"/>
      <c r="BZ1937" s="14"/>
      <c r="CA1937" s="14"/>
      <c r="CB1937" s="14"/>
      <c r="CC1937" s="14"/>
      <c r="CD1937" s="14"/>
      <c r="CE1937" s="14"/>
      <c r="CF1937" s="15"/>
      <c r="CG1937" s="14"/>
      <c r="CH1937" s="14"/>
      <c r="CI1937" s="50"/>
      <c r="CJ1937" s="54"/>
      <c r="CK1937" s="14"/>
      <c r="CL1937" s="14"/>
      <c r="CM1937" s="14"/>
      <c r="CN1937" s="14"/>
      <c r="CO1937" s="14"/>
      <c r="CP1937" s="14"/>
      <c r="CQ1937" s="14"/>
      <c r="CR1937" s="14"/>
      <c r="CS1937" s="14"/>
      <c r="CT1937" s="14"/>
      <c r="CU1937" s="16"/>
      <c r="CV1937" s="14"/>
      <c r="CW1937" s="50"/>
      <c r="CX1937" s="17"/>
    </row>
    <row r="1938" spans="4:102" x14ac:dyDescent="0.25">
      <c r="D1938" s="11"/>
      <c r="E1938" s="11"/>
      <c r="F1938" s="11"/>
      <c r="G1938" s="11"/>
      <c r="H1938" s="11"/>
      <c r="I1938" s="11"/>
      <c r="J1938" s="11"/>
      <c r="K1938" s="11"/>
      <c r="L1938" s="11"/>
      <c r="M1938" s="11"/>
      <c r="N1938" s="11"/>
      <c r="O1938" s="11"/>
      <c r="P1938" s="43"/>
      <c r="Q1938" s="11"/>
      <c r="R1938" s="11"/>
      <c r="S1938" s="11"/>
      <c r="T1938" s="11"/>
      <c r="U1938" s="11"/>
      <c r="V1938" s="11"/>
      <c r="W1938" s="11"/>
      <c r="X1938" s="12"/>
      <c r="Y1938" s="12"/>
      <c r="Z1938" s="12"/>
      <c r="AA1938" s="44"/>
      <c r="AB1938" s="45"/>
      <c r="AC1938" s="12"/>
      <c r="AD1938" s="12"/>
      <c r="AE1938" s="12"/>
      <c r="AF1938" s="12"/>
      <c r="AG1938" s="44"/>
      <c r="AH1938" s="45"/>
      <c r="AI1938" s="12"/>
      <c r="AJ1938" s="12"/>
      <c r="AK1938" s="12"/>
      <c r="AL1938" s="12"/>
      <c r="AM1938" s="44"/>
      <c r="AN1938" s="45"/>
      <c r="AO1938" s="12"/>
      <c r="AP1938" s="12"/>
      <c r="AQ1938" s="12"/>
      <c r="AR1938" s="12"/>
      <c r="AS1938" s="44"/>
      <c r="AT1938" s="45"/>
      <c r="AU1938" s="12"/>
      <c r="AV1938" s="12"/>
      <c r="AW1938" s="12"/>
      <c r="AX1938" s="12"/>
      <c r="AY1938" s="44"/>
      <c r="AZ1938" s="45"/>
      <c r="BA1938" s="12"/>
      <c r="BB1938" s="12"/>
      <c r="BC1938" s="12"/>
      <c r="BD1938" s="12"/>
      <c r="BE1938" s="44"/>
      <c r="BF1938" s="45"/>
      <c r="BG1938" s="12"/>
      <c r="BH1938" s="12"/>
      <c r="BI1938" s="12"/>
      <c r="BJ1938" s="12"/>
      <c r="BK1938" s="44"/>
      <c r="BL1938" s="45"/>
      <c r="BM1938" s="12"/>
      <c r="BN1938" s="12"/>
      <c r="BO1938" s="12"/>
      <c r="BP1938" s="12"/>
      <c r="BQ1938" s="48"/>
      <c r="BR1938" s="49"/>
      <c r="BS1938" s="13"/>
      <c r="BT1938" s="12"/>
      <c r="BV1938" s="14"/>
      <c r="BW1938" s="50"/>
      <c r="BX1938" s="54"/>
      <c r="BY1938" s="14"/>
      <c r="BZ1938" s="14"/>
      <c r="CA1938" s="14"/>
      <c r="CB1938" s="14"/>
      <c r="CC1938" s="14"/>
      <c r="CD1938" s="14"/>
      <c r="CE1938" s="14"/>
      <c r="CF1938" s="15"/>
      <c r="CG1938" s="14"/>
      <c r="CH1938" s="14"/>
      <c r="CI1938" s="50"/>
      <c r="CJ1938" s="54"/>
      <c r="CK1938" s="14"/>
      <c r="CL1938" s="14"/>
      <c r="CM1938" s="14"/>
      <c r="CN1938" s="14"/>
      <c r="CO1938" s="14"/>
      <c r="CP1938" s="14"/>
      <c r="CQ1938" s="14"/>
      <c r="CR1938" s="14"/>
      <c r="CS1938" s="14"/>
      <c r="CT1938" s="14"/>
      <c r="CU1938" s="16"/>
      <c r="CV1938" s="14"/>
      <c r="CW1938" s="50"/>
      <c r="CX1938" s="17"/>
    </row>
    <row r="1939" spans="4:102" x14ac:dyDescent="0.25">
      <c r="D1939" s="11"/>
      <c r="E1939" s="11"/>
      <c r="F1939" s="11"/>
      <c r="G1939" s="11"/>
      <c r="H1939" s="11"/>
      <c r="I1939" s="11"/>
      <c r="J1939" s="11"/>
      <c r="K1939" s="11"/>
      <c r="L1939" s="11"/>
      <c r="M1939" s="11"/>
      <c r="N1939" s="11"/>
      <c r="O1939" s="11"/>
      <c r="P1939" s="43"/>
      <c r="Q1939" s="11"/>
      <c r="R1939" s="11"/>
      <c r="S1939" s="11"/>
      <c r="T1939" s="11"/>
      <c r="U1939" s="11"/>
      <c r="V1939" s="11"/>
      <c r="W1939" s="11"/>
      <c r="X1939" s="12"/>
      <c r="Y1939" s="12"/>
      <c r="Z1939" s="12"/>
      <c r="AA1939" s="44"/>
      <c r="AB1939" s="45"/>
      <c r="AC1939" s="12"/>
      <c r="AD1939" s="12"/>
      <c r="AE1939" s="12"/>
      <c r="AF1939" s="12"/>
      <c r="AG1939" s="44"/>
      <c r="AH1939" s="45"/>
      <c r="AI1939" s="12"/>
      <c r="AJ1939" s="12"/>
      <c r="AK1939" s="12"/>
      <c r="AL1939" s="12"/>
      <c r="AM1939" s="44"/>
      <c r="AN1939" s="45"/>
      <c r="AO1939" s="12"/>
      <c r="AP1939" s="12"/>
      <c r="AQ1939" s="12"/>
      <c r="AR1939" s="12"/>
      <c r="AS1939" s="44"/>
      <c r="AT1939" s="45"/>
      <c r="AU1939" s="12"/>
      <c r="AV1939" s="12"/>
      <c r="AW1939" s="12"/>
      <c r="AX1939" s="12"/>
      <c r="AY1939" s="44"/>
      <c r="AZ1939" s="45"/>
      <c r="BA1939" s="12"/>
      <c r="BB1939" s="12"/>
      <c r="BC1939" s="12"/>
      <c r="BD1939" s="12"/>
      <c r="BE1939" s="44"/>
      <c r="BF1939" s="45"/>
      <c r="BG1939" s="12"/>
      <c r="BH1939" s="12"/>
      <c r="BI1939" s="12"/>
      <c r="BJ1939" s="12"/>
      <c r="BK1939" s="44"/>
      <c r="BL1939" s="45"/>
      <c r="BM1939" s="12"/>
      <c r="BN1939" s="12"/>
      <c r="BO1939" s="12"/>
      <c r="BP1939" s="12"/>
      <c r="BQ1939" s="48"/>
      <c r="BR1939" s="49"/>
      <c r="BS1939" s="13"/>
      <c r="BT1939" s="12"/>
      <c r="BV1939" s="14"/>
      <c r="BW1939" s="50"/>
      <c r="BX1939" s="54"/>
      <c r="BY1939" s="14"/>
      <c r="BZ1939" s="14"/>
      <c r="CA1939" s="14"/>
      <c r="CB1939" s="14"/>
      <c r="CC1939" s="14"/>
      <c r="CD1939" s="14"/>
      <c r="CE1939" s="14"/>
      <c r="CF1939" s="15"/>
      <c r="CG1939" s="14"/>
      <c r="CH1939" s="14"/>
      <c r="CI1939" s="50"/>
      <c r="CJ1939" s="54"/>
      <c r="CK1939" s="14"/>
      <c r="CL1939" s="14"/>
      <c r="CM1939" s="14"/>
      <c r="CN1939" s="14"/>
      <c r="CO1939" s="14"/>
      <c r="CP1939" s="14"/>
      <c r="CQ1939" s="14"/>
      <c r="CR1939" s="14"/>
      <c r="CS1939" s="14"/>
      <c r="CT1939" s="14"/>
      <c r="CU1939" s="16"/>
      <c r="CV1939" s="14"/>
      <c r="CW1939" s="50"/>
      <c r="CX1939" s="17"/>
    </row>
    <row r="1940" spans="4:102" x14ac:dyDescent="0.25">
      <c r="D1940" s="11"/>
      <c r="E1940" s="11"/>
      <c r="F1940" s="11"/>
      <c r="G1940" s="11"/>
      <c r="H1940" s="11"/>
      <c r="I1940" s="11"/>
      <c r="J1940" s="11"/>
      <c r="K1940" s="11"/>
      <c r="L1940" s="11"/>
      <c r="M1940" s="11"/>
      <c r="N1940" s="11"/>
      <c r="O1940" s="11"/>
      <c r="P1940" s="43"/>
      <c r="Q1940" s="11"/>
      <c r="R1940" s="11"/>
      <c r="S1940" s="11"/>
      <c r="T1940" s="11"/>
      <c r="U1940" s="11"/>
      <c r="V1940" s="11"/>
      <c r="W1940" s="11"/>
      <c r="X1940" s="12"/>
      <c r="Y1940" s="12"/>
      <c r="Z1940" s="12"/>
      <c r="AA1940" s="44"/>
      <c r="AB1940" s="45"/>
      <c r="AC1940" s="12"/>
      <c r="AD1940" s="12"/>
      <c r="AE1940" s="12"/>
      <c r="AF1940" s="12"/>
      <c r="AG1940" s="44"/>
      <c r="AH1940" s="45"/>
      <c r="AI1940" s="12"/>
      <c r="AJ1940" s="12"/>
      <c r="AK1940" s="12"/>
      <c r="AL1940" s="12"/>
      <c r="AM1940" s="44"/>
      <c r="AN1940" s="45"/>
      <c r="AO1940" s="12"/>
      <c r="AP1940" s="12"/>
      <c r="AQ1940" s="12"/>
      <c r="AR1940" s="12"/>
      <c r="AS1940" s="44"/>
      <c r="AT1940" s="45"/>
      <c r="AU1940" s="12"/>
      <c r="AV1940" s="12"/>
      <c r="AW1940" s="12"/>
      <c r="AX1940" s="12"/>
      <c r="AY1940" s="44"/>
      <c r="AZ1940" s="45"/>
      <c r="BA1940" s="12"/>
      <c r="BB1940" s="12"/>
      <c r="BC1940" s="12"/>
      <c r="BD1940" s="12"/>
      <c r="BE1940" s="44"/>
      <c r="BF1940" s="45"/>
      <c r="BG1940" s="12"/>
      <c r="BH1940" s="12"/>
      <c r="BI1940" s="12"/>
      <c r="BJ1940" s="12"/>
      <c r="BK1940" s="44"/>
      <c r="BL1940" s="45"/>
      <c r="BM1940" s="12"/>
      <c r="BN1940" s="12"/>
      <c r="BO1940" s="12"/>
      <c r="BP1940" s="12"/>
      <c r="BQ1940" s="48"/>
      <c r="BR1940" s="49"/>
      <c r="BS1940" s="13"/>
      <c r="BT1940" s="12"/>
      <c r="BV1940" s="14"/>
      <c r="BW1940" s="50"/>
      <c r="BX1940" s="54"/>
      <c r="BY1940" s="14"/>
      <c r="BZ1940" s="14"/>
      <c r="CA1940" s="14"/>
      <c r="CB1940" s="14"/>
      <c r="CC1940" s="14"/>
      <c r="CD1940" s="14"/>
      <c r="CE1940" s="14"/>
      <c r="CF1940" s="15"/>
      <c r="CG1940" s="14"/>
      <c r="CH1940" s="14"/>
      <c r="CI1940" s="50"/>
      <c r="CJ1940" s="54"/>
      <c r="CK1940" s="14"/>
      <c r="CL1940" s="14"/>
      <c r="CM1940" s="14"/>
      <c r="CN1940" s="14"/>
      <c r="CO1940" s="14"/>
      <c r="CP1940" s="14"/>
      <c r="CQ1940" s="14"/>
      <c r="CR1940" s="14"/>
      <c r="CS1940" s="14"/>
      <c r="CT1940" s="14"/>
      <c r="CU1940" s="16"/>
      <c r="CV1940" s="14"/>
      <c r="CW1940" s="50"/>
      <c r="CX1940" s="17"/>
    </row>
    <row r="1941" spans="4:102" x14ac:dyDescent="0.25">
      <c r="D1941" s="11"/>
      <c r="E1941" s="11"/>
      <c r="F1941" s="11"/>
      <c r="G1941" s="11"/>
      <c r="H1941" s="11"/>
      <c r="I1941" s="11"/>
      <c r="J1941" s="11"/>
      <c r="K1941" s="11"/>
      <c r="L1941" s="11"/>
      <c r="M1941" s="11"/>
      <c r="N1941" s="11"/>
      <c r="O1941" s="11"/>
      <c r="P1941" s="43"/>
      <c r="Q1941" s="11"/>
      <c r="R1941" s="11"/>
      <c r="S1941" s="11"/>
      <c r="T1941" s="11"/>
      <c r="U1941" s="11"/>
      <c r="V1941" s="11"/>
      <c r="W1941" s="11"/>
      <c r="X1941" s="12"/>
      <c r="Y1941" s="12"/>
      <c r="Z1941" s="12"/>
      <c r="AA1941" s="44"/>
      <c r="AB1941" s="45"/>
      <c r="AC1941" s="12"/>
      <c r="AD1941" s="12"/>
      <c r="AE1941" s="12"/>
      <c r="AF1941" s="12"/>
      <c r="AG1941" s="44"/>
      <c r="AH1941" s="45"/>
      <c r="AI1941" s="12"/>
      <c r="AJ1941" s="12"/>
      <c r="AK1941" s="12"/>
      <c r="AL1941" s="12"/>
      <c r="AM1941" s="44"/>
      <c r="AN1941" s="45"/>
      <c r="AO1941" s="12"/>
      <c r="AP1941" s="12"/>
      <c r="AQ1941" s="12"/>
      <c r="AR1941" s="12"/>
      <c r="AS1941" s="44"/>
      <c r="AT1941" s="45"/>
      <c r="AU1941" s="12"/>
      <c r="AV1941" s="12"/>
      <c r="AW1941" s="12"/>
      <c r="AX1941" s="12"/>
      <c r="AY1941" s="44"/>
      <c r="AZ1941" s="45"/>
      <c r="BA1941" s="12"/>
      <c r="BB1941" s="12"/>
      <c r="BC1941" s="12"/>
      <c r="BD1941" s="12"/>
      <c r="BE1941" s="44"/>
      <c r="BF1941" s="45"/>
      <c r="BG1941" s="12"/>
      <c r="BH1941" s="12"/>
      <c r="BI1941" s="12"/>
      <c r="BJ1941" s="12"/>
      <c r="BK1941" s="44"/>
      <c r="BL1941" s="45"/>
      <c r="BM1941" s="12"/>
      <c r="BN1941" s="12"/>
      <c r="BO1941" s="12"/>
      <c r="BP1941" s="12"/>
      <c r="BQ1941" s="48"/>
      <c r="BR1941" s="49"/>
      <c r="BS1941" s="13"/>
      <c r="BT1941" s="12"/>
      <c r="BV1941" s="14"/>
      <c r="BW1941" s="50"/>
      <c r="BX1941" s="54"/>
      <c r="BY1941" s="14"/>
      <c r="BZ1941" s="14"/>
      <c r="CA1941" s="14"/>
      <c r="CB1941" s="14"/>
      <c r="CC1941" s="14"/>
      <c r="CD1941" s="14"/>
      <c r="CE1941" s="14"/>
      <c r="CF1941" s="15"/>
      <c r="CG1941" s="14"/>
      <c r="CH1941" s="14"/>
      <c r="CI1941" s="50"/>
      <c r="CJ1941" s="54"/>
      <c r="CK1941" s="14"/>
      <c r="CL1941" s="14"/>
      <c r="CM1941" s="14"/>
      <c r="CN1941" s="14"/>
      <c r="CO1941" s="14"/>
      <c r="CP1941" s="14"/>
      <c r="CQ1941" s="14"/>
      <c r="CR1941" s="14"/>
      <c r="CS1941" s="14"/>
      <c r="CT1941" s="14"/>
      <c r="CU1941" s="16"/>
      <c r="CV1941" s="14"/>
      <c r="CW1941" s="50"/>
      <c r="CX1941" s="17"/>
    </row>
    <row r="1942" spans="4:102" x14ac:dyDescent="0.25">
      <c r="D1942" s="11"/>
      <c r="E1942" s="11"/>
      <c r="F1942" s="11"/>
      <c r="G1942" s="11"/>
      <c r="H1942" s="11"/>
      <c r="I1942" s="11"/>
      <c r="J1942" s="11"/>
      <c r="K1942" s="11"/>
      <c r="L1942" s="11"/>
      <c r="M1942" s="11"/>
      <c r="N1942" s="11"/>
      <c r="O1942" s="11"/>
      <c r="P1942" s="43"/>
      <c r="Q1942" s="11"/>
      <c r="R1942" s="11"/>
      <c r="S1942" s="11"/>
      <c r="T1942" s="11"/>
      <c r="U1942" s="11"/>
      <c r="V1942" s="11"/>
      <c r="W1942" s="11"/>
      <c r="X1942" s="12"/>
      <c r="Y1942" s="12"/>
      <c r="Z1942" s="12"/>
      <c r="AA1942" s="44"/>
      <c r="AB1942" s="45"/>
      <c r="AC1942" s="12"/>
      <c r="AD1942" s="12"/>
      <c r="AE1942" s="12"/>
      <c r="AF1942" s="12"/>
      <c r="AG1942" s="44"/>
      <c r="AH1942" s="45"/>
      <c r="AI1942" s="12"/>
      <c r="AJ1942" s="12"/>
      <c r="AK1942" s="12"/>
      <c r="AL1942" s="12"/>
      <c r="AM1942" s="44"/>
      <c r="AN1942" s="45"/>
      <c r="AO1942" s="12"/>
      <c r="AP1942" s="12"/>
      <c r="AQ1942" s="12"/>
      <c r="AR1942" s="12"/>
      <c r="AS1942" s="44"/>
      <c r="AT1942" s="45"/>
      <c r="AU1942" s="12"/>
      <c r="AV1942" s="12"/>
      <c r="AW1942" s="12"/>
      <c r="AX1942" s="12"/>
      <c r="AY1942" s="44"/>
      <c r="AZ1942" s="45"/>
      <c r="BA1942" s="12"/>
      <c r="BB1942" s="12"/>
      <c r="BC1942" s="12"/>
      <c r="BD1942" s="12"/>
      <c r="BE1942" s="44"/>
      <c r="BF1942" s="45"/>
      <c r="BG1942" s="12"/>
      <c r="BH1942" s="12"/>
      <c r="BI1942" s="12"/>
      <c r="BJ1942" s="12"/>
      <c r="BK1942" s="44"/>
      <c r="BL1942" s="45"/>
      <c r="BM1942" s="12"/>
      <c r="BN1942" s="12"/>
      <c r="BO1942" s="12"/>
      <c r="BP1942" s="12"/>
      <c r="BQ1942" s="48"/>
      <c r="BR1942" s="49"/>
      <c r="BS1942" s="13"/>
      <c r="BT1942" s="12"/>
      <c r="BV1942" s="14"/>
      <c r="BW1942" s="50"/>
      <c r="BX1942" s="54"/>
      <c r="BY1942" s="14"/>
      <c r="BZ1942" s="14"/>
      <c r="CA1942" s="14"/>
      <c r="CB1942" s="14"/>
      <c r="CC1942" s="14"/>
      <c r="CD1942" s="14"/>
      <c r="CE1942" s="14"/>
      <c r="CF1942" s="15"/>
      <c r="CG1942" s="14"/>
      <c r="CH1942" s="14"/>
      <c r="CI1942" s="50"/>
      <c r="CJ1942" s="54"/>
      <c r="CK1942" s="14"/>
      <c r="CL1942" s="14"/>
      <c r="CM1942" s="14"/>
      <c r="CN1942" s="14"/>
      <c r="CO1942" s="14"/>
      <c r="CP1942" s="14"/>
      <c r="CQ1942" s="14"/>
      <c r="CR1942" s="14"/>
      <c r="CS1942" s="14"/>
      <c r="CT1942" s="14"/>
      <c r="CU1942" s="16"/>
      <c r="CV1942" s="14"/>
      <c r="CW1942" s="50"/>
      <c r="CX1942" s="17"/>
    </row>
    <row r="1943" spans="4:102" x14ac:dyDescent="0.25">
      <c r="D1943" s="11"/>
      <c r="E1943" s="11"/>
      <c r="F1943" s="11"/>
      <c r="G1943" s="11"/>
      <c r="H1943" s="11"/>
      <c r="I1943" s="11"/>
      <c r="J1943" s="11"/>
      <c r="K1943" s="11"/>
      <c r="L1943" s="11"/>
      <c r="M1943" s="11"/>
      <c r="N1943" s="11"/>
      <c r="O1943" s="11"/>
      <c r="P1943" s="43"/>
      <c r="Q1943" s="11"/>
      <c r="R1943" s="11"/>
      <c r="S1943" s="11"/>
      <c r="T1943" s="11"/>
      <c r="U1943" s="11"/>
      <c r="V1943" s="11"/>
      <c r="W1943" s="11"/>
      <c r="X1943" s="12"/>
      <c r="Y1943" s="12"/>
      <c r="Z1943" s="12"/>
      <c r="AA1943" s="44"/>
      <c r="AB1943" s="45"/>
      <c r="AC1943" s="12"/>
      <c r="AD1943" s="12"/>
      <c r="AE1943" s="12"/>
      <c r="AF1943" s="12"/>
      <c r="AG1943" s="44"/>
      <c r="AH1943" s="45"/>
      <c r="AI1943" s="12"/>
      <c r="AJ1943" s="12"/>
      <c r="AK1943" s="12"/>
      <c r="AL1943" s="12"/>
      <c r="AM1943" s="44"/>
      <c r="AN1943" s="45"/>
      <c r="AO1943" s="12"/>
      <c r="AP1943" s="12"/>
      <c r="AQ1943" s="12"/>
      <c r="AR1943" s="12"/>
      <c r="AS1943" s="44"/>
      <c r="AT1943" s="45"/>
      <c r="AU1943" s="12"/>
      <c r="AV1943" s="12"/>
      <c r="AW1943" s="12"/>
      <c r="AX1943" s="12"/>
      <c r="AY1943" s="44"/>
      <c r="AZ1943" s="45"/>
      <c r="BA1943" s="12"/>
      <c r="BB1943" s="12"/>
      <c r="BC1943" s="12"/>
      <c r="BD1943" s="12"/>
      <c r="BE1943" s="44"/>
      <c r="BF1943" s="45"/>
      <c r="BG1943" s="12"/>
      <c r="BH1943" s="12"/>
      <c r="BI1943" s="12"/>
      <c r="BJ1943" s="12"/>
      <c r="BK1943" s="44"/>
      <c r="BL1943" s="45"/>
      <c r="BM1943" s="12"/>
      <c r="BN1943" s="12"/>
      <c r="BO1943" s="12"/>
      <c r="BP1943" s="12"/>
      <c r="BQ1943" s="48"/>
      <c r="BR1943" s="49"/>
      <c r="BS1943" s="13"/>
      <c r="BT1943" s="12"/>
      <c r="BV1943" s="14"/>
      <c r="BW1943" s="50"/>
      <c r="BX1943" s="54"/>
      <c r="BY1943" s="14"/>
      <c r="BZ1943" s="14"/>
      <c r="CA1943" s="14"/>
      <c r="CB1943" s="14"/>
      <c r="CC1943" s="14"/>
      <c r="CD1943" s="14"/>
      <c r="CE1943" s="14"/>
      <c r="CF1943" s="15"/>
      <c r="CG1943" s="14"/>
      <c r="CH1943" s="14"/>
      <c r="CI1943" s="50"/>
      <c r="CJ1943" s="54"/>
      <c r="CK1943" s="14"/>
      <c r="CL1943" s="14"/>
      <c r="CM1943" s="14"/>
      <c r="CN1943" s="14"/>
      <c r="CO1943" s="14"/>
      <c r="CP1943" s="14"/>
      <c r="CQ1943" s="14"/>
      <c r="CR1943" s="14"/>
      <c r="CS1943" s="14"/>
      <c r="CT1943" s="14"/>
      <c r="CU1943" s="16"/>
      <c r="CV1943" s="14"/>
      <c r="CW1943" s="50"/>
      <c r="CX1943" s="17"/>
    </row>
    <row r="1944" spans="4:102" x14ac:dyDescent="0.25">
      <c r="D1944" s="11"/>
      <c r="E1944" s="11"/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43"/>
      <c r="Q1944" s="11"/>
      <c r="R1944" s="11"/>
      <c r="S1944" s="11"/>
      <c r="T1944" s="11"/>
      <c r="U1944" s="11"/>
      <c r="V1944" s="11"/>
      <c r="W1944" s="11"/>
      <c r="X1944" s="12"/>
      <c r="Y1944" s="12"/>
      <c r="Z1944" s="12"/>
      <c r="AA1944" s="44"/>
      <c r="AB1944" s="45"/>
      <c r="AC1944" s="12"/>
      <c r="AD1944" s="12"/>
      <c r="AE1944" s="12"/>
      <c r="AF1944" s="12"/>
      <c r="AG1944" s="44"/>
      <c r="AH1944" s="45"/>
      <c r="AI1944" s="12"/>
      <c r="AJ1944" s="12"/>
      <c r="AK1944" s="12"/>
      <c r="AL1944" s="12"/>
      <c r="AM1944" s="44"/>
      <c r="AN1944" s="45"/>
      <c r="AO1944" s="12"/>
      <c r="AP1944" s="12"/>
      <c r="AQ1944" s="12"/>
      <c r="AR1944" s="12"/>
      <c r="AS1944" s="44"/>
      <c r="AT1944" s="45"/>
      <c r="AU1944" s="12"/>
      <c r="AV1944" s="12"/>
      <c r="AW1944" s="12"/>
      <c r="AX1944" s="12"/>
      <c r="AY1944" s="44"/>
      <c r="AZ1944" s="45"/>
      <c r="BA1944" s="12"/>
      <c r="BB1944" s="12"/>
      <c r="BC1944" s="12"/>
      <c r="BD1944" s="12"/>
      <c r="BE1944" s="44"/>
      <c r="BF1944" s="45"/>
      <c r="BG1944" s="12"/>
      <c r="BH1944" s="12"/>
      <c r="BI1944" s="12"/>
      <c r="BJ1944" s="12"/>
      <c r="BK1944" s="44"/>
      <c r="BL1944" s="45"/>
      <c r="BM1944" s="12"/>
      <c r="BN1944" s="12"/>
      <c r="BO1944" s="12"/>
      <c r="BP1944" s="12"/>
      <c r="BQ1944" s="48"/>
      <c r="BR1944" s="49"/>
      <c r="BS1944" s="13"/>
      <c r="BT1944" s="12"/>
      <c r="BV1944" s="14"/>
      <c r="BW1944" s="50"/>
      <c r="BX1944" s="54"/>
      <c r="BY1944" s="14"/>
      <c r="BZ1944" s="14"/>
      <c r="CA1944" s="14"/>
      <c r="CB1944" s="14"/>
      <c r="CC1944" s="14"/>
      <c r="CD1944" s="14"/>
      <c r="CE1944" s="14"/>
      <c r="CF1944" s="15"/>
      <c r="CG1944" s="14"/>
      <c r="CH1944" s="14"/>
      <c r="CI1944" s="50"/>
      <c r="CJ1944" s="54"/>
      <c r="CK1944" s="14"/>
      <c r="CL1944" s="14"/>
      <c r="CM1944" s="14"/>
      <c r="CN1944" s="14"/>
      <c r="CO1944" s="14"/>
      <c r="CP1944" s="14"/>
      <c r="CQ1944" s="14"/>
      <c r="CR1944" s="14"/>
      <c r="CS1944" s="14"/>
      <c r="CT1944" s="14"/>
      <c r="CU1944" s="16"/>
      <c r="CV1944" s="14"/>
      <c r="CW1944" s="50"/>
      <c r="CX1944" s="17"/>
    </row>
    <row r="1945" spans="4:102" x14ac:dyDescent="0.25">
      <c r="D1945" s="11"/>
      <c r="E1945" s="11"/>
      <c r="F1945" s="11"/>
      <c r="G1945" s="11"/>
      <c r="H1945" s="11"/>
      <c r="I1945" s="11"/>
      <c r="J1945" s="11"/>
      <c r="K1945" s="11"/>
      <c r="L1945" s="11"/>
      <c r="M1945" s="11"/>
      <c r="N1945" s="11"/>
      <c r="O1945" s="11"/>
      <c r="P1945" s="43"/>
      <c r="Q1945" s="11"/>
      <c r="R1945" s="11"/>
      <c r="S1945" s="11"/>
      <c r="T1945" s="11"/>
      <c r="U1945" s="11"/>
      <c r="V1945" s="11"/>
      <c r="W1945" s="11"/>
      <c r="X1945" s="12"/>
      <c r="Y1945" s="12"/>
      <c r="Z1945" s="12"/>
      <c r="AA1945" s="44"/>
      <c r="AB1945" s="45"/>
      <c r="AC1945" s="12"/>
      <c r="AD1945" s="12"/>
      <c r="AE1945" s="12"/>
      <c r="AF1945" s="12"/>
      <c r="AG1945" s="44"/>
      <c r="AH1945" s="45"/>
      <c r="AI1945" s="12"/>
      <c r="AJ1945" s="12"/>
      <c r="AK1945" s="12"/>
      <c r="AL1945" s="12"/>
      <c r="AM1945" s="44"/>
      <c r="AN1945" s="45"/>
      <c r="AO1945" s="12"/>
      <c r="AP1945" s="12"/>
      <c r="AQ1945" s="12"/>
      <c r="AR1945" s="12"/>
      <c r="AS1945" s="44"/>
      <c r="AT1945" s="45"/>
      <c r="AU1945" s="12"/>
      <c r="AV1945" s="12"/>
      <c r="AW1945" s="12"/>
      <c r="AX1945" s="12"/>
      <c r="AY1945" s="44"/>
      <c r="AZ1945" s="45"/>
      <c r="BA1945" s="12"/>
      <c r="BB1945" s="12"/>
      <c r="BC1945" s="12"/>
      <c r="BD1945" s="12"/>
      <c r="BE1945" s="44"/>
      <c r="BF1945" s="45"/>
      <c r="BG1945" s="12"/>
      <c r="BH1945" s="12"/>
      <c r="BI1945" s="12"/>
      <c r="BJ1945" s="12"/>
      <c r="BK1945" s="44"/>
      <c r="BL1945" s="45"/>
      <c r="BM1945" s="12"/>
      <c r="BN1945" s="12"/>
      <c r="BO1945" s="12"/>
      <c r="BP1945" s="12"/>
      <c r="BQ1945" s="48"/>
      <c r="BR1945" s="49"/>
      <c r="BS1945" s="13"/>
      <c r="BT1945" s="12"/>
      <c r="BV1945" s="14"/>
      <c r="BW1945" s="50"/>
      <c r="BX1945" s="54"/>
      <c r="BY1945" s="14"/>
      <c r="BZ1945" s="14"/>
      <c r="CA1945" s="14"/>
      <c r="CB1945" s="14"/>
      <c r="CC1945" s="14"/>
      <c r="CD1945" s="14"/>
      <c r="CE1945" s="14"/>
      <c r="CF1945" s="15"/>
      <c r="CG1945" s="14"/>
      <c r="CH1945" s="14"/>
      <c r="CI1945" s="50"/>
      <c r="CJ1945" s="54"/>
      <c r="CK1945" s="14"/>
      <c r="CL1945" s="14"/>
      <c r="CM1945" s="14"/>
      <c r="CN1945" s="14"/>
      <c r="CO1945" s="14"/>
      <c r="CP1945" s="14"/>
      <c r="CQ1945" s="14"/>
      <c r="CR1945" s="14"/>
      <c r="CS1945" s="14"/>
      <c r="CT1945" s="14"/>
      <c r="CU1945" s="16"/>
      <c r="CV1945" s="14"/>
      <c r="CW1945" s="50"/>
      <c r="CX1945" s="17"/>
    </row>
    <row r="1946" spans="4:102" x14ac:dyDescent="0.25">
      <c r="D1946" s="11"/>
      <c r="E1946" s="11"/>
      <c r="F1946" s="11"/>
      <c r="G1946" s="11"/>
      <c r="H1946" s="11"/>
      <c r="I1946" s="11"/>
      <c r="J1946" s="11"/>
      <c r="K1946" s="11"/>
      <c r="L1946" s="11"/>
      <c r="M1946" s="11"/>
      <c r="N1946" s="11"/>
      <c r="O1946" s="11"/>
      <c r="P1946" s="43"/>
      <c r="Q1946" s="11"/>
      <c r="R1946" s="11"/>
      <c r="S1946" s="11"/>
      <c r="T1946" s="11"/>
      <c r="U1946" s="11"/>
      <c r="V1946" s="11"/>
      <c r="W1946" s="11"/>
      <c r="X1946" s="12"/>
      <c r="Y1946" s="12"/>
      <c r="Z1946" s="12"/>
      <c r="AA1946" s="44"/>
      <c r="AB1946" s="45"/>
      <c r="AC1946" s="12"/>
      <c r="AD1946" s="12"/>
      <c r="AE1946" s="12"/>
      <c r="AF1946" s="12"/>
      <c r="AG1946" s="44"/>
      <c r="AH1946" s="45"/>
      <c r="AI1946" s="12"/>
      <c r="AJ1946" s="12"/>
      <c r="AK1946" s="12"/>
      <c r="AL1946" s="12"/>
      <c r="AM1946" s="44"/>
      <c r="AN1946" s="45"/>
      <c r="AO1946" s="12"/>
      <c r="AP1946" s="12"/>
      <c r="AQ1946" s="12"/>
      <c r="AR1946" s="12"/>
      <c r="AS1946" s="44"/>
      <c r="AT1946" s="45"/>
      <c r="AU1946" s="12"/>
      <c r="AV1946" s="12"/>
      <c r="AW1946" s="12"/>
      <c r="AX1946" s="12"/>
      <c r="AY1946" s="44"/>
      <c r="AZ1946" s="45"/>
      <c r="BA1946" s="12"/>
      <c r="BB1946" s="12"/>
      <c r="BC1946" s="12"/>
      <c r="BD1946" s="12"/>
      <c r="BE1946" s="44"/>
      <c r="BF1946" s="45"/>
      <c r="BG1946" s="12"/>
      <c r="BH1946" s="12"/>
      <c r="BI1946" s="12"/>
      <c r="BJ1946" s="12"/>
      <c r="BK1946" s="44"/>
      <c r="BL1946" s="45"/>
      <c r="BM1946" s="12"/>
      <c r="BN1946" s="12"/>
      <c r="BO1946" s="12"/>
      <c r="BP1946" s="12"/>
      <c r="BQ1946" s="48"/>
      <c r="BR1946" s="49"/>
      <c r="BS1946" s="13"/>
      <c r="BT1946" s="12"/>
      <c r="BV1946" s="14"/>
      <c r="BW1946" s="50"/>
      <c r="BX1946" s="54"/>
      <c r="BY1946" s="14"/>
      <c r="BZ1946" s="14"/>
      <c r="CA1946" s="14"/>
      <c r="CB1946" s="14"/>
      <c r="CC1946" s="14"/>
      <c r="CD1946" s="14"/>
      <c r="CE1946" s="14"/>
      <c r="CF1946" s="15"/>
      <c r="CG1946" s="14"/>
      <c r="CH1946" s="14"/>
      <c r="CI1946" s="50"/>
      <c r="CJ1946" s="54"/>
      <c r="CK1946" s="14"/>
      <c r="CL1946" s="14"/>
      <c r="CM1946" s="14"/>
      <c r="CN1946" s="14"/>
      <c r="CO1946" s="14"/>
      <c r="CP1946" s="14"/>
      <c r="CQ1946" s="14"/>
      <c r="CR1946" s="14"/>
      <c r="CS1946" s="14"/>
      <c r="CT1946" s="14"/>
      <c r="CU1946" s="16"/>
      <c r="CV1946" s="14"/>
      <c r="CW1946" s="50"/>
      <c r="CX1946" s="17"/>
    </row>
    <row r="1947" spans="4:102" x14ac:dyDescent="0.25">
      <c r="D1947" s="11"/>
      <c r="E1947" s="11"/>
      <c r="F1947" s="11"/>
      <c r="G1947" s="11"/>
      <c r="H1947" s="11"/>
      <c r="I1947" s="11"/>
      <c r="J1947" s="11"/>
      <c r="K1947" s="11"/>
      <c r="L1947" s="11"/>
      <c r="M1947" s="11"/>
      <c r="N1947" s="11"/>
      <c r="O1947" s="11"/>
      <c r="P1947" s="43"/>
      <c r="Q1947" s="11"/>
      <c r="R1947" s="11"/>
      <c r="S1947" s="11"/>
      <c r="T1947" s="11"/>
      <c r="U1947" s="11"/>
      <c r="V1947" s="11"/>
      <c r="W1947" s="11"/>
      <c r="X1947" s="12"/>
      <c r="Y1947" s="12"/>
      <c r="Z1947" s="12"/>
      <c r="AA1947" s="44"/>
      <c r="AB1947" s="45"/>
      <c r="AC1947" s="12"/>
      <c r="AD1947" s="12"/>
      <c r="AE1947" s="12"/>
      <c r="AF1947" s="12"/>
      <c r="AG1947" s="44"/>
      <c r="AH1947" s="45"/>
      <c r="AI1947" s="12"/>
      <c r="AJ1947" s="12"/>
      <c r="AK1947" s="12"/>
      <c r="AL1947" s="12"/>
      <c r="AM1947" s="44"/>
      <c r="AN1947" s="45"/>
      <c r="AO1947" s="12"/>
      <c r="AP1947" s="12"/>
      <c r="AQ1947" s="12"/>
      <c r="AR1947" s="12"/>
      <c r="AS1947" s="44"/>
      <c r="AT1947" s="45"/>
      <c r="AU1947" s="12"/>
      <c r="AV1947" s="12"/>
      <c r="AW1947" s="12"/>
      <c r="AX1947" s="12"/>
      <c r="AY1947" s="44"/>
      <c r="AZ1947" s="45"/>
      <c r="BA1947" s="12"/>
      <c r="BB1947" s="12"/>
      <c r="BC1947" s="12"/>
      <c r="BD1947" s="12"/>
      <c r="BE1947" s="44"/>
      <c r="BF1947" s="45"/>
      <c r="BG1947" s="12"/>
      <c r="BH1947" s="12"/>
      <c r="BI1947" s="12"/>
      <c r="BJ1947" s="12"/>
      <c r="BK1947" s="44"/>
      <c r="BL1947" s="45"/>
      <c r="BM1947" s="12"/>
      <c r="BN1947" s="12"/>
      <c r="BO1947" s="12"/>
      <c r="BP1947" s="12"/>
      <c r="BQ1947" s="48"/>
      <c r="BR1947" s="49"/>
      <c r="BS1947" s="13"/>
      <c r="BT1947" s="12"/>
      <c r="BV1947" s="14"/>
      <c r="BW1947" s="50"/>
      <c r="BX1947" s="54"/>
      <c r="BY1947" s="14"/>
      <c r="BZ1947" s="14"/>
      <c r="CA1947" s="14"/>
      <c r="CB1947" s="14"/>
      <c r="CC1947" s="14"/>
      <c r="CD1947" s="14"/>
      <c r="CE1947" s="14"/>
      <c r="CF1947" s="15"/>
      <c r="CG1947" s="14"/>
      <c r="CH1947" s="14"/>
      <c r="CI1947" s="50"/>
      <c r="CJ1947" s="54"/>
      <c r="CK1947" s="14"/>
      <c r="CL1947" s="14"/>
      <c r="CM1947" s="14"/>
      <c r="CN1947" s="14"/>
      <c r="CO1947" s="14"/>
      <c r="CP1947" s="14"/>
      <c r="CQ1947" s="14"/>
      <c r="CR1947" s="14"/>
      <c r="CS1947" s="14"/>
      <c r="CT1947" s="14"/>
      <c r="CU1947" s="16"/>
      <c r="CV1947" s="14"/>
      <c r="CW1947" s="50"/>
      <c r="CX1947" s="17"/>
    </row>
    <row r="1948" spans="4:102" x14ac:dyDescent="0.25">
      <c r="D1948" s="11"/>
      <c r="E1948" s="11"/>
      <c r="F1948" s="11"/>
      <c r="G1948" s="11"/>
      <c r="H1948" s="11"/>
      <c r="I1948" s="11"/>
      <c r="J1948" s="11"/>
      <c r="K1948" s="11"/>
      <c r="L1948" s="11"/>
      <c r="M1948" s="11"/>
      <c r="N1948" s="11"/>
      <c r="O1948" s="11"/>
      <c r="P1948" s="43"/>
      <c r="Q1948" s="11"/>
      <c r="R1948" s="11"/>
      <c r="S1948" s="11"/>
      <c r="T1948" s="11"/>
      <c r="U1948" s="11"/>
      <c r="V1948" s="11"/>
      <c r="W1948" s="11"/>
      <c r="X1948" s="12"/>
      <c r="Y1948" s="12"/>
      <c r="Z1948" s="12"/>
      <c r="AA1948" s="44"/>
      <c r="AB1948" s="45"/>
      <c r="AC1948" s="12"/>
      <c r="AD1948" s="12"/>
      <c r="AE1948" s="12"/>
      <c r="AF1948" s="12"/>
      <c r="AG1948" s="44"/>
      <c r="AH1948" s="45"/>
      <c r="AI1948" s="12"/>
      <c r="AJ1948" s="12"/>
      <c r="AK1948" s="12"/>
      <c r="AL1948" s="12"/>
      <c r="AM1948" s="44"/>
      <c r="AN1948" s="45"/>
      <c r="AO1948" s="12"/>
      <c r="AP1948" s="12"/>
      <c r="AQ1948" s="12"/>
      <c r="AR1948" s="12"/>
      <c r="AS1948" s="44"/>
      <c r="AT1948" s="45"/>
      <c r="AU1948" s="12"/>
      <c r="AV1948" s="12"/>
      <c r="AW1948" s="12"/>
      <c r="AX1948" s="12"/>
      <c r="AY1948" s="44"/>
      <c r="AZ1948" s="45"/>
      <c r="BA1948" s="12"/>
      <c r="BB1948" s="12"/>
      <c r="BC1948" s="12"/>
      <c r="BD1948" s="12"/>
      <c r="BE1948" s="44"/>
      <c r="BF1948" s="45"/>
      <c r="BG1948" s="12"/>
      <c r="BH1948" s="12"/>
      <c r="BI1948" s="12"/>
      <c r="BJ1948" s="12"/>
      <c r="BK1948" s="44"/>
      <c r="BL1948" s="45"/>
      <c r="BM1948" s="12"/>
      <c r="BN1948" s="12"/>
      <c r="BO1948" s="12"/>
      <c r="BP1948" s="12"/>
      <c r="BQ1948" s="48"/>
      <c r="BR1948" s="49"/>
      <c r="BS1948" s="13"/>
      <c r="BT1948" s="12"/>
      <c r="BV1948" s="14"/>
      <c r="BW1948" s="50"/>
      <c r="BX1948" s="54"/>
      <c r="BY1948" s="14"/>
      <c r="BZ1948" s="14"/>
      <c r="CA1948" s="14"/>
      <c r="CB1948" s="14"/>
      <c r="CC1948" s="14"/>
      <c r="CD1948" s="14"/>
      <c r="CE1948" s="14"/>
      <c r="CF1948" s="15"/>
      <c r="CG1948" s="14"/>
      <c r="CH1948" s="14"/>
      <c r="CI1948" s="50"/>
      <c r="CJ1948" s="54"/>
      <c r="CK1948" s="14"/>
      <c r="CL1948" s="14"/>
      <c r="CM1948" s="14"/>
      <c r="CN1948" s="14"/>
      <c r="CO1948" s="14"/>
      <c r="CP1948" s="14"/>
      <c r="CQ1948" s="14"/>
      <c r="CR1948" s="14"/>
      <c r="CS1948" s="14"/>
      <c r="CT1948" s="14"/>
      <c r="CU1948" s="16"/>
      <c r="CV1948" s="14"/>
      <c r="CW1948" s="50"/>
      <c r="CX1948" s="17"/>
    </row>
    <row r="1949" spans="4:102" x14ac:dyDescent="0.25">
      <c r="D1949" s="11"/>
      <c r="E1949" s="11"/>
      <c r="F1949" s="11"/>
      <c r="G1949" s="11"/>
      <c r="H1949" s="11"/>
      <c r="I1949" s="11"/>
      <c r="J1949" s="11"/>
      <c r="K1949" s="11"/>
      <c r="L1949" s="11"/>
      <c r="M1949" s="11"/>
      <c r="N1949" s="11"/>
      <c r="O1949" s="11"/>
      <c r="P1949" s="43"/>
      <c r="Q1949" s="11"/>
      <c r="R1949" s="11"/>
      <c r="S1949" s="11"/>
      <c r="T1949" s="11"/>
      <c r="U1949" s="11"/>
      <c r="V1949" s="11"/>
      <c r="W1949" s="11"/>
      <c r="X1949" s="12"/>
      <c r="Y1949" s="12"/>
      <c r="Z1949" s="12"/>
      <c r="AA1949" s="44"/>
      <c r="AB1949" s="45"/>
      <c r="AC1949" s="12"/>
      <c r="AD1949" s="12"/>
      <c r="AE1949" s="12"/>
      <c r="AF1949" s="12"/>
      <c r="AG1949" s="44"/>
      <c r="AH1949" s="45"/>
      <c r="AI1949" s="12"/>
      <c r="AJ1949" s="12"/>
      <c r="AK1949" s="12"/>
      <c r="AL1949" s="12"/>
      <c r="AM1949" s="44"/>
      <c r="AN1949" s="45"/>
      <c r="AO1949" s="12"/>
      <c r="AP1949" s="12"/>
      <c r="AQ1949" s="12"/>
      <c r="AR1949" s="12"/>
      <c r="AS1949" s="44"/>
      <c r="AT1949" s="45"/>
      <c r="AU1949" s="12"/>
      <c r="AV1949" s="12"/>
      <c r="AW1949" s="12"/>
      <c r="AX1949" s="12"/>
      <c r="AY1949" s="44"/>
      <c r="AZ1949" s="45"/>
      <c r="BA1949" s="12"/>
      <c r="BB1949" s="12"/>
      <c r="BC1949" s="12"/>
      <c r="BD1949" s="12"/>
      <c r="BE1949" s="44"/>
      <c r="BF1949" s="45"/>
      <c r="BG1949" s="12"/>
      <c r="BH1949" s="12"/>
      <c r="BI1949" s="12"/>
      <c r="BJ1949" s="12"/>
      <c r="BK1949" s="44"/>
      <c r="BL1949" s="45"/>
      <c r="BM1949" s="12"/>
      <c r="BN1949" s="12"/>
      <c r="BO1949" s="12"/>
      <c r="BP1949" s="12"/>
      <c r="BQ1949" s="48"/>
      <c r="BR1949" s="49"/>
      <c r="BS1949" s="13"/>
      <c r="BT1949" s="12"/>
      <c r="BV1949" s="14"/>
      <c r="BW1949" s="50"/>
      <c r="BX1949" s="54"/>
      <c r="BY1949" s="14"/>
      <c r="BZ1949" s="14"/>
      <c r="CA1949" s="14"/>
      <c r="CB1949" s="14"/>
      <c r="CC1949" s="14"/>
      <c r="CD1949" s="14"/>
      <c r="CE1949" s="14"/>
      <c r="CF1949" s="15"/>
      <c r="CG1949" s="14"/>
      <c r="CH1949" s="14"/>
      <c r="CI1949" s="50"/>
      <c r="CJ1949" s="54"/>
      <c r="CK1949" s="14"/>
      <c r="CL1949" s="14"/>
      <c r="CM1949" s="14"/>
      <c r="CN1949" s="14"/>
      <c r="CO1949" s="14"/>
      <c r="CP1949" s="14"/>
      <c r="CQ1949" s="14"/>
      <c r="CR1949" s="14"/>
      <c r="CS1949" s="14"/>
      <c r="CT1949" s="14"/>
      <c r="CU1949" s="16"/>
      <c r="CV1949" s="14"/>
      <c r="CW1949" s="50"/>
      <c r="CX1949" s="17"/>
    </row>
    <row r="1950" spans="4:102" x14ac:dyDescent="0.25">
      <c r="D1950" s="11"/>
      <c r="E1950" s="11"/>
      <c r="F1950" s="11"/>
      <c r="G1950" s="11"/>
      <c r="H1950" s="11"/>
      <c r="I1950" s="11"/>
      <c r="J1950" s="11"/>
      <c r="K1950" s="11"/>
      <c r="L1950" s="11"/>
      <c r="M1950" s="11"/>
      <c r="N1950" s="11"/>
      <c r="O1950" s="11"/>
      <c r="P1950" s="43"/>
      <c r="Q1950" s="11"/>
      <c r="R1950" s="11"/>
      <c r="S1950" s="11"/>
      <c r="T1950" s="11"/>
      <c r="U1950" s="11"/>
      <c r="V1950" s="11"/>
      <c r="W1950" s="11"/>
      <c r="X1950" s="12"/>
      <c r="Y1950" s="12"/>
      <c r="Z1950" s="12"/>
      <c r="AA1950" s="44"/>
      <c r="AB1950" s="45"/>
      <c r="AC1950" s="12"/>
      <c r="AD1950" s="12"/>
      <c r="AE1950" s="12"/>
      <c r="AF1950" s="12"/>
      <c r="AG1950" s="44"/>
      <c r="AH1950" s="45"/>
      <c r="AI1950" s="12"/>
      <c r="AJ1950" s="12"/>
      <c r="AK1950" s="12"/>
      <c r="AL1950" s="12"/>
      <c r="AM1950" s="44"/>
      <c r="AN1950" s="45"/>
      <c r="AO1950" s="12"/>
      <c r="AP1950" s="12"/>
      <c r="AQ1950" s="12"/>
      <c r="AR1950" s="12"/>
      <c r="AS1950" s="44"/>
      <c r="AT1950" s="45"/>
      <c r="AU1950" s="12"/>
      <c r="AV1950" s="12"/>
      <c r="AW1950" s="12"/>
      <c r="AX1950" s="12"/>
      <c r="AY1950" s="44"/>
      <c r="AZ1950" s="45"/>
      <c r="BA1950" s="12"/>
      <c r="BB1950" s="12"/>
      <c r="BC1950" s="12"/>
      <c r="BD1950" s="12"/>
      <c r="BE1950" s="44"/>
      <c r="BF1950" s="45"/>
      <c r="BG1950" s="12"/>
      <c r="BH1950" s="12"/>
      <c r="BI1950" s="12"/>
      <c r="BJ1950" s="12"/>
      <c r="BK1950" s="44"/>
      <c r="BL1950" s="45"/>
      <c r="BM1950" s="12"/>
      <c r="BN1950" s="12"/>
      <c r="BO1950" s="12"/>
      <c r="BP1950" s="12"/>
      <c r="BQ1950" s="48"/>
      <c r="BR1950" s="49"/>
      <c r="BS1950" s="13"/>
      <c r="BT1950" s="12"/>
      <c r="BV1950" s="14"/>
      <c r="BW1950" s="50"/>
      <c r="BX1950" s="54"/>
      <c r="BY1950" s="14"/>
      <c r="BZ1950" s="14"/>
      <c r="CA1950" s="14"/>
      <c r="CB1950" s="14"/>
      <c r="CC1950" s="14"/>
      <c r="CD1950" s="14"/>
      <c r="CE1950" s="14"/>
      <c r="CF1950" s="15"/>
      <c r="CG1950" s="14"/>
      <c r="CH1950" s="14"/>
      <c r="CI1950" s="50"/>
      <c r="CJ1950" s="54"/>
      <c r="CK1950" s="14"/>
      <c r="CL1950" s="14"/>
      <c r="CM1950" s="14"/>
      <c r="CN1950" s="14"/>
      <c r="CO1950" s="14"/>
      <c r="CP1950" s="14"/>
      <c r="CQ1950" s="14"/>
      <c r="CR1950" s="14"/>
      <c r="CS1950" s="14"/>
      <c r="CT1950" s="14"/>
      <c r="CU1950" s="16"/>
      <c r="CV1950" s="14"/>
      <c r="CW1950" s="50"/>
      <c r="CX1950" s="17"/>
    </row>
    <row r="1951" spans="4:102" x14ac:dyDescent="0.25">
      <c r="D1951" s="11"/>
      <c r="E1951" s="11"/>
      <c r="F1951" s="11"/>
      <c r="G1951" s="11"/>
      <c r="H1951" s="11"/>
      <c r="I1951" s="11"/>
      <c r="J1951" s="11"/>
      <c r="K1951" s="11"/>
      <c r="L1951" s="11"/>
      <c r="M1951" s="11"/>
      <c r="N1951" s="11"/>
      <c r="O1951" s="11"/>
      <c r="P1951" s="43"/>
      <c r="Q1951" s="11"/>
      <c r="R1951" s="11"/>
      <c r="S1951" s="11"/>
      <c r="T1951" s="11"/>
      <c r="U1951" s="11"/>
      <c r="V1951" s="11"/>
      <c r="W1951" s="11"/>
      <c r="X1951" s="12"/>
      <c r="Y1951" s="12"/>
      <c r="Z1951" s="12"/>
      <c r="AA1951" s="44"/>
      <c r="AB1951" s="45"/>
      <c r="AC1951" s="12"/>
      <c r="AD1951" s="12"/>
      <c r="AE1951" s="12"/>
      <c r="AF1951" s="12"/>
      <c r="AG1951" s="44"/>
      <c r="AH1951" s="45"/>
      <c r="AI1951" s="12"/>
      <c r="AJ1951" s="12"/>
      <c r="AK1951" s="12"/>
      <c r="AL1951" s="12"/>
      <c r="AM1951" s="44"/>
      <c r="AN1951" s="45"/>
      <c r="AO1951" s="12"/>
      <c r="AP1951" s="12"/>
      <c r="AQ1951" s="12"/>
      <c r="AR1951" s="12"/>
      <c r="AS1951" s="44"/>
      <c r="AT1951" s="45"/>
      <c r="AU1951" s="12"/>
      <c r="AV1951" s="12"/>
      <c r="AW1951" s="12"/>
      <c r="AX1951" s="12"/>
      <c r="AY1951" s="44"/>
      <c r="AZ1951" s="45"/>
      <c r="BA1951" s="12"/>
      <c r="BB1951" s="12"/>
      <c r="BC1951" s="12"/>
      <c r="BD1951" s="12"/>
      <c r="BE1951" s="44"/>
      <c r="BF1951" s="45"/>
      <c r="BG1951" s="12"/>
      <c r="BH1951" s="12"/>
      <c r="BI1951" s="12"/>
      <c r="BJ1951" s="12"/>
      <c r="BK1951" s="44"/>
      <c r="BL1951" s="45"/>
      <c r="BM1951" s="12"/>
      <c r="BN1951" s="12"/>
      <c r="BO1951" s="12"/>
      <c r="BP1951" s="12"/>
      <c r="BQ1951" s="48"/>
      <c r="BR1951" s="49"/>
      <c r="BS1951" s="13"/>
      <c r="BT1951" s="12"/>
      <c r="BV1951" s="14"/>
      <c r="BW1951" s="50"/>
      <c r="BX1951" s="54"/>
      <c r="BY1951" s="14"/>
      <c r="BZ1951" s="14"/>
      <c r="CA1951" s="14"/>
      <c r="CB1951" s="14"/>
      <c r="CC1951" s="14"/>
      <c r="CD1951" s="14"/>
      <c r="CE1951" s="14"/>
      <c r="CF1951" s="15"/>
      <c r="CG1951" s="14"/>
      <c r="CH1951" s="14"/>
      <c r="CI1951" s="50"/>
      <c r="CJ1951" s="54"/>
      <c r="CK1951" s="14"/>
      <c r="CL1951" s="14"/>
      <c r="CM1951" s="14"/>
      <c r="CN1951" s="14"/>
      <c r="CO1951" s="14"/>
      <c r="CP1951" s="14"/>
      <c r="CQ1951" s="14"/>
      <c r="CR1951" s="14"/>
      <c r="CS1951" s="14"/>
      <c r="CT1951" s="14"/>
      <c r="CU1951" s="16"/>
      <c r="CV1951" s="14"/>
      <c r="CW1951" s="50"/>
      <c r="CX1951" s="17"/>
    </row>
    <row r="1952" spans="4:102" x14ac:dyDescent="0.25">
      <c r="D1952" s="11"/>
      <c r="E1952" s="11"/>
      <c r="F1952" s="11"/>
      <c r="G1952" s="11"/>
      <c r="H1952" s="11"/>
      <c r="I1952" s="11"/>
      <c r="J1952" s="11"/>
      <c r="K1952" s="11"/>
      <c r="L1952" s="11"/>
      <c r="M1952" s="11"/>
      <c r="N1952" s="11"/>
      <c r="O1952" s="11"/>
      <c r="P1952" s="43"/>
      <c r="Q1952" s="11"/>
      <c r="R1952" s="11"/>
      <c r="S1952" s="11"/>
      <c r="T1952" s="11"/>
      <c r="U1952" s="11"/>
      <c r="V1952" s="11"/>
      <c r="W1952" s="11"/>
      <c r="X1952" s="12"/>
      <c r="Y1952" s="12"/>
      <c r="Z1952" s="12"/>
      <c r="AA1952" s="44"/>
      <c r="AB1952" s="45"/>
      <c r="AC1952" s="12"/>
      <c r="AD1952" s="12"/>
      <c r="AE1952" s="12"/>
      <c r="AF1952" s="12"/>
      <c r="AG1952" s="44"/>
      <c r="AH1952" s="45"/>
      <c r="AI1952" s="12"/>
      <c r="AJ1952" s="12"/>
      <c r="AK1952" s="12"/>
      <c r="AL1952" s="12"/>
      <c r="AM1952" s="44"/>
      <c r="AN1952" s="45"/>
      <c r="AO1952" s="12"/>
      <c r="AP1952" s="12"/>
      <c r="AQ1952" s="12"/>
      <c r="AR1952" s="12"/>
      <c r="AS1952" s="44"/>
      <c r="AT1952" s="45"/>
      <c r="AU1952" s="12"/>
      <c r="AV1952" s="12"/>
      <c r="AW1952" s="12"/>
      <c r="AX1952" s="12"/>
      <c r="AY1952" s="44"/>
      <c r="AZ1952" s="45"/>
      <c r="BA1952" s="12"/>
      <c r="BB1952" s="12"/>
      <c r="BC1952" s="12"/>
      <c r="BD1952" s="12"/>
      <c r="BE1952" s="44"/>
      <c r="BF1952" s="45"/>
      <c r="BG1952" s="12"/>
      <c r="BH1952" s="12"/>
      <c r="BI1952" s="12"/>
      <c r="BJ1952" s="12"/>
      <c r="BK1952" s="44"/>
      <c r="BL1952" s="45"/>
      <c r="BM1952" s="12"/>
      <c r="BN1952" s="12"/>
      <c r="BO1952" s="12"/>
      <c r="BP1952" s="12"/>
      <c r="BQ1952" s="48"/>
      <c r="BR1952" s="49"/>
      <c r="BS1952" s="13"/>
      <c r="BT1952" s="12"/>
      <c r="BV1952" s="14"/>
      <c r="BW1952" s="50"/>
      <c r="BX1952" s="54"/>
      <c r="BY1952" s="14"/>
      <c r="BZ1952" s="14"/>
      <c r="CA1952" s="14"/>
      <c r="CB1952" s="14"/>
      <c r="CC1952" s="14"/>
      <c r="CD1952" s="14"/>
      <c r="CE1952" s="14"/>
      <c r="CF1952" s="15"/>
      <c r="CG1952" s="14"/>
      <c r="CH1952" s="14"/>
      <c r="CI1952" s="50"/>
      <c r="CJ1952" s="54"/>
      <c r="CK1952" s="14"/>
      <c r="CL1952" s="14"/>
      <c r="CM1952" s="14"/>
      <c r="CN1952" s="14"/>
      <c r="CO1952" s="14"/>
      <c r="CP1952" s="14"/>
      <c r="CQ1952" s="14"/>
      <c r="CR1952" s="14"/>
      <c r="CS1952" s="14"/>
      <c r="CT1952" s="14"/>
      <c r="CU1952" s="16"/>
      <c r="CV1952" s="14"/>
      <c r="CW1952" s="50"/>
      <c r="CX1952" s="17"/>
    </row>
    <row r="1953" spans="4:102" x14ac:dyDescent="0.25">
      <c r="D1953" s="11"/>
      <c r="E1953" s="11"/>
      <c r="F1953" s="11"/>
      <c r="G1953" s="11"/>
      <c r="H1953" s="11"/>
      <c r="I1953" s="11"/>
      <c r="J1953" s="11"/>
      <c r="K1953" s="11"/>
      <c r="L1953" s="11"/>
      <c r="M1953" s="11"/>
      <c r="N1953" s="11"/>
      <c r="O1953" s="11"/>
      <c r="P1953" s="43"/>
      <c r="Q1953" s="11"/>
      <c r="R1953" s="11"/>
      <c r="S1953" s="11"/>
      <c r="T1953" s="11"/>
      <c r="U1953" s="11"/>
      <c r="V1953" s="11"/>
      <c r="W1953" s="11"/>
      <c r="X1953" s="12"/>
      <c r="Y1953" s="12"/>
      <c r="Z1953" s="12"/>
      <c r="AA1953" s="44"/>
      <c r="AB1953" s="45"/>
      <c r="AC1953" s="12"/>
      <c r="AD1953" s="12"/>
      <c r="AE1953" s="12"/>
      <c r="AF1953" s="12"/>
      <c r="AG1953" s="44"/>
      <c r="AH1953" s="45"/>
      <c r="AI1953" s="12"/>
      <c r="AJ1953" s="12"/>
      <c r="AK1953" s="12"/>
      <c r="AL1953" s="12"/>
      <c r="AM1953" s="44"/>
      <c r="AN1953" s="45"/>
      <c r="AO1953" s="12"/>
      <c r="AP1953" s="12"/>
      <c r="AQ1953" s="12"/>
      <c r="AR1953" s="12"/>
      <c r="AS1953" s="44"/>
      <c r="AT1953" s="45"/>
      <c r="AU1953" s="12"/>
      <c r="AV1953" s="12"/>
      <c r="AW1953" s="12"/>
      <c r="AX1953" s="12"/>
      <c r="AY1953" s="44"/>
      <c r="AZ1953" s="45"/>
      <c r="BA1953" s="12"/>
      <c r="BB1953" s="12"/>
      <c r="BC1953" s="12"/>
      <c r="BD1953" s="12"/>
      <c r="BE1953" s="44"/>
      <c r="BF1953" s="45"/>
      <c r="BG1953" s="12"/>
      <c r="BH1953" s="12"/>
      <c r="BI1953" s="12"/>
      <c r="BJ1953" s="12"/>
      <c r="BK1953" s="44"/>
      <c r="BL1953" s="45"/>
      <c r="BM1953" s="12"/>
      <c r="BN1953" s="12"/>
      <c r="BO1953" s="12"/>
      <c r="BP1953" s="12"/>
      <c r="BQ1953" s="48"/>
      <c r="BR1953" s="49"/>
      <c r="BS1953" s="13"/>
      <c r="BT1953" s="12"/>
      <c r="BV1953" s="14"/>
      <c r="BW1953" s="50"/>
      <c r="BX1953" s="54"/>
      <c r="BY1953" s="14"/>
      <c r="BZ1953" s="14"/>
      <c r="CA1953" s="14"/>
      <c r="CB1953" s="14"/>
      <c r="CC1953" s="14"/>
      <c r="CD1953" s="14"/>
      <c r="CE1953" s="14"/>
      <c r="CF1953" s="15"/>
      <c r="CG1953" s="14"/>
      <c r="CH1953" s="14"/>
      <c r="CI1953" s="50"/>
      <c r="CJ1953" s="54"/>
      <c r="CK1953" s="14"/>
      <c r="CL1953" s="14"/>
      <c r="CM1953" s="14"/>
      <c r="CN1953" s="14"/>
      <c r="CO1953" s="14"/>
      <c r="CP1953" s="14"/>
      <c r="CQ1953" s="14"/>
      <c r="CR1953" s="14"/>
      <c r="CS1953" s="14"/>
      <c r="CT1953" s="14"/>
      <c r="CU1953" s="16"/>
      <c r="CV1953" s="14"/>
      <c r="CW1953" s="50"/>
      <c r="CX1953" s="17"/>
    </row>
    <row r="1954" spans="4:102" x14ac:dyDescent="0.25">
      <c r="D1954" s="11"/>
      <c r="E1954" s="11"/>
      <c r="F1954" s="11"/>
      <c r="G1954" s="11"/>
      <c r="H1954" s="11"/>
      <c r="I1954" s="11"/>
      <c r="J1954" s="11"/>
      <c r="K1954" s="11"/>
      <c r="L1954" s="11"/>
      <c r="M1954" s="11"/>
      <c r="N1954" s="11"/>
      <c r="O1954" s="11"/>
      <c r="P1954" s="43"/>
      <c r="Q1954" s="11"/>
      <c r="R1954" s="11"/>
      <c r="S1954" s="11"/>
      <c r="T1954" s="11"/>
      <c r="U1954" s="11"/>
      <c r="V1954" s="11"/>
      <c r="W1954" s="11"/>
      <c r="X1954" s="12"/>
      <c r="Y1954" s="12"/>
      <c r="Z1954" s="12"/>
      <c r="AA1954" s="44"/>
      <c r="AB1954" s="45"/>
      <c r="AC1954" s="12"/>
      <c r="AD1954" s="12"/>
      <c r="AE1954" s="12"/>
      <c r="AF1954" s="12"/>
      <c r="AG1954" s="44"/>
      <c r="AH1954" s="45"/>
      <c r="AI1954" s="12"/>
      <c r="AJ1954" s="12"/>
      <c r="AK1954" s="12"/>
      <c r="AL1954" s="12"/>
      <c r="AM1954" s="44"/>
      <c r="AN1954" s="45"/>
      <c r="AO1954" s="12"/>
      <c r="AP1954" s="12"/>
      <c r="AQ1954" s="12"/>
      <c r="AR1954" s="12"/>
      <c r="AS1954" s="44"/>
      <c r="AT1954" s="45"/>
      <c r="AU1954" s="12"/>
      <c r="AV1954" s="12"/>
      <c r="AW1954" s="12"/>
      <c r="AX1954" s="12"/>
      <c r="AY1954" s="44"/>
      <c r="AZ1954" s="45"/>
      <c r="BA1954" s="12"/>
      <c r="BB1954" s="12"/>
      <c r="BC1954" s="12"/>
      <c r="BD1954" s="12"/>
      <c r="BE1954" s="44"/>
      <c r="BF1954" s="45"/>
      <c r="BG1954" s="12"/>
      <c r="BH1954" s="12"/>
      <c r="BI1954" s="12"/>
      <c r="BJ1954" s="12"/>
      <c r="BK1954" s="44"/>
      <c r="BL1954" s="45"/>
      <c r="BM1954" s="12"/>
      <c r="BN1954" s="12"/>
      <c r="BO1954" s="12"/>
      <c r="BP1954" s="12"/>
      <c r="BQ1954" s="48"/>
      <c r="BR1954" s="49"/>
      <c r="BS1954" s="13"/>
      <c r="BT1954" s="12"/>
      <c r="BV1954" s="14"/>
      <c r="BW1954" s="50"/>
      <c r="BX1954" s="54"/>
      <c r="BY1954" s="14"/>
      <c r="BZ1954" s="14"/>
      <c r="CA1954" s="14"/>
      <c r="CB1954" s="14"/>
      <c r="CC1954" s="14"/>
      <c r="CD1954" s="14"/>
      <c r="CE1954" s="14"/>
      <c r="CF1954" s="15"/>
      <c r="CG1954" s="14"/>
      <c r="CH1954" s="14"/>
      <c r="CI1954" s="50"/>
      <c r="CJ1954" s="54"/>
      <c r="CK1954" s="14"/>
      <c r="CL1954" s="14"/>
      <c r="CM1954" s="14"/>
      <c r="CN1954" s="14"/>
      <c r="CO1954" s="14"/>
      <c r="CP1954" s="14"/>
      <c r="CQ1954" s="14"/>
      <c r="CR1954" s="14"/>
      <c r="CS1954" s="14"/>
      <c r="CT1954" s="14"/>
      <c r="CU1954" s="16"/>
      <c r="CV1954" s="14"/>
      <c r="CW1954" s="50"/>
      <c r="CX1954" s="17"/>
    </row>
    <row r="1955" spans="4:102" x14ac:dyDescent="0.25">
      <c r="D1955" s="11"/>
      <c r="E1955" s="11"/>
      <c r="F1955" s="11"/>
      <c r="G1955" s="11"/>
      <c r="H1955" s="11"/>
      <c r="I1955" s="11"/>
      <c r="J1955" s="11"/>
      <c r="K1955" s="11"/>
      <c r="L1955" s="11"/>
      <c r="M1955" s="11"/>
      <c r="N1955" s="11"/>
      <c r="O1955" s="11"/>
      <c r="P1955" s="43"/>
      <c r="Q1955" s="11"/>
      <c r="R1955" s="11"/>
      <c r="S1955" s="11"/>
      <c r="T1955" s="11"/>
      <c r="U1955" s="11"/>
      <c r="V1955" s="11"/>
      <c r="W1955" s="11"/>
      <c r="X1955" s="12"/>
      <c r="Y1955" s="12"/>
      <c r="Z1955" s="12"/>
      <c r="AA1955" s="44"/>
      <c r="AB1955" s="45"/>
      <c r="AC1955" s="12"/>
      <c r="AD1955" s="12"/>
      <c r="AE1955" s="12"/>
      <c r="AF1955" s="12"/>
      <c r="AG1955" s="44"/>
      <c r="AH1955" s="45"/>
      <c r="AI1955" s="12"/>
      <c r="AJ1955" s="12"/>
      <c r="AK1955" s="12"/>
      <c r="AL1955" s="12"/>
      <c r="AM1955" s="44"/>
      <c r="AN1955" s="45"/>
      <c r="AO1955" s="12"/>
      <c r="AP1955" s="12"/>
      <c r="AQ1955" s="12"/>
      <c r="AR1955" s="12"/>
      <c r="AS1955" s="44"/>
      <c r="AT1955" s="45"/>
      <c r="AU1955" s="12"/>
      <c r="AV1955" s="12"/>
      <c r="AW1955" s="12"/>
      <c r="AX1955" s="12"/>
      <c r="AY1955" s="44"/>
      <c r="AZ1955" s="45"/>
      <c r="BA1955" s="12"/>
      <c r="BB1955" s="12"/>
      <c r="BC1955" s="12"/>
      <c r="BD1955" s="12"/>
      <c r="BE1955" s="44"/>
      <c r="BF1955" s="45"/>
      <c r="BG1955" s="12"/>
      <c r="BH1955" s="12"/>
      <c r="BI1955" s="12"/>
      <c r="BJ1955" s="12"/>
      <c r="BK1955" s="44"/>
      <c r="BL1955" s="45"/>
      <c r="BM1955" s="12"/>
      <c r="BN1955" s="12"/>
      <c r="BO1955" s="12"/>
      <c r="BP1955" s="12"/>
      <c r="BQ1955" s="48"/>
      <c r="BR1955" s="49"/>
      <c r="BS1955" s="13"/>
      <c r="BT1955" s="12"/>
      <c r="BV1955" s="14"/>
      <c r="BW1955" s="50"/>
      <c r="BX1955" s="54"/>
      <c r="BY1955" s="14"/>
      <c r="BZ1955" s="14"/>
      <c r="CA1955" s="14"/>
      <c r="CB1955" s="14"/>
      <c r="CC1955" s="14"/>
      <c r="CD1955" s="14"/>
      <c r="CE1955" s="14"/>
      <c r="CF1955" s="15"/>
      <c r="CG1955" s="14"/>
      <c r="CH1955" s="14"/>
      <c r="CI1955" s="50"/>
      <c r="CJ1955" s="54"/>
      <c r="CK1955" s="14"/>
      <c r="CL1955" s="14"/>
      <c r="CM1955" s="14"/>
      <c r="CN1955" s="14"/>
      <c r="CO1955" s="14"/>
      <c r="CP1955" s="14"/>
      <c r="CQ1955" s="14"/>
      <c r="CR1955" s="14"/>
      <c r="CS1955" s="14"/>
      <c r="CT1955" s="14"/>
      <c r="CU1955" s="16"/>
      <c r="CV1955" s="14"/>
      <c r="CW1955" s="50"/>
      <c r="CX1955" s="17"/>
    </row>
    <row r="1956" spans="4:102" x14ac:dyDescent="0.25">
      <c r="D1956" s="11"/>
      <c r="E1956" s="11"/>
      <c r="F1956" s="11"/>
      <c r="G1956" s="11"/>
      <c r="H1956" s="11"/>
      <c r="I1956" s="11"/>
      <c r="J1956" s="11"/>
      <c r="K1956" s="11"/>
      <c r="L1956" s="11"/>
      <c r="M1956" s="11"/>
      <c r="N1956" s="11"/>
      <c r="O1956" s="11"/>
      <c r="P1956" s="43"/>
      <c r="Q1956" s="11"/>
      <c r="R1956" s="11"/>
      <c r="S1956" s="11"/>
      <c r="T1956" s="11"/>
      <c r="U1956" s="11"/>
      <c r="V1956" s="11"/>
      <c r="W1956" s="11"/>
      <c r="X1956" s="12"/>
      <c r="Y1956" s="12"/>
      <c r="Z1956" s="12"/>
      <c r="AA1956" s="44"/>
      <c r="AB1956" s="45"/>
      <c r="AC1956" s="12"/>
      <c r="AD1956" s="12"/>
      <c r="AE1956" s="12"/>
      <c r="AF1956" s="12"/>
      <c r="AG1956" s="44"/>
      <c r="AH1956" s="45"/>
      <c r="AI1956" s="12"/>
      <c r="AJ1956" s="12"/>
      <c r="AK1956" s="12"/>
      <c r="AL1956" s="12"/>
      <c r="AM1956" s="44"/>
      <c r="AN1956" s="45"/>
      <c r="AO1956" s="12"/>
      <c r="AP1956" s="12"/>
      <c r="AQ1956" s="12"/>
      <c r="AR1956" s="12"/>
      <c r="AS1956" s="44"/>
      <c r="AT1956" s="45"/>
      <c r="AU1956" s="12"/>
      <c r="AV1956" s="12"/>
      <c r="AW1956" s="12"/>
      <c r="AX1956" s="12"/>
      <c r="AY1956" s="44"/>
      <c r="AZ1956" s="45"/>
      <c r="BA1956" s="12"/>
      <c r="BB1956" s="12"/>
      <c r="BC1956" s="12"/>
      <c r="BD1956" s="12"/>
      <c r="BE1956" s="44"/>
      <c r="BF1956" s="45"/>
      <c r="BG1956" s="12"/>
      <c r="BH1956" s="12"/>
      <c r="BI1956" s="12"/>
      <c r="BJ1956" s="12"/>
      <c r="BK1956" s="44"/>
      <c r="BL1956" s="45"/>
      <c r="BM1956" s="12"/>
      <c r="BN1956" s="12"/>
      <c r="BO1956" s="12"/>
      <c r="BP1956" s="12"/>
      <c r="BQ1956" s="48"/>
      <c r="BR1956" s="49"/>
      <c r="BS1956" s="13"/>
      <c r="BT1956" s="12"/>
      <c r="BV1956" s="14"/>
      <c r="BW1956" s="50"/>
      <c r="BX1956" s="54"/>
      <c r="BY1956" s="14"/>
      <c r="BZ1956" s="14"/>
      <c r="CA1956" s="14"/>
      <c r="CB1956" s="14"/>
      <c r="CC1956" s="14"/>
      <c r="CD1956" s="14"/>
      <c r="CE1956" s="14"/>
      <c r="CF1956" s="15"/>
      <c r="CG1956" s="14"/>
      <c r="CH1956" s="14"/>
      <c r="CI1956" s="50"/>
      <c r="CJ1956" s="54"/>
      <c r="CK1956" s="14"/>
      <c r="CL1956" s="14"/>
      <c r="CM1956" s="14"/>
      <c r="CN1956" s="14"/>
      <c r="CO1956" s="14"/>
      <c r="CP1956" s="14"/>
      <c r="CQ1956" s="14"/>
      <c r="CR1956" s="14"/>
      <c r="CS1956" s="14"/>
      <c r="CT1956" s="14"/>
      <c r="CU1956" s="16"/>
      <c r="CV1956" s="14"/>
      <c r="CW1956" s="50"/>
      <c r="CX1956" s="17"/>
    </row>
    <row r="1957" spans="4:102" x14ac:dyDescent="0.25">
      <c r="D1957" s="11"/>
      <c r="E1957" s="11"/>
      <c r="F1957" s="11"/>
      <c r="G1957" s="11"/>
      <c r="H1957" s="11"/>
      <c r="I1957" s="11"/>
      <c r="J1957" s="11"/>
      <c r="K1957" s="11"/>
      <c r="L1957" s="11"/>
      <c r="M1957" s="11"/>
      <c r="N1957" s="11"/>
      <c r="O1957" s="11"/>
      <c r="P1957" s="43"/>
      <c r="Q1957" s="11"/>
      <c r="R1957" s="11"/>
      <c r="S1957" s="11"/>
      <c r="T1957" s="11"/>
      <c r="U1957" s="11"/>
      <c r="V1957" s="11"/>
      <c r="W1957" s="11"/>
      <c r="X1957" s="12"/>
      <c r="Y1957" s="12"/>
      <c r="Z1957" s="12"/>
      <c r="AA1957" s="44"/>
      <c r="AB1957" s="45"/>
      <c r="AC1957" s="12"/>
      <c r="AD1957" s="12"/>
      <c r="AE1957" s="12"/>
      <c r="AF1957" s="12"/>
      <c r="AG1957" s="44"/>
      <c r="AH1957" s="45"/>
      <c r="AI1957" s="12"/>
      <c r="AJ1957" s="12"/>
      <c r="AK1957" s="12"/>
      <c r="AL1957" s="12"/>
      <c r="AM1957" s="44"/>
      <c r="AN1957" s="45"/>
      <c r="AO1957" s="12"/>
      <c r="AP1957" s="12"/>
      <c r="AQ1957" s="12"/>
      <c r="AR1957" s="12"/>
      <c r="AS1957" s="44"/>
      <c r="AT1957" s="45"/>
      <c r="AU1957" s="12"/>
      <c r="AV1957" s="12"/>
      <c r="AW1957" s="12"/>
      <c r="AX1957" s="12"/>
      <c r="AY1957" s="44"/>
      <c r="AZ1957" s="45"/>
      <c r="BA1957" s="12"/>
      <c r="BB1957" s="12"/>
      <c r="BC1957" s="12"/>
      <c r="BD1957" s="12"/>
      <c r="BE1957" s="44"/>
      <c r="BF1957" s="45"/>
      <c r="BG1957" s="12"/>
      <c r="BH1957" s="12"/>
      <c r="BI1957" s="12"/>
      <c r="BJ1957" s="12"/>
      <c r="BK1957" s="44"/>
      <c r="BL1957" s="45"/>
      <c r="BM1957" s="12"/>
      <c r="BN1957" s="12"/>
      <c r="BO1957" s="12"/>
      <c r="BP1957" s="12"/>
      <c r="BQ1957" s="48"/>
      <c r="BR1957" s="49"/>
      <c r="BS1957" s="13"/>
      <c r="BT1957" s="12"/>
      <c r="BV1957" s="14"/>
      <c r="BW1957" s="50"/>
      <c r="BX1957" s="54"/>
      <c r="BY1957" s="14"/>
      <c r="BZ1957" s="14"/>
      <c r="CA1957" s="14"/>
      <c r="CB1957" s="14"/>
      <c r="CC1957" s="14"/>
      <c r="CD1957" s="14"/>
      <c r="CE1957" s="14"/>
      <c r="CF1957" s="15"/>
      <c r="CG1957" s="14"/>
      <c r="CH1957" s="14"/>
      <c r="CI1957" s="50"/>
      <c r="CJ1957" s="54"/>
      <c r="CK1957" s="14"/>
      <c r="CL1957" s="14"/>
      <c r="CM1957" s="14"/>
      <c r="CN1957" s="14"/>
      <c r="CO1957" s="14"/>
      <c r="CP1957" s="14"/>
      <c r="CQ1957" s="14"/>
      <c r="CR1957" s="14"/>
      <c r="CS1957" s="14"/>
      <c r="CT1957" s="14"/>
      <c r="CU1957" s="16"/>
      <c r="CV1957" s="14"/>
      <c r="CW1957" s="50"/>
      <c r="CX1957" s="17"/>
    </row>
    <row r="1958" spans="4:102" x14ac:dyDescent="0.25">
      <c r="D1958" s="11"/>
      <c r="E1958" s="11"/>
      <c r="F1958" s="11"/>
      <c r="G1958" s="11"/>
      <c r="H1958" s="11"/>
      <c r="I1958" s="11"/>
      <c r="J1958" s="11"/>
      <c r="K1958" s="11"/>
      <c r="L1958" s="11"/>
      <c r="M1958" s="11"/>
      <c r="N1958" s="11"/>
      <c r="O1958" s="11"/>
      <c r="P1958" s="43"/>
      <c r="Q1958" s="11"/>
      <c r="R1958" s="11"/>
      <c r="S1958" s="11"/>
      <c r="T1958" s="11"/>
      <c r="U1958" s="11"/>
      <c r="V1958" s="11"/>
      <c r="W1958" s="11"/>
      <c r="X1958" s="12"/>
      <c r="Y1958" s="12"/>
      <c r="Z1958" s="12"/>
      <c r="AA1958" s="44"/>
      <c r="AB1958" s="45"/>
      <c r="AC1958" s="12"/>
      <c r="AD1958" s="12"/>
      <c r="AE1958" s="12"/>
      <c r="AF1958" s="12"/>
      <c r="AG1958" s="44"/>
      <c r="AH1958" s="45"/>
      <c r="AI1958" s="12"/>
      <c r="AJ1958" s="12"/>
      <c r="AK1958" s="12"/>
      <c r="AL1958" s="12"/>
      <c r="AM1958" s="44"/>
      <c r="AN1958" s="45"/>
      <c r="AO1958" s="12"/>
      <c r="AP1958" s="12"/>
      <c r="AQ1958" s="12"/>
      <c r="AR1958" s="12"/>
      <c r="AS1958" s="44"/>
      <c r="AT1958" s="45"/>
      <c r="AU1958" s="12"/>
      <c r="AV1958" s="12"/>
      <c r="AW1958" s="12"/>
      <c r="AX1958" s="12"/>
      <c r="AY1958" s="44"/>
      <c r="AZ1958" s="45"/>
      <c r="BA1958" s="12"/>
      <c r="BB1958" s="12"/>
      <c r="BC1958" s="12"/>
      <c r="BD1958" s="12"/>
      <c r="BE1958" s="44"/>
      <c r="BF1958" s="45"/>
      <c r="BG1958" s="12"/>
      <c r="BH1958" s="12"/>
      <c r="BI1958" s="12"/>
      <c r="BJ1958" s="12"/>
      <c r="BK1958" s="44"/>
      <c r="BL1958" s="45"/>
      <c r="BM1958" s="12"/>
      <c r="BN1958" s="12"/>
      <c r="BO1958" s="12"/>
      <c r="BP1958" s="12"/>
      <c r="BQ1958" s="48"/>
      <c r="BR1958" s="49"/>
      <c r="BS1958" s="13"/>
      <c r="BT1958" s="12"/>
      <c r="BV1958" s="14"/>
      <c r="BW1958" s="50"/>
      <c r="BX1958" s="54"/>
      <c r="BY1958" s="14"/>
      <c r="BZ1958" s="14"/>
      <c r="CA1958" s="14"/>
      <c r="CB1958" s="14"/>
      <c r="CC1958" s="14"/>
      <c r="CD1958" s="14"/>
      <c r="CE1958" s="14"/>
      <c r="CF1958" s="15"/>
      <c r="CG1958" s="14"/>
      <c r="CH1958" s="14"/>
      <c r="CI1958" s="50"/>
      <c r="CJ1958" s="54"/>
      <c r="CK1958" s="14"/>
      <c r="CL1958" s="14"/>
      <c r="CM1958" s="14"/>
      <c r="CN1958" s="14"/>
      <c r="CO1958" s="14"/>
      <c r="CP1958" s="14"/>
      <c r="CQ1958" s="14"/>
      <c r="CR1958" s="14"/>
      <c r="CS1958" s="14"/>
      <c r="CT1958" s="14"/>
      <c r="CU1958" s="16"/>
      <c r="CV1958" s="14"/>
      <c r="CW1958" s="50"/>
      <c r="CX1958" s="17"/>
    </row>
    <row r="1959" spans="4:102" x14ac:dyDescent="0.25">
      <c r="D1959" s="11"/>
      <c r="E1959" s="11"/>
      <c r="F1959" s="11"/>
      <c r="G1959" s="11"/>
      <c r="H1959" s="11"/>
      <c r="I1959" s="11"/>
      <c r="J1959" s="11"/>
      <c r="K1959" s="11"/>
      <c r="L1959" s="11"/>
      <c r="M1959" s="11"/>
      <c r="N1959" s="11"/>
      <c r="O1959" s="11"/>
      <c r="P1959" s="43"/>
      <c r="Q1959" s="11"/>
      <c r="R1959" s="11"/>
      <c r="S1959" s="11"/>
      <c r="T1959" s="11"/>
      <c r="U1959" s="11"/>
      <c r="V1959" s="11"/>
      <c r="W1959" s="11"/>
      <c r="X1959" s="12"/>
      <c r="Y1959" s="12"/>
      <c r="Z1959" s="12"/>
      <c r="AA1959" s="44"/>
      <c r="AB1959" s="45"/>
      <c r="AC1959" s="12"/>
      <c r="AD1959" s="12"/>
      <c r="AE1959" s="12"/>
      <c r="AF1959" s="12"/>
      <c r="AG1959" s="44"/>
      <c r="AH1959" s="45"/>
      <c r="AI1959" s="12"/>
      <c r="AJ1959" s="12"/>
      <c r="AK1959" s="12"/>
      <c r="AL1959" s="12"/>
      <c r="AM1959" s="44"/>
      <c r="AN1959" s="45"/>
      <c r="AO1959" s="12"/>
      <c r="AP1959" s="12"/>
      <c r="AQ1959" s="12"/>
      <c r="AR1959" s="12"/>
      <c r="AS1959" s="44"/>
      <c r="AT1959" s="45"/>
      <c r="AU1959" s="12"/>
      <c r="AV1959" s="12"/>
      <c r="AW1959" s="12"/>
      <c r="AX1959" s="12"/>
      <c r="AY1959" s="44"/>
      <c r="AZ1959" s="45"/>
      <c r="BA1959" s="12"/>
      <c r="BB1959" s="12"/>
      <c r="BC1959" s="12"/>
      <c r="BD1959" s="12"/>
      <c r="BE1959" s="44"/>
      <c r="BF1959" s="45"/>
      <c r="BG1959" s="12"/>
      <c r="BH1959" s="12"/>
      <c r="BI1959" s="12"/>
      <c r="BJ1959" s="12"/>
      <c r="BK1959" s="44"/>
      <c r="BL1959" s="45"/>
      <c r="BM1959" s="12"/>
      <c r="BN1959" s="12"/>
      <c r="BO1959" s="12"/>
      <c r="BP1959" s="12"/>
      <c r="BQ1959" s="48"/>
      <c r="BR1959" s="49"/>
      <c r="BS1959" s="13"/>
      <c r="BT1959" s="12"/>
      <c r="BV1959" s="14"/>
      <c r="BW1959" s="50"/>
      <c r="BX1959" s="54"/>
      <c r="BY1959" s="14"/>
      <c r="BZ1959" s="14"/>
      <c r="CA1959" s="14"/>
      <c r="CB1959" s="14"/>
      <c r="CC1959" s="14"/>
      <c r="CD1959" s="14"/>
      <c r="CE1959" s="14"/>
      <c r="CF1959" s="15"/>
      <c r="CG1959" s="14"/>
      <c r="CH1959" s="14"/>
      <c r="CI1959" s="50"/>
      <c r="CJ1959" s="54"/>
      <c r="CK1959" s="14"/>
      <c r="CL1959" s="14"/>
      <c r="CM1959" s="14"/>
      <c r="CN1959" s="14"/>
      <c r="CO1959" s="14"/>
      <c r="CP1959" s="14"/>
      <c r="CQ1959" s="14"/>
      <c r="CR1959" s="14"/>
      <c r="CS1959" s="14"/>
      <c r="CT1959" s="14"/>
      <c r="CU1959" s="16"/>
      <c r="CV1959" s="14"/>
      <c r="CW1959" s="50"/>
      <c r="CX1959" s="17"/>
    </row>
    <row r="1960" spans="4:102" x14ac:dyDescent="0.25">
      <c r="D1960" s="11"/>
      <c r="E1960" s="11"/>
      <c r="F1960" s="11"/>
      <c r="G1960" s="11"/>
      <c r="H1960" s="11"/>
      <c r="I1960" s="11"/>
      <c r="J1960" s="11"/>
      <c r="K1960" s="11"/>
      <c r="L1960" s="11"/>
      <c r="M1960" s="11"/>
      <c r="N1960" s="11"/>
      <c r="O1960" s="11"/>
      <c r="P1960" s="43"/>
      <c r="Q1960" s="11"/>
      <c r="R1960" s="11"/>
      <c r="S1960" s="11"/>
      <c r="T1960" s="11"/>
      <c r="U1960" s="11"/>
      <c r="V1960" s="11"/>
      <c r="W1960" s="11"/>
      <c r="X1960" s="12"/>
      <c r="Y1960" s="12"/>
      <c r="Z1960" s="12"/>
      <c r="AA1960" s="44"/>
      <c r="AB1960" s="45"/>
      <c r="AC1960" s="12"/>
      <c r="AD1960" s="12"/>
      <c r="AE1960" s="12"/>
      <c r="AF1960" s="12"/>
      <c r="AG1960" s="44"/>
      <c r="AH1960" s="45"/>
      <c r="AI1960" s="12"/>
      <c r="AJ1960" s="12"/>
      <c r="AK1960" s="12"/>
      <c r="AL1960" s="12"/>
      <c r="AM1960" s="44"/>
      <c r="AN1960" s="45"/>
      <c r="AO1960" s="12"/>
      <c r="AP1960" s="12"/>
      <c r="AQ1960" s="12"/>
      <c r="AR1960" s="12"/>
      <c r="AS1960" s="44"/>
      <c r="AT1960" s="45"/>
      <c r="AU1960" s="12"/>
      <c r="AV1960" s="12"/>
      <c r="AW1960" s="12"/>
      <c r="AX1960" s="12"/>
      <c r="AY1960" s="44"/>
      <c r="AZ1960" s="45"/>
      <c r="BA1960" s="12"/>
      <c r="BB1960" s="12"/>
      <c r="BC1960" s="12"/>
      <c r="BD1960" s="12"/>
      <c r="BE1960" s="44"/>
      <c r="BF1960" s="45"/>
      <c r="BG1960" s="12"/>
      <c r="BH1960" s="12"/>
      <c r="BI1960" s="12"/>
      <c r="BJ1960" s="12"/>
      <c r="BK1960" s="44"/>
      <c r="BL1960" s="45"/>
      <c r="BM1960" s="12"/>
      <c r="BN1960" s="12"/>
      <c r="BO1960" s="12"/>
      <c r="BP1960" s="12"/>
      <c r="BQ1960" s="48"/>
      <c r="BR1960" s="49"/>
      <c r="BS1960" s="13"/>
      <c r="BT1960" s="12"/>
      <c r="BV1960" s="14"/>
      <c r="BW1960" s="50"/>
      <c r="BX1960" s="54"/>
      <c r="BY1960" s="14"/>
      <c r="BZ1960" s="14"/>
      <c r="CA1960" s="14"/>
      <c r="CB1960" s="14"/>
      <c r="CC1960" s="14"/>
      <c r="CD1960" s="14"/>
      <c r="CE1960" s="14"/>
      <c r="CF1960" s="15"/>
      <c r="CG1960" s="14"/>
      <c r="CH1960" s="14"/>
      <c r="CI1960" s="50"/>
      <c r="CJ1960" s="54"/>
      <c r="CK1960" s="14"/>
      <c r="CL1960" s="14"/>
      <c r="CM1960" s="14"/>
      <c r="CN1960" s="14"/>
      <c r="CO1960" s="14"/>
      <c r="CP1960" s="14"/>
      <c r="CQ1960" s="14"/>
      <c r="CR1960" s="14"/>
      <c r="CS1960" s="14"/>
      <c r="CT1960" s="14"/>
      <c r="CU1960" s="16"/>
      <c r="CV1960" s="14"/>
      <c r="CW1960" s="50"/>
      <c r="CX1960" s="17"/>
    </row>
    <row r="1961" spans="4:102" x14ac:dyDescent="0.25">
      <c r="D1961" s="11"/>
      <c r="E1961" s="11"/>
      <c r="F1961" s="11"/>
      <c r="G1961" s="11"/>
      <c r="H1961" s="11"/>
      <c r="I1961" s="11"/>
      <c r="J1961" s="11"/>
      <c r="K1961" s="11"/>
      <c r="L1961" s="11"/>
      <c r="M1961" s="11"/>
      <c r="N1961" s="11"/>
      <c r="O1961" s="11"/>
      <c r="P1961" s="43"/>
      <c r="Q1961" s="11"/>
      <c r="R1961" s="11"/>
      <c r="S1961" s="11"/>
      <c r="T1961" s="11"/>
      <c r="U1961" s="11"/>
      <c r="V1961" s="11"/>
      <c r="W1961" s="11"/>
      <c r="X1961" s="12"/>
      <c r="Y1961" s="12"/>
      <c r="Z1961" s="12"/>
      <c r="AA1961" s="44"/>
      <c r="AB1961" s="45"/>
      <c r="AC1961" s="12"/>
      <c r="AD1961" s="12"/>
      <c r="AE1961" s="12"/>
      <c r="AF1961" s="12"/>
      <c r="AG1961" s="44"/>
      <c r="AH1961" s="45"/>
      <c r="AI1961" s="12"/>
      <c r="AJ1961" s="12"/>
      <c r="AK1961" s="12"/>
      <c r="AL1961" s="12"/>
      <c r="AM1961" s="44"/>
      <c r="AN1961" s="45"/>
      <c r="AO1961" s="12"/>
      <c r="AP1961" s="12"/>
      <c r="AQ1961" s="12"/>
      <c r="AR1961" s="12"/>
      <c r="AS1961" s="44"/>
      <c r="AT1961" s="45"/>
      <c r="AU1961" s="12"/>
      <c r="AV1961" s="12"/>
      <c r="AW1961" s="12"/>
      <c r="AX1961" s="12"/>
      <c r="AY1961" s="44"/>
      <c r="AZ1961" s="45"/>
      <c r="BA1961" s="12"/>
      <c r="BB1961" s="12"/>
      <c r="BC1961" s="12"/>
      <c r="BD1961" s="12"/>
      <c r="BE1961" s="44"/>
      <c r="BF1961" s="45"/>
      <c r="BG1961" s="12"/>
      <c r="BH1961" s="12"/>
      <c r="BI1961" s="12"/>
      <c r="BJ1961" s="12"/>
      <c r="BK1961" s="44"/>
      <c r="BL1961" s="45"/>
      <c r="BM1961" s="12"/>
      <c r="BN1961" s="12"/>
      <c r="BO1961" s="12"/>
      <c r="BP1961" s="12"/>
      <c r="BQ1961" s="48"/>
      <c r="BR1961" s="49"/>
      <c r="BS1961" s="13"/>
      <c r="BT1961" s="12"/>
      <c r="BV1961" s="14"/>
      <c r="BW1961" s="50"/>
      <c r="BX1961" s="54"/>
      <c r="BY1961" s="14"/>
      <c r="BZ1961" s="14"/>
      <c r="CA1961" s="14"/>
      <c r="CB1961" s="14"/>
      <c r="CC1961" s="14"/>
      <c r="CD1961" s="14"/>
      <c r="CE1961" s="14"/>
      <c r="CF1961" s="15"/>
      <c r="CG1961" s="14"/>
      <c r="CH1961" s="14"/>
      <c r="CI1961" s="50"/>
      <c r="CJ1961" s="54"/>
      <c r="CK1961" s="14"/>
      <c r="CL1961" s="14"/>
      <c r="CM1961" s="14"/>
      <c r="CN1961" s="14"/>
      <c r="CO1961" s="14"/>
      <c r="CP1961" s="14"/>
      <c r="CQ1961" s="14"/>
      <c r="CR1961" s="14"/>
      <c r="CS1961" s="14"/>
      <c r="CT1961" s="14"/>
      <c r="CU1961" s="16"/>
      <c r="CV1961" s="14"/>
      <c r="CW1961" s="50"/>
      <c r="CX1961" s="17"/>
    </row>
    <row r="1962" spans="4:102" x14ac:dyDescent="0.25">
      <c r="D1962" s="11"/>
      <c r="E1962" s="11"/>
      <c r="F1962" s="11"/>
      <c r="G1962" s="11"/>
      <c r="H1962" s="11"/>
      <c r="I1962" s="11"/>
      <c r="J1962" s="11"/>
      <c r="K1962" s="11"/>
      <c r="L1962" s="11"/>
      <c r="M1962" s="11"/>
      <c r="N1962" s="11"/>
      <c r="O1962" s="11"/>
      <c r="P1962" s="43"/>
      <c r="Q1962" s="11"/>
      <c r="R1962" s="11"/>
      <c r="S1962" s="11"/>
      <c r="T1962" s="11"/>
      <c r="U1962" s="11"/>
      <c r="V1962" s="11"/>
      <c r="W1962" s="11"/>
      <c r="X1962" s="12"/>
      <c r="Y1962" s="12"/>
      <c r="Z1962" s="12"/>
      <c r="AA1962" s="44"/>
      <c r="AB1962" s="45"/>
      <c r="AC1962" s="12"/>
      <c r="AD1962" s="12"/>
      <c r="AE1962" s="12"/>
      <c r="AF1962" s="12"/>
      <c r="AG1962" s="44"/>
      <c r="AH1962" s="45"/>
      <c r="AI1962" s="12"/>
      <c r="AJ1962" s="12"/>
      <c r="AK1962" s="12"/>
      <c r="AL1962" s="12"/>
      <c r="AM1962" s="44"/>
      <c r="AN1962" s="45"/>
      <c r="AO1962" s="12"/>
      <c r="AP1962" s="12"/>
      <c r="AQ1962" s="12"/>
      <c r="AR1962" s="12"/>
      <c r="AS1962" s="44"/>
      <c r="AT1962" s="45"/>
      <c r="AU1962" s="12"/>
      <c r="AV1962" s="12"/>
      <c r="AW1962" s="12"/>
      <c r="AX1962" s="12"/>
      <c r="AY1962" s="44"/>
      <c r="AZ1962" s="45"/>
      <c r="BA1962" s="12"/>
      <c r="BB1962" s="12"/>
      <c r="BC1962" s="12"/>
      <c r="BD1962" s="12"/>
      <c r="BE1962" s="44"/>
      <c r="BF1962" s="45"/>
      <c r="BG1962" s="12"/>
      <c r="BH1962" s="12"/>
      <c r="BI1962" s="12"/>
      <c r="BJ1962" s="12"/>
      <c r="BK1962" s="44"/>
      <c r="BL1962" s="45"/>
      <c r="BM1962" s="12"/>
      <c r="BN1962" s="12"/>
      <c r="BO1962" s="12"/>
      <c r="BP1962" s="12"/>
      <c r="BQ1962" s="48"/>
      <c r="BR1962" s="49"/>
      <c r="BS1962" s="13"/>
      <c r="BT1962" s="12"/>
      <c r="BV1962" s="14"/>
      <c r="BW1962" s="50"/>
      <c r="BX1962" s="54"/>
      <c r="BY1962" s="14"/>
      <c r="BZ1962" s="14"/>
      <c r="CA1962" s="14"/>
      <c r="CB1962" s="14"/>
      <c r="CC1962" s="14"/>
      <c r="CD1962" s="14"/>
      <c r="CE1962" s="14"/>
      <c r="CF1962" s="15"/>
      <c r="CG1962" s="14"/>
      <c r="CH1962" s="14"/>
      <c r="CI1962" s="50"/>
      <c r="CJ1962" s="54"/>
      <c r="CK1962" s="14"/>
      <c r="CL1962" s="14"/>
      <c r="CM1962" s="14"/>
      <c r="CN1962" s="14"/>
      <c r="CO1962" s="14"/>
      <c r="CP1962" s="14"/>
      <c r="CQ1962" s="14"/>
      <c r="CR1962" s="14"/>
      <c r="CS1962" s="14"/>
      <c r="CT1962" s="14"/>
      <c r="CU1962" s="16"/>
      <c r="CV1962" s="14"/>
      <c r="CW1962" s="50"/>
      <c r="CX1962" s="17"/>
    </row>
    <row r="1963" spans="4:102" x14ac:dyDescent="0.25">
      <c r="D1963" s="11"/>
      <c r="E1963" s="11"/>
      <c r="F1963" s="11"/>
      <c r="G1963" s="11"/>
      <c r="H1963" s="11"/>
      <c r="I1963" s="11"/>
      <c r="J1963" s="11"/>
      <c r="K1963" s="11"/>
      <c r="L1963" s="11"/>
      <c r="M1963" s="11"/>
      <c r="N1963" s="11"/>
      <c r="O1963" s="11"/>
      <c r="P1963" s="43"/>
      <c r="Q1963" s="11"/>
      <c r="R1963" s="11"/>
      <c r="S1963" s="11"/>
      <c r="T1963" s="11"/>
      <c r="U1963" s="11"/>
      <c r="V1963" s="11"/>
      <c r="W1963" s="11"/>
      <c r="X1963" s="12"/>
      <c r="Y1963" s="12"/>
      <c r="Z1963" s="12"/>
      <c r="AA1963" s="44"/>
      <c r="AB1963" s="45"/>
      <c r="AC1963" s="12"/>
      <c r="AD1963" s="12"/>
      <c r="AE1963" s="12"/>
      <c r="AF1963" s="12"/>
      <c r="AG1963" s="44"/>
      <c r="AH1963" s="45"/>
      <c r="AI1963" s="12"/>
      <c r="AJ1963" s="12"/>
      <c r="AK1963" s="12"/>
      <c r="AL1963" s="12"/>
      <c r="AM1963" s="44"/>
      <c r="AN1963" s="45"/>
      <c r="AO1963" s="12"/>
      <c r="AP1963" s="12"/>
      <c r="AQ1963" s="12"/>
      <c r="AR1963" s="12"/>
      <c r="AS1963" s="44"/>
      <c r="AT1963" s="45"/>
      <c r="AU1963" s="12"/>
      <c r="AV1963" s="12"/>
      <c r="AW1963" s="12"/>
      <c r="AX1963" s="12"/>
      <c r="AY1963" s="44"/>
      <c r="AZ1963" s="45"/>
      <c r="BA1963" s="12"/>
      <c r="BB1963" s="12"/>
      <c r="BC1963" s="12"/>
      <c r="BD1963" s="12"/>
      <c r="BE1963" s="44"/>
      <c r="BF1963" s="45"/>
      <c r="BG1963" s="12"/>
      <c r="BH1963" s="12"/>
      <c r="BI1963" s="12"/>
      <c r="BJ1963" s="12"/>
      <c r="BK1963" s="44"/>
      <c r="BL1963" s="45"/>
      <c r="BM1963" s="12"/>
      <c r="BN1963" s="12"/>
      <c r="BO1963" s="12"/>
      <c r="BP1963" s="12"/>
      <c r="BQ1963" s="48"/>
      <c r="BR1963" s="49"/>
      <c r="BS1963" s="13"/>
      <c r="BT1963" s="12"/>
      <c r="BV1963" s="14"/>
      <c r="BW1963" s="50"/>
      <c r="BX1963" s="54"/>
      <c r="BY1963" s="14"/>
      <c r="BZ1963" s="14"/>
      <c r="CA1963" s="14"/>
      <c r="CB1963" s="14"/>
      <c r="CC1963" s="14"/>
      <c r="CD1963" s="14"/>
      <c r="CE1963" s="14"/>
      <c r="CF1963" s="15"/>
      <c r="CG1963" s="14"/>
      <c r="CH1963" s="14"/>
      <c r="CI1963" s="50"/>
      <c r="CJ1963" s="54"/>
      <c r="CK1963" s="14"/>
      <c r="CL1963" s="14"/>
      <c r="CM1963" s="14"/>
      <c r="CN1963" s="14"/>
      <c r="CO1963" s="14"/>
      <c r="CP1963" s="14"/>
      <c r="CQ1963" s="14"/>
      <c r="CR1963" s="14"/>
      <c r="CS1963" s="14"/>
      <c r="CT1963" s="14"/>
      <c r="CU1963" s="16"/>
      <c r="CV1963" s="14"/>
      <c r="CW1963" s="50"/>
      <c r="CX1963" s="17"/>
    </row>
    <row r="1964" spans="4:102" x14ac:dyDescent="0.25">
      <c r="D1964" s="11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43"/>
      <c r="Q1964" s="11"/>
      <c r="R1964" s="11"/>
      <c r="S1964" s="11"/>
      <c r="T1964" s="11"/>
      <c r="U1964" s="11"/>
      <c r="V1964" s="11"/>
      <c r="W1964" s="11"/>
      <c r="X1964" s="12"/>
      <c r="Y1964" s="12"/>
      <c r="Z1964" s="12"/>
      <c r="AA1964" s="44"/>
      <c r="AB1964" s="45"/>
      <c r="AC1964" s="12"/>
      <c r="AD1964" s="12"/>
      <c r="AE1964" s="12"/>
      <c r="AF1964" s="12"/>
      <c r="AG1964" s="44"/>
      <c r="AH1964" s="45"/>
      <c r="AI1964" s="12"/>
      <c r="AJ1964" s="12"/>
      <c r="AK1964" s="12"/>
      <c r="AL1964" s="12"/>
      <c r="AM1964" s="44"/>
      <c r="AN1964" s="45"/>
      <c r="AO1964" s="12"/>
      <c r="AP1964" s="12"/>
      <c r="AQ1964" s="12"/>
      <c r="AR1964" s="12"/>
      <c r="AS1964" s="44"/>
      <c r="AT1964" s="45"/>
      <c r="AU1964" s="12"/>
      <c r="AV1964" s="12"/>
      <c r="AW1964" s="12"/>
      <c r="AX1964" s="12"/>
      <c r="AY1964" s="44"/>
      <c r="AZ1964" s="45"/>
      <c r="BA1964" s="12"/>
      <c r="BB1964" s="12"/>
      <c r="BC1964" s="12"/>
      <c r="BD1964" s="12"/>
      <c r="BE1964" s="44"/>
      <c r="BF1964" s="45"/>
      <c r="BG1964" s="12"/>
      <c r="BH1964" s="12"/>
      <c r="BI1964" s="12"/>
      <c r="BJ1964" s="12"/>
      <c r="BK1964" s="44"/>
      <c r="BL1964" s="45"/>
      <c r="BM1964" s="12"/>
      <c r="BN1964" s="12"/>
      <c r="BO1964" s="12"/>
      <c r="BP1964" s="12"/>
      <c r="BQ1964" s="48"/>
      <c r="BR1964" s="49"/>
      <c r="BS1964" s="13"/>
      <c r="BT1964" s="12"/>
      <c r="BV1964" s="14"/>
      <c r="BW1964" s="50"/>
      <c r="BX1964" s="54"/>
      <c r="BY1964" s="14"/>
      <c r="BZ1964" s="14"/>
      <c r="CA1964" s="14"/>
      <c r="CB1964" s="14"/>
      <c r="CC1964" s="14"/>
      <c r="CD1964" s="14"/>
      <c r="CE1964" s="14"/>
      <c r="CF1964" s="15"/>
      <c r="CG1964" s="14"/>
      <c r="CH1964" s="14"/>
      <c r="CI1964" s="50"/>
      <c r="CJ1964" s="54"/>
      <c r="CK1964" s="14"/>
      <c r="CL1964" s="14"/>
      <c r="CM1964" s="14"/>
      <c r="CN1964" s="14"/>
      <c r="CO1964" s="14"/>
      <c r="CP1964" s="14"/>
      <c r="CQ1964" s="14"/>
      <c r="CR1964" s="14"/>
      <c r="CS1964" s="14"/>
      <c r="CT1964" s="14"/>
      <c r="CU1964" s="16"/>
      <c r="CV1964" s="14"/>
      <c r="CW1964" s="50"/>
      <c r="CX1964" s="17"/>
    </row>
    <row r="1965" spans="4:102" x14ac:dyDescent="0.25">
      <c r="D1965" s="11"/>
      <c r="E1965" s="11"/>
      <c r="F1965" s="11"/>
      <c r="G1965" s="11"/>
      <c r="H1965" s="11"/>
      <c r="I1965" s="11"/>
      <c r="J1965" s="11"/>
      <c r="K1965" s="11"/>
      <c r="L1965" s="11"/>
      <c r="M1965" s="11"/>
      <c r="N1965" s="11"/>
      <c r="O1965" s="11"/>
      <c r="P1965" s="43"/>
      <c r="Q1965" s="11"/>
      <c r="R1965" s="11"/>
      <c r="S1965" s="11"/>
      <c r="T1965" s="11"/>
      <c r="U1965" s="11"/>
      <c r="V1965" s="11"/>
      <c r="W1965" s="11"/>
      <c r="X1965" s="12"/>
      <c r="Y1965" s="12"/>
      <c r="Z1965" s="12"/>
      <c r="AA1965" s="44"/>
      <c r="AB1965" s="45"/>
      <c r="AC1965" s="12"/>
      <c r="AD1965" s="12"/>
      <c r="AE1965" s="12"/>
      <c r="AF1965" s="12"/>
      <c r="AG1965" s="44"/>
      <c r="AH1965" s="45"/>
      <c r="AI1965" s="12"/>
      <c r="AJ1965" s="12"/>
      <c r="AK1965" s="12"/>
      <c r="AL1965" s="12"/>
      <c r="AM1965" s="44"/>
      <c r="AN1965" s="45"/>
      <c r="AO1965" s="12"/>
      <c r="AP1965" s="12"/>
      <c r="AQ1965" s="12"/>
      <c r="AR1965" s="12"/>
      <c r="AS1965" s="44"/>
      <c r="AT1965" s="45"/>
      <c r="AU1965" s="12"/>
      <c r="AV1965" s="12"/>
      <c r="AW1965" s="12"/>
      <c r="AX1965" s="12"/>
      <c r="AY1965" s="44"/>
      <c r="AZ1965" s="45"/>
      <c r="BA1965" s="12"/>
      <c r="BB1965" s="12"/>
      <c r="BC1965" s="12"/>
      <c r="BD1965" s="12"/>
      <c r="BE1965" s="44"/>
      <c r="BF1965" s="45"/>
      <c r="BG1965" s="12"/>
      <c r="BH1965" s="12"/>
      <c r="BI1965" s="12"/>
      <c r="BJ1965" s="12"/>
      <c r="BK1965" s="44"/>
      <c r="BL1965" s="45"/>
      <c r="BM1965" s="12"/>
      <c r="BN1965" s="12"/>
      <c r="BO1965" s="12"/>
      <c r="BP1965" s="12"/>
      <c r="BQ1965" s="48"/>
      <c r="BR1965" s="49"/>
      <c r="BS1965" s="13"/>
      <c r="BT1965" s="12"/>
      <c r="BV1965" s="14"/>
      <c r="BW1965" s="50"/>
      <c r="BX1965" s="54"/>
      <c r="BY1965" s="14"/>
      <c r="BZ1965" s="14"/>
      <c r="CA1965" s="14"/>
      <c r="CB1965" s="14"/>
      <c r="CC1965" s="14"/>
      <c r="CD1965" s="14"/>
      <c r="CE1965" s="14"/>
      <c r="CF1965" s="15"/>
      <c r="CG1965" s="14"/>
      <c r="CH1965" s="14"/>
      <c r="CI1965" s="50"/>
      <c r="CJ1965" s="54"/>
      <c r="CK1965" s="14"/>
      <c r="CL1965" s="14"/>
      <c r="CM1965" s="14"/>
      <c r="CN1965" s="14"/>
      <c r="CO1965" s="14"/>
      <c r="CP1965" s="14"/>
      <c r="CQ1965" s="14"/>
      <c r="CR1965" s="14"/>
      <c r="CS1965" s="14"/>
      <c r="CT1965" s="14"/>
      <c r="CU1965" s="16"/>
      <c r="CV1965" s="14"/>
      <c r="CW1965" s="50"/>
      <c r="CX1965" s="17"/>
    </row>
    <row r="1966" spans="4:102" x14ac:dyDescent="0.25">
      <c r="D1966" s="11"/>
      <c r="E1966" s="11"/>
      <c r="F1966" s="11"/>
      <c r="G1966" s="11"/>
      <c r="H1966" s="11"/>
      <c r="I1966" s="11"/>
      <c r="J1966" s="11"/>
      <c r="K1966" s="11"/>
      <c r="L1966" s="11"/>
      <c r="M1966" s="11"/>
      <c r="N1966" s="11"/>
      <c r="O1966" s="11"/>
      <c r="P1966" s="43"/>
      <c r="Q1966" s="11"/>
      <c r="R1966" s="11"/>
      <c r="S1966" s="11"/>
      <c r="T1966" s="11"/>
      <c r="U1966" s="11"/>
      <c r="V1966" s="11"/>
      <c r="W1966" s="11"/>
      <c r="X1966" s="12"/>
      <c r="Y1966" s="12"/>
      <c r="Z1966" s="12"/>
      <c r="AA1966" s="44"/>
      <c r="AB1966" s="45"/>
      <c r="AC1966" s="12"/>
      <c r="AD1966" s="12"/>
      <c r="AE1966" s="12"/>
      <c r="AF1966" s="12"/>
      <c r="AG1966" s="44"/>
      <c r="AH1966" s="45"/>
      <c r="AI1966" s="12"/>
      <c r="AJ1966" s="12"/>
      <c r="AK1966" s="12"/>
      <c r="AL1966" s="12"/>
      <c r="AM1966" s="44"/>
      <c r="AN1966" s="45"/>
      <c r="AO1966" s="12"/>
      <c r="AP1966" s="12"/>
      <c r="AQ1966" s="12"/>
      <c r="AR1966" s="12"/>
      <c r="AS1966" s="44"/>
      <c r="AT1966" s="45"/>
      <c r="AU1966" s="12"/>
      <c r="AV1966" s="12"/>
      <c r="AW1966" s="12"/>
      <c r="AX1966" s="12"/>
      <c r="AY1966" s="44"/>
      <c r="AZ1966" s="45"/>
      <c r="BA1966" s="12"/>
      <c r="BB1966" s="12"/>
      <c r="BC1966" s="12"/>
      <c r="BD1966" s="12"/>
      <c r="BE1966" s="44"/>
      <c r="BF1966" s="45"/>
      <c r="BG1966" s="12"/>
      <c r="BH1966" s="12"/>
      <c r="BI1966" s="12"/>
      <c r="BJ1966" s="12"/>
      <c r="BK1966" s="44"/>
      <c r="BL1966" s="45"/>
      <c r="BM1966" s="12"/>
      <c r="BN1966" s="12"/>
      <c r="BO1966" s="12"/>
      <c r="BP1966" s="12"/>
      <c r="BQ1966" s="48"/>
      <c r="BR1966" s="49"/>
      <c r="BS1966" s="13"/>
      <c r="BT1966" s="12"/>
      <c r="BV1966" s="14"/>
      <c r="BW1966" s="50"/>
      <c r="BX1966" s="54"/>
      <c r="BY1966" s="14"/>
      <c r="BZ1966" s="14"/>
      <c r="CA1966" s="14"/>
      <c r="CB1966" s="14"/>
      <c r="CC1966" s="14"/>
      <c r="CD1966" s="14"/>
      <c r="CE1966" s="14"/>
      <c r="CF1966" s="15"/>
      <c r="CG1966" s="14"/>
      <c r="CH1966" s="14"/>
      <c r="CI1966" s="50"/>
      <c r="CJ1966" s="54"/>
      <c r="CK1966" s="14"/>
      <c r="CL1966" s="14"/>
      <c r="CM1966" s="14"/>
      <c r="CN1966" s="14"/>
      <c r="CO1966" s="14"/>
      <c r="CP1966" s="14"/>
      <c r="CQ1966" s="14"/>
      <c r="CR1966" s="14"/>
      <c r="CS1966" s="14"/>
      <c r="CT1966" s="14"/>
      <c r="CU1966" s="16"/>
      <c r="CV1966" s="14"/>
      <c r="CW1966" s="50"/>
      <c r="CX1966" s="17"/>
    </row>
    <row r="1967" spans="4:102" x14ac:dyDescent="0.25">
      <c r="D1967" s="11"/>
      <c r="E1967" s="11"/>
      <c r="F1967" s="11"/>
      <c r="G1967" s="11"/>
      <c r="H1967" s="11"/>
      <c r="I1967" s="11"/>
      <c r="J1967" s="11"/>
      <c r="K1967" s="11"/>
      <c r="L1967" s="11"/>
      <c r="M1967" s="11"/>
      <c r="N1967" s="11"/>
      <c r="O1967" s="11"/>
      <c r="P1967" s="43"/>
      <c r="Q1967" s="11"/>
      <c r="R1967" s="11"/>
      <c r="S1967" s="11"/>
      <c r="T1967" s="11"/>
      <c r="U1967" s="11"/>
      <c r="V1967" s="11"/>
      <c r="W1967" s="11"/>
      <c r="X1967" s="12"/>
      <c r="Y1967" s="12"/>
      <c r="Z1967" s="12"/>
      <c r="AA1967" s="44"/>
      <c r="AB1967" s="45"/>
      <c r="AC1967" s="12"/>
      <c r="AD1967" s="12"/>
      <c r="AE1967" s="12"/>
      <c r="AF1967" s="12"/>
      <c r="AG1967" s="44"/>
      <c r="AH1967" s="45"/>
      <c r="AI1967" s="12"/>
      <c r="AJ1967" s="12"/>
      <c r="AK1967" s="12"/>
      <c r="AL1967" s="12"/>
      <c r="AM1967" s="44"/>
      <c r="AN1967" s="45"/>
      <c r="AO1967" s="12"/>
      <c r="AP1967" s="12"/>
      <c r="AQ1967" s="12"/>
      <c r="AR1967" s="12"/>
      <c r="AS1967" s="44"/>
      <c r="AT1967" s="45"/>
      <c r="AU1967" s="12"/>
      <c r="AV1967" s="12"/>
      <c r="AW1967" s="12"/>
      <c r="AX1967" s="12"/>
      <c r="AY1967" s="44"/>
      <c r="AZ1967" s="45"/>
      <c r="BA1967" s="12"/>
      <c r="BB1967" s="12"/>
      <c r="BC1967" s="12"/>
      <c r="BD1967" s="12"/>
      <c r="BE1967" s="44"/>
      <c r="BF1967" s="45"/>
      <c r="BG1967" s="12"/>
      <c r="BH1967" s="12"/>
      <c r="BI1967" s="12"/>
      <c r="BJ1967" s="12"/>
      <c r="BK1967" s="44"/>
      <c r="BL1967" s="45"/>
      <c r="BM1967" s="12"/>
      <c r="BN1967" s="12"/>
      <c r="BO1967" s="12"/>
      <c r="BP1967" s="12"/>
      <c r="BQ1967" s="48"/>
      <c r="BR1967" s="49"/>
      <c r="BS1967" s="13"/>
      <c r="BT1967" s="12"/>
      <c r="BV1967" s="14"/>
      <c r="BW1967" s="50"/>
      <c r="BX1967" s="54"/>
      <c r="BY1967" s="14"/>
      <c r="BZ1967" s="14"/>
      <c r="CA1967" s="14"/>
      <c r="CB1967" s="14"/>
      <c r="CC1967" s="14"/>
      <c r="CD1967" s="14"/>
      <c r="CE1967" s="14"/>
      <c r="CF1967" s="15"/>
      <c r="CG1967" s="14"/>
      <c r="CH1967" s="14"/>
      <c r="CI1967" s="50"/>
      <c r="CJ1967" s="54"/>
      <c r="CK1967" s="14"/>
      <c r="CL1967" s="14"/>
      <c r="CM1967" s="14"/>
      <c r="CN1967" s="14"/>
      <c r="CO1967" s="14"/>
      <c r="CP1967" s="14"/>
      <c r="CQ1967" s="14"/>
      <c r="CR1967" s="14"/>
      <c r="CS1967" s="14"/>
      <c r="CT1967" s="14"/>
      <c r="CU1967" s="16"/>
      <c r="CV1967" s="14"/>
      <c r="CW1967" s="50"/>
      <c r="CX1967" s="17"/>
    </row>
    <row r="1968" spans="4:102" x14ac:dyDescent="0.25">
      <c r="D1968" s="11"/>
      <c r="E1968" s="11"/>
      <c r="F1968" s="11"/>
      <c r="G1968" s="11"/>
      <c r="H1968" s="11"/>
      <c r="I1968" s="11"/>
      <c r="J1968" s="11"/>
      <c r="K1968" s="11"/>
      <c r="L1968" s="11"/>
      <c r="M1968" s="11"/>
      <c r="N1968" s="11"/>
      <c r="O1968" s="11"/>
      <c r="P1968" s="43"/>
      <c r="Q1968" s="11"/>
      <c r="R1968" s="11"/>
      <c r="S1968" s="11"/>
      <c r="T1968" s="11"/>
      <c r="U1968" s="11"/>
      <c r="V1968" s="11"/>
      <c r="W1968" s="11"/>
      <c r="X1968" s="12"/>
      <c r="Y1968" s="12"/>
      <c r="Z1968" s="12"/>
      <c r="AA1968" s="44"/>
      <c r="AB1968" s="45"/>
      <c r="AC1968" s="12"/>
      <c r="AD1968" s="12"/>
      <c r="AE1968" s="12"/>
      <c r="AF1968" s="12"/>
      <c r="AG1968" s="44"/>
      <c r="AH1968" s="45"/>
      <c r="AI1968" s="12"/>
      <c r="AJ1968" s="12"/>
      <c r="AK1968" s="12"/>
      <c r="AL1968" s="12"/>
      <c r="AM1968" s="44"/>
      <c r="AN1968" s="45"/>
      <c r="AO1968" s="12"/>
      <c r="AP1968" s="12"/>
      <c r="AQ1968" s="12"/>
      <c r="AR1968" s="12"/>
      <c r="AS1968" s="44"/>
      <c r="AT1968" s="45"/>
      <c r="AU1968" s="12"/>
      <c r="AV1968" s="12"/>
      <c r="AW1968" s="12"/>
      <c r="AX1968" s="12"/>
      <c r="AY1968" s="44"/>
      <c r="AZ1968" s="45"/>
      <c r="BA1968" s="12"/>
      <c r="BB1968" s="12"/>
      <c r="BC1968" s="12"/>
      <c r="BD1968" s="12"/>
      <c r="BE1968" s="44"/>
      <c r="BF1968" s="45"/>
      <c r="BG1968" s="12"/>
      <c r="BH1968" s="12"/>
      <c r="BI1968" s="12"/>
      <c r="BJ1968" s="12"/>
      <c r="BK1968" s="44"/>
      <c r="BL1968" s="45"/>
      <c r="BM1968" s="12"/>
      <c r="BN1968" s="12"/>
      <c r="BO1968" s="12"/>
      <c r="BP1968" s="12"/>
      <c r="BQ1968" s="48"/>
      <c r="BR1968" s="49"/>
      <c r="BS1968" s="13"/>
      <c r="BT1968" s="12"/>
      <c r="BV1968" s="14"/>
      <c r="BW1968" s="50"/>
      <c r="BX1968" s="54"/>
      <c r="BY1968" s="14"/>
      <c r="BZ1968" s="14"/>
      <c r="CA1968" s="14"/>
      <c r="CB1968" s="14"/>
      <c r="CC1968" s="14"/>
      <c r="CD1968" s="14"/>
      <c r="CE1968" s="14"/>
      <c r="CF1968" s="15"/>
      <c r="CG1968" s="14"/>
      <c r="CH1968" s="14"/>
      <c r="CI1968" s="50"/>
      <c r="CJ1968" s="54"/>
      <c r="CK1968" s="14"/>
      <c r="CL1968" s="14"/>
      <c r="CM1968" s="14"/>
      <c r="CN1968" s="14"/>
      <c r="CO1968" s="14"/>
      <c r="CP1968" s="14"/>
      <c r="CQ1968" s="14"/>
      <c r="CR1968" s="14"/>
      <c r="CS1968" s="14"/>
      <c r="CT1968" s="14"/>
      <c r="CU1968" s="16"/>
      <c r="CV1968" s="14"/>
      <c r="CW1968" s="50"/>
      <c r="CX1968" s="17"/>
    </row>
    <row r="1969" spans="4:102" x14ac:dyDescent="0.25">
      <c r="D1969" s="11"/>
      <c r="E1969" s="11"/>
      <c r="F1969" s="11"/>
      <c r="G1969" s="11"/>
      <c r="H1969" s="11"/>
      <c r="I1969" s="11"/>
      <c r="J1969" s="11"/>
      <c r="K1969" s="11"/>
      <c r="L1969" s="11"/>
      <c r="M1969" s="11"/>
      <c r="N1969" s="11"/>
      <c r="O1969" s="11"/>
      <c r="P1969" s="43"/>
      <c r="Q1969" s="11"/>
      <c r="R1969" s="11"/>
      <c r="S1969" s="11"/>
      <c r="T1969" s="11"/>
      <c r="U1969" s="11"/>
      <c r="V1969" s="11"/>
      <c r="W1969" s="11"/>
      <c r="X1969" s="12"/>
      <c r="Y1969" s="12"/>
      <c r="Z1969" s="12"/>
      <c r="AA1969" s="44"/>
      <c r="AB1969" s="45"/>
      <c r="AC1969" s="12"/>
      <c r="AD1969" s="12"/>
      <c r="AE1969" s="12"/>
      <c r="AF1969" s="12"/>
      <c r="AG1969" s="44"/>
      <c r="AH1969" s="45"/>
      <c r="AI1969" s="12"/>
      <c r="AJ1969" s="12"/>
      <c r="AK1969" s="12"/>
      <c r="AL1969" s="12"/>
      <c r="AM1969" s="44"/>
      <c r="AN1969" s="45"/>
      <c r="AO1969" s="12"/>
      <c r="AP1969" s="12"/>
      <c r="AQ1969" s="12"/>
      <c r="AR1969" s="12"/>
      <c r="AS1969" s="44"/>
      <c r="AT1969" s="45"/>
      <c r="AU1969" s="12"/>
      <c r="AV1969" s="12"/>
      <c r="AW1969" s="12"/>
      <c r="AX1969" s="12"/>
      <c r="AY1969" s="44"/>
      <c r="AZ1969" s="45"/>
      <c r="BA1969" s="12"/>
      <c r="BB1969" s="12"/>
      <c r="BC1969" s="12"/>
      <c r="BD1969" s="12"/>
      <c r="BE1969" s="44"/>
      <c r="BF1969" s="45"/>
      <c r="BG1969" s="12"/>
      <c r="BH1969" s="12"/>
      <c r="BI1969" s="12"/>
      <c r="BJ1969" s="12"/>
      <c r="BK1969" s="44"/>
      <c r="BL1969" s="45"/>
      <c r="BM1969" s="12"/>
      <c r="BN1969" s="12"/>
      <c r="BO1969" s="12"/>
      <c r="BP1969" s="12"/>
      <c r="BQ1969" s="48"/>
      <c r="BR1969" s="49"/>
      <c r="BS1969" s="13"/>
      <c r="BT1969" s="12"/>
      <c r="BV1969" s="14"/>
      <c r="BW1969" s="50"/>
      <c r="BX1969" s="54"/>
      <c r="BY1969" s="14"/>
      <c r="BZ1969" s="14"/>
      <c r="CA1969" s="14"/>
      <c r="CB1969" s="14"/>
      <c r="CC1969" s="14"/>
      <c r="CD1969" s="14"/>
      <c r="CE1969" s="14"/>
      <c r="CF1969" s="15"/>
      <c r="CG1969" s="14"/>
      <c r="CH1969" s="14"/>
      <c r="CI1969" s="50"/>
      <c r="CJ1969" s="54"/>
      <c r="CK1969" s="14"/>
      <c r="CL1969" s="14"/>
      <c r="CM1969" s="14"/>
      <c r="CN1969" s="14"/>
      <c r="CO1969" s="14"/>
      <c r="CP1969" s="14"/>
      <c r="CQ1969" s="14"/>
      <c r="CR1969" s="14"/>
      <c r="CS1969" s="14"/>
      <c r="CT1969" s="14"/>
      <c r="CU1969" s="16"/>
      <c r="CV1969" s="14"/>
      <c r="CW1969" s="50"/>
      <c r="CX1969" s="17"/>
    </row>
    <row r="1970" spans="4:102" x14ac:dyDescent="0.25">
      <c r="D1970" s="11"/>
      <c r="E1970" s="11"/>
      <c r="F1970" s="11"/>
      <c r="G1970" s="11"/>
      <c r="H1970" s="11"/>
      <c r="I1970" s="11"/>
      <c r="J1970" s="11"/>
      <c r="K1970" s="11"/>
      <c r="L1970" s="11"/>
      <c r="M1970" s="11"/>
      <c r="N1970" s="11"/>
      <c r="O1970" s="11"/>
      <c r="P1970" s="43"/>
      <c r="Q1970" s="11"/>
      <c r="R1970" s="11"/>
      <c r="S1970" s="11"/>
      <c r="T1970" s="11"/>
      <c r="U1970" s="11"/>
      <c r="V1970" s="11"/>
      <c r="W1970" s="11"/>
      <c r="X1970" s="12"/>
      <c r="Y1970" s="12"/>
      <c r="Z1970" s="12"/>
      <c r="AA1970" s="44"/>
      <c r="AB1970" s="45"/>
      <c r="AC1970" s="12"/>
      <c r="AD1970" s="12"/>
      <c r="AE1970" s="12"/>
      <c r="AF1970" s="12"/>
      <c r="AG1970" s="44"/>
      <c r="AH1970" s="45"/>
      <c r="AI1970" s="12"/>
      <c r="AJ1970" s="12"/>
      <c r="AK1970" s="12"/>
      <c r="AL1970" s="12"/>
      <c r="AM1970" s="44"/>
      <c r="AN1970" s="45"/>
      <c r="AO1970" s="12"/>
      <c r="AP1970" s="12"/>
      <c r="AQ1970" s="12"/>
      <c r="AR1970" s="12"/>
      <c r="AS1970" s="44"/>
      <c r="AT1970" s="45"/>
      <c r="AU1970" s="12"/>
      <c r="AV1970" s="12"/>
      <c r="AW1970" s="12"/>
      <c r="AX1970" s="12"/>
      <c r="AY1970" s="44"/>
      <c r="AZ1970" s="45"/>
      <c r="BA1970" s="12"/>
      <c r="BB1970" s="12"/>
      <c r="BC1970" s="12"/>
      <c r="BD1970" s="12"/>
      <c r="BE1970" s="44"/>
      <c r="BF1970" s="45"/>
      <c r="BG1970" s="12"/>
      <c r="BH1970" s="12"/>
      <c r="BI1970" s="12"/>
      <c r="BJ1970" s="12"/>
      <c r="BK1970" s="44"/>
      <c r="BL1970" s="45"/>
      <c r="BM1970" s="12"/>
      <c r="BN1970" s="12"/>
      <c r="BO1970" s="12"/>
      <c r="BP1970" s="12"/>
      <c r="BQ1970" s="48"/>
      <c r="BR1970" s="49"/>
      <c r="BS1970" s="13"/>
      <c r="BT1970" s="12"/>
      <c r="BV1970" s="14"/>
      <c r="BW1970" s="50"/>
      <c r="BX1970" s="54"/>
      <c r="BY1970" s="14"/>
      <c r="BZ1970" s="14"/>
      <c r="CA1970" s="14"/>
      <c r="CB1970" s="14"/>
      <c r="CC1970" s="14"/>
      <c r="CD1970" s="14"/>
      <c r="CE1970" s="14"/>
      <c r="CF1970" s="15"/>
      <c r="CG1970" s="14"/>
      <c r="CH1970" s="14"/>
      <c r="CI1970" s="50"/>
      <c r="CJ1970" s="54"/>
      <c r="CK1970" s="14"/>
      <c r="CL1970" s="14"/>
      <c r="CM1970" s="14"/>
      <c r="CN1970" s="14"/>
      <c r="CO1970" s="14"/>
      <c r="CP1970" s="14"/>
      <c r="CQ1970" s="14"/>
      <c r="CR1970" s="14"/>
      <c r="CS1970" s="14"/>
      <c r="CT1970" s="14"/>
      <c r="CU1970" s="16"/>
      <c r="CV1970" s="14"/>
      <c r="CW1970" s="50"/>
      <c r="CX1970" s="17"/>
    </row>
    <row r="1971" spans="4:102" x14ac:dyDescent="0.25">
      <c r="D1971" s="11"/>
      <c r="E1971" s="11"/>
      <c r="F1971" s="11"/>
      <c r="G1971" s="11"/>
      <c r="H1971" s="11"/>
      <c r="I1971" s="11"/>
      <c r="J1971" s="11"/>
      <c r="K1971" s="11"/>
      <c r="L1971" s="11"/>
      <c r="M1971" s="11"/>
      <c r="N1971" s="11"/>
      <c r="O1971" s="11"/>
      <c r="P1971" s="43"/>
      <c r="Q1971" s="11"/>
      <c r="R1971" s="11"/>
      <c r="S1971" s="11"/>
      <c r="T1971" s="11"/>
      <c r="U1971" s="11"/>
      <c r="V1971" s="11"/>
      <c r="W1971" s="11"/>
      <c r="X1971" s="12"/>
      <c r="Y1971" s="12"/>
      <c r="Z1971" s="12"/>
      <c r="AA1971" s="44"/>
      <c r="AB1971" s="45"/>
      <c r="AC1971" s="12"/>
      <c r="AD1971" s="12"/>
      <c r="AE1971" s="12"/>
      <c r="AF1971" s="12"/>
      <c r="AG1971" s="44"/>
      <c r="AH1971" s="45"/>
      <c r="AI1971" s="12"/>
      <c r="AJ1971" s="12"/>
      <c r="AK1971" s="12"/>
      <c r="AL1971" s="12"/>
      <c r="AM1971" s="44"/>
      <c r="AN1971" s="45"/>
      <c r="AO1971" s="12"/>
      <c r="AP1971" s="12"/>
      <c r="AQ1971" s="12"/>
      <c r="AR1971" s="12"/>
      <c r="AS1971" s="44"/>
      <c r="AT1971" s="45"/>
      <c r="AU1971" s="12"/>
      <c r="AV1971" s="12"/>
      <c r="AW1971" s="12"/>
      <c r="AX1971" s="12"/>
      <c r="AY1971" s="44"/>
      <c r="AZ1971" s="45"/>
      <c r="BA1971" s="12"/>
      <c r="BB1971" s="12"/>
      <c r="BC1971" s="12"/>
      <c r="BD1971" s="12"/>
      <c r="BE1971" s="44"/>
      <c r="BF1971" s="45"/>
      <c r="BG1971" s="12"/>
      <c r="BH1971" s="12"/>
      <c r="BI1971" s="12"/>
      <c r="BJ1971" s="12"/>
      <c r="BK1971" s="44"/>
      <c r="BL1971" s="45"/>
      <c r="BM1971" s="12"/>
      <c r="BN1971" s="12"/>
      <c r="BO1971" s="12"/>
      <c r="BP1971" s="12"/>
      <c r="BQ1971" s="48"/>
      <c r="BR1971" s="49"/>
      <c r="BS1971" s="13"/>
      <c r="BT1971" s="12"/>
      <c r="BV1971" s="14"/>
      <c r="BW1971" s="50"/>
      <c r="BX1971" s="54"/>
      <c r="BY1971" s="14"/>
      <c r="BZ1971" s="14"/>
      <c r="CA1971" s="14"/>
      <c r="CB1971" s="14"/>
      <c r="CC1971" s="14"/>
      <c r="CD1971" s="14"/>
      <c r="CE1971" s="14"/>
      <c r="CF1971" s="15"/>
      <c r="CG1971" s="14"/>
      <c r="CH1971" s="14"/>
      <c r="CI1971" s="50"/>
      <c r="CJ1971" s="54"/>
      <c r="CK1971" s="14"/>
      <c r="CL1971" s="14"/>
      <c r="CM1971" s="14"/>
      <c r="CN1971" s="14"/>
      <c r="CO1971" s="14"/>
      <c r="CP1971" s="14"/>
      <c r="CQ1971" s="14"/>
      <c r="CR1971" s="14"/>
      <c r="CS1971" s="14"/>
      <c r="CT1971" s="14"/>
      <c r="CU1971" s="16"/>
      <c r="CV1971" s="14"/>
      <c r="CW1971" s="50"/>
      <c r="CX1971" s="17"/>
    </row>
    <row r="1972" spans="4:102" x14ac:dyDescent="0.25">
      <c r="D1972" s="11"/>
      <c r="E1972" s="11"/>
      <c r="F1972" s="11"/>
      <c r="G1972" s="11"/>
      <c r="H1972" s="11"/>
      <c r="I1972" s="11"/>
      <c r="J1972" s="11"/>
      <c r="K1972" s="11"/>
      <c r="L1972" s="11"/>
      <c r="M1972" s="11"/>
      <c r="N1972" s="11"/>
      <c r="O1972" s="11"/>
      <c r="P1972" s="43"/>
      <c r="Q1972" s="11"/>
      <c r="R1972" s="11"/>
      <c r="S1972" s="11"/>
      <c r="T1972" s="11"/>
      <c r="U1972" s="11"/>
      <c r="V1972" s="11"/>
      <c r="W1972" s="11"/>
      <c r="X1972" s="12"/>
      <c r="Y1972" s="12"/>
      <c r="Z1972" s="12"/>
      <c r="AA1972" s="44"/>
      <c r="AB1972" s="45"/>
      <c r="AC1972" s="12"/>
      <c r="AD1972" s="12"/>
      <c r="AE1972" s="12"/>
      <c r="AF1972" s="12"/>
      <c r="AG1972" s="44"/>
      <c r="AH1972" s="45"/>
      <c r="AI1972" s="12"/>
      <c r="AJ1972" s="12"/>
      <c r="AK1972" s="12"/>
      <c r="AL1972" s="12"/>
      <c r="AM1972" s="44"/>
      <c r="AN1972" s="45"/>
      <c r="AO1972" s="12"/>
      <c r="AP1972" s="12"/>
      <c r="AQ1972" s="12"/>
      <c r="AR1972" s="12"/>
      <c r="AS1972" s="44"/>
      <c r="AT1972" s="45"/>
      <c r="AU1972" s="12"/>
      <c r="AV1972" s="12"/>
      <c r="AW1972" s="12"/>
      <c r="AX1972" s="12"/>
      <c r="AY1972" s="44"/>
      <c r="AZ1972" s="45"/>
      <c r="BA1972" s="12"/>
      <c r="BB1972" s="12"/>
      <c r="BC1972" s="12"/>
      <c r="BD1972" s="12"/>
      <c r="BE1972" s="44"/>
      <c r="BF1972" s="45"/>
      <c r="BG1972" s="12"/>
      <c r="BH1972" s="12"/>
      <c r="BI1972" s="12"/>
      <c r="BJ1972" s="12"/>
      <c r="BK1972" s="44"/>
      <c r="BL1972" s="45"/>
      <c r="BM1972" s="12"/>
      <c r="BN1972" s="12"/>
      <c r="BO1972" s="12"/>
      <c r="BP1972" s="12"/>
      <c r="BQ1972" s="48"/>
      <c r="BR1972" s="49"/>
      <c r="BS1972" s="13"/>
      <c r="BT1972" s="12"/>
      <c r="BV1972" s="14"/>
      <c r="BW1972" s="50"/>
      <c r="BX1972" s="54"/>
      <c r="BY1972" s="14"/>
      <c r="BZ1972" s="14"/>
      <c r="CA1972" s="14"/>
      <c r="CB1972" s="14"/>
      <c r="CC1972" s="14"/>
      <c r="CD1972" s="14"/>
      <c r="CE1972" s="14"/>
      <c r="CF1972" s="15"/>
      <c r="CG1972" s="14"/>
      <c r="CH1972" s="14"/>
      <c r="CI1972" s="50"/>
      <c r="CJ1972" s="54"/>
      <c r="CK1972" s="14"/>
      <c r="CL1972" s="14"/>
      <c r="CM1972" s="14"/>
      <c r="CN1972" s="14"/>
      <c r="CO1972" s="14"/>
      <c r="CP1972" s="14"/>
      <c r="CQ1972" s="14"/>
      <c r="CR1972" s="14"/>
      <c r="CS1972" s="14"/>
      <c r="CT1972" s="14"/>
      <c r="CU1972" s="16"/>
      <c r="CV1972" s="14"/>
      <c r="CW1972" s="50"/>
      <c r="CX1972" s="17"/>
    </row>
    <row r="1973" spans="4:102" x14ac:dyDescent="0.25">
      <c r="D1973" s="11"/>
      <c r="E1973" s="11"/>
      <c r="F1973" s="11"/>
      <c r="G1973" s="11"/>
      <c r="H1973" s="11"/>
      <c r="I1973" s="11"/>
      <c r="J1973" s="11"/>
      <c r="K1973" s="11"/>
      <c r="L1973" s="11"/>
      <c r="M1973" s="11"/>
      <c r="N1973" s="11"/>
      <c r="O1973" s="11"/>
      <c r="P1973" s="43"/>
      <c r="Q1973" s="11"/>
      <c r="R1973" s="11"/>
      <c r="S1973" s="11"/>
      <c r="T1973" s="11"/>
      <c r="U1973" s="11"/>
      <c r="V1973" s="11"/>
      <c r="W1973" s="11"/>
      <c r="X1973" s="12"/>
      <c r="Y1973" s="12"/>
      <c r="Z1973" s="12"/>
      <c r="AA1973" s="44"/>
      <c r="AB1973" s="45"/>
      <c r="AC1973" s="12"/>
      <c r="AD1973" s="12"/>
      <c r="AE1973" s="12"/>
      <c r="AF1973" s="12"/>
      <c r="AG1973" s="44"/>
      <c r="AH1973" s="45"/>
      <c r="AI1973" s="12"/>
      <c r="AJ1973" s="12"/>
      <c r="AK1973" s="12"/>
      <c r="AL1973" s="12"/>
      <c r="AM1973" s="44"/>
      <c r="AN1973" s="45"/>
      <c r="AO1973" s="12"/>
      <c r="AP1973" s="12"/>
      <c r="AQ1973" s="12"/>
      <c r="AR1973" s="12"/>
      <c r="AS1973" s="44"/>
      <c r="AT1973" s="45"/>
      <c r="AU1973" s="12"/>
      <c r="AV1973" s="12"/>
      <c r="AW1973" s="12"/>
      <c r="AX1973" s="12"/>
      <c r="AY1973" s="44"/>
      <c r="AZ1973" s="45"/>
      <c r="BA1973" s="12"/>
      <c r="BB1973" s="12"/>
      <c r="BC1973" s="12"/>
      <c r="BD1973" s="12"/>
      <c r="BE1973" s="44"/>
      <c r="BF1973" s="45"/>
      <c r="BG1973" s="12"/>
      <c r="BH1973" s="12"/>
      <c r="BI1973" s="12"/>
      <c r="BJ1973" s="12"/>
      <c r="BK1973" s="44"/>
      <c r="BL1973" s="45"/>
      <c r="BM1973" s="12"/>
      <c r="BN1973" s="12"/>
      <c r="BO1973" s="12"/>
      <c r="BP1973" s="12"/>
      <c r="BQ1973" s="48"/>
      <c r="BR1973" s="49"/>
      <c r="BS1973" s="13"/>
      <c r="BT1973" s="12"/>
      <c r="BV1973" s="14"/>
      <c r="BW1973" s="50"/>
      <c r="BX1973" s="54"/>
      <c r="BY1973" s="14"/>
      <c r="BZ1973" s="14"/>
      <c r="CA1973" s="14"/>
      <c r="CB1973" s="14"/>
      <c r="CC1973" s="14"/>
      <c r="CD1973" s="14"/>
      <c r="CE1973" s="14"/>
      <c r="CF1973" s="15"/>
      <c r="CG1973" s="14"/>
      <c r="CH1973" s="14"/>
      <c r="CI1973" s="50"/>
      <c r="CJ1973" s="54"/>
      <c r="CK1973" s="14"/>
      <c r="CL1973" s="14"/>
      <c r="CM1973" s="14"/>
      <c r="CN1973" s="14"/>
      <c r="CO1973" s="14"/>
      <c r="CP1973" s="14"/>
      <c r="CQ1973" s="14"/>
      <c r="CR1973" s="14"/>
      <c r="CS1973" s="14"/>
      <c r="CT1973" s="14"/>
      <c r="CU1973" s="16"/>
      <c r="CV1973" s="14"/>
      <c r="CW1973" s="50"/>
      <c r="CX1973" s="17"/>
    </row>
    <row r="1974" spans="4:102" x14ac:dyDescent="0.25">
      <c r="D1974" s="11"/>
      <c r="E1974" s="11"/>
      <c r="F1974" s="11"/>
      <c r="G1974" s="11"/>
      <c r="H1974" s="11"/>
      <c r="I1974" s="11"/>
      <c r="J1974" s="11"/>
      <c r="K1974" s="11"/>
      <c r="L1974" s="11"/>
      <c r="M1974" s="11"/>
      <c r="N1974" s="11"/>
      <c r="O1974" s="11"/>
      <c r="P1974" s="43"/>
      <c r="Q1974" s="11"/>
      <c r="R1974" s="11"/>
      <c r="S1974" s="11"/>
      <c r="T1974" s="11"/>
      <c r="U1974" s="11"/>
      <c r="V1974" s="11"/>
      <c r="W1974" s="11"/>
      <c r="X1974" s="12"/>
      <c r="Y1974" s="12"/>
      <c r="Z1974" s="12"/>
      <c r="AA1974" s="44"/>
      <c r="AB1974" s="45"/>
      <c r="AC1974" s="12"/>
      <c r="AD1974" s="12"/>
      <c r="AE1974" s="12"/>
      <c r="AF1974" s="12"/>
      <c r="AG1974" s="44"/>
      <c r="AH1974" s="45"/>
      <c r="AI1974" s="12"/>
      <c r="AJ1974" s="12"/>
      <c r="AK1974" s="12"/>
      <c r="AL1974" s="12"/>
      <c r="AM1974" s="44"/>
      <c r="AN1974" s="45"/>
      <c r="AO1974" s="12"/>
      <c r="AP1974" s="12"/>
      <c r="AQ1974" s="12"/>
      <c r="AR1974" s="12"/>
      <c r="AS1974" s="44"/>
      <c r="AT1974" s="45"/>
      <c r="AU1974" s="12"/>
      <c r="AV1974" s="12"/>
      <c r="AW1974" s="12"/>
      <c r="AX1974" s="12"/>
      <c r="AY1974" s="44"/>
      <c r="AZ1974" s="45"/>
      <c r="BA1974" s="12"/>
      <c r="BB1974" s="12"/>
      <c r="BC1974" s="12"/>
      <c r="BD1974" s="12"/>
      <c r="BE1974" s="44"/>
      <c r="BF1974" s="45"/>
      <c r="BG1974" s="12"/>
      <c r="BH1974" s="12"/>
      <c r="BI1974" s="12"/>
      <c r="BJ1974" s="12"/>
      <c r="BK1974" s="44"/>
      <c r="BL1974" s="45"/>
      <c r="BM1974" s="12"/>
      <c r="BN1974" s="12"/>
      <c r="BO1974" s="12"/>
      <c r="BP1974" s="12"/>
      <c r="BQ1974" s="48"/>
      <c r="BR1974" s="49"/>
      <c r="BS1974" s="13"/>
      <c r="BT1974" s="12"/>
      <c r="BV1974" s="14"/>
      <c r="BW1974" s="50"/>
      <c r="BX1974" s="54"/>
      <c r="BY1974" s="14"/>
      <c r="BZ1974" s="14"/>
      <c r="CA1974" s="14"/>
      <c r="CB1974" s="14"/>
      <c r="CC1974" s="14"/>
      <c r="CD1974" s="14"/>
      <c r="CE1974" s="14"/>
      <c r="CF1974" s="15"/>
      <c r="CG1974" s="14"/>
      <c r="CH1974" s="14"/>
      <c r="CI1974" s="50"/>
      <c r="CJ1974" s="54"/>
      <c r="CK1974" s="14"/>
      <c r="CL1974" s="14"/>
      <c r="CM1974" s="14"/>
      <c r="CN1974" s="14"/>
      <c r="CO1974" s="14"/>
      <c r="CP1974" s="14"/>
      <c r="CQ1974" s="14"/>
      <c r="CR1974" s="14"/>
      <c r="CS1974" s="14"/>
      <c r="CT1974" s="14"/>
      <c r="CU1974" s="16"/>
      <c r="CV1974" s="14"/>
      <c r="CW1974" s="50"/>
      <c r="CX1974" s="17"/>
    </row>
    <row r="1975" spans="4:102" x14ac:dyDescent="0.25">
      <c r="D1975" s="11"/>
      <c r="E1975" s="11"/>
      <c r="F1975" s="11"/>
      <c r="G1975" s="11"/>
      <c r="H1975" s="11"/>
      <c r="I1975" s="11"/>
      <c r="J1975" s="11"/>
      <c r="K1975" s="11"/>
      <c r="L1975" s="11"/>
      <c r="M1975" s="11"/>
      <c r="N1975" s="11"/>
      <c r="O1975" s="11"/>
      <c r="P1975" s="43"/>
      <c r="Q1975" s="11"/>
      <c r="R1975" s="11"/>
      <c r="S1975" s="11"/>
      <c r="T1975" s="11"/>
      <c r="U1975" s="11"/>
      <c r="V1975" s="11"/>
      <c r="W1975" s="11"/>
      <c r="X1975" s="12"/>
      <c r="Y1975" s="12"/>
      <c r="Z1975" s="12"/>
      <c r="AA1975" s="44"/>
      <c r="AB1975" s="45"/>
      <c r="AC1975" s="12"/>
      <c r="AD1975" s="12"/>
      <c r="AE1975" s="12"/>
      <c r="AF1975" s="12"/>
      <c r="AG1975" s="44"/>
      <c r="AH1975" s="45"/>
      <c r="AI1975" s="12"/>
      <c r="AJ1975" s="12"/>
      <c r="AK1975" s="12"/>
      <c r="AL1975" s="12"/>
      <c r="AM1975" s="44"/>
      <c r="AN1975" s="45"/>
      <c r="AO1975" s="12"/>
      <c r="AP1975" s="12"/>
      <c r="AQ1975" s="12"/>
      <c r="AR1975" s="12"/>
      <c r="AS1975" s="44"/>
      <c r="AT1975" s="45"/>
      <c r="AU1975" s="12"/>
      <c r="AV1975" s="12"/>
      <c r="AW1975" s="12"/>
      <c r="AX1975" s="12"/>
      <c r="AY1975" s="44"/>
      <c r="AZ1975" s="45"/>
      <c r="BA1975" s="12"/>
      <c r="BB1975" s="12"/>
      <c r="BC1975" s="12"/>
      <c r="BD1975" s="12"/>
      <c r="BE1975" s="44"/>
      <c r="BF1975" s="45"/>
      <c r="BG1975" s="12"/>
      <c r="BH1975" s="12"/>
      <c r="BI1975" s="12"/>
      <c r="BJ1975" s="12"/>
      <c r="BK1975" s="44"/>
      <c r="BL1975" s="45"/>
      <c r="BM1975" s="12"/>
      <c r="BN1975" s="12"/>
      <c r="BO1975" s="12"/>
      <c r="BP1975" s="12"/>
      <c r="BQ1975" s="48"/>
      <c r="BR1975" s="49"/>
      <c r="BS1975" s="13"/>
      <c r="BT1975" s="12"/>
      <c r="BV1975" s="14"/>
      <c r="BW1975" s="50"/>
      <c r="BX1975" s="54"/>
      <c r="BY1975" s="14"/>
      <c r="BZ1975" s="14"/>
      <c r="CA1975" s="14"/>
      <c r="CB1975" s="14"/>
      <c r="CC1975" s="14"/>
      <c r="CD1975" s="14"/>
      <c r="CE1975" s="14"/>
      <c r="CF1975" s="15"/>
      <c r="CG1975" s="14"/>
      <c r="CH1975" s="14"/>
      <c r="CI1975" s="50"/>
      <c r="CJ1975" s="54"/>
      <c r="CK1975" s="14"/>
      <c r="CL1975" s="14"/>
      <c r="CM1975" s="14"/>
      <c r="CN1975" s="14"/>
      <c r="CO1975" s="14"/>
      <c r="CP1975" s="14"/>
      <c r="CQ1975" s="14"/>
      <c r="CR1975" s="14"/>
      <c r="CS1975" s="14"/>
      <c r="CT1975" s="14"/>
      <c r="CU1975" s="16"/>
      <c r="CV1975" s="14"/>
      <c r="CW1975" s="50"/>
      <c r="CX1975" s="17"/>
    </row>
    <row r="1976" spans="4:102" x14ac:dyDescent="0.25">
      <c r="D1976" s="11"/>
      <c r="E1976" s="11"/>
      <c r="F1976" s="11"/>
      <c r="G1976" s="11"/>
      <c r="H1976" s="11"/>
      <c r="I1976" s="11"/>
      <c r="J1976" s="11"/>
      <c r="K1976" s="11"/>
      <c r="L1976" s="11"/>
      <c r="M1976" s="11"/>
      <c r="N1976" s="11"/>
      <c r="O1976" s="11"/>
      <c r="P1976" s="43"/>
      <c r="Q1976" s="11"/>
      <c r="R1976" s="11"/>
      <c r="S1976" s="11"/>
      <c r="T1976" s="11"/>
      <c r="U1976" s="11"/>
      <c r="V1976" s="11"/>
      <c r="W1976" s="11"/>
      <c r="X1976" s="12"/>
      <c r="Y1976" s="12"/>
      <c r="Z1976" s="12"/>
      <c r="AA1976" s="44"/>
      <c r="AB1976" s="45"/>
      <c r="AC1976" s="12"/>
      <c r="AD1976" s="12"/>
      <c r="AE1976" s="12"/>
      <c r="AF1976" s="12"/>
      <c r="AG1976" s="44"/>
      <c r="AH1976" s="45"/>
      <c r="AI1976" s="12"/>
      <c r="AJ1976" s="12"/>
      <c r="AK1976" s="12"/>
      <c r="AL1976" s="12"/>
      <c r="AM1976" s="44"/>
      <c r="AN1976" s="45"/>
      <c r="AO1976" s="12"/>
      <c r="AP1976" s="12"/>
      <c r="AQ1976" s="12"/>
      <c r="AR1976" s="12"/>
      <c r="AS1976" s="44"/>
      <c r="AT1976" s="45"/>
      <c r="AU1976" s="12"/>
      <c r="AV1976" s="12"/>
      <c r="AW1976" s="12"/>
      <c r="AX1976" s="12"/>
      <c r="AY1976" s="44"/>
      <c r="AZ1976" s="45"/>
      <c r="BA1976" s="12"/>
      <c r="BB1976" s="12"/>
      <c r="BC1976" s="12"/>
      <c r="BD1976" s="12"/>
      <c r="BE1976" s="44"/>
      <c r="BF1976" s="45"/>
      <c r="BG1976" s="12"/>
      <c r="BH1976" s="12"/>
      <c r="BI1976" s="12"/>
      <c r="BJ1976" s="12"/>
      <c r="BK1976" s="44"/>
      <c r="BL1976" s="45"/>
      <c r="BM1976" s="12"/>
      <c r="BN1976" s="12"/>
      <c r="BO1976" s="12"/>
      <c r="BP1976" s="12"/>
      <c r="BQ1976" s="48"/>
      <c r="BR1976" s="49"/>
      <c r="BS1976" s="13"/>
      <c r="BT1976" s="12"/>
      <c r="BV1976" s="14"/>
      <c r="BW1976" s="50"/>
      <c r="BX1976" s="54"/>
      <c r="BY1976" s="14"/>
      <c r="BZ1976" s="14"/>
      <c r="CA1976" s="14"/>
      <c r="CB1976" s="14"/>
      <c r="CC1976" s="14"/>
      <c r="CD1976" s="14"/>
      <c r="CE1976" s="14"/>
      <c r="CF1976" s="15"/>
      <c r="CG1976" s="14"/>
      <c r="CH1976" s="14"/>
      <c r="CI1976" s="50"/>
      <c r="CJ1976" s="54"/>
      <c r="CK1976" s="14"/>
      <c r="CL1976" s="14"/>
      <c r="CM1976" s="14"/>
      <c r="CN1976" s="14"/>
      <c r="CO1976" s="14"/>
      <c r="CP1976" s="14"/>
      <c r="CQ1976" s="14"/>
      <c r="CR1976" s="14"/>
      <c r="CS1976" s="14"/>
      <c r="CT1976" s="14"/>
      <c r="CU1976" s="16"/>
      <c r="CV1976" s="14"/>
      <c r="CW1976" s="50"/>
      <c r="CX1976" s="17"/>
    </row>
    <row r="1977" spans="4:102" x14ac:dyDescent="0.25">
      <c r="D1977" s="11"/>
      <c r="E1977" s="11"/>
      <c r="F1977" s="11"/>
      <c r="G1977" s="11"/>
      <c r="H1977" s="11"/>
      <c r="I1977" s="11"/>
      <c r="J1977" s="11"/>
      <c r="K1977" s="11"/>
      <c r="L1977" s="11"/>
      <c r="M1977" s="11"/>
      <c r="N1977" s="11"/>
      <c r="O1977" s="11"/>
      <c r="P1977" s="43"/>
      <c r="Q1977" s="11"/>
      <c r="R1977" s="11"/>
      <c r="S1977" s="11"/>
      <c r="T1977" s="11"/>
      <c r="U1977" s="11"/>
      <c r="V1977" s="11"/>
      <c r="W1977" s="11"/>
      <c r="X1977" s="12"/>
      <c r="Y1977" s="12"/>
      <c r="Z1977" s="12"/>
      <c r="AA1977" s="44"/>
      <c r="AB1977" s="45"/>
      <c r="AC1977" s="12"/>
      <c r="AD1977" s="12"/>
      <c r="AE1977" s="12"/>
      <c r="AF1977" s="12"/>
      <c r="AG1977" s="44"/>
      <c r="AH1977" s="45"/>
      <c r="AI1977" s="12"/>
      <c r="AJ1977" s="12"/>
      <c r="AK1977" s="12"/>
      <c r="AL1977" s="12"/>
      <c r="AM1977" s="44"/>
      <c r="AN1977" s="45"/>
      <c r="AO1977" s="12"/>
      <c r="AP1977" s="12"/>
      <c r="AQ1977" s="12"/>
      <c r="AR1977" s="12"/>
      <c r="AS1977" s="44"/>
      <c r="AT1977" s="45"/>
      <c r="AU1977" s="12"/>
      <c r="AV1977" s="12"/>
      <c r="AW1977" s="12"/>
      <c r="AX1977" s="12"/>
      <c r="AY1977" s="44"/>
      <c r="AZ1977" s="45"/>
      <c r="BA1977" s="12"/>
      <c r="BB1977" s="12"/>
      <c r="BC1977" s="12"/>
      <c r="BD1977" s="12"/>
      <c r="BE1977" s="44"/>
      <c r="BF1977" s="45"/>
      <c r="BG1977" s="12"/>
      <c r="BH1977" s="12"/>
      <c r="BI1977" s="12"/>
      <c r="BJ1977" s="12"/>
      <c r="BK1977" s="44"/>
      <c r="BL1977" s="45"/>
      <c r="BM1977" s="12"/>
      <c r="BN1977" s="12"/>
      <c r="BO1977" s="12"/>
      <c r="BP1977" s="12"/>
      <c r="BQ1977" s="48"/>
      <c r="BR1977" s="49"/>
      <c r="BS1977" s="13"/>
      <c r="BT1977" s="12"/>
      <c r="BV1977" s="14"/>
      <c r="BW1977" s="50"/>
      <c r="BX1977" s="54"/>
      <c r="BY1977" s="14"/>
      <c r="BZ1977" s="14"/>
      <c r="CA1977" s="14"/>
      <c r="CB1977" s="14"/>
      <c r="CC1977" s="14"/>
      <c r="CD1977" s="14"/>
      <c r="CE1977" s="14"/>
      <c r="CF1977" s="15"/>
      <c r="CG1977" s="14"/>
      <c r="CH1977" s="14"/>
      <c r="CI1977" s="50"/>
      <c r="CJ1977" s="54"/>
      <c r="CK1977" s="14"/>
      <c r="CL1977" s="14"/>
      <c r="CM1977" s="14"/>
      <c r="CN1977" s="14"/>
      <c r="CO1977" s="14"/>
      <c r="CP1977" s="14"/>
      <c r="CQ1977" s="14"/>
      <c r="CR1977" s="14"/>
      <c r="CS1977" s="14"/>
      <c r="CT1977" s="14"/>
      <c r="CU1977" s="16"/>
      <c r="CV1977" s="14"/>
      <c r="CW1977" s="50"/>
      <c r="CX1977" s="17"/>
    </row>
    <row r="1978" spans="4:102" x14ac:dyDescent="0.25">
      <c r="D1978" s="11"/>
      <c r="E1978" s="11"/>
      <c r="F1978" s="11"/>
      <c r="G1978" s="11"/>
      <c r="H1978" s="11"/>
      <c r="I1978" s="11"/>
      <c r="J1978" s="11"/>
      <c r="K1978" s="11"/>
      <c r="L1978" s="11"/>
      <c r="M1978" s="11"/>
      <c r="N1978" s="11"/>
      <c r="O1978" s="11"/>
      <c r="P1978" s="43"/>
      <c r="Q1978" s="11"/>
      <c r="R1978" s="11"/>
      <c r="S1978" s="11"/>
      <c r="T1978" s="11"/>
      <c r="U1978" s="11"/>
      <c r="V1978" s="11"/>
      <c r="W1978" s="11"/>
      <c r="X1978" s="12"/>
      <c r="Y1978" s="12"/>
      <c r="Z1978" s="12"/>
      <c r="AA1978" s="44"/>
      <c r="AB1978" s="45"/>
      <c r="AC1978" s="12"/>
      <c r="AD1978" s="12"/>
      <c r="AE1978" s="12"/>
      <c r="AF1978" s="12"/>
      <c r="AG1978" s="44"/>
      <c r="AH1978" s="45"/>
      <c r="AI1978" s="12"/>
      <c r="AJ1978" s="12"/>
      <c r="AK1978" s="12"/>
      <c r="AL1978" s="12"/>
      <c r="AM1978" s="44"/>
      <c r="AN1978" s="45"/>
      <c r="AO1978" s="12"/>
      <c r="AP1978" s="12"/>
      <c r="AQ1978" s="12"/>
      <c r="AR1978" s="12"/>
      <c r="AS1978" s="44"/>
      <c r="AT1978" s="45"/>
      <c r="AU1978" s="12"/>
      <c r="AV1978" s="12"/>
      <c r="AW1978" s="12"/>
      <c r="AX1978" s="12"/>
      <c r="AY1978" s="44"/>
      <c r="AZ1978" s="45"/>
      <c r="BA1978" s="12"/>
      <c r="BB1978" s="12"/>
      <c r="BC1978" s="12"/>
      <c r="BD1978" s="12"/>
      <c r="BE1978" s="44"/>
      <c r="BF1978" s="45"/>
      <c r="BG1978" s="12"/>
      <c r="BH1978" s="12"/>
      <c r="BI1978" s="12"/>
      <c r="BJ1978" s="12"/>
      <c r="BK1978" s="44"/>
      <c r="BL1978" s="45"/>
      <c r="BM1978" s="12"/>
      <c r="BN1978" s="12"/>
      <c r="BO1978" s="12"/>
      <c r="BP1978" s="12"/>
      <c r="BQ1978" s="48"/>
      <c r="BR1978" s="49"/>
      <c r="BS1978" s="13"/>
      <c r="BT1978" s="12"/>
      <c r="BV1978" s="14"/>
      <c r="BW1978" s="50"/>
      <c r="BX1978" s="54"/>
      <c r="BY1978" s="14"/>
      <c r="BZ1978" s="14"/>
      <c r="CA1978" s="14"/>
      <c r="CB1978" s="14"/>
      <c r="CC1978" s="14"/>
      <c r="CD1978" s="14"/>
      <c r="CE1978" s="14"/>
      <c r="CF1978" s="15"/>
      <c r="CG1978" s="14"/>
      <c r="CH1978" s="14"/>
      <c r="CI1978" s="50"/>
      <c r="CJ1978" s="54"/>
      <c r="CK1978" s="14"/>
      <c r="CL1978" s="14"/>
      <c r="CM1978" s="14"/>
      <c r="CN1978" s="14"/>
      <c r="CO1978" s="14"/>
      <c r="CP1978" s="14"/>
      <c r="CQ1978" s="14"/>
      <c r="CR1978" s="14"/>
      <c r="CS1978" s="14"/>
      <c r="CT1978" s="14"/>
      <c r="CU1978" s="16"/>
      <c r="CV1978" s="14"/>
      <c r="CW1978" s="50"/>
      <c r="CX1978" s="17"/>
    </row>
    <row r="1979" spans="4:102" x14ac:dyDescent="0.25">
      <c r="D1979" s="11"/>
      <c r="E1979" s="11"/>
      <c r="F1979" s="11"/>
      <c r="G1979" s="11"/>
      <c r="H1979" s="11"/>
      <c r="I1979" s="11"/>
      <c r="J1979" s="11"/>
      <c r="K1979" s="11"/>
      <c r="L1979" s="11"/>
      <c r="M1979" s="11"/>
      <c r="N1979" s="11"/>
      <c r="O1979" s="11"/>
      <c r="P1979" s="43"/>
      <c r="Q1979" s="11"/>
      <c r="R1979" s="11"/>
      <c r="S1979" s="11"/>
      <c r="T1979" s="11"/>
      <c r="U1979" s="11"/>
      <c r="V1979" s="11"/>
      <c r="W1979" s="11"/>
      <c r="X1979" s="12"/>
      <c r="Y1979" s="12"/>
      <c r="Z1979" s="12"/>
      <c r="AA1979" s="44"/>
      <c r="AB1979" s="45"/>
      <c r="AC1979" s="12"/>
      <c r="AD1979" s="12"/>
      <c r="AE1979" s="12"/>
      <c r="AF1979" s="12"/>
      <c r="AG1979" s="44"/>
      <c r="AH1979" s="45"/>
      <c r="AI1979" s="12"/>
      <c r="AJ1979" s="12"/>
      <c r="AK1979" s="12"/>
      <c r="AL1979" s="12"/>
      <c r="AM1979" s="44"/>
      <c r="AN1979" s="45"/>
      <c r="AO1979" s="12"/>
      <c r="AP1979" s="12"/>
      <c r="AQ1979" s="12"/>
      <c r="AR1979" s="12"/>
      <c r="AS1979" s="44"/>
      <c r="AT1979" s="45"/>
      <c r="AU1979" s="12"/>
      <c r="AV1979" s="12"/>
      <c r="AW1979" s="12"/>
      <c r="AX1979" s="12"/>
      <c r="AY1979" s="44"/>
      <c r="AZ1979" s="45"/>
      <c r="BA1979" s="12"/>
      <c r="BB1979" s="12"/>
      <c r="BC1979" s="12"/>
      <c r="BD1979" s="12"/>
      <c r="BE1979" s="44"/>
      <c r="BF1979" s="45"/>
      <c r="BG1979" s="12"/>
      <c r="BH1979" s="12"/>
      <c r="BI1979" s="12"/>
      <c r="BJ1979" s="12"/>
      <c r="BK1979" s="44"/>
      <c r="BL1979" s="45"/>
      <c r="BM1979" s="12"/>
      <c r="BN1979" s="12"/>
      <c r="BO1979" s="12"/>
      <c r="BP1979" s="12"/>
      <c r="BQ1979" s="48"/>
      <c r="BR1979" s="49"/>
      <c r="BS1979" s="13"/>
      <c r="BT1979" s="12"/>
      <c r="BV1979" s="14"/>
      <c r="BW1979" s="50"/>
      <c r="BX1979" s="54"/>
      <c r="BY1979" s="14"/>
      <c r="BZ1979" s="14"/>
      <c r="CA1979" s="14"/>
      <c r="CB1979" s="14"/>
      <c r="CC1979" s="14"/>
      <c r="CD1979" s="14"/>
      <c r="CE1979" s="14"/>
      <c r="CF1979" s="15"/>
      <c r="CG1979" s="14"/>
      <c r="CH1979" s="14"/>
      <c r="CI1979" s="50"/>
      <c r="CJ1979" s="54"/>
      <c r="CK1979" s="14"/>
      <c r="CL1979" s="14"/>
      <c r="CM1979" s="14"/>
      <c r="CN1979" s="14"/>
      <c r="CO1979" s="14"/>
      <c r="CP1979" s="14"/>
      <c r="CQ1979" s="14"/>
      <c r="CR1979" s="14"/>
      <c r="CS1979" s="14"/>
      <c r="CT1979" s="14"/>
      <c r="CU1979" s="16"/>
      <c r="CV1979" s="14"/>
      <c r="CW1979" s="50"/>
      <c r="CX1979" s="17"/>
    </row>
    <row r="1980" spans="4:102" x14ac:dyDescent="0.25">
      <c r="D1980" s="11"/>
      <c r="E1980" s="11"/>
      <c r="F1980" s="11"/>
      <c r="G1980" s="11"/>
      <c r="H1980" s="11"/>
      <c r="I1980" s="11"/>
      <c r="J1980" s="11"/>
      <c r="K1980" s="11"/>
      <c r="L1980" s="11"/>
      <c r="M1980" s="11"/>
      <c r="N1980" s="11"/>
      <c r="O1980" s="11"/>
      <c r="P1980" s="43"/>
      <c r="Q1980" s="11"/>
      <c r="R1980" s="11"/>
      <c r="S1980" s="11"/>
      <c r="T1980" s="11"/>
      <c r="U1980" s="11"/>
      <c r="V1980" s="11"/>
      <c r="W1980" s="11"/>
      <c r="X1980" s="12"/>
      <c r="Y1980" s="12"/>
      <c r="Z1980" s="12"/>
      <c r="AA1980" s="44"/>
      <c r="AB1980" s="45"/>
      <c r="AC1980" s="12"/>
      <c r="AD1980" s="12"/>
      <c r="AE1980" s="12"/>
      <c r="AF1980" s="12"/>
      <c r="AG1980" s="44"/>
      <c r="AH1980" s="45"/>
      <c r="AI1980" s="12"/>
      <c r="AJ1980" s="12"/>
      <c r="AK1980" s="12"/>
      <c r="AL1980" s="12"/>
      <c r="AM1980" s="44"/>
      <c r="AN1980" s="45"/>
      <c r="AO1980" s="12"/>
      <c r="AP1980" s="12"/>
      <c r="AQ1980" s="12"/>
      <c r="AR1980" s="12"/>
      <c r="AS1980" s="44"/>
      <c r="AT1980" s="45"/>
      <c r="AU1980" s="12"/>
      <c r="AV1980" s="12"/>
      <c r="AW1980" s="12"/>
      <c r="AX1980" s="12"/>
      <c r="AY1980" s="44"/>
      <c r="AZ1980" s="45"/>
      <c r="BA1980" s="12"/>
      <c r="BB1980" s="12"/>
      <c r="BC1980" s="12"/>
      <c r="BD1980" s="12"/>
      <c r="BE1980" s="44"/>
      <c r="BF1980" s="45"/>
      <c r="BG1980" s="12"/>
      <c r="BH1980" s="12"/>
      <c r="BI1980" s="12"/>
      <c r="BJ1980" s="12"/>
      <c r="BK1980" s="44"/>
      <c r="BL1980" s="45"/>
      <c r="BM1980" s="12"/>
      <c r="BN1980" s="12"/>
      <c r="BO1980" s="12"/>
      <c r="BP1980" s="12"/>
      <c r="BQ1980" s="48"/>
      <c r="BR1980" s="49"/>
      <c r="BS1980" s="13"/>
      <c r="BT1980" s="12"/>
      <c r="BV1980" s="14"/>
      <c r="BW1980" s="50"/>
      <c r="BX1980" s="54"/>
      <c r="BY1980" s="14"/>
      <c r="BZ1980" s="14"/>
      <c r="CA1980" s="14"/>
      <c r="CB1980" s="14"/>
      <c r="CC1980" s="14"/>
      <c r="CD1980" s="14"/>
      <c r="CE1980" s="14"/>
      <c r="CF1980" s="15"/>
      <c r="CG1980" s="14"/>
      <c r="CH1980" s="14"/>
      <c r="CI1980" s="50"/>
      <c r="CJ1980" s="54"/>
      <c r="CK1980" s="14"/>
      <c r="CL1980" s="14"/>
      <c r="CM1980" s="14"/>
      <c r="CN1980" s="14"/>
      <c r="CO1980" s="14"/>
      <c r="CP1980" s="14"/>
      <c r="CQ1980" s="14"/>
      <c r="CR1980" s="14"/>
      <c r="CS1980" s="14"/>
      <c r="CT1980" s="14"/>
      <c r="CU1980" s="16"/>
      <c r="CV1980" s="14"/>
      <c r="CW1980" s="50"/>
      <c r="CX1980" s="17"/>
    </row>
    <row r="1981" spans="4:102" x14ac:dyDescent="0.25">
      <c r="D1981" s="11"/>
      <c r="E1981" s="11"/>
      <c r="F1981" s="11"/>
      <c r="G1981" s="11"/>
      <c r="H1981" s="11"/>
      <c r="I1981" s="11"/>
      <c r="J1981" s="11"/>
      <c r="K1981" s="11"/>
      <c r="L1981" s="11"/>
      <c r="M1981" s="11"/>
      <c r="N1981" s="11"/>
      <c r="O1981" s="11"/>
      <c r="P1981" s="43"/>
      <c r="Q1981" s="11"/>
      <c r="R1981" s="11"/>
      <c r="S1981" s="11"/>
      <c r="T1981" s="11"/>
      <c r="U1981" s="11"/>
      <c r="V1981" s="11"/>
      <c r="W1981" s="11"/>
      <c r="X1981" s="12"/>
      <c r="Y1981" s="12"/>
      <c r="Z1981" s="12"/>
      <c r="AA1981" s="44"/>
      <c r="AB1981" s="45"/>
      <c r="AC1981" s="12"/>
      <c r="AD1981" s="12"/>
      <c r="AE1981" s="12"/>
      <c r="AF1981" s="12"/>
      <c r="AG1981" s="44"/>
      <c r="AH1981" s="45"/>
      <c r="AI1981" s="12"/>
      <c r="AJ1981" s="12"/>
      <c r="AK1981" s="12"/>
      <c r="AL1981" s="12"/>
      <c r="AM1981" s="44"/>
      <c r="AN1981" s="45"/>
      <c r="AO1981" s="12"/>
      <c r="AP1981" s="12"/>
      <c r="AQ1981" s="12"/>
      <c r="AR1981" s="12"/>
      <c r="AS1981" s="44"/>
      <c r="AT1981" s="45"/>
      <c r="AU1981" s="12"/>
      <c r="AV1981" s="12"/>
      <c r="AW1981" s="12"/>
      <c r="AX1981" s="12"/>
      <c r="AY1981" s="44"/>
      <c r="AZ1981" s="45"/>
      <c r="BA1981" s="12"/>
      <c r="BB1981" s="12"/>
      <c r="BC1981" s="12"/>
      <c r="BD1981" s="12"/>
      <c r="BE1981" s="44"/>
      <c r="BF1981" s="45"/>
      <c r="BG1981" s="12"/>
      <c r="BH1981" s="12"/>
      <c r="BI1981" s="12"/>
      <c r="BJ1981" s="12"/>
      <c r="BK1981" s="44"/>
      <c r="BL1981" s="45"/>
      <c r="BM1981" s="12"/>
      <c r="BN1981" s="12"/>
      <c r="BO1981" s="12"/>
      <c r="BP1981" s="12"/>
      <c r="BQ1981" s="48"/>
      <c r="BR1981" s="49"/>
      <c r="BS1981" s="13"/>
      <c r="BT1981" s="12"/>
      <c r="BV1981" s="14"/>
      <c r="BW1981" s="50"/>
      <c r="BX1981" s="54"/>
      <c r="BY1981" s="14"/>
      <c r="BZ1981" s="14"/>
      <c r="CA1981" s="14"/>
      <c r="CB1981" s="14"/>
      <c r="CC1981" s="14"/>
      <c r="CD1981" s="14"/>
      <c r="CE1981" s="14"/>
      <c r="CF1981" s="15"/>
      <c r="CG1981" s="14"/>
      <c r="CH1981" s="14"/>
      <c r="CI1981" s="50"/>
      <c r="CJ1981" s="54"/>
      <c r="CK1981" s="14"/>
      <c r="CL1981" s="14"/>
      <c r="CM1981" s="14"/>
      <c r="CN1981" s="14"/>
      <c r="CO1981" s="14"/>
      <c r="CP1981" s="14"/>
      <c r="CQ1981" s="14"/>
      <c r="CR1981" s="14"/>
      <c r="CS1981" s="14"/>
      <c r="CT1981" s="14"/>
      <c r="CU1981" s="16"/>
      <c r="CV1981" s="14"/>
      <c r="CW1981" s="50"/>
      <c r="CX1981" s="17"/>
    </row>
    <row r="1982" spans="4:102" x14ac:dyDescent="0.25">
      <c r="D1982" s="11"/>
      <c r="E1982" s="11"/>
      <c r="F1982" s="11"/>
      <c r="G1982" s="11"/>
      <c r="H1982" s="11"/>
      <c r="I1982" s="11"/>
      <c r="J1982" s="11"/>
      <c r="K1982" s="11"/>
      <c r="L1982" s="11"/>
      <c r="M1982" s="11"/>
      <c r="N1982" s="11"/>
      <c r="O1982" s="11"/>
      <c r="P1982" s="43"/>
      <c r="Q1982" s="11"/>
      <c r="R1982" s="11"/>
      <c r="S1982" s="11"/>
      <c r="T1982" s="11"/>
      <c r="U1982" s="11"/>
      <c r="V1982" s="11"/>
      <c r="W1982" s="11"/>
      <c r="X1982" s="12"/>
      <c r="Y1982" s="12"/>
      <c r="Z1982" s="12"/>
      <c r="AA1982" s="44"/>
      <c r="AB1982" s="45"/>
      <c r="AC1982" s="12"/>
      <c r="AD1982" s="12"/>
      <c r="AE1982" s="12"/>
      <c r="AF1982" s="12"/>
      <c r="AG1982" s="44"/>
      <c r="AH1982" s="45"/>
      <c r="AI1982" s="12"/>
      <c r="AJ1982" s="12"/>
      <c r="AK1982" s="12"/>
      <c r="AL1982" s="12"/>
      <c r="AM1982" s="44"/>
      <c r="AN1982" s="45"/>
      <c r="AO1982" s="12"/>
      <c r="AP1982" s="12"/>
      <c r="AQ1982" s="12"/>
      <c r="AR1982" s="12"/>
      <c r="AS1982" s="44"/>
      <c r="AT1982" s="45"/>
      <c r="AU1982" s="12"/>
      <c r="AV1982" s="12"/>
      <c r="AW1982" s="12"/>
      <c r="AX1982" s="12"/>
      <c r="AY1982" s="44"/>
      <c r="AZ1982" s="45"/>
      <c r="BA1982" s="12"/>
      <c r="BB1982" s="12"/>
      <c r="BC1982" s="12"/>
      <c r="BD1982" s="12"/>
      <c r="BE1982" s="44"/>
      <c r="BF1982" s="45"/>
      <c r="BG1982" s="12"/>
      <c r="BH1982" s="12"/>
      <c r="BI1982" s="12"/>
      <c r="BJ1982" s="12"/>
      <c r="BK1982" s="44"/>
      <c r="BL1982" s="45"/>
      <c r="BM1982" s="12"/>
      <c r="BN1982" s="12"/>
      <c r="BO1982" s="12"/>
      <c r="BP1982" s="12"/>
      <c r="BQ1982" s="48"/>
      <c r="BR1982" s="49"/>
      <c r="BS1982" s="13"/>
      <c r="BT1982" s="12"/>
      <c r="BV1982" s="14"/>
      <c r="BW1982" s="50"/>
      <c r="BX1982" s="54"/>
      <c r="BY1982" s="14"/>
      <c r="BZ1982" s="14"/>
      <c r="CA1982" s="14"/>
      <c r="CB1982" s="14"/>
      <c r="CC1982" s="14"/>
      <c r="CD1982" s="14"/>
      <c r="CE1982" s="14"/>
      <c r="CF1982" s="15"/>
      <c r="CG1982" s="14"/>
      <c r="CH1982" s="14"/>
      <c r="CI1982" s="50"/>
      <c r="CJ1982" s="54"/>
      <c r="CK1982" s="14"/>
      <c r="CL1982" s="14"/>
      <c r="CM1982" s="14"/>
      <c r="CN1982" s="14"/>
      <c r="CO1982" s="14"/>
      <c r="CP1982" s="14"/>
      <c r="CQ1982" s="14"/>
      <c r="CR1982" s="14"/>
      <c r="CS1982" s="14"/>
      <c r="CT1982" s="14"/>
      <c r="CU1982" s="16"/>
      <c r="CV1982" s="14"/>
      <c r="CW1982" s="50"/>
      <c r="CX1982" s="17"/>
    </row>
    <row r="1983" spans="4:102" x14ac:dyDescent="0.25">
      <c r="D1983" s="11"/>
      <c r="E1983" s="11"/>
      <c r="F1983" s="11"/>
      <c r="G1983" s="11"/>
      <c r="H1983" s="11"/>
      <c r="I1983" s="11"/>
      <c r="J1983" s="11"/>
      <c r="K1983" s="11"/>
      <c r="L1983" s="11"/>
      <c r="M1983" s="11"/>
      <c r="N1983" s="11"/>
      <c r="O1983" s="11"/>
      <c r="P1983" s="43"/>
      <c r="Q1983" s="11"/>
      <c r="R1983" s="11"/>
      <c r="S1983" s="11"/>
      <c r="T1983" s="11"/>
      <c r="U1983" s="11"/>
      <c r="V1983" s="11"/>
      <c r="W1983" s="11"/>
      <c r="X1983" s="12"/>
      <c r="Y1983" s="12"/>
      <c r="Z1983" s="12"/>
      <c r="AA1983" s="44"/>
      <c r="AB1983" s="45"/>
      <c r="AC1983" s="12"/>
      <c r="AD1983" s="12"/>
      <c r="AE1983" s="12"/>
      <c r="AF1983" s="12"/>
      <c r="AG1983" s="44"/>
      <c r="AH1983" s="45"/>
      <c r="AI1983" s="12"/>
      <c r="AJ1983" s="12"/>
      <c r="AK1983" s="12"/>
      <c r="AL1983" s="12"/>
      <c r="AM1983" s="44"/>
      <c r="AN1983" s="45"/>
      <c r="AO1983" s="12"/>
      <c r="AP1983" s="12"/>
      <c r="AQ1983" s="12"/>
      <c r="AR1983" s="12"/>
      <c r="AS1983" s="44"/>
      <c r="AT1983" s="45"/>
      <c r="AU1983" s="12"/>
      <c r="AV1983" s="12"/>
      <c r="AW1983" s="12"/>
      <c r="AX1983" s="12"/>
      <c r="AY1983" s="44"/>
      <c r="AZ1983" s="45"/>
      <c r="BA1983" s="12"/>
      <c r="BB1983" s="12"/>
      <c r="BC1983" s="12"/>
      <c r="BD1983" s="12"/>
      <c r="BE1983" s="44"/>
      <c r="BF1983" s="45"/>
      <c r="BG1983" s="12"/>
      <c r="BH1983" s="12"/>
      <c r="BI1983" s="12"/>
      <c r="BJ1983" s="12"/>
      <c r="BK1983" s="44"/>
      <c r="BL1983" s="45"/>
      <c r="BM1983" s="12"/>
      <c r="BN1983" s="12"/>
      <c r="BO1983" s="12"/>
      <c r="BP1983" s="12"/>
      <c r="BQ1983" s="48"/>
      <c r="BR1983" s="49"/>
      <c r="BS1983" s="13"/>
      <c r="BT1983" s="12"/>
      <c r="BV1983" s="14"/>
      <c r="BW1983" s="50"/>
      <c r="BX1983" s="54"/>
      <c r="BY1983" s="14"/>
      <c r="BZ1983" s="14"/>
      <c r="CA1983" s="14"/>
      <c r="CB1983" s="14"/>
      <c r="CC1983" s="14"/>
      <c r="CD1983" s="14"/>
      <c r="CE1983" s="14"/>
      <c r="CF1983" s="15"/>
      <c r="CG1983" s="14"/>
      <c r="CH1983" s="14"/>
      <c r="CI1983" s="50"/>
      <c r="CJ1983" s="54"/>
      <c r="CK1983" s="14"/>
      <c r="CL1983" s="14"/>
      <c r="CM1983" s="14"/>
      <c r="CN1983" s="14"/>
      <c r="CO1983" s="14"/>
      <c r="CP1983" s="14"/>
      <c r="CQ1983" s="14"/>
      <c r="CR1983" s="14"/>
      <c r="CS1983" s="14"/>
      <c r="CT1983" s="14"/>
      <c r="CU1983" s="16"/>
      <c r="CV1983" s="14"/>
      <c r="CW1983" s="50"/>
      <c r="CX1983" s="17"/>
    </row>
    <row r="1984" spans="4:102" x14ac:dyDescent="0.25">
      <c r="D1984" s="11"/>
      <c r="E1984" s="11"/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43"/>
      <c r="Q1984" s="11"/>
      <c r="R1984" s="11"/>
      <c r="S1984" s="11"/>
      <c r="T1984" s="11"/>
      <c r="U1984" s="11"/>
      <c r="V1984" s="11"/>
      <c r="W1984" s="11"/>
      <c r="X1984" s="12"/>
      <c r="Y1984" s="12"/>
      <c r="Z1984" s="12"/>
      <c r="AA1984" s="44"/>
      <c r="AB1984" s="45"/>
      <c r="AC1984" s="12"/>
      <c r="AD1984" s="12"/>
      <c r="AE1984" s="12"/>
      <c r="AF1984" s="12"/>
      <c r="AG1984" s="44"/>
      <c r="AH1984" s="45"/>
      <c r="AI1984" s="12"/>
      <c r="AJ1984" s="12"/>
      <c r="AK1984" s="12"/>
      <c r="AL1984" s="12"/>
      <c r="AM1984" s="44"/>
      <c r="AN1984" s="45"/>
      <c r="AO1984" s="12"/>
      <c r="AP1984" s="12"/>
      <c r="AQ1984" s="12"/>
      <c r="AR1984" s="12"/>
      <c r="AS1984" s="44"/>
      <c r="AT1984" s="45"/>
      <c r="AU1984" s="12"/>
      <c r="AV1984" s="12"/>
      <c r="AW1984" s="12"/>
      <c r="AX1984" s="12"/>
      <c r="AY1984" s="44"/>
      <c r="AZ1984" s="45"/>
      <c r="BA1984" s="12"/>
      <c r="BB1984" s="12"/>
      <c r="BC1984" s="12"/>
      <c r="BD1984" s="12"/>
      <c r="BE1984" s="44"/>
      <c r="BF1984" s="45"/>
      <c r="BG1984" s="12"/>
      <c r="BH1984" s="12"/>
      <c r="BI1984" s="12"/>
      <c r="BJ1984" s="12"/>
      <c r="BK1984" s="44"/>
      <c r="BL1984" s="45"/>
      <c r="BM1984" s="12"/>
      <c r="BN1984" s="12"/>
      <c r="BO1984" s="12"/>
      <c r="BP1984" s="12"/>
      <c r="BQ1984" s="48"/>
      <c r="BR1984" s="49"/>
      <c r="BS1984" s="13"/>
      <c r="BT1984" s="12"/>
      <c r="BV1984" s="14"/>
      <c r="BW1984" s="50"/>
      <c r="BX1984" s="54"/>
      <c r="BY1984" s="14"/>
      <c r="BZ1984" s="14"/>
      <c r="CA1984" s="14"/>
      <c r="CB1984" s="14"/>
      <c r="CC1984" s="14"/>
      <c r="CD1984" s="14"/>
      <c r="CE1984" s="14"/>
      <c r="CF1984" s="15"/>
      <c r="CG1984" s="14"/>
      <c r="CH1984" s="14"/>
      <c r="CI1984" s="50"/>
      <c r="CJ1984" s="54"/>
      <c r="CK1984" s="14"/>
      <c r="CL1984" s="14"/>
      <c r="CM1984" s="14"/>
      <c r="CN1984" s="14"/>
      <c r="CO1984" s="14"/>
      <c r="CP1984" s="14"/>
      <c r="CQ1984" s="14"/>
      <c r="CR1984" s="14"/>
      <c r="CS1984" s="14"/>
      <c r="CT1984" s="14"/>
      <c r="CU1984" s="16"/>
      <c r="CV1984" s="14"/>
      <c r="CW1984" s="50"/>
      <c r="CX1984" s="17"/>
    </row>
    <row r="1985" spans="4:102" x14ac:dyDescent="0.25">
      <c r="D1985" s="11"/>
      <c r="E1985" s="11"/>
      <c r="F1985" s="11"/>
      <c r="G1985" s="11"/>
      <c r="H1985" s="11"/>
      <c r="I1985" s="11"/>
      <c r="J1985" s="11"/>
      <c r="K1985" s="11"/>
      <c r="L1985" s="11"/>
      <c r="M1985" s="11"/>
      <c r="N1985" s="11"/>
      <c r="O1985" s="11"/>
      <c r="P1985" s="43"/>
      <c r="Q1985" s="11"/>
      <c r="R1985" s="11"/>
      <c r="S1985" s="11"/>
      <c r="T1985" s="11"/>
      <c r="U1985" s="11"/>
      <c r="V1985" s="11"/>
      <c r="W1985" s="11"/>
      <c r="X1985" s="12"/>
      <c r="Y1985" s="12"/>
      <c r="Z1985" s="12"/>
      <c r="AA1985" s="44"/>
      <c r="AB1985" s="45"/>
      <c r="AC1985" s="12"/>
      <c r="AD1985" s="12"/>
      <c r="AE1985" s="12"/>
      <c r="AF1985" s="12"/>
      <c r="AG1985" s="44"/>
      <c r="AH1985" s="45"/>
      <c r="AI1985" s="12"/>
      <c r="AJ1985" s="12"/>
      <c r="AK1985" s="12"/>
      <c r="AL1985" s="12"/>
      <c r="AM1985" s="44"/>
      <c r="AN1985" s="45"/>
      <c r="AO1985" s="12"/>
      <c r="AP1985" s="12"/>
      <c r="AQ1985" s="12"/>
      <c r="AR1985" s="12"/>
      <c r="AS1985" s="44"/>
      <c r="AT1985" s="45"/>
      <c r="AU1985" s="12"/>
      <c r="AV1985" s="12"/>
      <c r="AW1985" s="12"/>
      <c r="AX1985" s="12"/>
      <c r="AY1985" s="44"/>
      <c r="AZ1985" s="45"/>
      <c r="BA1985" s="12"/>
      <c r="BB1985" s="12"/>
      <c r="BC1985" s="12"/>
      <c r="BD1985" s="12"/>
      <c r="BE1985" s="44"/>
      <c r="BF1985" s="45"/>
      <c r="BG1985" s="12"/>
      <c r="BH1985" s="12"/>
      <c r="BI1985" s="12"/>
      <c r="BJ1985" s="12"/>
      <c r="BK1985" s="44"/>
      <c r="BL1985" s="45"/>
      <c r="BM1985" s="12"/>
      <c r="BN1985" s="12"/>
      <c r="BO1985" s="12"/>
      <c r="BP1985" s="12"/>
      <c r="BQ1985" s="48"/>
      <c r="BR1985" s="49"/>
      <c r="BS1985" s="13"/>
      <c r="BT1985" s="12"/>
      <c r="BV1985" s="14"/>
      <c r="BW1985" s="50"/>
      <c r="BX1985" s="54"/>
      <c r="BY1985" s="14"/>
      <c r="BZ1985" s="14"/>
      <c r="CA1985" s="14"/>
      <c r="CB1985" s="14"/>
      <c r="CC1985" s="14"/>
      <c r="CD1985" s="14"/>
      <c r="CE1985" s="14"/>
      <c r="CF1985" s="15"/>
      <c r="CG1985" s="14"/>
      <c r="CH1985" s="14"/>
      <c r="CI1985" s="50"/>
      <c r="CJ1985" s="54"/>
      <c r="CK1985" s="14"/>
      <c r="CL1985" s="14"/>
      <c r="CM1985" s="14"/>
      <c r="CN1985" s="14"/>
      <c r="CO1985" s="14"/>
      <c r="CP1985" s="14"/>
      <c r="CQ1985" s="14"/>
      <c r="CR1985" s="14"/>
      <c r="CS1985" s="14"/>
      <c r="CT1985" s="14"/>
      <c r="CU1985" s="16"/>
      <c r="CV1985" s="14"/>
      <c r="CW1985" s="50"/>
      <c r="CX1985" s="17"/>
    </row>
    <row r="1986" spans="4:102" x14ac:dyDescent="0.25">
      <c r="D1986" s="11"/>
      <c r="E1986" s="11"/>
      <c r="F1986" s="11"/>
      <c r="G1986" s="11"/>
      <c r="H1986" s="11"/>
      <c r="I1986" s="11"/>
      <c r="J1986" s="11"/>
      <c r="K1986" s="11"/>
      <c r="L1986" s="11"/>
      <c r="M1986" s="11"/>
      <c r="N1986" s="11"/>
      <c r="O1986" s="11"/>
      <c r="P1986" s="43"/>
      <c r="Q1986" s="11"/>
      <c r="R1986" s="11"/>
      <c r="S1986" s="11"/>
      <c r="T1986" s="11"/>
      <c r="U1986" s="11"/>
      <c r="V1986" s="11"/>
      <c r="W1986" s="11"/>
      <c r="X1986" s="12"/>
      <c r="Y1986" s="12"/>
      <c r="Z1986" s="12"/>
      <c r="AA1986" s="44"/>
      <c r="AB1986" s="45"/>
      <c r="AC1986" s="12"/>
      <c r="AD1986" s="12"/>
      <c r="AE1986" s="12"/>
      <c r="AF1986" s="12"/>
      <c r="AG1986" s="44"/>
      <c r="AH1986" s="45"/>
      <c r="AI1986" s="12"/>
      <c r="AJ1986" s="12"/>
      <c r="AK1986" s="12"/>
      <c r="AL1986" s="12"/>
      <c r="AM1986" s="44"/>
      <c r="AN1986" s="45"/>
      <c r="AO1986" s="12"/>
      <c r="AP1986" s="12"/>
      <c r="AQ1986" s="12"/>
      <c r="AR1986" s="12"/>
      <c r="AS1986" s="44"/>
      <c r="AT1986" s="45"/>
      <c r="AU1986" s="12"/>
      <c r="AV1986" s="12"/>
      <c r="AW1986" s="12"/>
      <c r="AX1986" s="12"/>
      <c r="AY1986" s="44"/>
      <c r="AZ1986" s="45"/>
      <c r="BA1986" s="12"/>
      <c r="BB1986" s="12"/>
      <c r="BC1986" s="12"/>
      <c r="BD1986" s="12"/>
      <c r="BE1986" s="44"/>
      <c r="BF1986" s="45"/>
      <c r="BG1986" s="12"/>
      <c r="BH1986" s="12"/>
      <c r="BI1986" s="12"/>
      <c r="BJ1986" s="12"/>
      <c r="BK1986" s="44"/>
      <c r="BL1986" s="45"/>
      <c r="BM1986" s="12"/>
      <c r="BN1986" s="12"/>
      <c r="BO1986" s="12"/>
      <c r="BP1986" s="12"/>
      <c r="BQ1986" s="48"/>
      <c r="BR1986" s="49"/>
      <c r="BS1986" s="13"/>
      <c r="BT1986" s="12"/>
      <c r="BV1986" s="14"/>
      <c r="BW1986" s="50"/>
      <c r="BX1986" s="54"/>
      <c r="BY1986" s="14"/>
      <c r="BZ1986" s="14"/>
      <c r="CA1986" s="14"/>
      <c r="CB1986" s="14"/>
      <c r="CC1986" s="14"/>
      <c r="CD1986" s="14"/>
      <c r="CE1986" s="14"/>
      <c r="CF1986" s="15"/>
      <c r="CG1986" s="14"/>
      <c r="CH1986" s="14"/>
      <c r="CI1986" s="50"/>
      <c r="CJ1986" s="54"/>
      <c r="CK1986" s="14"/>
      <c r="CL1986" s="14"/>
      <c r="CM1986" s="14"/>
      <c r="CN1986" s="14"/>
      <c r="CO1986" s="14"/>
      <c r="CP1986" s="14"/>
      <c r="CQ1986" s="14"/>
      <c r="CR1986" s="14"/>
      <c r="CS1986" s="14"/>
      <c r="CT1986" s="14"/>
      <c r="CU1986" s="16"/>
      <c r="CV1986" s="14"/>
      <c r="CW1986" s="50"/>
      <c r="CX1986" s="17"/>
    </row>
    <row r="1987" spans="4:102" x14ac:dyDescent="0.25">
      <c r="D1987" s="11"/>
      <c r="E1987" s="11"/>
      <c r="F1987" s="11"/>
      <c r="G1987" s="11"/>
      <c r="H1987" s="11"/>
      <c r="I1987" s="11"/>
      <c r="J1987" s="11"/>
      <c r="K1987" s="11"/>
      <c r="L1987" s="11"/>
      <c r="M1987" s="11"/>
      <c r="N1987" s="11"/>
      <c r="O1987" s="11"/>
      <c r="P1987" s="43"/>
      <c r="Q1987" s="11"/>
      <c r="R1987" s="11"/>
      <c r="S1987" s="11"/>
      <c r="T1987" s="11"/>
      <c r="U1987" s="11"/>
      <c r="V1987" s="11"/>
      <c r="W1987" s="11"/>
      <c r="X1987" s="12"/>
      <c r="Y1987" s="12"/>
      <c r="Z1987" s="12"/>
      <c r="AA1987" s="44"/>
      <c r="AB1987" s="45"/>
      <c r="AC1987" s="12"/>
      <c r="AD1987" s="12"/>
      <c r="AE1987" s="12"/>
      <c r="AF1987" s="12"/>
      <c r="AG1987" s="44"/>
      <c r="AH1987" s="45"/>
      <c r="AI1987" s="12"/>
      <c r="AJ1987" s="12"/>
      <c r="AK1987" s="12"/>
      <c r="AL1987" s="12"/>
      <c r="AM1987" s="44"/>
      <c r="AN1987" s="45"/>
      <c r="AO1987" s="12"/>
      <c r="AP1987" s="12"/>
      <c r="AQ1987" s="12"/>
      <c r="AR1987" s="12"/>
      <c r="AS1987" s="44"/>
      <c r="AT1987" s="45"/>
      <c r="AU1987" s="12"/>
      <c r="AV1987" s="12"/>
      <c r="AW1987" s="12"/>
      <c r="AX1987" s="12"/>
      <c r="AY1987" s="44"/>
      <c r="AZ1987" s="45"/>
      <c r="BA1987" s="12"/>
      <c r="BB1987" s="12"/>
      <c r="BC1987" s="12"/>
      <c r="BD1987" s="12"/>
      <c r="BE1987" s="44"/>
      <c r="BF1987" s="45"/>
      <c r="BG1987" s="12"/>
      <c r="BH1987" s="12"/>
      <c r="BI1987" s="12"/>
      <c r="BJ1987" s="12"/>
      <c r="BK1987" s="44"/>
      <c r="BL1987" s="45"/>
      <c r="BM1987" s="12"/>
      <c r="BN1987" s="12"/>
      <c r="BO1987" s="12"/>
      <c r="BP1987" s="12"/>
      <c r="BQ1987" s="48"/>
      <c r="BR1987" s="49"/>
      <c r="BS1987" s="13"/>
      <c r="BT1987" s="12"/>
      <c r="BV1987" s="14"/>
      <c r="BW1987" s="50"/>
      <c r="BX1987" s="54"/>
      <c r="BY1987" s="14"/>
      <c r="BZ1987" s="14"/>
      <c r="CA1987" s="14"/>
      <c r="CB1987" s="14"/>
      <c r="CC1987" s="14"/>
      <c r="CD1987" s="14"/>
      <c r="CE1987" s="14"/>
      <c r="CF1987" s="15"/>
      <c r="CG1987" s="14"/>
      <c r="CH1987" s="14"/>
      <c r="CI1987" s="50"/>
      <c r="CJ1987" s="54"/>
      <c r="CK1987" s="14"/>
      <c r="CL1987" s="14"/>
      <c r="CM1987" s="14"/>
      <c r="CN1987" s="14"/>
      <c r="CO1987" s="14"/>
      <c r="CP1987" s="14"/>
      <c r="CQ1987" s="14"/>
      <c r="CR1987" s="14"/>
      <c r="CS1987" s="14"/>
      <c r="CT1987" s="14"/>
      <c r="CU1987" s="16"/>
      <c r="CV1987" s="14"/>
      <c r="CW1987" s="50"/>
      <c r="CX1987" s="17"/>
    </row>
    <row r="1988" spans="4:102" x14ac:dyDescent="0.25">
      <c r="D1988" s="11"/>
      <c r="E1988" s="11"/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43"/>
      <c r="Q1988" s="11"/>
      <c r="R1988" s="11"/>
      <c r="S1988" s="11"/>
      <c r="T1988" s="11"/>
      <c r="U1988" s="11"/>
      <c r="V1988" s="11"/>
      <c r="W1988" s="11"/>
      <c r="X1988" s="12"/>
      <c r="Y1988" s="12"/>
      <c r="Z1988" s="12"/>
      <c r="AA1988" s="44"/>
      <c r="AB1988" s="45"/>
      <c r="AC1988" s="12"/>
      <c r="AD1988" s="12"/>
      <c r="AE1988" s="12"/>
      <c r="AF1988" s="12"/>
      <c r="AG1988" s="44"/>
      <c r="AH1988" s="45"/>
      <c r="AI1988" s="12"/>
      <c r="AJ1988" s="12"/>
      <c r="AK1988" s="12"/>
      <c r="AL1988" s="12"/>
      <c r="AM1988" s="44"/>
      <c r="AN1988" s="45"/>
      <c r="AO1988" s="12"/>
      <c r="AP1988" s="12"/>
      <c r="AQ1988" s="12"/>
      <c r="AR1988" s="12"/>
      <c r="AS1988" s="44"/>
      <c r="AT1988" s="45"/>
      <c r="AU1988" s="12"/>
      <c r="AV1988" s="12"/>
      <c r="AW1988" s="12"/>
      <c r="AX1988" s="12"/>
      <c r="AY1988" s="44"/>
      <c r="AZ1988" s="45"/>
      <c r="BA1988" s="12"/>
      <c r="BB1988" s="12"/>
      <c r="BC1988" s="12"/>
      <c r="BD1988" s="12"/>
      <c r="BE1988" s="44"/>
      <c r="BF1988" s="45"/>
      <c r="BG1988" s="12"/>
      <c r="BH1988" s="12"/>
      <c r="BI1988" s="12"/>
      <c r="BJ1988" s="12"/>
      <c r="BK1988" s="44"/>
      <c r="BL1988" s="45"/>
      <c r="BM1988" s="12"/>
      <c r="BN1988" s="12"/>
      <c r="BO1988" s="12"/>
      <c r="BP1988" s="12"/>
      <c r="BQ1988" s="48"/>
      <c r="BR1988" s="49"/>
      <c r="BS1988" s="13"/>
      <c r="BT1988" s="12"/>
      <c r="BV1988" s="14"/>
      <c r="BW1988" s="50"/>
      <c r="BX1988" s="54"/>
      <c r="BY1988" s="14"/>
      <c r="BZ1988" s="14"/>
      <c r="CA1988" s="14"/>
      <c r="CB1988" s="14"/>
      <c r="CC1988" s="14"/>
      <c r="CD1988" s="14"/>
      <c r="CE1988" s="14"/>
      <c r="CF1988" s="15"/>
      <c r="CG1988" s="14"/>
      <c r="CH1988" s="14"/>
      <c r="CI1988" s="50"/>
      <c r="CJ1988" s="54"/>
      <c r="CK1988" s="14"/>
      <c r="CL1988" s="14"/>
      <c r="CM1988" s="14"/>
      <c r="CN1988" s="14"/>
      <c r="CO1988" s="14"/>
      <c r="CP1988" s="14"/>
      <c r="CQ1988" s="14"/>
      <c r="CR1988" s="14"/>
      <c r="CS1988" s="14"/>
      <c r="CT1988" s="14"/>
      <c r="CU1988" s="16"/>
      <c r="CV1988" s="14"/>
      <c r="CW1988" s="50"/>
      <c r="CX1988" s="17"/>
    </row>
    <row r="1989" spans="4:102" x14ac:dyDescent="0.25">
      <c r="D1989" s="11"/>
      <c r="E1989" s="11"/>
      <c r="F1989" s="11"/>
      <c r="G1989" s="11"/>
      <c r="H1989" s="11"/>
      <c r="I1989" s="11"/>
      <c r="J1989" s="11"/>
      <c r="K1989" s="11"/>
      <c r="L1989" s="11"/>
      <c r="M1989" s="11"/>
      <c r="N1989" s="11"/>
      <c r="O1989" s="11"/>
      <c r="P1989" s="43"/>
      <c r="Q1989" s="11"/>
      <c r="R1989" s="11"/>
      <c r="S1989" s="11"/>
      <c r="T1989" s="11"/>
      <c r="U1989" s="11"/>
      <c r="V1989" s="11"/>
      <c r="W1989" s="11"/>
      <c r="X1989" s="12"/>
      <c r="Y1989" s="12"/>
      <c r="Z1989" s="12"/>
      <c r="AA1989" s="44"/>
      <c r="AB1989" s="45"/>
      <c r="AC1989" s="12"/>
      <c r="AD1989" s="12"/>
      <c r="AE1989" s="12"/>
      <c r="AF1989" s="12"/>
      <c r="AG1989" s="44"/>
      <c r="AH1989" s="45"/>
      <c r="AI1989" s="12"/>
      <c r="AJ1989" s="12"/>
      <c r="AK1989" s="12"/>
      <c r="AL1989" s="12"/>
      <c r="AM1989" s="44"/>
      <c r="AN1989" s="45"/>
      <c r="AO1989" s="12"/>
      <c r="AP1989" s="12"/>
      <c r="AQ1989" s="12"/>
      <c r="AR1989" s="12"/>
      <c r="AS1989" s="44"/>
      <c r="AT1989" s="45"/>
      <c r="AU1989" s="12"/>
      <c r="AV1989" s="12"/>
      <c r="AW1989" s="12"/>
      <c r="AX1989" s="12"/>
      <c r="AY1989" s="44"/>
      <c r="AZ1989" s="45"/>
      <c r="BA1989" s="12"/>
      <c r="BB1989" s="12"/>
      <c r="BC1989" s="12"/>
      <c r="BD1989" s="12"/>
      <c r="BE1989" s="44"/>
      <c r="BF1989" s="45"/>
      <c r="BG1989" s="12"/>
      <c r="BH1989" s="12"/>
      <c r="BI1989" s="12"/>
      <c r="BJ1989" s="12"/>
      <c r="BK1989" s="44"/>
      <c r="BL1989" s="45"/>
      <c r="BM1989" s="12"/>
      <c r="BN1989" s="12"/>
      <c r="BO1989" s="12"/>
      <c r="BP1989" s="12"/>
      <c r="BQ1989" s="48"/>
      <c r="BR1989" s="49"/>
      <c r="BS1989" s="13"/>
      <c r="BT1989" s="12"/>
      <c r="BV1989" s="14"/>
      <c r="BW1989" s="50"/>
      <c r="BX1989" s="54"/>
      <c r="BY1989" s="14"/>
      <c r="BZ1989" s="14"/>
      <c r="CA1989" s="14"/>
      <c r="CB1989" s="14"/>
      <c r="CC1989" s="14"/>
      <c r="CD1989" s="14"/>
      <c r="CE1989" s="14"/>
      <c r="CF1989" s="15"/>
      <c r="CG1989" s="14"/>
      <c r="CH1989" s="14"/>
      <c r="CI1989" s="50"/>
      <c r="CJ1989" s="54"/>
      <c r="CK1989" s="14"/>
      <c r="CL1989" s="14"/>
      <c r="CM1989" s="14"/>
      <c r="CN1989" s="14"/>
      <c r="CO1989" s="14"/>
      <c r="CP1989" s="14"/>
      <c r="CQ1989" s="14"/>
      <c r="CR1989" s="14"/>
      <c r="CS1989" s="14"/>
      <c r="CT1989" s="14"/>
      <c r="CU1989" s="16"/>
      <c r="CV1989" s="14"/>
      <c r="CW1989" s="50"/>
      <c r="CX1989" s="17"/>
    </row>
    <row r="1990" spans="4:102" x14ac:dyDescent="0.25">
      <c r="D1990" s="11"/>
      <c r="E1990" s="11"/>
      <c r="F1990" s="11"/>
      <c r="G1990" s="11"/>
      <c r="H1990" s="11"/>
      <c r="I1990" s="11"/>
      <c r="J1990" s="11"/>
      <c r="K1990" s="11"/>
      <c r="L1990" s="11"/>
      <c r="M1990" s="11"/>
      <c r="N1990" s="11"/>
      <c r="O1990" s="11"/>
      <c r="P1990" s="43"/>
      <c r="Q1990" s="11"/>
      <c r="R1990" s="11"/>
      <c r="S1990" s="11"/>
      <c r="T1990" s="11"/>
      <c r="U1990" s="11"/>
      <c r="V1990" s="11"/>
      <c r="W1990" s="11"/>
      <c r="X1990" s="12"/>
      <c r="Y1990" s="12"/>
      <c r="Z1990" s="12"/>
      <c r="AA1990" s="44"/>
      <c r="AB1990" s="45"/>
      <c r="AC1990" s="12"/>
      <c r="AD1990" s="12"/>
      <c r="AE1990" s="12"/>
      <c r="AF1990" s="12"/>
      <c r="AG1990" s="44"/>
      <c r="AH1990" s="45"/>
      <c r="AI1990" s="12"/>
      <c r="AJ1990" s="12"/>
      <c r="AK1990" s="12"/>
      <c r="AL1990" s="12"/>
      <c r="AM1990" s="44"/>
      <c r="AN1990" s="45"/>
      <c r="AO1990" s="12"/>
      <c r="AP1990" s="12"/>
      <c r="AQ1990" s="12"/>
      <c r="AR1990" s="12"/>
      <c r="AS1990" s="44"/>
      <c r="AT1990" s="45"/>
      <c r="AU1990" s="12"/>
      <c r="AV1990" s="12"/>
      <c r="AW1990" s="12"/>
      <c r="AX1990" s="12"/>
      <c r="AY1990" s="44"/>
      <c r="AZ1990" s="45"/>
      <c r="BA1990" s="12"/>
      <c r="BB1990" s="12"/>
      <c r="BC1990" s="12"/>
      <c r="BD1990" s="12"/>
      <c r="BE1990" s="44"/>
      <c r="BF1990" s="45"/>
      <c r="BG1990" s="12"/>
      <c r="BH1990" s="12"/>
      <c r="BI1990" s="12"/>
      <c r="BJ1990" s="12"/>
      <c r="BK1990" s="44"/>
      <c r="BL1990" s="45"/>
      <c r="BM1990" s="12"/>
      <c r="BN1990" s="12"/>
      <c r="BO1990" s="12"/>
      <c r="BP1990" s="12"/>
      <c r="BQ1990" s="48"/>
      <c r="BR1990" s="49"/>
      <c r="BS1990" s="13"/>
      <c r="BT1990" s="12"/>
      <c r="BV1990" s="14"/>
      <c r="BW1990" s="50"/>
      <c r="BX1990" s="54"/>
      <c r="BY1990" s="14"/>
      <c r="BZ1990" s="14"/>
      <c r="CA1990" s="14"/>
      <c r="CB1990" s="14"/>
      <c r="CC1990" s="14"/>
      <c r="CD1990" s="14"/>
      <c r="CE1990" s="14"/>
      <c r="CF1990" s="15"/>
      <c r="CG1990" s="14"/>
      <c r="CH1990" s="14"/>
      <c r="CI1990" s="50"/>
      <c r="CJ1990" s="54"/>
      <c r="CK1990" s="14"/>
      <c r="CL1990" s="14"/>
      <c r="CM1990" s="14"/>
      <c r="CN1990" s="14"/>
      <c r="CO1990" s="14"/>
      <c r="CP1990" s="14"/>
      <c r="CQ1990" s="14"/>
      <c r="CR1990" s="14"/>
      <c r="CS1990" s="14"/>
      <c r="CT1990" s="14"/>
      <c r="CU1990" s="16"/>
      <c r="CV1990" s="14"/>
      <c r="CW1990" s="50"/>
      <c r="CX1990" s="17"/>
    </row>
    <row r="1991" spans="4:102" x14ac:dyDescent="0.25">
      <c r="D1991" s="11"/>
      <c r="E1991" s="11"/>
      <c r="F1991" s="11"/>
      <c r="G1991" s="11"/>
      <c r="H1991" s="11"/>
      <c r="I1991" s="11"/>
      <c r="J1991" s="11"/>
      <c r="K1991" s="11"/>
      <c r="L1991" s="11"/>
      <c r="M1991" s="11"/>
      <c r="N1991" s="11"/>
      <c r="O1991" s="11"/>
      <c r="P1991" s="43"/>
      <c r="Q1991" s="11"/>
      <c r="R1991" s="11"/>
      <c r="S1991" s="11"/>
      <c r="T1991" s="11"/>
      <c r="U1991" s="11"/>
      <c r="V1991" s="11"/>
      <c r="W1991" s="11"/>
      <c r="X1991" s="12"/>
      <c r="Y1991" s="12"/>
      <c r="Z1991" s="12"/>
      <c r="AA1991" s="44"/>
      <c r="AB1991" s="45"/>
      <c r="AC1991" s="12"/>
      <c r="AD1991" s="12"/>
      <c r="AE1991" s="12"/>
      <c r="AF1991" s="12"/>
      <c r="AG1991" s="44"/>
      <c r="AH1991" s="45"/>
      <c r="AI1991" s="12"/>
      <c r="AJ1991" s="12"/>
      <c r="AK1991" s="12"/>
      <c r="AL1991" s="12"/>
      <c r="AM1991" s="44"/>
      <c r="AN1991" s="45"/>
      <c r="AO1991" s="12"/>
      <c r="AP1991" s="12"/>
      <c r="AQ1991" s="12"/>
      <c r="AR1991" s="12"/>
      <c r="AS1991" s="44"/>
      <c r="AT1991" s="45"/>
      <c r="AU1991" s="12"/>
      <c r="AV1991" s="12"/>
      <c r="AW1991" s="12"/>
      <c r="AX1991" s="12"/>
      <c r="AY1991" s="44"/>
      <c r="AZ1991" s="45"/>
      <c r="BA1991" s="12"/>
      <c r="BB1991" s="12"/>
      <c r="BC1991" s="12"/>
      <c r="BD1991" s="12"/>
      <c r="BE1991" s="44"/>
      <c r="BF1991" s="45"/>
      <c r="BG1991" s="12"/>
      <c r="BH1991" s="12"/>
      <c r="BI1991" s="12"/>
      <c r="BJ1991" s="12"/>
      <c r="BK1991" s="44"/>
      <c r="BL1991" s="45"/>
      <c r="BM1991" s="12"/>
      <c r="BN1991" s="12"/>
      <c r="BO1991" s="12"/>
      <c r="BP1991" s="12"/>
      <c r="BQ1991" s="48"/>
      <c r="BR1991" s="49"/>
      <c r="BS1991" s="13"/>
      <c r="BT1991" s="12"/>
      <c r="BV1991" s="14"/>
      <c r="BW1991" s="50"/>
      <c r="BX1991" s="54"/>
      <c r="BY1991" s="14"/>
      <c r="BZ1991" s="14"/>
      <c r="CA1991" s="14"/>
      <c r="CB1991" s="14"/>
      <c r="CC1991" s="14"/>
      <c r="CD1991" s="14"/>
      <c r="CE1991" s="14"/>
      <c r="CF1991" s="15"/>
      <c r="CG1991" s="14"/>
      <c r="CH1991" s="14"/>
      <c r="CI1991" s="50"/>
      <c r="CJ1991" s="54"/>
      <c r="CK1991" s="14"/>
      <c r="CL1991" s="14"/>
      <c r="CM1991" s="14"/>
      <c r="CN1991" s="14"/>
      <c r="CO1991" s="14"/>
      <c r="CP1991" s="14"/>
      <c r="CQ1991" s="14"/>
      <c r="CR1991" s="14"/>
      <c r="CS1991" s="14"/>
      <c r="CT1991" s="14"/>
      <c r="CU1991" s="16"/>
      <c r="CV1991" s="14"/>
      <c r="CW1991" s="50"/>
      <c r="CX1991" s="17"/>
    </row>
    <row r="1992" spans="4:102" x14ac:dyDescent="0.25">
      <c r="D1992" s="11"/>
      <c r="E1992" s="11"/>
      <c r="F1992" s="11"/>
      <c r="G1992" s="11"/>
      <c r="H1992" s="11"/>
      <c r="I1992" s="11"/>
      <c r="J1992" s="11"/>
      <c r="K1992" s="11"/>
      <c r="L1992" s="11"/>
      <c r="M1992" s="11"/>
      <c r="N1992" s="11"/>
      <c r="O1992" s="11"/>
      <c r="P1992" s="43"/>
      <c r="Q1992" s="11"/>
      <c r="R1992" s="11"/>
      <c r="S1992" s="11"/>
      <c r="T1992" s="11"/>
      <c r="U1992" s="11"/>
      <c r="V1992" s="11"/>
      <c r="W1992" s="11"/>
      <c r="X1992" s="12"/>
      <c r="Y1992" s="12"/>
      <c r="Z1992" s="12"/>
      <c r="AA1992" s="44"/>
      <c r="AB1992" s="45"/>
      <c r="AC1992" s="12"/>
      <c r="AD1992" s="12"/>
      <c r="AE1992" s="12"/>
      <c r="AF1992" s="12"/>
      <c r="AG1992" s="44"/>
      <c r="AH1992" s="45"/>
      <c r="AI1992" s="12"/>
      <c r="AJ1992" s="12"/>
      <c r="AK1992" s="12"/>
      <c r="AL1992" s="12"/>
      <c r="AM1992" s="44"/>
      <c r="AN1992" s="45"/>
      <c r="AO1992" s="12"/>
      <c r="AP1992" s="12"/>
      <c r="AQ1992" s="12"/>
      <c r="AR1992" s="12"/>
      <c r="AS1992" s="44"/>
      <c r="AT1992" s="45"/>
      <c r="AU1992" s="12"/>
      <c r="AV1992" s="12"/>
      <c r="AW1992" s="12"/>
      <c r="AX1992" s="12"/>
      <c r="AY1992" s="44"/>
      <c r="AZ1992" s="45"/>
      <c r="BA1992" s="12"/>
      <c r="BB1992" s="12"/>
      <c r="BC1992" s="12"/>
      <c r="BD1992" s="12"/>
      <c r="BE1992" s="44"/>
      <c r="BF1992" s="45"/>
      <c r="BG1992" s="12"/>
      <c r="BH1992" s="12"/>
      <c r="BI1992" s="12"/>
      <c r="BJ1992" s="12"/>
      <c r="BK1992" s="44"/>
      <c r="BL1992" s="45"/>
      <c r="BM1992" s="12"/>
      <c r="BN1992" s="12"/>
      <c r="BO1992" s="12"/>
      <c r="BP1992" s="12"/>
      <c r="BQ1992" s="48"/>
      <c r="BR1992" s="49"/>
      <c r="BS1992" s="13"/>
      <c r="BT1992" s="12"/>
      <c r="BV1992" s="14"/>
      <c r="BW1992" s="50"/>
      <c r="BX1992" s="54"/>
      <c r="BY1992" s="14"/>
      <c r="BZ1992" s="14"/>
      <c r="CA1992" s="14"/>
      <c r="CB1992" s="14"/>
      <c r="CC1992" s="14"/>
      <c r="CD1992" s="14"/>
      <c r="CE1992" s="14"/>
      <c r="CF1992" s="15"/>
      <c r="CG1992" s="14"/>
      <c r="CH1992" s="14"/>
      <c r="CI1992" s="50"/>
      <c r="CJ1992" s="54"/>
      <c r="CK1992" s="14"/>
      <c r="CL1992" s="14"/>
      <c r="CM1992" s="14"/>
      <c r="CN1992" s="14"/>
      <c r="CO1992" s="14"/>
      <c r="CP1992" s="14"/>
      <c r="CQ1992" s="14"/>
      <c r="CR1992" s="14"/>
      <c r="CS1992" s="14"/>
      <c r="CT1992" s="14"/>
      <c r="CU1992" s="16"/>
      <c r="CV1992" s="14"/>
      <c r="CW1992" s="50"/>
      <c r="CX1992" s="17"/>
    </row>
    <row r="1993" spans="4:102" x14ac:dyDescent="0.25">
      <c r="D1993" s="11"/>
      <c r="E1993" s="11"/>
      <c r="F1993" s="11"/>
      <c r="G1993" s="11"/>
      <c r="H1993" s="11"/>
      <c r="I1993" s="11"/>
      <c r="J1993" s="11"/>
      <c r="K1993" s="11"/>
      <c r="L1993" s="11"/>
      <c r="M1993" s="11"/>
      <c r="N1993" s="11"/>
      <c r="O1993" s="11"/>
      <c r="P1993" s="43"/>
      <c r="Q1993" s="11"/>
      <c r="R1993" s="11"/>
      <c r="S1993" s="11"/>
      <c r="T1993" s="11"/>
      <c r="U1993" s="11"/>
      <c r="V1993" s="11"/>
      <c r="W1993" s="11"/>
      <c r="X1993" s="12"/>
      <c r="Y1993" s="12"/>
      <c r="Z1993" s="12"/>
      <c r="AA1993" s="44"/>
      <c r="AB1993" s="45"/>
      <c r="AC1993" s="12"/>
      <c r="AD1993" s="12"/>
      <c r="AE1993" s="12"/>
      <c r="AF1993" s="12"/>
      <c r="AG1993" s="44"/>
      <c r="AH1993" s="45"/>
      <c r="AI1993" s="12"/>
      <c r="AJ1993" s="12"/>
      <c r="AK1993" s="12"/>
      <c r="AL1993" s="12"/>
      <c r="AM1993" s="44"/>
      <c r="AN1993" s="45"/>
      <c r="AO1993" s="12"/>
      <c r="AP1993" s="12"/>
      <c r="AQ1993" s="12"/>
      <c r="AR1993" s="12"/>
      <c r="AS1993" s="44"/>
      <c r="AT1993" s="45"/>
      <c r="AU1993" s="12"/>
      <c r="AV1993" s="12"/>
      <c r="AW1993" s="12"/>
      <c r="AX1993" s="12"/>
      <c r="AY1993" s="44"/>
      <c r="AZ1993" s="45"/>
      <c r="BA1993" s="12"/>
      <c r="BB1993" s="12"/>
      <c r="BC1993" s="12"/>
      <c r="BD1993" s="12"/>
      <c r="BE1993" s="44"/>
      <c r="BF1993" s="45"/>
      <c r="BG1993" s="12"/>
      <c r="BH1993" s="12"/>
      <c r="BI1993" s="12"/>
      <c r="BJ1993" s="12"/>
      <c r="BK1993" s="44"/>
      <c r="BL1993" s="45"/>
      <c r="BM1993" s="12"/>
      <c r="BN1993" s="12"/>
      <c r="BO1993" s="12"/>
      <c r="BP1993" s="12"/>
      <c r="BQ1993" s="48"/>
      <c r="BR1993" s="49"/>
      <c r="BS1993" s="13"/>
      <c r="BT1993" s="12"/>
      <c r="BV1993" s="14"/>
      <c r="BW1993" s="50"/>
      <c r="BX1993" s="54"/>
      <c r="BY1993" s="14"/>
      <c r="BZ1993" s="14"/>
      <c r="CA1993" s="14"/>
      <c r="CB1993" s="14"/>
      <c r="CC1993" s="14"/>
      <c r="CD1993" s="14"/>
      <c r="CE1993" s="14"/>
      <c r="CF1993" s="15"/>
      <c r="CG1993" s="14"/>
      <c r="CH1993" s="14"/>
      <c r="CI1993" s="50"/>
      <c r="CJ1993" s="54"/>
      <c r="CK1993" s="14"/>
      <c r="CL1993" s="14"/>
      <c r="CM1993" s="14"/>
      <c r="CN1993" s="14"/>
      <c r="CO1993" s="14"/>
      <c r="CP1993" s="14"/>
      <c r="CQ1993" s="14"/>
      <c r="CR1993" s="14"/>
      <c r="CS1993" s="14"/>
      <c r="CT1993" s="14"/>
      <c r="CU1993" s="16"/>
      <c r="CV1993" s="14"/>
      <c r="CW1993" s="50"/>
      <c r="CX1993" s="17"/>
    </row>
    <row r="1994" spans="4:102" x14ac:dyDescent="0.25">
      <c r="D1994" s="11"/>
      <c r="E1994" s="11"/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43"/>
      <c r="Q1994" s="11"/>
      <c r="R1994" s="11"/>
      <c r="S1994" s="11"/>
      <c r="T1994" s="11"/>
      <c r="U1994" s="11"/>
      <c r="V1994" s="11"/>
      <c r="W1994" s="11"/>
      <c r="X1994" s="12"/>
      <c r="Y1994" s="12"/>
      <c r="Z1994" s="12"/>
      <c r="AA1994" s="44"/>
      <c r="AB1994" s="45"/>
      <c r="AC1994" s="12"/>
      <c r="AD1994" s="12"/>
      <c r="AE1994" s="12"/>
      <c r="AF1994" s="12"/>
      <c r="AG1994" s="44"/>
      <c r="AH1994" s="45"/>
      <c r="AI1994" s="12"/>
      <c r="AJ1994" s="12"/>
      <c r="AK1994" s="12"/>
      <c r="AL1994" s="12"/>
      <c r="AM1994" s="44"/>
      <c r="AN1994" s="45"/>
      <c r="AO1994" s="12"/>
      <c r="AP1994" s="12"/>
      <c r="AQ1994" s="12"/>
      <c r="AR1994" s="12"/>
      <c r="AS1994" s="44"/>
      <c r="AT1994" s="45"/>
      <c r="AU1994" s="12"/>
      <c r="AV1994" s="12"/>
      <c r="AW1994" s="12"/>
      <c r="AX1994" s="12"/>
      <c r="AY1994" s="44"/>
      <c r="AZ1994" s="45"/>
      <c r="BA1994" s="12"/>
      <c r="BB1994" s="12"/>
      <c r="BC1994" s="12"/>
      <c r="BD1994" s="12"/>
      <c r="BE1994" s="44"/>
      <c r="BF1994" s="45"/>
      <c r="BG1994" s="12"/>
      <c r="BH1994" s="12"/>
      <c r="BI1994" s="12"/>
      <c r="BJ1994" s="12"/>
      <c r="BK1994" s="44"/>
      <c r="BL1994" s="45"/>
      <c r="BM1994" s="12"/>
      <c r="BN1994" s="12"/>
      <c r="BO1994" s="12"/>
      <c r="BP1994" s="12"/>
      <c r="BQ1994" s="48"/>
      <c r="BR1994" s="49"/>
      <c r="BS1994" s="13"/>
      <c r="BT1994" s="12"/>
      <c r="BV1994" s="14"/>
      <c r="BW1994" s="50"/>
      <c r="BX1994" s="54"/>
      <c r="BY1994" s="14"/>
      <c r="BZ1994" s="14"/>
      <c r="CA1994" s="14"/>
      <c r="CB1994" s="14"/>
      <c r="CC1994" s="14"/>
      <c r="CD1994" s="14"/>
      <c r="CE1994" s="14"/>
      <c r="CF1994" s="15"/>
      <c r="CG1994" s="14"/>
      <c r="CH1994" s="14"/>
      <c r="CI1994" s="50"/>
      <c r="CJ1994" s="54"/>
      <c r="CK1994" s="14"/>
      <c r="CL1994" s="14"/>
      <c r="CM1994" s="14"/>
      <c r="CN1994" s="14"/>
      <c r="CO1994" s="14"/>
      <c r="CP1994" s="14"/>
      <c r="CQ1994" s="14"/>
      <c r="CR1994" s="14"/>
      <c r="CS1994" s="14"/>
      <c r="CT1994" s="14"/>
      <c r="CU1994" s="16"/>
      <c r="CV1994" s="14"/>
      <c r="CW1994" s="50"/>
      <c r="CX1994" s="17"/>
    </row>
    <row r="1995" spans="4:102" x14ac:dyDescent="0.25">
      <c r="D1995" s="11"/>
      <c r="E1995" s="11"/>
      <c r="F1995" s="11"/>
      <c r="G1995" s="11"/>
      <c r="H1995" s="11"/>
      <c r="I1995" s="11"/>
      <c r="J1995" s="11"/>
      <c r="K1995" s="11"/>
      <c r="L1995" s="11"/>
      <c r="M1995" s="11"/>
      <c r="N1995" s="11"/>
      <c r="O1995" s="11"/>
      <c r="P1995" s="43"/>
      <c r="Q1995" s="11"/>
      <c r="R1995" s="11"/>
      <c r="S1995" s="11"/>
      <c r="T1995" s="11"/>
      <c r="U1995" s="11"/>
      <c r="V1995" s="11"/>
      <c r="W1995" s="11"/>
      <c r="X1995" s="12"/>
      <c r="Y1995" s="12"/>
      <c r="Z1995" s="12"/>
      <c r="AA1995" s="44"/>
      <c r="AB1995" s="45"/>
      <c r="AC1995" s="12"/>
      <c r="AD1995" s="12"/>
      <c r="AE1995" s="12"/>
      <c r="AF1995" s="12"/>
      <c r="AG1995" s="44"/>
      <c r="AH1995" s="45"/>
      <c r="AI1995" s="12"/>
      <c r="AJ1995" s="12"/>
      <c r="AK1995" s="12"/>
      <c r="AL1995" s="12"/>
      <c r="AM1995" s="44"/>
      <c r="AN1995" s="45"/>
      <c r="AO1995" s="12"/>
      <c r="AP1995" s="12"/>
      <c r="AQ1995" s="12"/>
      <c r="AR1995" s="12"/>
      <c r="AS1995" s="44"/>
      <c r="AT1995" s="45"/>
      <c r="AU1995" s="12"/>
      <c r="AV1995" s="12"/>
      <c r="AW1995" s="12"/>
      <c r="AX1995" s="12"/>
      <c r="AY1995" s="44"/>
      <c r="AZ1995" s="45"/>
      <c r="BA1995" s="12"/>
      <c r="BB1995" s="12"/>
      <c r="BC1995" s="12"/>
      <c r="BD1995" s="12"/>
      <c r="BE1995" s="44"/>
      <c r="BF1995" s="45"/>
      <c r="BG1995" s="12"/>
      <c r="BH1995" s="12"/>
      <c r="BI1995" s="12"/>
      <c r="BJ1995" s="12"/>
      <c r="BK1995" s="44"/>
      <c r="BL1995" s="45"/>
      <c r="BM1995" s="12"/>
      <c r="BN1995" s="12"/>
      <c r="BO1995" s="12"/>
      <c r="BP1995" s="12"/>
      <c r="BQ1995" s="48"/>
      <c r="BR1995" s="49"/>
      <c r="BS1995" s="13"/>
      <c r="BT1995" s="12"/>
      <c r="BV1995" s="14"/>
      <c r="BW1995" s="50"/>
      <c r="BX1995" s="54"/>
      <c r="BY1995" s="14"/>
      <c r="BZ1995" s="14"/>
      <c r="CA1995" s="14"/>
      <c r="CB1995" s="14"/>
      <c r="CC1995" s="14"/>
      <c r="CD1995" s="14"/>
      <c r="CE1995" s="14"/>
      <c r="CF1995" s="15"/>
      <c r="CG1995" s="14"/>
      <c r="CH1995" s="14"/>
      <c r="CI1995" s="50"/>
      <c r="CJ1995" s="54"/>
      <c r="CK1995" s="14"/>
      <c r="CL1995" s="14"/>
      <c r="CM1995" s="14"/>
      <c r="CN1995" s="14"/>
      <c r="CO1995" s="14"/>
      <c r="CP1995" s="14"/>
      <c r="CQ1995" s="14"/>
      <c r="CR1995" s="14"/>
      <c r="CS1995" s="14"/>
      <c r="CT1995" s="14"/>
      <c r="CU1995" s="16"/>
      <c r="CV1995" s="14"/>
      <c r="CW1995" s="50"/>
      <c r="CX1995" s="17"/>
    </row>
    <row r="1996" spans="4:102" x14ac:dyDescent="0.25">
      <c r="D1996" s="11"/>
      <c r="E1996" s="11"/>
      <c r="F1996" s="11"/>
      <c r="G1996" s="11"/>
      <c r="H1996" s="11"/>
      <c r="I1996" s="11"/>
      <c r="J1996" s="11"/>
      <c r="K1996" s="11"/>
      <c r="L1996" s="11"/>
      <c r="M1996" s="11"/>
      <c r="N1996" s="11"/>
      <c r="O1996" s="11"/>
      <c r="P1996" s="43"/>
      <c r="Q1996" s="11"/>
      <c r="R1996" s="11"/>
      <c r="S1996" s="11"/>
      <c r="T1996" s="11"/>
      <c r="U1996" s="11"/>
      <c r="V1996" s="11"/>
      <c r="W1996" s="11"/>
      <c r="X1996" s="12"/>
      <c r="Y1996" s="12"/>
      <c r="Z1996" s="12"/>
      <c r="AA1996" s="44"/>
      <c r="AB1996" s="45"/>
      <c r="AC1996" s="12"/>
      <c r="AD1996" s="12"/>
      <c r="AE1996" s="12"/>
      <c r="AF1996" s="12"/>
      <c r="AG1996" s="44"/>
      <c r="AH1996" s="45"/>
      <c r="AI1996" s="12"/>
      <c r="AJ1996" s="12"/>
      <c r="AK1996" s="12"/>
      <c r="AL1996" s="12"/>
      <c r="AM1996" s="44"/>
      <c r="AN1996" s="45"/>
      <c r="AO1996" s="12"/>
      <c r="AP1996" s="12"/>
      <c r="AQ1996" s="12"/>
      <c r="AR1996" s="12"/>
      <c r="AS1996" s="44"/>
      <c r="AT1996" s="45"/>
      <c r="AU1996" s="12"/>
      <c r="AV1996" s="12"/>
      <c r="AW1996" s="12"/>
      <c r="AX1996" s="12"/>
      <c r="AY1996" s="44"/>
      <c r="AZ1996" s="45"/>
      <c r="BA1996" s="12"/>
      <c r="BB1996" s="12"/>
      <c r="BC1996" s="12"/>
      <c r="BD1996" s="12"/>
      <c r="BE1996" s="44"/>
      <c r="BF1996" s="45"/>
      <c r="BG1996" s="12"/>
      <c r="BH1996" s="12"/>
      <c r="BI1996" s="12"/>
      <c r="BJ1996" s="12"/>
      <c r="BK1996" s="44"/>
      <c r="BL1996" s="45"/>
      <c r="BM1996" s="12"/>
      <c r="BN1996" s="12"/>
      <c r="BO1996" s="12"/>
      <c r="BP1996" s="12"/>
      <c r="BQ1996" s="48"/>
      <c r="BR1996" s="49"/>
      <c r="BS1996" s="13"/>
      <c r="BT1996" s="12"/>
      <c r="BV1996" s="14"/>
      <c r="BW1996" s="50"/>
      <c r="BX1996" s="54"/>
      <c r="BY1996" s="14"/>
      <c r="BZ1996" s="14"/>
      <c r="CA1996" s="14"/>
      <c r="CB1996" s="14"/>
      <c r="CC1996" s="14"/>
      <c r="CD1996" s="14"/>
      <c r="CE1996" s="14"/>
      <c r="CF1996" s="15"/>
      <c r="CG1996" s="14"/>
      <c r="CH1996" s="14"/>
      <c r="CI1996" s="50"/>
      <c r="CJ1996" s="54"/>
      <c r="CK1996" s="14"/>
      <c r="CL1996" s="14"/>
      <c r="CM1996" s="14"/>
      <c r="CN1996" s="14"/>
      <c r="CO1996" s="14"/>
      <c r="CP1996" s="14"/>
      <c r="CQ1996" s="14"/>
      <c r="CR1996" s="14"/>
      <c r="CS1996" s="14"/>
      <c r="CT1996" s="14"/>
      <c r="CU1996" s="16"/>
      <c r="CV1996" s="14"/>
      <c r="CW1996" s="50"/>
      <c r="CX1996" s="17"/>
    </row>
    <row r="1997" spans="4:102" x14ac:dyDescent="0.25">
      <c r="D1997" s="11"/>
      <c r="E1997" s="11"/>
      <c r="F1997" s="11"/>
      <c r="G1997" s="11"/>
      <c r="H1997" s="11"/>
      <c r="I1997" s="11"/>
      <c r="J1997" s="11"/>
      <c r="K1997" s="11"/>
      <c r="L1997" s="11"/>
      <c r="M1997" s="11"/>
      <c r="N1997" s="11"/>
      <c r="O1997" s="11"/>
      <c r="P1997" s="43"/>
      <c r="Q1997" s="11"/>
      <c r="R1997" s="11"/>
      <c r="S1997" s="11"/>
      <c r="T1997" s="11"/>
      <c r="U1997" s="11"/>
      <c r="V1997" s="11"/>
      <c r="W1997" s="11"/>
      <c r="X1997" s="12"/>
      <c r="Y1997" s="12"/>
      <c r="Z1997" s="12"/>
      <c r="AA1997" s="44"/>
      <c r="AB1997" s="45"/>
      <c r="AC1997" s="12"/>
      <c r="AD1997" s="12"/>
      <c r="AE1997" s="12"/>
      <c r="AF1997" s="12"/>
      <c r="AG1997" s="44"/>
      <c r="AH1997" s="45"/>
      <c r="AI1997" s="12"/>
      <c r="AJ1997" s="12"/>
      <c r="AK1997" s="12"/>
      <c r="AL1997" s="12"/>
      <c r="AM1997" s="44"/>
      <c r="AN1997" s="45"/>
      <c r="AO1997" s="12"/>
      <c r="AP1997" s="12"/>
      <c r="AQ1997" s="12"/>
      <c r="AR1997" s="12"/>
      <c r="AS1997" s="44"/>
      <c r="AT1997" s="45"/>
      <c r="AU1997" s="12"/>
      <c r="AV1997" s="12"/>
      <c r="AW1997" s="12"/>
      <c r="AX1997" s="12"/>
      <c r="AY1997" s="44"/>
      <c r="AZ1997" s="45"/>
      <c r="BA1997" s="12"/>
      <c r="BB1997" s="12"/>
      <c r="BC1997" s="12"/>
      <c r="BD1997" s="12"/>
      <c r="BE1997" s="44"/>
      <c r="BF1997" s="45"/>
      <c r="BG1997" s="12"/>
      <c r="BH1997" s="12"/>
      <c r="BI1997" s="12"/>
      <c r="BJ1997" s="12"/>
      <c r="BK1997" s="44"/>
      <c r="BL1997" s="45"/>
      <c r="BM1997" s="12"/>
      <c r="BN1997" s="12"/>
      <c r="BO1997" s="12"/>
      <c r="BP1997" s="12"/>
      <c r="BQ1997" s="48"/>
      <c r="BR1997" s="49"/>
      <c r="BS1997" s="13"/>
      <c r="BT1997" s="12"/>
      <c r="BV1997" s="14"/>
      <c r="BW1997" s="50"/>
      <c r="BX1997" s="54"/>
      <c r="BY1997" s="14"/>
      <c r="BZ1997" s="14"/>
      <c r="CA1997" s="14"/>
      <c r="CB1997" s="14"/>
      <c r="CC1997" s="14"/>
      <c r="CD1997" s="14"/>
      <c r="CE1997" s="14"/>
      <c r="CF1997" s="15"/>
      <c r="CG1997" s="14"/>
      <c r="CH1997" s="14"/>
      <c r="CI1997" s="50"/>
      <c r="CJ1997" s="54"/>
      <c r="CK1997" s="14"/>
      <c r="CL1997" s="14"/>
      <c r="CM1997" s="14"/>
      <c r="CN1997" s="14"/>
      <c r="CO1997" s="14"/>
      <c r="CP1997" s="14"/>
      <c r="CQ1997" s="14"/>
      <c r="CR1997" s="14"/>
      <c r="CS1997" s="14"/>
      <c r="CT1997" s="14"/>
      <c r="CU1997" s="16"/>
      <c r="CV1997" s="14"/>
      <c r="CW1997" s="50"/>
      <c r="CX1997" s="17"/>
    </row>
    <row r="1998" spans="4:102" x14ac:dyDescent="0.25">
      <c r="D1998" s="11"/>
      <c r="E1998" s="11"/>
      <c r="F1998" s="11"/>
      <c r="G1998" s="11"/>
      <c r="H1998" s="11"/>
      <c r="I1998" s="11"/>
      <c r="J1998" s="11"/>
      <c r="K1998" s="11"/>
      <c r="L1998" s="11"/>
      <c r="M1998" s="11"/>
      <c r="N1998" s="11"/>
      <c r="O1998" s="11"/>
      <c r="P1998" s="43"/>
      <c r="Q1998" s="11"/>
      <c r="R1998" s="11"/>
      <c r="S1998" s="11"/>
      <c r="T1998" s="11"/>
      <c r="U1998" s="11"/>
      <c r="V1998" s="11"/>
      <c r="W1998" s="11"/>
      <c r="X1998" s="12"/>
      <c r="Y1998" s="12"/>
      <c r="Z1998" s="12"/>
      <c r="AA1998" s="44"/>
      <c r="AB1998" s="45"/>
      <c r="AC1998" s="12"/>
      <c r="AD1998" s="12"/>
      <c r="AE1998" s="12"/>
      <c r="AF1998" s="12"/>
      <c r="AG1998" s="44"/>
      <c r="AH1998" s="45"/>
      <c r="AI1998" s="12"/>
      <c r="AJ1998" s="12"/>
      <c r="AK1998" s="12"/>
      <c r="AL1998" s="12"/>
      <c r="AM1998" s="44"/>
      <c r="AN1998" s="45"/>
      <c r="AO1998" s="12"/>
      <c r="AP1998" s="12"/>
      <c r="AQ1998" s="12"/>
      <c r="AR1998" s="12"/>
      <c r="AS1998" s="44"/>
      <c r="AT1998" s="45"/>
      <c r="AU1998" s="12"/>
      <c r="AV1998" s="12"/>
      <c r="AW1998" s="12"/>
      <c r="AX1998" s="12"/>
      <c r="AY1998" s="44"/>
      <c r="AZ1998" s="45"/>
      <c r="BA1998" s="12"/>
      <c r="BB1998" s="12"/>
      <c r="BC1998" s="12"/>
      <c r="BD1998" s="12"/>
      <c r="BE1998" s="44"/>
      <c r="BF1998" s="45"/>
      <c r="BG1998" s="12"/>
      <c r="BH1998" s="12"/>
      <c r="BI1998" s="12"/>
      <c r="BJ1998" s="12"/>
      <c r="BK1998" s="44"/>
      <c r="BL1998" s="45"/>
      <c r="BM1998" s="12"/>
      <c r="BN1998" s="12"/>
      <c r="BO1998" s="12"/>
      <c r="BP1998" s="12"/>
      <c r="BQ1998" s="48"/>
      <c r="BR1998" s="49"/>
      <c r="BS1998" s="13"/>
      <c r="BT1998" s="12"/>
      <c r="BV1998" s="14"/>
      <c r="BW1998" s="50"/>
      <c r="BX1998" s="54"/>
      <c r="BY1998" s="14"/>
      <c r="BZ1998" s="14"/>
      <c r="CA1998" s="14"/>
      <c r="CB1998" s="14"/>
      <c r="CC1998" s="14"/>
      <c r="CD1998" s="14"/>
      <c r="CE1998" s="14"/>
      <c r="CF1998" s="15"/>
      <c r="CG1998" s="14"/>
      <c r="CH1998" s="14"/>
      <c r="CI1998" s="50"/>
      <c r="CJ1998" s="54"/>
      <c r="CK1998" s="14"/>
      <c r="CL1998" s="14"/>
      <c r="CM1998" s="14"/>
      <c r="CN1998" s="14"/>
      <c r="CO1998" s="14"/>
      <c r="CP1998" s="14"/>
      <c r="CQ1998" s="14"/>
      <c r="CR1998" s="14"/>
      <c r="CS1998" s="14"/>
      <c r="CT1998" s="14"/>
      <c r="CU1998" s="16"/>
      <c r="CV1998" s="14"/>
      <c r="CW1998" s="50"/>
      <c r="CX1998" s="17"/>
    </row>
    <row r="1999" spans="4:102" x14ac:dyDescent="0.25">
      <c r="D1999" s="11"/>
      <c r="E1999" s="11"/>
      <c r="F1999" s="11"/>
      <c r="G1999" s="11"/>
      <c r="H1999" s="11"/>
      <c r="I1999" s="11"/>
      <c r="J1999" s="11"/>
      <c r="K1999" s="11"/>
      <c r="L1999" s="11"/>
      <c r="M1999" s="11"/>
      <c r="N1999" s="11"/>
      <c r="O1999" s="11"/>
      <c r="P1999" s="43"/>
      <c r="Q1999" s="11"/>
      <c r="R1999" s="11"/>
      <c r="S1999" s="11"/>
      <c r="T1999" s="11"/>
      <c r="U1999" s="11"/>
      <c r="V1999" s="11"/>
      <c r="W1999" s="11"/>
      <c r="X1999" s="12"/>
      <c r="Y1999" s="12"/>
      <c r="Z1999" s="12"/>
      <c r="AA1999" s="44"/>
      <c r="AB1999" s="45"/>
      <c r="AC1999" s="12"/>
      <c r="AD1999" s="12"/>
      <c r="AE1999" s="12"/>
      <c r="AF1999" s="12"/>
      <c r="AG1999" s="44"/>
      <c r="AH1999" s="45"/>
      <c r="AI1999" s="12"/>
      <c r="AJ1999" s="12"/>
      <c r="AK1999" s="12"/>
      <c r="AL1999" s="12"/>
      <c r="AM1999" s="44"/>
      <c r="AN1999" s="45"/>
      <c r="AO1999" s="12"/>
      <c r="AP1999" s="12"/>
      <c r="AQ1999" s="12"/>
      <c r="AR1999" s="12"/>
      <c r="AS1999" s="44"/>
      <c r="AT1999" s="45"/>
      <c r="AU1999" s="12"/>
      <c r="AV1999" s="12"/>
      <c r="AW1999" s="12"/>
      <c r="AX1999" s="12"/>
      <c r="AY1999" s="44"/>
      <c r="AZ1999" s="45"/>
      <c r="BA1999" s="12"/>
      <c r="BB1999" s="12"/>
      <c r="BC1999" s="12"/>
      <c r="BD1999" s="12"/>
      <c r="BE1999" s="44"/>
      <c r="BF1999" s="45"/>
      <c r="BG1999" s="12"/>
      <c r="BH1999" s="12"/>
      <c r="BI1999" s="12"/>
      <c r="BJ1999" s="12"/>
      <c r="BK1999" s="44"/>
      <c r="BL1999" s="45"/>
      <c r="BM1999" s="12"/>
      <c r="BN1999" s="12"/>
      <c r="BO1999" s="12"/>
      <c r="BP1999" s="12"/>
      <c r="BQ1999" s="48"/>
      <c r="BR1999" s="49"/>
      <c r="BS1999" s="13"/>
      <c r="BT1999" s="12"/>
      <c r="BV1999" s="14"/>
      <c r="BW1999" s="50"/>
      <c r="BX1999" s="54"/>
      <c r="BY1999" s="14"/>
      <c r="BZ1999" s="14"/>
      <c r="CA1999" s="14"/>
      <c r="CB1999" s="14"/>
      <c r="CC1999" s="14"/>
      <c r="CD1999" s="14"/>
      <c r="CE1999" s="14"/>
      <c r="CF1999" s="15"/>
      <c r="CG1999" s="14"/>
      <c r="CH1999" s="14"/>
      <c r="CI1999" s="50"/>
      <c r="CJ1999" s="54"/>
      <c r="CK1999" s="14"/>
      <c r="CL1999" s="14"/>
      <c r="CM1999" s="14"/>
      <c r="CN1999" s="14"/>
      <c r="CO1999" s="14"/>
      <c r="CP1999" s="14"/>
      <c r="CQ1999" s="14"/>
      <c r="CR1999" s="14"/>
      <c r="CS1999" s="14"/>
      <c r="CT1999" s="14"/>
      <c r="CU1999" s="16"/>
      <c r="CV1999" s="14"/>
      <c r="CW1999" s="50"/>
      <c r="CX1999" s="17"/>
    </row>
    <row r="2000" spans="4:102" x14ac:dyDescent="0.25">
      <c r="D2000" s="11"/>
      <c r="E2000" s="11"/>
      <c r="F2000" s="11"/>
      <c r="G2000" s="11"/>
      <c r="H2000" s="11"/>
      <c r="I2000" s="11"/>
      <c r="J2000" s="11"/>
      <c r="K2000" s="11"/>
      <c r="L2000" s="11"/>
      <c r="M2000" s="11"/>
      <c r="N2000" s="11"/>
      <c r="O2000" s="11"/>
      <c r="P2000" s="43"/>
      <c r="Q2000" s="11"/>
      <c r="R2000" s="11"/>
      <c r="S2000" s="11"/>
      <c r="T2000" s="11"/>
      <c r="U2000" s="11"/>
      <c r="V2000" s="11"/>
      <c r="W2000" s="11"/>
      <c r="X2000" s="12"/>
      <c r="Y2000" s="12"/>
      <c r="Z2000" s="12"/>
      <c r="AA2000" s="44"/>
      <c r="AB2000" s="45"/>
      <c r="AC2000" s="12"/>
      <c r="AD2000" s="12"/>
      <c r="AE2000" s="12"/>
      <c r="AF2000" s="12"/>
      <c r="AG2000" s="44"/>
      <c r="AH2000" s="45"/>
      <c r="AI2000" s="12"/>
      <c r="AJ2000" s="12"/>
      <c r="AK2000" s="12"/>
      <c r="AL2000" s="12"/>
      <c r="AM2000" s="44"/>
      <c r="AN2000" s="45"/>
      <c r="AO2000" s="12"/>
      <c r="AP2000" s="12"/>
      <c r="AQ2000" s="12"/>
      <c r="AR2000" s="12"/>
      <c r="AS2000" s="44"/>
      <c r="AT2000" s="45"/>
      <c r="AU2000" s="12"/>
      <c r="AV2000" s="12"/>
      <c r="AW2000" s="12"/>
      <c r="AX2000" s="12"/>
      <c r="AY2000" s="44"/>
      <c r="AZ2000" s="45"/>
      <c r="BA2000" s="12"/>
      <c r="BB2000" s="12"/>
      <c r="BC2000" s="12"/>
      <c r="BD2000" s="12"/>
      <c r="BE2000" s="44"/>
      <c r="BF2000" s="45"/>
      <c r="BG2000" s="12"/>
      <c r="BH2000" s="12"/>
      <c r="BI2000" s="12"/>
      <c r="BJ2000" s="12"/>
      <c r="BK2000" s="44"/>
      <c r="BL2000" s="45"/>
      <c r="BM2000" s="12"/>
      <c r="BN2000" s="12"/>
      <c r="BO2000" s="12"/>
      <c r="BP2000" s="12"/>
      <c r="BQ2000" s="48"/>
      <c r="BR2000" s="49"/>
      <c r="BS2000" s="13"/>
      <c r="BT2000" s="12"/>
      <c r="BV2000" s="14"/>
      <c r="BW2000" s="50"/>
      <c r="BX2000" s="54"/>
      <c r="BY2000" s="14"/>
      <c r="BZ2000" s="14"/>
      <c r="CA2000" s="14"/>
      <c r="CB2000" s="14"/>
      <c r="CC2000" s="14"/>
      <c r="CD2000" s="14"/>
      <c r="CE2000" s="14"/>
      <c r="CF2000" s="15"/>
      <c r="CG2000" s="14"/>
      <c r="CH2000" s="14"/>
      <c r="CI2000" s="50"/>
      <c r="CJ2000" s="54"/>
      <c r="CK2000" s="14"/>
      <c r="CL2000" s="14"/>
      <c r="CM2000" s="14"/>
      <c r="CN2000" s="14"/>
      <c r="CO2000" s="14"/>
      <c r="CP2000" s="14"/>
      <c r="CQ2000" s="14"/>
      <c r="CR2000" s="14"/>
      <c r="CS2000" s="14"/>
      <c r="CT2000" s="14"/>
      <c r="CU2000" s="16"/>
      <c r="CV2000" s="14"/>
      <c r="CW2000" s="50"/>
      <c r="CX2000" s="17"/>
    </row>
    <row r="2001" spans="4:102" x14ac:dyDescent="0.25">
      <c r="D2001" s="11"/>
      <c r="E2001" s="11"/>
      <c r="F2001" s="11"/>
      <c r="G2001" s="11"/>
      <c r="H2001" s="11"/>
      <c r="I2001" s="11"/>
      <c r="J2001" s="11"/>
      <c r="K2001" s="11"/>
      <c r="L2001" s="11"/>
      <c r="M2001" s="11"/>
      <c r="N2001" s="11"/>
      <c r="O2001" s="11"/>
      <c r="P2001" s="43"/>
      <c r="Q2001" s="11"/>
      <c r="R2001" s="11"/>
      <c r="S2001" s="11"/>
      <c r="T2001" s="11"/>
      <c r="U2001" s="11"/>
      <c r="V2001" s="11"/>
      <c r="W2001" s="11"/>
      <c r="X2001" s="12"/>
      <c r="Y2001" s="12"/>
      <c r="Z2001" s="12"/>
      <c r="AA2001" s="44"/>
      <c r="AB2001" s="45"/>
      <c r="AC2001" s="12"/>
      <c r="AD2001" s="12"/>
      <c r="AE2001" s="12"/>
      <c r="AF2001" s="12"/>
      <c r="AG2001" s="44"/>
      <c r="AH2001" s="45"/>
      <c r="AI2001" s="12"/>
      <c r="AJ2001" s="12"/>
      <c r="AK2001" s="12"/>
      <c r="AL2001" s="12"/>
      <c r="AM2001" s="44"/>
      <c r="AN2001" s="45"/>
      <c r="AO2001" s="12"/>
      <c r="AP2001" s="12"/>
      <c r="AQ2001" s="12"/>
      <c r="AR2001" s="12"/>
      <c r="AS2001" s="44"/>
      <c r="AT2001" s="45"/>
      <c r="AU2001" s="12"/>
      <c r="AV2001" s="12"/>
      <c r="AW2001" s="12"/>
      <c r="AX2001" s="12"/>
      <c r="AY2001" s="44"/>
      <c r="AZ2001" s="45"/>
      <c r="BA2001" s="12"/>
      <c r="BB2001" s="12"/>
      <c r="BC2001" s="12"/>
      <c r="BD2001" s="12"/>
      <c r="BE2001" s="44"/>
      <c r="BF2001" s="45"/>
      <c r="BG2001" s="12"/>
      <c r="BH2001" s="12"/>
      <c r="BI2001" s="12"/>
      <c r="BJ2001" s="12"/>
      <c r="BK2001" s="44"/>
      <c r="BL2001" s="45"/>
      <c r="BM2001" s="12"/>
      <c r="BN2001" s="12"/>
      <c r="BO2001" s="12"/>
      <c r="BP2001" s="12"/>
      <c r="BQ2001" s="48"/>
      <c r="BR2001" s="49"/>
      <c r="BS2001" s="13"/>
      <c r="BT2001" s="12"/>
      <c r="BV2001" s="14"/>
      <c r="BW2001" s="50"/>
      <c r="BX2001" s="54"/>
      <c r="BY2001" s="14"/>
      <c r="BZ2001" s="14"/>
      <c r="CA2001" s="14"/>
      <c r="CB2001" s="14"/>
      <c r="CC2001" s="14"/>
      <c r="CD2001" s="14"/>
      <c r="CE2001" s="14"/>
      <c r="CF2001" s="15"/>
      <c r="CG2001" s="14"/>
      <c r="CH2001" s="14"/>
      <c r="CI2001" s="50"/>
      <c r="CJ2001" s="54"/>
      <c r="CK2001" s="14"/>
      <c r="CL2001" s="14"/>
      <c r="CM2001" s="14"/>
      <c r="CN2001" s="14"/>
      <c r="CO2001" s="14"/>
      <c r="CP2001" s="14"/>
      <c r="CQ2001" s="14"/>
      <c r="CR2001" s="14"/>
      <c r="CS2001" s="14"/>
      <c r="CT2001" s="14"/>
      <c r="CU2001" s="16"/>
      <c r="CV2001" s="14"/>
      <c r="CW2001" s="50"/>
      <c r="CX2001" s="17"/>
    </row>
    <row r="2002" spans="4:102" x14ac:dyDescent="0.25">
      <c r="D2002" s="11"/>
      <c r="E2002" s="11"/>
      <c r="F2002" s="11"/>
      <c r="G2002" s="11"/>
      <c r="H2002" s="11"/>
      <c r="I2002" s="11"/>
      <c r="J2002" s="11"/>
      <c r="K2002" s="11"/>
      <c r="L2002" s="11"/>
      <c r="M2002" s="11"/>
      <c r="N2002" s="11"/>
      <c r="O2002" s="11"/>
      <c r="P2002" s="43"/>
      <c r="Q2002" s="11"/>
      <c r="R2002" s="11"/>
      <c r="S2002" s="11"/>
      <c r="T2002" s="11"/>
      <c r="U2002" s="11"/>
      <c r="V2002" s="11"/>
      <c r="W2002" s="11"/>
      <c r="X2002" s="12"/>
      <c r="Y2002" s="12"/>
      <c r="Z2002" s="12"/>
      <c r="AA2002" s="44"/>
      <c r="AB2002" s="45"/>
      <c r="AC2002" s="12"/>
      <c r="AD2002" s="12"/>
      <c r="AE2002" s="12"/>
      <c r="AF2002" s="12"/>
      <c r="AG2002" s="44"/>
      <c r="AH2002" s="45"/>
      <c r="AI2002" s="12"/>
      <c r="AJ2002" s="12"/>
      <c r="AK2002" s="12"/>
      <c r="AL2002" s="12"/>
      <c r="AM2002" s="44"/>
      <c r="AN2002" s="45"/>
      <c r="AO2002" s="12"/>
      <c r="AP2002" s="12"/>
      <c r="AQ2002" s="12"/>
      <c r="AR2002" s="12"/>
      <c r="AS2002" s="44"/>
      <c r="AT2002" s="45"/>
      <c r="AU2002" s="12"/>
      <c r="AV2002" s="12"/>
      <c r="AW2002" s="12"/>
      <c r="AX2002" s="12"/>
      <c r="AY2002" s="44"/>
      <c r="AZ2002" s="45"/>
      <c r="BA2002" s="12"/>
      <c r="BB2002" s="12"/>
      <c r="BC2002" s="12"/>
      <c r="BD2002" s="12"/>
      <c r="BE2002" s="44"/>
      <c r="BF2002" s="45"/>
      <c r="BG2002" s="12"/>
      <c r="BH2002" s="12"/>
      <c r="BI2002" s="12"/>
      <c r="BJ2002" s="12"/>
      <c r="BK2002" s="44"/>
      <c r="BL2002" s="45"/>
      <c r="BM2002" s="12"/>
      <c r="BN2002" s="12"/>
      <c r="BO2002" s="12"/>
      <c r="BP2002" s="12"/>
      <c r="BQ2002" s="48"/>
      <c r="BR2002" s="49"/>
      <c r="BS2002" s="13"/>
      <c r="BT2002" s="12"/>
      <c r="BV2002" s="14"/>
      <c r="BW2002" s="50"/>
      <c r="BX2002" s="54"/>
      <c r="BY2002" s="14"/>
      <c r="BZ2002" s="14"/>
      <c r="CA2002" s="14"/>
      <c r="CB2002" s="14"/>
      <c r="CC2002" s="14"/>
      <c r="CD2002" s="14"/>
      <c r="CE2002" s="14"/>
      <c r="CF2002" s="15"/>
      <c r="CG2002" s="14"/>
      <c r="CH2002" s="14"/>
      <c r="CI2002" s="50"/>
      <c r="CJ2002" s="54"/>
      <c r="CK2002" s="14"/>
      <c r="CL2002" s="14"/>
      <c r="CM2002" s="14"/>
      <c r="CN2002" s="14"/>
      <c r="CO2002" s="14"/>
      <c r="CP2002" s="14"/>
      <c r="CQ2002" s="14"/>
      <c r="CR2002" s="14"/>
      <c r="CS2002" s="14"/>
      <c r="CT2002" s="14"/>
      <c r="CU2002" s="16"/>
      <c r="CV2002" s="14"/>
      <c r="CW2002" s="50"/>
      <c r="CX2002" s="17"/>
    </row>
    <row r="2003" spans="4:102" x14ac:dyDescent="0.25">
      <c r="D2003" s="11"/>
      <c r="E2003" s="11"/>
      <c r="F2003" s="11"/>
      <c r="G2003" s="11"/>
      <c r="H2003" s="11"/>
      <c r="I2003" s="11"/>
      <c r="J2003" s="11"/>
      <c r="K2003" s="11"/>
      <c r="L2003" s="11"/>
      <c r="M2003" s="11"/>
      <c r="N2003" s="11"/>
      <c r="O2003" s="11"/>
      <c r="P2003" s="43"/>
      <c r="Q2003" s="11"/>
      <c r="R2003" s="11"/>
      <c r="S2003" s="11"/>
      <c r="T2003" s="11"/>
      <c r="U2003" s="11"/>
      <c r="V2003" s="11"/>
      <c r="W2003" s="11"/>
      <c r="X2003" s="12"/>
      <c r="Y2003" s="12"/>
      <c r="Z2003" s="12"/>
      <c r="AA2003" s="44"/>
      <c r="AB2003" s="45"/>
      <c r="AC2003" s="12"/>
      <c r="AD2003" s="12"/>
      <c r="AE2003" s="12"/>
      <c r="AF2003" s="12"/>
      <c r="AG2003" s="44"/>
      <c r="AH2003" s="45"/>
      <c r="AI2003" s="12"/>
      <c r="AJ2003" s="12"/>
      <c r="AK2003" s="12"/>
      <c r="AL2003" s="12"/>
      <c r="AM2003" s="44"/>
      <c r="AN2003" s="45"/>
      <c r="AO2003" s="12"/>
      <c r="AP2003" s="12"/>
      <c r="AQ2003" s="12"/>
      <c r="AR2003" s="12"/>
      <c r="AS2003" s="44"/>
      <c r="AT2003" s="45"/>
      <c r="AU2003" s="12"/>
      <c r="AV2003" s="12"/>
      <c r="AW2003" s="12"/>
      <c r="AX2003" s="12"/>
      <c r="AY2003" s="44"/>
      <c r="AZ2003" s="45"/>
      <c r="BA2003" s="12"/>
      <c r="BB2003" s="12"/>
      <c r="BC2003" s="12"/>
      <c r="BD2003" s="12"/>
      <c r="BE2003" s="44"/>
      <c r="BF2003" s="45"/>
      <c r="BG2003" s="12"/>
      <c r="BH2003" s="12"/>
      <c r="BI2003" s="12"/>
      <c r="BJ2003" s="12"/>
      <c r="BK2003" s="44"/>
      <c r="BL2003" s="45"/>
      <c r="BM2003" s="12"/>
      <c r="BN2003" s="12"/>
      <c r="BO2003" s="12"/>
      <c r="BP2003" s="12"/>
      <c r="BQ2003" s="48"/>
      <c r="BR2003" s="49"/>
      <c r="BS2003" s="13"/>
      <c r="BT2003" s="12"/>
      <c r="BV2003" s="14"/>
      <c r="BW2003" s="50"/>
      <c r="BX2003" s="54"/>
      <c r="BY2003" s="14"/>
      <c r="BZ2003" s="14"/>
      <c r="CA2003" s="14"/>
      <c r="CB2003" s="14"/>
      <c r="CC2003" s="14"/>
      <c r="CD2003" s="14"/>
      <c r="CE2003" s="14"/>
      <c r="CF2003" s="15"/>
      <c r="CG2003" s="14"/>
      <c r="CH2003" s="14"/>
      <c r="CI2003" s="50"/>
      <c r="CJ2003" s="54"/>
      <c r="CK2003" s="14"/>
      <c r="CL2003" s="14"/>
      <c r="CM2003" s="14"/>
      <c r="CN2003" s="14"/>
      <c r="CO2003" s="14"/>
      <c r="CP2003" s="14"/>
      <c r="CQ2003" s="14"/>
      <c r="CR2003" s="14"/>
      <c r="CS2003" s="14"/>
      <c r="CT2003" s="14"/>
      <c r="CU2003" s="16"/>
      <c r="CV2003" s="14"/>
      <c r="CW2003" s="50"/>
      <c r="CX2003" s="17"/>
    </row>
    <row r="2004" spans="4:102" x14ac:dyDescent="0.25">
      <c r="D2004" s="11"/>
      <c r="E2004" s="11"/>
      <c r="F2004" s="11"/>
      <c r="G2004" s="11"/>
      <c r="H2004" s="11"/>
      <c r="I2004" s="11"/>
      <c r="J2004" s="11"/>
      <c r="K2004" s="11"/>
      <c r="L2004" s="11"/>
      <c r="M2004" s="11"/>
      <c r="N2004" s="11"/>
      <c r="O2004" s="11"/>
      <c r="P2004" s="43"/>
      <c r="Q2004" s="11"/>
      <c r="R2004" s="11"/>
      <c r="S2004" s="11"/>
      <c r="T2004" s="11"/>
      <c r="U2004" s="11"/>
      <c r="V2004" s="11"/>
      <c r="W2004" s="11"/>
      <c r="X2004" s="12"/>
      <c r="Y2004" s="12"/>
      <c r="Z2004" s="12"/>
      <c r="AA2004" s="44"/>
      <c r="AB2004" s="45"/>
      <c r="AC2004" s="12"/>
      <c r="AD2004" s="12"/>
      <c r="AE2004" s="12"/>
      <c r="AF2004" s="12"/>
      <c r="AG2004" s="44"/>
      <c r="AH2004" s="45"/>
      <c r="AI2004" s="12"/>
      <c r="AJ2004" s="12"/>
      <c r="AK2004" s="12"/>
      <c r="AL2004" s="12"/>
      <c r="AM2004" s="44"/>
      <c r="AN2004" s="45"/>
      <c r="AO2004" s="12"/>
      <c r="AP2004" s="12"/>
      <c r="AQ2004" s="12"/>
      <c r="AR2004" s="12"/>
      <c r="AS2004" s="44"/>
      <c r="AT2004" s="45"/>
      <c r="AU2004" s="12"/>
      <c r="AV2004" s="12"/>
      <c r="AW2004" s="12"/>
      <c r="AX2004" s="12"/>
      <c r="AY2004" s="44"/>
      <c r="AZ2004" s="45"/>
      <c r="BA2004" s="12"/>
      <c r="BB2004" s="12"/>
      <c r="BC2004" s="12"/>
      <c r="BD2004" s="12"/>
      <c r="BE2004" s="44"/>
      <c r="BF2004" s="45"/>
      <c r="BG2004" s="12"/>
      <c r="BH2004" s="12"/>
      <c r="BI2004" s="12"/>
      <c r="BJ2004" s="12"/>
      <c r="BK2004" s="44"/>
      <c r="BL2004" s="45"/>
      <c r="BM2004" s="12"/>
      <c r="BN2004" s="12"/>
      <c r="BO2004" s="12"/>
      <c r="BP2004" s="12"/>
      <c r="BQ2004" s="48"/>
      <c r="BR2004" s="49"/>
      <c r="BS2004" s="13"/>
      <c r="BT2004" s="12"/>
      <c r="BV2004" s="14"/>
      <c r="BW2004" s="50"/>
      <c r="BX2004" s="54"/>
      <c r="BY2004" s="14"/>
      <c r="BZ2004" s="14"/>
      <c r="CA2004" s="14"/>
      <c r="CB2004" s="14"/>
      <c r="CC2004" s="14"/>
      <c r="CD2004" s="14"/>
      <c r="CE2004" s="14"/>
      <c r="CF2004" s="15"/>
      <c r="CG2004" s="14"/>
      <c r="CH2004" s="14"/>
      <c r="CI2004" s="50"/>
      <c r="CJ2004" s="54"/>
      <c r="CK2004" s="14"/>
      <c r="CL2004" s="14"/>
      <c r="CM2004" s="14"/>
      <c r="CN2004" s="14"/>
      <c r="CO2004" s="14"/>
      <c r="CP2004" s="14"/>
      <c r="CQ2004" s="14"/>
      <c r="CR2004" s="14"/>
      <c r="CS2004" s="14"/>
      <c r="CT2004" s="14"/>
      <c r="CU2004" s="16"/>
      <c r="CV2004" s="14"/>
      <c r="CW2004" s="50"/>
      <c r="CX2004" s="17"/>
    </row>
    <row r="2005" spans="4:102" x14ac:dyDescent="0.25">
      <c r="D2005" s="11"/>
      <c r="E2005" s="11"/>
      <c r="F2005" s="11"/>
      <c r="G2005" s="11"/>
      <c r="H2005" s="11"/>
      <c r="I2005" s="11"/>
      <c r="J2005" s="11"/>
      <c r="K2005" s="11"/>
      <c r="L2005" s="11"/>
      <c r="M2005" s="11"/>
      <c r="N2005" s="11"/>
      <c r="O2005" s="11"/>
      <c r="P2005" s="43"/>
      <c r="Q2005" s="11"/>
      <c r="R2005" s="11"/>
      <c r="S2005" s="11"/>
      <c r="T2005" s="11"/>
      <c r="U2005" s="11"/>
      <c r="V2005" s="11"/>
      <c r="W2005" s="11"/>
      <c r="X2005" s="12"/>
      <c r="Y2005" s="12"/>
      <c r="Z2005" s="12"/>
      <c r="AA2005" s="44"/>
      <c r="AB2005" s="45"/>
      <c r="AC2005" s="12"/>
      <c r="AD2005" s="12"/>
      <c r="AE2005" s="12"/>
      <c r="AF2005" s="12"/>
      <c r="AG2005" s="44"/>
      <c r="AH2005" s="45"/>
      <c r="AI2005" s="12"/>
      <c r="AJ2005" s="12"/>
      <c r="AK2005" s="12"/>
      <c r="AL2005" s="12"/>
      <c r="AM2005" s="44"/>
      <c r="AN2005" s="45"/>
      <c r="AO2005" s="12"/>
      <c r="AP2005" s="12"/>
      <c r="AQ2005" s="12"/>
      <c r="AR2005" s="12"/>
      <c r="AS2005" s="44"/>
      <c r="AT2005" s="45"/>
      <c r="AU2005" s="12"/>
      <c r="AV2005" s="12"/>
      <c r="AW2005" s="12"/>
      <c r="AX2005" s="12"/>
      <c r="AY2005" s="44"/>
      <c r="AZ2005" s="45"/>
      <c r="BA2005" s="12"/>
      <c r="BB2005" s="12"/>
      <c r="BC2005" s="12"/>
      <c r="BD2005" s="12"/>
      <c r="BE2005" s="44"/>
      <c r="BF2005" s="45"/>
      <c r="BG2005" s="12"/>
      <c r="BH2005" s="12"/>
      <c r="BI2005" s="12"/>
      <c r="BJ2005" s="12"/>
      <c r="BK2005" s="44"/>
      <c r="BL2005" s="45"/>
      <c r="BM2005" s="12"/>
      <c r="BN2005" s="12"/>
      <c r="BO2005" s="12"/>
      <c r="BP2005" s="12"/>
      <c r="BQ2005" s="48"/>
      <c r="BR2005" s="49"/>
      <c r="BS2005" s="13"/>
      <c r="BT2005" s="12"/>
      <c r="BV2005" s="14"/>
      <c r="BW2005" s="50"/>
      <c r="BX2005" s="54"/>
      <c r="BY2005" s="14"/>
      <c r="BZ2005" s="14"/>
      <c r="CA2005" s="14"/>
      <c r="CB2005" s="14"/>
      <c r="CC2005" s="14"/>
      <c r="CD2005" s="14"/>
      <c r="CE2005" s="14"/>
      <c r="CF2005" s="15"/>
      <c r="CG2005" s="14"/>
      <c r="CH2005" s="14"/>
      <c r="CI2005" s="50"/>
      <c r="CJ2005" s="54"/>
      <c r="CK2005" s="14"/>
      <c r="CL2005" s="14"/>
      <c r="CM2005" s="14"/>
      <c r="CN2005" s="14"/>
      <c r="CO2005" s="14"/>
      <c r="CP2005" s="14"/>
      <c r="CQ2005" s="14"/>
      <c r="CR2005" s="14"/>
      <c r="CS2005" s="14"/>
      <c r="CT2005" s="14"/>
      <c r="CU2005" s="16"/>
      <c r="CV2005" s="14"/>
      <c r="CW2005" s="50"/>
      <c r="CX2005" s="17"/>
    </row>
    <row r="2006" spans="4:102" x14ac:dyDescent="0.25">
      <c r="D2006" s="11"/>
      <c r="E2006" s="11"/>
      <c r="F2006" s="11"/>
      <c r="G2006" s="11"/>
      <c r="H2006" s="11"/>
      <c r="I2006" s="11"/>
      <c r="J2006" s="11"/>
      <c r="K2006" s="11"/>
      <c r="L2006" s="11"/>
      <c r="M2006" s="11"/>
      <c r="N2006" s="11"/>
      <c r="O2006" s="11"/>
      <c r="P2006" s="43"/>
      <c r="Q2006" s="11"/>
      <c r="R2006" s="11"/>
      <c r="S2006" s="11"/>
      <c r="T2006" s="11"/>
      <c r="U2006" s="11"/>
      <c r="V2006" s="11"/>
      <c r="W2006" s="11"/>
      <c r="X2006" s="12"/>
      <c r="Y2006" s="12"/>
      <c r="Z2006" s="12"/>
      <c r="AA2006" s="44"/>
      <c r="AB2006" s="45"/>
      <c r="AC2006" s="12"/>
      <c r="AD2006" s="12"/>
      <c r="AE2006" s="12"/>
      <c r="AF2006" s="12"/>
      <c r="AG2006" s="44"/>
      <c r="AH2006" s="45"/>
      <c r="AI2006" s="12"/>
      <c r="AJ2006" s="12"/>
      <c r="AK2006" s="12"/>
      <c r="AL2006" s="12"/>
      <c r="AM2006" s="44"/>
      <c r="AN2006" s="45"/>
      <c r="AO2006" s="12"/>
      <c r="AP2006" s="12"/>
      <c r="AQ2006" s="12"/>
      <c r="AR2006" s="12"/>
      <c r="AS2006" s="44"/>
      <c r="AT2006" s="45"/>
      <c r="AU2006" s="12"/>
      <c r="AV2006" s="12"/>
      <c r="AW2006" s="12"/>
      <c r="AX2006" s="12"/>
      <c r="AY2006" s="44"/>
      <c r="AZ2006" s="45"/>
      <c r="BA2006" s="12"/>
      <c r="BB2006" s="12"/>
      <c r="BC2006" s="12"/>
      <c r="BD2006" s="12"/>
      <c r="BE2006" s="44"/>
      <c r="BF2006" s="45"/>
      <c r="BG2006" s="12"/>
      <c r="BH2006" s="12"/>
      <c r="BI2006" s="12"/>
      <c r="BJ2006" s="12"/>
      <c r="BK2006" s="44"/>
      <c r="BL2006" s="45"/>
      <c r="BM2006" s="12"/>
      <c r="BN2006" s="12"/>
      <c r="BO2006" s="12"/>
      <c r="BP2006" s="12"/>
      <c r="BQ2006" s="48"/>
      <c r="BR2006" s="49"/>
      <c r="BS2006" s="13"/>
      <c r="BT2006" s="12"/>
      <c r="BV2006" s="14"/>
      <c r="BW2006" s="50"/>
      <c r="BX2006" s="54"/>
      <c r="BY2006" s="14"/>
      <c r="BZ2006" s="14"/>
      <c r="CA2006" s="14"/>
      <c r="CB2006" s="14"/>
      <c r="CC2006" s="14"/>
      <c r="CD2006" s="14"/>
      <c r="CE2006" s="14"/>
      <c r="CF2006" s="15"/>
      <c r="CG2006" s="14"/>
      <c r="CH2006" s="14"/>
      <c r="CI2006" s="50"/>
      <c r="CJ2006" s="54"/>
      <c r="CK2006" s="14"/>
      <c r="CL2006" s="14"/>
      <c r="CM2006" s="14"/>
      <c r="CN2006" s="14"/>
      <c r="CO2006" s="14"/>
      <c r="CP2006" s="14"/>
      <c r="CQ2006" s="14"/>
      <c r="CR2006" s="14"/>
      <c r="CS2006" s="14"/>
      <c r="CT2006" s="14"/>
      <c r="CU2006" s="16"/>
      <c r="CV2006" s="14"/>
      <c r="CW2006" s="50"/>
      <c r="CX2006" s="17"/>
    </row>
    <row r="2007" spans="4:102" x14ac:dyDescent="0.25">
      <c r="D2007" s="11"/>
      <c r="E2007" s="11"/>
      <c r="F2007" s="11"/>
      <c r="G2007" s="11"/>
      <c r="H2007" s="11"/>
      <c r="I2007" s="11"/>
      <c r="J2007" s="11"/>
      <c r="K2007" s="11"/>
      <c r="L2007" s="11"/>
      <c r="M2007" s="11"/>
      <c r="N2007" s="11"/>
      <c r="O2007" s="11"/>
      <c r="P2007" s="43"/>
      <c r="Q2007" s="11"/>
      <c r="R2007" s="11"/>
      <c r="S2007" s="11"/>
      <c r="T2007" s="11"/>
      <c r="U2007" s="11"/>
      <c r="V2007" s="11"/>
      <c r="W2007" s="11"/>
      <c r="X2007" s="12"/>
      <c r="Y2007" s="12"/>
      <c r="Z2007" s="12"/>
      <c r="AA2007" s="44"/>
      <c r="AB2007" s="45"/>
      <c r="AC2007" s="12"/>
      <c r="AD2007" s="12"/>
      <c r="AE2007" s="12"/>
      <c r="AF2007" s="12"/>
      <c r="AG2007" s="44"/>
      <c r="AH2007" s="45"/>
      <c r="AI2007" s="12"/>
      <c r="AJ2007" s="12"/>
      <c r="AK2007" s="12"/>
      <c r="AL2007" s="12"/>
      <c r="AM2007" s="44"/>
      <c r="AN2007" s="45"/>
      <c r="AO2007" s="12"/>
      <c r="AP2007" s="12"/>
      <c r="AQ2007" s="12"/>
      <c r="AR2007" s="12"/>
      <c r="AS2007" s="44"/>
      <c r="AT2007" s="45"/>
      <c r="AU2007" s="12"/>
      <c r="AV2007" s="12"/>
      <c r="AW2007" s="12"/>
      <c r="AX2007" s="12"/>
      <c r="AY2007" s="44"/>
      <c r="AZ2007" s="45"/>
      <c r="BA2007" s="12"/>
      <c r="BB2007" s="12"/>
      <c r="BC2007" s="12"/>
      <c r="BD2007" s="12"/>
      <c r="BE2007" s="44"/>
      <c r="BF2007" s="45"/>
      <c r="BG2007" s="12"/>
      <c r="BH2007" s="12"/>
      <c r="BI2007" s="12"/>
      <c r="BJ2007" s="12"/>
      <c r="BK2007" s="44"/>
      <c r="BL2007" s="45"/>
      <c r="BM2007" s="12"/>
      <c r="BN2007" s="12"/>
      <c r="BO2007" s="12"/>
      <c r="BP2007" s="12"/>
      <c r="BQ2007" s="48"/>
      <c r="BR2007" s="49"/>
      <c r="BS2007" s="13"/>
      <c r="BT2007" s="12"/>
      <c r="BV2007" s="14"/>
      <c r="BW2007" s="50"/>
      <c r="BX2007" s="54"/>
      <c r="BY2007" s="14"/>
      <c r="BZ2007" s="14"/>
      <c r="CA2007" s="14"/>
      <c r="CB2007" s="14"/>
      <c r="CC2007" s="14"/>
      <c r="CD2007" s="14"/>
      <c r="CE2007" s="14"/>
      <c r="CF2007" s="15"/>
      <c r="CG2007" s="14"/>
      <c r="CH2007" s="14"/>
      <c r="CI2007" s="50"/>
      <c r="CJ2007" s="54"/>
      <c r="CK2007" s="14"/>
      <c r="CL2007" s="14"/>
      <c r="CM2007" s="14"/>
      <c r="CN2007" s="14"/>
      <c r="CO2007" s="14"/>
      <c r="CP2007" s="14"/>
      <c r="CQ2007" s="14"/>
      <c r="CR2007" s="14"/>
      <c r="CS2007" s="14"/>
      <c r="CT2007" s="14"/>
      <c r="CU2007" s="16"/>
      <c r="CV2007" s="14"/>
      <c r="CW2007" s="50"/>
      <c r="CX2007" s="17"/>
    </row>
    <row r="2008" spans="4:102" x14ac:dyDescent="0.25">
      <c r="D2008" s="11"/>
      <c r="E2008" s="11"/>
      <c r="F2008" s="11"/>
      <c r="G2008" s="11"/>
      <c r="H2008" s="11"/>
      <c r="I2008" s="11"/>
      <c r="J2008" s="11"/>
      <c r="K2008" s="11"/>
      <c r="L2008" s="11"/>
      <c r="M2008" s="11"/>
      <c r="N2008" s="11"/>
      <c r="O2008" s="11"/>
      <c r="P2008" s="43"/>
      <c r="Q2008" s="11"/>
      <c r="R2008" s="11"/>
      <c r="S2008" s="11"/>
      <c r="T2008" s="11"/>
      <c r="U2008" s="11"/>
      <c r="V2008" s="11"/>
      <c r="W2008" s="11"/>
      <c r="X2008" s="12"/>
      <c r="Y2008" s="12"/>
      <c r="Z2008" s="12"/>
      <c r="AA2008" s="44"/>
      <c r="AB2008" s="45"/>
      <c r="AC2008" s="12"/>
      <c r="AD2008" s="12"/>
      <c r="AE2008" s="12"/>
      <c r="AF2008" s="12"/>
      <c r="AG2008" s="44"/>
      <c r="AH2008" s="45"/>
      <c r="AI2008" s="12"/>
      <c r="AJ2008" s="12"/>
      <c r="AK2008" s="12"/>
      <c r="AL2008" s="12"/>
      <c r="AM2008" s="44"/>
      <c r="AN2008" s="45"/>
      <c r="AO2008" s="12"/>
      <c r="AP2008" s="12"/>
      <c r="AQ2008" s="12"/>
      <c r="AR2008" s="12"/>
      <c r="AS2008" s="44"/>
      <c r="AT2008" s="45"/>
      <c r="AU2008" s="12"/>
      <c r="AV2008" s="12"/>
      <c r="AW2008" s="12"/>
      <c r="AX2008" s="12"/>
      <c r="AY2008" s="44"/>
      <c r="AZ2008" s="45"/>
      <c r="BA2008" s="12"/>
      <c r="BB2008" s="12"/>
      <c r="BC2008" s="12"/>
      <c r="BD2008" s="12"/>
      <c r="BE2008" s="44"/>
      <c r="BF2008" s="45"/>
      <c r="BG2008" s="12"/>
      <c r="BH2008" s="12"/>
      <c r="BI2008" s="12"/>
      <c r="BJ2008" s="12"/>
      <c r="BK2008" s="44"/>
      <c r="BL2008" s="45"/>
      <c r="BM2008" s="12"/>
      <c r="BN2008" s="12"/>
      <c r="BO2008" s="12"/>
      <c r="BP2008" s="12"/>
      <c r="BQ2008" s="48"/>
      <c r="BR2008" s="49"/>
      <c r="BS2008" s="13"/>
      <c r="BT2008" s="12"/>
      <c r="BV2008" s="14"/>
      <c r="BW2008" s="50"/>
      <c r="BX2008" s="54"/>
      <c r="BY2008" s="14"/>
      <c r="BZ2008" s="14"/>
      <c r="CA2008" s="14"/>
      <c r="CB2008" s="14"/>
      <c r="CC2008" s="14"/>
      <c r="CD2008" s="14"/>
      <c r="CE2008" s="14"/>
      <c r="CF2008" s="15"/>
      <c r="CG2008" s="14"/>
      <c r="CH2008" s="14"/>
      <c r="CI2008" s="50"/>
      <c r="CJ2008" s="54"/>
      <c r="CK2008" s="14"/>
      <c r="CL2008" s="14"/>
      <c r="CM2008" s="14"/>
      <c r="CN2008" s="14"/>
      <c r="CO2008" s="14"/>
      <c r="CP2008" s="14"/>
      <c r="CQ2008" s="14"/>
      <c r="CR2008" s="14"/>
      <c r="CS2008" s="14"/>
      <c r="CT2008" s="14"/>
      <c r="CU2008" s="16"/>
      <c r="CV2008" s="14"/>
      <c r="CW2008" s="50"/>
      <c r="CX2008" s="17"/>
    </row>
    <row r="2009" spans="4:102" x14ac:dyDescent="0.25">
      <c r="D2009" s="11"/>
      <c r="E2009" s="11"/>
      <c r="F2009" s="11"/>
      <c r="G2009" s="11"/>
      <c r="H2009" s="11"/>
      <c r="I2009" s="11"/>
      <c r="J2009" s="11"/>
      <c r="K2009" s="11"/>
      <c r="L2009" s="11"/>
      <c r="M2009" s="11"/>
      <c r="N2009" s="11"/>
      <c r="O2009" s="11"/>
      <c r="P2009" s="43"/>
      <c r="Q2009" s="11"/>
      <c r="R2009" s="11"/>
      <c r="S2009" s="11"/>
      <c r="T2009" s="11"/>
      <c r="U2009" s="11"/>
      <c r="V2009" s="11"/>
      <c r="W2009" s="11"/>
      <c r="X2009" s="12"/>
      <c r="Y2009" s="12"/>
      <c r="Z2009" s="12"/>
      <c r="AA2009" s="44"/>
      <c r="AB2009" s="45"/>
      <c r="AC2009" s="12"/>
      <c r="AD2009" s="12"/>
      <c r="AE2009" s="12"/>
      <c r="AF2009" s="12"/>
      <c r="AG2009" s="44"/>
      <c r="AH2009" s="45"/>
      <c r="AI2009" s="12"/>
      <c r="AJ2009" s="12"/>
      <c r="AK2009" s="12"/>
      <c r="AL2009" s="12"/>
      <c r="AM2009" s="44"/>
      <c r="AN2009" s="45"/>
      <c r="AO2009" s="12"/>
      <c r="AP2009" s="12"/>
      <c r="AQ2009" s="12"/>
      <c r="AR2009" s="12"/>
      <c r="AS2009" s="44"/>
      <c r="AT2009" s="45"/>
      <c r="AU2009" s="12"/>
      <c r="AV2009" s="12"/>
      <c r="AW2009" s="12"/>
      <c r="AX2009" s="12"/>
      <c r="AY2009" s="44"/>
      <c r="AZ2009" s="45"/>
      <c r="BA2009" s="12"/>
      <c r="BB2009" s="12"/>
      <c r="BC2009" s="12"/>
      <c r="BD2009" s="12"/>
      <c r="BE2009" s="44"/>
      <c r="BF2009" s="45"/>
      <c r="BG2009" s="12"/>
      <c r="BH2009" s="12"/>
      <c r="BI2009" s="12"/>
      <c r="BJ2009" s="12"/>
      <c r="BK2009" s="44"/>
      <c r="BL2009" s="45"/>
      <c r="BM2009" s="12"/>
      <c r="BN2009" s="12"/>
      <c r="BO2009" s="12"/>
      <c r="BP2009" s="12"/>
      <c r="BQ2009" s="48"/>
      <c r="BR2009" s="49"/>
      <c r="BS2009" s="13"/>
      <c r="BT2009" s="12"/>
      <c r="BV2009" s="14"/>
      <c r="BW2009" s="50"/>
      <c r="BX2009" s="54"/>
      <c r="BY2009" s="14"/>
      <c r="BZ2009" s="14"/>
      <c r="CA2009" s="14"/>
      <c r="CB2009" s="14"/>
      <c r="CC2009" s="14"/>
      <c r="CD2009" s="14"/>
      <c r="CE2009" s="14"/>
      <c r="CF2009" s="15"/>
      <c r="CG2009" s="14"/>
      <c r="CH2009" s="14"/>
      <c r="CI2009" s="50"/>
      <c r="CJ2009" s="54"/>
      <c r="CK2009" s="14"/>
      <c r="CL2009" s="14"/>
      <c r="CM2009" s="14"/>
      <c r="CN2009" s="14"/>
      <c r="CO2009" s="14"/>
      <c r="CP2009" s="14"/>
      <c r="CQ2009" s="14"/>
      <c r="CR2009" s="14"/>
      <c r="CS2009" s="14"/>
      <c r="CT2009" s="14"/>
      <c r="CU2009" s="16"/>
      <c r="CV2009" s="14"/>
      <c r="CW2009" s="50"/>
      <c r="CX2009" s="17"/>
    </row>
    <row r="2010" spans="4:102" x14ac:dyDescent="0.25">
      <c r="D2010" s="11"/>
      <c r="E2010" s="11"/>
      <c r="F2010" s="11"/>
      <c r="G2010" s="11"/>
      <c r="H2010" s="11"/>
      <c r="I2010" s="11"/>
      <c r="J2010" s="11"/>
      <c r="K2010" s="11"/>
      <c r="L2010" s="11"/>
      <c r="M2010" s="11"/>
      <c r="N2010" s="11"/>
      <c r="O2010" s="11"/>
      <c r="P2010" s="43"/>
      <c r="Q2010" s="11"/>
      <c r="R2010" s="11"/>
      <c r="S2010" s="11"/>
      <c r="T2010" s="11"/>
      <c r="U2010" s="11"/>
      <c r="V2010" s="11"/>
      <c r="W2010" s="11"/>
      <c r="X2010" s="12"/>
      <c r="Y2010" s="12"/>
      <c r="Z2010" s="12"/>
      <c r="AA2010" s="44"/>
      <c r="AB2010" s="45"/>
      <c r="AC2010" s="12"/>
      <c r="AD2010" s="12"/>
      <c r="AE2010" s="12"/>
      <c r="AF2010" s="12"/>
      <c r="AG2010" s="44"/>
      <c r="AH2010" s="45"/>
      <c r="AI2010" s="12"/>
      <c r="AJ2010" s="12"/>
      <c r="AK2010" s="12"/>
      <c r="AL2010" s="12"/>
      <c r="AM2010" s="44"/>
      <c r="AN2010" s="45"/>
      <c r="AO2010" s="12"/>
      <c r="AP2010" s="12"/>
      <c r="AQ2010" s="12"/>
      <c r="AR2010" s="12"/>
      <c r="AS2010" s="44"/>
      <c r="AT2010" s="45"/>
      <c r="AU2010" s="12"/>
      <c r="AV2010" s="12"/>
      <c r="AW2010" s="12"/>
      <c r="AX2010" s="12"/>
      <c r="AY2010" s="44"/>
      <c r="AZ2010" s="45"/>
      <c r="BA2010" s="12"/>
      <c r="BB2010" s="12"/>
      <c r="BC2010" s="12"/>
      <c r="BD2010" s="12"/>
      <c r="BE2010" s="44"/>
      <c r="BF2010" s="45"/>
      <c r="BG2010" s="12"/>
      <c r="BH2010" s="12"/>
      <c r="BI2010" s="12"/>
      <c r="BJ2010" s="12"/>
      <c r="BK2010" s="44"/>
      <c r="BL2010" s="45"/>
      <c r="BM2010" s="12"/>
      <c r="BN2010" s="12"/>
      <c r="BO2010" s="12"/>
      <c r="BP2010" s="12"/>
      <c r="BQ2010" s="48"/>
      <c r="BR2010" s="49"/>
      <c r="BS2010" s="13"/>
      <c r="BT2010" s="12"/>
      <c r="BV2010" s="14"/>
      <c r="BW2010" s="50"/>
      <c r="BX2010" s="54"/>
      <c r="BY2010" s="14"/>
      <c r="BZ2010" s="14"/>
      <c r="CA2010" s="14"/>
      <c r="CB2010" s="14"/>
      <c r="CC2010" s="14"/>
      <c r="CD2010" s="14"/>
      <c r="CE2010" s="14"/>
      <c r="CF2010" s="15"/>
      <c r="CG2010" s="14"/>
      <c r="CH2010" s="14"/>
      <c r="CI2010" s="50"/>
      <c r="CJ2010" s="54"/>
      <c r="CK2010" s="14"/>
      <c r="CL2010" s="14"/>
      <c r="CM2010" s="14"/>
      <c r="CN2010" s="14"/>
      <c r="CO2010" s="14"/>
      <c r="CP2010" s="14"/>
      <c r="CQ2010" s="14"/>
      <c r="CR2010" s="14"/>
      <c r="CS2010" s="14"/>
      <c r="CT2010" s="14"/>
      <c r="CU2010" s="16"/>
      <c r="CV2010" s="14"/>
      <c r="CW2010" s="50"/>
      <c r="CX2010" s="17"/>
    </row>
    <row r="2011" spans="4:102" x14ac:dyDescent="0.25">
      <c r="D2011" s="11"/>
      <c r="E2011" s="11"/>
      <c r="F2011" s="11"/>
      <c r="G2011" s="11"/>
      <c r="H2011" s="11"/>
      <c r="I2011" s="11"/>
      <c r="J2011" s="11"/>
      <c r="K2011" s="11"/>
      <c r="L2011" s="11"/>
      <c r="M2011" s="11"/>
      <c r="N2011" s="11"/>
      <c r="O2011" s="11"/>
      <c r="P2011" s="43"/>
      <c r="Q2011" s="11"/>
      <c r="R2011" s="11"/>
      <c r="S2011" s="11"/>
      <c r="T2011" s="11"/>
      <c r="U2011" s="11"/>
      <c r="V2011" s="11"/>
      <c r="W2011" s="11"/>
      <c r="X2011" s="12"/>
      <c r="Y2011" s="12"/>
      <c r="Z2011" s="12"/>
      <c r="AA2011" s="44"/>
      <c r="AB2011" s="45"/>
      <c r="AC2011" s="12"/>
      <c r="AD2011" s="12"/>
      <c r="AE2011" s="12"/>
      <c r="AF2011" s="12"/>
      <c r="AG2011" s="44"/>
      <c r="AH2011" s="45"/>
      <c r="AI2011" s="12"/>
      <c r="AJ2011" s="12"/>
      <c r="AK2011" s="12"/>
      <c r="AL2011" s="12"/>
      <c r="AM2011" s="44"/>
      <c r="AN2011" s="45"/>
      <c r="AO2011" s="12"/>
      <c r="AP2011" s="12"/>
      <c r="AQ2011" s="12"/>
      <c r="AR2011" s="12"/>
      <c r="AS2011" s="44"/>
      <c r="AT2011" s="45"/>
      <c r="AU2011" s="12"/>
      <c r="AV2011" s="12"/>
      <c r="AW2011" s="12"/>
      <c r="AX2011" s="12"/>
      <c r="AY2011" s="44"/>
      <c r="AZ2011" s="45"/>
      <c r="BA2011" s="12"/>
      <c r="BB2011" s="12"/>
      <c r="BC2011" s="12"/>
      <c r="BD2011" s="12"/>
      <c r="BE2011" s="44"/>
      <c r="BF2011" s="45"/>
      <c r="BG2011" s="12"/>
      <c r="BH2011" s="12"/>
      <c r="BI2011" s="12"/>
      <c r="BJ2011" s="12"/>
      <c r="BK2011" s="44"/>
      <c r="BL2011" s="45"/>
      <c r="BM2011" s="12"/>
      <c r="BN2011" s="12"/>
      <c r="BO2011" s="12"/>
      <c r="BP2011" s="12"/>
      <c r="BQ2011" s="48"/>
      <c r="BR2011" s="49"/>
      <c r="BS2011" s="13"/>
      <c r="BT2011" s="12"/>
      <c r="BV2011" s="14"/>
      <c r="BW2011" s="50"/>
      <c r="BX2011" s="54"/>
      <c r="BY2011" s="14"/>
      <c r="BZ2011" s="14"/>
      <c r="CA2011" s="14"/>
      <c r="CB2011" s="14"/>
      <c r="CC2011" s="14"/>
      <c r="CD2011" s="14"/>
      <c r="CE2011" s="14"/>
      <c r="CF2011" s="15"/>
      <c r="CG2011" s="14"/>
      <c r="CH2011" s="14"/>
      <c r="CI2011" s="50"/>
      <c r="CJ2011" s="54"/>
      <c r="CK2011" s="14"/>
      <c r="CL2011" s="14"/>
      <c r="CM2011" s="14"/>
      <c r="CN2011" s="14"/>
      <c r="CO2011" s="14"/>
      <c r="CP2011" s="14"/>
      <c r="CQ2011" s="14"/>
      <c r="CR2011" s="14"/>
      <c r="CS2011" s="14"/>
      <c r="CT2011" s="14"/>
      <c r="CU2011" s="16"/>
      <c r="CV2011" s="14"/>
      <c r="CW2011" s="50"/>
      <c r="CX2011" s="17"/>
    </row>
    <row r="2012" spans="4:102" x14ac:dyDescent="0.25">
      <c r="D2012" s="11"/>
      <c r="E2012" s="11"/>
      <c r="F2012" s="11"/>
      <c r="G2012" s="11"/>
      <c r="H2012" s="11"/>
      <c r="I2012" s="11"/>
      <c r="J2012" s="11"/>
      <c r="K2012" s="11"/>
      <c r="L2012" s="11"/>
      <c r="M2012" s="11"/>
      <c r="N2012" s="11"/>
      <c r="O2012" s="11"/>
      <c r="P2012" s="43"/>
      <c r="Q2012" s="11"/>
      <c r="R2012" s="11"/>
      <c r="S2012" s="11"/>
      <c r="T2012" s="11"/>
      <c r="U2012" s="11"/>
      <c r="V2012" s="11"/>
      <c r="W2012" s="11"/>
      <c r="X2012" s="12"/>
      <c r="Y2012" s="12"/>
      <c r="Z2012" s="12"/>
      <c r="AA2012" s="44"/>
      <c r="AB2012" s="45"/>
      <c r="AC2012" s="12"/>
      <c r="AD2012" s="12"/>
      <c r="AE2012" s="12"/>
      <c r="AF2012" s="12"/>
      <c r="AG2012" s="44"/>
      <c r="AH2012" s="45"/>
      <c r="AI2012" s="12"/>
      <c r="AJ2012" s="12"/>
      <c r="AK2012" s="12"/>
      <c r="AL2012" s="12"/>
      <c r="AM2012" s="44"/>
      <c r="AN2012" s="45"/>
      <c r="AO2012" s="12"/>
      <c r="AP2012" s="12"/>
      <c r="AQ2012" s="12"/>
      <c r="AR2012" s="12"/>
      <c r="AS2012" s="44"/>
      <c r="AT2012" s="45"/>
      <c r="AU2012" s="12"/>
      <c r="AV2012" s="12"/>
      <c r="AW2012" s="12"/>
      <c r="AX2012" s="12"/>
      <c r="AY2012" s="44"/>
      <c r="AZ2012" s="45"/>
      <c r="BA2012" s="12"/>
      <c r="BB2012" s="12"/>
      <c r="BC2012" s="12"/>
      <c r="BD2012" s="12"/>
      <c r="BE2012" s="44"/>
      <c r="BF2012" s="45"/>
      <c r="BG2012" s="12"/>
      <c r="BH2012" s="12"/>
      <c r="BI2012" s="12"/>
      <c r="BJ2012" s="12"/>
      <c r="BK2012" s="44"/>
      <c r="BL2012" s="45"/>
      <c r="BM2012" s="12"/>
      <c r="BN2012" s="12"/>
      <c r="BO2012" s="12"/>
      <c r="BP2012" s="12"/>
      <c r="BQ2012" s="48"/>
      <c r="BR2012" s="49"/>
      <c r="BS2012" s="13"/>
      <c r="BT2012" s="12"/>
      <c r="BV2012" s="14"/>
      <c r="BW2012" s="50"/>
      <c r="BX2012" s="54"/>
      <c r="BY2012" s="14"/>
      <c r="BZ2012" s="14"/>
      <c r="CA2012" s="14"/>
      <c r="CB2012" s="14"/>
      <c r="CC2012" s="14"/>
      <c r="CD2012" s="14"/>
      <c r="CE2012" s="14"/>
      <c r="CF2012" s="15"/>
      <c r="CG2012" s="14"/>
      <c r="CH2012" s="14"/>
      <c r="CI2012" s="50"/>
      <c r="CJ2012" s="54"/>
      <c r="CK2012" s="14"/>
      <c r="CL2012" s="14"/>
      <c r="CM2012" s="14"/>
      <c r="CN2012" s="14"/>
      <c r="CO2012" s="14"/>
      <c r="CP2012" s="14"/>
      <c r="CQ2012" s="14"/>
      <c r="CR2012" s="14"/>
      <c r="CS2012" s="14"/>
      <c r="CT2012" s="14"/>
      <c r="CU2012" s="16"/>
      <c r="CV2012" s="14"/>
      <c r="CW2012" s="50"/>
      <c r="CX2012" s="17"/>
    </row>
    <row r="2013" spans="4:102" x14ac:dyDescent="0.25">
      <c r="D2013" s="11"/>
      <c r="E2013" s="11"/>
      <c r="F2013" s="11"/>
      <c r="G2013" s="11"/>
      <c r="H2013" s="11"/>
      <c r="I2013" s="11"/>
      <c r="J2013" s="11"/>
      <c r="K2013" s="11"/>
      <c r="L2013" s="11"/>
      <c r="M2013" s="11"/>
      <c r="N2013" s="11"/>
      <c r="O2013" s="11"/>
      <c r="P2013" s="43"/>
      <c r="Q2013" s="11"/>
      <c r="R2013" s="11"/>
      <c r="S2013" s="11"/>
      <c r="T2013" s="11"/>
      <c r="U2013" s="11"/>
      <c r="V2013" s="11"/>
      <c r="W2013" s="11"/>
      <c r="X2013" s="12"/>
      <c r="Y2013" s="12"/>
      <c r="Z2013" s="12"/>
      <c r="AA2013" s="44"/>
      <c r="AB2013" s="45"/>
      <c r="AC2013" s="12"/>
      <c r="AD2013" s="12"/>
      <c r="AE2013" s="12"/>
      <c r="AF2013" s="12"/>
      <c r="AG2013" s="44"/>
      <c r="AH2013" s="45"/>
      <c r="AI2013" s="12"/>
      <c r="AJ2013" s="12"/>
      <c r="AK2013" s="12"/>
      <c r="AL2013" s="12"/>
      <c r="AM2013" s="44"/>
      <c r="AN2013" s="45"/>
      <c r="AO2013" s="12"/>
      <c r="AP2013" s="12"/>
      <c r="AQ2013" s="12"/>
      <c r="AR2013" s="12"/>
      <c r="AS2013" s="44"/>
      <c r="AT2013" s="45"/>
      <c r="AU2013" s="12"/>
      <c r="AV2013" s="12"/>
      <c r="AW2013" s="12"/>
      <c r="AX2013" s="12"/>
      <c r="AY2013" s="44"/>
      <c r="AZ2013" s="45"/>
      <c r="BA2013" s="12"/>
      <c r="BB2013" s="12"/>
      <c r="BC2013" s="12"/>
      <c r="BD2013" s="12"/>
      <c r="BE2013" s="44"/>
      <c r="BF2013" s="45"/>
      <c r="BG2013" s="12"/>
      <c r="BH2013" s="12"/>
      <c r="BI2013" s="12"/>
      <c r="BJ2013" s="12"/>
      <c r="BK2013" s="44"/>
      <c r="BL2013" s="45"/>
      <c r="BM2013" s="12"/>
      <c r="BN2013" s="12"/>
      <c r="BO2013" s="12"/>
      <c r="BP2013" s="12"/>
      <c r="BQ2013" s="48"/>
      <c r="BR2013" s="49"/>
      <c r="BS2013" s="13"/>
      <c r="BT2013" s="12"/>
      <c r="BV2013" s="14"/>
      <c r="BW2013" s="50"/>
      <c r="BX2013" s="54"/>
      <c r="BY2013" s="14"/>
      <c r="BZ2013" s="14"/>
      <c r="CA2013" s="14"/>
      <c r="CB2013" s="14"/>
      <c r="CC2013" s="14"/>
      <c r="CD2013" s="14"/>
      <c r="CE2013" s="14"/>
      <c r="CF2013" s="15"/>
      <c r="CG2013" s="14"/>
      <c r="CH2013" s="14"/>
      <c r="CI2013" s="50"/>
      <c r="CJ2013" s="54"/>
      <c r="CK2013" s="14"/>
      <c r="CL2013" s="14"/>
      <c r="CM2013" s="14"/>
      <c r="CN2013" s="14"/>
      <c r="CO2013" s="14"/>
      <c r="CP2013" s="14"/>
      <c r="CQ2013" s="14"/>
      <c r="CR2013" s="14"/>
      <c r="CS2013" s="14"/>
      <c r="CT2013" s="14"/>
      <c r="CU2013" s="16"/>
      <c r="CV2013" s="14"/>
      <c r="CW2013" s="50"/>
      <c r="CX2013" s="17"/>
    </row>
    <row r="2014" spans="4:102" x14ac:dyDescent="0.25">
      <c r="D2014" s="11"/>
      <c r="E2014" s="11"/>
      <c r="F2014" s="11"/>
      <c r="G2014" s="11"/>
      <c r="H2014" s="11"/>
      <c r="I2014" s="11"/>
      <c r="J2014" s="11"/>
      <c r="K2014" s="11"/>
      <c r="L2014" s="11"/>
      <c r="M2014" s="11"/>
      <c r="N2014" s="11"/>
      <c r="O2014" s="11"/>
      <c r="P2014" s="43"/>
      <c r="Q2014" s="11"/>
      <c r="R2014" s="11"/>
      <c r="S2014" s="11"/>
      <c r="T2014" s="11"/>
      <c r="U2014" s="11"/>
      <c r="V2014" s="11"/>
      <c r="W2014" s="11"/>
      <c r="X2014" s="12"/>
      <c r="Y2014" s="12"/>
      <c r="Z2014" s="12"/>
      <c r="AA2014" s="44"/>
      <c r="AB2014" s="45"/>
      <c r="AC2014" s="12"/>
      <c r="AD2014" s="12"/>
      <c r="AE2014" s="12"/>
      <c r="AF2014" s="12"/>
      <c r="AG2014" s="44"/>
      <c r="AH2014" s="45"/>
      <c r="AI2014" s="12"/>
      <c r="AJ2014" s="12"/>
      <c r="AK2014" s="12"/>
      <c r="AL2014" s="12"/>
      <c r="AM2014" s="44"/>
      <c r="AN2014" s="45"/>
      <c r="AO2014" s="12"/>
      <c r="AP2014" s="12"/>
      <c r="AQ2014" s="12"/>
      <c r="AR2014" s="12"/>
      <c r="AS2014" s="44"/>
      <c r="AT2014" s="45"/>
      <c r="AU2014" s="12"/>
      <c r="AV2014" s="12"/>
      <c r="AW2014" s="12"/>
      <c r="AX2014" s="12"/>
      <c r="AY2014" s="44"/>
      <c r="AZ2014" s="45"/>
      <c r="BA2014" s="12"/>
      <c r="BB2014" s="12"/>
      <c r="BC2014" s="12"/>
      <c r="BD2014" s="12"/>
      <c r="BE2014" s="44"/>
      <c r="BF2014" s="45"/>
      <c r="BG2014" s="12"/>
      <c r="BH2014" s="12"/>
      <c r="BI2014" s="12"/>
      <c r="BJ2014" s="12"/>
      <c r="BK2014" s="44"/>
      <c r="BL2014" s="45"/>
      <c r="BM2014" s="12"/>
      <c r="BN2014" s="12"/>
      <c r="BO2014" s="12"/>
      <c r="BP2014" s="12"/>
      <c r="BQ2014" s="48"/>
      <c r="BR2014" s="49"/>
      <c r="BS2014" s="13"/>
      <c r="BT2014" s="12"/>
      <c r="BV2014" s="14"/>
      <c r="BW2014" s="50"/>
      <c r="BX2014" s="54"/>
      <c r="BY2014" s="14"/>
      <c r="BZ2014" s="14"/>
      <c r="CA2014" s="14"/>
      <c r="CB2014" s="14"/>
      <c r="CC2014" s="14"/>
      <c r="CD2014" s="14"/>
      <c r="CE2014" s="14"/>
      <c r="CF2014" s="15"/>
      <c r="CG2014" s="14"/>
      <c r="CH2014" s="14"/>
      <c r="CI2014" s="50"/>
      <c r="CJ2014" s="54"/>
      <c r="CK2014" s="14"/>
      <c r="CL2014" s="14"/>
      <c r="CM2014" s="14"/>
      <c r="CN2014" s="14"/>
      <c r="CO2014" s="14"/>
      <c r="CP2014" s="14"/>
      <c r="CQ2014" s="14"/>
      <c r="CR2014" s="14"/>
      <c r="CS2014" s="14"/>
      <c r="CT2014" s="14"/>
      <c r="CU2014" s="16"/>
      <c r="CV2014" s="14"/>
      <c r="CW2014" s="50"/>
      <c r="CX2014" s="17"/>
    </row>
    <row r="2015" spans="4:102" x14ac:dyDescent="0.25">
      <c r="D2015" s="11"/>
      <c r="E2015" s="11"/>
      <c r="F2015" s="11"/>
      <c r="G2015" s="11"/>
      <c r="H2015" s="11"/>
      <c r="I2015" s="11"/>
      <c r="J2015" s="11"/>
      <c r="K2015" s="11"/>
      <c r="L2015" s="11"/>
      <c r="M2015" s="11"/>
      <c r="N2015" s="11"/>
      <c r="O2015" s="11"/>
      <c r="P2015" s="43"/>
      <c r="Q2015" s="11"/>
      <c r="R2015" s="11"/>
      <c r="S2015" s="11"/>
      <c r="T2015" s="11"/>
      <c r="U2015" s="11"/>
      <c r="V2015" s="11"/>
      <c r="W2015" s="11"/>
      <c r="X2015" s="12"/>
      <c r="Y2015" s="12"/>
      <c r="Z2015" s="12"/>
      <c r="AA2015" s="44"/>
      <c r="AB2015" s="45"/>
      <c r="AC2015" s="12"/>
      <c r="AD2015" s="12"/>
      <c r="AE2015" s="12"/>
      <c r="AF2015" s="12"/>
      <c r="AG2015" s="44"/>
      <c r="AH2015" s="45"/>
      <c r="AI2015" s="12"/>
      <c r="AJ2015" s="12"/>
      <c r="AK2015" s="12"/>
      <c r="AL2015" s="12"/>
      <c r="AM2015" s="44"/>
      <c r="AN2015" s="45"/>
      <c r="AO2015" s="12"/>
      <c r="AP2015" s="12"/>
      <c r="AQ2015" s="12"/>
      <c r="AR2015" s="12"/>
      <c r="AS2015" s="44"/>
      <c r="AT2015" s="45"/>
      <c r="AU2015" s="12"/>
      <c r="AV2015" s="12"/>
      <c r="AW2015" s="12"/>
      <c r="AX2015" s="12"/>
      <c r="AY2015" s="44"/>
      <c r="AZ2015" s="45"/>
      <c r="BA2015" s="12"/>
      <c r="BB2015" s="12"/>
      <c r="BC2015" s="12"/>
      <c r="BD2015" s="12"/>
      <c r="BE2015" s="44"/>
      <c r="BF2015" s="45"/>
      <c r="BG2015" s="12"/>
      <c r="BH2015" s="12"/>
      <c r="BI2015" s="12"/>
      <c r="BJ2015" s="12"/>
      <c r="BK2015" s="44"/>
      <c r="BL2015" s="45"/>
      <c r="BM2015" s="12"/>
      <c r="BN2015" s="12"/>
      <c r="BO2015" s="12"/>
      <c r="BP2015" s="12"/>
      <c r="BQ2015" s="48"/>
      <c r="BR2015" s="49"/>
      <c r="BS2015" s="13"/>
      <c r="BT2015" s="12"/>
      <c r="BV2015" s="14"/>
      <c r="BW2015" s="50"/>
      <c r="BX2015" s="54"/>
      <c r="BY2015" s="14"/>
      <c r="BZ2015" s="14"/>
      <c r="CA2015" s="14"/>
      <c r="CB2015" s="14"/>
      <c r="CC2015" s="14"/>
      <c r="CD2015" s="14"/>
      <c r="CE2015" s="14"/>
      <c r="CF2015" s="15"/>
      <c r="CG2015" s="14"/>
      <c r="CH2015" s="14"/>
      <c r="CI2015" s="50"/>
      <c r="CJ2015" s="54"/>
      <c r="CK2015" s="14"/>
      <c r="CL2015" s="14"/>
      <c r="CM2015" s="14"/>
      <c r="CN2015" s="14"/>
      <c r="CO2015" s="14"/>
      <c r="CP2015" s="14"/>
      <c r="CQ2015" s="14"/>
      <c r="CR2015" s="14"/>
      <c r="CS2015" s="14"/>
      <c r="CT2015" s="14"/>
      <c r="CU2015" s="16"/>
      <c r="CV2015" s="14"/>
      <c r="CW2015" s="50"/>
      <c r="CX2015" s="17"/>
    </row>
    <row r="2016" spans="4:102" x14ac:dyDescent="0.25">
      <c r="D2016" s="11"/>
      <c r="E2016" s="11"/>
      <c r="F2016" s="11"/>
      <c r="G2016" s="11"/>
      <c r="H2016" s="11"/>
      <c r="I2016" s="11"/>
      <c r="J2016" s="11"/>
      <c r="K2016" s="11"/>
      <c r="L2016" s="11"/>
      <c r="M2016" s="11"/>
      <c r="N2016" s="11"/>
      <c r="O2016" s="11"/>
      <c r="P2016" s="43"/>
      <c r="Q2016" s="11"/>
      <c r="R2016" s="11"/>
      <c r="S2016" s="11"/>
      <c r="T2016" s="11"/>
      <c r="U2016" s="11"/>
      <c r="V2016" s="11"/>
      <c r="W2016" s="11"/>
      <c r="X2016" s="12"/>
      <c r="Y2016" s="12"/>
      <c r="Z2016" s="12"/>
      <c r="AA2016" s="44"/>
      <c r="AB2016" s="45"/>
      <c r="AC2016" s="12"/>
      <c r="AD2016" s="12"/>
      <c r="AE2016" s="12"/>
      <c r="AF2016" s="12"/>
      <c r="AG2016" s="44"/>
      <c r="AH2016" s="45"/>
      <c r="AI2016" s="12"/>
      <c r="AJ2016" s="12"/>
      <c r="AK2016" s="12"/>
      <c r="AL2016" s="12"/>
      <c r="AM2016" s="44"/>
      <c r="AN2016" s="45"/>
      <c r="AO2016" s="12"/>
      <c r="AP2016" s="12"/>
      <c r="AQ2016" s="12"/>
      <c r="AR2016" s="12"/>
      <c r="AS2016" s="44"/>
      <c r="AT2016" s="45"/>
      <c r="AU2016" s="12"/>
      <c r="AV2016" s="12"/>
      <c r="AW2016" s="12"/>
      <c r="AX2016" s="12"/>
      <c r="AY2016" s="44"/>
      <c r="AZ2016" s="45"/>
      <c r="BA2016" s="12"/>
      <c r="BB2016" s="12"/>
      <c r="BC2016" s="12"/>
      <c r="BD2016" s="12"/>
      <c r="BE2016" s="44"/>
      <c r="BF2016" s="45"/>
      <c r="BG2016" s="12"/>
      <c r="BH2016" s="12"/>
      <c r="BI2016" s="12"/>
      <c r="BJ2016" s="12"/>
      <c r="BK2016" s="44"/>
      <c r="BL2016" s="45"/>
      <c r="BM2016" s="12"/>
      <c r="BN2016" s="12"/>
      <c r="BO2016" s="12"/>
      <c r="BP2016" s="12"/>
      <c r="BQ2016" s="48"/>
      <c r="BR2016" s="49"/>
      <c r="BS2016" s="13"/>
      <c r="BT2016" s="12"/>
      <c r="BV2016" s="14"/>
      <c r="BW2016" s="50"/>
      <c r="BX2016" s="54"/>
      <c r="BY2016" s="14"/>
      <c r="BZ2016" s="14"/>
      <c r="CA2016" s="14"/>
      <c r="CB2016" s="14"/>
      <c r="CC2016" s="14"/>
      <c r="CD2016" s="14"/>
      <c r="CE2016" s="14"/>
      <c r="CF2016" s="15"/>
      <c r="CG2016" s="14"/>
      <c r="CH2016" s="14"/>
      <c r="CI2016" s="50"/>
      <c r="CJ2016" s="54"/>
      <c r="CK2016" s="14"/>
      <c r="CL2016" s="14"/>
      <c r="CM2016" s="14"/>
      <c r="CN2016" s="14"/>
      <c r="CO2016" s="14"/>
      <c r="CP2016" s="14"/>
      <c r="CQ2016" s="14"/>
      <c r="CR2016" s="14"/>
      <c r="CS2016" s="14"/>
      <c r="CT2016" s="14"/>
      <c r="CU2016" s="16"/>
      <c r="CV2016" s="14"/>
      <c r="CW2016" s="50"/>
      <c r="CX2016" s="17"/>
    </row>
    <row r="2017" spans="4:102" x14ac:dyDescent="0.25">
      <c r="D2017" s="11"/>
      <c r="E2017" s="11"/>
      <c r="F2017" s="11"/>
      <c r="G2017" s="11"/>
      <c r="H2017" s="11"/>
      <c r="I2017" s="11"/>
      <c r="J2017" s="11"/>
      <c r="K2017" s="11"/>
      <c r="L2017" s="11"/>
      <c r="M2017" s="11"/>
      <c r="N2017" s="11"/>
      <c r="O2017" s="11"/>
      <c r="P2017" s="43"/>
      <c r="Q2017" s="11"/>
      <c r="R2017" s="11"/>
      <c r="S2017" s="11"/>
      <c r="T2017" s="11"/>
      <c r="U2017" s="11"/>
      <c r="V2017" s="11"/>
      <c r="W2017" s="11"/>
      <c r="X2017" s="12"/>
      <c r="Y2017" s="12"/>
      <c r="Z2017" s="12"/>
      <c r="AA2017" s="44"/>
      <c r="AB2017" s="45"/>
      <c r="AC2017" s="12"/>
      <c r="AD2017" s="12"/>
      <c r="AE2017" s="12"/>
      <c r="AF2017" s="12"/>
      <c r="AG2017" s="44"/>
      <c r="AH2017" s="45"/>
      <c r="AI2017" s="12"/>
      <c r="AJ2017" s="12"/>
      <c r="AK2017" s="12"/>
      <c r="AL2017" s="12"/>
      <c r="AM2017" s="44"/>
      <c r="AN2017" s="45"/>
      <c r="AO2017" s="12"/>
      <c r="AP2017" s="12"/>
      <c r="AQ2017" s="12"/>
      <c r="AR2017" s="12"/>
      <c r="AS2017" s="44"/>
      <c r="AT2017" s="45"/>
      <c r="AU2017" s="12"/>
      <c r="AV2017" s="12"/>
      <c r="AW2017" s="12"/>
      <c r="AX2017" s="12"/>
      <c r="AY2017" s="44"/>
      <c r="AZ2017" s="45"/>
      <c r="BA2017" s="12"/>
      <c r="BB2017" s="12"/>
      <c r="BC2017" s="12"/>
      <c r="BD2017" s="12"/>
      <c r="BE2017" s="44"/>
      <c r="BF2017" s="45"/>
      <c r="BG2017" s="12"/>
      <c r="BH2017" s="12"/>
      <c r="BI2017" s="12"/>
      <c r="BJ2017" s="12"/>
      <c r="BK2017" s="44"/>
      <c r="BL2017" s="45"/>
      <c r="BM2017" s="12"/>
      <c r="BN2017" s="12"/>
      <c r="BO2017" s="12"/>
      <c r="BP2017" s="12"/>
      <c r="BQ2017" s="48"/>
      <c r="BR2017" s="49"/>
      <c r="BS2017" s="13"/>
      <c r="BT2017" s="12"/>
      <c r="BV2017" s="14"/>
      <c r="BW2017" s="50"/>
      <c r="BX2017" s="54"/>
      <c r="BY2017" s="14"/>
      <c r="BZ2017" s="14"/>
      <c r="CA2017" s="14"/>
      <c r="CB2017" s="14"/>
      <c r="CC2017" s="14"/>
      <c r="CD2017" s="14"/>
      <c r="CE2017" s="14"/>
      <c r="CF2017" s="15"/>
      <c r="CG2017" s="14"/>
      <c r="CH2017" s="14"/>
      <c r="CI2017" s="50"/>
      <c r="CJ2017" s="54"/>
      <c r="CK2017" s="14"/>
      <c r="CL2017" s="14"/>
      <c r="CM2017" s="14"/>
      <c r="CN2017" s="14"/>
      <c r="CO2017" s="14"/>
      <c r="CP2017" s="14"/>
      <c r="CQ2017" s="14"/>
      <c r="CR2017" s="14"/>
      <c r="CS2017" s="14"/>
      <c r="CT2017" s="14"/>
      <c r="CU2017" s="16"/>
      <c r="CV2017" s="14"/>
      <c r="CW2017" s="50"/>
      <c r="CX2017" s="17"/>
    </row>
    <row r="2018" spans="4:102" x14ac:dyDescent="0.25">
      <c r="D2018" s="11"/>
      <c r="E2018" s="11"/>
      <c r="F2018" s="11"/>
      <c r="G2018" s="11"/>
      <c r="H2018" s="11"/>
      <c r="I2018" s="11"/>
      <c r="J2018" s="11"/>
      <c r="K2018" s="11"/>
      <c r="L2018" s="11"/>
      <c r="M2018" s="11"/>
      <c r="N2018" s="11"/>
      <c r="O2018" s="11"/>
      <c r="P2018" s="43"/>
      <c r="Q2018" s="11"/>
      <c r="R2018" s="11"/>
      <c r="S2018" s="11"/>
      <c r="T2018" s="11"/>
      <c r="U2018" s="11"/>
      <c r="V2018" s="11"/>
      <c r="W2018" s="11"/>
      <c r="X2018" s="12"/>
      <c r="Y2018" s="12"/>
      <c r="Z2018" s="12"/>
      <c r="AA2018" s="44"/>
      <c r="AB2018" s="45"/>
      <c r="AC2018" s="12"/>
      <c r="AD2018" s="12"/>
      <c r="AE2018" s="12"/>
      <c r="AF2018" s="12"/>
      <c r="AG2018" s="44"/>
      <c r="AH2018" s="45"/>
      <c r="AI2018" s="12"/>
      <c r="AJ2018" s="12"/>
      <c r="AK2018" s="12"/>
      <c r="AL2018" s="12"/>
      <c r="AM2018" s="44"/>
      <c r="AN2018" s="45"/>
      <c r="AO2018" s="12"/>
      <c r="AP2018" s="12"/>
      <c r="AQ2018" s="12"/>
      <c r="AR2018" s="12"/>
      <c r="AS2018" s="44"/>
      <c r="AT2018" s="45"/>
      <c r="AU2018" s="12"/>
      <c r="AV2018" s="12"/>
      <c r="AW2018" s="12"/>
      <c r="AX2018" s="12"/>
      <c r="AY2018" s="44"/>
      <c r="AZ2018" s="45"/>
      <c r="BA2018" s="12"/>
      <c r="BB2018" s="12"/>
      <c r="BC2018" s="12"/>
      <c r="BD2018" s="12"/>
      <c r="BE2018" s="44"/>
      <c r="BF2018" s="45"/>
      <c r="BG2018" s="12"/>
      <c r="BH2018" s="12"/>
      <c r="BI2018" s="12"/>
      <c r="BJ2018" s="12"/>
      <c r="BK2018" s="44"/>
      <c r="BL2018" s="45"/>
      <c r="BM2018" s="12"/>
      <c r="BN2018" s="12"/>
      <c r="BO2018" s="12"/>
      <c r="BP2018" s="12"/>
      <c r="BQ2018" s="48"/>
      <c r="BR2018" s="49"/>
      <c r="BS2018" s="13"/>
      <c r="BT2018" s="12"/>
      <c r="BV2018" s="14"/>
      <c r="BW2018" s="50"/>
      <c r="BX2018" s="54"/>
      <c r="BY2018" s="14"/>
      <c r="BZ2018" s="14"/>
      <c r="CA2018" s="14"/>
      <c r="CB2018" s="14"/>
      <c r="CC2018" s="14"/>
      <c r="CD2018" s="14"/>
      <c r="CE2018" s="14"/>
      <c r="CF2018" s="15"/>
      <c r="CG2018" s="14"/>
      <c r="CH2018" s="14"/>
      <c r="CI2018" s="50"/>
      <c r="CJ2018" s="54"/>
      <c r="CK2018" s="14"/>
      <c r="CL2018" s="14"/>
      <c r="CM2018" s="14"/>
      <c r="CN2018" s="14"/>
      <c r="CO2018" s="14"/>
      <c r="CP2018" s="14"/>
      <c r="CQ2018" s="14"/>
      <c r="CR2018" s="14"/>
      <c r="CS2018" s="14"/>
      <c r="CT2018" s="14"/>
      <c r="CU2018" s="16"/>
      <c r="CV2018" s="14"/>
      <c r="CW2018" s="50"/>
      <c r="CX2018" s="17"/>
    </row>
    <row r="2019" spans="4:102" x14ac:dyDescent="0.25">
      <c r="D2019" s="11"/>
      <c r="E2019" s="11"/>
      <c r="F2019" s="11"/>
      <c r="G2019" s="11"/>
      <c r="H2019" s="11"/>
      <c r="I2019" s="11"/>
      <c r="J2019" s="11"/>
      <c r="K2019" s="11"/>
      <c r="L2019" s="11"/>
      <c r="M2019" s="11"/>
      <c r="N2019" s="11"/>
      <c r="O2019" s="11"/>
      <c r="P2019" s="43"/>
      <c r="Q2019" s="11"/>
      <c r="R2019" s="11"/>
      <c r="S2019" s="11"/>
      <c r="T2019" s="11"/>
      <c r="U2019" s="11"/>
      <c r="V2019" s="11"/>
      <c r="W2019" s="11"/>
      <c r="X2019" s="12"/>
      <c r="Y2019" s="12"/>
      <c r="Z2019" s="12"/>
      <c r="AA2019" s="44"/>
      <c r="AB2019" s="45"/>
      <c r="AC2019" s="12"/>
      <c r="AD2019" s="12"/>
      <c r="AE2019" s="12"/>
      <c r="AF2019" s="12"/>
      <c r="AG2019" s="44"/>
      <c r="AH2019" s="45"/>
      <c r="AI2019" s="12"/>
      <c r="AJ2019" s="12"/>
      <c r="AK2019" s="12"/>
      <c r="AL2019" s="12"/>
      <c r="AM2019" s="44"/>
      <c r="AN2019" s="45"/>
      <c r="AO2019" s="12"/>
      <c r="AP2019" s="12"/>
      <c r="AQ2019" s="12"/>
      <c r="AR2019" s="12"/>
      <c r="AS2019" s="44"/>
      <c r="AT2019" s="45"/>
      <c r="AU2019" s="12"/>
      <c r="AV2019" s="12"/>
      <c r="AW2019" s="12"/>
      <c r="AX2019" s="12"/>
      <c r="AY2019" s="44"/>
      <c r="AZ2019" s="45"/>
      <c r="BA2019" s="12"/>
      <c r="BB2019" s="12"/>
      <c r="BC2019" s="12"/>
      <c r="BD2019" s="12"/>
      <c r="BE2019" s="44"/>
      <c r="BF2019" s="45"/>
      <c r="BG2019" s="12"/>
      <c r="BH2019" s="12"/>
      <c r="BI2019" s="12"/>
      <c r="BJ2019" s="12"/>
      <c r="BK2019" s="44"/>
      <c r="BL2019" s="45"/>
      <c r="BM2019" s="12"/>
      <c r="BN2019" s="12"/>
      <c r="BO2019" s="12"/>
      <c r="BP2019" s="12"/>
      <c r="BQ2019" s="48"/>
      <c r="BR2019" s="49"/>
      <c r="BS2019" s="13"/>
      <c r="BT2019" s="12"/>
      <c r="BV2019" s="14"/>
      <c r="BW2019" s="50"/>
      <c r="BX2019" s="54"/>
      <c r="BY2019" s="14"/>
      <c r="BZ2019" s="14"/>
      <c r="CA2019" s="14"/>
      <c r="CB2019" s="14"/>
      <c r="CC2019" s="14"/>
      <c r="CD2019" s="14"/>
      <c r="CE2019" s="14"/>
      <c r="CF2019" s="15"/>
      <c r="CG2019" s="14"/>
      <c r="CH2019" s="14"/>
      <c r="CI2019" s="50"/>
      <c r="CJ2019" s="54"/>
      <c r="CK2019" s="14"/>
      <c r="CL2019" s="14"/>
      <c r="CM2019" s="14"/>
      <c r="CN2019" s="14"/>
      <c r="CO2019" s="14"/>
      <c r="CP2019" s="14"/>
      <c r="CQ2019" s="14"/>
      <c r="CR2019" s="14"/>
      <c r="CS2019" s="14"/>
      <c r="CT2019" s="14"/>
      <c r="CU2019" s="16"/>
      <c r="CV2019" s="14"/>
      <c r="CW2019" s="50"/>
      <c r="CX2019" s="17"/>
    </row>
    <row r="2020" spans="4:102" x14ac:dyDescent="0.25">
      <c r="D2020" s="11"/>
      <c r="E2020" s="11"/>
      <c r="F2020" s="11"/>
      <c r="G2020" s="11"/>
      <c r="H2020" s="11"/>
      <c r="I2020" s="11"/>
      <c r="J2020" s="11"/>
      <c r="K2020" s="11"/>
      <c r="L2020" s="11"/>
      <c r="M2020" s="11"/>
      <c r="N2020" s="11"/>
      <c r="O2020" s="11"/>
      <c r="P2020" s="43"/>
      <c r="Q2020" s="11"/>
      <c r="R2020" s="11"/>
      <c r="S2020" s="11"/>
      <c r="T2020" s="11"/>
      <c r="U2020" s="11"/>
      <c r="V2020" s="11"/>
      <c r="W2020" s="11"/>
      <c r="X2020" s="12"/>
      <c r="Y2020" s="12"/>
      <c r="Z2020" s="12"/>
      <c r="AA2020" s="44"/>
      <c r="AB2020" s="45"/>
      <c r="AC2020" s="12"/>
      <c r="AD2020" s="12"/>
      <c r="AE2020" s="12"/>
      <c r="AF2020" s="12"/>
      <c r="AG2020" s="44"/>
      <c r="AH2020" s="45"/>
      <c r="AI2020" s="12"/>
      <c r="AJ2020" s="12"/>
      <c r="AK2020" s="12"/>
      <c r="AL2020" s="12"/>
      <c r="AM2020" s="44"/>
      <c r="AN2020" s="45"/>
      <c r="AO2020" s="12"/>
      <c r="AP2020" s="12"/>
      <c r="AQ2020" s="12"/>
      <c r="AR2020" s="12"/>
      <c r="AS2020" s="44"/>
      <c r="AT2020" s="45"/>
      <c r="AU2020" s="12"/>
      <c r="AV2020" s="12"/>
      <c r="AW2020" s="12"/>
      <c r="AX2020" s="12"/>
      <c r="AY2020" s="44"/>
      <c r="AZ2020" s="45"/>
      <c r="BA2020" s="12"/>
      <c r="BB2020" s="12"/>
      <c r="BC2020" s="12"/>
      <c r="BD2020" s="12"/>
      <c r="BE2020" s="44"/>
      <c r="BF2020" s="45"/>
      <c r="BG2020" s="12"/>
      <c r="BH2020" s="12"/>
      <c r="BI2020" s="12"/>
      <c r="BJ2020" s="12"/>
      <c r="BK2020" s="44"/>
      <c r="BL2020" s="45"/>
      <c r="BM2020" s="12"/>
      <c r="BN2020" s="12"/>
      <c r="BO2020" s="12"/>
      <c r="BP2020" s="12"/>
      <c r="BQ2020" s="48"/>
      <c r="BR2020" s="49"/>
      <c r="BS2020" s="13"/>
      <c r="BT2020" s="12"/>
      <c r="BV2020" s="14"/>
      <c r="BW2020" s="50"/>
      <c r="BX2020" s="54"/>
      <c r="BY2020" s="14"/>
      <c r="BZ2020" s="14"/>
      <c r="CA2020" s="14"/>
      <c r="CB2020" s="14"/>
      <c r="CC2020" s="14"/>
      <c r="CD2020" s="14"/>
      <c r="CE2020" s="14"/>
      <c r="CF2020" s="15"/>
      <c r="CG2020" s="14"/>
      <c r="CH2020" s="14"/>
      <c r="CI2020" s="50"/>
      <c r="CJ2020" s="54"/>
      <c r="CK2020" s="14"/>
      <c r="CL2020" s="14"/>
      <c r="CM2020" s="14"/>
      <c r="CN2020" s="14"/>
      <c r="CO2020" s="14"/>
      <c r="CP2020" s="14"/>
      <c r="CQ2020" s="14"/>
      <c r="CR2020" s="14"/>
      <c r="CS2020" s="14"/>
      <c r="CT2020" s="14"/>
      <c r="CU2020" s="16"/>
      <c r="CV2020" s="14"/>
      <c r="CW2020" s="50"/>
      <c r="CX2020" s="17"/>
    </row>
    <row r="2021" spans="4:102" x14ac:dyDescent="0.25">
      <c r="D2021" s="11"/>
      <c r="E2021" s="11"/>
      <c r="F2021" s="11"/>
      <c r="G2021" s="11"/>
      <c r="H2021" s="11"/>
      <c r="I2021" s="11"/>
      <c r="J2021" s="11"/>
      <c r="K2021" s="11"/>
      <c r="L2021" s="11"/>
      <c r="M2021" s="11"/>
      <c r="N2021" s="11"/>
      <c r="O2021" s="11"/>
      <c r="P2021" s="43"/>
      <c r="Q2021" s="11"/>
      <c r="R2021" s="11"/>
      <c r="S2021" s="11"/>
      <c r="T2021" s="11"/>
      <c r="U2021" s="11"/>
      <c r="V2021" s="11"/>
      <c r="W2021" s="11"/>
      <c r="X2021" s="12"/>
      <c r="Y2021" s="12"/>
      <c r="Z2021" s="12"/>
      <c r="AA2021" s="44"/>
      <c r="AB2021" s="45"/>
      <c r="AC2021" s="12"/>
      <c r="AD2021" s="12"/>
      <c r="AE2021" s="12"/>
      <c r="AF2021" s="12"/>
      <c r="AG2021" s="44"/>
      <c r="AH2021" s="45"/>
      <c r="AI2021" s="12"/>
      <c r="AJ2021" s="12"/>
      <c r="AK2021" s="12"/>
      <c r="AL2021" s="12"/>
      <c r="AM2021" s="44"/>
      <c r="AN2021" s="45"/>
      <c r="AO2021" s="12"/>
      <c r="AP2021" s="12"/>
      <c r="AQ2021" s="12"/>
      <c r="AR2021" s="12"/>
      <c r="AS2021" s="44"/>
      <c r="AT2021" s="45"/>
      <c r="AU2021" s="12"/>
      <c r="AV2021" s="12"/>
      <c r="AW2021" s="12"/>
      <c r="AX2021" s="12"/>
      <c r="AY2021" s="44"/>
      <c r="AZ2021" s="45"/>
      <c r="BA2021" s="12"/>
      <c r="BB2021" s="12"/>
      <c r="BC2021" s="12"/>
      <c r="BD2021" s="12"/>
      <c r="BE2021" s="44"/>
      <c r="BF2021" s="45"/>
      <c r="BG2021" s="12"/>
      <c r="BH2021" s="12"/>
      <c r="BI2021" s="12"/>
      <c r="BJ2021" s="12"/>
      <c r="BK2021" s="44"/>
      <c r="BL2021" s="45"/>
      <c r="BM2021" s="12"/>
      <c r="BN2021" s="12"/>
      <c r="BO2021" s="12"/>
      <c r="BP2021" s="12"/>
      <c r="BQ2021" s="48"/>
      <c r="BR2021" s="49"/>
      <c r="BS2021" s="13"/>
      <c r="BT2021" s="12"/>
      <c r="BV2021" s="14"/>
      <c r="BW2021" s="50"/>
      <c r="BX2021" s="54"/>
      <c r="BY2021" s="14"/>
      <c r="BZ2021" s="14"/>
      <c r="CA2021" s="14"/>
      <c r="CB2021" s="14"/>
      <c r="CC2021" s="14"/>
      <c r="CD2021" s="14"/>
      <c r="CE2021" s="14"/>
      <c r="CF2021" s="15"/>
      <c r="CG2021" s="14"/>
      <c r="CH2021" s="14"/>
      <c r="CI2021" s="50"/>
      <c r="CJ2021" s="54"/>
      <c r="CK2021" s="14"/>
      <c r="CL2021" s="14"/>
      <c r="CM2021" s="14"/>
      <c r="CN2021" s="14"/>
      <c r="CO2021" s="14"/>
      <c r="CP2021" s="14"/>
      <c r="CQ2021" s="14"/>
      <c r="CR2021" s="14"/>
      <c r="CS2021" s="14"/>
      <c r="CT2021" s="14"/>
      <c r="CU2021" s="16"/>
      <c r="CV2021" s="14"/>
      <c r="CW2021" s="50"/>
      <c r="CX2021" s="17"/>
    </row>
    <row r="2022" spans="4:102" x14ac:dyDescent="0.25">
      <c r="D2022" s="11"/>
      <c r="E2022" s="11"/>
      <c r="F2022" s="11"/>
      <c r="G2022" s="11"/>
      <c r="H2022" s="11"/>
      <c r="I2022" s="11"/>
      <c r="J2022" s="11"/>
      <c r="K2022" s="11"/>
      <c r="L2022" s="11"/>
      <c r="M2022" s="11"/>
      <c r="N2022" s="11"/>
      <c r="O2022" s="11"/>
      <c r="P2022" s="43"/>
      <c r="Q2022" s="11"/>
      <c r="R2022" s="11"/>
      <c r="S2022" s="11"/>
      <c r="T2022" s="11"/>
      <c r="U2022" s="11"/>
      <c r="V2022" s="11"/>
      <c r="W2022" s="11"/>
      <c r="X2022" s="12"/>
      <c r="Y2022" s="12"/>
      <c r="Z2022" s="12"/>
      <c r="AA2022" s="44"/>
      <c r="AB2022" s="45"/>
      <c r="AC2022" s="12"/>
      <c r="AD2022" s="12"/>
      <c r="AE2022" s="12"/>
      <c r="AF2022" s="12"/>
      <c r="AG2022" s="44"/>
      <c r="AH2022" s="45"/>
      <c r="AI2022" s="12"/>
      <c r="AJ2022" s="12"/>
      <c r="AK2022" s="12"/>
      <c r="AL2022" s="12"/>
      <c r="AM2022" s="44"/>
      <c r="AN2022" s="45"/>
      <c r="AO2022" s="12"/>
      <c r="AP2022" s="12"/>
      <c r="AQ2022" s="12"/>
      <c r="AR2022" s="12"/>
      <c r="AS2022" s="44"/>
      <c r="AT2022" s="45"/>
      <c r="AU2022" s="12"/>
      <c r="AV2022" s="12"/>
      <c r="AW2022" s="12"/>
      <c r="AX2022" s="12"/>
      <c r="AY2022" s="44"/>
      <c r="AZ2022" s="45"/>
      <c r="BA2022" s="12"/>
      <c r="BB2022" s="12"/>
      <c r="BC2022" s="12"/>
      <c r="BD2022" s="12"/>
      <c r="BE2022" s="44"/>
      <c r="BF2022" s="45"/>
      <c r="BG2022" s="12"/>
      <c r="BH2022" s="12"/>
      <c r="BI2022" s="12"/>
      <c r="BJ2022" s="12"/>
      <c r="BK2022" s="44"/>
      <c r="BL2022" s="45"/>
      <c r="BM2022" s="12"/>
      <c r="BN2022" s="12"/>
      <c r="BO2022" s="12"/>
      <c r="BP2022" s="12"/>
      <c r="BQ2022" s="48"/>
      <c r="BR2022" s="49"/>
      <c r="BS2022" s="13"/>
      <c r="BT2022" s="12"/>
      <c r="BV2022" s="14"/>
      <c r="BW2022" s="50"/>
      <c r="BX2022" s="54"/>
      <c r="BY2022" s="14"/>
      <c r="BZ2022" s="14"/>
      <c r="CA2022" s="14"/>
      <c r="CB2022" s="14"/>
      <c r="CC2022" s="14"/>
      <c r="CD2022" s="14"/>
      <c r="CE2022" s="14"/>
      <c r="CF2022" s="15"/>
      <c r="CG2022" s="14"/>
      <c r="CH2022" s="14"/>
      <c r="CI2022" s="50"/>
      <c r="CJ2022" s="54"/>
      <c r="CK2022" s="14"/>
      <c r="CL2022" s="14"/>
      <c r="CM2022" s="14"/>
      <c r="CN2022" s="14"/>
      <c r="CO2022" s="14"/>
      <c r="CP2022" s="14"/>
      <c r="CQ2022" s="14"/>
      <c r="CR2022" s="14"/>
      <c r="CS2022" s="14"/>
      <c r="CT2022" s="14"/>
      <c r="CU2022" s="16"/>
      <c r="CV2022" s="14"/>
      <c r="CW2022" s="50"/>
      <c r="CX2022" s="17"/>
    </row>
    <row r="2023" spans="4:102" x14ac:dyDescent="0.25">
      <c r="D2023" s="11"/>
      <c r="E2023" s="11"/>
      <c r="F2023" s="11"/>
      <c r="G2023" s="11"/>
      <c r="H2023" s="11"/>
      <c r="I2023" s="11"/>
      <c r="J2023" s="11"/>
      <c r="K2023" s="11"/>
      <c r="L2023" s="11"/>
      <c r="M2023" s="11"/>
      <c r="N2023" s="11"/>
      <c r="O2023" s="11"/>
      <c r="P2023" s="43"/>
      <c r="Q2023" s="11"/>
      <c r="R2023" s="11"/>
      <c r="S2023" s="11"/>
      <c r="T2023" s="11"/>
      <c r="U2023" s="11"/>
      <c r="V2023" s="11"/>
      <c r="W2023" s="11"/>
      <c r="X2023" s="12"/>
      <c r="Y2023" s="12"/>
      <c r="Z2023" s="12"/>
      <c r="AA2023" s="44"/>
      <c r="AB2023" s="45"/>
      <c r="AC2023" s="12"/>
      <c r="AD2023" s="12"/>
      <c r="AE2023" s="12"/>
      <c r="AF2023" s="12"/>
      <c r="AG2023" s="44"/>
      <c r="AH2023" s="45"/>
      <c r="AI2023" s="12"/>
      <c r="AJ2023" s="12"/>
      <c r="AK2023" s="12"/>
      <c r="AL2023" s="12"/>
      <c r="AM2023" s="44"/>
      <c r="AN2023" s="45"/>
      <c r="AO2023" s="12"/>
      <c r="AP2023" s="12"/>
      <c r="AQ2023" s="12"/>
      <c r="AR2023" s="12"/>
      <c r="AS2023" s="44"/>
      <c r="AT2023" s="45"/>
      <c r="AU2023" s="12"/>
      <c r="AV2023" s="12"/>
      <c r="AW2023" s="12"/>
      <c r="AX2023" s="12"/>
      <c r="AY2023" s="44"/>
      <c r="AZ2023" s="45"/>
      <c r="BA2023" s="12"/>
      <c r="BB2023" s="12"/>
      <c r="BC2023" s="12"/>
      <c r="BD2023" s="12"/>
      <c r="BE2023" s="44"/>
      <c r="BF2023" s="45"/>
      <c r="BG2023" s="12"/>
      <c r="BH2023" s="12"/>
      <c r="BI2023" s="12"/>
      <c r="BJ2023" s="12"/>
      <c r="BK2023" s="44"/>
      <c r="BL2023" s="45"/>
      <c r="BM2023" s="12"/>
      <c r="BN2023" s="12"/>
      <c r="BO2023" s="12"/>
      <c r="BP2023" s="12"/>
      <c r="BQ2023" s="48"/>
      <c r="BR2023" s="49"/>
      <c r="BS2023" s="13"/>
      <c r="BT2023" s="12"/>
      <c r="BV2023" s="14"/>
      <c r="BW2023" s="50"/>
      <c r="BX2023" s="54"/>
      <c r="BY2023" s="14"/>
      <c r="BZ2023" s="14"/>
      <c r="CA2023" s="14"/>
      <c r="CB2023" s="14"/>
      <c r="CC2023" s="14"/>
      <c r="CD2023" s="14"/>
      <c r="CE2023" s="14"/>
      <c r="CF2023" s="15"/>
      <c r="CG2023" s="14"/>
      <c r="CH2023" s="14"/>
      <c r="CI2023" s="50"/>
      <c r="CJ2023" s="54"/>
      <c r="CK2023" s="14"/>
      <c r="CL2023" s="14"/>
      <c r="CM2023" s="14"/>
      <c r="CN2023" s="14"/>
      <c r="CO2023" s="14"/>
      <c r="CP2023" s="14"/>
      <c r="CQ2023" s="14"/>
      <c r="CR2023" s="14"/>
      <c r="CS2023" s="14"/>
      <c r="CT2023" s="14"/>
      <c r="CU2023" s="16"/>
      <c r="CV2023" s="14"/>
      <c r="CW2023" s="50"/>
      <c r="CX2023" s="17"/>
    </row>
    <row r="2024" spans="4:102" x14ac:dyDescent="0.25">
      <c r="D2024" s="11"/>
      <c r="E2024" s="11"/>
      <c r="F2024" s="11"/>
      <c r="G2024" s="11"/>
      <c r="H2024" s="11"/>
      <c r="I2024" s="11"/>
      <c r="J2024" s="11"/>
      <c r="K2024" s="11"/>
      <c r="L2024" s="11"/>
      <c r="M2024" s="11"/>
      <c r="N2024" s="11"/>
      <c r="O2024" s="11"/>
      <c r="P2024" s="43"/>
      <c r="Q2024" s="11"/>
      <c r="R2024" s="11"/>
      <c r="S2024" s="11"/>
      <c r="T2024" s="11"/>
      <c r="U2024" s="11"/>
      <c r="V2024" s="11"/>
      <c r="W2024" s="11"/>
      <c r="X2024" s="12"/>
      <c r="Y2024" s="12"/>
      <c r="Z2024" s="12"/>
      <c r="AA2024" s="44"/>
      <c r="AB2024" s="45"/>
      <c r="AC2024" s="12"/>
      <c r="AD2024" s="12"/>
      <c r="AE2024" s="12"/>
      <c r="AF2024" s="12"/>
      <c r="AG2024" s="44"/>
      <c r="AH2024" s="45"/>
      <c r="AI2024" s="12"/>
      <c r="AJ2024" s="12"/>
      <c r="AK2024" s="12"/>
      <c r="AL2024" s="12"/>
      <c r="AM2024" s="44"/>
      <c r="AN2024" s="45"/>
      <c r="AO2024" s="12"/>
      <c r="AP2024" s="12"/>
      <c r="AQ2024" s="12"/>
      <c r="AR2024" s="12"/>
      <c r="AS2024" s="44"/>
      <c r="AT2024" s="45"/>
      <c r="AU2024" s="12"/>
      <c r="AV2024" s="12"/>
      <c r="AW2024" s="12"/>
      <c r="AX2024" s="12"/>
      <c r="AY2024" s="44"/>
      <c r="AZ2024" s="45"/>
      <c r="BA2024" s="12"/>
      <c r="BB2024" s="12"/>
      <c r="BC2024" s="12"/>
      <c r="BD2024" s="12"/>
      <c r="BE2024" s="44"/>
      <c r="BF2024" s="45"/>
      <c r="BG2024" s="12"/>
      <c r="BH2024" s="12"/>
      <c r="BI2024" s="12"/>
      <c r="BJ2024" s="12"/>
      <c r="BK2024" s="44"/>
      <c r="BL2024" s="45"/>
      <c r="BM2024" s="12"/>
      <c r="BN2024" s="12"/>
      <c r="BO2024" s="12"/>
      <c r="BP2024" s="12"/>
      <c r="BQ2024" s="48"/>
      <c r="BR2024" s="49"/>
      <c r="BS2024" s="13"/>
      <c r="BT2024" s="12"/>
      <c r="BV2024" s="14"/>
      <c r="BW2024" s="50"/>
      <c r="BX2024" s="54"/>
      <c r="BY2024" s="14"/>
      <c r="BZ2024" s="14"/>
      <c r="CA2024" s="14"/>
      <c r="CB2024" s="14"/>
      <c r="CC2024" s="14"/>
      <c r="CD2024" s="14"/>
      <c r="CE2024" s="14"/>
      <c r="CF2024" s="15"/>
      <c r="CG2024" s="14"/>
      <c r="CH2024" s="14"/>
      <c r="CI2024" s="50"/>
      <c r="CJ2024" s="54"/>
      <c r="CK2024" s="14"/>
      <c r="CL2024" s="14"/>
      <c r="CM2024" s="14"/>
      <c r="CN2024" s="14"/>
      <c r="CO2024" s="14"/>
      <c r="CP2024" s="14"/>
      <c r="CQ2024" s="14"/>
      <c r="CR2024" s="14"/>
      <c r="CS2024" s="14"/>
      <c r="CT2024" s="14"/>
      <c r="CU2024" s="16"/>
      <c r="CV2024" s="14"/>
      <c r="CW2024" s="50"/>
      <c r="CX2024" s="17"/>
    </row>
    <row r="2025" spans="4:102" x14ac:dyDescent="0.25">
      <c r="D2025" s="11"/>
      <c r="E2025" s="11"/>
      <c r="F2025" s="11"/>
      <c r="G2025" s="11"/>
      <c r="H2025" s="11"/>
      <c r="I2025" s="11"/>
      <c r="J2025" s="11"/>
      <c r="K2025" s="11"/>
      <c r="L2025" s="11"/>
      <c r="M2025" s="11"/>
      <c r="N2025" s="11"/>
      <c r="O2025" s="11"/>
      <c r="P2025" s="43"/>
      <c r="Q2025" s="11"/>
      <c r="R2025" s="11"/>
      <c r="S2025" s="11"/>
      <c r="T2025" s="11"/>
      <c r="U2025" s="11"/>
      <c r="V2025" s="11"/>
      <c r="W2025" s="11"/>
      <c r="X2025" s="12"/>
      <c r="Y2025" s="12"/>
      <c r="Z2025" s="12"/>
      <c r="AA2025" s="44"/>
      <c r="AB2025" s="45"/>
      <c r="AC2025" s="12"/>
      <c r="AD2025" s="12"/>
      <c r="AE2025" s="12"/>
      <c r="AF2025" s="12"/>
      <c r="AG2025" s="44"/>
      <c r="AH2025" s="45"/>
      <c r="AI2025" s="12"/>
      <c r="AJ2025" s="12"/>
      <c r="AK2025" s="12"/>
      <c r="AL2025" s="12"/>
      <c r="AM2025" s="44"/>
      <c r="AN2025" s="45"/>
      <c r="AO2025" s="12"/>
      <c r="AP2025" s="12"/>
      <c r="AQ2025" s="12"/>
      <c r="AR2025" s="12"/>
      <c r="AS2025" s="44"/>
      <c r="AT2025" s="45"/>
      <c r="AU2025" s="12"/>
      <c r="AV2025" s="12"/>
      <c r="AW2025" s="12"/>
      <c r="AX2025" s="12"/>
      <c r="AY2025" s="44"/>
      <c r="AZ2025" s="45"/>
      <c r="BA2025" s="12"/>
      <c r="BB2025" s="12"/>
      <c r="BC2025" s="12"/>
      <c r="BD2025" s="12"/>
      <c r="BE2025" s="44"/>
      <c r="BF2025" s="45"/>
      <c r="BG2025" s="12"/>
      <c r="BH2025" s="12"/>
      <c r="BI2025" s="12"/>
      <c r="BJ2025" s="12"/>
      <c r="BK2025" s="44"/>
      <c r="BL2025" s="45"/>
      <c r="BM2025" s="12"/>
      <c r="BN2025" s="12"/>
      <c r="BO2025" s="12"/>
      <c r="BP2025" s="12"/>
      <c r="BQ2025" s="48"/>
      <c r="BR2025" s="49"/>
      <c r="BS2025" s="13"/>
      <c r="BT2025" s="12"/>
      <c r="BV2025" s="14"/>
      <c r="BW2025" s="50"/>
      <c r="BX2025" s="54"/>
      <c r="BY2025" s="14"/>
      <c r="BZ2025" s="14"/>
      <c r="CA2025" s="14"/>
      <c r="CB2025" s="14"/>
      <c r="CC2025" s="14"/>
      <c r="CD2025" s="14"/>
      <c r="CE2025" s="14"/>
      <c r="CF2025" s="15"/>
      <c r="CG2025" s="14"/>
      <c r="CH2025" s="14"/>
      <c r="CI2025" s="50"/>
      <c r="CJ2025" s="54"/>
      <c r="CK2025" s="14"/>
      <c r="CL2025" s="14"/>
      <c r="CM2025" s="14"/>
      <c r="CN2025" s="14"/>
      <c r="CO2025" s="14"/>
      <c r="CP2025" s="14"/>
      <c r="CQ2025" s="14"/>
      <c r="CR2025" s="14"/>
      <c r="CS2025" s="14"/>
      <c r="CT2025" s="14"/>
      <c r="CU2025" s="16"/>
      <c r="CV2025" s="14"/>
      <c r="CW2025" s="50"/>
      <c r="CX2025" s="17"/>
    </row>
    <row r="2026" spans="4:102" x14ac:dyDescent="0.25">
      <c r="D2026" s="11"/>
      <c r="E2026" s="11"/>
      <c r="F2026" s="11"/>
      <c r="G2026" s="11"/>
      <c r="H2026" s="11"/>
      <c r="I2026" s="11"/>
      <c r="J2026" s="11"/>
      <c r="K2026" s="11"/>
      <c r="L2026" s="11"/>
      <c r="M2026" s="11"/>
      <c r="N2026" s="11"/>
      <c r="O2026" s="11"/>
      <c r="P2026" s="43"/>
      <c r="Q2026" s="11"/>
      <c r="R2026" s="11"/>
      <c r="S2026" s="11"/>
      <c r="T2026" s="11"/>
      <c r="U2026" s="11"/>
      <c r="V2026" s="11"/>
      <c r="W2026" s="11"/>
      <c r="X2026" s="12"/>
      <c r="Y2026" s="12"/>
      <c r="Z2026" s="12"/>
      <c r="AA2026" s="44"/>
      <c r="AB2026" s="45"/>
      <c r="AC2026" s="12"/>
      <c r="AD2026" s="12"/>
      <c r="AE2026" s="12"/>
      <c r="AF2026" s="12"/>
      <c r="AG2026" s="44"/>
      <c r="AH2026" s="45"/>
      <c r="AI2026" s="12"/>
      <c r="AJ2026" s="12"/>
      <c r="AK2026" s="12"/>
      <c r="AL2026" s="12"/>
      <c r="AM2026" s="44"/>
      <c r="AN2026" s="45"/>
      <c r="AO2026" s="12"/>
      <c r="AP2026" s="12"/>
      <c r="AQ2026" s="12"/>
      <c r="AR2026" s="12"/>
      <c r="AS2026" s="44"/>
      <c r="AT2026" s="45"/>
      <c r="AU2026" s="12"/>
      <c r="AV2026" s="12"/>
      <c r="AW2026" s="12"/>
      <c r="AX2026" s="12"/>
      <c r="AY2026" s="44"/>
      <c r="AZ2026" s="45"/>
      <c r="BA2026" s="12"/>
      <c r="BB2026" s="12"/>
      <c r="BC2026" s="12"/>
      <c r="BD2026" s="12"/>
      <c r="BE2026" s="44"/>
      <c r="BF2026" s="45"/>
      <c r="BG2026" s="12"/>
      <c r="BH2026" s="12"/>
      <c r="BI2026" s="12"/>
      <c r="BJ2026" s="12"/>
      <c r="BK2026" s="44"/>
      <c r="BL2026" s="45"/>
      <c r="BM2026" s="12"/>
      <c r="BN2026" s="12"/>
      <c r="BO2026" s="12"/>
      <c r="BP2026" s="12"/>
      <c r="BQ2026" s="48"/>
      <c r="BR2026" s="49"/>
      <c r="BS2026" s="13"/>
      <c r="BT2026" s="12"/>
      <c r="BV2026" s="14"/>
      <c r="BW2026" s="50"/>
      <c r="BX2026" s="54"/>
      <c r="BY2026" s="14"/>
      <c r="BZ2026" s="14"/>
      <c r="CA2026" s="14"/>
      <c r="CB2026" s="14"/>
      <c r="CC2026" s="14"/>
      <c r="CD2026" s="14"/>
      <c r="CE2026" s="14"/>
      <c r="CF2026" s="15"/>
      <c r="CG2026" s="14"/>
      <c r="CH2026" s="14"/>
      <c r="CI2026" s="50"/>
      <c r="CJ2026" s="54"/>
      <c r="CK2026" s="14"/>
      <c r="CL2026" s="14"/>
      <c r="CM2026" s="14"/>
      <c r="CN2026" s="14"/>
      <c r="CO2026" s="14"/>
      <c r="CP2026" s="14"/>
      <c r="CQ2026" s="14"/>
      <c r="CR2026" s="14"/>
      <c r="CS2026" s="14"/>
      <c r="CT2026" s="14"/>
      <c r="CU2026" s="16"/>
      <c r="CV2026" s="14"/>
      <c r="CW2026" s="50"/>
      <c r="CX2026" s="17"/>
    </row>
    <row r="2027" spans="4:102" x14ac:dyDescent="0.25">
      <c r="D2027" s="11"/>
      <c r="E2027" s="11"/>
      <c r="F2027" s="11"/>
      <c r="G2027" s="11"/>
      <c r="H2027" s="11"/>
      <c r="I2027" s="11"/>
      <c r="J2027" s="11"/>
      <c r="K2027" s="11"/>
      <c r="L2027" s="11"/>
      <c r="M2027" s="11"/>
      <c r="N2027" s="11"/>
      <c r="O2027" s="11"/>
      <c r="P2027" s="43"/>
      <c r="Q2027" s="11"/>
      <c r="R2027" s="11"/>
      <c r="S2027" s="11"/>
      <c r="T2027" s="11"/>
      <c r="U2027" s="11"/>
      <c r="V2027" s="11"/>
      <c r="W2027" s="11"/>
      <c r="X2027" s="12"/>
      <c r="Y2027" s="12"/>
      <c r="Z2027" s="12"/>
      <c r="AA2027" s="44"/>
      <c r="AB2027" s="45"/>
      <c r="AC2027" s="12"/>
      <c r="AD2027" s="12"/>
      <c r="AE2027" s="12"/>
      <c r="AF2027" s="12"/>
      <c r="AG2027" s="44"/>
      <c r="AH2027" s="45"/>
      <c r="AI2027" s="12"/>
      <c r="AJ2027" s="12"/>
      <c r="AK2027" s="12"/>
      <c r="AL2027" s="12"/>
      <c r="AM2027" s="44"/>
      <c r="AN2027" s="45"/>
      <c r="AO2027" s="12"/>
      <c r="AP2027" s="12"/>
      <c r="AQ2027" s="12"/>
      <c r="AR2027" s="12"/>
      <c r="AS2027" s="44"/>
      <c r="AT2027" s="45"/>
      <c r="AU2027" s="12"/>
      <c r="AV2027" s="12"/>
      <c r="AW2027" s="12"/>
      <c r="AX2027" s="12"/>
      <c r="AY2027" s="44"/>
      <c r="AZ2027" s="45"/>
      <c r="BA2027" s="12"/>
      <c r="BB2027" s="12"/>
      <c r="BC2027" s="12"/>
      <c r="BD2027" s="12"/>
      <c r="BE2027" s="44"/>
      <c r="BF2027" s="45"/>
      <c r="BG2027" s="12"/>
      <c r="BH2027" s="12"/>
      <c r="BI2027" s="12"/>
      <c r="BJ2027" s="12"/>
      <c r="BK2027" s="44"/>
      <c r="BL2027" s="45"/>
      <c r="BM2027" s="12"/>
      <c r="BN2027" s="12"/>
      <c r="BO2027" s="12"/>
      <c r="BP2027" s="12"/>
      <c r="BQ2027" s="48"/>
      <c r="BR2027" s="49"/>
      <c r="BS2027" s="13"/>
      <c r="BT2027" s="12"/>
      <c r="BV2027" s="14"/>
      <c r="BW2027" s="50"/>
      <c r="BX2027" s="54"/>
      <c r="BY2027" s="14"/>
      <c r="BZ2027" s="14"/>
      <c r="CA2027" s="14"/>
      <c r="CB2027" s="14"/>
      <c r="CC2027" s="14"/>
      <c r="CD2027" s="14"/>
      <c r="CE2027" s="14"/>
      <c r="CF2027" s="15"/>
      <c r="CG2027" s="14"/>
      <c r="CH2027" s="14"/>
      <c r="CI2027" s="50"/>
      <c r="CJ2027" s="54"/>
      <c r="CK2027" s="14"/>
      <c r="CL2027" s="14"/>
      <c r="CM2027" s="14"/>
      <c r="CN2027" s="14"/>
      <c r="CO2027" s="14"/>
      <c r="CP2027" s="14"/>
      <c r="CQ2027" s="14"/>
      <c r="CR2027" s="14"/>
      <c r="CS2027" s="14"/>
      <c r="CT2027" s="14"/>
      <c r="CU2027" s="16"/>
      <c r="CV2027" s="14"/>
      <c r="CW2027" s="50"/>
      <c r="CX2027" s="17"/>
    </row>
    <row r="2028" spans="4:102" x14ac:dyDescent="0.25">
      <c r="D2028" s="11"/>
      <c r="E2028" s="11"/>
      <c r="F2028" s="11"/>
      <c r="G2028" s="11"/>
      <c r="H2028" s="11"/>
      <c r="I2028" s="11"/>
      <c r="J2028" s="11"/>
      <c r="K2028" s="11"/>
      <c r="L2028" s="11"/>
      <c r="M2028" s="11"/>
      <c r="N2028" s="11"/>
      <c r="O2028" s="11"/>
      <c r="P2028" s="43"/>
      <c r="Q2028" s="11"/>
      <c r="R2028" s="11"/>
      <c r="S2028" s="11"/>
      <c r="T2028" s="11"/>
      <c r="U2028" s="11"/>
      <c r="V2028" s="11"/>
      <c r="W2028" s="11"/>
      <c r="X2028" s="12"/>
      <c r="Y2028" s="12"/>
      <c r="Z2028" s="12"/>
      <c r="AA2028" s="44"/>
      <c r="AB2028" s="45"/>
      <c r="AC2028" s="12"/>
      <c r="AD2028" s="12"/>
      <c r="AE2028" s="12"/>
      <c r="AF2028" s="12"/>
      <c r="AG2028" s="44"/>
      <c r="AH2028" s="45"/>
      <c r="AI2028" s="12"/>
      <c r="AJ2028" s="12"/>
      <c r="AK2028" s="12"/>
      <c r="AL2028" s="12"/>
      <c r="AM2028" s="44"/>
      <c r="AN2028" s="45"/>
      <c r="AO2028" s="12"/>
      <c r="AP2028" s="12"/>
      <c r="AQ2028" s="12"/>
      <c r="AR2028" s="12"/>
      <c r="AS2028" s="44"/>
      <c r="AT2028" s="45"/>
      <c r="AU2028" s="12"/>
      <c r="AV2028" s="12"/>
      <c r="AW2028" s="12"/>
      <c r="AX2028" s="12"/>
      <c r="AY2028" s="44"/>
      <c r="AZ2028" s="45"/>
      <c r="BA2028" s="12"/>
      <c r="BB2028" s="12"/>
      <c r="BC2028" s="12"/>
      <c r="BD2028" s="12"/>
      <c r="BE2028" s="44"/>
      <c r="BF2028" s="45"/>
      <c r="BG2028" s="12"/>
      <c r="BH2028" s="12"/>
      <c r="BI2028" s="12"/>
      <c r="BJ2028" s="12"/>
      <c r="BK2028" s="44"/>
      <c r="BL2028" s="45"/>
      <c r="BM2028" s="12"/>
      <c r="BN2028" s="12"/>
      <c r="BO2028" s="12"/>
      <c r="BP2028" s="12"/>
      <c r="BQ2028" s="48"/>
      <c r="BR2028" s="49"/>
      <c r="BS2028" s="13"/>
      <c r="BT2028" s="12"/>
      <c r="BV2028" s="14"/>
      <c r="BW2028" s="50"/>
      <c r="BX2028" s="54"/>
      <c r="BY2028" s="14"/>
      <c r="BZ2028" s="14"/>
      <c r="CA2028" s="14"/>
      <c r="CB2028" s="14"/>
      <c r="CC2028" s="14"/>
      <c r="CD2028" s="14"/>
      <c r="CE2028" s="14"/>
      <c r="CF2028" s="15"/>
      <c r="CG2028" s="14"/>
      <c r="CH2028" s="14"/>
      <c r="CI2028" s="50"/>
      <c r="CJ2028" s="54"/>
      <c r="CK2028" s="14"/>
      <c r="CL2028" s="14"/>
      <c r="CM2028" s="14"/>
      <c r="CN2028" s="14"/>
      <c r="CO2028" s="14"/>
      <c r="CP2028" s="14"/>
      <c r="CQ2028" s="14"/>
      <c r="CR2028" s="14"/>
      <c r="CS2028" s="14"/>
      <c r="CT2028" s="14"/>
      <c r="CU2028" s="16"/>
      <c r="CV2028" s="14"/>
      <c r="CW2028" s="50"/>
      <c r="CX2028" s="17"/>
    </row>
    <row r="2029" spans="4:102" x14ac:dyDescent="0.25">
      <c r="D2029" s="11"/>
      <c r="E2029" s="11"/>
      <c r="F2029" s="11"/>
      <c r="G2029" s="11"/>
      <c r="H2029" s="11"/>
      <c r="I2029" s="11"/>
      <c r="J2029" s="11"/>
      <c r="K2029" s="11"/>
      <c r="L2029" s="11"/>
      <c r="M2029" s="11"/>
      <c r="N2029" s="11"/>
      <c r="O2029" s="11"/>
      <c r="P2029" s="43"/>
      <c r="Q2029" s="11"/>
      <c r="R2029" s="11"/>
      <c r="S2029" s="11"/>
      <c r="T2029" s="11"/>
      <c r="U2029" s="11"/>
      <c r="V2029" s="11"/>
      <c r="W2029" s="11"/>
      <c r="X2029" s="12"/>
      <c r="Y2029" s="12"/>
      <c r="Z2029" s="12"/>
      <c r="AA2029" s="44"/>
      <c r="AB2029" s="45"/>
      <c r="AC2029" s="12"/>
      <c r="AD2029" s="12"/>
      <c r="AE2029" s="12"/>
      <c r="AF2029" s="12"/>
      <c r="AG2029" s="44"/>
      <c r="AH2029" s="45"/>
      <c r="AI2029" s="12"/>
      <c r="AJ2029" s="12"/>
      <c r="AK2029" s="12"/>
      <c r="AL2029" s="12"/>
      <c r="AM2029" s="44"/>
      <c r="AN2029" s="45"/>
      <c r="AO2029" s="12"/>
      <c r="AP2029" s="12"/>
      <c r="AQ2029" s="12"/>
      <c r="AR2029" s="12"/>
      <c r="AS2029" s="44"/>
      <c r="AT2029" s="45"/>
      <c r="AU2029" s="12"/>
      <c r="AV2029" s="12"/>
      <c r="AW2029" s="12"/>
      <c r="AX2029" s="12"/>
      <c r="AY2029" s="44"/>
      <c r="AZ2029" s="45"/>
      <c r="BA2029" s="12"/>
      <c r="BB2029" s="12"/>
      <c r="BC2029" s="12"/>
      <c r="BD2029" s="12"/>
      <c r="BE2029" s="44"/>
      <c r="BF2029" s="45"/>
      <c r="BG2029" s="12"/>
      <c r="BH2029" s="12"/>
      <c r="BI2029" s="12"/>
      <c r="BJ2029" s="12"/>
      <c r="BK2029" s="44"/>
      <c r="BL2029" s="45"/>
      <c r="BM2029" s="12"/>
      <c r="BN2029" s="12"/>
      <c r="BO2029" s="12"/>
      <c r="BP2029" s="12"/>
      <c r="BQ2029" s="48"/>
      <c r="BR2029" s="49"/>
      <c r="BS2029" s="13"/>
      <c r="BT2029" s="12"/>
      <c r="BV2029" s="14"/>
      <c r="BW2029" s="50"/>
      <c r="BX2029" s="54"/>
      <c r="BY2029" s="14"/>
      <c r="BZ2029" s="14"/>
      <c r="CA2029" s="14"/>
      <c r="CB2029" s="14"/>
      <c r="CC2029" s="14"/>
      <c r="CD2029" s="14"/>
      <c r="CE2029" s="14"/>
      <c r="CF2029" s="15"/>
      <c r="CG2029" s="14"/>
      <c r="CH2029" s="14"/>
      <c r="CI2029" s="50"/>
      <c r="CJ2029" s="54"/>
      <c r="CK2029" s="14"/>
      <c r="CL2029" s="14"/>
      <c r="CM2029" s="14"/>
      <c r="CN2029" s="14"/>
      <c r="CO2029" s="14"/>
      <c r="CP2029" s="14"/>
      <c r="CQ2029" s="14"/>
      <c r="CR2029" s="14"/>
      <c r="CS2029" s="14"/>
      <c r="CT2029" s="14"/>
      <c r="CU2029" s="16"/>
      <c r="CV2029" s="14"/>
      <c r="CW2029" s="50"/>
      <c r="CX2029" s="17"/>
    </row>
    <row r="2030" spans="4:102" x14ac:dyDescent="0.25">
      <c r="D2030" s="11"/>
      <c r="E2030" s="11"/>
      <c r="F2030" s="11"/>
      <c r="G2030" s="11"/>
      <c r="H2030" s="11"/>
      <c r="I2030" s="11"/>
      <c r="J2030" s="11"/>
      <c r="K2030" s="11"/>
      <c r="L2030" s="11"/>
      <c r="M2030" s="11"/>
      <c r="N2030" s="11"/>
      <c r="O2030" s="11"/>
      <c r="P2030" s="43"/>
      <c r="Q2030" s="11"/>
      <c r="R2030" s="11"/>
      <c r="S2030" s="11"/>
      <c r="T2030" s="11"/>
      <c r="U2030" s="11"/>
      <c r="V2030" s="11"/>
      <c r="W2030" s="11"/>
      <c r="X2030" s="12"/>
      <c r="Y2030" s="12"/>
      <c r="Z2030" s="12"/>
      <c r="AA2030" s="44"/>
      <c r="AB2030" s="45"/>
      <c r="AC2030" s="12"/>
      <c r="AD2030" s="12"/>
      <c r="AE2030" s="12"/>
      <c r="AF2030" s="12"/>
      <c r="AG2030" s="44"/>
      <c r="AH2030" s="45"/>
      <c r="AI2030" s="12"/>
      <c r="AJ2030" s="12"/>
      <c r="AK2030" s="12"/>
      <c r="AL2030" s="12"/>
      <c r="AM2030" s="44"/>
      <c r="AN2030" s="45"/>
      <c r="AO2030" s="12"/>
      <c r="AP2030" s="12"/>
      <c r="AQ2030" s="12"/>
      <c r="AR2030" s="12"/>
      <c r="AS2030" s="44"/>
      <c r="AT2030" s="45"/>
      <c r="AU2030" s="12"/>
      <c r="AV2030" s="12"/>
      <c r="AW2030" s="12"/>
      <c r="AX2030" s="12"/>
      <c r="AY2030" s="44"/>
      <c r="AZ2030" s="45"/>
      <c r="BA2030" s="12"/>
      <c r="BB2030" s="12"/>
      <c r="BC2030" s="12"/>
      <c r="BD2030" s="12"/>
      <c r="BE2030" s="44"/>
      <c r="BF2030" s="45"/>
      <c r="BG2030" s="12"/>
      <c r="BH2030" s="12"/>
      <c r="BI2030" s="12"/>
      <c r="BJ2030" s="12"/>
      <c r="BK2030" s="44"/>
      <c r="BL2030" s="45"/>
      <c r="BM2030" s="12"/>
      <c r="BN2030" s="12"/>
      <c r="BO2030" s="12"/>
      <c r="BP2030" s="12"/>
      <c r="BQ2030" s="48"/>
      <c r="BR2030" s="49"/>
      <c r="BS2030" s="13"/>
      <c r="BT2030" s="12"/>
      <c r="BV2030" s="14"/>
      <c r="BW2030" s="50"/>
      <c r="BX2030" s="54"/>
      <c r="BY2030" s="14"/>
      <c r="BZ2030" s="14"/>
      <c r="CA2030" s="14"/>
      <c r="CB2030" s="14"/>
      <c r="CC2030" s="14"/>
      <c r="CD2030" s="14"/>
      <c r="CE2030" s="14"/>
      <c r="CF2030" s="15"/>
      <c r="CG2030" s="14"/>
      <c r="CH2030" s="14"/>
      <c r="CI2030" s="50"/>
      <c r="CJ2030" s="54"/>
      <c r="CK2030" s="14"/>
      <c r="CL2030" s="14"/>
      <c r="CM2030" s="14"/>
      <c r="CN2030" s="14"/>
      <c r="CO2030" s="14"/>
      <c r="CP2030" s="14"/>
      <c r="CQ2030" s="14"/>
      <c r="CR2030" s="14"/>
      <c r="CS2030" s="14"/>
      <c r="CT2030" s="14"/>
      <c r="CU2030" s="16"/>
      <c r="CV2030" s="14"/>
      <c r="CW2030" s="50"/>
      <c r="CX2030" s="17"/>
    </row>
    <row r="2031" spans="4:102" x14ac:dyDescent="0.25">
      <c r="D2031" s="11"/>
      <c r="E2031" s="11"/>
      <c r="F2031" s="11"/>
      <c r="G2031" s="11"/>
      <c r="H2031" s="11"/>
      <c r="I2031" s="11"/>
      <c r="J2031" s="11"/>
      <c r="K2031" s="11"/>
      <c r="L2031" s="11"/>
      <c r="M2031" s="11"/>
      <c r="N2031" s="11"/>
      <c r="O2031" s="11"/>
      <c r="P2031" s="43"/>
      <c r="Q2031" s="11"/>
      <c r="R2031" s="11"/>
      <c r="S2031" s="11"/>
      <c r="T2031" s="11"/>
      <c r="U2031" s="11"/>
      <c r="V2031" s="11"/>
      <c r="W2031" s="11"/>
      <c r="X2031" s="12"/>
      <c r="Y2031" s="12"/>
      <c r="Z2031" s="12"/>
      <c r="AA2031" s="44"/>
      <c r="AB2031" s="45"/>
      <c r="AC2031" s="12"/>
      <c r="AD2031" s="12"/>
      <c r="AE2031" s="12"/>
      <c r="AF2031" s="12"/>
      <c r="AG2031" s="44"/>
      <c r="AH2031" s="45"/>
      <c r="AI2031" s="12"/>
      <c r="AJ2031" s="12"/>
      <c r="AK2031" s="12"/>
      <c r="AL2031" s="12"/>
      <c r="AM2031" s="44"/>
      <c r="AN2031" s="45"/>
      <c r="AO2031" s="12"/>
      <c r="AP2031" s="12"/>
      <c r="AQ2031" s="12"/>
      <c r="AR2031" s="12"/>
      <c r="AS2031" s="44"/>
      <c r="AT2031" s="45"/>
      <c r="AU2031" s="12"/>
      <c r="AV2031" s="12"/>
      <c r="AW2031" s="12"/>
      <c r="AX2031" s="12"/>
      <c r="AY2031" s="44"/>
      <c r="AZ2031" s="45"/>
      <c r="BA2031" s="12"/>
      <c r="BB2031" s="12"/>
      <c r="BC2031" s="12"/>
      <c r="BD2031" s="12"/>
      <c r="BE2031" s="44"/>
      <c r="BF2031" s="45"/>
      <c r="BG2031" s="12"/>
      <c r="BH2031" s="12"/>
      <c r="BI2031" s="12"/>
      <c r="BJ2031" s="12"/>
      <c r="BK2031" s="44"/>
      <c r="BL2031" s="45"/>
      <c r="BM2031" s="12"/>
      <c r="BN2031" s="12"/>
      <c r="BO2031" s="12"/>
      <c r="BP2031" s="12"/>
      <c r="BQ2031" s="48"/>
      <c r="BR2031" s="49"/>
      <c r="BS2031" s="13"/>
      <c r="BT2031" s="12"/>
      <c r="BV2031" s="14"/>
      <c r="BW2031" s="50"/>
      <c r="BX2031" s="54"/>
      <c r="BY2031" s="14"/>
      <c r="BZ2031" s="14"/>
      <c r="CA2031" s="14"/>
      <c r="CB2031" s="14"/>
      <c r="CC2031" s="14"/>
      <c r="CD2031" s="14"/>
      <c r="CE2031" s="14"/>
      <c r="CF2031" s="15"/>
      <c r="CG2031" s="14"/>
      <c r="CH2031" s="14"/>
      <c r="CI2031" s="50"/>
      <c r="CJ2031" s="54"/>
      <c r="CK2031" s="14"/>
      <c r="CL2031" s="14"/>
      <c r="CM2031" s="14"/>
      <c r="CN2031" s="14"/>
      <c r="CO2031" s="14"/>
      <c r="CP2031" s="14"/>
      <c r="CQ2031" s="14"/>
      <c r="CR2031" s="14"/>
      <c r="CS2031" s="14"/>
      <c r="CT2031" s="14"/>
      <c r="CU2031" s="16"/>
      <c r="CV2031" s="14"/>
      <c r="CW2031" s="50"/>
      <c r="CX2031" s="17"/>
    </row>
    <row r="2032" spans="4:102" x14ac:dyDescent="0.25">
      <c r="D2032" s="11"/>
      <c r="E2032" s="11"/>
      <c r="F2032" s="11"/>
      <c r="G2032" s="11"/>
      <c r="H2032" s="11"/>
      <c r="I2032" s="11"/>
      <c r="J2032" s="11"/>
      <c r="K2032" s="11"/>
      <c r="L2032" s="11"/>
      <c r="M2032" s="11"/>
      <c r="N2032" s="11"/>
      <c r="O2032" s="11"/>
      <c r="P2032" s="43"/>
      <c r="Q2032" s="11"/>
      <c r="R2032" s="11"/>
      <c r="S2032" s="11"/>
      <c r="T2032" s="11"/>
      <c r="U2032" s="11"/>
      <c r="V2032" s="11"/>
      <c r="W2032" s="11"/>
      <c r="X2032" s="12"/>
      <c r="Y2032" s="12"/>
      <c r="Z2032" s="12"/>
      <c r="AA2032" s="44"/>
      <c r="AB2032" s="45"/>
      <c r="AC2032" s="12"/>
      <c r="AD2032" s="12"/>
      <c r="AE2032" s="12"/>
      <c r="AF2032" s="12"/>
      <c r="AG2032" s="44"/>
      <c r="AH2032" s="45"/>
      <c r="AI2032" s="12"/>
      <c r="AJ2032" s="12"/>
      <c r="AK2032" s="12"/>
      <c r="AL2032" s="12"/>
      <c r="AM2032" s="44"/>
      <c r="AN2032" s="45"/>
      <c r="AO2032" s="12"/>
      <c r="AP2032" s="12"/>
      <c r="AQ2032" s="12"/>
      <c r="AR2032" s="12"/>
      <c r="AS2032" s="44"/>
      <c r="AT2032" s="45"/>
      <c r="AU2032" s="12"/>
      <c r="AV2032" s="12"/>
      <c r="AW2032" s="12"/>
      <c r="AX2032" s="12"/>
      <c r="AY2032" s="44"/>
      <c r="AZ2032" s="45"/>
      <c r="BA2032" s="12"/>
      <c r="BB2032" s="12"/>
      <c r="BC2032" s="12"/>
      <c r="BD2032" s="12"/>
      <c r="BE2032" s="44"/>
      <c r="BF2032" s="45"/>
      <c r="BG2032" s="12"/>
      <c r="BH2032" s="12"/>
      <c r="BI2032" s="12"/>
      <c r="BJ2032" s="12"/>
      <c r="BK2032" s="44"/>
      <c r="BL2032" s="45"/>
      <c r="BM2032" s="12"/>
      <c r="BN2032" s="12"/>
      <c r="BO2032" s="12"/>
      <c r="BP2032" s="12"/>
      <c r="BQ2032" s="48"/>
      <c r="BR2032" s="49"/>
      <c r="BS2032" s="13"/>
      <c r="BT2032" s="12"/>
      <c r="BV2032" s="14"/>
      <c r="BW2032" s="50"/>
      <c r="BX2032" s="54"/>
      <c r="BY2032" s="14"/>
      <c r="BZ2032" s="14"/>
      <c r="CA2032" s="14"/>
      <c r="CB2032" s="14"/>
      <c r="CC2032" s="14"/>
      <c r="CD2032" s="14"/>
      <c r="CE2032" s="14"/>
      <c r="CF2032" s="15"/>
      <c r="CG2032" s="14"/>
      <c r="CH2032" s="14"/>
      <c r="CI2032" s="50"/>
      <c r="CJ2032" s="54"/>
      <c r="CK2032" s="14"/>
      <c r="CL2032" s="14"/>
      <c r="CM2032" s="14"/>
      <c r="CN2032" s="14"/>
      <c r="CO2032" s="14"/>
      <c r="CP2032" s="14"/>
      <c r="CQ2032" s="14"/>
      <c r="CR2032" s="14"/>
      <c r="CS2032" s="14"/>
      <c r="CT2032" s="14"/>
      <c r="CU2032" s="16"/>
      <c r="CV2032" s="14"/>
      <c r="CW2032" s="50"/>
      <c r="CX2032" s="17"/>
    </row>
    <row r="2033" spans="4:102" x14ac:dyDescent="0.25">
      <c r="D2033" s="11"/>
      <c r="E2033" s="11"/>
      <c r="F2033" s="11"/>
      <c r="G2033" s="11"/>
      <c r="H2033" s="11"/>
      <c r="I2033" s="11"/>
      <c r="J2033" s="11"/>
      <c r="K2033" s="11"/>
      <c r="L2033" s="11"/>
      <c r="M2033" s="11"/>
      <c r="N2033" s="11"/>
      <c r="O2033" s="11"/>
      <c r="P2033" s="43"/>
      <c r="Q2033" s="11"/>
      <c r="R2033" s="11"/>
      <c r="S2033" s="11"/>
      <c r="T2033" s="11"/>
      <c r="U2033" s="11"/>
      <c r="V2033" s="11"/>
      <c r="W2033" s="11"/>
      <c r="X2033" s="12"/>
      <c r="Y2033" s="12"/>
      <c r="Z2033" s="12"/>
      <c r="AA2033" s="44"/>
      <c r="AB2033" s="45"/>
      <c r="AC2033" s="12"/>
      <c r="AD2033" s="12"/>
      <c r="AE2033" s="12"/>
      <c r="AF2033" s="12"/>
      <c r="AG2033" s="44"/>
      <c r="AH2033" s="45"/>
      <c r="AI2033" s="12"/>
      <c r="AJ2033" s="12"/>
      <c r="AK2033" s="12"/>
      <c r="AL2033" s="12"/>
      <c r="AM2033" s="44"/>
      <c r="AN2033" s="45"/>
      <c r="AO2033" s="12"/>
      <c r="AP2033" s="12"/>
      <c r="AQ2033" s="12"/>
      <c r="AR2033" s="12"/>
      <c r="AS2033" s="44"/>
      <c r="AT2033" s="45"/>
      <c r="AU2033" s="12"/>
      <c r="AV2033" s="12"/>
      <c r="AW2033" s="12"/>
      <c r="AX2033" s="12"/>
      <c r="AY2033" s="44"/>
      <c r="AZ2033" s="45"/>
      <c r="BA2033" s="12"/>
      <c r="BB2033" s="12"/>
      <c r="BC2033" s="12"/>
      <c r="BD2033" s="12"/>
      <c r="BE2033" s="44"/>
      <c r="BF2033" s="45"/>
      <c r="BG2033" s="12"/>
      <c r="BH2033" s="12"/>
      <c r="BI2033" s="12"/>
      <c r="BJ2033" s="12"/>
      <c r="BK2033" s="44"/>
      <c r="BL2033" s="45"/>
      <c r="BM2033" s="12"/>
      <c r="BN2033" s="12"/>
      <c r="BO2033" s="12"/>
      <c r="BP2033" s="12"/>
      <c r="BQ2033" s="48"/>
      <c r="BR2033" s="49"/>
      <c r="BS2033" s="13"/>
      <c r="BT2033" s="12"/>
      <c r="BV2033" s="14"/>
      <c r="BW2033" s="50"/>
      <c r="BX2033" s="54"/>
      <c r="BY2033" s="14"/>
      <c r="BZ2033" s="14"/>
      <c r="CA2033" s="14"/>
      <c r="CB2033" s="14"/>
      <c r="CC2033" s="14"/>
      <c r="CD2033" s="14"/>
      <c r="CE2033" s="14"/>
      <c r="CF2033" s="15"/>
      <c r="CG2033" s="14"/>
      <c r="CH2033" s="14"/>
      <c r="CI2033" s="50"/>
      <c r="CJ2033" s="54"/>
      <c r="CK2033" s="14"/>
      <c r="CL2033" s="14"/>
      <c r="CM2033" s="14"/>
      <c r="CN2033" s="14"/>
      <c r="CO2033" s="14"/>
      <c r="CP2033" s="14"/>
      <c r="CQ2033" s="14"/>
      <c r="CR2033" s="14"/>
      <c r="CS2033" s="14"/>
      <c r="CT2033" s="14"/>
      <c r="CU2033" s="16"/>
      <c r="CV2033" s="14"/>
      <c r="CW2033" s="50"/>
      <c r="CX2033" s="17"/>
    </row>
    <row r="2034" spans="4:102" x14ac:dyDescent="0.25">
      <c r="D2034" s="11"/>
      <c r="E2034" s="11"/>
      <c r="F2034" s="11"/>
      <c r="G2034" s="11"/>
      <c r="H2034" s="11"/>
      <c r="I2034" s="11"/>
      <c r="J2034" s="11"/>
      <c r="K2034" s="11"/>
      <c r="L2034" s="11"/>
      <c r="M2034" s="11"/>
      <c r="N2034" s="11"/>
      <c r="O2034" s="11"/>
      <c r="P2034" s="43"/>
      <c r="Q2034" s="11"/>
      <c r="R2034" s="11"/>
      <c r="S2034" s="11"/>
      <c r="T2034" s="11"/>
      <c r="U2034" s="11"/>
      <c r="V2034" s="11"/>
      <c r="W2034" s="11"/>
      <c r="X2034" s="12"/>
      <c r="Y2034" s="12"/>
      <c r="Z2034" s="12"/>
      <c r="AA2034" s="44"/>
      <c r="AB2034" s="45"/>
      <c r="AC2034" s="12"/>
      <c r="AD2034" s="12"/>
      <c r="AE2034" s="12"/>
      <c r="AF2034" s="12"/>
      <c r="AG2034" s="44"/>
      <c r="AH2034" s="45"/>
      <c r="AI2034" s="12"/>
      <c r="AJ2034" s="12"/>
      <c r="AK2034" s="12"/>
      <c r="AL2034" s="12"/>
      <c r="AM2034" s="44"/>
      <c r="AN2034" s="45"/>
      <c r="AO2034" s="12"/>
      <c r="AP2034" s="12"/>
      <c r="AQ2034" s="12"/>
      <c r="AR2034" s="12"/>
      <c r="AS2034" s="44"/>
      <c r="AT2034" s="45"/>
      <c r="AU2034" s="12"/>
      <c r="AV2034" s="12"/>
      <c r="AW2034" s="12"/>
      <c r="AX2034" s="12"/>
      <c r="AY2034" s="44"/>
      <c r="AZ2034" s="45"/>
      <c r="BA2034" s="12"/>
      <c r="BB2034" s="12"/>
      <c r="BC2034" s="12"/>
      <c r="BD2034" s="12"/>
      <c r="BE2034" s="44"/>
      <c r="BF2034" s="45"/>
      <c r="BG2034" s="12"/>
      <c r="BH2034" s="12"/>
      <c r="BI2034" s="12"/>
      <c r="BJ2034" s="12"/>
      <c r="BK2034" s="44"/>
      <c r="BL2034" s="45"/>
      <c r="BM2034" s="12"/>
      <c r="BN2034" s="12"/>
      <c r="BO2034" s="12"/>
      <c r="BP2034" s="12"/>
      <c r="BQ2034" s="48"/>
      <c r="BR2034" s="49"/>
      <c r="BS2034" s="13"/>
      <c r="BT2034" s="12"/>
      <c r="BV2034" s="14"/>
      <c r="BW2034" s="50"/>
      <c r="BX2034" s="54"/>
      <c r="BY2034" s="14"/>
      <c r="BZ2034" s="14"/>
      <c r="CA2034" s="14"/>
      <c r="CB2034" s="14"/>
      <c r="CC2034" s="14"/>
      <c r="CD2034" s="14"/>
      <c r="CE2034" s="14"/>
      <c r="CF2034" s="15"/>
      <c r="CG2034" s="14"/>
      <c r="CH2034" s="14"/>
      <c r="CI2034" s="50"/>
      <c r="CJ2034" s="54"/>
      <c r="CK2034" s="14"/>
      <c r="CL2034" s="14"/>
      <c r="CM2034" s="14"/>
      <c r="CN2034" s="14"/>
      <c r="CO2034" s="14"/>
      <c r="CP2034" s="14"/>
      <c r="CQ2034" s="14"/>
      <c r="CR2034" s="14"/>
      <c r="CS2034" s="14"/>
      <c r="CT2034" s="14"/>
      <c r="CU2034" s="16"/>
      <c r="CV2034" s="14"/>
      <c r="CW2034" s="50"/>
      <c r="CX2034" s="17"/>
    </row>
    <row r="2035" spans="4:102" x14ac:dyDescent="0.25">
      <c r="D2035" s="11"/>
      <c r="E2035" s="11"/>
      <c r="F2035" s="11"/>
      <c r="G2035" s="11"/>
      <c r="H2035" s="11"/>
      <c r="I2035" s="11"/>
      <c r="J2035" s="11"/>
      <c r="K2035" s="11"/>
      <c r="L2035" s="11"/>
      <c r="M2035" s="11"/>
      <c r="N2035" s="11"/>
      <c r="O2035" s="11"/>
      <c r="P2035" s="43"/>
      <c r="Q2035" s="11"/>
      <c r="R2035" s="11"/>
      <c r="S2035" s="11"/>
      <c r="T2035" s="11"/>
      <c r="U2035" s="11"/>
      <c r="V2035" s="11"/>
      <c r="W2035" s="11"/>
      <c r="X2035" s="12"/>
      <c r="Y2035" s="12"/>
      <c r="Z2035" s="12"/>
      <c r="AA2035" s="44"/>
      <c r="AB2035" s="45"/>
      <c r="AC2035" s="12"/>
      <c r="AD2035" s="12"/>
      <c r="AE2035" s="12"/>
      <c r="AF2035" s="12"/>
      <c r="AG2035" s="44"/>
      <c r="AH2035" s="45"/>
      <c r="AI2035" s="12"/>
      <c r="AJ2035" s="12"/>
      <c r="AK2035" s="12"/>
      <c r="AL2035" s="12"/>
      <c r="AM2035" s="44"/>
      <c r="AN2035" s="45"/>
      <c r="AO2035" s="12"/>
      <c r="AP2035" s="12"/>
      <c r="AQ2035" s="12"/>
      <c r="AR2035" s="12"/>
      <c r="AS2035" s="44"/>
      <c r="AT2035" s="45"/>
      <c r="AU2035" s="12"/>
      <c r="AV2035" s="12"/>
      <c r="AW2035" s="12"/>
      <c r="AX2035" s="12"/>
      <c r="AY2035" s="44"/>
      <c r="AZ2035" s="45"/>
      <c r="BA2035" s="12"/>
      <c r="BB2035" s="12"/>
      <c r="BC2035" s="12"/>
      <c r="BD2035" s="12"/>
      <c r="BE2035" s="44"/>
      <c r="BF2035" s="45"/>
      <c r="BG2035" s="12"/>
      <c r="BH2035" s="12"/>
      <c r="BI2035" s="12"/>
      <c r="BJ2035" s="12"/>
      <c r="BK2035" s="44"/>
      <c r="BL2035" s="45"/>
      <c r="BM2035" s="12"/>
      <c r="BN2035" s="12"/>
      <c r="BO2035" s="12"/>
      <c r="BP2035" s="12"/>
      <c r="BQ2035" s="48"/>
      <c r="BR2035" s="49"/>
      <c r="BS2035" s="13"/>
      <c r="BT2035" s="12"/>
      <c r="BV2035" s="14"/>
      <c r="BW2035" s="50"/>
      <c r="BX2035" s="54"/>
      <c r="BY2035" s="14"/>
      <c r="BZ2035" s="14"/>
      <c r="CA2035" s="14"/>
      <c r="CB2035" s="14"/>
      <c r="CC2035" s="14"/>
      <c r="CD2035" s="14"/>
      <c r="CE2035" s="14"/>
      <c r="CF2035" s="15"/>
      <c r="CG2035" s="14"/>
      <c r="CH2035" s="14"/>
      <c r="CI2035" s="50"/>
      <c r="CJ2035" s="54"/>
      <c r="CK2035" s="14"/>
      <c r="CL2035" s="14"/>
      <c r="CM2035" s="14"/>
      <c r="CN2035" s="14"/>
      <c r="CO2035" s="14"/>
      <c r="CP2035" s="14"/>
      <c r="CQ2035" s="14"/>
      <c r="CR2035" s="14"/>
      <c r="CS2035" s="14"/>
      <c r="CT2035" s="14"/>
      <c r="CU2035" s="16"/>
      <c r="CV2035" s="14"/>
      <c r="CW2035" s="50"/>
      <c r="CX2035" s="17"/>
    </row>
    <row r="2036" spans="4:102" x14ac:dyDescent="0.25">
      <c r="D2036" s="11"/>
      <c r="E2036" s="11"/>
      <c r="F2036" s="11"/>
      <c r="G2036" s="11"/>
      <c r="H2036" s="11"/>
      <c r="I2036" s="11"/>
      <c r="J2036" s="11"/>
      <c r="K2036" s="11"/>
      <c r="L2036" s="11"/>
      <c r="M2036" s="11"/>
      <c r="N2036" s="11"/>
      <c r="O2036" s="11"/>
      <c r="P2036" s="43"/>
      <c r="Q2036" s="11"/>
      <c r="R2036" s="11"/>
      <c r="S2036" s="11"/>
      <c r="T2036" s="11"/>
      <c r="U2036" s="11"/>
      <c r="V2036" s="11"/>
      <c r="W2036" s="11"/>
      <c r="X2036" s="12"/>
      <c r="Y2036" s="12"/>
      <c r="Z2036" s="12"/>
      <c r="AA2036" s="44"/>
      <c r="AB2036" s="45"/>
      <c r="AC2036" s="12"/>
      <c r="AD2036" s="12"/>
      <c r="AE2036" s="12"/>
      <c r="AF2036" s="12"/>
      <c r="AG2036" s="44"/>
      <c r="AH2036" s="45"/>
      <c r="AI2036" s="12"/>
      <c r="AJ2036" s="12"/>
      <c r="AK2036" s="12"/>
      <c r="AL2036" s="12"/>
      <c r="AM2036" s="44"/>
      <c r="AN2036" s="45"/>
      <c r="AO2036" s="12"/>
      <c r="AP2036" s="12"/>
      <c r="AQ2036" s="12"/>
      <c r="AR2036" s="12"/>
      <c r="AS2036" s="44"/>
      <c r="AT2036" s="45"/>
      <c r="AU2036" s="12"/>
      <c r="AV2036" s="12"/>
      <c r="AW2036" s="12"/>
      <c r="AX2036" s="12"/>
      <c r="AY2036" s="44"/>
      <c r="AZ2036" s="45"/>
      <c r="BA2036" s="12"/>
      <c r="BB2036" s="12"/>
      <c r="BC2036" s="12"/>
      <c r="BD2036" s="12"/>
      <c r="BE2036" s="44"/>
      <c r="BF2036" s="45"/>
      <c r="BG2036" s="12"/>
      <c r="BH2036" s="12"/>
      <c r="BI2036" s="12"/>
      <c r="BJ2036" s="12"/>
      <c r="BK2036" s="44"/>
      <c r="BL2036" s="45"/>
      <c r="BM2036" s="12"/>
      <c r="BN2036" s="12"/>
      <c r="BO2036" s="12"/>
      <c r="BP2036" s="12"/>
      <c r="BQ2036" s="48"/>
      <c r="BR2036" s="49"/>
      <c r="BS2036" s="13"/>
      <c r="BT2036" s="12"/>
      <c r="BV2036" s="14"/>
      <c r="BW2036" s="50"/>
      <c r="BX2036" s="54"/>
      <c r="BY2036" s="14"/>
      <c r="BZ2036" s="14"/>
      <c r="CA2036" s="14"/>
      <c r="CB2036" s="14"/>
      <c r="CC2036" s="14"/>
      <c r="CD2036" s="14"/>
      <c r="CE2036" s="14"/>
      <c r="CF2036" s="15"/>
      <c r="CG2036" s="14"/>
      <c r="CH2036" s="14"/>
      <c r="CI2036" s="50"/>
      <c r="CJ2036" s="54"/>
      <c r="CK2036" s="14"/>
      <c r="CL2036" s="14"/>
      <c r="CM2036" s="14"/>
      <c r="CN2036" s="14"/>
      <c r="CO2036" s="14"/>
      <c r="CP2036" s="14"/>
      <c r="CQ2036" s="14"/>
      <c r="CR2036" s="14"/>
      <c r="CS2036" s="14"/>
      <c r="CT2036" s="14"/>
      <c r="CU2036" s="16"/>
      <c r="CV2036" s="14"/>
      <c r="CW2036" s="50"/>
      <c r="CX2036" s="17"/>
    </row>
    <row r="2037" spans="4:102" x14ac:dyDescent="0.25">
      <c r="D2037" s="11"/>
      <c r="E2037" s="11"/>
      <c r="F2037" s="11"/>
      <c r="G2037" s="11"/>
      <c r="H2037" s="11"/>
      <c r="I2037" s="11"/>
      <c r="J2037" s="11"/>
      <c r="K2037" s="11"/>
      <c r="L2037" s="11"/>
      <c r="M2037" s="11"/>
      <c r="N2037" s="11"/>
      <c r="O2037" s="11"/>
      <c r="P2037" s="43"/>
      <c r="Q2037" s="11"/>
      <c r="R2037" s="11"/>
      <c r="S2037" s="11"/>
      <c r="T2037" s="11"/>
      <c r="U2037" s="11"/>
      <c r="V2037" s="11"/>
      <c r="W2037" s="11"/>
      <c r="X2037" s="12"/>
      <c r="Y2037" s="12"/>
      <c r="Z2037" s="12"/>
      <c r="AA2037" s="44"/>
      <c r="AB2037" s="45"/>
      <c r="AC2037" s="12"/>
      <c r="AD2037" s="12"/>
      <c r="AE2037" s="12"/>
      <c r="AF2037" s="12"/>
      <c r="AG2037" s="44"/>
      <c r="AH2037" s="45"/>
      <c r="AI2037" s="12"/>
      <c r="AJ2037" s="12"/>
      <c r="AK2037" s="12"/>
      <c r="AL2037" s="12"/>
      <c r="AM2037" s="44"/>
      <c r="AN2037" s="45"/>
      <c r="AO2037" s="12"/>
      <c r="AP2037" s="12"/>
      <c r="AQ2037" s="12"/>
      <c r="AR2037" s="12"/>
      <c r="AS2037" s="44"/>
      <c r="AT2037" s="45"/>
      <c r="AU2037" s="12"/>
      <c r="AV2037" s="12"/>
      <c r="AW2037" s="12"/>
      <c r="AX2037" s="12"/>
      <c r="AY2037" s="44"/>
      <c r="AZ2037" s="45"/>
      <c r="BA2037" s="12"/>
      <c r="BB2037" s="12"/>
      <c r="BC2037" s="12"/>
      <c r="BD2037" s="12"/>
      <c r="BE2037" s="44"/>
      <c r="BF2037" s="45"/>
      <c r="BG2037" s="12"/>
      <c r="BH2037" s="12"/>
      <c r="BI2037" s="12"/>
      <c r="BJ2037" s="12"/>
      <c r="BK2037" s="44"/>
      <c r="BL2037" s="45"/>
      <c r="BM2037" s="12"/>
      <c r="BN2037" s="12"/>
      <c r="BO2037" s="12"/>
      <c r="BP2037" s="12"/>
      <c r="BQ2037" s="48"/>
      <c r="BR2037" s="49"/>
      <c r="BS2037" s="13"/>
      <c r="BT2037" s="12"/>
      <c r="BV2037" s="14"/>
      <c r="BW2037" s="50"/>
      <c r="BX2037" s="54"/>
      <c r="BY2037" s="14"/>
      <c r="BZ2037" s="14"/>
      <c r="CA2037" s="14"/>
      <c r="CB2037" s="14"/>
      <c r="CC2037" s="14"/>
      <c r="CD2037" s="14"/>
      <c r="CE2037" s="14"/>
      <c r="CF2037" s="15"/>
      <c r="CG2037" s="14"/>
      <c r="CH2037" s="14"/>
      <c r="CI2037" s="50"/>
      <c r="CJ2037" s="54"/>
      <c r="CK2037" s="14"/>
      <c r="CL2037" s="14"/>
      <c r="CM2037" s="14"/>
      <c r="CN2037" s="14"/>
      <c r="CO2037" s="14"/>
      <c r="CP2037" s="14"/>
      <c r="CQ2037" s="14"/>
      <c r="CR2037" s="14"/>
      <c r="CS2037" s="14"/>
      <c r="CT2037" s="14"/>
      <c r="CU2037" s="16"/>
      <c r="CV2037" s="14"/>
      <c r="CW2037" s="50"/>
      <c r="CX2037" s="17"/>
    </row>
    <row r="2038" spans="4:102" x14ac:dyDescent="0.25">
      <c r="D2038" s="11"/>
      <c r="E2038" s="11"/>
      <c r="F2038" s="11"/>
      <c r="G2038" s="11"/>
      <c r="H2038" s="11"/>
      <c r="I2038" s="11"/>
      <c r="J2038" s="11"/>
      <c r="K2038" s="11"/>
      <c r="L2038" s="11"/>
      <c r="M2038" s="11"/>
      <c r="N2038" s="11"/>
      <c r="O2038" s="11"/>
      <c r="P2038" s="43"/>
      <c r="Q2038" s="11"/>
      <c r="R2038" s="11"/>
      <c r="S2038" s="11"/>
      <c r="T2038" s="11"/>
      <c r="U2038" s="11"/>
      <c r="V2038" s="11"/>
      <c r="W2038" s="11"/>
      <c r="X2038" s="12"/>
      <c r="Y2038" s="12"/>
      <c r="Z2038" s="12"/>
      <c r="AA2038" s="44"/>
      <c r="AB2038" s="45"/>
      <c r="AC2038" s="12"/>
      <c r="AD2038" s="12"/>
      <c r="AE2038" s="12"/>
      <c r="AF2038" s="12"/>
      <c r="AG2038" s="44"/>
      <c r="AH2038" s="45"/>
      <c r="AI2038" s="12"/>
      <c r="AJ2038" s="12"/>
      <c r="AK2038" s="12"/>
      <c r="AL2038" s="12"/>
      <c r="AM2038" s="44"/>
      <c r="AN2038" s="45"/>
      <c r="AO2038" s="12"/>
      <c r="AP2038" s="12"/>
      <c r="AQ2038" s="12"/>
      <c r="AR2038" s="12"/>
      <c r="AS2038" s="44"/>
      <c r="AT2038" s="45"/>
      <c r="AU2038" s="12"/>
      <c r="AV2038" s="12"/>
      <c r="AW2038" s="12"/>
      <c r="AX2038" s="12"/>
      <c r="AY2038" s="44"/>
      <c r="AZ2038" s="45"/>
      <c r="BA2038" s="12"/>
      <c r="BB2038" s="12"/>
      <c r="BC2038" s="12"/>
      <c r="BD2038" s="12"/>
      <c r="BE2038" s="44"/>
      <c r="BF2038" s="45"/>
      <c r="BG2038" s="12"/>
      <c r="BH2038" s="12"/>
      <c r="BI2038" s="12"/>
      <c r="BJ2038" s="12"/>
      <c r="BK2038" s="44"/>
      <c r="BL2038" s="45"/>
      <c r="BM2038" s="12"/>
      <c r="BN2038" s="12"/>
      <c r="BO2038" s="12"/>
      <c r="BP2038" s="12"/>
      <c r="BQ2038" s="48"/>
      <c r="BR2038" s="49"/>
      <c r="BS2038" s="13"/>
      <c r="BT2038" s="12"/>
      <c r="BV2038" s="14"/>
      <c r="BW2038" s="50"/>
      <c r="BX2038" s="54"/>
      <c r="BY2038" s="14"/>
      <c r="BZ2038" s="14"/>
      <c r="CA2038" s="14"/>
      <c r="CB2038" s="14"/>
      <c r="CC2038" s="14"/>
      <c r="CD2038" s="14"/>
      <c r="CE2038" s="14"/>
      <c r="CF2038" s="15"/>
      <c r="CG2038" s="14"/>
      <c r="CH2038" s="14"/>
      <c r="CI2038" s="50"/>
      <c r="CJ2038" s="54"/>
      <c r="CK2038" s="14"/>
      <c r="CL2038" s="14"/>
      <c r="CM2038" s="14"/>
      <c r="CN2038" s="14"/>
      <c r="CO2038" s="14"/>
      <c r="CP2038" s="14"/>
      <c r="CQ2038" s="14"/>
      <c r="CR2038" s="14"/>
      <c r="CS2038" s="14"/>
      <c r="CT2038" s="14"/>
      <c r="CU2038" s="16"/>
      <c r="CV2038" s="14"/>
      <c r="CW2038" s="50"/>
      <c r="CX2038" s="17"/>
    </row>
    <row r="2039" spans="4:102" x14ac:dyDescent="0.25">
      <c r="D2039" s="11"/>
      <c r="E2039" s="11"/>
      <c r="F2039" s="11"/>
      <c r="G2039" s="11"/>
      <c r="H2039" s="11"/>
      <c r="I2039" s="11"/>
      <c r="J2039" s="11"/>
      <c r="K2039" s="11"/>
      <c r="L2039" s="11"/>
      <c r="M2039" s="11"/>
      <c r="N2039" s="11"/>
      <c r="O2039" s="11"/>
      <c r="P2039" s="43"/>
      <c r="Q2039" s="11"/>
      <c r="R2039" s="11"/>
      <c r="S2039" s="11"/>
      <c r="T2039" s="11"/>
      <c r="U2039" s="11"/>
      <c r="V2039" s="11"/>
      <c r="W2039" s="11"/>
      <c r="X2039" s="12"/>
      <c r="Y2039" s="12"/>
      <c r="Z2039" s="12"/>
      <c r="AA2039" s="44"/>
      <c r="AB2039" s="45"/>
      <c r="AC2039" s="12"/>
      <c r="AD2039" s="12"/>
      <c r="AE2039" s="12"/>
      <c r="AF2039" s="12"/>
      <c r="AG2039" s="44"/>
      <c r="AH2039" s="45"/>
      <c r="AI2039" s="12"/>
      <c r="AJ2039" s="12"/>
      <c r="AK2039" s="12"/>
      <c r="AL2039" s="12"/>
      <c r="AM2039" s="44"/>
      <c r="AN2039" s="45"/>
      <c r="AO2039" s="12"/>
      <c r="AP2039" s="12"/>
      <c r="AQ2039" s="12"/>
      <c r="AR2039" s="12"/>
      <c r="AS2039" s="44"/>
      <c r="AT2039" s="45"/>
      <c r="AU2039" s="12"/>
      <c r="AV2039" s="12"/>
      <c r="AW2039" s="12"/>
      <c r="AX2039" s="12"/>
      <c r="AY2039" s="44"/>
      <c r="AZ2039" s="45"/>
      <c r="BA2039" s="12"/>
      <c r="BB2039" s="12"/>
      <c r="BC2039" s="12"/>
      <c r="BD2039" s="12"/>
      <c r="BE2039" s="44"/>
      <c r="BF2039" s="45"/>
      <c r="BG2039" s="12"/>
      <c r="BH2039" s="12"/>
      <c r="BI2039" s="12"/>
      <c r="BJ2039" s="12"/>
      <c r="BK2039" s="44"/>
      <c r="BL2039" s="45"/>
      <c r="BM2039" s="12"/>
      <c r="BN2039" s="12"/>
      <c r="BO2039" s="12"/>
      <c r="BP2039" s="12"/>
      <c r="BQ2039" s="48"/>
      <c r="BR2039" s="49"/>
      <c r="BS2039" s="13"/>
      <c r="BT2039" s="12"/>
      <c r="BV2039" s="14"/>
      <c r="BW2039" s="50"/>
      <c r="BX2039" s="54"/>
      <c r="BY2039" s="14"/>
      <c r="BZ2039" s="14"/>
      <c r="CA2039" s="14"/>
      <c r="CB2039" s="14"/>
      <c r="CC2039" s="14"/>
      <c r="CD2039" s="14"/>
      <c r="CE2039" s="14"/>
      <c r="CF2039" s="15"/>
      <c r="CG2039" s="14"/>
      <c r="CH2039" s="14"/>
      <c r="CI2039" s="50"/>
      <c r="CJ2039" s="54"/>
      <c r="CK2039" s="14"/>
      <c r="CL2039" s="14"/>
      <c r="CM2039" s="14"/>
      <c r="CN2039" s="14"/>
      <c r="CO2039" s="14"/>
      <c r="CP2039" s="14"/>
      <c r="CQ2039" s="14"/>
      <c r="CR2039" s="14"/>
      <c r="CS2039" s="14"/>
      <c r="CT2039" s="14"/>
      <c r="CU2039" s="16"/>
      <c r="CV2039" s="14"/>
      <c r="CW2039" s="50"/>
      <c r="CX2039" s="17"/>
    </row>
    <row r="2040" spans="4:102" x14ac:dyDescent="0.25">
      <c r="D2040" s="11"/>
      <c r="E2040" s="11"/>
      <c r="F2040" s="11"/>
      <c r="G2040" s="11"/>
      <c r="H2040" s="11"/>
      <c r="I2040" s="11"/>
      <c r="J2040" s="11"/>
      <c r="K2040" s="11"/>
      <c r="L2040" s="11"/>
      <c r="M2040" s="11"/>
      <c r="N2040" s="11"/>
      <c r="O2040" s="11"/>
      <c r="P2040" s="43"/>
      <c r="Q2040" s="11"/>
      <c r="R2040" s="11"/>
      <c r="S2040" s="11"/>
      <c r="T2040" s="11"/>
      <c r="U2040" s="11"/>
      <c r="V2040" s="11"/>
      <c r="W2040" s="11"/>
      <c r="X2040" s="12"/>
      <c r="Y2040" s="12"/>
      <c r="Z2040" s="12"/>
      <c r="AA2040" s="44"/>
      <c r="AB2040" s="45"/>
      <c r="AC2040" s="12"/>
      <c r="AD2040" s="12"/>
      <c r="AE2040" s="12"/>
      <c r="AF2040" s="12"/>
      <c r="AG2040" s="44"/>
      <c r="AH2040" s="45"/>
      <c r="AI2040" s="12"/>
      <c r="AJ2040" s="12"/>
      <c r="AK2040" s="12"/>
      <c r="AL2040" s="12"/>
      <c r="AM2040" s="44"/>
      <c r="AN2040" s="45"/>
      <c r="AO2040" s="12"/>
      <c r="AP2040" s="12"/>
      <c r="AQ2040" s="12"/>
      <c r="AR2040" s="12"/>
      <c r="AS2040" s="44"/>
      <c r="AT2040" s="45"/>
      <c r="AU2040" s="12"/>
      <c r="AV2040" s="12"/>
      <c r="AW2040" s="12"/>
      <c r="AX2040" s="12"/>
      <c r="AY2040" s="44"/>
      <c r="AZ2040" s="45"/>
      <c r="BA2040" s="12"/>
      <c r="BB2040" s="12"/>
      <c r="BC2040" s="12"/>
      <c r="BD2040" s="12"/>
      <c r="BE2040" s="44"/>
      <c r="BF2040" s="45"/>
      <c r="BG2040" s="12"/>
      <c r="BH2040" s="12"/>
      <c r="BI2040" s="12"/>
      <c r="BJ2040" s="12"/>
      <c r="BK2040" s="44"/>
      <c r="BL2040" s="45"/>
      <c r="BM2040" s="12"/>
      <c r="BN2040" s="12"/>
      <c r="BO2040" s="12"/>
      <c r="BP2040" s="12"/>
      <c r="BQ2040" s="48"/>
      <c r="BR2040" s="49"/>
      <c r="BS2040" s="13"/>
      <c r="BT2040" s="12"/>
      <c r="BV2040" s="14"/>
      <c r="BW2040" s="50"/>
      <c r="BX2040" s="54"/>
      <c r="BY2040" s="14"/>
      <c r="BZ2040" s="14"/>
      <c r="CA2040" s="14"/>
      <c r="CB2040" s="14"/>
      <c r="CC2040" s="14"/>
      <c r="CD2040" s="14"/>
      <c r="CE2040" s="14"/>
      <c r="CF2040" s="15"/>
      <c r="CG2040" s="14"/>
      <c r="CH2040" s="14"/>
      <c r="CI2040" s="50"/>
      <c r="CJ2040" s="54"/>
      <c r="CK2040" s="14"/>
      <c r="CL2040" s="14"/>
      <c r="CM2040" s="14"/>
      <c r="CN2040" s="14"/>
      <c r="CO2040" s="14"/>
      <c r="CP2040" s="14"/>
      <c r="CQ2040" s="14"/>
      <c r="CR2040" s="14"/>
      <c r="CS2040" s="14"/>
      <c r="CT2040" s="14"/>
      <c r="CU2040" s="16"/>
      <c r="CV2040" s="14"/>
      <c r="CW2040" s="50"/>
      <c r="CX2040" s="17"/>
    </row>
    <row r="2041" spans="4:102" x14ac:dyDescent="0.25">
      <c r="D2041" s="11"/>
      <c r="E2041" s="11"/>
      <c r="F2041" s="11"/>
      <c r="G2041" s="11"/>
      <c r="H2041" s="11"/>
      <c r="I2041" s="11"/>
      <c r="J2041" s="11"/>
      <c r="K2041" s="11"/>
      <c r="L2041" s="11"/>
      <c r="M2041" s="11"/>
      <c r="N2041" s="11"/>
      <c r="O2041" s="11"/>
      <c r="P2041" s="43"/>
      <c r="Q2041" s="11"/>
      <c r="R2041" s="11"/>
      <c r="S2041" s="11"/>
      <c r="T2041" s="11"/>
      <c r="U2041" s="11"/>
      <c r="V2041" s="11"/>
      <c r="W2041" s="11"/>
      <c r="X2041" s="12"/>
      <c r="Y2041" s="12"/>
      <c r="Z2041" s="12"/>
      <c r="AA2041" s="44"/>
      <c r="AB2041" s="45"/>
      <c r="AC2041" s="12"/>
      <c r="AD2041" s="12"/>
      <c r="AE2041" s="12"/>
      <c r="AF2041" s="12"/>
      <c r="AG2041" s="44"/>
      <c r="AH2041" s="45"/>
      <c r="AI2041" s="12"/>
      <c r="AJ2041" s="12"/>
      <c r="AK2041" s="12"/>
      <c r="AL2041" s="12"/>
      <c r="AM2041" s="44"/>
      <c r="AN2041" s="45"/>
      <c r="AO2041" s="12"/>
      <c r="AP2041" s="12"/>
      <c r="AQ2041" s="12"/>
      <c r="AR2041" s="12"/>
      <c r="AS2041" s="44"/>
      <c r="AT2041" s="45"/>
      <c r="AU2041" s="12"/>
      <c r="AV2041" s="12"/>
      <c r="AW2041" s="12"/>
      <c r="AX2041" s="12"/>
      <c r="AY2041" s="44"/>
      <c r="AZ2041" s="45"/>
      <c r="BA2041" s="12"/>
      <c r="BB2041" s="12"/>
      <c r="BC2041" s="12"/>
      <c r="BD2041" s="12"/>
      <c r="BE2041" s="44"/>
      <c r="BF2041" s="45"/>
      <c r="BG2041" s="12"/>
      <c r="BH2041" s="12"/>
      <c r="BI2041" s="12"/>
      <c r="BJ2041" s="12"/>
      <c r="BK2041" s="44"/>
      <c r="BL2041" s="45"/>
      <c r="BM2041" s="12"/>
      <c r="BN2041" s="12"/>
      <c r="BO2041" s="12"/>
      <c r="BP2041" s="12"/>
      <c r="BQ2041" s="48"/>
      <c r="BR2041" s="49"/>
      <c r="BS2041" s="13"/>
      <c r="BT2041" s="12"/>
      <c r="BV2041" s="14"/>
      <c r="BW2041" s="50"/>
      <c r="BX2041" s="54"/>
      <c r="BY2041" s="14"/>
      <c r="BZ2041" s="14"/>
      <c r="CA2041" s="14"/>
      <c r="CB2041" s="14"/>
      <c r="CC2041" s="14"/>
      <c r="CD2041" s="14"/>
      <c r="CE2041" s="14"/>
      <c r="CF2041" s="15"/>
      <c r="CG2041" s="14"/>
      <c r="CH2041" s="14"/>
      <c r="CI2041" s="50"/>
      <c r="CJ2041" s="54"/>
      <c r="CK2041" s="14"/>
      <c r="CL2041" s="14"/>
      <c r="CM2041" s="14"/>
      <c r="CN2041" s="14"/>
      <c r="CO2041" s="14"/>
      <c r="CP2041" s="14"/>
      <c r="CQ2041" s="14"/>
      <c r="CR2041" s="14"/>
      <c r="CS2041" s="14"/>
      <c r="CT2041" s="14"/>
      <c r="CU2041" s="16"/>
      <c r="CV2041" s="14"/>
      <c r="CW2041" s="50"/>
      <c r="CX2041" s="17"/>
    </row>
    <row r="2042" spans="4:102" x14ac:dyDescent="0.25">
      <c r="D2042" s="11"/>
      <c r="E2042" s="11"/>
      <c r="F2042" s="11"/>
      <c r="G2042" s="11"/>
      <c r="H2042" s="11"/>
      <c r="I2042" s="11"/>
      <c r="J2042" s="11"/>
      <c r="K2042" s="11"/>
      <c r="L2042" s="11"/>
      <c r="M2042" s="11"/>
      <c r="N2042" s="11"/>
      <c r="O2042" s="11"/>
      <c r="P2042" s="43"/>
      <c r="Q2042" s="11"/>
      <c r="R2042" s="11"/>
      <c r="S2042" s="11"/>
      <c r="T2042" s="11"/>
      <c r="U2042" s="11"/>
      <c r="V2042" s="11"/>
      <c r="W2042" s="11"/>
      <c r="X2042" s="12"/>
      <c r="Y2042" s="12"/>
      <c r="Z2042" s="12"/>
      <c r="AA2042" s="44"/>
      <c r="AB2042" s="45"/>
      <c r="AC2042" s="12"/>
      <c r="AD2042" s="12"/>
      <c r="AE2042" s="12"/>
      <c r="AF2042" s="12"/>
      <c r="AG2042" s="44"/>
      <c r="AH2042" s="45"/>
      <c r="AI2042" s="12"/>
      <c r="AJ2042" s="12"/>
      <c r="AK2042" s="12"/>
      <c r="AL2042" s="12"/>
      <c r="AM2042" s="44"/>
      <c r="AN2042" s="45"/>
      <c r="AO2042" s="12"/>
      <c r="AP2042" s="12"/>
      <c r="AQ2042" s="12"/>
      <c r="AR2042" s="12"/>
      <c r="AS2042" s="44"/>
      <c r="AT2042" s="45"/>
      <c r="AU2042" s="12"/>
      <c r="AV2042" s="12"/>
      <c r="AW2042" s="12"/>
      <c r="AX2042" s="12"/>
      <c r="AY2042" s="44"/>
      <c r="AZ2042" s="45"/>
      <c r="BA2042" s="12"/>
      <c r="BB2042" s="12"/>
      <c r="BC2042" s="12"/>
      <c r="BD2042" s="12"/>
      <c r="BE2042" s="44"/>
      <c r="BF2042" s="45"/>
      <c r="BG2042" s="12"/>
      <c r="BH2042" s="12"/>
      <c r="BI2042" s="12"/>
      <c r="BJ2042" s="12"/>
      <c r="BK2042" s="44"/>
      <c r="BL2042" s="45"/>
      <c r="BM2042" s="12"/>
      <c r="BN2042" s="12"/>
      <c r="BO2042" s="12"/>
      <c r="BP2042" s="12"/>
      <c r="BQ2042" s="48"/>
      <c r="BR2042" s="49"/>
      <c r="BS2042" s="13"/>
      <c r="BT2042" s="12"/>
      <c r="BV2042" s="14"/>
      <c r="BW2042" s="50"/>
      <c r="BX2042" s="54"/>
      <c r="BY2042" s="14"/>
      <c r="BZ2042" s="14"/>
      <c r="CA2042" s="14"/>
      <c r="CB2042" s="14"/>
      <c r="CC2042" s="14"/>
      <c r="CD2042" s="14"/>
      <c r="CE2042" s="14"/>
      <c r="CF2042" s="15"/>
      <c r="CG2042" s="14"/>
      <c r="CH2042" s="14"/>
      <c r="CI2042" s="50"/>
      <c r="CJ2042" s="54"/>
      <c r="CK2042" s="14"/>
      <c r="CL2042" s="14"/>
      <c r="CM2042" s="14"/>
      <c r="CN2042" s="14"/>
      <c r="CO2042" s="14"/>
      <c r="CP2042" s="14"/>
      <c r="CQ2042" s="14"/>
      <c r="CR2042" s="14"/>
      <c r="CS2042" s="14"/>
      <c r="CT2042" s="14"/>
      <c r="CU2042" s="16"/>
      <c r="CV2042" s="14"/>
      <c r="CW2042" s="50"/>
      <c r="CX2042" s="17"/>
    </row>
    <row r="2043" spans="4:102" x14ac:dyDescent="0.25">
      <c r="D2043" s="11"/>
      <c r="E2043" s="11"/>
      <c r="F2043" s="11"/>
      <c r="G2043" s="11"/>
      <c r="H2043" s="11"/>
      <c r="I2043" s="11"/>
      <c r="J2043" s="11"/>
      <c r="K2043" s="11"/>
      <c r="L2043" s="11"/>
      <c r="M2043" s="11"/>
      <c r="N2043" s="11"/>
      <c r="O2043" s="11"/>
      <c r="P2043" s="43"/>
      <c r="Q2043" s="11"/>
      <c r="R2043" s="11"/>
      <c r="S2043" s="11"/>
      <c r="T2043" s="11"/>
      <c r="U2043" s="11"/>
      <c r="V2043" s="11"/>
      <c r="W2043" s="11"/>
      <c r="X2043" s="12"/>
      <c r="Y2043" s="12"/>
      <c r="Z2043" s="12"/>
      <c r="AA2043" s="44"/>
      <c r="AB2043" s="45"/>
      <c r="AC2043" s="12"/>
      <c r="AD2043" s="12"/>
      <c r="AE2043" s="12"/>
      <c r="AF2043" s="12"/>
      <c r="AG2043" s="44"/>
      <c r="AH2043" s="45"/>
      <c r="AI2043" s="12"/>
      <c r="AJ2043" s="12"/>
      <c r="AK2043" s="12"/>
      <c r="AL2043" s="12"/>
      <c r="AM2043" s="44"/>
      <c r="AN2043" s="45"/>
      <c r="AO2043" s="12"/>
      <c r="AP2043" s="12"/>
      <c r="AQ2043" s="12"/>
      <c r="AR2043" s="12"/>
      <c r="AS2043" s="44"/>
      <c r="AT2043" s="45"/>
      <c r="AU2043" s="12"/>
      <c r="AV2043" s="12"/>
      <c r="AW2043" s="12"/>
      <c r="AX2043" s="12"/>
      <c r="AY2043" s="44"/>
      <c r="AZ2043" s="45"/>
      <c r="BA2043" s="12"/>
      <c r="BB2043" s="12"/>
      <c r="BC2043" s="12"/>
      <c r="BD2043" s="12"/>
      <c r="BE2043" s="44"/>
      <c r="BF2043" s="45"/>
      <c r="BG2043" s="12"/>
      <c r="BH2043" s="12"/>
      <c r="BI2043" s="12"/>
      <c r="BJ2043" s="12"/>
      <c r="BK2043" s="44"/>
      <c r="BL2043" s="45"/>
      <c r="BM2043" s="12"/>
      <c r="BN2043" s="12"/>
      <c r="BO2043" s="12"/>
      <c r="BP2043" s="12"/>
      <c r="BQ2043" s="48"/>
      <c r="BR2043" s="49"/>
      <c r="BS2043" s="13"/>
      <c r="BT2043" s="12"/>
      <c r="BV2043" s="14"/>
      <c r="BW2043" s="50"/>
      <c r="BX2043" s="54"/>
      <c r="BY2043" s="14"/>
      <c r="BZ2043" s="14"/>
      <c r="CA2043" s="14"/>
      <c r="CB2043" s="14"/>
      <c r="CC2043" s="14"/>
      <c r="CD2043" s="14"/>
      <c r="CE2043" s="14"/>
      <c r="CF2043" s="15"/>
      <c r="CG2043" s="14"/>
      <c r="CH2043" s="14"/>
      <c r="CI2043" s="50"/>
      <c r="CJ2043" s="54"/>
      <c r="CK2043" s="14"/>
      <c r="CL2043" s="14"/>
      <c r="CM2043" s="14"/>
      <c r="CN2043" s="14"/>
      <c r="CO2043" s="14"/>
      <c r="CP2043" s="14"/>
      <c r="CQ2043" s="14"/>
      <c r="CR2043" s="14"/>
      <c r="CS2043" s="14"/>
      <c r="CT2043" s="14"/>
      <c r="CU2043" s="16"/>
      <c r="CV2043" s="14"/>
      <c r="CW2043" s="50"/>
      <c r="CX2043" s="17"/>
    </row>
    <row r="2044" spans="4:102" x14ac:dyDescent="0.25">
      <c r="D2044" s="11"/>
      <c r="E2044" s="11"/>
      <c r="F2044" s="11"/>
      <c r="G2044" s="11"/>
      <c r="H2044" s="11"/>
      <c r="I2044" s="11"/>
      <c r="J2044" s="11"/>
      <c r="K2044" s="11"/>
      <c r="L2044" s="11"/>
      <c r="M2044" s="11"/>
      <c r="N2044" s="11"/>
      <c r="O2044" s="11"/>
      <c r="P2044" s="43"/>
      <c r="Q2044" s="11"/>
      <c r="R2044" s="11"/>
      <c r="S2044" s="11"/>
      <c r="T2044" s="11"/>
      <c r="U2044" s="11"/>
      <c r="V2044" s="11"/>
      <c r="W2044" s="11"/>
      <c r="X2044" s="12"/>
      <c r="Y2044" s="12"/>
      <c r="Z2044" s="12"/>
      <c r="AA2044" s="44"/>
      <c r="AB2044" s="45"/>
      <c r="AC2044" s="12"/>
      <c r="AD2044" s="12"/>
      <c r="AE2044" s="12"/>
      <c r="AF2044" s="12"/>
      <c r="AG2044" s="44"/>
      <c r="AH2044" s="45"/>
      <c r="AI2044" s="12"/>
      <c r="AJ2044" s="12"/>
      <c r="AK2044" s="12"/>
      <c r="AL2044" s="12"/>
      <c r="AM2044" s="44"/>
      <c r="AN2044" s="45"/>
      <c r="AO2044" s="12"/>
      <c r="AP2044" s="12"/>
      <c r="AQ2044" s="12"/>
      <c r="AR2044" s="12"/>
      <c r="AS2044" s="44"/>
      <c r="AT2044" s="45"/>
      <c r="AU2044" s="12"/>
      <c r="AV2044" s="12"/>
      <c r="AW2044" s="12"/>
      <c r="AX2044" s="12"/>
      <c r="AY2044" s="44"/>
      <c r="AZ2044" s="45"/>
      <c r="BA2044" s="12"/>
      <c r="BB2044" s="12"/>
      <c r="BC2044" s="12"/>
      <c r="BD2044" s="12"/>
      <c r="BE2044" s="44"/>
      <c r="BF2044" s="45"/>
      <c r="BG2044" s="12"/>
      <c r="BH2044" s="12"/>
      <c r="BI2044" s="12"/>
      <c r="BJ2044" s="12"/>
      <c r="BK2044" s="44"/>
      <c r="BL2044" s="45"/>
      <c r="BM2044" s="12"/>
      <c r="BN2044" s="12"/>
      <c r="BO2044" s="12"/>
      <c r="BP2044" s="12"/>
      <c r="BQ2044" s="48"/>
      <c r="BR2044" s="49"/>
      <c r="BS2044" s="13"/>
      <c r="BT2044" s="12"/>
      <c r="BV2044" s="14"/>
      <c r="BW2044" s="50"/>
      <c r="BX2044" s="54"/>
      <c r="BY2044" s="14"/>
      <c r="BZ2044" s="14"/>
      <c r="CA2044" s="14"/>
      <c r="CB2044" s="14"/>
      <c r="CC2044" s="14"/>
      <c r="CD2044" s="14"/>
      <c r="CE2044" s="14"/>
      <c r="CF2044" s="15"/>
      <c r="CG2044" s="14"/>
      <c r="CH2044" s="14"/>
      <c r="CI2044" s="50"/>
      <c r="CJ2044" s="54"/>
      <c r="CK2044" s="14"/>
      <c r="CL2044" s="14"/>
      <c r="CM2044" s="14"/>
      <c r="CN2044" s="14"/>
      <c r="CO2044" s="14"/>
      <c r="CP2044" s="14"/>
      <c r="CQ2044" s="14"/>
      <c r="CR2044" s="14"/>
      <c r="CS2044" s="14"/>
      <c r="CT2044" s="14"/>
      <c r="CU2044" s="16"/>
      <c r="CV2044" s="14"/>
      <c r="CW2044" s="50"/>
      <c r="CX2044" s="17"/>
    </row>
    <row r="2045" spans="4:102" x14ac:dyDescent="0.25">
      <c r="D2045" s="11"/>
      <c r="E2045" s="11"/>
      <c r="F2045" s="11"/>
      <c r="G2045" s="11"/>
      <c r="H2045" s="11"/>
      <c r="I2045" s="11"/>
      <c r="J2045" s="11"/>
      <c r="K2045" s="11"/>
      <c r="L2045" s="11"/>
      <c r="M2045" s="11"/>
      <c r="N2045" s="11"/>
      <c r="O2045" s="11"/>
      <c r="P2045" s="43"/>
      <c r="Q2045" s="11"/>
      <c r="R2045" s="11"/>
      <c r="S2045" s="11"/>
      <c r="T2045" s="11"/>
      <c r="U2045" s="11"/>
      <c r="V2045" s="11"/>
      <c r="W2045" s="11"/>
      <c r="X2045" s="12"/>
      <c r="Y2045" s="12"/>
      <c r="Z2045" s="12"/>
      <c r="AA2045" s="44"/>
      <c r="AB2045" s="45"/>
      <c r="AC2045" s="12"/>
      <c r="AD2045" s="12"/>
      <c r="AE2045" s="12"/>
      <c r="AF2045" s="12"/>
      <c r="AG2045" s="44"/>
      <c r="AH2045" s="45"/>
      <c r="AI2045" s="12"/>
      <c r="AJ2045" s="12"/>
      <c r="AK2045" s="12"/>
      <c r="AL2045" s="12"/>
      <c r="AM2045" s="44"/>
      <c r="AN2045" s="45"/>
      <c r="AO2045" s="12"/>
      <c r="AP2045" s="12"/>
      <c r="AQ2045" s="12"/>
      <c r="AR2045" s="12"/>
      <c r="AS2045" s="44"/>
      <c r="AT2045" s="45"/>
      <c r="AU2045" s="12"/>
      <c r="AV2045" s="12"/>
      <c r="AW2045" s="12"/>
      <c r="AX2045" s="12"/>
      <c r="AY2045" s="44"/>
      <c r="AZ2045" s="45"/>
      <c r="BA2045" s="12"/>
      <c r="BB2045" s="12"/>
      <c r="BC2045" s="12"/>
      <c r="BD2045" s="12"/>
      <c r="BE2045" s="44"/>
      <c r="BF2045" s="45"/>
      <c r="BG2045" s="12"/>
      <c r="BH2045" s="12"/>
      <c r="BI2045" s="12"/>
      <c r="BJ2045" s="12"/>
      <c r="BK2045" s="44"/>
      <c r="BL2045" s="45"/>
      <c r="BM2045" s="12"/>
      <c r="BN2045" s="12"/>
      <c r="BO2045" s="12"/>
      <c r="BP2045" s="12"/>
      <c r="BQ2045" s="48"/>
      <c r="BR2045" s="49"/>
      <c r="BS2045" s="13"/>
      <c r="BT2045" s="12"/>
      <c r="BV2045" s="14"/>
      <c r="BW2045" s="50"/>
      <c r="BX2045" s="54"/>
      <c r="BY2045" s="14"/>
      <c r="BZ2045" s="14"/>
      <c r="CA2045" s="14"/>
      <c r="CB2045" s="14"/>
      <c r="CC2045" s="14"/>
      <c r="CD2045" s="14"/>
      <c r="CE2045" s="14"/>
      <c r="CF2045" s="15"/>
      <c r="CG2045" s="14"/>
      <c r="CH2045" s="14"/>
      <c r="CI2045" s="50"/>
      <c r="CJ2045" s="54"/>
      <c r="CK2045" s="14"/>
      <c r="CL2045" s="14"/>
      <c r="CM2045" s="14"/>
      <c r="CN2045" s="14"/>
      <c r="CO2045" s="14"/>
      <c r="CP2045" s="14"/>
      <c r="CQ2045" s="14"/>
      <c r="CR2045" s="14"/>
      <c r="CS2045" s="14"/>
      <c r="CT2045" s="14"/>
      <c r="CU2045" s="16"/>
      <c r="CV2045" s="14"/>
      <c r="CW2045" s="50"/>
      <c r="CX2045" s="17"/>
    </row>
    <row r="2046" spans="4:102" x14ac:dyDescent="0.25">
      <c r="D2046" s="11"/>
      <c r="E2046" s="11"/>
      <c r="F2046" s="11"/>
      <c r="G2046" s="11"/>
      <c r="H2046" s="11"/>
      <c r="I2046" s="11"/>
      <c r="J2046" s="11"/>
      <c r="K2046" s="11"/>
      <c r="L2046" s="11"/>
      <c r="M2046" s="11"/>
      <c r="N2046" s="11"/>
      <c r="O2046" s="11"/>
      <c r="P2046" s="43"/>
      <c r="Q2046" s="11"/>
      <c r="R2046" s="11"/>
      <c r="S2046" s="11"/>
      <c r="T2046" s="11"/>
      <c r="U2046" s="11"/>
      <c r="V2046" s="11"/>
      <c r="W2046" s="11"/>
      <c r="X2046" s="12"/>
      <c r="Y2046" s="12"/>
      <c r="Z2046" s="12"/>
      <c r="AA2046" s="44"/>
      <c r="AB2046" s="45"/>
      <c r="AC2046" s="12"/>
      <c r="AD2046" s="12"/>
      <c r="AE2046" s="12"/>
      <c r="AF2046" s="12"/>
      <c r="AG2046" s="44"/>
      <c r="AH2046" s="45"/>
      <c r="AI2046" s="12"/>
      <c r="AJ2046" s="12"/>
      <c r="AK2046" s="12"/>
      <c r="AL2046" s="12"/>
      <c r="AM2046" s="44"/>
      <c r="AN2046" s="45"/>
      <c r="AO2046" s="12"/>
      <c r="AP2046" s="12"/>
      <c r="AQ2046" s="12"/>
      <c r="AR2046" s="12"/>
      <c r="AS2046" s="44"/>
      <c r="AT2046" s="45"/>
      <c r="AU2046" s="12"/>
      <c r="AV2046" s="12"/>
      <c r="AW2046" s="12"/>
      <c r="AX2046" s="12"/>
      <c r="AY2046" s="44"/>
      <c r="AZ2046" s="45"/>
      <c r="BA2046" s="12"/>
      <c r="BB2046" s="12"/>
      <c r="BC2046" s="12"/>
      <c r="BD2046" s="12"/>
      <c r="BE2046" s="44"/>
      <c r="BF2046" s="45"/>
      <c r="BG2046" s="12"/>
      <c r="BH2046" s="12"/>
      <c r="BI2046" s="12"/>
      <c r="BJ2046" s="12"/>
      <c r="BK2046" s="44"/>
      <c r="BL2046" s="45"/>
      <c r="BM2046" s="12"/>
      <c r="BN2046" s="12"/>
      <c r="BO2046" s="12"/>
      <c r="BP2046" s="12"/>
      <c r="BQ2046" s="48"/>
      <c r="BR2046" s="49"/>
      <c r="BS2046" s="13"/>
      <c r="BT2046" s="12"/>
      <c r="BV2046" s="14"/>
      <c r="BW2046" s="50"/>
      <c r="BX2046" s="54"/>
      <c r="BY2046" s="14"/>
      <c r="BZ2046" s="14"/>
      <c r="CA2046" s="14"/>
      <c r="CB2046" s="14"/>
      <c r="CC2046" s="14"/>
      <c r="CD2046" s="14"/>
      <c r="CE2046" s="14"/>
      <c r="CF2046" s="15"/>
      <c r="CG2046" s="14"/>
      <c r="CH2046" s="14"/>
      <c r="CI2046" s="50"/>
      <c r="CJ2046" s="54"/>
      <c r="CK2046" s="14"/>
      <c r="CL2046" s="14"/>
      <c r="CM2046" s="14"/>
      <c r="CN2046" s="14"/>
      <c r="CO2046" s="14"/>
      <c r="CP2046" s="14"/>
      <c r="CQ2046" s="14"/>
      <c r="CR2046" s="14"/>
      <c r="CS2046" s="14"/>
      <c r="CT2046" s="14"/>
      <c r="CU2046" s="16"/>
      <c r="CV2046" s="14"/>
      <c r="CW2046" s="50"/>
      <c r="CX2046" s="17"/>
    </row>
    <row r="2047" spans="4:102" x14ac:dyDescent="0.25">
      <c r="D2047" s="11"/>
      <c r="E2047" s="11"/>
      <c r="F2047" s="11"/>
      <c r="G2047" s="11"/>
      <c r="H2047" s="11"/>
      <c r="I2047" s="11"/>
      <c r="J2047" s="11"/>
      <c r="K2047" s="11"/>
      <c r="L2047" s="11"/>
      <c r="M2047" s="11"/>
      <c r="N2047" s="11"/>
      <c r="O2047" s="11"/>
      <c r="P2047" s="43"/>
      <c r="Q2047" s="11"/>
      <c r="R2047" s="11"/>
      <c r="S2047" s="11"/>
      <c r="T2047" s="11"/>
      <c r="U2047" s="11"/>
      <c r="V2047" s="11"/>
      <c r="W2047" s="11"/>
      <c r="X2047" s="12"/>
      <c r="Y2047" s="12"/>
      <c r="Z2047" s="12"/>
      <c r="AA2047" s="44"/>
      <c r="AB2047" s="45"/>
      <c r="AC2047" s="12"/>
      <c r="AD2047" s="12"/>
      <c r="AE2047" s="12"/>
      <c r="AF2047" s="12"/>
      <c r="AG2047" s="44"/>
      <c r="AH2047" s="45"/>
      <c r="AI2047" s="12"/>
      <c r="AJ2047" s="12"/>
      <c r="AK2047" s="12"/>
      <c r="AL2047" s="12"/>
      <c r="AM2047" s="44"/>
      <c r="AN2047" s="45"/>
      <c r="AO2047" s="12"/>
      <c r="AP2047" s="12"/>
      <c r="AQ2047" s="12"/>
      <c r="AR2047" s="12"/>
      <c r="AS2047" s="44"/>
      <c r="AT2047" s="45"/>
      <c r="AU2047" s="12"/>
      <c r="AV2047" s="12"/>
      <c r="AW2047" s="12"/>
      <c r="AX2047" s="12"/>
      <c r="AY2047" s="44"/>
      <c r="AZ2047" s="45"/>
      <c r="BA2047" s="12"/>
      <c r="BB2047" s="12"/>
      <c r="BC2047" s="12"/>
      <c r="BD2047" s="12"/>
      <c r="BE2047" s="44"/>
      <c r="BF2047" s="45"/>
      <c r="BG2047" s="12"/>
      <c r="BH2047" s="12"/>
      <c r="BI2047" s="12"/>
      <c r="BJ2047" s="12"/>
      <c r="BK2047" s="44"/>
      <c r="BL2047" s="45"/>
      <c r="BM2047" s="12"/>
      <c r="BN2047" s="12"/>
      <c r="BO2047" s="12"/>
      <c r="BP2047" s="12"/>
      <c r="BQ2047" s="48"/>
      <c r="BR2047" s="49"/>
      <c r="BS2047" s="13"/>
      <c r="BT2047" s="12"/>
      <c r="BV2047" s="14"/>
      <c r="BW2047" s="50"/>
      <c r="BX2047" s="54"/>
      <c r="BY2047" s="14"/>
      <c r="BZ2047" s="14"/>
      <c r="CA2047" s="14"/>
      <c r="CB2047" s="14"/>
      <c r="CC2047" s="14"/>
      <c r="CD2047" s="14"/>
      <c r="CE2047" s="14"/>
      <c r="CF2047" s="15"/>
      <c r="CG2047" s="14"/>
      <c r="CH2047" s="14"/>
      <c r="CI2047" s="50"/>
      <c r="CJ2047" s="54"/>
      <c r="CK2047" s="14"/>
      <c r="CL2047" s="14"/>
      <c r="CM2047" s="14"/>
      <c r="CN2047" s="14"/>
      <c r="CO2047" s="14"/>
      <c r="CP2047" s="14"/>
      <c r="CQ2047" s="14"/>
      <c r="CR2047" s="14"/>
      <c r="CS2047" s="14"/>
      <c r="CT2047" s="14"/>
      <c r="CU2047" s="16"/>
      <c r="CV2047" s="14"/>
      <c r="CW2047" s="50"/>
      <c r="CX2047" s="17"/>
    </row>
    <row r="2048" spans="4:102" x14ac:dyDescent="0.25">
      <c r="D2048" s="11"/>
      <c r="E2048" s="11"/>
      <c r="F2048" s="11"/>
      <c r="G2048" s="11"/>
      <c r="H2048" s="11"/>
      <c r="I2048" s="11"/>
      <c r="J2048" s="11"/>
      <c r="K2048" s="11"/>
      <c r="L2048" s="11"/>
      <c r="M2048" s="11"/>
      <c r="N2048" s="11"/>
      <c r="O2048" s="11"/>
      <c r="P2048" s="43"/>
      <c r="Q2048" s="11"/>
      <c r="R2048" s="11"/>
      <c r="S2048" s="11"/>
      <c r="T2048" s="11"/>
      <c r="U2048" s="11"/>
      <c r="V2048" s="11"/>
      <c r="W2048" s="11"/>
      <c r="X2048" s="12"/>
      <c r="Y2048" s="12"/>
      <c r="Z2048" s="12"/>
      <c r="AA2048" s="44"/>
      <c r="AB2048" s="45"/>
      <c r="AC2048" s="12"/>
      <c r="AD2048" s="12"/>
      <c r="AE2048" s="12"/>
      <c r="AF2048" s="12"/>
      <c r="AG2048" s="44"/>
      <c r="AH2048" s="45"/>
      <c r="AI2048" s="12"/>
      <c r="AJ2048" s="12"/>
      <c r="AK2048" s="12"/>
      <c r="AL2048" s="12"/>
      <c r="AM2048" s="44"/>
      <c r="AN2048" s="45"/>
      <c r="AO2048" s="12"/>
      <c r="AP2048" s="12"/>
      <c r="AQ2048" s="12"/>
      <c r="AR2048" s="12"/>
      <c r="AS2048" s="44"/>
      <c r="AT2048" s="45"/>
      <c r="AU2048" s="12"/>
      <c r="AV2048" s="12"/>
      <c r="AW2048" s="12"/>
      <c r="AX2048" s="12"/>
      <c r="AY2048" s="44"/>
      <c r="AZ2048" s="45"/>
      <c r="BA2048" s="12"/>
      <c r="BB2048" s="12"/>
      <c r="BC2048" s="12"/>
      <c r="BD2048" s="12"/>
      <c r="BE2048" s="44"/>
      <c r="BF2048" s="45"/>
      <c r="BG2048" s="12"/>
      <c r="BH2048" s="12"/>
      <c r="BI2048" s="12"/>
      <c r="BJ2048" s="12"/>
      <c r="BK2048" s="44"/>
      <c r="BL2048" s="45"/>
      <c r="BM2048" s="12"/>
      <c r="BN2048" s="12"/>
      <c r="BO2048" s="12"/>
      <c r="BP2048" s="12"/>
      <c r="BQ2048" s="48"/>
      <c r="BR2048" s="49"/>
      <c r="BS2048" s="13"/>
      <c r="BT2048" s="12"/>
      <c r="BV2048" s="14"/>
      <c r="BW2048" s="50"/>
      <c r="BX2048" s="54"/>
      <c r="BY2048" s="14"/>
      <c r="BZ2048" s="14"/>
      <c r="CA2048" s="14"/>
      <c r="CB2048" s="14"/>
      <c r="CC2048" s="14"/>
      <c r="CD2048" s="14"/>
      <c r="CE2048" s="14"/>
      <c r="CF2048" s="15"/>
      <c r="CG2048" s="14"/>
      <c r="CH2048" s="14"/>
      <c r="CI2048" s="50"/>
      <c r="CJ2048" s="54"/>
      <c r="CK2048" s="14"/>
      <c r="CL2048" s="14"/>
      <c r="CM2048" s="14"/>
      <c r="CN2048" s="14"/>
      <c r="CO2048" s="14"/>
      <c r="CP2048" s="14"/>
      <c r="CQ2048" s="14"/>
      <c r="CR2048" s="14"/>
      <c r="CS2048" s="14"/>
      <c r="CT2048" s="14"/>
      <c r="CU2048" s="16"/>
      <c r="CV2048" s="14"/>
      <c r="CW2048" s="50"/>
      <c r="CX2048" s="17"/>
    </row>
    <row r="2049" spans="4:102" x14ac:dyDescent="0.25">
      <c r="D2049" s="11"/>
      <c r="E2049" s="11"/>
      <c r="F2049" s="11"/>
      <c r="G2049" s="11"/>
      <c r="H2049" s="11"/>
      <c r="I2049" s="11"/>
      <c r="J2049" s="11"/>
      <c r="K2049" s="11"/>
      <c r="L2049" s="11"/>
      <c r="M2049" s="11"/>
      <c r="N2049" s="11"/>
      <c r="O2049" s="11"/>
      <c r="P2049" s="43"/>
      <c r="Q2049" s="11"/>
      <c r="R2049" s="11"/>
      <c r="S2049" s="11"/>
      <c r="T2049" s="11"/>
      <c r="U2049" s="11"/>
      <c r="V2049" s="11"/>
      <c r="W2049" s="11"/>
      <c r="X2049" s="12"/>
      <c r="Y2049" s="12"/>
      <c r="Z2049" s="12"/>
      <c r="AA2049" s="44"/>
      <c r="AB2049" s="45"/>
      <c r="AC2049" s="12"/>
      <c r="AD2049" s="12"/>
      <c r="AE2049" s="12"/>
      <c r="AF2049" s="12"/>
      <c r="AG2049" s="44"/>
      <c r="AH2049" s="45"/>
      <c r="AI2049" s="12"/>
      <c r="AJ2049" s="12"/>
      <c r="AK2049" s="12"/>
      <c r="AL2049" s="12"/>
      <c r="AM2049" s="44"/>
      <c r="AN2049" s="45"/>
      <c r="AO2049" s="12"/>
      <c r="AP2049" s="12"/>
      <c r="AQ2049" s="12"/>
      <c r="AR2049" s="12"/>
      <c r="AS2049" s="44"/>
      <c r="AT2049" s="45"/>
      <c r="AU2049" s="12"/>
      <c r="AV2049" s="12"/>
      <c r="AW2049" s="12"/>
      <c r="AX2049" s="12"/>
      <c r="AY2049" s="44"/>
      <c r="AZ2049" s="45"/>
      <c r="BA2049" s="12"/>
      <c r="BB2049" s="12"/>
      <c r="BC2049" s="12"/>
      <c r="BD2049" s="12"/>
      <c r="BE2049" s="44"/>
      <c r="BF2049" s="45"/>
      <c r="BG2049" s="12"/>
      <c r="BH2049" s="12"/>
      <c r="BI2049" s="12"/>
      <c r="BJ2049" s="12"/>
      <c r="BK2049" s="44"/>
      <c r="BL2049" s="45"/>
      <c r="BM2049" s="12"/>
      <c r="BN2049" s="12"/>
      <c r="BO2049" s="12"/>
      <c r="BP2049" s="12"/>
      <c r="BQ2049" s="48"/>
      <c r="BR2049" s="49"/>
      <c r="BS2049" s="13"/>
      <c r="BT2049" s="12"/>
      <c r="BV2049" s="14"/>
      <c r="BW2049" s="50"/>
      <c r="BX2049" s="54"/>
      <c r="BY2049" s="14"/>
      <c r="BZ2049" s="14"/>
      <c r="CA2049" s="14"/>
      <c r="CB2049" s="14"/>
      <c r="CC2049" s="14"/>
      <c r="CD2049" s="14"/>
      <c r="CE2049" s="14"/>
      <c r="CF2049" s="15"/>
      <c r="CG2049" s="14"/>
      <c r="CH2049" s="14"/>
      <c r="CI2049" s="50"/>
      <c r="CJ2049" s="54"/>
      <c r="CK2049" s="14"/>
      <c r="CL2049" s="14"/>
      <c r="CM2049" s="14"/>
      <c r="CN2049" s="14"/>
      <c r="CO2049" s="14"/>
      <c r="CP2049" s="14"/>
      <c r="CQ2049" s="14"/>
      <c r="CR2049" s="14"/>
      <c r="CS2049" s="14"/>
      <c r="CT2049" s="14"/>
      <c r="CU2049" s="16"/>
      <c r="CV2049" s="14"/>
      <c r="CW2049" s="50"/>
      <c r="CX2049" s="17"/>
    </row>
    <row r="2050" spans="4:102" x14ac:dyDescent="0.25">
      <c r="D2050" s="11"/>
      <c r="E2050" s="11"/>
      <c r="F2050" s="11"/>
      <c r="G2050" s="11"/>
      <c r="H2050" s="11"/>
      <c r="I2050" s="11"/>
      <c r="J2050" s="11"/>
      <c r="K2050" s="11"/>
      <c r="L2050" s="11"/>
      <c r="M2050" s="11"/>
      <c r="N2050" s="11"/>
      <c r="O2050" s="11"/>
      <c r="P2050" s="43"/>
      <c r="Q2050" s="11"/>
      <c r="R2050" s="11"/>
      <c r="S2050" s="11"/>
      <c r="T2050" s="11"/>
      <c r="U2050" s="11"/>
      <c r="V2050" s="11"/>
      <c r="W2050" s="11"/>
      <c r="X2050" s="12"/>
      <c r="Y2050" s="12"/>
      <c r="Z2050" s="12"/>
      <c r="AA2050" s="44"/>
      <c r="AB2050" s="45"/>
      <c r="AC2050" s="12"/>
      <c r="AD2050" s="12"/>
      <c r="AE2050" s="12"/>
      <c r="AF2050" s="12"/>
      <c r="AG2050" s="44"/>
      <c r="AH2050" s="45"/>
      <c r="AI2050" s="12"/>
      <c r="AJ2050" s="12"/>
      <c r="AK2050" s="12"/>
      <c r="AL2050" s="12"/>
      <c r="AM2050" s="44"/>
      <c r="AN2050" s="45"/>
      <c r="AO2050" s="12"/>
      <c r="AP2050" s="12"/>
      <c r="AQ2050" s="12"/>
      <c r="AR2050" s="12"/>
      <c r="AS2050" s="44"/>
      <c r="AT2050" s="45"/>
      <c r="AU2050" s="12"/>
      <c r="AV2050" s="12"/>
      <c r="AW2050" s="12"/>
      <c r="AX2050" s="12"/>
      <c r="AY2050" s="44"/>
      <c r="AZ2050" s="45"/>
      <c r="BA2050" s="12"/>
      <c r="BB2050" s="12"/>
      <c r="BC2050" s="12"/>
      <c r="BD2050" s="12"/>
      <c r="BE2050" s="44"/>
      <c r="BF2050" s="45"/>
      <c r="BG2050" s="12"/>
      <c r="BH2050" s="12"/>
      <c r="BI2050" s="12"/>
      <c r="BJ2050" s="12"/>
      <c r="BK2050" s="44"/>
      <c r="BL2050" s="45"/>
      <c r="BM2050" s="12"/>
      <c r="BN2050" s="12"/>
      <c r="BO2050" s="12"/>
      <c r="BP2050" s="12"/>
      <c r="BQ2050" s="48"/>
      <c r="BR2050" s="49"/>
      <c r="BS2050" s="13"/>
      <c r="BT2050" s="12"/>
      <c r="BV2050" s="14"/>
      <c r="BW2050" s="50"/>
      <c r="BX2050" s="54"/>
      <c r="BY2050" s="14"/>
      <c r="BZ2050" s="14"/>
      <c r="CA2050" s="14"/>
      <c r="CB2050" s="14"/>
      <c r="CC2050" s="14"/>
      <c r="CD2050" s="14"/>
      <c r="CE2050" s="14"/>
      <c r="CF2050" s="15"/>
      <c r="CG2050" s="14"/>
      <c r="CH2050" s="14"/>
      <c r="CI2050" s="50"/>
      <c r="CJ2050" s="54"/>
      <c r="CK2050" s="14"/>
      <c r="CL2050" s="14"/>
      <c r="CM2050" s="14"/>
      <c r="CN2050" s="14"/>
      <c r="CO2050" s="14"/>
      <c r="CP2050" s="14"/>
      <c r="CQ2050" s="14"/>
      <c r="CR2050" s="14"/>
      <c r="CS2050" s="14"/>
      <c r="CT2050" s="14"/>
      <c r="CU2050" s="16"/>
      <c r="CV2050" s="14"/>
      <c r="CW2050" s="50"/>
      <c r="CX2050" s="17"/>
    </row>
    <row r="2051" spans="4:102" x14ac:dyDescent="0.25">
      <c r="D2051" s="11"/>
      <c r="E2051" s="11"/>
      <c r="F2051" s="11"/>
      <c r="G2051" s="11"/>
      <c r="H2051" s="11"/>
      <c r="I2051" s="11"/>
      <c r="J2051" s="11"/>
      <c r="K2051" s="11"/>
      <c r="L2051" s="11"/>
      <c r="M2051" s="11"/>
      <c r="N2051" s="11"/>
      <c r="O2051" s="11"/>
      <c r="P2051" s="43"/>
      <c r="Q2051" s="11"/>
      <c r="R2051" s="11"/>
      <c r="S2051" s="11"/>
      <c r="T2051" s="11"/>
      <c r="U2051" s="11"/>
      <c r="V2051" s="11"/>
      <c r="W2051" s="11"/>
      <c r="X2051" s="12"/>
      <c r="Y2051" s="12"/>
      <c r="Z2051" s="12"/>
      <c r="AA2051" s="44"/>
      <c r="AB2051" s="45"/>
      <c r="AC2051" s="12"/>
      <c r="AD2051" s="12"/>
      <c r="AE2051" s="12"/>
      <c r="AF2051" s="12"/>
      <c r="AG2051" s="44"/>
      <c r="AH2051" s="45"/>
      <c r="AI2051" s="12"/>
      <c r="AJ2051" s="12"/>
      <c r="AK2051" s="12"/>
      <c r="AL2051" s="12"/>
      <c r="AM2051" s="44"/>
      <c r="AN2051" s="45"/>
      <c r="AO2051" s="12"/>
      <c r="AP2051" s="12"/>
      <c r="AQ2051" s="12"/>
      <c r="AR2051" s="12"/>
      <c r="AS2051" s="44"/>
      <c r="AT2051" s="45"/>
      <c r="AU2051" s="12"/>
      <c r="AV2051" s="12"/>
      <c r="AW2051" s="12"/>
      <c r="AX2051" s="12"/>
      <c r="AY2051" s="44"/>
      <c r="AZ2051" s="45"/>
      <c r="BA2051" s="12"/>
      <c r="BB2051" s="12"/>
      <c r="BC2051" s="12"/>
      <c r="BD2051" s="12"/>
      <c r="BE2051" s="44"/>
      <c r="BF2051" s="45"/>
      <c r="BG2051" s="12"/>
      <c r="BH2051" s="12"/>
      <c r="BI2051" s="12"/>
      <c r="BJ2051" s="12"/>
      <c r="BK2051" s="44"/>
      <c r="BL2051" s="45"/>
      <c r="BM2051" s="12"/>
      <c r="BN2051" s="12"/>
      <c r="BO2051" s="12"/>
      <c r="BP2051" s="12"/>
      <c r="BQ2051" s="48"/>
      <c r="BR2051" s="49"/>
      <c r="BS2051" s="13"/>
      <c r="BT2051" s="12"/>
      <c r="BV2051" s="14"/>
      <c r="BW2051" s="50"/>
      <c r="BX2051" s="54"/>
      <c r="BY2051" s="14"/>
      <c r="BZ2051" s="14"/>
      <c r="CA2051" s="14"/>
      <c r="CB2051" s="14"/>
      <c r="CC2051" s="14"/>
      <c r="CD2051" s="14"/>
      <c r="CE2051" s="14"/>
      <c r="CF2051" s="15"/>
      <c r="CG2051" s="14"/>
      <c r="CH2051" s="14"/>
      <c r="CI2051" s="50"/>
      <c r="CJ2051" s="54"/>
      <c r="CK2051" s="14"/>
      <c r="CL2051" s="14"/>
      <c r="CM2051" s="14"/>
      <c r="CN2051" s="14"/>
      <c r="CO2051" s="14"/>
      <c r="CP2051" s="14"/>
      <c r="CQ2051" s="14"/>
      <c r="CR2051" s="14"/>
      <c r="CS2051" s="14"/>
      <c r="CT2051" s="14"/>
      <c r="CU2051" s="16"/>
      <c r="CV2051" s="14"/>
      <c r="CW2051" s="50"/>
      <c r="CX2051" s="17"/>
    </row>
    <row r="2052" spans="4:102" x14ac:dyDescent="0.25">
      <c r="D2052" s="11"/>
      <c r="E2052" s="11"/>
      <c r="F2052" s="11"/>
      <c r="G2052" s="11"/>
      <c r="H2052" s="11"/>
      <c r="I2052" s="11"/>
      <c r="J2052" s="11"/>
      <c r="K2052" s="11"/>
      <c r="L2052" s="11"/>
      <c r="M2052" s="11"/>
      <c r="N2052" s="11"/>
      <c r="O2052" s="11"/>
      <c r="P2052" s="43"/>
      <c r="Q2052" s="11"/>
      <c r="R2052" s="11"/>
      <c r="S2052" s="11"/>
      <c r="T2052" s="11"/>
      <c r="U2052" s="11"/>
      <c r="V2052" s="11"/>
      <c r="W2052" s="11"/>
      <c r="X2052" s="12"/>
      <c r="Y2052" s="12"/>
      <c r="Z2052" s="12"/>
      <c r="AA2052" s="44"/>
      <c r="AB2052" s="45"/>
      <c r="AC2052" s="12"/>
      <c r="AD2052" s="12"/>
      <c r="AE2052" s="12"/>
      <c r="AF2052" s="12"/>
      <c r="AG2052" s="44"/>
      <c r="AH2052" s="45"/>
      <c r="AI2052" s="12"/>
      <c r="AJ2052" s="12"/>
      <c r="AK2052" s="12"/>
      <c r="AL2052" s="12"/>
      <c r="AM2052" s="44"/>
      <c r="AN2052" s="45"/>
      <c r="AO2052" s="12"/>
      <c r="AP2052" s="12"/>
      <c r="AQ2052" s="12"/>
      <c r="AR2052" s="12"/>
      <c r="AS2052" s="44"/>
      <c r="AT2052" s="45"/>
      <c r="AU2052" s="12"/>
      <c r="AV2052" s="12"/>
      <c r="AW2052" s="12"/>
      <c r="AX2052" s="12"/>
      <c r="AY2052" s="44"/>
      <c r="AZ2052" s="45"/>
      <c r="BA2052" s="12"/>
      <c r="BB2052" s="12"/>
      <c r="BC2052" s="12"/>
      <c r="BD2052" s="12"/>
      <c r="BE2052" s="44"/>
      <c r="BF2052" s="45"/>
      <c r="BG2052" s="12"/>
      <c r="BH2052" s="12"/>
      <c r="BI2052" s="12"/>
      <c r="BJ2052" s="12"/>
      <c r="BK2052" s="44"/>
      <c r="BL2052" s="45"/>
      <c r="BM2052" s="12"/>
      <c r="BN2052" s="12"/>
      <c r="BO2052" s="12"/>
      <c r="BP2052" s="12"/>
      <c r="BQ2052" s="48"/>
      <c r="BR2052" s="49"/>
      <c r="BS2052" s="13"/>
      <c r="BT2052" s="12"/>
      <c r="BV2052" s="14"/>
      <c r="BW2052" s="50"/>
      <c r="BX2052" s="54"/>
      <c r="BY2052" s="14"/>
      <c r="BZ2052" s="14"/>
      <c r="CA2052" s="14"/>
      <c r="CB2052" s="14"/>
      <c r="CC2052" s="14"/>
      <c r="CD2052" s="14"/>
      <c r="CE2052" s="14"/>
      <c r="CF2052" s="15"/>
      <c r="CG2052" s="14"/>
      <c r="CH2052" s="14"/>
      <c r="CI2052" s="50"/>
      <c r="CJ2052" s="54"/>
      <c r="CK2052" s="14"/>
      <c r="CL2052" s="14"/>
      <c r="CM2052" s="14"/>
      <c r="CN2052" s="14"/>
      <c r="CO2052" s="14"/>
      <c r="CP2052" s="14"/>
      <c r="CQ2052" s="14"/>
      <c r="CR2052" s="14"/>
      <c r="CS2052" s="14"/>
      <c r="CT2052" s="14"/>
      <c r="CU2052" s="16"/>
      <c r="CV2052" s="14"/>
      <c r="CW2052" s="50"/>
      <c r="CX2052" s="17"/>
    </row>
    <row r="2053" spans="4:102" x14ac:dyDescent="0.25">
      <c r="D2053" s="11"/>
      <c r="E2053" s="11"/>
      <c r="F2053" s="11"/>
      <c r="G2053" s="11"/>
      <c r="H2053" s="11"/>
      <c r="I2053" s="11"/>
      <c r="J2053" s="11"/>
      <c r="K2053" s="11"/>
      <c r="L2053" s="11"/>
      <c r="M2053" s="11"/>
      <c r="N2053" s="11"/>
      <c r="O2053" s="11"/>
      <c r="P2053" s="43"/>
      <c r="Q2053" s="11"/>
      <c r="R2053" s="11"/>
      <c r="S2053" s="11"/>
      <c r="T2053" s="11"/>
      <c r="U2053" s="11"/>
      <c r="V2053" s="11"/>
      <c r="W2053" s="11"/>
      <c r="X2053" s="12"/>
      <c r="Y2053" s="12"/>
      <c r="Z2053" s="12"/>
      <c r="AA2053" s="44"/>
      <c r="AB2053" s="45"/>
      <c r="AC2053" s="12"/>
      <c r="AD2053" s="12"/>
      <c r="AE2053" s="12"/>
      <c r="AF2053" s="12"/>
      <c r="AG2053" s="44"/>
      <c r="AH2053" s="45"/>
      <c r="AI2053" s="12"/>
      <c r="AJ2053" s="12"/>
      <c r="AK2053" s="12"/>
      <c r="AL2053" s="12"/>
      <c r="AM2053" s="44"/>
      <c r="AN2053" s="45"/>
      <c r="AO2053" s="12"/>
      <c r="AP2053" s="12"/>
      <c r="AQ2053" s="12"/>
      <c r="AR2053" s="12"/>
      <c r="AS2053" s="44"/>
      <c r="AT2053" s="45"/>
      <c r="AU2053" s="12"/>
      <c r="AV2053" s="12"/>
      <c r="AW2053" s="12"/>
      <c r="AX2053" s="12"/>
      <c r="AY2053" s="44"/>
      <c r="AZ2053" s="45"/>
      <c r="BA2053" s="12"/>
      <c r="BB2053" s="12"/>
      <c r="BC2053" s="12"/>
      <c r="BD2053" s="12"/>
      <c r="BE2053" s="44"/>
      <c r="BF2053" s="45"/>
      <c r="BG2053" s="12"/>
      <c r="BH2053" s="12"/>
      <c r="BI2053" s="12"/>
      <c r="BJ2053" s="12"/>
      <c r="BK2053" s="44"/>
      <c r="BL2053" s="45"/>
      <c r="BM2053" s="12"/>
      <c r="BN2053" s="12"/>
      <c r="BO2053" s="12"/>
      <c r="BP2053" s="12"/>
      <c r="BQ2053" s="48"/>
      <c r="BR2053" s="49"/>
      <c r="BS2053" s="13"/>
      <c r="BT2053" s="12"/>
      <c r="BV2053" s="14"/>
      <c r="BW2053" s="50"/>
      <c r="BX2053" s="54"/>
      <c r="BY2053" s="14"/>
      <c r="BZ2053" s="14"/>
      <c r="CA2053" s="14"/>
      <c r="CB2053" s="14"/>
      <c r="CC2053" s="14"/>
      <c r="CD2053" s="14"/>
      <c r="CE2053" s="14"/>
      <c r="CF2053" s="15"/>
      <c r="CG2053" s="14"/>
      <c r="CH2053" s="14"/>
      <c r="CI2053" s="50"/>
      <c r="CJ2053" s="54"/>
      <c r="CK2053" s="14"/>
      <c r="CL2053" s="14"/>
      <c r="CM2053" s="14"/>
      <c r="CN2053" s="14"/>
      <c r="CO2053" s="14"/>
      <c r="CP2053" s="14"/>
      <c r="CQ2053" s="14"/>
      <c r="CR2053" s="14"/>
      <c r="CS2053" s="14"/>
      <c r="CT2053" s="14"/>
      <c r="CU2053" s="16"/>
      <c r="CV2053" s="14"/>
      <c r="CW2053" s="50"/>
      <c r="CX2053" s="17"/>
    </row>
    <row r="2054" spans="4:102" x14ac:dyDescent="0.25">
      <c r="D2054" s="11"/>
      <c r="E2054" s="11"/>
      <c r="F2054" s="11"/>
      <c r="G2054" s="11"/>
      <c r="H2054" s="11"/>
      <c r="I2054" s="11"/>
      <c r="J2054" s="11"/>
      <c r="K2054" s="11"/>
      <c r="L2054" s="11"/>
      <c r="M2054" s="11"/>
      <c r="N2054" s="11"/>
      <c r="O2054" s="11"/>
      <c r="P2054" s="43"/>
      <c r="Q2054" s="11"/>
      <c r="R2054" s="11"/>
      <c r="S2054" s="11"/>
      <c r="T2054" s="11"/>
      <c r="U2054" s="11"/>
      <c r="V2054" s="11"/>
      <c r="W2054" s="11"/>
      <c r="X2054" s="12"/>
      <c r="Y2054" s="12"/>
      <c r="Z2054" s="12"/>
      <c r="AA2054" s="44"/>
      <c r="AB2054" s="45"/>
      <c r="AC2054" s="12"/>
      <c r="AD2054" s="12"/>
      <c r="AE2054" s="12"/>
      <c r="AF2054" s="12"/>
      <c r="AG2054" s="44"/>
      <c r="AH2054" s="45"/>
      <c r="AI2054" s="12"/>
      <c r="AJ2054" s="12"/>
      <c r="AK2054" s="12"/>
      <c r="AL2054" s="12"/>
      <c r="AM2054" s="44"/>
      <c r="AN2054" s="45"/>
      <c r="AO2054" s="12"/>
      <c r="AP2054" s="12"/>
      <c r="AQ2054" s="12"/>
      <c r="AR2054" s="12"/>
      <c r="AS2054" s="44"/>
      <c r="AT2054" s="45"/>
      <c r="AU2054" s="12"/>
      <c r="AV2054" s="12"/>
      <c r="AW2054" s="12"/>
      <c r="AX2054" s="12"/>
      <c r="AY2054" s="44"/>
      <c r="AZ2054" s="45"/>
      <c r="BA2054" s="12"/>
      <c r="BB2054" s="12"/>
      <c r="BC2054" s="12"/>
      <c r="BD2054" s="12"/>
      <c r="BE2054" s="44"/>
      <c r="BF2054" s="45"/>
      <c r="BG2054" s="12"/>
      <c r="BH2054" s="12"/>
      <c r="BI2054" s="12"/>
      <c r="BJ2054" s="12"/>
      <c r="BK2054" s="44"/>
      <c r="BL2054" s="45"/>
      <c r="BM2054" s="12"/>
      <c r="BN2054" s="12"/>
      <c r="BO2054" s="12"/>
      <c r="BP2054" s="12"/>
      <c r="BQ2054" s="48"/>
      <c r="BR2054" s="49"/>
      <c r="BS2054" s="13"/>
      <c r="BT2054" s="12"/>
      <c r="BV2054" s="14"/>
      <c r="BW2054" s="50"/>
      <c r="BX2054" s="54"/>
      <c r="BY2054" s="14"/>
      <c r="BZ2054" s="14"/>
      <c r="CA2054" s="14"/>
      <c r="CB2054" s="14"/>
      <c r="CC2054" s="14"/>
      <c r="CD2054" s="14"/>
      <c r="CE2054" s="14"/>
      <c r="CF2054" s="15"/>
      <c r="CG2054" s="14"/>
      <c r="CH2054" s="14"/>
      <c r="CI2054" s="50"/>
      <c r="CJ2054" s="54"/>
      <c r="CK2054" s="14"/>
      <c r="CL2054" s="14"/>
      <c r="CM2054" s="14"/>
      <c r="CN2054" s="14"/>
      <c r="CO2054" s="14"/>
      <c r="CP2054" s="14"/>
      <c r="CQ2054" s="14"/>
      <c r="CR2054" s="14"/>
      <c r="CS2054" s="14"/>
      <c r="CT2054" s="14"/>
      <c r="CU2054" s="16"/>
      <c r="CV2054" s="14"/>
      <c r="CW2054" s="50"/>
      <c r="CX2054" s="17"/>
    </row>
    <row r="2055" spans="4:102" x14ac:dyDescent="0.25">
      <c r="D2055" s="11"/>
      <c r="E2055" s="11"/>
      <c r="F2055" s="11"/>
      <c r="G2055" s="11"/>
      <c r="H2055" s="11"/>
      <c r="I2055" s="11"/>
      <c r="J2055" s="11"/>
      <c r="K2055" s="11"/>
      <c r="L2055" s="11"/>
      <c r="M2055" s="11"/>
      <c r="N2055" s="11"/>
      <c r="O2055" s="11"/>
      <c r="P2055" s="43"/>
      <c r="Q2055" s="11"/>
      <c r="R2055" s="11"/>
      <c r="S2055" s="11"/>
      <c r="T2055" s="11"/>
      <c r="U2055" s="11"/>
      <c r="V2055" s="11"/>
      <c r="W2055" s="11"/>
      <c r="X2055" s="12"/>
      <c r="Y2055" s="12"/>
      <c r="Z2055" s="12"/>
      <c r="AA2055" s="44"/>
      <c r="AB2055" s="45"/>
      <c r="AC2055" s="12"/>
      <c r="AD2055" s="12"/>
      <c r="AE2055" s="12"/>
      <c r="AF2055" s="12"/>
      <c r="AG2055" s="44"/>
      <c r="AH2055" s="45"/>
      <c r="AI2055" s="12"/>
      <c r="AJ2055" s="12"/>
      <c r="AK2055" s="12"/>
      <c r="AL2055" s="12"/>
      <c r="AM2055" s="44"/>
      <c r="AN2055" s="45"/>
      <c r="AO2055" s="12"/>
      <c r="AP2055" s="12"/>
      <c r="AQ2055" s="12"/>
      <c r="AR2055" s="12"/>
      <c r="AS2055" s="44"/>
      <c r="AT2055" s="45"/>
      <c r="AU2055" s="12"/>
      <c r="AV2055" s="12"/>
      <c r="AW2055" s="12"/>
      <c r="AX2055" s="12"/>
      <c r="AY2055" s="44"/>
      <c r="AZ2055" s="45"/>
      <c r="BA2055" s="12"/>
      <c r="BB2055" s="12"/>
      <c r="BC2055" s="12"/>
      <c r="BD2055" s="12"/>
      <c r="BE2055" s="44"/>
      <c r="BF2055" s="45"/>
      <c r="BG2055" s="12"/>
      <c r="BH2055" s="12"/>
      <c r="BI2055" s="12"/>
      <c r="BJ2055" s="12"/>
      <c r="BK2055" s="44"/>
      <c r="BL2055" s="45"/>
      <c r="BM2055" s="12"/>
      <c r="BN2055" s="12"/>
      <c r="BO2055" s="12"/>
      <c r="BP2055" s="12"/>
      <c r="BQ2055" s="48"/>
      <c r="BR2055" s="49"/>
      <c r="BS2055" s="13"/>
      <c r="BT2055" s="12"/>
      <c r="BV2055" s="14"/>
      <c r="BW2055" s="50"/>
      <c r="BX2055" s="54"/>
      <c r="BY2055" s="14"/>
      <c r="BZ2055" s="14"/>
      <c r="CA2055" s="14"/>
      <c r="CB2055" s="14"/>
      <c r="CC2055" s="14"/>
      <c r="CD2055" s="14"/>
      <c r="CE2055" s="14"/>
      <c r="CF2055" s="15"/>
      <c r="CG2055" s="14"/>
      <c r="CH2055" s="14"/>
      <c r="CI2055" s="50"/>
      <c r="CJ2055" s="54"/>
      <c r="CK2055" s="14"/>
      <c r="CL2055" s="14"/>
      <c r="CM2055" s="14"/>
      <c r="CN2055" s="14"/>
      <c r="CO2055" s="14"/>
      <c r="CP2055" s="14"/>
      <c r="CQ2055" s="14"/>
      <c r="CR2055" s="14"/>
      <c r="CS2055" s="14"/>
      <c r="CT2055" s="14"/>
      <c r="CU2055" s="16"/>
      <c r="CV2055" s="14"/>
      <c r="CW2055" s="50"/>
      <c r="CX2055" s="17"/>
    </row>
    <row r="2056" spans="4:102" x14ac:dyDescent="0.25">
      <c r="D2056" s="11"/>
      <c r="E2056" s="11"/>
      <c r="F2056" s="11"/>
      <c r="G2056" s="11"/>
      <c r="H2056" s="11"/>
      <c r="I2056" s="11"/>
      <c r="J2056" s="11"/>
      <c r="K2056" s="11"/>
      <c r="L2056" s="11"/>
      <c r="M2056" s="11"/>
      <c r="N2056" s="11"/>
      <c r="O2056" s="11"/>
      <c r="P2056" s="43"/>
      <c r="Q2056" s="11"/>
      <c r="R2056" s="11"/>
      <c r="S2056" s="11"/>
      <c r="T2056" s="11"/>
      <c r="U2056" s="11"/>
      <c r="V2056" s="11"/>
      <c r="W2056" s="11"/>
      <c r="X2056" s="12"/>
      <c r="Y2056" s="12"/>
      <c r="Z2056" s="12"/>
      <c r="AA2056" s="44"/>
      <c r="AB2056" s="45"/>
      <c r="AC2056" s="12"/>
      <c r="AD2056" s="12"/>
      <c r="AE2056" s="12"/>
      <c r="AF2056" s="12"/>
      <c r="AG2056" s="44"/>
      <c r="AH2056" s="45"/>
      <c r="AI2056" s="12"/>
      <c r="AJ2056" s="12"/>
      <c r="AK2056" s="12"/>
      <c r="AL2056" s="12"/>
      <c r="AM2056" s="44"/>
      <c r="AN2056" s="45"/>
      <c r="AO2056" s="12"/>
      <c r="AP2056" s="12"/>
      <c r="AQ2056" s="12"/>
      <c r="AR2056" s="12"/>
      <c r="AS2056" s="44"/>
      <c r="AT2056" s="45"/>
      <c r="AU2056" s="12"/>
      <c r="AV2056" s="12"/>
      <c r="AW2056" s="12"/>
      <c r="AX2056" s="12"/>
      <c r="AY2056" s="44"/>
      <c r="AZ2056" s="45"/>
      <c r="BA2056" s="12"/>
      <c r="BB2056" s="12"/>
      <c r="BC2056" s="12"/>
      <c r="BD2056" s="12"/>
      <c r="BE2056" s="44"/>
      <c r="BF2056" s="45"/>
      <c r="BG2056" s="12"/>
      <c r="BH2056" s="12"/>
      <c r="BI2056" s="12"/>
      <c r="BJ2056" s="12"/>
      <c r="BK2056" s="44"/>
      <c r="BL2056" s="45"/>
      <c r="BM2056" s="12"/>
      <c r="BN2056" s="12"/>
      <c r="BO2056" s="12"/>
      <c r="BP2056" s="12"/>
      <c r="BQ2056" s="48"/>
      <c r="BR2056" s="49"/>
      <c r="BS2056" s="13"/>
      <c r="BT2056" s="12"/>
      <c r="BV2056" s="14"/>
      <c r="BW2056" s="50"/>
      <c r="BX2056" s="54"/>
      <c r="BY2056" s="14"/>
      <c r="BZ2056" s="14"/>
      <c r="CA2056" s="14"/>
      <c r="CB2056" s="14"/>
      <c r="CC2056" s="14"/>
      <c r="CD2056" s="14"/>
      <c r="CE2056" s="14"/>
      <c r="CF2056" s="15"/>
      <c r="CG2056" s="14"/>
      <c r="CH2056" s="14"/>
      <c r="CI2056" s="50"/>
      <c r="CJ2056" s="54"/>
      <c r="CK2056" s="14"/>
      <c r="CL2056" s="14"/>
      <c r="CM2056" s="14"/>
      <c r="CN2056" s="14"/>
      <c r="CO2056" s="14"/>
      <c r="CP2056" s="14"/>
      <c r="CQ2056" s="14"/>
      <c r="CR2056" s="14"/>
      <c r="CS2056" s="14"/>
      <c r="CT2056" s="14"/>
      <c r="CU2056" s="16"/>
      <c r="CV2056" s="14"/>
      <c r="CW2056" s="50"/>
      <c r="CX2056" s="17"/>
    </row>
    <row r="2057" spans="4:102" x14ac:dyDescent="0.25">
      <c r="D2057" s="11"/>
      <c r="E2057" s="11"/>
      <c r="F2057" s="11"/>
      <c r="G2057" s="11"/>
      <c r="H2057" s="11"/>
      <c r="I2057" s="11"/>
      <c r="J2057" s="11"/>
      <c r="K2057" s="11"/>
      <c r="L2057" s="11"/>
      <c r="M2057" s="11"/>
      <c r="N2057" s="11"/>
      <c r="O2057" s="11"/>
      <c r="P2057" s="43"/>
      <c r="Q2057" s="11"/>
      <c r="R2057" s="11"/>
      <c r="S2057" s="11"/>
      <c r="T2057" s="11"/>
      <c r="U2057" s="11"/>
      <c r="V2057" s="11"/>
      <c r="W2057" s="11"/>
      <c r="X2057" s="12"/>
      <c r="Y2057" s="12"/>
      <c r="Z2057" s="12"/>
      <c r="AA2057" s="44"/>
      <c r="AB2057" s="45"/>
      <c r="AC2057" s="12"/>
      <c r="AD2057" s="12"/>
      <c r="AE2057" s="12"/>
      <c r="AF2057" s="12"/>
      <c r="AG2057" s="44"/>
      <c r="AH2057" s="45"/>
      <c r="AI2057" s="12"/>
      <c r="AJ2057" s="12"/>
      <c r="AK2057" s="12"/>
      <c r="AL2057" s="12"/>
      <c r="AM2057" s="44"/>
      <c r="AN2057" s="45"/>
      <c r="AO2057" s="12"/>
      <c r="AP2057" s="12"/>
      <c r="AQ2057" s="12"/>
      <c r="AR2057" s="12"/>
      <c r="AS2057" s="44"/>
      <c r="AT2057" s="45"/>
      <c r="AU2057" s="12"/>
      <c r="AV2057" s="12"/>
      <c r="AW2057" s="12"/>
      <c r="AX2057" s="12"/>
      <c r="AY2057" s="44"/>
      <c r="AZ2057" s="45"/>
      <c r="BA2057" s="12"/>
      <c r="BB2057" s="12"/>
      <c r="BC2057" s="12"/>
      <c r="BD2057" s="12"/>
      <c r="BE2057" s="44"/>
      <c r="BF2057" s="45"/>
      <c r="BG2057" s="12"/>
      <c r="BH2057" s="12"/>
      <c r="BI2057" s="12"/>
      <c r="BJ2057" s="12"/>
      <c r="BK2057" s="44"/>
      <c r="BL2057" s="45"/>
      <c r="BM2057" s="12"/>
      <c r="BN2057" s="12"/>
      <c r="BO2057" s="12"/>
      <c r="BP2057" s="12"/>
      <c r="BQ2057" s="48"/>
      <c r="BR2057" s="49"/>
      <c r="BS2057" s="13"/>
      <c r="BT2057" s="12"/>
      <c r="BV2057" s="14"/>
      <c r="BW2057" s="50"/>
      <c r="BX2057" s="54"/>
      <c r="BY2057" s="14"/>
      <c r="BZ2057" s="14"/>
      <c r="CA2057" s="14"/>
      <c r="CB2057" s="14"/>
      <c r="CC2057" s="14"/>
      <c r="CD2057" s="14"/>
      <c r="CE2057" s="14"/>
      <c r="CF2057" s="15"/>
      <c r="CG2057" s="14"/>
      <c r="CH2057" s="14"/>
      <c r="CI2057" s="50"/>
      <c r="CJ2057" s="54"/>
      <c r="CK2057" s="14"/>
      <c r="CL2057" s="14"/>
      <c r="CM2057" s="14"/>
      <c r="CN2057" s="14"/>
      <c r="CO2057" s="14"/>
      <c r="CP2057" s="14"/>
      <c r="CQ2057" s="14"/>
      <c r="CR2057" s="14"/>
      <c r="CS2057" s="14"/>
      <c r="CT2057" s="14"/>
      <c r="CU2057" s="16"/>
      <c r="CV2057" s="14"/>
      <c r="CW2057" s="50"/>
      <c r="CX2057" s="17"/>
    </row>
    <row r="2058" spans="4:102" x14ac:dyDescent="0.25">
      <c r="D2058" s="11"/>
      <c r="E2058" s="11"/>
      <c r="F2058" s="11"/>
      <c r="G2058" s="11"/>
      <c r="H2058" s="11"/>
      <c r="I2058" s="11"/>
      <c r="J2058" s="11"/>
      <c r="K2058" s="11"/>
      <c r="L2058" s="11"/>
      <c r="M2058" s="11"/>
      <c r="N2058" s="11"/>
      <c r="O2058" s="11"/>
      <c r="P2058" s="43"/>
      <c r="Q2058" s="11"/>
      <c r="R2058" s="11"/>
      <c r="S2058" s="11"/>
      <c r="T2058" s="11"/>
      <c r="U2058" s="11"/>
      <c r="V2058" s="11"/>
      <c r="W2058" s="11"/>
      <c r="X2058" s="12"/>
      <c r="Y2058" s="12"/>
      <c r="Z2058" s="12"/>
      <c r="AA2058" s="44"/>
      <c r="AB2058" s="45"/>
      <c r="AC2058" s="12"/>
      <c r="AD2058" s="12"/>
      <c r="AE2058" s="12"/>
      <c r="AF2058" s="12"/>
      <c r="AG2058" s="44"/>
      <c r="AH2058" s="45"/>
      <c r="AI2058" s="12"/>
      <c r="AJ2058" s="12"/>
      <c r="AK2058" s="12"/>
      <c r="AL2058" s="12"/>
      <c r="AM2058" s="44"/>
      <c r="AN2058" s="45"/>
      <c r="AO2058" s="12"/>
      <c r="AP2058" s="12"/>
      <c r="AQ2058" s="12"/>
      <c r="AR2058" s="12"/>
      <c r="AS2058" s="44"/>
      <c r="AT2058" s="45"/>
      <c r="AU2058" s="12"/>
      <c r="AV2058" s="12"/>
      <c r="AW2058" s="12"/>
      <c r="AX2058" s="12"/>
      <c r="AY2058" s="44"/>
      <c r="AZ2058" s="45"/>
      <c r="BA2058" s="12"/>
      <c r="BB2058" s="12"/>
      <c r="BC2058" s="12"/>
      <c r="BD2058" s="12"/>
      <c r="BE2058" s="44"/>
      <c r="BF2058" s="45"/>
      <c r="BG2058" s="12"/>
      <c r="BH2058" s="12"/>
      <c r="BI2058" s="12"/>
      <c r="BJ2058" s="12"/>
      <c r="BK2058" s="44"/>
      <c r="BL2058" s="45"/>
      <c r="BM2058" s="12"/>
      <c r="BN2058" s="12"/>
      <c r="BO2058" s="12"/>
      <c r="BP2058" s="12"/>
      <c r="BQ2058" s="48"/>
      <c r="BR2058" s="49"/>
      <c r="BS2058" s="13"/>
      <c r="BT2058" s="12"/>
      <c r="BV2058" s="14"/>
      <c r="BW2058" s="50"/>
      <c r="BX2058" s="54"/>
      <c r="BY2058" s="14"/>
      <c r="BZ2058" s="14"/>
      <c r="CA2058" s="14"/>
      <c r="CB2058" s="14"/>
      <c r="CC2058" s="14"/>
      <c r="CD2058" s="14"/>
      <c r="CE2058" s="14"/>
      <c r="CF2058" s="15"/>
      <c r="CG2058" s="14"/>
      <c r="CH2058" s="14"/>
      <c r="CI2058" s="50"/>
      <c r="CJ2058" s="54"/>
      <c r="CK2058" s="14"/>
      <c r="CL2058" s="14"/>
      <c r="CM2058" s="14"/>
      <c r="CN2058" s="14"/>
      <c r="CO2058" s="14"/>
      <c r="CP2058" s="14"/>
      <c r="CQ2058" s="14"/>
      <c r="CR2058" s="14"/>
      <c r="CS2058" s="14"/>
      <c r="CT2058" s="14"/>
      <c r="CU2058" s="16"/>
      <c r="CV2058" s="14"/>
      <c r="CW2058" s="50"/>
      <c r="CX2058" s="17"/>
    </row>
    <row r="2059" spans="4:102" x14ac:dyDescent="0.25">
      <c r="D2059" s="11"/>
      <c r="E2059" s="11"/>
      <c r="F2059" s="11"/>
      <c r="G2059" s="11"/>
      <c r="H2059" s="11"/>
      <c r="I2059" s="11"/>
      <c r="J2059" s="11"/>
      <c r="K2059" s="11"/>
      <c r="L2059" s="11"/>
      <c r="M2059" s="11"/>
      <c r="N2059" s="11"/>
      <c r="O2059" s="11"/>
      <c r="P2059" s="43"/>
      <c r="Q2059" s="11"/>
      <c r="R2059" s="11"/>
      <c r="S2059" s="11"/>
      <c r="T2059" s="11"/>
      <c r="U2059" s="11"/>
      <c r="V2059" s="11"/>
      <c r="W2059" s="11"/>
      <c r="X2059" s="12"/>
      <c r="Y2059" s="12"/>
      <c r="Z2059" s="12"/>
      <c r="AA2059" s="44"/>
      <c r="AB2059" s="45"/>
      <c r="AC2059" s="12"/>
      <c r="AD2059" s="12"/>
      <c r="AE2059" s="12"/>
      <c r="AF2059" s="12"/>
      <c r="AG2059" s="44"/>
      <c r="AH2059" s="45"/>
      <c r="AI2059" s="12"/>
      <c r="AJ2059" s="12"/>
      <c r="AK2059" s="12"/>
      <c r="AL2059" s="12"/>
      <c r="AM2059" s="44"/>
      <c r="AN2059" s="45"/>
      <c r="AO2059" s="12"/>
      <c r="AP2059" s="12"/>
      <c r="AQ2059" s="12"/>
      <c r="AR2059" s="12"/>
      <c r="AS2059" s="44"/>
      <c r="AT2059" s="45"/>
      <c r="AU2059" s="12"/>
      <c r="AV2059" s="12"/>
      <c r="AW2059" s="12"/>
      <c r="AX2059" s="12"/>
      <c r="AY2059" s="44"/>
      <c r="AZ2059" s="45"/>
      <c r="BA2059" s="12"/>
      <c r="BB2059" s="12"/>
      <c r="BC2059" s="12"/>
      <c r="BD2059" s="12"/>
      <c r="BE2059" s="44"/>
      <c r="BF2059" s="45"/>
      <c r="BG2059" s="12"/>
      <c r="BH2059" s="12"/>
      <c r="BI2059" s="12"/>
      <c r="BJ2059" s="12"/>
      <c r="BK2059" s="44"/>
      <c r="BL2059" s="45"/>
      <c r="BM2059" s="12"/>
      <c r="BN2059" s="12"/>
      <c r="BO2059" s="12"/>
      <c r="BP2059" s="12"/>
      <c r="BQ2059" s="48"/>
      <c r="BR2059" s="49"/>
      <c r="BS2059" s="13"/>
      <c r="BT2059" s="12"/>
      <c r="BV2059" s="14"/>
      <c r="BW2059" s="50"/>
      <c r="BX2059" s="54"/>
      <c r="BY2059" s="14"/>
      <c r="BZ2059" s="14"/>
      <c r="CA2059" s="14"/>
      <c r="CB2059" s="14"/>
      <c r="CC2059" s="14"/>
      <c r="CD2059" s="14"/>
      <c r="CE2059" s="14"/>
      <c r="CF2059" s="15"/>
      <c r="CG2059" s="14"/>
      <c r="CH2059" s="14"/>
      <c r="CI2059" s="50"/>
      <c r="CJ2059" s="54"/>
      <c r="CK2059" s="14"/>
      <c r="CL2059" s="14"/>
      <c r="CM2059" s="14"/>
      <c r="CN2059" s="14"/>
      <c r="CO2059" s="14"/>
      <c r="CP2059" s="14"/>
      <c r="CQ2059" s="14"/>
      <c r="CR2059" s="14"/>
      <c r="CS2059" s="14"/>
      <c r="CT2059" s="14"/>
      <c r="CU2059" s="16"/>
      <c r="CV2059" s="14"/>
      <c r="CW2059" s="50"/>
      <c r="CX2059" s="17"/>
    </row>
    <row r="2060" spans="4:102" x14ac:dyDescent="0.25">
      <c r="D2060" s="11"/>
      <c r="E2060" s="11"/>
      <c r="F2060" s="11"/>
      <c r="G2060" s="11"/>
      <c r="H2060" s="11"/>
      <c r="I2060" s="11"/>
      <c r="J2060" s="11"/>
      <c r="K2060" s="11"/>
      <c r="L2060" s="11"/>
      <c r="M2060" s="11"/>
      <c r="N2060" s="11"/>
      <c r="O2060" s="11"/>
      <c r="P2060" s="43"/>
      <c r="Q2060" s="11"/>
      <c r="R2060" s="11"/>
      <c r="S2060" s="11"/>
      <c r="T2060" s="11"/>
      <c r="U2060" s="11"/>
      <c r="V2060" s="11"/>
      <c r="W2060" s="11"/>
      <c r="X2060" s="12"/>
      <c r="Y2060" s="12"/>
      <c r="Z2060" s="12"/>
      <c r="AA2060" s="44"/>
      <c r="AB2060" s="45"/>
      <c r="AC2060" s="12"/>
      <c r="AD2060" s="12"/>
      <c r="AE2060" s="12"/>
      <c r="AF2060" s="12"/>
      <c r="AG2060" s="44"/>
      <c r="AH2060" s="45"/>
      <c r="AI2060" s="12"/>
      <c r="AJ2060" s="12"/>
      <c r="AK2060" s="12"/>
      <c r="AL2060" s="12"/>
      <c r="AM2060" s="44"/>
      <c r="AN2060" s="45"/>
      <c r="AO2060" s="12"/>
      <c r="AP2060" s="12"/>
      <c r="AQ2060" s="12"/>
      <c r="AR2060" s="12"/>
      <c r="AS2060" s="44"/>
      <c r="AT2060" s="45"/>
      <c r="AU2060" s="12"/>
      <c r="AV2060" s="12"/>
      <c r="AW2060" s="12"/>
      <c r="AX2060" s="12"/>
      <c r="AY2060" s="44"/>
      <c r="AZ2060" s="45"/>
      <c r="BA2060" s="12"/>
      <c r="BB2060" s="12"/>
      <c r="BC2060" s="12"/>
      <c r="BD2060" s="12"/>
      <c r="BE2060" s="44"/>
      <c r="BF2060" s="45"/>
      <c r="BG2060" s="12"/>
      <c r="BH2060" s="12"/>
      <c r="BI2060" s="12"/>
      <c r="BJ2060" s="12"/>
      <c r="BK2060" s="44"/>
      <c r="BL2060" s="45"/>
      <c r="BM2060" s="12"/>
      <c r="BN2060" s="12"/>
      <c r="BO2060" s="12"/>
      <c r="BP2060" s="12"/>
      <c r="BQ2060" s="48"/>
      <c r="BR2060" s="49"/>
      <c r="BS2060" s="13"/>
      <c r="BT2060" s="12"/>
      <c r="BV2060" s="14"/>
      <c r="BW2060" s="50"/>
      <c r="BX2060" s="54"/>
      <c r="BY2060" s="14"/>
      <c r="BZ2060" s="14"/>
      <c r="CA2060" s="14"/>
      <c r="CB2060" s="14"/>
      <c r="CC2060" s="14"/>
      <c r="CD2060" s="14"/>
      <c r="CE2060" s="14"/>
      <c r="CF2060" s="15"/>
      <c r="CG2060" s="14"/>
      <c r="CH2060" s="14"/>
      <c r="CI2060" s="50"/>
      <c r="CJ2060" s="54"/>
      <c r="CK2060" s="14"/>
      <c r="CL2060" s="14"/>
      <c r="CM2060" s="14"/>
      <c r="CN2060" s="14"/>
      <c r="CO2060" s="14"/>
      <c r="CP2060" s="14"/>
      <c r="CQ2060" s="14"/>
      <c r="CR2060" s="14"/>
      <c r="CS2060" s="14"/>
      <c r="CT2060" s="14"/>
      <c r="CU2060" s="16"/>
      <c r="CV2060" s="14"/>
      <c r="CW2060" s="50"/>
      <c r="CX2060" s="17"/>
    </row>
    <row r="2061" spans="4:102" x14ac:dyDescent="0.25">
      <c r="D2061" s="11"/>
      <c r="E2061" s="11"/>
      <c r="F2061" s="11"/>
      <c r="G2061" s="11"/>
      <c r="H2061" s="11"/>
      <c r="I2061" s="11"/>
      <c r="J2061" s="11"/>
      <c r="K2061" s="11"/>
      <c r="L2061" s="11"/>
      <c r="M2061" s="11"/>
      <c r="N2061" s="11"/>
      <c r="O2061" s="11"/>
      <c r="P2061" s="43"/>
      <c r="Q2061" s="11"/>
      <c r="R2061" s="11"/>
      <c r="S2061" s="11"/>
      <c r="T2061" s="11"/>
      <c r="U2061" s="11"/>
      <c r="V2061" s="11"/>
      <c r="W2061" s="11"/>
      <c r="X2061" s="12"/>
      <c r="Y2061" s="12"/>
      <c r="Z2061" s="12"/>
      <c r="AA2061" s="44"/>
      <c r="AB2061" s="45"/>
      <c r="AC2061" s="12"/>
      <c r="AD2061" s="12"/>
      <c r="AE2061" s="12"/>
      <c r="AF2061" s="12"/>
      <c r="AG2061" s="44"/>
      <c r="AH2061" s="45"/>
      <c r="AI2061" s="12"/>
      <c r="AJ2061" s="12"/>
      <c r="AK2061" s="12"/>
      <c r="AL2061" s="12"/>
      <c r="AM2061" s="44"/>
      <c r="AN2061" s="45"/>
      <c r="AO2061" s="12"/>
      <c r="AP2061" s="12"/>
      <c r="AQ2061" s="12"/>
      <c r="AR2061" s="12"/>
      <c r="AS2061" s="44"/>
      <c r="AT2061" s="45"/>
      <c r="AU2061" s="12"/>
      <c r="AV2061" s="12"/>
      <c r="AW2061" s="12"/>
      <c r="AX2061" s="12"/>
      <c r="AY2061" s="44"/>
      <c r="AZ2061" s="45"/>
      <c r="BA2061" s="12"/>
      <c r="BB2061" s="12"/>
      <c r="BC2061" s="12"/>
      <c r="BD2061" s="12"/>
      <c r="BE2061" s="44"/>
      <c r="BF2061" s="45"/>
      <c r="BG2061" s="12"/>
      <c r="BH2061" s="12"/>
      <c r="BI2061" s="12"/>
      <c r="BJ2061" s="12"/>
      <c r="BK2061" s="44"/>
      <c r="BL2061" s="45"/>
      <c r="BM2061" s="12"/>
      <c r="BN2061" s="12"/>
      <c r="BO2061" s="12"/>
      <c r="BP2061" s="12"/>
      <c r="BQ2061" s="48"/>
      <c r="BR2061" s="49"/>
      <c r="BS2061" s="13"/>
      <c r="BT2061" s="12"/>
      <c r="BV2061" s="14"/>
      <c r="BW2061" s="50"/>
      <c r="BX2061" s="54"/>
      <c r="BY2061" s="14"/>
      <c r="BZ2061" s="14"/>
      <c r="CA2061" s="14"/>
      <c r="CB2061" s="14"/>
      <c r="CC2061" s="14"/>
      <c r="CD2061" s="14"/>
      <c r="CE2061" s="14"/>
      <c r="CF2061" s="15"/>
      <c r="CG2061" s="14"/>
      <c r="CH2061" s="14"/>
      <c r="CI2061" s="50"/>
      <c r="CJ2061" s="54"/>
      <c r="CK2061" s="14"/>
      <c r="CL2061" s="14"/>
      <c r="CM2061" s="14"/>
      <c r="CN2061" s="14"/>
      <c r="CO2061" s="14"/>
      <c r="CP2061" s="14"/>
      <c r="CQ2061" s="14"/>
      <c r="CR2061" s="14"/>
      <c r="CS2061" s="14"/>
      <c r="CT2061" s="14"/>
      <c r="CU2061" s="16"/>
      <c r="CV2061" s="14"/>
      <c r="CW2061" s="50"/>
      <c r="CX2061" s="17"/>
    </row>
    <row r="2062" spans="4:102" x14ac:dyDescent="0.25">
      <c r="D2062" s="11"/>
      <c r="E2062" s="11"/>
      <c r="F2062" s="11"/>
      <c r="G2062" s="11"/>
      <c r="H2062" s="11"/>
      <c r="I2062" s="11"/>
      <c r="J2062" s="11"/>
      <c r="K2062" s="11"/>
      <c r="L2062" s="11"/>
      <c r="M2062" s="11"/>
      <c r="N2062" s="11"/>
      <c r="O2062" s="11"/>
      <c r="P2062" s="43"/>
      <c r="Q2062" s="11"/>
      <c r="R2062" s="11"/>
      <c r="S2062" s="11"/>
      <c r="T2062" s="11"/>
      <c r="U2062" s="11"/>
      <c r="V2062" s="11"/>
      <c r="W2062" s="11"/>
      <c r="X2062" s="12"/>
      <c r="Y2062" s="12"/>
      <c r="Z2062" s="12"/>
      <c r="AA2062" s="44"/>
      <c r="AB2062" s="45"/>
      <c r="AC2062" s="12"/>
      <c r="AD2062" s="12"/>
      <c r="AE2062" s="12"/>
      <c r="AF2062" s="12"/>
      <c r="AG2062" s="44"/>
      <c r="AH2062" s="45"/>
      <c r="AI2062" s="12"/>
      <c r="AJ2062" s="12"/>
      <c r="AK2062" s="12"/>
      <c r="AL2062" s="12"/>
      <c r="AM2062" s="44"/>
      <c r="AN2062" s="45"/>
      <c r="AO2062" s="12"/>
      <c r="AP2062" s="12"/>
      <c r="AQ2062" s="12"/>
      <c r="AR2062" s="12"/>
      <c r="AS2062" s="44"/>
      <c r="AT2062" s="45"/>
      <c r="AU2062" s="12"/>
      <c r="AV2062" s="12"/>
      <c r="AW2062" s="12"/>
      <c r="AX2062" s="12"/>
      <c r="AY2062" s="44"/>
      <c r="AZ2062" s="45"/>
      <c r="BA2062" s="12"/>
      <c r="BB2062" s="12"/>
      <c r="BC2062" s="12"/>
      <c r="BD2062" s="12"/>
      <c r="BE2062" s="44"/>
      <c r="BF2062" s="45"/>
      <c r="BG2062" s="12"/>
      <c r="BH2062" s="12"/>
      <c r="BI2062" s="12"/>
      <c r="BJ2062" s="12"/>
      <c r="BK2062" s="44"/>
      <c r="BL2062" s="45"/>
      <c r="BM2062" s="12"/>
      <c r="BN2062" s="12"/>
      <c r="BO2062" s="12"/>
      <c r="BP2062" s="12"/>
      <c r="BQ2062" s="48"/>
      <c r="BR2062" s="49"/>
      <c r="BS2062" s="13"/>
      <c r="BT2062" s="12"/>
      <c r="BV2062" s="14"/>
      <c r="BW2062" s="50"/>
      <c r="BX2062" s="54"/>
      <c r="BY2062" s="14"/>
      <c r="BZ2062" s="14"/>
      <c r="CA2062" s="14"/>
      <c r="CB2062" s="14"/>
      <c r="CC2062" s="14"/>
      <c r="CD2062" s="14"/>
      <c r="CE2062" s="14"/>
      <c r="CF2062" s="15"/>
      <c r="CG2062" s="14"/>
      <c r="CH2062" s="14"/>
      <c r="CI2062" s="50"/>
      <c r="CJ2062" s="54"/>
      <c r="CK2062" s="14"/>
      <c r="CL2062" s="14"/>
      <c r="CM2062" s="14"/>
      <c r="CN2062" s="14"/>
      <c r="CO2062" s="14"/>
      <c r="CP2062" s="14"/>
      <c r="CQ2062" s="14"/>
      <c r="CR2062" s="14"/>
      <c r="CS2062" s="14"/>
      <c r="CT2062" s="14"/>
      <c r="CU2062" s="16"/>
      <c r="CV2062" s="14"/>
      <c r="CW2062" s="50"/>
      <c r="CX2062" s="17"/>
    </row>
    <row r="2063" spans="4:102" x14ac:dyDescent="0.25">
      <c r="D2063" s="11"/>
      <c r="E2063" s="11"/>
      <c r="F2063" s="11"/>
      <c r="G2063" s="11"/>
      <c r="H2063" s="11"/>
      <c r="I2063" s="11"/>
      <c r="J2063" s="11"/>
      <c r="K2063" s="11"/>
      <c r="L2063" s="11"/>
      <c r="M2063" s="11"/>
      <c r="N2063" s="11"/>
      <c r="O2063" s="11"/>
      <c r="P2063" s="43"/>
      <c r="Q2063" s="11"/>
      <c r="R2063" s="11"/>
      <c r="S2063" s="11"/>
      <c r="T2063" s="11"/>
      <c r="U2063" s="11"/>
      <c r="V2063" s="11"/>
      <c r="W2063" s="11"/>
      <c r="X2063" s="12"/>
      <c r="Y2063" s="12"/>
      <c r="Z2063" s="12"/>
      <c r="AA2063" s="44"/>
      <c r="AB2063" s="45"/>
      <c r="AC2063" s="12"/>
      <c r="AD2063" s="12"/>
      <c r="AE2063" s="12"/>
      <c r="AF2063" s="12"/>
      <c r="AG2063" s="44"/>
      <c r="AH2063" s="45"/>
      <c r="AI2063" s="12"/>
      <c r="AJ2063" s="12"/>
      <c r="AK2063" s="12"/>
      <c r="AL2063" s="12"/>
      <c r="AM2063" s="44"/>
      <c r="AN2063" s="45"/>
      <c r="AO2063" s="12"/>
      <c r="AP2063" s="12"/>
      <c r="AQ2063" s="12"/>
      <c r="AR2063" s="12"/>
      <c r="AS2063" s="44"/>
      <c r="AT2063" s="45"/>
      <c r="AU2063" s="12"/>
      <c r="AV2063" s="12"/>
      <c r="AW2063" s="12"/>
      <c r="AX2063" s="12"/>
      <c r="AY2063" s="44"/>
      <c r="AZ2063" s="45"/>
      <c r="BA2063" s="12"/>
      <c r="BB2063" s="12"/>
      <c r="BC2063" s="12"/>
      <c r="BD2063" s="12"/>
      <c r="BE2063" s="44"/>
      <c r="BF2063" s="45"/>
      <c r="BG2063" s="12"/>
      <c r="BH2063" s="12"/>
      <c r="BI2063" s="12"/>
      <c r="BJ2063" s="12"/>
      <c r="BK2063" s="44"/>
      <c r="BL2063" s="45"/>
      <c r="BM2063" s="12"/>
      <c r="BN2063" s="12"/>
      <c r="BO2063" s="12"/>
      <c r="BP2063" s="12"/>
      <c r="BQ2063" s="48"/>
      <c r="BR2063" s="49"/>
      <c r="BS2063" s="13"/>
      <c r="BT2063" s="12"/>
      <c r="BV2063" s="14"/>
      <c r="BW2063" s="50"/>
      <c r="BX2063" s="54"/>
      <c r="BY2063" s="14"/>
      <c r="BZ2063" s="14"/>
      <c r="CA2063" s="14"/>
      <c r="CB2063" s="14"/>
      <c r="CC2063" s="14"/>
      <c r="CD2063" s="14"/>
      <c r="CE2063" s="14"/>
      <c r="CF2063" s="15"/>
      <c r="CG2063" s="14"/>
      <c r="CH2063" s="14"/>
      <c r="CI2063" s="50"/>
      <c r="CJ2063" s="54"/>
      <c r="CK2063" s="14"/>
      <c r="CL2063" s="14"/>
      <c r="CM2063" s="14"/>
      <c r="CN2063" s="14"/>
      <c r="CO2063" s="14"/>
      <c r="CP2063" s="14"/>
      <c r="CQ2063" s="14"/>
      <c r="CR2063" s="14"/>
      <c r="CS2063" s="14"/>
      <c r="CT2063" s="14"/>
      <c r="CU2063" s="16"/>
      <c r="CV2063" s="14"/>
      <c r="CW2063" s="50"/>
      <c r="CX2063" s="17"/>
    </row>
    <row r="2064" spans="4:102" x14ac:dyDescent="0.25">
      <c r="D2064" s="11"/>
      <c r="E2064" s="11"/>
      <c r="F2064" s="11"/>
      <c r="G2064" s="11"/>
      <c r="H2064" s="11"/>
      <c r="I2064" s="11"/>
      <c r="J2064" s="11"/>
      <c r="K2064" s="11"/>
      <c r="L2064" s="11"/>
      <c r="M2064" s="11"/>
      <c r="N2064" s="11"/>
      <c r="O2064" s="11"/>
      <c r="P2064" s="43"/>
      <c r="Q2064" s="11"/>
      <c r="R2064" s="11"/>
      <c r="S2064" s="11"/>
      <c r="T2064" s="11"/>
      <c r="U2064" s="11"/>
      <c r="V2064" s="11"/>
      <c r="W2064" s="11"/>
      <c r="X2064" s="12"/>
      <c r="Y2064" s="12"/>
      <c r="Z2064" s="12"/>
      <c r="AA2064" s="44"/>
      <c r="AB2064" s="45"/>
      <c r="AC2064" s="12"/>
      <c r="AD2064" s="12"/>
      <c r="AE2064" s="12"/>
      <c r="AF2064" s="12"/>
      <c r="AG2064" s="44"/>
      <c r="AH2064" s="45"/>
      <c r="AI2064" s="12"/>
      <c r="AJ2064" s="12"/>
      <c r="AK2064" s="12"/>
      <c r="AL2064" s="12"/>
      <c r="AM2064" s="44"/>
      <c r="AN2064" s="45"/>
      <c r="AO2064" s="12"/>
      <c r="AP2064" s="12"/>
      <c r="AQ2064" s="12"/>
      <c r="AR2064" s="12"/>
      <c r="AS2064" s="44"/>
      <c r="AT2064" s="45"/>
      <c r="AU2064" s="12"/>
      <c r="AV2064" s="12"/>
      <c r="AW2064" s="12"/>
      <c r="AX2064" s="12"/>
      <c r="AY2064" s="44"/>
      <c r="AZ2064" s="45"/>
      <c r="BA2064" s="12"/>
      <c r="BB2064" s="12"/>
      <c r="BC2064" s="12"/>
      <c r="BD2064" s="12"/>
      <c r="BE2064" s="44"/>
      <c r="BF2064" s="45"/>
      <c r="BG2064" s="12"/>
      <c r="BH2064" s="12"/>
      <c r="BI2064" s="12"/>
      <c r="BJ2064" s="12"/>
      <c r="BK2064" s="44"/>
      <c r="BL2064" s="45"/>
      <c r="BM2064" s="12"/>
      <c r="BN2064" s="12"/>
      <c r="BO2064" s="12"/>
      <c r="BP2064" s="12"/>
      <c r="BQ2064" s="48"/>
      <c r="BR2064" s="49"/>
      <c r="BS2064" s="13"/>
      <c r="BT2064" s="12"/>
      <c r="BV2064" s="14"/>
      <c r="BW2064" s="50"/>
      <c r="BX2064" s="54"/>
      <c r="BY2064" s="14"/>
      <c r="BZ2064" s="14"/>
      <c r="CA2064" s="14"/>
      <c r="CB2064" s="14"/>
      <c r="CC2064" s="14"/>
      <c r="CD2064" s="14"/>
      <c r="CE2064" s="14"/>
      <c r="CF2064" s="15"/>
      <c r="CG2064" s="14"/>
      <c r="CH2064" s="14"/>
      <c r="CI2064" s="50"/>
      <c r="CJ2064" s="54"/>
      <c r="CK2064" s="14"/>
      <c r="CL2064" s="14"/>
      <c r="CM2064" s="14"/>
      <c r="CN2064" s="14"/>
      <c r="CO2064" s="14"/>
      <c r="CP2064" s="14"/>
      <c r="CQ2064" s="14"/>
      <c r="CR2064" s="14"/>
      <c r="CS2064" s="14"/>
      <c r="CT2064" s="14"/>
      <c r="CU2064" s="16"/>
      <c r="CV2064" s="14"/>
      <c r="CW2064" s="50"/>
      <c r="CX2064" s="17"/>
    </row>
    <row r="2065" spans="4:102" x14ac:dyDescent="0.25">
      <c r="D2065" s="11"/>
      <c r="E2065" s="11"/>
      <c r="F2065" s="11"/>
      <c r="G2065" s="11"/>
      <c r="H2065" s="11"/>
      <c r="I2065" s="11"/>
      <c r="J2065" s="11"/>
      <c r="K2065" s="11"/>
      <c r="L2065" s="11"/>
      <c r="M2065" s="11"/>
      <c r="N2065" s="11"/>
      <c r="O2065" s="11"/>
      <c r="P2065" s="43"/>
      <c r="Q2065" s="11"/>
      <c r="R2065" s="11"/>
      <c r="S2065" s="11"/>
      <c r="T2065" s="11"/>
      <c r="U2065" s="11"/>
      <c r="V2065" s="11"/>
      <c r="W2065" s="11"/>
      <c r="X2065" s="12"/>
      <c r="Y2065" s="12"/>
      <c r="Z2065" s="12"/>
      <c r="AA2065" s="44"/>
      <c r="AB2065" s="45"/>
      <c r="AC2065" s="12"/>
      <c r="AD2065" s="12"/>
      <c r="AE2065" s="12"/>
      <c r="AF2065" s="12"/>
      <c r="AG2065" s="44"/>
      <c r="AH2065" s="45"/>
      <c r="AI2065" s="12"/>
      <c r="AJ2065" s="12"/>
      <c r="AK2065" s="12"/>
      <c r="AL2065" s="12"/>
      <c r="AM2065" s="44"/>
      <c r="AN2065" s="45"/>
      <c r="AO2065" s="12"/>
      <c r="AP2065" s="12"/>
      <c r="AQ2065" s="12"/>
      <c r="AR2065" s="12"/>
      <c r="AS2065" s="44"/>
      <c r="AT2065" s="45"/>
      <c r="AU2065" s="12"/>
      <c r="AV2065" s="12"/>
      <c r="AW2065" s="12"/>
      <c r="AX2065" s="12"/>
      <c r="AY2065" s="44"/>
      <c r="AZ2065" s="45"/>
      <c r="BA2065" s="12"/>
      <c r="BB2065" s="12"/>
      <c r="BC2065" s="12"/>
      <c r="BD2065" s="12"/>
      <c r="BE2065" s="44"/>
      <c r="BF2065" s="45"/>
      <c r="BG2065" s="12"/>
      <c r="BH2065" s="12"/>
      <c r="BI2065" s="12"/>
      <c r="BJ2065" s="12"/>
      <c r="BK2065" s="44"/>
      <c r="BL2065" s="45"/>
      <c r="BM2065" s="12"/>
      <c r="BN2065" s="12"/>
      <c r="BO2065" s="12"/>
      <c r="BP2065" s="12"/>
      <c r="BQ2065" s="48"/>
      <c r="BR2065" s="49"/>
      <c r="BS2065" s="13"/>
      <c r="BT2065" s="12"/>
      <c r="BV2065" s="14"/>
      <c r="BW2065" s="50"/>
      <c r="BX2065" s="54"/>
      <c r="BY2065" s="14"/>
      <c r="BZ2065" s="14"/>
      <c r="CA2065" s="14"/>
      <c r="CB2065" s="14"/>
      <c r="CC2065" s="14"/>
      <c r="CD2065" s="14"/>
      <c r="CE2065" s="14"/>
      <c r="CF2065" s="15"/>
      <c r="CG2065" s="14"/>
      <c r="CH2065" s="14"/>
      <c r="CI2065" s="50"/>
      <c r="CJ2065" s="54"/>
      <c r="CK2065" s="14"/>
      <c r="CL2065" s="14"/>
      <c r="CM2065" s="14"/>
      <c r="CN2065" s="14"/>
      <c r="CO2065" s="14"/>
      <c r="CP2065" s="14"/>
      <c r="CQ2065" s="14"/>
      <c r="CR2065" s="14"/>
      <c r="CS2065" s="14"/>
      <c r="CT2065" s="14"/>
      <c r="CU2065" s="16"/>
      <c r="CV2065" s="14"/>
      <c r="CW2065" s="50"/>
      <c r="CX2065" s="17"/>
    </row>
    <row r="2066" spans="4:102" x14ac:dyDescent="0.25">
      <c r="D2066" s="11"/>
      <c r="E2066" s="11"/>
      <c r="F2066" s="11"/>
      <c r="G2066" s="11"/>
      <c r="H2066" s="11"/>
      <c r="I2066" s="11"/>
      <c r="J2066" s="11"/>
      <c r="K2066" s="11"/>
      <c r="L2066" s="11"/>
      <c r="M2066" s="11"/>
      <c r="N2066" s="11"/>
      <c r="O2066" s="11"/>
      <c r="P2066" s="43"/>
      <c r="Q2066" s="11"/>
      <c r="R2066" s="11"/>
      <c r="S2066" s="11"/>
      <c r="T2066" s="11"/>
      <c r="U2066" s="11"/>
      <c r="V2066" s="11"/>
      <c r="W2066" s="11"/>
      <c r="X2066" s="12"/>
      <c r="Y2066" s="12"/>
      <c r="Z2066" s="12"/>
      <c r="AA2066" s="44"/>
      <c r="AB2066" s="45"/>
      <c r="AC2066" s="12"/>
      <c r="AD2066" s="12"/>
      <c r="AE2066" s="12"/>
      <c r="AF2066" s="12"/>
      <c r="AG2066" s="44"/>
      <c r="AH2066" s="45"/>
      <c r="AI2066" s="12"/>
      <c r="AJ2066" s="12"/>
      <c r="AK2066" s="12"/>
      <c r="AL2066" s="12"/>
      <c r="AM2066" s="44"/>
      <c r="AN2066" s="45"/>
      <c r="AO2066" s="12"/>
      <c r="AP2066" s="12"/>
      <c r="AQ2066" s="12"/>
      <c r="AR2066" s="12"/>
      <c r="AS2066" s="44"/>
      <c r="AT2066" s="45"/>
      <c r="AU2066" s="12"/>
      <c r="AV2066" s="12"/>
      <c r="AW2066" s="12"/>
      <c r="AX2066" s="12"/>
      <c r="AY2066" s="44"/>
      <c r="AZ2066" s="45"/>
      <c r="BA2066" s="12"/>
      <c r="BB2066" s="12"/>
      <c r="BC2066" s="12"/>
      <c r="BD2066" s="12"/>
      <c r="BE2066" s="44"/>
      <c r="BF2066" s="45"/>
      <c r="BG2066" s="12"/>
      <c r="BH2066" s="12"/>
      <c r="BI2066" s="12"/>
      <c r="BJ2066" s="12"/>
      <c r="BK2066" s="44"/>
      <c r="BL2066" s="45"/>
      <c r="BM2066" s="12"/>
      <c r="BN2066" s="12"/>
      <c r="BO2066" s="12"/>
      <c r="BP2066" s="12"/>
      <c r="BQ2066" s="48"/>
      <c r="BR2066" s="49"/>
      <c r="BS2066" s="13"/>
      <c r="BT2066" s="12"/>
      <c r="BV2066" s="14"/>
      <c r="BW2066" s="50"/>
      <c r="BX2066" s="54"/>
      <c r="BY2066" s="14"/>
      <c r="BZ2066" s="14"/>
      <c r="CA2066" s="14"/>
      <c r="CB2066" s="14"/>
      <c r="CC2066" s="14"/>
      <c r="CD2066" s="14"/>
      <c r="CE2066" s="14"/>
      <c r="CF2066" s="15"/>
      <c r="CG2066" s="14"/>
      <c r="CH2066" s="14"/>
      <c r="CI2066" s="50"/>
      <c r="CJ2066" s="54"/>
      <c r="CK2066" s="14"/>
      <c r="CL2066" s="14"/>
      <c r="CM2066" s="14"/>
      <c r="CN2066" s="14"/>
      <c r="CO2066" s="14"/>
      <c r="CP2066" s="14"/>
      <c r="CQ2066" s="14"/>
      <c r="CR2066" s="14"/>
      <c r="CS2066" s="14"/>
      <c r="CT2066" s="14"/>
      <c r="CU2066" s="16"/>
      <c r="CV2066" s="14"/>
      <c r="CW2066" s="50"/>
      <c r="CX2066" s="17"/>
    </row>
    <row r="2067" spans="4:102" x14ac:dyDescent="0.25">
      <c r="D2067" s="11"/>
      <c r="E2067" s="11"/>
      <c r="F2067" s="11"/>
      <c r="G2067" s="11"/>
      <c r="H2067" s="11"/>
      <c r="I2067" s="11"/>
      <c r="J2067" s="11"/>
      <c r="K2067" s="11"/>
      <c r="L2067" s="11"/>
      <c r="M2067" s="11"/>
      <c r="N2067" s="11"/>
      <c r="O2067" s="11"/>
      <c r="P2067" s="43"/>
      <c r="Q2067" s="11"/>
      <c r="R2067" s="11"/>
      <c r="S2067" s="11"/>
      <c r="T2067" s="11"/>
      <c r="U2067" s="11"/>
      <c r="V2067" s="11"/>
      <c r="W2067" s="11"/>
      <c r="X2067" s="12"/>
      <c r="Y2067" s="12"/>
      <c r="Z2067" s="12"/>
      <c r="AA2067" s="44"/>
      <c r="AB2067" s="45"/>
      <c r="AC2067" s="12"/>
      <c r="AD2067" s="12"/>
      <c r="AE2067" s="12"/>
      <c r="AF2067" s="12"/>
      <c r="AG2067" s="44"/>
      <c r="AH2067" s="45"/>
      <c r="AI2067" s="12"/>
      <c r="AJ2067" s="12"/>
      <c r="AK2067" s="12"/>
      <c r="AL2067" s="12"/>
      <c r="AM2067" s="44"/>
      <c r="AN2067" s="45"/>
      <c r="AO2067" s="12"/>
      <c r="AP2067" s="12"/>
      <c r="AQ2067" s="12"/>
      <c r="AR2067" s="12"/>
      <c r="AS2067" s="44"/>
      <c r="AT2067" s="45"/>
      <c r="AU2067" s="12"/>
      <c r="AV2067" s="12"/>
      <c r="AW2067" s="12"/>
      <c r="AX2067" s="12"/>
      <c r="AY2067" s="44"/>
      <c r="AZ2067" s="45"/>
      <c r="BA2067" s="12"/>
      <c r="BB2067" s="12"/>
      <c r="BC2067" s="12"/>
      <c r="BD2067" s="12"/>
      <c r="BE2067" s="44"/>
      <c r="BF2067" s="45"/>
      <c r="BG2067" s="12"/>
      <c r="BH2067" s="12"/>
      <c r="BI2067" s="12"/>
      <c r="BJ2067" s="12"/>
      <c r="BK2067" s="44"/>
      <c r="BL2067" s="45"/>
      <c r="BM2067" s="12"/>
      <c r="BN2067" s="12"/>
      <c r="BO2067" s="12"/>
      <c r="BP2067" s="12"/>
      <c r="BQ2067" s="48"/>
      <c r="BR2067" s="49"/>
      <c r="BS2067" s="13"/>
      <c r="BT2067" s="12"/>
      <c r="BV2067" s="14"/>
      <c r="BW2067" s="50"/>
      <c r="BX2067" s="54"/>
      <c r="BY2067" s="14"/>
      <c r="BZ2067" s="14"/>
      <c r="CA2067" s="14"/>
      <c r="CB2067" s="14"/>
      <c r="CC2067" s="14"/>
      <c r="CD2067" s="14"/>
      <c r="CE2067" s="14"/>
      <c r="CF2067" s="15"/>
      <c r="CG2067" s="14"/>
      <c r="CH2067" s="14"/>
      <c r="CI2067" s="50"/>
      <c r="CJ2067" s="54"/>
      <c r="CK2067" s="14"/>
      <c r="CL2067" s="14"/>
      <c r="CM2067" s="14"/>
      <c r="CN2067" s="14"/>
      <c r="CO2067" s="14"/>
      <c r="CP2067" s="14"/>
      <c r="CQ2067" s="14"/>
      <c r="CR2067" s="14"/>
      <c r="CS2067" s="14"/>
      <c r="CT2067" s="14"/>
      <c r="CU2067" s="16"/>
      <c r="CV2067" s="14"/>
      <c r="CW2067" s="50"/>
      <c r="CX2067" s="17"/>
    </row>
    <row r="2068" spans="4:102" x14ac:dyDescent="0.25">
      <c r="D2068" s="11"/>
      <c r="E2068" s="11"/>
      <c r="F2068" s="11"/>
      <c r="G2068" s="11"/>
      <c r="H2068" s="11"/>
      <c r="I2068" s="11"/>
      <c r="J2068" s="11"/>
      <c r="K2068" s="11"/>
      <c r="L2068" s="11"/>
      <c r="M2068" s="11"/>
      <c r="N2068" s="11"/>
      <c r="O2068" s="11"/>
      <c r="P2068" s="43"/>
      <c r="Q2068" s="11"/>
      <c r="R2068" s="11"/>
      <c r="S2068" s="11"/>
      <c r="T2068" s="11"/>
      <c r="U2068" s="11"/>
      <c r="V2068" s="11"/>
      <c r="W2068" s="11"/>
      <c r="X2068" s="12"/>
      <c r="Y2068" s="12"/>
      <c r="Z2068" s="12"/>
      <c r="AA2068" s="44"/>
      <c r="AB2068" s="45"/>
      <c r="AC2068" s="12"/>
      <c r="AD2068" s="12"/>
      <c r="AE2068" s="12"/>
      <c r="AF2068" s="12"/>
      <c r="AG2068" s="44"/>
      <c r="AH2068" s="45"/>
      <c r="AI2068" s="12"/>
      <c r="AJ2068" s="12"/>
      <c r="AK2068" s="12"/>
      <c r="AL2068" s="12"/>
      <c r="AM2068" s="44"/>
      <c r="AN2068" s="45"/>
      <c r="AO2068" s="12"/>
      <c r="AP2068" s="12"/>
      <c r="AQ2068" s="12"/>
      <c r="AR2068" s="12"/>
      <c r="AS2068" s="44"/>
      <c r="AT2068" s="45"/>
      <c r="AU2068" s="12"/>
      <c r="AV2068" s="12"/>
      <c r="AW2068" s="12"/>
      <c r="AX2068" s="12"/>
      <c r="AY2068" s="44"/>
      <c r="AZ2068" s="45"/>
      <c r="BA2068" s="12"/>
      <c r="BB2068" s="12"/>
      <c r="BC2068" s="12"/>
      <c r="BD2068" s="12"/>
      <c r="BE2068" s="44"/>
      <c r="BF2068" s="45"/>
      <c r="BG2068" s="12"/>
      <c r="BH2068" s="12"/>
      <c r="BI2068" s="12"/>
      <c r="BJ2068" s="12"/>
      <c r="BK2068" s="44"/>
      <c r="BL2068" s="45"/>
      <c r="BM2068" s="12"/>
      <c r="BN2068" s="12"/>
      <c r="BO2068" s="12"/>
      <c r="BP2068" s="12"/>
      <c r="BQ2068" s="48"/>
      <c r="BR2068" s="49"/>
      <c r="BS2068" s="13"/>
      <c r="BT2068" s="12"/>
      <c r="BV2068" s="14"/>
      <c r="BW2068" s="50"/>
      <c r="BX2068" s="54"/>
      <c r="BY2068" s="14"/>
      <c r="BZ2068" s="14"/>
      <c r="CA2068" s="14"/>
      <c r="CB2068" s="14"/>
      <c r="CC2068" s="14"/>
      <c r="CD2068" s="14"/>
      <c r="CE2068" s="14"/>
      <c r="CF2068" s="15"/>
      <c r="CG2068" s="14"/>
      <c r="CH2068" s="14"/>
      <c r="CI2068" s="50"/>
      <c r="CJ2068" s="54"/>
      <c r="CK2068" s="14"/>
      <c r="CL2068" s="14"/>
      <c r="CM2068" s="14"/>
      <c r="CN2068" s="14"/>
      <c r="CO2068" s="14"/>
      <c r="CP2068" s="14"/>
      <c r="CQ2068" s="14"/>
      <c r="CR2068" s="14"/>
      <c r="CS2068" s="14"/>
      <c r="CT2068" s="14"/>
      <c r="CU2068" s="16"/>
      <c r="CV2068" s="14"/>
      <c r="CW2068" s="50"/>
      <c r="CX2068" s="17"/>
    </row>
    <row r="2069" spans="4:102" x14ac:dyDescent="0.25">
      <c r="D2069" s="11"/>
      <c r="E2069" s="11"/>
      <c r="F2069" s="11"/>
      <c r="G2069" s="11"/>
      <c r="H2069" s="11"/>
      <c r="I2069" s="11"/>
      <c r="J2069" s="11"/>
      <c r="K2069" s="11"/>
      <c r="L2069" s="11"/>
      <c r="M2069" s="11"/>
      <c r="N2069" s="11"/>
      <c r="O2069" s="11"/>
      <c r="P2069" s="43"/>
      <c r="Q2069" s="11"/>
      <c r="R2069" s="11"/>
      <c r="S2069" s="11"/>
      <c r="T2069" s="11"/>
      <c r="U2069" s="11"/>
      <c r="V2069" s="11"/>
      <c r="W2069" s="11"/>
      <c r="X2069" s="12"/>
      <c r="Y2069" s="12"/>
      <c r="Z2069" s="12"/>
      <c r="AA2069" s="44"/>
      <c r="AB2069" s="45"/>
      <c r="AC2069" s="12"/>
      <c r="AD2069" s="12"/>
      <c r="AE2069" s="12"/>
      <c r="AF2069" s="12"/>
      <c r="AG2069" s="44"/>
      <c r="AH2069" s="45"/>
      <c r="AI2069" s="12"/>
      <c r="AJ2069" s="12"/>
      <c r="AK2069" s="12"/>
      <c r="AL2069" s="12"/>
      <c r="AM2069" s="44"/>
      <c r="AN2069" s="45"/>
      <c r="AO2069" s="12"/>
      <c r="AP2069" s="12"/>
      <c r="AQ2069" s="12"/>
      <c r="AR2069" s="12"/>
      <c r="AS2069" s="44"/>
      <c r="AT2069" s="45"/>
      <c r="AU2069" s="12"/>
      <c r="AV2069" s="12"/>
      <c r="AW2069" s="12"/>
      <c r="AX2069" s="12"/>
      <c r="AY2069" s="44"/>
      <c r="AZ2069" s="45"/>
      <c r="BA2069" s="12"/>
      <c r="BB2069" s="12"/>
      <c r="BC2069" s="12"/>
      <c r="BD2069" s="12"/>
      <c r="BE2069" s="44"/>
      <c r="BF2069" s="45"/>
      <c r="BG2069" s="12"/>
      <c r="BH2069" s="12"/>
      <c r="BI2069" s="12"/>
      <c r="BJ2069" s="12"/>
      <c r="BK2069" s="44"/>
      <c r="BL2069" s="45"/>
      <c r="BM2069" s="12"/>
      <c r="BN2069" s="12"/>
      <c r="BO2069" s="12"/>
      <c r="BP2069" s="12"/>
      <c r="BQ2069" s="48"/>
      <c r="BR2069" s="49"/>
      <c r="BS2069" s="13"/>
      <c r="BT2069" s="12"/>
      <c r="BV2069" s="14"/>
      <c r="BW2069" s="50"/>
      <c r="BX2069" s="54"/>
      <c r="BY2069" s="14"/>
      <c r="BZ2069" s="14"/>
      <c r="CA2069" s="14"/>
      <c r="CB2069" s="14"/>
      <c r="CC2069" s="14"/>
      <c r="CD2069" s="14"/>
      <c r="CE2069" s="14"/>
      <c r="CF2069" s="15"/>
      <c r="CG2069" s="14"/>
      <c r="CH2069" s="14"/>
      <c r="CI2069" s="50"/>
      <c r="CJ2069" s="54"/>
      <c r="CK2069" s="14"/>
      <c r="CL2069" s="14"/>
      <c r="CM2069" s="14"/>
      <c r="CN2069" s="14"/>
      <c r="CO2069" s="14"/>
      <c r="CP2069" s="14"/>
      <c r="CQ2069" s="14"/>
      <c r="CR2069" s="14"/>
      <c r="CS2069" s="14"/>
      <c r="CT2069" s="14"/>
      <c r="CU2069" s="16"/>
      <c r="CV2069" s="14"/>
      <c r="CW2069" s="50"/>
      <c r="CX2069" s="17"/>
    </row>
    <row r="2070" spans="4:102" x14ac:dyDescent="0.25">
      <c r="D2070" s="11"/>
      <c r="E2070" s="11"/>
      <c r="F2070" s="11"/>
      <c r="G2070" s="11"/>
      <c r="H2070" s="11"/>
      <c r="I2070" s="11"/>
      <c r="J2070" s="11"/>
      <c r="K2070" s="11"/>
      <c r="L2070" s="11"/>
      <c r="M2070" s="11"/>
      <c r="N2070" s="11"/>
      <c r="O2070" s="11"/>
      <c r="P2070" s="43"/>
      <c r="Q2070" s="11"/>
      <c r="R2070" s="11"/>
      <c r="S2070" s="11"/>
      <c r="T2070" s="11"/>
      <c r="U2070" s="11"/>
      <c r="V2070" s="11"/>
      <c r="W2070" s="11"/>
      <c r="X2070" s="12"/>
      <c r="Y2070" s="12"/>
      <c r="Z2070" s="12"/>
      <c r="AA2070" s="44"/>
      <c r="AB2070" s="45"/>
      <c r="AC2070" s="12"/>
      <c r="AD2070" s="12"/>
      <c r="AE2070" s="12"/>
      <c r="AF2070" s="12"/>
      <c r="AG2070" s="44"/>
      <c r="AH2070" s="45"/>
      <c r="AI2070" s="12"/>
      <c r="AJ2070" s="12"/>
      <c r="AK2070" s="12"/>
      <c r="AL2070" s="12"/>
      <c r="AM2070" s="44"/>
      <c r="AN2070" s="45"/>
      <c r="AO2070" s="12"/>
      <c r="AP2070" s="12"/>
      <c r="AQ2070" s="12"/>
      <c r="AR2070" s="12"/>
      <c r="AS2070" s="44"/>
      <c r="AT2070" s="45"/>
      <c r="AU2070" s="12"/>
      <c r="AV2070" s="12"/>
      <c r="AW2070" s="12"/>
      <c r="AX2070" s="12"/>
      <c r="AY2070" s="44"/>
      <c r="AZ2070" s="45"/>
      <c r="BA2070" s="12"/>
      <c r="BB2070" s="12"/>
      <c r="BC2070" s="12"/>
      <c r="BD2070" s="12"/>
      <c r="BE2070" s="44"/>
      <c r="BF2070" s="45"/>
      <c r="BG2070" s="12"/>
      <c r="BH2070" s="12"/>
      <c r="BI2070" s="12"/>
      <c r="BJ2070" s="12"/>
      <c r="BK2070" s="44"/>
      <c r="BL2070" s="45"/>
      <c r="BM2070" s="12"/>
      <c r="BN2070" s="12"/>
      <c r="BO2070" s="12"/>
      <c r="BP2070" s="12"/>
      <c r="BQ2070" s="48"/>
      <c r="BR2070" s="49"/>
      <c r="BS2070" s="13"/>
      <c r="BT2070" s="12"/>
      <c r="BV2070" s="14"/>
      <c r="BW2070" s="50"/>
      <c r="BX2070" s="54"/>
      <c r="BY2070" s="14"/>
      <c r="BZ2070" s="14"/>
      <c r="CA2070" s="14"/>
      <c r="CB2070" s="14"/>
      <c r="CC2070" s="14"/>
      <c r="CD2070" s="14"/>
      <c r="CE2070" s="14"/>
      <c r="CF2070" s="15"/>
      <c r="CG2070" s="14"/>
      <c r="CH2070" s="14"/>
      <c r="CI2070" s="50"/>
      <c r="CJ2070" s="54"/>
      <c r="CK2070" s="14"/>
      <c r="CL2070" s="14"/>
      <c r="CM2070" s="14"/>
      <c r="CN2070" s="14"/>
      <c r="CO2070" s="14"/>
      <c r="CP2070" s="14"/>
      <c r="CQ2070" s="14"/>
      <c r="CR2070" s="14"/>
      <c r="CS2070" s="14"/>
      <c r="CT2070" s="14"/>
      <c r="CU2070" s="16"/>
      <c r="CV2070" s="14"/>
      <c r="CW2070" s="50"/>
      <c r="CX2070" s="17"/>
    </row>
    <row r="2071" spans="4:102" x14ac:dyDescent="0.25">
      <c r="D2071" s="11"/>
      <c r="E2071" s="11"/>
      <c r="F2071" s="11"/>
      <c r="G2071" s="11"/>
      <c r="H2071" s="11"/>
      <c r="I2071" s="11"/>
      <c r="J2071" s="11"/>
      <c r="K2071" s="11"/>
      <c r="L2071" s="11"/>
      <c r="M2071" s="11"/>
      <c r="N2071" s="11"/>
      <c r="O2071" s="11"/>
      <c r="P2071" s="43"/>
      <c r="Q2071" s="11"/>
      <c r="R2071" s="11"/>
      <c r="S2071" s="11"/>
      <c r="T2071" s="11"/>
      <c r="U2071" s="11"/>
      <c r="V2071" s="11"/>
      <c r="W2071" s="11"/>
      <c r="X2071" s="12"/>
      <c r="Y2071" s="12"/>
      <c r="Z2071" s="12"/>
      <c r="AA2071" s="44"/>
      <c r="AB2071" s="45"/>
      <c r="AC2071" s="12"/>
      <c r="AD2071" s="12"/>
      <c r="AE2071" s="12"/>
      <c r="AF2071" s="12"/>
      <c r="AG2071" s="44"/>
      <c r="AH2071" s="45"/>
      <c r="AI2071" s="12"/>
      <c r="AJ2071" s="12"/>
      <c r="AK2071" s="12"/>
      <c r="AL2071" s="12"/>
      <c r="AM2071" s="44"/>
      <c r="AN2071" s="45"/>
      <c r="AO2071" s="12"/>
      <c r="AP2071" s="12"/>
      <c r="AQ2071" s="12"/>
      <c r="AR2071" s="12"/>
      <c r="AS2071" s="44"/>
      <c r="AT2071" s="45"/>
      <c r="AU2071" s="12"/>
      <c r="AV2071" s="12"/>
      <c r="AW2071" s="12"/>
      <c r="AX2071" s="12"/>
      <c r="AY2071" s="44"/>
      <c r="AZ2071" s="45"/>
      <c r="BA2071" s="12"/>
      <c r="BB2071" s="12"/>
      <c r="BC2071" s="12"/>
      <c r="BD2071" s="12"/>
      <c r="BE2071" s="44"/>
      <c r="BF2071" s="45"/>
      <c r="BG2071" s="12"/>
      <c r="BH2071" s="12"/>
      <c r="BI2071" s="12"/>
      <c r="BJ2071" s="12"/>
      <c r="BK2071" s="44"/>
      <c r="BL2071" s="45"/>
      <c r="BM2071" s="12"/>
      <c r="BN2071" s="12"/>
      <c r="BO2071" s="12"/>
      <c r="BP2071" s="12"/>
      <c r="BQ2071" s="48"/>
      <c r="BR2071" s="49"/>
      <c r="BS2071" s="13"/>
      <c r="BT2071" s="12"/>
      <c r="BV2071" s="14"/>
      <c r="BW2071" s="50"/>
      <c r="BX2071" s="54"/>
      <c r="BY2071" s="14"/>
      <c r="BZ2071" s="14"/>
      <c r="CA2071" s="14"/>
      <c r="CB2071" s="14"/>
      <c r="CC2071" s="14"/>
      <c r="CD2071" s="14"/>
      <c r="CE2071" s="14"/>
      <c r="CF2071" s="15"/>
      <c r="CG2071" s="14"/>
      <c r="CH2071" s="14"/>
      <c r="CI2071" s="50"/>
      <c r="CJ2071" s="54"/>
      <c r="CK2071" s="14"/>
      <c r="CL2071" s="14"/>
      <c r="CM2071" s="14"/>
      <c r="CN2071" s="14"/>
      <c r="CO2071" s="14"/>
      <c r="CP2071" s="14"/>
      <c r="CQ2071" s="14"/>
      <c r="CR2071" s="14"/>
      <c r="CS2071" s="14"/>
      <c r="CT2071" s="14"/>
      <c r="CU2071" s="16"/>
      <c r="CV2071" s="14"/>
      <c r="CW2071" s="50"/>
      <c r="CX2071" s="17"/>
    </row>
    <row r="2072" spans="4:102" x14ac:dyDescent="0.25">
      <c r="D2072" s="11"/>
      <c r="E2072" s="11"/>
      <c r="F2072" s="11"/>
      <c r="G2072" s="11"/>
      <c r="H2072" s="11"/>
      <c r="I2072" s="11"/>
      <c r="J2072" s="11"/>
      <c r="K2072" s="11"/>
      <c r="L2072" s="11"/>
      <c r="M2072" s="11"/>
      <c r="N2072" s="11"/>
      <c r="O2072" s="11"/>
      <c r="P2072" s="43"/>
      <c r="Q2072" s="11"/>
      <c r="R2072" s="11"/>
      <c r="S2072" s="11"/>
      <c r="T2072" s="11"/>
      <c r="U2072" s="11"/>
      <c r="V2072" s="11"/>
      <c r="W2072" s="11"/>
      <c r="X2072" s="12"/>
      <c r="Y2072" s="12"/>
      <c r="Z2072" s="12"/>
      <c r="AA2072" s="44"/>
      <c r="AB2072" s="45"/>
      <c r="AC2072" s="12"/>
      <c r="AD2072" s="12"/>
      <c r="AE2072" s="12"/>
      <c r="AF2072" s="12"/>
      <c r="AG2072" s="44"/>
      <c r="AH2072" s="45"/>
      <c r="AI2072" s="12"/>
      <c r="AJ2072" s="12"/>
      <c r="AK2072" s="12"/>
      <c r="AL2072" s="12"/>
      <c r="AM2072" s="44"/>
      <c r="AN2072" s="45"/>
      <c r="AO2072" s="12"/>
      <c r="AP2072" s="12"/>
      <c r="AQ2072" s="12"/>
      <c r="AR2072" s="12"/>
      <c r="AS2072" s="44"/>
      <c r="AT2072" s="45"/>
      <c r="AU2072" s="12"/>
      <c r="AV2072" s="12"/>
      <c r="AW2072" s="12"/>
      <c r="AX2072" s="12"/>
      <c r="AY2072" s="44"/>
      <c r="AZ2072" s="45"/>
      <c r="BA2072" s="12"/>
      <c r="BB2072" s="12"/>
      <c r="BC2072" s="12"/>
      <c r="BD2072" s="12"/>
      <c r="BE2072" s="44"/>
      <c r="BF2072" s="45"/>
      <c r="BG2072" s="12"/>
      <c r="BH2072" s="12"/>
      <c r="BI2072" s="12"/>
      <c r="BJ2072" s="12"/>
      <c r="BK2072" s="44"/>
      <c r="BL2072" s="45"/>
      <c r="BM2072" s="12"/>
      <c r="BN2072" s="12"/>
      <c r="BO2072" s="12"/>
      <c r="BP2072" s="12"/>
      <c r="BQ2072" s="48"/>
      <c r="BR2072" s="49"/>
      <c r="BS2072" s="13"/>
      <c r="BT2072" s="12"/>
      <c r="BV2072" s="14"/>
      <c r="BW2072" s="50"/>
      <c r="BX2072" s="54"/>
      <c r="BY2072" s="14"/>
      <c r="BZ2072" s="14"/>
      <c r="CA2072" s="14"/>
      <c r="CB2072" s="14"/>
      <c r="CC2072" s="14"/>
      <c r="CD2072" s="14"/>
      <c r="CE2072" s="14"/>
      <c r="CF2072" s="15"/>
      <c r="CG2072" s="14"/>
      <c r="CH2072" s="14"/>
      <c r="CI2072" s="50"/>
      <c r="CJ2072" s="54"/>
      <c r="CK2072" s="14"/>
      <c r="CL2072" s="14"/>
      <c r="CM2072" s="14"/>
      <c r="CN2072" s="14"/>
      <c r="CO2072" s="14"/>
      <c r="CP2072" s="14"/>
      <c r="CQ2072" s="14"/>
      <c r="CR2072" s="14"/>
      <c r="CS2072" s="14"/>
      <c r="CT2072" s="14"/>
      <c r="CU2072" s="16"/>
      <c r="CV2072" s="14"/>
      <c r="CW2072" s="50"/>
      <c r="CX2072" s="17"/>
    </row>
    <row r="2073" spans="4:102" x14ac:dyDescent="0.25">
      <c r="D2073" s="11"/>
      <c r="E2073" s="11"/>
      <c r="F2073" s="11"/>
      <c r="G2073" s="11"/>
      <c r="H2073" s="11"/>
      <c r="I2073" s="11"/>
      <c r="J2073" s="11"/>
      <c r="K2073" s="11"/>
      <c r="L2073" s="11"/>
      <c r="M2073" s="11"/>
      <c r="N2073" s="11"/>
      <c r="O2073" s="11"/>
      <c r="P2073" s="43"/>
      <c r="Q2073" s="11"/>
      <c r="R2073" s="11"/>
      <c r="S2073" s="11"/>
      <c r="T2073" s="11"/>
      <c r="U2073" s="11"/>
      <c r="V2073" s="11"/>
      <c r="W2073" s="11"/>
      <c r="X2073" s="12"/>
      <c r="Y2073" s="12"/>
      <c r="Z2073" s="12"/>
      <c r="AA2073" s="44"/>
      <c r="AB2073" s="45"/>
      <c r="AC2073" s="12"/>
      <c r="AD2073" s="12"/>
      <c r="AE2073" s="12"/>
      <c r="AF2073" s="12"/>
      <c r="AG2073" s="44"/>
      <c r="AH2073" s="45"/>
      <c r="AI2073" s="12"/>
      <c r="AJ2073" s="12"/>
      <c r="AK2073" s="12"/>
      <c r="AL2073" s="12"/>
      <c r="AM2073" s="44"/>
      <c r="AN2073" s="45"/>
      <c r="AO2073" s="12"/>
      <c r="AP2073" s="12"/>
      <c r="AQ2073" s="12"/>
      <c r="AR2073" s="12"/>
      <c r="AS2073" s="44"/>
      <c r="AT2073" s="45"/>
      <c r="AU2073" s="12"/>
      <c r="AV2073" s="12"/>
      <c r="AW2073" s="12"/>
      <c r="AX2073" s="12"/>
      <c r="AY2073" s="44"/>
      <c r="AZ2073" s="45"/>
      <c r="BA2073" s="12"/>
      <c r="BB2073" s="12"/>
      <c r="BC2073" s="12"/>
      <c r="BD2073" s="12"/>
      <c r="BE2073" s="44"/>
      <c r="BF2073" s="45"/>
      <c r="BG2073" s="12"/>
      <c r="BH2073" s="12"/>
      <c r="BI2073" s="12"/>
      <c r="BJ2073" s="12"/>
      <c r="BK2073" s="44"/>
      <c r="BL2073" s="45"/>
      <c r="BM2073" s="12"/>
      <c r="BN2073" s="12"/>
      <c r="BO2073" s="12"/>
      <c r="BP2073" s="12"/>
      <c r="BQ2073" s="48"/>
      <c r="BR2073" s="49"/>
      <c r="BS2073" s="13"/>
      <c r="BT2073" s="12"/>
      <c r="BV2073" s="14"/>
      <c r="BW2073" s="50"/>
      <c r="BX2073" s="54"/>
      <c r="BY2073" s="14"/>
      <c r="BZ2073" s="14"/>
      <c r="CA2073" s="14"/>
      <c r="CB2073" s="14"/>
      <c r="CC2073" s="14"/>
      <c r="CD2073" s="14"/>
      <c r="CE2073" s="14"/>
      <c r="CF2073" s="15"/>
      <c r="CG2073" s="14"/>
      <c r="CH2073" s="14"/>
      <c r="CI2073" s="50"/>
      <c r="CJ2073" s="54"/>
      <c r="CK2073" s="14"/>
      <c r="CL2073" s="14"/>
      <c r="CM2073" s="14"/>
      <c r="CN2073" s="14"/>
      <c r="CO2073" s="14"/>
      <c r="CP2073" s="14"/>
      <c r="CQ2073" s="14"/>
      <c r="CR2073" s="14"/>
      <c r="CS2073" s="14"/>
      <c r="CT2073" s="14"/>
      <c r="CU2073" s="16"/>
      <c r="CV2073" s="14"/>
      <c r="CW2073" s="50"/>
      <c r="CX2073" s="17"/>
    </row>
    <row r="2074" spans="4:102" x14ac:dyDescent="0.25">
      <c r="D2074" s="11"/>
      <c r="E2074" s="11"/>
      <c r="F2074" s="11"/>
      <c r="G2074" s="11"/>
      <c r="H2074" s="11"/>
      <c r="I2074" s="11"/>
      <c r="J2074" s="11"/>
      <c r="K2074" s="11"/>
      <c r="L2074" s="11"/>
      <c r="M2074" s="11"/>
      <c r="N2074" s="11"/>
      <c r="O2074" s="11"/>
      <c r="P2074" s="43"/>
      <c r="Q2074" s="11"/>
      <c r="R2074" s="11"/>
      <c r="S2074" s="11"/>
      <c r="T2074" s="11"/>
      <c r="U2074" s="11"/>
      <c r="V2074" s="11"/>
      <c r="W2074" s="11"/>
      <c r="X2074" s="12"/>
      <c r="Y2074" s="12"/>
      <c r="Z2074" s="12"/>
      <c r="AA2074" s="44"/>
      <c r="AB2074" s="45"/>
      <c r="AC2074" s="12"/>
      <c r="AD2074" s="12"/>
      <c r="AE2074" s="12"/>
      <c r="AF2074" s="12"/>
      <c r="AG2074" s="44"/>
      <c r="AH2074" s="45"/>
      <c r="AI2074" s="12"/>
      <c r="AJ2074" s="12"/>
      <c r="AK2074" s="12"/>
      <c r="AL2074" s="12"/>
      <c r="AM2074" s="44"/>
      <c r="AN2074" s="45"/>
      <c r="AO2074" s="12"/>
      <c r="AP2074" s="12"/>
      <c r="AQ2074" s="12"/>
      <c r="AR2074" s="12"/>
      <c r="AS2074" s="44"/>
      <c r="AT2074" s="45"/>
      <c r="AU2074" s="12"/>
      <c r="AV2074" s="12"/>
      <c r="AW2074" s="12"/>
      <c r="AX2074" s="12"/>
      <c r="AY2074" s="44"/>
      <c r="AZ2074" s="45"/>
      <c r="BA2074" s="12"/>
      <c r="BB2074" s="12"/>
      <c r="BC2074" s="12"/>
      <c r="BD2074" s="12"/>
      <c r="BE2074" s="44"/>
      <c r="BF2074" s="45"/>
      <c r="BG2074" s="12"/>
      <c r="BH2074" s="12"/>
      <c r="BI2074" s="12"/>
      <c r="BJ2074" s="12"/>
      <c r="BK2074" s="44"/>
      <c r="BL2074" s="45"/>
      <c r="BM2074" s="12"/>
      <c r="BN2074" s="12"/>
      <c r="BO2074" s="12"/>
      <c r="BP2074" s="12"/>
      <c r="BQ2074" s="48"/>
      <c r="BR2074" s="49"/>
      <c r="BS2074" s="13"/>
      <c r="BT2074" s="12"/>
      <c r="BV2074" s="14"/>
      <c r="BW2074" s="50"/>
      <c r="BX2074" s="54"/>
      <c r="BY2074" s="14"/>
      <c r="BZ2074" s="14"/>
      <c r="CA2074" s="14"/>
      <c r="CB2074" s="14"/>
      <c r="CC2074" s="14"/>
      <c r="CD2074" s="14"/>
      <c r="CE2074" s="14"/>
      <c r="CF2074" s="15"/>
      <c r="CG2074" s="14"/>
      <c r="CH2074" s="14"/>
      <c r="CI2074" s="50"/>
      <c r="CJ2074" s="54"/>
      <c r="CK2074" s="14"/>
      <c r="CL2074" s="14"/>
      <c r="CM2074" s="14"/>
      <c r="CN2074" s="14"/>
      <c r="CO2074" s="14"/>
      <c r="CP2074" s="14"/>
      <c r="CQ2074" s="14"/>
      <c r="CR2074" s="14"/>
      <c r="CS2074" s="14"/>
      <c r="CT2074" s="14"/>
      <c r="CU2074" s="16"/>
      <c r="CV2074" s="14"/>
      <c r="CW2074" s="50"/>
      <c r="CX2074" s="17"/>
    </row>
    <row r="2075" spans="4:102" x14ac:dyDescent="0.25">
      <c r="D2075" s="11"/>
      <c r="E2075" s="11"/>
      <c r="F2075" s="11"/>
      <c r="G2075" s="11"/>
      <c r="H2075" s="11"/>
      <c r="I2075" s="11"/>
      <c r="J2075" s="11"/>
      <c r="K2075" s="11"/>
      <c r="L2075" s="11"/>
      <c r="M2075" s="11"/>
      <c r="N2075" s="11"/>
      <c r="O2075" s="11"/>
      <c r="P2075" s="43"/>
      <c r="Q2075" s="11"/>
      <c r="R2075" s="11"/>
      <c r="S2075" s="11"/>
      <c r="T2075" s="11"/>
      <c r="U2075" s="11"/>
      <c r="V2075" s="11"/>
      <c r="W2075" s="11"/>
      <c r="X2075" s="12"/>
      <c r="Y2075" s="12"/>
      <c r="Z2075" s="12"/>
      <c r="AA2075" s="44"/>
      <c r="AB2075" s="45"/>
      <c r="AC2075" s="12"/>
      <c r="AD2075" s="12"/>
      <c r="AE2075" s="12"/>
      <c r="AF2075" s="12"/>
      <c r="AG2075" s="44"/>
      <c r="AH2075" s="45"/>
      <c r="AI2075" s="12"/>
      <c r="AJ2075" s="12"/>
      <c r="AK2075" s="12"/>
      <c r="AL2075" s="12"/>
      <c r="AM2075" s="44"/>
      <c r="AN2075" s="45"/>
      <c r="AO2075" s="12"/>
      <c r="AP2075" s="12"/>
      <c r="AQ2075" s="12"/>
      <c r="AR2075" s="12"/>
      <c r="AS2075" s="44"/>
      <c r="AT2075" s="45"/>
      <c r="AU2075" s="12"/>
      <c r="AV2075" s="12"/>
      <c r="AW2075" s="12"/>
      <c r="AX2075" s="12"/>
      <c r="AY2075" s="44"/>
      <c r="AZ2075" s="45"/>
      <c r="BA2075" s="12"/>
      <c r="BB2075" s="12"/>
      <c r="BC2075" s="12"/>
      <c r="BD2075" s="12"/>
      <c r="BE2075" s="44"/>
      <c r="BF2075" s="45"/>
      <c r="BG2075" s="12"/>
      <c r="BH2075" s="12"/>
      <c r="BI2075" s="12"/>
      <c r="BJ2075" s="12"/>
      <c r="BK2075" s="44"/>
      <c r="BL2075" s="45"/>
      <c r="BM2075" s="12"/>
      <c r="BN2075" s="12"/>
      <c r="BO2075" s="12"/>
      <c r="BP2075" s="12"/>
      <c r="BQ2075" s="48"/>
      <c r="BR2075" s="49"/>
      <c r="BS2075" s="13"/>
      <c r="BT2075" s="12"/>
      <c r="BV2075" s="14"/>
      <c r="BW2075" s="50"/>
      <c r="BX2075" s="54"/>
      <c r="BY2075" s="14"/>
      <c r="BZ2075" s="14"/>
      <c r="CA2075" s="14"/>
      <c r="CB2075" s="14"/>
      <c r="CC2075" s="14"/>
      <c r="CD2075" s="14"/>
      <c r="CE2075" s="14"/>
      <c r="CF2075" s="15"/>
      <c r="CG2075" s="14"/>
      <c r="CH2075" s="14"/>
      <c r="CI2075" s="50"/>
      <c r="CJ2075" s="54"/>
      <c r="CK2075" s="14"/>
      <c r="CL2075" s="14"/>
      <c r="CM2075" s="14"/>
      <c r="CN2075" s="14"/>
      <c r="CO2075" s="14"/>
      <c r="CP2075" s="14"/>
      <c r="CQ2075" s="14"/>
      <c r="CR2075" s="14"/>
      <c r="CS2075" s="14"/>
      <c r="CT2075" s="14"/>
      <c r="CU2075" s="16"/>
      <c r="CV2075" s="14"/>
      <c r="CW2075" s="50"/>
      <c r="CX2075" s="17"/>
    </row>
    <row r="2076" spans="4:102" x14ac:dyDescent="0.25">
      <c r="D2076" s="11"/>
      <c r="E2076" s="11"/>
      <c r="F2076" s="11"/>
      <c r="G2076" s="11"/>
      <c r="H2076" s="11"/>
      <c r="I2076" s="11"/>
      <c r="J2076" s="11"/>
      <c r="K2076" s="11"/>
      <c r="L2076" s="11"/>
      <c r="M2076" s="11"/>
      <c r="N2076" s="11"/>
      <c r="O2076" s="11"/>
      <c r="P2076" s="43"/>
      <c r="Q2076" s="11"/>
      <c r="R2076" s="11"/>
      <c r="S2076" s="11"/>
      <c r="T2076" s="11"/>
      <c r="U2076" s="11"/>
      <c r="V2076" s="11"/>
      <c r="W2076" s="11"/>
      <c r="X2076" s="12"/>
      <c r="Y2076" s="12"/>
      <c r="Z2076" s="12"/>
      <c r="AA2076" s="44"/>
      <c r="AB2076" s="45"/>
      <c r="AC2076" s="12"/>
      <c r="AD2076" s="12"/>
      <c r="AE2076" s="12"/>
      <c r="AF2076" s="12"/>
      <c r="AG2076" s="44"/>
      <c r="AH2076" s="45"/>
      <c r="AI2076" s="12"/>
      <c r="AJ2076" s="12"/>
      <c r="AK2076" s="12"/>
      <c r="AL2076" s="12"/>
      <c r="AM2076" s="44"/>
      <c r="AN2076" s="45"/>
      <c r="AO2076" s="12"/>
      <c r="AP2076" s="12"/>
      <c r="AQ2076" s="12"/>
      <c r="AR2076" s="12"/>
      <c r="AS2076" s="44"/>
      <c r="AT2076" s="45"/>
      <c r="AU2076" s="12"/>
      <c r="AV2076" s="12"/>
      <c r="AW2076" s="12"/>
      <c r="AX2076" s="12"/>
      <c r="AY2076" s="44"/>
      <c r="AZ2076" s="45"/>
      <c r="BA2076" s="12"/>
      <c r="BB2076" s="12"/>
      <c r="BC2076" s="12"/>
      <c r="BD2076" s="12"/>
      <c r="BE2076" s="44"/>
      <c r="BF2076" s="45"/>
      <c r="BG2076" s="12"/>
      <c r="BH2076" s="12"/>
      <c r="BI2076" s="12"/>
      <c r="BJ2076" s="12"/>
      <c r="BK2076" s="44"/>
      <c r="BL2076" s="45"/>
      <c r="BM2076" s="12"/>
      <c r="BN2076" s="12"/>
      <c r="BO2076" s="12"/>
      <c r="BP2076" s="12"/>
      <c r="BQ2076" s="48"/>
      <c r="BR2076" s="49"/>
      <c r="BS2076" s="13"/>
      <c r="BT2076" s="12"/>
      <c r="BV2076" s="14"/>
      <c r="BW2076" s="50"/>
      <c r="BX2076" s="54"/>
      <c r="BY2076" s="14"/>
      <c r="BZ2076" s="14"/>
      <c r="CA2076" s="14"/>
      <c r="CB2076" s="14"/>
      <c r="CC2076" s="14"/>
      <c r="CD2076" s="14"/>
      <c r="CE2076" s="14"/>
      <c r="CF2076" s="15"/>
      <c r="CG2076" s="14"/>
      <c r="CH2076" s="14"/>
      <c r="CI2076" s="50"/>
      <c r="CJ2076" s="54"/>
      <c r="CK2076" s="14"/>
      <c r="CL2076" s="14"/>
      <c r="CM2076" s="14"/>
      <c r="CN2076" s="14"/>
      <c r="CO2076" s="14"/>
      <c r="CP2076" s="14"/>
      <c r="CQ2076" s="14"/>
      <c r="CR2076" s="14"/>
      <c r="CS2076" s="14"/>
      <c r="CT2076" s="14"/>
      <c r="CU2076" s="16"/>
      <c r="CV2076" s="14"/>
      <c r="CW2076" s="50"/>
      <c r="CX2076" s="17"/>
    </row>
    <row r="2077" spans="4:102" x14ac:dyDescent="0.25">
      <c r="D2077" s="11"/>
      <c r="E2077" s="11"/>
      <c r="F2077" s="11"/>
      <c r="G2077" s="11"/>
      <c r="H2077" s="11"/>
      <c r="I2077" s="11"/>
      <c r="J2077" s="11"/>
      <c r="K2077" s="11"/>
      <c r="L2077" s="11"/>
      <c r="M2077" s="11"/>
      <c r="N2077" s="11"/>
      <c r="O2077" s="11"/>
      <c r="P2077" s="43"/>
      <c r="Q2077" s="11"/>
      <c r="R2077" s="11"/>
      <c r="S2077" s="11"/>
      <c r="T2077" s="11"/>
      <c r="U2077" s="11"/>
      <c r="V2077" s="11"/>
      <c r="W2077" s="11"/>
      <c r="X2077" s="12"/>
      <c r="Y2077" s="12"/>
      <c r="Z2077" s="12"/>
      <c r="AA2077" s="44"/>
      <c r="AB2077" s="45"/>
      <c r="AC2077" s="12"/>
      <c r="AD2077" s="12"/>
      <c r="AE2077" s="12"/>
      <c r="AF2077" s="12"/>
      <c r="AG2077" s="44"/>
      <c r="AH2077" s="45"/>
      <c r="AI2077" s="12"/>
      <c r="AJ2077" s="12"/>
      <c r="AK2077" s="12"/>
      <c r="AL2077" s="12"/>
      <c r="AM2077" s="44"/>
      <c r="AN2077" s="45"/>
      <c r="AO2077" s="12"/>
      <c r="AP2077" s="12"/>
      <c r="AQ2077" s="12"/>
      <c r="AR2077" s="12"/>
      <c r="AS2077" s="44"/>
      <c r="AT2077" s="45"/>
      <c r="AU2077" s="12"/>
      <c r="AV2077" s="12"/>
      <c r="AW2077" s="12"/>
      <c r="AX2077" s="12"/>
      <c r="AY2077" s="44"/>
      <c r="AZ2077" s="45"/>
      <c r="BA2077" s="12"/>
      <c r="BB2077" s="12"/>
      <c r="BC2077" s="12"/>
      <c r="BD2077" s="12"/>
      <c r="BE2077" s="44"/>
      <c r="BF2077" s="45"/>
      <c r="BG2077" s="12"/>
      <c r="BH2077" s="12"/>
      <c r="BI2077" s="12"/>
      <c r="BJ2077" s="12"/>
      <c r="BK2077" s="44"/>
      <c r="BL2077" s="45"/>
      <c r="BM2077" s="12"/>
      <c r="BN2077" s="12"/>
      <c r="BO2077" s="12"/>
      <c r="BP2077" s="12"/>
      <c r="BQ2077" s="48"/>
      <c r="BR2077" s="49"/>
      <c r="BS2077" s="13"/>
      <c r="BT2077" s="12"/>
      <c r="BV2077" s="14"/>
      <c r="BW2077" s="50"/>
      <c r="BX2077" s="54"/>
      <c r="BY2077" s="14"/>
      <c r="BZ2077" s="14"/>
      <c r="CA2077" s="14"/>
      <c r="CB2077" s="14"/>
      <c r="CC2077" s="14"/>
      <c r="CD2077" s="14"/>
      <c r="CE2077" s="14"/>
      <c r="CF2077" s="15"/>
      <c r="CG2077" s="14"/>
      <c r="CH2077" s="14"/>
      <c r="CI2077" s="50"/>
      <c r="CJ2077" s="54"/>
      <c r="CK2077" s="14"/>
      <c r="CL2077" s="14"/>
      <c r="CM2077" s="14"/>
      <c r="CN2077" s="14"/>
      <c r="CO2077" s="14"/>
      <c r="CP2077" s="14"/>
      <c r="CQ2077" s="14"/>
      <c r="CR2077" s="14"/>
      <c r="CS2077" s="14"/>
      <c r="CT2077" s="14"/>
      <c r="CU2077" s="16"/>
      <c r="CV2077" s="14"/>
      <c r="CW2077" s="50"/>
      <c r="CX2077" s="17"/>
    </row>
    <row r="2078" spans="4:102" x14ac:dyDescent="0.25">
      <c r="D2078" s="11"/>
      <c r="E2078" s="11"/>
      <c r="F2078" s="11"/>
      <c r="G2078" s="11"/>
      <c r="H2078" s="11"/>
      <c r="I2078" s="11"/>
      <c r="J2078" s="11"/>
      <c r="K2078" s="11"/>
      <c r="L2078" s="11"/>
      <c r="M2078" s="11"/>
      <c r="N2078" s="11"/>
      <c r="O2078" s="11"/>
      <c r="P2078" s="43"/>
      <c r="Q2078" s="11"/>
      <c r="R2078" s="11"/>
      <c r="S2078" s="11"/>
      <c r="T2078" s="11"/>
      <c r="U2078" s="11"/>
      <c r="V2078" s="11"/>
      <c r="W2078" s="11"/>
      <c r="X2078" s="12"/>
      <c r="Y2078" s="12"/>
      <c r="Z2078" s="12"/>
      <c r="AA2078" s="44"/>
      <c r="AB2078" s="45"/>
      <c r="AC2078" s="12"/>
      <c r="AD2078" s="12"/>
      <c r="AE2078" s="12"/>
      <c r="AF2078" s="12"/>
      <c r="AG2078" s="44"/>
      <c r="AH2078" s="45"/>
      <c r="AI2078" s="12"/>
      <c r="AJ2078" s="12"/>
      <c r="AK2078" s="12"/>
      <c r="AL2078" s="12"/>
      <c r="AM2078" s="44"/>
      <c r="AN2078" s="45"/>
      <c r="AO2078" s="12"/>
      <c r="AP2078" s="12"/>
      <c r="AQ2078" s="12"/>
      <c r="AR2078" s="12"/>
      <c r="AS2078" s="44"/>
      <c r="AT2078" s="45"/>
      <c r="AU2078" s="12"/>
      <c r="AV2078" s="12"/>
      <c r="AW2078" s="12"/>
      <c r="AX2078" s="12"/>
      <c r="AY2078" s="44"/>
      <c r="AZ2078" s="45"/>
      <c r="BA2078" s="12"/>
      <c r="BB2078" s="12"/>
      <c r="BC2078" s="12"/>
      <c r="BD2078" s="12"/>
      <c r="BE2078" s="44"/>
      <c r="BF2078" s="45"/>
      <c r="BG2078" s="12"/>
      <c r="BH2078" s="12"/>
      <c r="BI2078" s="12"/>
      <c r="BJ2078" s="12"/>
      <c r="BK2078" s="44"/>
      <c r="BL2078" s="45"/>
      <c r="BM2078" s="12"/>
      <c r="BN2078" s="12"/>
      <c r="BO2078" s="12"/>
      <c r="BP2078" s="12"/>
      <c r="BQ2078" s="48"/>
      <c r="BR2078" s="49"/>
      <c r="BS2078" s="13"/>
      <c r="BT2078" s="12"/>
      <c r="BV2078" s="14"/>
      <c r="BW2078" s="50"/>
      <c r="BX2078" s="54"/>
      <c r="BY2078" s="14"/>
      <c r="BZ2078" s="14"/>
      <c r="CA2078" s="14"/>
      <c r="CB2078" s="14"/>
      <c r="CC2078" s="14"/>
      <c r="CD2078" s="14"/>
      <c r="CE2078" s="14"/>
      <c r="CF2078" s="15"/>
      <c r="CG2078" s="14"/>
      <c r="CH2078" s="14"/>
      <c r="CI2078" s="50"/>
      <c r="CJ2078" s="54"/>
      <c r="CK2078" s="14"/>
      <c r="CL2078" s="14"/>
      <c r="CM2078" s="14"/>
      <c r="CN2078" s="14"/>
      <c r="CO2078" s="14"/>
      <c r="CP2078" s="14"/>
      <c r="CQ2078" s="14"/>
      <c r="CR2078" s="14"/>
      <c r="CS2078" s="14"/>
      <c r="CT2078" s="14"/>
      <c r="CU2078" s="16"/>
      <c r="CV2078" s="14"/>
      <c r="CW2078" s="50"/>
      <c r="CX2078" s="17"/>
    </row>
    <row r="2079" spans="4:102" x14ac:dyDescent="0.25">
      <c r="D2079" s="11"/>
      <c r="E2079" s="11"/>
      <c r="F2079" s="11"/>
      <c r="G2079" s="11"/>
      <c r="H2079" s="11"/>
      <c r="I2079" s="11"/>
      <c r="J2079" s="11"/>
      <c r="K2079" s="11"/>
      <c r="L2079" s="11"/>
      <c r="M2079" s="11"/>
      <c r="N2079" s="11"/>
      <c r="O2079" s="11"/>
      <c r="P2079" s="43"/>
      <c r="Q2079" s="11"/>
      <c r="R2079" s="11"/>
      <c r="S2079" s="11"/>
      <c r="T2079" s="11"/>
      <c r="U2079" s="11"/>
      <c r="V2079" s="11"/>
      <c r="W2079" s="11"/>
      <c r="X2079" s="12"/>
      <c r="Y2079" s="12"/>
      <c r="Z2079" s="12"/>
      <c r="AA2079" s="44"/>
      <c r="AB2079" s="45"/>
      <c r="AC2079" s="12"/>
      <c r="AD2079" s="12"/>
      <c r="AE2079" s="12"/>
      <c r="AF2079" s="12"/>
      <c r="AG2079" s="44"/>
      <c r="AH2079" s="45"/>
      <c r="AI2079" s="12"/>
      <c r="AJ2079" s="12"/>
      <c r="AK2079" s="12"/>
      <c r="AL2079" s="12"/>
      <c r="AM2079" s="44"/>
      <c r="AN2079" s="45"/>
      <c r="AO2079" s="12"/>
      <c r="AP2079" s="12"/>
      <c r="AQ2079" s="12"/>
      <c r="AR2079" s="12"/>
      <c r="AS2079" s="44"/>
      <c r="AT2079" s="45"/>
      <c r="AU2079" s="12"/>
      <c r="AV2079" s="12"/>
      <c r="AW2079" s="12"/>
      <c r="AX2079" s="12"/>
      <c r="AY2079" s="44"/>
      <c r="AZ2079" s="45"/>
      <c r="BA2079" s="12"/>
      <c r="BB2079" s="12"/>
      <c r="BC2079" s="12"/>
      <c r="BD2079" s="12"/>
      <c r="BE2079" s="44"/>
      <c r="BF2079" s="45"/>
      <c r="BG2079" s="12"/>
      <c r="BH2079" s="12"/>
      <c r="BI2079" s="12"/>
      <c r="BJ2079" s="12"/>
      <c r="BK2079" s="44"/>
      <c r="BL2079" s="45"/>
      <c r="BM2079" s="12"/>
      <c r="BN2079" s="12"/>
      <c r="BO2079" s="12"/>
      <c r="BP2079" s="12"/>
      <c r="BQ2079" s="48"/>
      <c r="BR2079" s="49"/>
      <c r="BS2079" s="13"/>
      <c r="BT2079" s="12"/>
      <c r="BV2079" s="14"/>
      <c r="BW2079" s="50"/>
      <c r="BX2079" s="54"/>
      <c r="BY2079" s="14"/>
      <c r="BZ2079" s="14"/>
      <c r="CA2079" s="14"/>
      <c r="CB2079" s="14"/>
      <c r="CC2079" s="14"/>
      <c r="CD2079" s="14"/>
      <c r="CE2079" s="14"/>
      <c r="CF2079" s="15"/>
      <c r="CG2079" s="14"/>
      <c r="CH2079" s="14"/>
      <c r="CI2079" s="50"/>
      <c r="CJ2079" s="54"/>
      <c r="CK2079" s="14"/>
      <c r="CL2079" s="14"/>
      <c r="CM2079" s="14"/>
      <c r="CN2079" s="14"/>
      <c r="CO2079" s="14"/>
      <c r="CP2079" s="14"/>
      <c r="CQ2079" s="14"/>
      <c r="CR2079" s="14"/>
      <c r="CS2079" s="14"/>
      <c r="CT2079" s="14"/>
      <c r="CU2079" s="16"/>
      <c r="CV2079" s="14"/>
      <c r="CW2079" s="50"/>
      <c r="CX2079" s="17"/>
    </row>
    <row r="2080" spans="4:102" x14ac:dyDescent="0.25">
      <c r="D2080" s="11"/>
      <c r="E2080" s="11"/>
      <c r="F2080" s="11"/>
      <c r="G2080" s="11"/>
      <c r="H2080" s="11"/>
      <c r="I2080" s="11"/>
      <c r="J2080" s="11"/>
      <c r="K2080" s="11"/>
      <c r="L2080" s="11"/>
      <c r="M2080" s="11"/>
      <c r="N2080" s="11"/>
      <c r="O2080" s="11"/>
      <c r="P2080" s="43"/>
      <c r="Q2080" s="11"/>
      <c r="R2080" s="11"/>
      <c r="S2080" s="11"/>
      <c r="T2080" s="11"/>
      <c r="U2080" s="11"/>
      <c r="V2080" s="11"/>
      <c r="W2080" s="11"/>
      <c r="X2080" s="12"/>
      <c r="Y2080" s="12"/>
      <c r="Z2080" s="12"/>
      <c r="AA2080" s="44"/>
      <c r="AB2080" s="45"/>
      <c r="AC2080" s="12"/>
      <c r="AD2080" s="12"/>
      <c r="AE2080" s="12"/>
      <c r="AF2080" s="12"/>
      <c r="AG2080" s="44"/>
      <c r="AH2080" s="45"/>
      <c r="AI2080" s="12"/>
      <c r="AJ2080" s="12"/>
      <c r="AK2080" s="12"/>
      <c r="AL2080" s="12"/>
      <c r="AM2080" s="44"/>
      <c r="AN2080" s="45"/>
      <c r="AO2080" s="12"/>
      <c r="AP2080" s="12"/>
      <c r="AQ2080" s="12"/>
      <c r="AR2080" s="12"/>
      <c r="AS2080" s="44"/>
      <c r="AT2080" s="45"/>
      <c r="AU2080" s="12"/>
      <c r="AV2080" s="12"/>
      <c r="AW2080" s="12"/>
      <c r="AX2080" s="12"/>
      <c r="AY2080" s="44"/>
      <c r="AZ2080" s="45"/>
      <c r="BA2080" s="12"/>
      <c r="BB2080" s="12"/>
      <c r="BC2080" s="12"/>
      <c r="BD2080" s="12"/>
      <c r="BE2080" s="44"/>
      <c r="BF2080" s="45"/>
      <c r="BG2080" s="12"/>
      <c r="BH2080" s="12"/>
      <c r="BI2080" s="12"/>
      <c r="BJ2080" s="12"/>
      <c r="BK2080" s="44"/>
      <c r="BL2080" s="45"/>
      <c r="BM2080" s="12"/>
      <c r="BN2080" s="12"/>
      <c r="BO2080" s="12"/>
      <c r="BP2080" s="12"/>
      <c r="BQ2080" s="48"/>
      <c r="BR2080" s="49"/>
      <c r="BS2080" s="13"/>
      <c r="BT2080" s="12"/>
      <c r="BV2080" s="14"/>
      <c r="BW2080" s="50"/>
      <c r="BX2080" s="54"/>
      <c r="BY2080" s="14"/>
      <c r="BZ2080" s="14"/>
      <c r="CA2080" s="14"/>
      <c r="CB2080" s="14"/>
      <c r="CC2080" s="14"/>
      <c r="CD2080" s="14"/>
      <c r="CE2080" s="14"/>
      <c r="CF2080" s="15"/>
      <c r="CG2080" s="14"/>
      <c r="CH2080" s="14"/>
      <c r="CI2080" s="50"/>
      <c r="CJ2080" s="54"/>
      <c r="CK2080" s="14"/>
      <c r="CL2080" s="14"/>
      <c r="CM2080" s="14"/>
      <c r="CN2080" s="14"/>
      <c r="CO2080" s="14"/>
      <c r="CP2080" s="14"/>
      <c r="CQ2080" s="14"/>
      <c r="CR2080" s="14"/>
      <c r="CS2080" s="14"/>
      <c r="CT2080" s="14"/>
      <c r="CU2080" s="16"/>
      <c r="CV2080" s="14"/>
      <c r="CW2080" s="50"/>
      <c r="CX2080" s="17"/>
    </row>
    <row r="2081" spans="4:102" x14ac:dyDescent="0.25">
      <c r="D2081" s="11"/>
      <c r="E2081" s="11"/>
      <c r="F2081" s="11"/>
      <c r="G2081" s="11"/>
      <c r="H2081" s="11"/>
      <c r="I2081" s="11"/>
      <c r="J2081" s="11"/>
      <c r="K2081" s="11"/>
      <c r="L2081" s="11"/>
      <c r="M2081" s="11"/>
      <c r="N2081" s="11"/>
      <c r="O2081" s="11"/>
      <c r="P2081" s="43"/>
      <c r="Q2081" s="11"/>
      <c r="R2081" s="11"/>
      <c r="S2081" s="11"/>
      <c r="T2081" s="11"/>
      <c r="U2081" s="11"/>
      <c r="V2081" s="11"/>
      <c r="W2081" s="11"/>
      <c r="X2081" s="12"/>
      <c r="Y2081" s="12"/>
      <c r="Z2081" s="12"/>
      <c r="AA2081" s="44"/>
      <c r="AB2081" s="45"/>
      <c r="AC2081" s="12"/>
      <c r="AD2081" s="12"/>
      <c r="AE2081" s="12"/>
      <c r="AF2081" s="12"/>
      <c r="AG2081" s="44"/>
      <c r="AH2081" s="45"/>
      <c r="AI2081" s="12"/>
      <c r="AJ2081" s="12"/>
      <c r="AK2081" s="12"/>
      <c r="AL2081" s="12"/>
      <c r="AM2081" s="44"/>
      <c r="AN2081" s="45"/>
      <c r="AO2081" s="12"/>
      <c r="AP2081" s="12"/>
      <c r="AQ2081" s="12"/>
      <c r="AR2081" s="12"/>
      <c r="AS2081" s="44"/>
      <c r="AT2081" s="45"/>
      <c r="AU2081" s="12"/>
      <c r="AV2081" s="12"/>
      <c r="AW2081" s="12"/>
      <c r="AX2081" s="12"/>
      <c r="AY2081" s="44"/>
      <c r="AZ2081" s="45"/>
      <c r="BA2081" s="12"/>
      <c r="BB2081" s="12"/>
      <c r="BC2081" s="12"/>
      <c r="BD2081" s="12"/>
      <c r="BE2081" s="44"/>
      <c r="BF2081" s="45"/>
      <c r="BG2081" s="12"/>
      <c r="BH2081" s="12"/>
      <c r="BI2081" s="12"/>
      <c r="BJ2081" s="12"/>
      <c r="BK2081" s="44"/>
      <c r="BL2081" s="45"/>
      <c r="BM2081" s="12"/>
      <c r="BN2081" s="12"/>
      <c r="BO2081" s="12"/>
      <c r="BP2081" s="12"/>
      <c r="BQ2081" s="48"/>
      <c r="BR2081" s="49"/>
      <c r="BS2081" s="13"/>
      <c r="BT2081" s="12"/>
      <c r="BV2081" s="14"/>
      <c r="BW2081" s="50"/>
      <c r="BX2081" s="54"/>
      <c r="BY2081" s="14"/>
      <c r="BZ2081" s="14"/>
      <c r="CA2081" s="14"/>
      <c r="CB2081" s="14"/>
      <c r="CC2081" s="14"/>
      <c r="CD2081" s="14"/>
      <c r="CE2081" s="14"/>
      <c r="CF2081" s="15"/>
      <c r="CG2081" s="14"/>
      <c r="CH2081" s="14"/>
      <c r="CI2081" s="50"/>
      <c r="CJ2081" s="54"/>
      <c r="CK2081" s="14"/>
      <c r="CL2081" s="14"/>
      <c r="CM2081" s="14"/>
      <c r="CN2081" s="14"/>
      <c r="CO2081" s="14"/>
      <c r="CP2081" s="14"/>
      <c r="CQ2081" s="14"/>
      <c r="CR2081" s="14"/>
      <c r="CS2081" s="14"/>
      <c r="CT2081" s="14"/>
      <c r="CU2081" s="16"/>
      <c r="CV2081" s="14"/>
      <c r="CW2081" s="50"/>
      <c r="CX2081" s="17"/>
    </row>
    <row r="2082" spans="4:102" x14ac:dyDescent="0.25">
      <c r="D2082" s="11"/>
      <c r="E2082" s="11"/>
      <c r="F2082" s="11"/>
      <c r="G2082" s="11"/>
      <c r="H2082" s="11"/>
      <c r="I2082" s="11"/>
      <c r="J2082" s="11"/>
      <c r="K2082" s="11"/>
      <c r="L2082" s="11"/>
      <c r="M2082" s="11"/>
      <c r="N2082" s="11"/>
      <c r="O2082" s="11"/>
      <c r="P2082" s="43"/>
      <c r="Q2082" s="11"/>
      <c r="R2082" s="11"/>
      <c r="S2082" s="11"/>
      <c r="T2082" s="11"/>
      <c r="U2082" s="11"/>
      <c r="V2082" s="11"/>
      <c r="W2082" s="11"/>
      <c r="X2082" s="12"/>
      <c r="Y2082" s="12"/>
      <c r="Z2082" s="12"/>
      <c r="AA2082" s="44"/>
      <c r="AB2082" s="45"/>
      <c r="AC2082" s="12"/>
      <c r="AD2082" s="12"/>
      <c r="AE2082" s="12"/>
      <c r="AF2082" s="12"/>
      <c r="AG2082" s="44"/>
      <c r="AH2082" s="45"/>
      <c r="AI2082" s="12"/>
      <c r="AJ2082" s="12"/>
      <c r="AK2082" s="12"/>
      <c r="AL2082" s="12"/>
      <c r="AM2082" s="44"/>
      <c r="AN2082" s="45"/>
      <c r="AO2082" s="12"/>
      <c r="AP2082" s="12"/>
      <c r="AQ2082" s="12"/>
      <c r="AR2082" s="12"/>
      <c r="AS2082" s="44"/>
      <c r="AT2082" s="45"/>
      <c r="AU2082" s="12"/>
      <c r="AV2082" s="12"/>
      <c r="AW2082" s="12"/>
      <c r="AX2082" s="12"/>
      <c r="AY2082" s="44"/>
      <c r="AZ2082" s="45"/>
      <c r="BA2082" s="12"/>
      <c r="BB2082" s="12"/>
      <c r="BC2082" s="12"/>
      <c r="BD2082" s="12"/>
      <c r="BE2082" s="44"/>
      <c r="BF2082" s="45"/>
      <c r="BG2082" s="12"/>
      <c r="BH2082" s="12"/>
      <c r="BI2082" s="12"/>
      <c r="BJ2082" s="12"/>
      <c r="BK2082" s="44"/>
      <c r="BL2082" s="45"/>
      <c r="BM2082" s="12"/>
      <c r="BN2082" s="12"/>
      <c r="BO2082" s="12"/>
      <c r="BP2082" s="12"/>
      <c r="BQ2082" s="48"/>
      <c r="BR2082" s="49"/>
      <c r="BS2082" s="13"/>
      <c r="BT2082" s="12"/>
      <c r="BV2082" s="14"/>
      <c r="BW2082" s="50"/>
      <c r="BX2082" s="54"/>
      <c r="BY2082" s="14"/>
      <c r="BZ2082" s="14"/>
      <c r="CA2082" s="14"/>
      <c r="CB2082" s="14"/>
      <c r="CC2082" s="14"/>
      <c r="CD2082" s="14"/>
      <c r="CE2082" s="14"/>
      <c r="CF2082" s="15"/>
      <c r="CG2082" s="14"/>
      <c r="CH2082" s="14"/>
      <c r="CI2082" s="50"/>
      <c r="CJ2082" s="54"/>
      <c r="CK2082" s="14"/>
      <c r="CL2082" s="14"/>
      <c r="CM2082" s="14"/>
      <c r="CN2082" s="14"/>
      <c r="CO2082" s="14"/>
      <c r="CP2082" s="14"/>
      <c r="CQ2082" s="14"/>
      <c r="CR2082" s="14"/>
      <c r="CS2082" s="14"/>
      <c r="CT2082" s="14"/>
      <c r="CU2082" s="16"/>
      <c r="CV2082" s="14"/>
      <c r="CW2082" s="50"/>
      <c r="CX2082" s="17"/>
    </row>
    <row r="2083" spans="4:102" x14ac:dyDescent="0.25">
      <c r="D2083" s="11"/>
      <c r="E2083" s="11"/>
      <c r="F2083" s="11"/>
      <c r="G2083" s="11"/>
      <c r="H2083" s="11"/>
      <c r="I2083" s="11"/>
      <c r="J2083" s="11"/>
      <c r="K2083" s="11"/>
      <c r="L2083" s="11"/>
      <c r="M2083" s="11"/>
      <c r="N2083" s="11"/>
      <c r="O2083" s="11"/>
      <c r="P2083" s="43"/>
      <c r="Q2083" s="11"/>
      <c r="R2083" s="11"/>
      <c r="S2083" s="11"/>
      <c r="T2083" s="11"/>
      <c r="U2083" s="11"/>
      <c r="V2083" s="11"/>
      <c r="W2083" s="11"/>
      <c r="X2083" s="12"/>
      <c r="Y2083" s="12"/>
      <c r="Z2083" s="12"/>
      <c r="AA2083" s="44"/>
      <c r="AB2083" s="45"/>
      <c r="AC2083" s="12"/>
      <c r="AD2083" s="12"/>
      <c r="AE2083" s="12"/>
      <c r="AF2083" s="12"/>
      <c r="AG2083" s="44"/>
      <c r="AH2083" s="45"/>
      <c r="AI2083" s="12"/>
      <c r="AJ2083" s="12"/>
      <c r="AK2083" s="12"/>
      <c r="AL2083" s="12"/>
      <c r="AM2083" s="44"/>
      <c r="AN2083" s="45"/>
      <c r="AO2083" s="12"/>
      <c r="AP2083" s="12"/>
      <c r="AQ2083" s="12"/>
      <c r="AR2083" s="12"/>
      <c r="AS2083" s="44"/>
      <c r="AT2083" s="45"/>
      <c r="AU2083" s="12"/>
      <c r="AV2083" s="12"/>
      <c r="AW2083" s="12"/>
      <c r="AX2083" s="12"/>
      <c r="AY2083" s="44"/>
      <c r="AZ2083" s="45"/>
      <c r="BA2083" s="12"/>
      <c r="BB2083" s="12"/>
      <c r="BC2083" s="12"/>
      <c r="BD2083" s="12"/>
      <c r="BE2083" s="44"/>
      <c r="BF2083" s="45"/>
      <c r="BG2083" s="12"/>
      <c r="BH2083" s="12"/>
      <c r="BI2083" s="12"/>
      <c r="BJ2083" s="12"/>
      <c r="BK2083" s="44"/>
      <c r="BL2083" s="45"/>
      <c r="BM2083" s="12"/>
      <c r="BN2083" s="12"/>
      <c r="BO2083" s="12"/>
      <c r="BP2083" s="12"/>
      <c r="BQ2083" s="48"/>
      <c r="BR2083" s="49"/>
      <c r="BS2083" s="13"/>
      <c r="BT2083" s="12"/>
      <c r="BV2083" s="14"/>
      <c r="BW2083" s="50"/>
      <c r="BX2083" s="54"/>
      <c r="BY2083" s="14"/>
      <c r="BZ2083" s="14"/>
      <c r="CA2083" s="14"/>
      <c r="CB2083" s="14"/>
      <c r="CC2083" s="14"/>
      <c r="CD2083" s="14"/>
      <c r="CE2083" s="14"/>
      <c r="CF2083" s="15"/>
      <c r="CG2083" s="14"/>
      <c r="CH2083" s="14"/>
      <c r="CI2083" s="50"/>
      <c r="CJ2083" s="54"/>
      <c r="CK2083" s="14"/>
      <c r="CL2083" s="14"/>
      <c r="CM2083" s="14"/>
      <c r="CN2083" s="14"/>
      <c r="CO2083" s="14"/>
      <c r="CP2083" s="14"/>
      <c r="CQ2083" s="14"/>
      <c r="CR2083" s="14"/>
      <c r="CS2083" s="14"/>
      <c r="CT2083" s="14"/>
      <c r="CU2083" s="16"/>
      <c r="CV2083" s="14"/>
      <c r="CW2083" s="50"/>
      <c r="CX2083" s="17"/>
    </row>
    <row r="2084" spans="4:102" x14ac:dyDescent="0.25">
      <c r="D2084" s="11"/>
      <c r="E2084" s="11"/>
      <c r="F2084" s="11"/>
      <c r="G2084" s="11"/>
      <c r="H2084" s="11"/>
      <c r="I2084" s="11"/>
      <c r="J2084" s="11"/>
      <c r="K2084" s="11"/>
      <c r="L2084" s="11"/>
      <c r="M2084" s="11"/>
      <c r="N2084" s="11"/>
      <c r="O2084" s="11"/>
      <c r="P2084" s="43"/>
      <c r="Q2084" s="11"/>
      <c r="R2084" s="11"/>
      <c r="S2084" s="11"/>
      <c r="T2084" s="11"/>
      <c r="U2084" s="11"/>
      <c r="V2084" s="11"/>
      <c r="W2084" s="11"/>
      <c r="X2084" s="12"/>
      <c r="Y2084" s="12"/>
      <c r="Z2084" s="12"/>
      <c r="AA2084" s="44"/>
      <c r="AB2084" s="45"/>
      <c r="AC2084" s="12"/>
      <c r="AD2084" s="12"/>
      <c r="AE2084" s="12"/>
      <c r="AF2084" s="12"/>
      <c r="AG2084" s="44"/>
      <c r="AH2084" s="45"/>
      <c r="AI2084" s="12"/>
      <c r="AJ2084" s="12"/>
      <c r="AK2084" s="12"/>
      <c r="AL2084" s="12"/>
      <c r="AM2084" s="44"/>
      <c r="AN2084" s="45"/>
      <c r="AO2084" s="12"/>
      <c r="AP2084" s="12"/>
      <c r="AQ2084" s="12"/>
      <c r="AR2084" s="12"/>
      <c r="AS2084" s="44"/>
      <c r="AT2084" s="45"/>
      <c r="AU2084" s="12"/>
      <c r="AV2084" s="12"/>
      <c r="AW2084" s="12"/>
      <c r="AX2084" s="12"/>
      <c r="AY2084" s="44"/>
      <c r="AZ2084" s="45"/>
      <c r="BA2084" s="12"/>
      <c r="BB2084" s="12"/>
      <c r="BC2084" s="12"/>
      <c r="BD2084" s="12"/>
      <c r="BE2084" s="44"/>
      <c r="BF2084" s="45"/>
      <c r="BG2084" s="12"/>
      <c r="BH2084" s="12"/>
      <c r="BI2084" s="12"/>
      <c r="BJ2084" s="12"/>
      <c r="BK2084" s="44"/>
      <c r="BL2084" s="45"/>
      <c r="BM2084" s="12"/>
      <c r="BN2084" s="12"/>
      <c r="BO2084" s="12"/>
      <c r="BP2084" s="12"/>
      <c r="BQ2084" s="48"/>
      <c r="BR2084" s="49"/>
      <c r="BS2084" s="13"/>
      <c r="BT2084" s="12"/>
      <c r="BV2084" s="14"/>
      <c r="BW2084" s="50"/>
      <c r="BX2084" s="54"/>
      <c r="BY2084" s="14"/>
      <c r="BZ2084" s="14"/>
      <c r="CA2084" s="14"/>
      <c r="CB2084" s="14"/>
      <c r="CC2084" s="14"/>
      <c r="CD2084" s="14"/>
      <c r="CE2084" s="14"/>
      <c r="CF2084" s="15"/>
      <c r="CG2084" s="14"/>
      <c r="CH2084" s="14"/>
      <c r="CI2084" s="50"/>
      <c r="CJ2084" s="54"/>
      <c r="CK2084" s="14"/>
      <c r="CL2084" s="14"/>
      <c r="CM2084" s="14"/>
      <c r="CN2084" s="14"/>
      <c r="CO2084" s="14"/>
      <c r="CP2084" s="14"/>
      <c r="CQ2084" s="14"/>
      <c r="CR2084" s="14"/>
      <c r="CS2084" s="14"/>
      <c r="CT2084" s="14"/>
      <c r="CU2084" s="16"/>
      <c r="CV2084" s="14"/>
      <c r="CW2084" s="50"/>
      <c r="CX2084" s="17"/>
    </row>
    <row r="2085" spans="4:102" x14ac:dyDescent="0.25">
      <c r="D2085" s="11"/>
      <c r="E2085" s="11"/>
      <c r="F2085" s="11"/>
      <c r="G2085" s="11"/>
      <c r="H2085" s="11"/>
      <c r="I2085" s="11"/>
      <c r="J2085" s="11"/>
      <c r="K2085" s="11"/>
      <c r="L2085" s="11"/>
      <c r="M2085" s="11"/>
      <c r="N2085" s="11"/>
      <c r="O2085" s="11"/>
      <c r="P2085" s="43"/>
      <c r="Q2085" s="11"/>
      <c r="R2085" s="11"/>
      <c r="S2085" s="11"/>
      <c r="T2085" s="11"/>
      <c r="U2085" s="11"/>
      <c r="V2085" s="11"/>
      <c r="W2085" s="11"/>
      <c r="X2085" s="12"/>
      <c r="Y2085" s="12"/>
      <c r="Z2085" s="12"/>
      <c r="AA2085" s="44"/>
      <c r="AB2085" s="45"/>
      <c r="AC2085" s="12"/>
      <c r="AD2085" s="12"/>
      <c r="AE2085" s="12"/>
      <c r="AF2085" s="12"/>
      <c r="AG2085" s="44"/>
      <c r="AH2085" s="45"/>
      <c r="AI2085" s="12"/>
      <c r="AJ2085" s="12"/>
      <c r="AK2085" s="12"/>
      <c r="AL2085" s="12"/>
      <c r="AM2085" s="44"/>
      <c r="AN2085" s="45"/>
      <c r="AO2085" s="12"/>
      <c r="AP2085" s="12"/>
      <c r="AQ2085" s="12"/>
      <c r="AR2085" s="12"/>
      <c r="AS2085" s="44"/>
      <c r="AT2085" s="45"/>
      <c r="AU2085" s="12"/>
      <c r="AV2085" s="12"/>
      <c r="AW2085" s="12"/>
      <c r="AX2085" s="12"/>
      <c r="AY2085" s="44"/>
      <c r="AZ2085" s="45"/>
      <c r="BA2085" s="12"/>
      <c r="BB2085" s="12"/>
      <c r="BC2085" s="12"/>
      <c r="BD2085" s="12"/>
      <c r="BE2085" s="44"/>
      <c r="BF2085" s="45"/>
      <c r="BG2085" s="12"/>
      <c r="BH2085" s="12"/>
      <c r="BI2085" s="12"/>
      <c r="BJ2085" s="12"/>
      <c r="BK2085" s="44"/>
      <c r="BL2085" s="45"/>
      <c r="BM2085" s="12"/>
      <c r="BN2085" s="12"/>
      <c r="BO2085" s="12"/>
      <c r="BP2085" s="12"/>
      <c r="BQ2085" s="48"/>
      <c r="BR2085" s="49"/>
      <c r="BS2085" s="13"/>
      <c r="BT2085" s="12"/>
      <c r="BV2085" s="14"/>
      <c r="BW2085" s="50"/>
      <c r="BX2085" s="54"/>
      <c r="BY2085" s="14"/>
      <c r="BZ2085" s="14"/>
      <c r="CA2085" s="14"/>
      <c r="CB2085" s="14"/>
      <c r="CC2085" s="14"/>
      <c r="CD2085" s="14"/>
      <c r="CE2085" s="14"/>
      <c r="CF2085" s="15"/>
      <c r="CG2085" s="14"/>
      <c r="CH2085" s="14"/>
      <c r="CI2085" s="50"/>
      <c r="CJ2085" s="54"/>
      <c r="CK2085" s="14"/>
      <c r="CL2085" s="14"/>
      <c r="CM2085" s="14"/>
      <c r="CN2085" s="14"/>
      <c r="CO2085" s="14"/>
      <c r="CP2085" s="14"/>
      <c r="CQ2085" s="14"/>
      <c r="CR2085" s="14"/>
      <c r="CS2085" s="14"/>
      <c r="CT2085" s="14"/>
      <c r="CU2085" s="16"/>
      <c r="CV2085" s="14"/>
      <c r="CW2085" s="50"/>
      <c r="CX2085" s="17"/>
    </row>
    <row r="2086" spans="4:102" x14ac:dyDescent="0.25">
      <c r="D2086" s="11"/>
      <c r="E2086" s="11"/>
      <c r="F2086" s="11"/>
      <c r="G2086" s="11"/>
      <c r="H2086" s="11"/>
      <c r="I2086" s="11"/>
      <c r="J2086" s="11"/>
      <c r="K2086" s="11"/>
      <c r="L2086" s="11"/>
      <c r="M2086" s="11"/>
      <c r="N2086" s="11"/>
      <c r="O2086" s="11"/>
      <c r="P2086" s="43"/>
      <c r="Q2086" s="11"/>
      <c r="R2086" s="11"/>
      <c r="S2086" s="11"/>
      <c r="T2086" s="11"/>
      <c r="U2086" s="11"/>
      <c r="V2086" s="11"/>
      <c r="W2086" s="11"/>
      <c r="X2086" s="12"/>
      <c r="Y2086" s="12"/>
      <c r="Z2086" s="12"/>
      <c r="AA2086" s="44"/>
      <c r="AB2086" s="45"/>
      <c r="AC2086" s="12"/>
      <c r="AD2086" s="12"/>
      <c r="AE2086" s="12"/>
      <c r="AF2086" s="12"/>
      <c r="AG2086" s="44"/>
      <c r="AH2086" s="45"/>
      <c r="AI2086" s="12"/>
      <c r="AJ2086" s="12"/>
      <c r="AK2086" s="12"/>
      <c r="AL2086" s="12"/>
      <c r="AM2086" s="44"/>
      <c r="AN2086" s="45"/>
      <c r="AO2086" s="12"/>
      <c r="AP2086" s="12"/>
      <c r="AQ2086" s="12"/>
      <c r="AR2086" s="12"/>
      <c r="AS2086" s="44"/>
      <c r="AT2086" s="45"/>
      <c r="AU2086" s="12"/>
      <c r="AV2086" s="12"/>
      <c r="AW2086" s="12"/>
      <c r="AX2086" s="12"/>
      <c r="AY2086" s="44"/>
      <c r="AZ2086" s="45"/>
      <c r="BA2086" s="12"/>
      <c r="BB2086" s="12"/>
      <c r="BC2086" s="12"/>
      <c r="BD2086" s="12"/>
      <c r="BE2086" s="44"/>
      <c r="BF2086" s="45"/>
      <c r="BG2086" s="12"/>
      <c r="BH2086" s="12"/>
      <c r="BI2086" s="12"/>
      <c r="BJ2086" s="12"/>
      <c r="BK2086" s="44"/>
      <c r="BL2086" s="45"/>
      <c r="BM2086" s="12"/>
      <c r="BN2086" s="12"/>
      <c r="BO2086" s="12"/>
      <c r="BP2086" s="12"/>
      <c r="BQ2086" s="48"/>
      <c r="BR2086" s="49"/>
      <c r="BS2086" s="13"/>
      <c r="BT2086" s="12"/>
      <c r="BV2086" s="14"/>
      <c r="BW2086" s="50"/>
      <c r="BX2086" s="54"/>
      <c r="BY2086" s="14"/>
      <c r="BZ2086" s="14"/>
      <c r="CA2086" s="14"/>
      <c r="CB2086" s="14"/>
      <c r="CC2086" s="14"/>
      <c r="CD2086" s="14"/>
      <c r="CE2086" s="14"/>
      <c r="CF2086" s="15"/>
      <c r="CG2086" s="14"/>
      <c r="CH2086" s="14"/>
      <c r="CI2086" s="50"/>
      <c r="CJ2086" s="54"/>
      <c r="CK2086" s="14"/>
      <c r="CL2086" s="14"/>
      <c r="CM2086" s="14"/>
      <c r="CN2086" s="14"/>
      <c r="CO2086" s="14"/>
      <c r="CP2086" s="14"/>
      <c r="CQ2086" s="14"/>
      <c r="CR2086" s="14"/>
      <c r="CS2086" s="14"/>
      <c r="CT2086" s="14"/>
      <c r="CU2086" s="16"/>
      <c r="CV2086" s="14"/>
      <c r="CW2086" s="50"/>
      <c r="CX2086" s="17"/>
    </row>
    <row r="2087" spans="4:102" x14ac:dyDescent="0.25">
      <c r="D2087" s="11"/>
      <c r="E2087" s="11"/>
      <c r="F2087" s="11"/>
      <c r="G2087" s="11"/>
      <c r="H2087" s="11"/>
      <c r="I2087" s="11"/>
      <c r="J2087" s="11"/>
      <c r="K2087" s="11"/>
      <c r="L2087" s="11"/>
      <c r="M2087" s="11"/>
      <c r="N2087" s="11"/>
      <c r="O2087" s="11"/>
      <c r="P2087" s="43"/>
      <c r="Q2087" s="11"/>
      <c r="R2087" s="11"/>
      <c r="S2087" s="11"/>
      <c r="T2087" s="11"/>
      <c r="U2087" s="11"/>
      <c r="V2087" s="11"/>
      <c r="W2087" s="11"/>
      <c r="X2087" s="12"/>
      <c r="Y2087" s="12"/>
      <c r="Z2087" s="12"/>
      <c r="AA2087" s="44"/>
      <c r="AB2087" s="45"/>
      <c r="AC2087" s="12"/>
      <c r="AD2087" s="12"/>
      <c r="AE2087" s="12"/>
      <c r="AF2087" s="12"/>
      <c r="AG2087" s="44"/>
      <c r="AH2087" s="45"/>
      <c r="AI2087" s="12"/>
      <c r="AJ2087" s="12"/>
      <c r="AK2087" s="12"/>
      <c r="AL2087" s="12"/>
      <c r="AM2087" s="44"/>
      <c r="AN2087" s="45"/>
      <c r="AO2087" s="12"/>
      <c r="AP2087" s="12"/>
      <c r="AQ2087" s="12"/>
      <c r="AR2087" s="12"/>
      <c r="AS2087" s="44"/>
      <c r="AT2087" s="45"/>
      <c r="AU2087" s="12"/>
      <c r="AV2087" s="12"/>
      <c r="AW2087" s="12"/>
      <c r="AX2087" s="12"/>
      <c r="AY2087" s="44"/>
      <c r="AZ2087" s="45"/>
      <c r="BA2087" s="12"/>
      <c r="BB2087" s="12"/>
      <c r="BC2087" s="12"/>
      <c r="BD2087" s="12"/>
      <c r="BE2087" s="44"/>
      <c r="BF2087" s="45"/>
      <c r="BG2087" s="12"/>
      <c r="BH2087" s="12"/>
      <c r="BI2087" s="12"/>
      <c r="BJ2087" s="12"/>
      <c r="BK2087" s="44"/>
      <c r="BL2087" s="45"/>
      <c r="BM2087" s="12"/>
      <c r="BN2087" s="12"/>
      <c r="BO2087" s="12"/>
      <c r="BP2087" s="12"/>
      <c r="BQ2087" s="48"/>
      <c r="BR2087" s="49"/>
      <c r="BS2087" s="13"/>
      <c r="BT2087" s="12"/>
      <c r="BV2087" s="14"/>
      <c r="BW2087" s="50"/>
      <c r="BX2087" s="54"/>
      <c r="BY2087" s="14"/>
      <c r="BZ2087" s="14"/>
      <c r="CA2087" s="14"/>
      <c r="CB2087" s="14"/>
      <c r="CC2087" s="14"/>
      <c r="CD2087" s="14"/>
      <c r="CE2087" s="14"/>
      <c r="CF2087" s="15"/>
      <c r="CG2087" s="14"/>
      <c r="CH2087" s="14"/>
      <c r="CI2087" s="50"/>
      <c r="CJ2087" s="54"/>
      <c r="CK2087" s="14"/>
      <c r="CL2087" s="14"/>
      <c r="CM2087" s="14"/>
      <c r="CN2087" s="14"/>
      <c r="CO2087" s="14"/>
      <c r="CP2087" s="14"/>
      <c r="CQ2087" s="14"/>
      <c r="CR2087" s="14"/>
      <c r="CS2087" s="14"/>
      <c r="CT2087" s="14"/>
      <c r="CU2087" s="16"/>
      <c r="CV2087" s="14"/>
      <c r="CW2087" s="50"/>
      <c r="CX2087" s="17"/>
    </row>
    <row r="2088" spans="4:102" x14ac:dyDescent="0.25">
      <c r="D2088" s="11"/>
      <c r="E2088" s="11"/>
      <c r="F2088" s="11"/>
      <c r="G2088" s="11"/>
      <c r="H2088" s="11"/>
      <c r="I2088" s="11"/>
      <c r="J2088" s="11"/>
      <c r="K2088" s="11"/>
      <c r="L2088" s="11"/>
      <c r="M2088" s="11"/>
      <c r="N2088" s="11"/>
      <c r="O2088" s="11"/>
      <c r="P2088" s="43"/>
      <c r="Q2088" s="11"/>
      <c r="R2088" s="11"/>
      <c r="S2088" s="11"/>
      <c r="T2088" s="11"/>
      <c r="U2088" s="11"/>
      <c r="V2088" s="11"/>
      <c r="W2088" s="11"/>
      <c r="X2088" s="12"/>
      <c r="Y2088" s="12"/>
      <c r="Z2088" s="12"/>
      <c r="AA2088" s="44"/>
      <c r="AB2088" s="45"/>
      <c r="AC2088" s="12"/>
      <c r="AD2088" s="12"/>
      <c r="AE2088" s="12"/>
      <c r="AF2088" s="12"/>
      <c r="AG2088" s="44"/>
      <c r="AH2088" s="45"/>
      <c r="AI2088" s="12"/>
      <c r="AJ2088" s="12"/>
      <c r="AK2088" s="12"/>
      <c r="AL2088" s="12"/>
      <c r="AM2088" s="44"/>
      <c r="AN2088" s="45"/>
      <c r="AO2088" s="12"/>
      <c r="AP2088" s="12"/>
      <c r="AQ2088" s="12"/>
      <c r="AR2088" s="12"/>
      <c r="AS2088" s="44"/>
      <c r="AT2088" s="45"/>
      <c r="AU2088" s="12"/>
      <c r="AV2088" s="12"/>
      <c r="AW2088" s="12"/>
      <c r="AX2088" s="12"/>
      <c r="AY2088" s="44"/>
      <c r="AZ2088" s="45"/>
      <c r="BA2088" s="12"/>
      <c r="BB2088" s="12"/>
      <c r="BC2088" s="12"/>
      <c r="BD2088" s="12"/>
      <c r="BE2088" s="44"/>
      <c r="BF2088" s="45"/>
      <c r="BG2088" s="12"/>
      <c r="BH2088" s="12"/>
      <c r="BI2088" s="12"/>
      <c r="BJ2088" s="12"/>
      <c r="BK2088" s="44"/>
      <c r="BL2088" s="45"/>
      <c r="BM2088" s="12"/>
      <c r="BN2088" s="12"/>
      <c r="BO2088" s="12"/>
      <c r="BP2088" s="12"/>
      <c r="BQ2088" s="48"/>
      <c r="BR2088" s="49"/>
      <c r="BS2088" s="13"/>
      <c r="BT2088" s="12"/>
      <c r="BV2088" s="14"/>
      <c r="BW2088" s="50"/>
      <c r="BX2088" s="54"/>
      <c r="BY2088" s="14"/>
      <c r="BZ2088" s="14"/>
      <c r="CA2088" s="14"/>
      <c r="CB2088" s="14"/>
      <c r="CC2088" s="14"/>
      <c r="CD2088" s="14"/>
      <c r="CE2088" s="14"/>
      <c r="CF2088" s="15"/>
      <c r="CG2088" s="14"/>
      <c r="CH2088" s="14"/>
      <c r="CI2088" s="50"/>
      <c r="CJ2088" s="54"/>
      <c r="CK2088" s="14"/>
      <c r="CL2088" s="14"/>
      <c r="CM2088" s="14"/>
      <c r="CN2088" s="14"/>
      <c r="CO2088" s="14"/>
      <c r="CP2088" s="14"/>
      <c r="CQ2088" s="14"/>
      <c r="CR2088" s="14"/>
      <c r="CS2088" s="14"/>
      <c r="CT2088" s="14"/>
      <c r="CU2088" s="16"/>
      <c r="CV2088" s="14"/>
      <c r="CW2088" s="50"/>
      <c r="CX2088" s="17"/>
    </row>
    <row r="2089" spans="4:102" x14ac:dyDescent="0.25">
      <c r="D2089" s="11"/>
      <c r="E2089" s="11"/>
      <c r="F2089" s="11"/>
      <c r="G2089" s="11"/>
      <c r="H2089" s="11"/>
      <c r="I2089" s="11"/>
      <c r="J2089" s="11"/>
      <c r="K2089" s="11"/>
      <c r="L2089" s="11"/>
      <c r="M2089" s="11"/>
      <c r="N2089" s="11"/>
      <c r="O2089" s="11"/>
      <c r="P2089" s="43"/>
      <c r="Q2089" s="11"/>
      <c r="R2089" s="11"/>
      <c r="S2089" s="11"/>
      <c r="T2089" s="11"/>
      <c r="U2089" s="11"/>
      <c r="V2089" s="11"/>
      <c r="W2089" s="11"/>
      <c r="X2089" s="12"/>
      <c r="Y2089" s="12"/>
      <c r="Z2089" s="12"/>
      <c r="AA2089" s="44"/>
      <c r="AB2089" s="45"/>
      <c r="AC2089" s="12"/>
      <c r="AD2089" s="12"/>
      <c r="AE2089" s="12"/>
      <c r="AF2089" s="12"/>
      <c r="AG2089" s="44"/>
      <c r="AH2089" s="45"/>
      <c r="AI2089" s="12"/>
      <c r="AJ2089" s="12"/>
      <c r="AK2089" s="12"/>
      <c r="AL2089" s="12"/>
      <c r="AM2089" s="44"/>
      <c r="AN2089" s="45"/>
      <c r="AO2089" s="12"/>
      <c r="AP2089" s="12"/>
      <c r="AQ2089" s="12"/>
      <c r="AR2089" s="12"/>
      <c r="AS2089" s="44"/>
      <c r="AT2089" s="45"/>
      <c r="AU2089" s="12"/>
      <c r="AV2089" s="12"/>
      <c r="AW2089" s="12"/>
      <c r="AX2089" s="12"/>
      <c r="AY2089" s="44"/>
      <c r="AZ2089" s="45"/>
      <c r="BA2089" s="12"/>
      <c r="BB2089" s="12"/>
      <c r="BC2089" s="12"/>
      <c r="BD2089" s="12"/>
      <c r="BE2089" s="44"/>
      <c r="BF2089" s="45"/>
      <c r="BG2089" s="12"/>
      <c r="BH2089" s="12"/>
      <c r="BI2089" s="12"/>
      <c r="BJ2089" s="12"/>
      <c r="BK2089" s="44"/>
      <c r="BL2089" s="45"/>
      <c r="BM2089" s="12"/>
      <c r="BN2089" s="12"/>
      <c r="BO2089" s="12"/>
      <c r="BP2089" s="12"/>
      <c r="BQ2089" s="48"/>
      <c r="BR2089" s="49"/>
      <c r="BS2089" s="13"/>
      <c r="BT2089" s="12"/>
      <c r="BV2089" s="14"/>
      <c r="BW2089" s="50"/>
      <c r="BX2089" s="54"/>
      <c r="BY2089" s="14"/>
      <c r="BZ2089" s="14"/>
      <c r="CA2089" s="14"/>
      <c r="CB2089" s="14"/>
      <c r="CC2089" s="14"/>
      <c r="CD2089" s="14"/>
      <c r="CE2089" s="14"/>
      <c r="CF2089" s="15"/>
      <c r="CG2089" s="14"/>
      <c r="CH2089" s="14"/>
      <c r="CI2089" s="50"/>
      <c r="CJ2089" s="54"/>
      <c r="CK2089" s="14"/>
      <c r="CL2089" s="14"/>
      <c r="CM2089" s="14"/>
      <c r="CN2089" s="14"/>
      <c r="CO2089" s="14"/>
      <c r="CP2089" s="14"/>
      <c r="CQ2089" s="14"/>
      <c r="CR2089" s="14"/>
      <c r="CS2089" s="14"/>
      <c r="CT2089" s="14"/>
      <c r="CU2089" s="16"/>
      <c r="CV2089" s="14"/>
      <c r="CW2089" s="50"/>
      <c r="CX2089" s="17"/>
    </row>
    <row r="2090" spans="4:102" x14ac:dyDescent="0.25">
      <c r="D2090" s="11"/>
      <c r="E2090" s="11"/>
      <c r="F2090" s="11"/>
      <c r="G2090" s="11"/>
      <c r="H2090" s="11"/>
      <c r="I2090" s="11"/>
      <c r="J2090" s="11"/>
      <c r="K2090" s="11"/>
      <c r="L2090" s="11"/>
      <c r="M2090" s="11"/>
      <c r="N2090" s="11"/>
      <c r="O2090" s="11"/>
      <c r="P2090" s="43"/>
      <c r="Q2090" s="11"/>
      <c r="R2090" s="11"/>
      <c r="S2090" s="11"/>
      <c r="T2090" s="11"/>
      <c r="U2090" s="11"/>
      <c r="V2090" s="11"/>
      <c r="W2090" s="11"/>
      <c r="X2090" s="12"/>
      <c r="Y2090" s="12"/>
      <c r="Z2090" s="12"/>
      <c r="AA2090" s="44"/>
      <c r="AB2090" s="45"/>
      <c r="AC2090" s="12"/>
      <c r="AD2090" s="12"/>
      <c r="AE2090" s="12"/>
      <c r="AF2090" s="12"/>
      <c r="AG2090" s="44"/>
      <c r="AH2090" s="45"/>
      <c r="AI2090" s="12"/>
      <c r="AJ2090" s="12"/>
      <c r="AK2090" s="12"/>
      <c r="AL2090" s="12"/>
      <c r="AM2090" s="44"/>
      <c r="AN2090" s="45"/>
      <c r="AO2090" s="12"/>
      <c r="AP2090" s="12"/>
      <c r="AQ2090" s="12"/>
      <c r="AR2090" s="12"/>
      <c r="AS2090" s="44"/>
      <c r="AT2090" s="45"/>
      <c r="AU2090" s="12"/>
      <c r="AV2090" s="12"/>
      <c r="AW2090" s="12"/>
      <c r="AX2090" s="12"/>
      <c r="AY2090" s="44"/>
      <c r="AZ2090" s="45"/>
      <c r="BA2090" s="12"/>
      <c r="BB2090" s="12"/>
      <c r="BC2090" s="12"/>
      <c r="BD2090" s="12"/>
      <c r="BE2090" s="44"/>
      <c r="BF2090" s="45"/>
      <c r="BG2090" s="12"/>
      <c r="BH2090" s="12"/>
      <c r="BI2090" s="12"/>
      <c r="BJ2090" s="12"/>
      <c r="BK2090" s="44"/>
      <c r="BL2090" s="45"/>
      <c r="BM2090" s="12"/>
      <c r="BN2090" s="12"/>
      <c r="BO2090" s="12"/>
      <c r="BP2090" s="12"/>
      <c r="BQ2090" s="48"/>
      <c r="BR2090" s="49"/>
      <c r="BS2090" s="13"/>
      <c r="BT2090" s="12"/>
      <c r="BV2090" s="14"/>
      <c r="BW2090" s="50"/>
      <c r="BX2090" s="54"/>
      <c r="BY2090" s="14"/>
      <c r="BZ2090" s="14"/>
      <c r="CA2090" s="14"/>
      <c r="CB2090" s="14"/>
      <c r="CC2090" s="14"/>
      <c r="CD2090" s="14"/>
      <c r="CE2090" s="14"/>
      <c r="CF2090" s="15"/>
      <c r="CG2090" s="14"/>
      <c r="CH2090" s="14"/>
      <c r="CI2090" s="50"/>
      <c r="CJ2090" s="54"/>
      <c r="CK2090" s="14"/>
      <c r="CL2090" s="14"/>
      <c r="CM2090" s="14"/>
      <c r="CN2090" s="14"/>
      <c r="CO2090" s="14"/>
      <c r="CP2090" s="14"/>
      <c r="CQ2090" s="14"/>
      <c r="CR2090" s="14"/>
      <c r="CS2090" s="14"/>
      <c r="CT2090" s="14"/>
      <c r="CU2090" s="16"/>
      <c r="CV2090" s="14"/>
      <c r="CW2090" s="50"/>
      <c r="CX2090" s="17"/>
    </row>
    <row r="2091" spans="4:102" x14ac:dyDescent="0.25">
      <c r="D2091" s="11"/>
      <c r="E2091" s="11"/>
      <c r="F2091" s="11"/>
      <c r="G2091" s="11"/>
      <c r="H2091" s="11"/>
      <c r="I2091" s="11"/>
      <c r="J2091" s="11"/>
      <c r="K2091" s="11"/>
      <c r="L2091" s="11"/>
      <c r="M2091" s="11"/>
      <c r="N2091" s="11"/>
      <c r="O2091" s="11"/>
      <c r="P2091" s="43"/>
      <c r="Q2091" s="11"/>
      <c r="R2091" s="11"/>
      <c r="S2091" s="11"/>
      <c r="T2091" s="11"/>
      <c r="U2091" s="11"/>
      <c r="V2091" s="11"/>
      <c r="W2091" s="11"/>
      <c r="X2091" s="12"/>
      <c r="Y2091" s="12"/>
      <c r="Z2091" s="12"/>
      <c r="AA2091" s="44"/>
      <c r="AB2091" s="45"/>
      <c r="AC2091" s="12"/>
      <c r="AD2091" s="12"/>
      <c r="AE2091" s="12"/>
      <c r="AF2091" s="12"/>
      <c r="AG2091" s="44"/>
      <c r="AH2091" s="45"/>
      <c r="AI2091" s="12"/>
      <c r="AJ2091" s="12"/>
      <c r="AK2091" s="12"/>
      <c r="AL2091" s="12"/>
      <c r="AM2091" s="44"/>
      <c r="AN2091" s="45"/>
      <c r="AO2091" s="12"/>
      <c r="AP2091" s="12"/>
      <c r="AQ2091" s="12"/>
      <c r="AR2091" s="12"/>
      <c r="AS2091" s="44"/>
      <c r="AT2091" s="45"/>
      <c r="AU2091" s="12"/>
      <c r="AV2091" s="12"/>
      <c r="AW2091" s="12"/>
      <c r="AX2091" s="12"/>
      <c r="AY2091" s="44"/>
      <c r="AZ2091" s="45"/>
      <c r="BA2091" s="12"/>
      <c r="BB2091" s="12"/>
      <c r="BC2091" s="12"/>
      <c r="BD2091" s="12"/>
      <c r="BE2091" s="44"/>
      <c r="BF2091" s="45"/>
      <c r="BG2091" s="12"/>
      <c r="BH2091" s="12"/>
      <c r="BI2091" s="12"/>
      <c r="BJ2091" s="12"/>
      <c r="BK2091" s="44"/>
      <c r="BL2091" s="45"/>
      <c r="BM2091" s="12"/>
      <c r="BN2091" s="12"/>
      <c r="BO2091" s="12"/>
      <c r="BP2091" s="12"/>
      <c r="BQ2091" s="48"/>
      <c r="BR2091" s="49"/>
      <c r="BS2091" s="13"/>
      <c r="BT2091" s="12"/>
      <c r="BV2091" s="14"/>
      <c r="BW2091" s="50"/>
      <c r="BX2091" s="54"/>
      <c r="BY2091" s="14"/>
      <c r="BZ2091" s="14"/>
      <c r="CA2091" s="14"/>
      <c r="CB2091" s="14"/>
      <c r="CC2091" s="14"/>
      <c r="CD2091" s="14"/>
      <c r="CE2091" s="14"/>
      <c r="CF2091" s="15"/>
      <c r="CG2091" s="14"/>
      <c r="CH2091" s="14"/>
      <c r="CI2091" s="50"/>
      <c r="CJ2091" s="54"/>
      <c r="CK2091" s="14"/>
      <c r="CL2091" s="14"/>
      <c r="CM2091" s="14"/>
      <c r="CN2091" s="14"/>
      <c r="CO2091" s="14"/>
      <c r="CP2091" s="14"/>
      <c r="CQ2091" s="14"/>
      <c r="CR2091" s="14"/>
      <c r="CS2091" s="14"/>
      <c r="CT2091" s="14"/>
      <c r="CU2091" s="16"/>
      <c r="CV2091" s="14"/>
      <c r="CW2091" s="50"/>
      <c r="CX2091" s="17"/>
    </row>
    <row r="2092" spans="4:102" x14ac:dyDescent="0.25">
      <c r="D2092" s="11"/>
      <c r="E2092" s="11"/>
      <c r="F2092" s="11"/>
      <c r="G2092" s="11"/>
      <c r="H2092" s="11"/>
      <c r="I2092" s="11"/>
      <c r="J2092" s="11"/>
      <c r="K2092" s="11"/>
      <c r="L2092" s="11"/>
      <c r="M2092" s="11"/>
      <c r="N2092" s="11"/>
      <c r="O2092" s="11"/>
      <c r="P2092" s="43"/>
      <c r="Q2092" s="11"/>
      <c r="R2092" s="11"/>
      <c r="S2092" s="11"/>
      <c r="T2092" s="11"/>
      <c r="U2092" s="11"/>
      <c r="V2092" s="11"/>
      <c r="W2092" s="11"/>
      <c r="X2092" s="12"/>
      <c r="Y2092" s="12"/>
      <c r="Z2092" s="12"/>
      <c r="AA2092" s="44"/>
      <c r="AB2092" s="45"/>
      <c r="AC2092" s="12"/>
      <c r="AD2092" s="12"/>
      <c r="AE2092" s="12"/>
      <c r="AF2092" s="12"/>
      <c r="AG2092" s="44"/>
      <c r="AH2092" s="45"/>
      <c r="AI2092" s="12"/>
      <c r="AJ2092" s="12"/>
      <c r="AK2092" s="12"/>
      <c r="AL2092" s="12"/>
      <c r="AM2092" s="44"/>
      <c r="AN2092" s="45"/>
      <c r="AO2092" s="12"/>
      <c r="AP2092" s="12"/>
      <c r="AQ2092" s="12"/>
      <c r="AR2092" s="12"/>
      <c r="AS2092" s="44"/>
      <c r="AT2092" s="45"/>
      <c r="AU2092" s="12"/>
      <c r="AV2092" s="12"/>
      <c r="AW2092" s="12"/>
      <c r="AX2092" s="12"/>
      <c r="AY2092" s="44"/>
      <c r="AZ2092" s="45"/>
      <c r="BA2092" s="12"/>
      <c r="BB2092" s="12"/>
      <c r="BC2092" s="12"/>
      <c r="BD2092" s="12"/>
      <c r="BE2092" s="44"/>
      <c r="BF2092" s="45"/>
      <c r="BG2092" s="12"/>
      <c r="BH2092" s="12"/>
      <c r="BI2092" s="12"/>
      <c r="BJ2092" s="12"/>
      <c r="BK2092" s="44"/>
      <c r="BL2092" s="45"/>
      <c r="BM2092" s="12"/>
      <c r="BN2092" s="12"/>
      <c r="BO2092" s="12"/>
      <c r="BP2092" s="12"/>
      <c r="BQ2092" s="48"/>
      <c r="BR2092" s="49"/>
      <c r="BS2092" s="13"/>
      <c r="BT2092" s="12"/>
      <c r="BV2092" s="14"/>
      <c r="BW2092" s="50"/>
      <c r="BX2092" s="54"/>
      <c r="BY2092" s="14"/>
      <c r="BZ2092" s="14"/>
      <c r="CA2092" s="14"/>
      <c r="CB2092" s="14"/>
      <c r="CC2092" s="14"/>
      <c r="CD2092" s="14"/>
      <c r="CE2092" s="14"/>
      <c r="CF2092" s="15"/>
      <c r="CG2092" s="14"/>
      <c r="CH2092" s="14"/>
      <c r="CI2092" s="50"/>
      <c r="CJ2092" s="54"/>
      <c r="CK2092" s="14"/>
      <c r="CL2092" s="14"/>
      <c r="CM2092" s="14"/>
      <c r="CN2092" s="14"/>
      <c r="CO2092" s="14"/>
      <c r="CP2092" s="14"/>
      <c r="CQ2092" s="14"/>
      <c r="CR2092" s="14"/>
      <c r="CS2092" s="14"/>
      <c r="CT2092" s="14"/>
      <c r="CU2092" s="16"/>
      <c r="CV2092" s="14"/>
      <c r="CW2092" s="50"/>
      <c r="CX2092" s="17"/>
    </row>
    <row r="2093" spans="4:102" x14ac:dyDescent="0.25">
      <c r="D2093" s="11"/>
      <c r="E2093" s="11"/>
      <c r="F2093" s="11"/>
      <c r="G2093" s="11"/>
      <c r="H2093" s="11"/>
      <c r="I2093" s="11"/>
      <c r="J2093" s="11"/>
      <c r="K2093" s="11"/>
      <c r="L2093" s="11"/>
      <c r="M2093" s="11"/>
      <c r="N2093" s="11"/>
      <c r="O2093" s="11"/>
      <c r="P2093" s="43"/>
      <c r="Q2093" s="11"/>
      <c r="R2093" s="11"/>
      <c r="S2093" s="11"/>
      <c r="T2093" s="11"/>
      <c r="U2093" s="11"/>
      <c r="V2093" s="11"/>
      <c r="W2093" s="11"/>
      <c r="X2093" s="12"/>
      <c r="Y2093" s="12"/>
      <c r="Z2093" s="12"/>
      <c r="AA2093" s="44"/>
      <c r="AB2093" s="45"/>
      <c r="AC2093" s="12"/>
      <c r="AD2093" s="12"/>
      <c r="AE2093" s="12"/>
      <c r="AF2093" s="12"/>
      <c r="AG2093" s="44"/>
      <c r="AH2093" s="45"/>
      <c r="AI2093" s="12"/>
      <c r="AJ2093" s="12"/>
      <c r="AK2093" s="12"/>
      <c r="AL2093" s="12"/>
      <c r="AM2093" s="44"/>
      <c r="AN2093" s="45"/>
      <c r="AO2093" s="12"/>
      <c r="AP2093" s="12"/>
      <c r="AQ2093" s="12"/>
      <c r="AR2093" s="12"/>
      <c r="AS2093" s="44"/>
      <c r="AT2093" s="45"/>
      <c r="AU2093" s="12"/>
      <c r="AV2093" s="12"/>
      <c r="AW2093" s="12"/>
      <c r="AX2093" s="12"/>
      <c r="AY2093" s="44"/>
      <c r="AZ2093" s="45"/>
      <c r="BA2093" s="12"/>
      <c r="BB2093" s="12"/>
      <c r="BC2093" s="12"/>
      <c r="BD2093" s="12"/>
      <c r="BE2093" s="44"/>
      <c r="BF2093" s="45"/>
      <c r="BG2093" s="12"/>
      <c r="BH2093" s="12"/>
      <c r="BI2093" s="12"/>
      <c r="BJ2093" s="12"/>
      <c r="BK2093" s="44"/>
      <c r="BL2093" s="45"/>
      <c r="BM2093" s="12"/>
      <c r="BN2093" s="12"/>
      <c r="BO2093" s="12"/>
      <c r="BP2093" s="12"/>
      <c r="BQ2093" s="48"/>
      <c r="BR2093" s="49"/>
      <c r="BS2093" s="13"/>
      <c r="BT2093" s="12"/>
      <c r="BV2093" s="14"/>
      <c r="BW2093" s="50"/>
      <c r="BX2093" s="54"/>
      <c r="BY2093" s="14"/>
      <c r="BZ2093" s="14"/>
      <c r="CA2093" s="14"/>
      <c r="CB2093" s="14"/>
      <c r="CC2093" s="14"/>
      <c r="CD2093" s="14"/>
      <c r="CE2093" s="14"/>
      <c r="CF2093" s="15"/>
      <c r="CG2093" s="14"/>
      <c r="CH2093" s="14"/>
      <c r="CI2093" s="50"/>
      <c r="CJ2093" s="54"/>
      <c r="CK2093" s="14"/>
      <c r="CL2093" s="14"/>
      <c r="CM2093" s="14"/>
      <c r="CN2093" s="14"/>
      <c r="CO2093" s="14"/>
      <c r="CP2093" s="14"/>
      <c r="CQ2093" s="14"/>
      <c r="CR2093" s="14"/>
      <c r="CS2093" s="14"/>
      <c r="CT2093" s="14"/>
      <c r="CU2093" s="16"/>
      <c r="CV2093" s="14"/>
      <c r="CW2093" s="50"/>
      <c r="CX2093" s="17"/>
    </row>
    <row r="2094" spans="4:102" x14ac:dyDescent="0.25">
      <c r="D2094" s="11"/>
      <c r="E2094" s="11"/>
      <c r="F2094" s="11"/>
      <c r="G2094" s="11"/>
      <c r="H2094" s="11"/>
      <c r="I2094" s="11"/>
      <c r="J2094" s="11"/>
      <c r="K2094" s="11"/>
      <c r="L2094" s="11"/>
      <c r="M2094" s="11"/>
      <c r="N2094" s="11"/>
      <c r="O2094" s="11"/>
      <c r="P2094" s="43"/>
      <c r="Q2094" s="11"/>
      <c r="R2094" s="11"/>
      <c r="S2094" s="11"/>
      <c r="T2094" s="11"/>
      <c r="U2094" s="11"/>
      <c r="V2094" s="11"/>
      <c r="W2094" s="11"/>
      <c r="X2094" s="12"/>
      <c r="Y2094" s="12"/>
      <c r="Z2094" s="12"/>
      <c r="AA2094" s="44"/>
      <c r="AB2094" s="45"/>
      <c r="AC2094" s="12"/>
      <c r="AD2094" s="12"/>
      <c r="AE2094" s="12"/>
      <c r="AF2094" s="12"/>
      <c r="AG2094" s="44"/>
      <c r="AH2094" s="45"/>
      <c r="AI2094" s="12"/>
      <c r="AJ2094" s="12"/>
      <c r="AK2094" s="12"/>
      <c r="AL2094" s="12"/>
      <c r="AM2094" s="44"/>
      <c r="AN2094" s="45"/>
      <c r="AO2094" s="12"/>
      <c r="AP2094" s="12"/>
      <c r="AQ2094" s="12"/>
      <c r="AR2094" s="12"/>
      <c r="AS2094" s="44"/>
      <c r="AT2094" s="45"/>
      <c r="AU2094" s="12"/>
      <c r="AV2094" s="12"/>
      <c r="AW2094" s="12"/>
      <c r="AX2094" s="12"/>
      <c r="AY2094" s="44"/>
      <c r="AZ2094" s="45"/>
      <c r="BA2094" s="12"/>
      <c r="BB2094" s="12"/>
      <c r="BC2094" s="12"/>
      <c r="BD2094" s="12"/>
      <c r="BE2094" s="44"/>
      <c r="BF2094" s="45"/>
      <c r="BG2094" s="12"/>
      <c r="BH2094" s="12"/>
      <c r="BI2094" s="12"/>
      <c r="BJ2094" s="12"/>
      <c r="BK2094" s="44"/>
      <c r="BL2094" s="45"/>
      <c r="BM2094" s="12"/>
      <c r="BN2094" s="12"/>
      <c r="BO2094" s="12"/>
      <c r="BP2094" s="12"/>
      <c r="BQ2094" s="48"/>
      <c r="BR2094" s="49"/>
      <c r="BS2094" s="13"/>
      <c r="BT2094" s="12"/>
      <c r="BV2094" s="14"/>
      <c r="BW2094" s="50"/>
      <c r="BX2094" s="54"/>
      <c r="BY2094" s="14"/>
      <c r="BZ2094" s="14"/>
      <c r="CA2094" s="14"/>
      <c r="CB2094" s="14"/>
      <c r="CC2094" s="14"/>
      <c r="CD2094" s="14"/>
      <c r="CE2094" s="14"/>
      <c r="CF2094" s="15"/>
      <c r="CG2094" s="14"/>
      <c r="CH2094" s="14"/>
      <c r="CI2094" s="50"/>
      <c r="CJ2094" s="54"/>
      <c r="CK2094" s="14"/>
      <c r="CL2094" s="14"/>
      <c r="CM2094" s="14"/>
      <c r="CN2094" s="14"/>
      <c r="CO2094" s="14"/>
      <c r="CP2094" s="14"/>
      <c r="CQ2094" s="14"/>
      <c r="CR2094" s="14"/>
      <c r="CS2094" s="14"/>
      <c r="CT2094" s="14"/>
      <c r="CU2094" s="16"/>
      <c r="CV2094" s="14"/>
      <c r="CW2094" s="50"/>
      <c r="CX2094" s="17"/>
    </row>
    <row r="2095" spans="4:102" x14ac:dyDescent="0.25">
      <c r="D2095" s="11"/>
      <c r="E2095" s="11"/>
      <c r="F2095" s="11"/>
      <c r="G2095" s="11"/>
      <c r="H2095" s="11"/>
      <c r="I2095" s="11"/>
      <c r="J2095" s="11"/>
      <c r="K2095" s="11"/>
      <c r="L2095" s="11"/>
      <c r="M2095" s="11"/>
      <c r="N2095" s="11"/>
      <c r="O2095" s="11"/>
      <c r="P2095" s="43"/>
      <c r="Q2095" s="11"/>
      <c r="R2095" s="11"/>
      <c r="S2095" s="11"/>
      <c r="T2095" s="11"/>
      <c r="U2095" s="11"/>
      <c r="V2095" s="11"/>
      <c r="W2095" s="11"/>
      <c r="X2095" s="12"/>
      <c r="Y2095" s="12"/>
      <c r="Z2095" s="12"/>
      <c r="AA2095" s="44"/>
      <c r="AB2095" s="45"/>
      <c r="AC2095" s="12"/>
      <c r="AD2095" s="12"/>
      <c r="AE2095" s="12"/>
      <c r="AF2095" s="12"/>
      <c r="AG2095" s="44"/>
      <c r="AH2095" s="45"/>
      <c r="AI2095" s="12"/>
      <c r="AJ2095" s="12"/>
      <c r="AK2095" s="12"/>
      <c r="AL2095" s="12"/>
      <c r="AM2095" s="44"/>
      <c r="AN2095" s="45"/>
      <c r="AO2095" s="12"/>
      <c r="AP2095" s="12"/>
      <c r="AQ2095" s="12"/>
      <c r="AR2095" s="12"/>
      <c r="AS2095" s="44"/>
      <c r="AT2095" s="45"/>
      <c r="AU2095" s="12"/>
      <c r="AV2095" s="12"/>
      <c r="AW2095" s="12"/>
      <c r="AX2095" s="12"/>
      <c r="AY2095" s="44"/>
      <c r="AZ2095" s="45"/>
      <c r="BA2095" s="12"/>
      <c r="BB2095" s="12"/>
      <c r="BC2095" s="12"/>
      <c r="BD2095" s="12"/>
      <c r="BE2095" s="44"/>
      <c r="BF2095" s="45"/>
      <c r="BG2095" s="12"/>
      <c r="BH2095" s="12"/>
      <c r="BI2095" s="12"/>
      <c r="BJ2095" s="12"/>
      <c r="BK2095" s="44"/>
      <c r="BL2095" s="45"/>
      <c r="BM2095" s="12"/>
      <c r="BN2095" s="12"/>
      <c r="BO2095" s="12"/>
      <c r="BP2095" s="12"/>
      <c r="BQ2095" s="48"/>
      <c r="BR2095" s="49"/>
      <c r="BS2095" s="13"/>
      <c r="BT2095" s="12"/>
      <c r="BV2095" s="14"/>
      <c r="BW2095" s="50"/>
      <c r="BX2095" s="54"/>
      <c r="BY2095" s="14"/>
      <c r="BZ2095" s="14"/>
      <c r="CA2095" s="14"/>
      <c r="CB2095" s="14"/>
      <c r="CC2095" s="14"/>
      <c r="CD2095" s="14"/>
      <c r="CE2095" s="14"/>
      <c r="CF2095" s="15"/>
      <c r="CG2095" s="14"/>
      <c r="CH2095" s="14"/>
      <c r="CI2095" s="50"/>
      <c r="CJ2095" s="54"/>
      <c r="CK2095" s="14"/>
      <c r="CL2095" s="14"/>
      <c r="CM2095" s="14"/>
      <c r="CN2095" s="14"/>
      <c r="CO2095" s="14"/>
      <c r="CP2095" s="14"/>
      <c r="CQ2095" s="14"/>
      <c r="CR2095" s="14"/>
      <c r="CS2095" s="14"/>
      <c r="CT2095" s="14"/>
      <c r="CU2095" s="16"/>
      <c r="CV2095" s="14"/>
      <c r="CW2095" s="50"/>
      <c r="CX2095" s="17"/>
    </row>
    <row r="2096" spans="4:102" x14ac:dyDescent="0.25">
      <c r="D2096" s="11"/>
      <c r="E2096" s="11"/>
      <c r="F2096" s="11"/>
      <c r="G2096" s="11"/>
      <c r="H2096" s="11"/>
      <c r="I2096" s="11"/>
      <c r="J2096" s="11"/>
      <c r="K2096" s="11"/>
      <c r="L2096" s="11"/>
      <c r="M2096" s="11"/>
      <c r="N2096" s="11"/>
      <c r="O2096" s="11"/>
      <c r="P2096" s="43"/>
      <c r="Q2096" s="11"/>
      <c r="R2096" s="11"/>
      <c r="S2096" s="11"/>
      <c r="T2096" s="11"/>
      <c r="U2096" s="11"/>
      <c r="V2096" s="11"/>
      <c r="W2096" s="11"/>
      <c r="X2096" s="12"/>
      <c r="Y2096" s="12"/>
      <c r="Z2096" s="12"/>
      <c r="AA2096" s="44"/>
      <c r="AB2096" s="45"/>
      <c r="AC2096" s="12"/>
      <c r="AD2096" s="12"/>
      <c r="AE2096" s="12"/>
      <c r="AF2096" s="12"/>
      <c r="AG2096" s="44"/>
      <c r="AH2096" s="45"/>
      <c r="AI2096" s="12"/>
      <c r="AJ2096" s="12"/>
      <c r="AK2096" s="12"/>
      <c r="AL2096" s="12"/>
      <c r="AM2096" s="44"/>
      <c r="AN2096" s="45"/>
      <c r="AO2096" s="12"/>
      <c r="AP2096" s="12"/>
      <c r="AQ2096" s="12"/>
      <c r="AR2096" s="12"/>
      <c r="AS2096" s="44"/>
      <c r="AT2096" s="45"/>
      <c r="AU2096" s="12"/>
      <c r="AV2096" s="12"/>
      <c r="AW2096" s="12"/>
      <c r="AX2096" s="12"/>
      <c r="AY2096" s="44"/>
      <c r="AZ2096" s="45"/>
      <c r="BA2096" s="12"/>
      <c r="BB2096" s="12"/>
      <c r="BC2096" s="12"/>
      <c r="BD2096" s="12"/>
      <c r="BE2096" s="44"/>
      <c r="BF2096" s="45"/>
      <c r="BG2096" s="12"/>
      <c r="BH2096" s="12"/>
      <c r="BI2096" s="12"/>
      <c r="BJ2096" s="12"/>
      <c r="BK2096" s="44"/>
      <c r="BL2096" s="45"/>
      <c r="BM2096" s="12"/>
      <c r="BN2096" s="12"/>
      <c r="BO2096" s="12"/>
      <c r="BP2096" s="12"/>
      <c r="BQ2096" s="48"/>
      <c r="BR2096" s="49"/>
      <c r="BS2096" s="13"/>
      <c r="BT2096" s="12"/>
      <c r="BV2096" s="14"/>
      <c r="BW2096" s="50"/>
      <c r="BX2096" s="54"/>
      <c r="BY2096" s="14"/>
      <c r="BZ2096" s="14"/>
      <c r="CA2096" s="14"/>
      <c r="CB2096" s="14"/>
      <c r="CC2096" s="14"/>
      <c r="CD2096" s="14"/>
      <c r="CE2096" s="14"/>
      <c r="CF2096" s="15"/>
      <c r="CG2096" s="14"/>
      <c r="CH2096" s="14"/>
      <c r="CI2096" s="50"/>
      <c r="CJ2096" s="54"/>
      <c r="CK2096" s="14"/>
      <c r="CL2096" s="14"/>
      <c r="CM2096" s="14"/>
      <c r="CN2096" s="14"/>
      <c r="CO2096" s="14"/>
      <c r="CP2096" s="14"/>
      <c r="CQ2096" s="14"/>
      <c r="CR2096" s="14"/>
      <c r="CS2096" s="14"/>
      <c r="CT2096" s="14"/>
      <c r="CU2096" s="16"/>
      <c r="CV2096" s="14"/>
      <c r="CW2096" s="50"/>
      <c r="CX2096" s="17"/>
    </row>
    <row r="2097" spans="4:102" x14ac:dyDescent="0.25">
      <c r="D2097" s="11"/>
      <c r="E2097" s="11"/>
      <c r="F2097" s="11"/>
      <c r="G2097" s="11"/>
      <c r="H2097" s="11"/>
      <c r="I2097" s="11"/>
      <c r="J2097" s="11"/>
      <c r="K2097" s="11"/>
      <c r="L2097" s="11"/>
      <c r="M2097" s="11"/>
      <c r="N2097" s="11"/>
      <c r="O2097" s="11"/>
      <c r="P2097" s="43"/>
      <c r="Q2097" s="11"/>
      <c r="R2097" s="11"/>
      <c r="S2097" s="11"/>
      <c r="T2097" s="11"/>
      <c r="U2097" s="11"/>
      <c r="V2097" s="11"/>
      <c r="W2097" s="11"/>
      <c r="X2097" s="12"/>
      <c r="Y2097" s="12"/>
      <c r="Z2097" s="12"/>
      <c r="AA2097" s="44"/>
      <c r="AB2097" s="45"/>
      <c r="AC2097" s="12"/>
      <c r="AD2097" s="12"/>
      <c r="AE2097" s="12"/>
      <c r="AF2097" s="12"/>
      <c r="AG2097" s="44"/>
      <c r="AH2097" s="45"/>
      <c r="AI2097" s="12"/>
      <c r="AJ2097" s="12"/>
      <c r="AK2097" s="12"/>
      <c r="AL2097" s="12"/>
      <c r="AM2097" s="44"/>
      <c r="AN2097" s="45"/>
      <c r="AO2097" s="12"/>
      <c r="AP2097" s="12"/>
      <c r="AQ2097" s="12"/>
      <c r="AR2097" s="12"/>
      <c r="AS2097" s="44"/>
      <c r="AT2097" s="45"/>
      <c r="AU2097" s="12"/>
      <c r="AV2097" s="12"/>
      <c r="AW2097" s="12"/>
      <c r="AX2097" s="12"/>
      <c r="AY2097" s="44"/>
      <c r="AZ2097" s="45"/>
      <c r="BA2097" s="12"/>
      <c r="BB2097" s="12"/>
      <c r="BC2097" s="12"/>
      <c r="BD2097" s="12"/>
      <c r="BE2097" s="44"/>
      <c r="BF2097" s="45"/>
      <c r="BG2097" s="12"/>
      <c r="BH2097" s="12"/>
      <c r="BI2097" s="12"/>
      <c r="BJ2097" s="12"/>
      <c r="BK2097" s="44"/>
      <c r="BL2097" s="45"/>
      <c r="BM2097" s="12"/>
      <c r="BN2097" s="12"/>
      <c r="BO2097" s="12"/>
      <c r="BP2097" s="12"/>
      <c r="BQ2097" s="48"/>
      <c r="BR2097" s="49"/>
      <c r="BS2097" s="13"/>
      <c r="BT2097" s="12"/>
      <c r="BV2097" s="14"/>
      <c r="BW2097" s="50"/>
      <c r="BX2097" s="54"/>
      <c r="BY2097" s="14"/>
      <c r="BZ2097" s="14"/>
      <c r="CA2097" s="14"/>
      <c r="CB2097" s="14"/>
      <c r="CC2097" s="14"/>
      <c r="CD2097" s="14"/>
      <c r="CE2097" s="14"/>
      <c r="CF2097" s="15"/>
      <c r="CG2097" s="14"/>
      <c r="CH2097" s="14"/>
      <c r="CI2097" s="50"/>
      <c r="CJ2097" s="54"/>
      <c r="CK2097" s="14"/>
      <c r="CL2097" s="14"/>
      <c r="CM2097" s="14"/>
      <c r="CN2097" s="14"/>
      <c r="CO2097" s="14"/>
      <c r="CP2097" s="14"/>
      <c r="CQ2097" s="14"/>
      <c r="CR2097" s="14"/>
      <c r="CS2097" s="14"/>
      <c r="CT2097" s="14"/>
      <c r="CU2097" s="16"/>
      <c r="CV2097" s="14"/>
      <c r="CW2097" s="50"/>
      <c r="CX2097" s="17"/>
    </row>
    <row r="2098" spans="4:102" x14ac:dyDescent="0.25">
      <c r="D2098" s="11"/>
      <c r="E2098" s="11"/>
      <c r="F2098" s="11"/>
      <c r="G2098" s="11"/>
      <c r="H2098" s="11"/>
      <c r="I2098" s="11"/>
      <c r="J2098" s="11"/>
      <c r="K2098" s="11"/>
      <c r="L2098" s="11"/>
      <c r="M2098" s="11"/>
      <c r="N2098" s="11"/>
      <c r="O2098" s="11"/>
      <c r="P2098" s="43"/>
      <c r="Q2098" s="11"/>
      <c r="R2098" s="11"/>
      <c r="S2098" s="11"/>
      <c r="T2098" s="11"/>
      <c r="U2098" s="11"/>
      <c r="V2098" s="11"/>
      <c r="W2098" s="11"/>
      <c r="X2098" s="12"/>
      <c r="Y2098" s="12"/>
      <c r="Z2098" s="12"/>
      <c r="AA2098" s="44"/>
      <c r="AB2098" s="45"/>
      <c r="AC2098" s="12"/>
      <c r="AD2098" s="12"/>
      <c r="AE2098" s="12"/>
      <c r="AF2098" s="12"/>
      <c r="AG2098" s="44"/>
      <c r="AH2098" s="45"/>
      <c r="AI2098" s="12"/>
      <c r="AJ2098" s="12"/>
      <c r="AK2098" s="12"/>
      <c r="AL2098" s="12"/>
      <c r="AM2098" s="44"/>
      <c r="AN2098" s="45"/>
      <c r="AO2098" s="12"/>
      <c r="AP2098" s="12"/>
      <c r="AQ2098" s="12"/>
      <c r="AR2098" s="12"/>
      <c r="AS2098" s="44"/>
      <c r="AT2098" s="45"/>
      <c r="AU2098" s="12"/>
      <c r="AV2098" s="12"/>
      <c r="AW2098" s="12"/>
      <c r="AX2098" s="12"/>
      <c r="AY2098" s="44"/>
      <c r="AZ2098" s="45"/>
      <c r="BA2098" s="12"/>
      <c r="BB2098" s="12"/>
      <c r="BC2098" s="12"/>
      <c r="BD2098" s="12"/>
      <c r="BE2098" s="44"/>
      <c r="BF2098" s="45"/>
      <c r="BG2098" s="12"/>
      <c r="BH2098" s="12"/>
      <c r="BI2098" s="12"/>
      <c r="BJ2098" s="12"/>
      <c r="BK2098" s="44"/>
      <c r="BL2098" s="45"/>
      <c r="BM2098" s="12"/>
      <c r="BN2098" s="12"/>
      <c r="BO2098" s="12"/>
      <c r="BP2098" s="12"/>
      <c r="BQ2098" s="48"/>
      <c r="BR2098" s="49"/>
      <c r="BS2098" s="13"/>
      <c r="BT2098" s="12"/>
      <c r="BV2098" s="14"/>
      <c r="BW2098" s="50"/>
      <c r="BX2098" s="54"/>
      <c r="BY2098" s="14"/>
      <c r="BZ2098" s="14"/>
      <c r="CA2098" s="14"/>
      <c r="CB2098" s="14"/>
      <c r="CC2098" s="14"/>
      <c r="CD2098" s="14"/>
      <c r="CE2098" s="14"/>
      <c r="CF2098" s="15"/>
      <c r="CG2098" s="14"/>
      <c r="CH2098" s="14"/>
      <c r="CI2098" s="50"/>
      <c r="CJ2098" s="54"/>
      <c r="CK2098" s="14"/>
      <c r="CL2098" s="14"/>
      <c r="CM2098" s="14"/>
      <c r="CN2098" s="14"/>
      <c r="CO2098" s="14"/>
      <c r="CP2098" s="14"/>
      <c r="CQ2098" s="14"/>
      <c r="CR2098" s="14"/>
      <c r="CS2098" s="14"/>
      <c r="CT2098" s="14"/>
      <c r="CU2098" s="16"/>
      <c r="CV2098" s="14"/>
      <c r="CW2098" s="50"/>
      <c r="CX2098" s="17"/>
    </row>
    <row r="2099" spans="4:102" x14ac:dyDescent="0.25">
      <c r="D2099" s="11"/>
      <c r="E2099" s="11"/>
      <c r="F2099" s="11"/>
      <c r="G2099" s="11"/>
      <c r="H2099" s="11"/>
      <c r="I2099" s="11"/>
      <c r="J2099" s="11"/>
      <c r="K2099" s="11"/>
      <c r="L2099" s="11"/>
      <c r="M2099" s="11"/>
      <c r="N2099" s="11"/>
      <c r="O2099" s="11"/>
      <c r="P2099" s="43"/>
      <c r="Q2099" s="11"/>
      <c r="R2099" s="11"/>
      <c r="S2099" s="11"/>
      <c r="T2099" s="11"/>
      <c r="U2099" s="11"/>
      <c r="V2099" s="11"/>
      <c r="W2099" s="11"/>
      <c r="X2099" s="12"/>
      <c r="Y2099" s="12"/>
      <c r="Z2099" s="12"/>
      <c r="AA2099" s="44"/>
      <c r="AB2099" s="45"/>
      <c r="AC2099" s="12"/>
      <c r="AD2099" s="12"/>
      <c r="AE2099" s="12"/>
      <c r="AF2099" s="12"/>
      <c r="AG2099" s="44"/>
      <c r="AH2099" s="45"/>
      <c r="AI2099" s="12"/>
      <c r="AJ2099" s="12"/>
      <c r="AK2099" s="12"/>
      <c r="AL2099" s="12"/>
      <c r="AM2099" s="44"/>
      <c r="AN2099" s="45"/>
      <c r="AO2099" s="12"/>
      <c r="AP2099" s="12"/>
      <c r="AQ2099" s="12"/>
      <c r="AR2099" s="12"/>
      <c r="AS2099" s="44"/>
      <c r="AT2099" s="45"/>
      <c r="AU2099" s="12"/>
      <c r="AV2099" s="12"/>
      <c r="AW2099" s="12"/>
      <c r="AX2099" s="12"/>
      <c r="AY2099" s="44"/>
      <c r="AZ2099" s="45"/>
      <c r="BA2099" s="12"/>
      <c r="BB2099" s="12"/>
      <c r="BC2099" s="12"/>
      <c r="BD2099" s="12"/>
      <c r="BE2099" s="44"/>
      <c r="BF2099" s="45"/>
      <c r="BG2099" s="12"/>
      <c r="BH2099" s="12"/>
      <c r="BI2099" s="12"/>
      <c r="BJ2099" s="12"/>
      <c r="BK2099" s="44"/>
      <c r="BL2099" s="45"/>
      <c r="BM2099" s="12"/>
      <c r="BN2099" s="12"/>
      <c r="BO2099" s="12"/>
      <c r="BP2099" s="12"/>
      <c r="BQ2099" s="48"/>
      <c r="BR2099" s="49"/>
      <c r="BS2099" s="13"/>
      <c r="BT2099" s="12"/>
      <c r="BV2099" s="14"/>
      <c r="BW2099" s="50"/>
      <c r="BX2099" s="54"/>
      <c r="BY2099" s="14"/>
      <c r="BZ2099" s="14"/>
      <c r="CA2099" s="14"/>
      <c r="CB2099" s="14"/>
      <c r="CC2099" s="14"/>
      <c r="CD2099" s="14"/>
      <c r="CE2099" s="14"/>
      <c r="CF2099" s="15"/>
      <c r="CG2099" s="14"/>
      <c r="CH2099" s="14"/>
      <c r="CI2099" s="50"/>
      <c r="CJ2099" s="54"/>
      <c r="CK2099" s="14"/>
      <c r="CL2099" s="14"/>
      <c r="CM2099" s="14"/>
      <c r="CN2099" s="14"/>
      <c r="CO2099" s="14"/>
      <c r="CP2099" s="14"/>
      <c r="CQ2099" s="14"/>
      <c r="CR2099" s="14"/>
      <c r="CS2099" s="14"/>
      <c r="CT2099" s="14"/>
      <c r="CU2099" s="16"/>
      <c r="CV2099" s="14"/>
      <c r="CW2099" s="50"/>
      <c r="CX2099" s="17"/>
    </row>
    <row r="2100" spans="4:102" x14ac:dyDescent="0.25">
      <c r="D2100" s="11"/>
      <c r="E2100" s="11"/>
      <c r="F2100" s="11"/>
      <c r="G2100" s="11"/>
      <c r="H2100" s="11"/>
      <c r="I2100" s="11"/>
      <c r="J2100" s="11"/>
      <c r="K2100" s="11"/>
      <c r="L2100" s="11"/>
      <c r="M2100" s="11"/>
      <c r="N2100" s="11"/>
      <c r="O2100" s="11"/>
      <c r="P2100" s="43"/>
      <c r="Q2100" s="11"/>
      <c r="R2100" s="11"/>
      <c r="S2100" s="11"/>
      <c r="T2100" s="11"/>
      <c r="U2100" s="11"/>
      <c r="V2100" s="11"/>
      <c r="W2100" s="11"/>
      <c r="X2100" s="12"/>
      <c r="Y2100" s="12"/>
      <c r="Z2100" s="12"/>
      <c r="AA2100" s="44"/>
      <c r="AB2100" s="45"/>
      <c r="AC2100" s="12"/>
      <c r="AD2100" s="12"/>
      <c r="AE2100" s="12"/>
      <c r="AF2100" s="12"/>
      <c r="AG2100" s="44"/>
      <c r="AH2100" s="45"/>
      <c r="AI2100" s="12"/>
      <c r="AJ2100" s="12"/>
      <c r="AK2100" s="12"/>
      <c r="AL2100" s="12"/>
      <c r="AM2100" s="44"/>
      <c r="AN2100" s="45"/>
      <c r="AO2100" s="12"/>
      <c r="AP2100" s="12"/>
      <c r="AQ2100" s="12"/>
      <c r="AR2100" s="12"/>
      <c r="AS2100" s="44"/>
      <c r="AT2100" s="45"/>
      <c r="AU2100" s="12"/>
      <c r="AV2100" s="12"/>
      <c r="AW2100" s="12"/>
      <c r="AX2100" s="12"/>
      <c r="AY2100" s="44"/>
      <c r="AZ2100" s="45"/>
      <c r="BA2100" s="12"/>
      <c r="BB2100" s="12"/>
      <c r="BC2100" s="12"/>
      <c r="BD2100" s="12"/>
      <c r="BE2100" s="44"/>
      <c r="BF2100" s="45"/>
      <c r="BG2100" s="12"/>
      <c r="BH2100" s="12"/>
      <c r="BI2100" s="12"/>
      <c r="BJ2100" s="12"/>
      <c r="BK2100" s="44"/>
      <c r="BL2100" s="45"/>
      <c r="BM2100" s="12"/>
      <c r="BN2100" s="12"/>
      <c r="BO2100" s="12"/>
      <c r="BP2100" s="12"/>
      <c r="BQ2100" s="48"/>
      <c r="BR2100" s="49"/>
      <c r="BS2100" s="13"/>
      <c r="BT2100" s="12"/>
      <c r="BV2100" s="14"/>
      <c r="BW2100" s="50"/>
      <c r="BX2100" s="54"/>
      <c r="BY2100" s="14"/>
      <c r="BZ2100" s="14"/>
      <c r="CA2100" s="14"/>
      <c r="CB2100" s="14"/>
      <c r="CC2100" s="14"/>
      <c r="CD2100" s="14"/>
      <c r="CE2100" s="14"/>
      <c r="CF2100" s="15"/>
      <c r="CG2100" s="14"/>
      <c r="CH2100" s="14"/>
      <c r="CI2100" s="50"/>
      <c r="CJ2100" s="54"/>
      <c r="CK2100" s="14"/>
      <c r="CL2100" s="14"/>
      <c r="CM2100" s="14"/>
      <c r="CN2100" s="14"/>
      <c r="CO2100" s="14"/>
      <c r="CP2100" s="14"/>
      <c r="CQ2100" s="14"/>
      <c r="CR2100" s="14"/>
      <c r="CS2100" s="14"/>
      <c r="CT2100" s="14"/>
      <c r="CU2100" s="16"/>
      <c r="CV2100" s="14"/>
      <c r="CW2100" s="50"/>
      <c r="CX2100" s="17"/>
    </row>
    <row r="2101" spans="4:102" x14ac:dyDescent="0.25">
      <c r="D2101" s="11"/>
      <c r="E2101" s="11"/>
      <c r="F2101" s="11"/>
      <c r="G2101" s="11"/>
      <c r="H2101" s="11"/>
      <c r="I2101" s="11"/>
      <c r="J2101" s="11"/>
      <c r="K2101" s="11"/>
      <c r="L2101" s="11"/>
      <c r="M2101" s="11"/>
      <c r="N2101" s="11"/>
      <c r="O2101" s="11"/>
      <c r="P2101" s="43"/>
      <c r="Q2101" s="11"/>
      <c r="R2101" s="11"/>
      <c r="S2101" s="11"/>
      <c r="T2101" s="11"/>
      <c r="U2101" s="11"/>
      <c r="V2101" s="11"/>
      <c r="W2101" s="11"/>
      <c r="X2101" s="12"/>
      <c r="Y2101" s="12"/>
      <c r="Z2101" s="12"/>
      <c r="AA2101" s="44"/>
      <c r="AB2101" s="45"/>
      <c r="AC2101" s="12"/>
      <c r="AD2101" s="12"/>
      <c r="AE2101" s="12"/>
      <c r="AF2101" s="12"/>
      <c r="AG2101" s="44"/>
      <c r="AH2101" s="45"/>
      <c r="AI2101" s="12"/>
      <c r="AJ2101" s="12"/>
      <c r="AK2101" s="12"/>
      <c r="AL2101" s="12"/>
      <c r="AM2101" s="44"/>
      <c r="AN2101" s="45"/>
      <c r="AO2101" s="12"/>
      <c r="AP2101" s="12"/>
      <c r="AQ2101" s="12"/>
      <c r="AR2101" s="12"/>
      <c r="AS2101" s="44"/>
      <c r="AT2101" s="45"/>
      <c r="AU2101" s="12"/>
      <c r="AV2101" s="12"/>
      <c r="AW2101" s="12"/>
      <c r="AX2101" s="12"/>
      <c r="AY2101" s="44"/>
      <c r="AZ2101" s="45"/>
      <c r="BA2101" s="12"/>
      <c r="BB2101" s="12"/>
      <c r="BC2101" s="12"/>
      <c r="BD2101" s="12"/>
      <c r="BE2101" s="44"/>
      <c r="BF2101" s="45"/>
      <c r="BG2101" s="12"/>
      <c r="BH2101" s="12"/>
      <c r="BI2101" s="12"/>
      <c r="BJ2101" s="12"/>
      <c r="BK2101" s="44"/>
      <c r="BL2101" s="45"/>
      <c r="BM2101" s="12"/>
      <c r="BN2101" s="12"/>
      <c r="BO2101" s="12"/>
      <c r="BP2101" s="12"/>
      <c r="BQ2101" s="48"/>
      <c r="BR2101" s="49"/>
      <c r="BS2101" s="13"/>
      <c r="BT2101" s="12"/>
      <c r="BV2101" s="14"/>
      <c r="BW2101" s="50"/>
      <c r="BX2101" s="54"/>
      <c r="BY2101" s="14"/>
      <c r="BZ2101" s="14"/>
      <c r="CA2101" s="14"/>
      <c r="CB2101" s="14"/>
      <c r="CC2101" s="14"/>
      <c r="CD2101" s="14"/>
      <c r="CE2101" s="14"/>
      <c r="CF2101" s="15"/>
      <c r="CG2101" s="14"/>
      <c r="CH2101" s="14"/>
      <c r="CI2101" s="50"/>
      <c r="CJ2101" s="54"/>
      <c r="CK2101" s="14"/>
      <c r="CL2101" s="14"/>
      <c r="CM2101" s="14"/>
      <c r="CN2101" s="14"/>
      <c r="CO2101" s="14"/>
      <c r="CP2101" s="14"/>
      <c r="CQ2101" s="14"/>
      <c r="CR2101" s="14"/>
      <c r="CS2101" s="14"/>
      <c r="CT2101" s="14"/>
      <c r="CU2101" s="16"/>
      <c r="CV2101" s="14"/>
      <c r="CW2101" s="50"/>
      <c r="CX2101" s="17"/>
    </row>
    <row r="2102" spans="4:102" x14ac:dyDescent="0.25">
      <c r="D2102" s="11"/>
      <c r="E2102" s="11"/>
      <c r="F2102" s="11"/>
      <c r="G2102" s="11"/>
      <c r="H2102" s="11"/>
      <c r="I2102" s="11"/>
      <c r="J2102" s="11"/>
      <c r="K2102" s="11"/>
      <c r="L2102" s="11"/>
      <c r="M2102" s="11"/>
      <c r="N2102" s="11"/>
      <c r="O2102" s="11"/>
      <c r="P2102" s="43"/>
      <c r="Q2102" s="11"/>
      <c r="R2102" s="11"/>
      <c r="S2102" s="11"/>
      <c r="T2102" s="11"/>
      <c r="U2102" s="11"/>
      <c r="V2102" s="11"/>
      <c r="W2102" s="11"/>
      <c r="X2102" s="12"/>
      <c r="Y2102" s="12"/>
      <c r="Z2102" s="12"/>
      <c r="AA2102" s="44"/>
      <c r="AB2102" s="45"/>
      <c r="AC2102" s="12"/>
      <c r="AD2102" s="12"/>
      <c r="AE2102" s="12"/>
      <c r="AF2102" s="12"/>
      <c r="AG2102" s="44"/>
      <c r="AH2102" s="45"/>
      <c r="AI2102" s="12"/>
      <c r="AJ2102" s="12"/>
      <c r="AK2102" s="12"/>
      <c r="AL2102" s="12"/>
      <c r="AM2102" s="44"/>
      <c r="AN2102" s="45"/>
      <c r="AO2102" s="12"/>
      <c r="AP2102" s="12"/>
      <c r="AQ2102" s="12"/>
      <c r="AR2102" s="12"/>
      <c r="AS2102" s="44"/>
      <c r="AT2102" s="45"/>
      <c r="AU2102" s="12"/>
      <c r="AV2102" s="12"/>
      <c r="AW2102" s="12"/>
      <c r="AX2102" s="12"/>
      <c r="AY2102" s="44"/>
      <c r="AZ2102" s="45"/>
      <c r="BA2102" s="12"/>
      <c r="BB2102" s="12"/>
      <c r="BC2102" s="12"/>
      <c r="BD2102" s="12"/>
      <c r="BE2102" s="44"/>
      <c r="BF2102" s="45"/>
      <c r="BG2102" s="12"/>
      <c r="BH2102" s="12"/>
      <c r="BI2102" s="12"/>
      <c r="BJ2102" s="12"/>
      <c r="BK2102" s="44"/>
      <c r="BL2102" s="45"/>
      <c r="BM2102" s="12"/>
      <c r="BN2102" s="12"/>
      <c r="BO2102" s="12"/>
      <c r="BP2102" s="12"/>
      <c r="BQ2102" s="48"/>
      <c r="BR2102" s="49"/>
      <c r="BS2102" s="13"/>
      <c r="BT2102" s="12"/>
      <c r="BV2102" s="14"/>
      <c r="BW2102" s="50"/>
      <c r="BX2102" s="54"/>
      <c r="BY2102" s="14"/>
      <c r="BZ2102" s="14"/>
      <c r="CA2102" s="14"/>
      <c r="CB2102" s="14"/>
      <c r="CC2102" s="14"/>
      <c r="CD2102" s="14"/>
      <c r="CE2102" s="14"/>
      <c r="CF2102" s="15"/>
      <c r="CG2102" s="14"/>
      <c r="CH2102" s="14"/>
      <c r="CI2102" s="50"/>
      <c r="CJ2102" s="54"/>
      <c r="CK2102" s="14"/>
      <c r="CL2102" s="14"/>
      <c r="CM2102" s="14"/>
      <c r="CN2102" s="14"/>
      <c r="CO2102" s="14"/>
      <c r="CP2102" s="14"/>
      <c r="CQ2102" s="14"/>
      <c r="CR2102" s="14"/>
      <c r="CS2102" s="14"/>
      <c r="CT2102" s="14"/>
      <c r="CU2102" s="16"/>
      <c r="CV2102" s="14"/>
      <c r="CW2102" s="50"/>
      <c r="CX2102" s="17"/>
    </row>
    <row r="2103" spans="4:102" x14ac:dyDescent="0.25">
      <c r="D2103" s="11"/>
      <c r="E2103" s="11"/>
      <c r="F2103" s="11"/>
      <c r="G2103" s="11"/>
      <c r="H2103" s="11"/>
      <c r="I2103" s="11"/>
      <c r="J2103" s="11"/>
      <c r="K2103" s="11"/>
      <c r="L2103" s="11"/>
      <c r="M2103" s="11"/>
      <c r="N2103" s="11"/>
      <c r="O2103" s="11"/>
      <c r="P2103" s="43"/>
      <c r="Q2103" s="11"/>
      <c r="R2103" s="11"/>
      <c r="S2103" s="11"/>
      <c r="T2103" s="11"/>
      <c r="U2103" s="11"/>
      <c r="V2103" s="11"/>
      <c r="W2103" s="11"/>
      <c r="X2103" s="12"/>
      <c r="Y2103" s="12"/>
      <c r="Z2103" s="12"/>
      <c r="AA2103" s="44"/>
      <c r="AB2103" s="45"/>
      <c r="AC2103" s="12"/>
      <c r="AD2103" s="12"/>
      <c r="AE2103" s="12"/>
      <c r="AF2103" s="12"/>
      <c r="AG2103" s="44"/>
      <c r="AH2103" s="45"/>
      <c r="AI2103" s="12"/>
      <c r="AJ2103" s="12"/>
      <c r="AK2103" s="12"/>
      <c r="AL2103" s="12"/>
      <c r="AM2103" s="44"/>
      <c r="AN2103" s="45"/>
      <c r="AO2103" s="12"/>
      <c r="AP2103" s="12"/>
      <c r="AQ2103" s="12"/>
      <c r="AR2103" s="12"/>
      <c r="AS2103" s="44"/>
      <c r="AT2103" s="45"/>
      <c r="AU2103" s="12"/>
      <c r="AV2103" s="12"/>
      <c r="AW2103" s="12"/>
      <c r="AX2103" s="12"/>
      <c r="AY2103" s="44"/>
      <c r="AZ2103" s="45"/>
      <c r="BA2103" s="12"/>
      <c r="BB2103" s="12"/>
      <c r="BC2103" s="12"/>
      <c r="BD2103" s="12"/>
      <c r="BE2103" s="44"/>
      <c r="BF2103" s="45"/>
      <c r="BG2103" s="12"/>
      <c r="BH2103" s="12"/>
      <c r="BI2103" s="12"/>
      <c r="BJ2103" s="12"/>
      <c r="BK2103" s="44"/>
      <c r="BL2103" s="45"/>
      <c r="BM2103" s="12"/>
      <c r="BN2103" s="12"/>
      <c r="BO2103" s="12"/>
      <c r="BP2103" s="12"/>
      <c r="BQ2103" s="48"/>
      <c r="BR2103" s="49"/>
      <c r="BS2103" s="13"/>
      <c r="BT2103" s="12"/>
      <c r="BV2103" s="14"/>
      <c r="BW2103" s="50"/>
      <c r="BX2103" s="54"/>
      <c r="BY2103" s="14"/>
      <c r="BZ2103" s="14"/>
      <c r="CA2103" s="14"/>
      <c r="CB2103" s="14"/>
      <c r="CC2103" s="14"/>
      <c r="CD2103" s="14"/>
      <c r="CE2103" s="14"/>
      <c r="CF2103" s="15"/>
      <c r="CG2103" s="14"/>
      <c r="CH2103" s="14"/>
      <c r="CI2103" s="50"/>
      <c r="CJ2103" s="54"/>
      <c r="CK2103" s="14"/>
      <c r="CL2103" s="14"/>
      <c r="CM2103" s="14"/>
      <c r="CN2103" s="14"/>
      <c r="CO2103" s="14"/>
      <c r="CP2103" s="14"/>
      <c r="CQ2103" s="14"/>
      <c r="CR2103" s="14"/>
      <c r="CS2103" s="14"/>
      <c r="CT2103" s="14"/>
      <c r="CU2103" s="16"/>
      <c r="CV2103" s="14"/>
      <c r="CW2103" s="50"/>
      <c r="CX2103" s="17"/>
    </row>
    <row r="2104" spans="4:102" x14ac:dyDescent="0.25">
      <c r="D2104" s="11"/>
      <c r="E2104" s="11"/>
      <c r="F2104" s="11"/>
      <c r="G2104" s="11"/>
      <c r="H2104" s="11"/>
      <c r="I2104" s="11"/>
      <c r="J2104" s="11"/>
      <c r="K2104" s="11"/>
      <c r="L2104" s="11"/>
      <c r="M2104" s="11"/>
      <c r="N2104" s="11"/>
      <c r="O2104" s="11"/>
      <c r="P2104" s="43"/>
      <c r="Q2104" s="11"/>
      <c r="R2104" s="11"/>
      <c r="S2104" s="11"/>
      <c r="T2104" s="11"/>
      <c r="U2104" s="11"/>
      <c r="V2104" s="11"/>
      <c r="W2104" s="11"/>
      <c r="X2104" s="12"/>
      <c r="Y2104" s="12"/>
      <c r="Z2104" s="12"/>
      <c r="AA2104" s="44"/>
      <c r="AB2104" s="45"/>
      <c r="AC2104" s="12"/>
      <c r="AD2104" s="12"/>
      <c r="AE2104" s="12"/>
      <c r="AF2104" s="12"/>
      <c r="AG2104" s="44"/>
      <c r="AH2104" s="45"/>
      <c r="AI2104" s="12"/>
      <c r="AJ2104" s="12"/>
      <c r="AK2104" s="12"/>
      <c r="AL2104" s="12"/>
      <c r="AM2104" s="44"/>
      <c r="AN2104" s="45"/>
      <c r="AO2104" s="12"/>
      <c r="AP2104" s="12"/>
      <c r="AQ2104" s="12"/>
      <c r="AR2104" s="12"/>
      <c r="AS2104" s="44"/>
      <c r="AT2104" s="45"/>
      <c r="AU2104" s="12"/>
      <c r="AV2104" s="12"/>
      <c r="AW2104" s="12"/>
      <c r="AX2104" s="12"/>
      <c r="AY2104" s="44"/>
      <c r="AZ2104" s="45"/>
      <c r="BA2104" s="12"/>
      <c r="BB2104" s="12"/>
      <c r="BC2104" s="12"/>
      <c r="BD2104" s="12"/>
      <c r="BE2104" s="44"/>
      <c r="BF2104" s="45"/>
      <c r="BG2104" s="12"/>
      <c r="BH2104" s="12"/>
      <c r="BI2104" s="12"/>
      <c r="BJ2104" s="12"/>
      <c r="BK2104" s="44"/>
      <c r="BL2104" s="45"/>
      <c r="BM2104" s="12"/>
      <c r="BN2104" s="12"/>
      <c r="BO2104" s="12"/>
      <c r="BP2104" s="12"/>
      <c r="BQ2104" s="48"/>
      <c r="BR2104" s="49"/>
      <c r="BS2104" s="13"/>
      <c r="BT2104" s="12"/>
      <c r="BV2104" s="14"/>
      <c r="BW2104" s="50"/>
      <c r="BX2104" s="54"/>
      <c r="BY2104" s="14"/>
      <c r="BZ2104" s="14"/>
      <c r="CA2104" s="14"/>
      <c r="CB2104" s="14"/>
      <c r="CC2104" s="14"/>
      <c r="CD2104" s="14"/>
      <c r="CE2104" s="14"/>
      <c r="CF2104" s="15"/>
      <c r="CG2104" s="14"/>
      <c r="CH2104" s="14"/>
      <c r="CI2104" s="50"/>
      <c r="CJ2104" s="54"/>
      <c r="CK2104" s="14"/>
      <c r="CL2104" s="14"/>
      <c r="CM2104" s="14"/>
      <c r="CN2104" s="14"/>
      <c r="CO2104" s="14"/>
      <c r="CP2104" s="14"/>
      <c r="CQ2104" s="14"/>
      <c r="CR2104" s="14"/>
      <c r="CS2104" s="14"/>
      <c r="CT2104" s="14"/>
      <c r="CU2104" s="16"/>
      <c r="CV2104" s="14"/>
      <c r="CW2104" s="50"/>
      <c r="CX2104" s="17"/>
    </row>
    <row r="2105" spans="4:102" x14ac:dyDescent="0.25">
      <c r="D2105" s="11"/>
      <c r="E2105" s="11"/>
      <c r="F2105" s="11"/>
      <c r="G2105" s="11"/>
      <c r="H2105" s="11"/>
      <c r="I2105" s="11"/>
      <c r="J2105" s="11"/>
      <c r="K2105" s="11"/>
      <c r="L2105" s="11"/>
      <c r="M2105" s="11"/>
      <c r="N2105" s="11"/>
      <c r="O2105" s="11"/>
      <c r="P2105" s="43"/>
      <c r="Q2105" s="11"/>
      <c r="R2105" s="11"/>
      <c r="S2105" s="11"/>
      <c r="T2105" s="11"/>
      <c r="U2105" s="11"/>
      <c r="V2105" s="11"/>
      <c r="W2105" s="11"/>
      <c r="X2105" s="12"/>
      <c r="Y2105" s="12"/>
      <c r="Z2105" s="12"/>
      <c r="AA2105" s="44"/>
      <c r="AB2105" s="45"/>
      <c r="AC2105" s="12"/>
      <c r="AD2105" s="12"/>
      <c r="AE2105" s="12"/>
      <c r="AF2105" s="12"/>
      <c r="AG2105" s="44"/>
      <c r="AH2105" s="45"/>
      <c r="AI2105" s="12"/>
      <c r="AJ2105" s="12"/>
      <c r="AK2105" s="12"/>
      <c r="AL2105" s="12"/>
      <c r="AM2105" s="44"/>
      <c r="AN2105" s="45"/>
      <c r="AO2105" s="12"/>
      <c r="AP2105" s="12"/>
      <c r="AQ2105" s="12"/>
      <c r="AR2105" s="12"/>
      <c r="AS2105" s="44"/>
      <c r="AT2105" s="45"/>
      <c r="AU2105" s="12"/>
      <c r="AV2105" s="12"/>
      <c r="AW2105" s="12"/>
      <c r="AX2105" s="12"/>
      <c r="AY2105" s="44"/>
      <c r="AZ2105" s="45"/>
      <c r="BA2105" s="12"/>
      <c r="BB2105" s="12"/>
      <c r="BC2105" s="12"/>
      <c r="BD2105" s="12"/>
      <c r="BE2105" s="44"/>
      <c r="BF2105" s="45"/>
      <c r="BG2105" s="12"/>
      <c r="BH2105" s="12"/>
      <c r="BI2105" s="12"/>
      <c r="BJ2105" s="12"/>
      <c r="BK2105" s="44"/>
      <c r="BL2105" s="45"/>
      <c r="BM2105" s="12"/>
      <c r="BN2105" s="12"/>
      <c r="BO2105" s="12"/>
      <c r="BP2105" s="12"/>
      <c r="BQ2105" s="48"/>
      <c r="BR2105" s="49"/>
      <c r="BS2105" s="13"/>
      <c r="BT2105" s="12"/>
      <c r="BV2105" s="14"/>
      <c r="BW2105" s="50"/>
      <c r="BX2105" s="54"/>
      <c r="BY2105" s="14"/>
      <c r="BZ2105" s="14"/>
      <c r="CA2105" s="14"/>
      <c r="CB2105" s="14"/>
      <c r="CC2105" s="14"/>
      <c r="CD2105" s="14"/>
      <c r="CE2105" s="14"/>
      <c r="CF2105" s="15"/>
      <c r="CG2105" s="14"/>
      <c r="CH2105" s="14"/>
      <c r="CI2105" s="50"/>
      <c r="CJ2105" s="54"/>
      <c r="CK2105" s="14"/>
      <c r="CL2105" s="14"/>
      <c r="CM2105" s="14"/>
      <c r="CN2105" s="14"/>
      <c r="CO2105" s="14"/>
      <c r="CP2105" s="14"/>
      <c r="CQ2105" s="14"/>
      <c r="CR2105" s="14"/>
      <c r="CS2105" s="14"/>
      <c r="CT2105" s="14"/>
      <c r="CU2105" s="16"/>
      <c r="CV2105" s="14"/>
      <c r="CW2105" s="50"/>
      <c r="CX2105" s="17"/>
    </row>
    <row r="2106" spans="4:102" x14ac:dyDescent="0.25">
      <c r="D2106" s="11"/>
      <c r="E2106" s="11"/>
      <c r="F2106" s="11"/>
      <c r="G2106" s="11"/>
      <c r="H2106" s="11"/>
      <c r="I2106" s="11"/>
      <c r="J2106" s="11"/>
      <c r="K2106" s="11"/>
      <c r="L2106" s="11"/>
      <c r="M2106" s="11"/>
      <c r="N2106" s="11"/>
      <c r="O2106" s="11"/>
      <c r="P2106" s="43"/>
      <c r="Q2106" s="11"/>
      <c r="R2106" s="11"/>
      <c r="S2106" s="11"/>
      <c r="T2106" s="11"/>
      <c r="U2106" s="11"/>
      <c r="V2106" s="11"/>
      <c r="W2106" s="11"/>
      <c r="X2106" s="12"/>
      <c r="Y2106" s="12"/>
      <c r="Z2106" s="12"/>
      <c r="AA2106" s="44"/>
      <c r="AB2106" s="45"/>
      <c r="AC2106" s="12"/>
      <c r="AD2106" s="12"/>
      <c r="AE2106" s="12"/>
      <c r="AF2106" s="12"/>
      <c r="AG2106" s="44"/>
      <c r="AH2106" s="45"/>
      <c r="AI2106" s="12"/>
      <c r="AJ2106" s="12"/>
      <c r="AK2106" s="12"/>
      <c r="AL2106" s="12"/>
      <c r="AM2106" s="44"/>
      <c r="AN2106" s="45"/>
      <c r="AO2106" s="12"/>
      <c r="AP2106" s="12"/>
      <c r="AQ2106" s="12"/>
      <c r="AR2106" s="12"/>
      <c r="AS2106" s="44"/>
      <c r="AT2106" s="45"/>
      <c r="AU2106" s="12"/>
      <c r="AV2106" s="12"/>
      <c r="AW2106" s="12"/>
      <c r="AX2106" s="12"/>
      <c r="AY2106" s="44"/>
      <c r="AZ2106" s="45"/>
      <c r="BA2106" s="12"/>
      <c r="BB2106" s="12"/>
      <c r="BC2106" s="12"/>
      <c r="BD2106" s="12"/>
      <c r="BE2106" s="44"/>
      <c r="BF2106" s="45"/>
      <c r="BG2106" s="12"/>
      <c r="BH2106" s="12"/>
      <c r="BI2106" s="12"/>
      <c r="BJ2106" s="12"/>
      <c r="BK2106" s="44"/>
      <c r="BL2106" s="45"/>
      <c r="BM2106" s="12"/>
      <c r="BN2106" s="12"/>
      <c r="BO2106" s="12"/>
      <c r="BP2106" s="12"/>
      <c r="BQ2106" s="48"/>
      <c r="BR2106" s="49"/>
      <c r="BS2106" s="13"/>
      <c r="BT2106" s="12"/>
      <c r="BV2106" s="14"/>
      <c r="BW2106" s="50"/>
      <c r="BX2106" s="54"/>
      <c r="BY2106" s="14"/>
      <c r="BZ2106" s="14"/>
      <c r="CA2106" s="14"/>
      <c r="CB2106" s="14"/>
      <c r="CC2106" s="14"/>
      <c r="CD2106" s="14"/>
      <c r="CE2106" s="14"/>
      <c r="CF2106" s="15"/>
      <c r="CG2106" s="14"/>
      <c r="CH2106" s="14"/>
      <c r="CI2106" s="50"/>
      <c r="CJ2106" s="54"/>
      <c r="CK2106" s="14"/>
      <c r="CL2106" s="14"/>
      <c r="CM2106" s="14"/>
      <c r="CN2106" s="14"/>
      <c r="CO2106" s="14"/>
      <c r="CP2106" s="14"/>
      <c r="CQ2106" s="14"/>
      <c r="CR2106" s="14"/>
      <c r="CS2106" s="14"/>
      <c r="CT2106" s="14"/>
      <c r="CU2106" s="16"/>
      <c r="CV2106" s="14"/>
      <c r="CW2106" s="50"/>
      <c r="CX2106" s="17"/>
    </row>
    <row r="2107" spans="4:102" x14ac:dyDescent="0.25">
      <c r="D2107" s="11"/>
      <c r="E2107" s="11"/>
      <c r="F2107" s="11"/>
      <c r="G2107" s="11"/>
      <c r="H2107" s="11"/>
      <c r="I2107" s="11"/>
      <c r="J2107" s="11"/>
      <c r="K2107" s="11"/>
      <c r="L2107" s="11"/>
      <c r="M2107" s="11"/>
      <c r="N2107" s="11"/>
      <c r="O2107" s="11"/>
      <c r="P2107" s="43"/>
      <c r="Q2107" s="11"/>
      <c r="R2107" s="11"/>
      <c r="S2107" s="11"/>
      <c r="T2107" s="11"/>
      <c r="U2107" s="11"/>
      <c r="V2107" s="11"/>
      <c r="W2107" s="11"/>
      <c r="X2107" s="12"/>
      <c r="Y2107" s="12"/>
      <c r="Z2107" s="12"/>
      <c r="AA2107" s="44"/>
      <c r="AB2107" s="45"/>
      <c r="AC2107" s="12"/>
      <c r="AD2107" s="12"/>
      <c r="AE2107" s="12"/>
      <c r="AF2107" s="12"/>
      <c r="AG2107" s="44"/>
      <c r="AH2107" s="45"/>
      <c r="AI2107" s="12"/>
      <c r="AJ2107" s="12"/>
      <c r="AK2107" s="12"/>
      <c r="AL2107" s="12"/>
      <c r="AM2107" s="44"/>
      <c r="AN2107" s="45"/>
      <c r="AO2107" s="12"/>
      <c r="AP2107" s="12"/>
      <c r="AQ2107" s="12"/>
      <c r="AR2107" s="12"/>
      <c r="AS2107" s="44"/>
      <c r="AT2107" s="45"/>
      <c r="AU2107" s="12"/>
      <c r="AV2107" s="12"/>
      <c r="AW2107" s="12"/>
      <c r="AX2107" s="12"/>
      <c r="AY2107" s="44"/>
      <c r="AZ2107" s="45"/>
      <c r="BA2107" s="12"/>
      <c r="BB2107" s="12"/>
      <c r="BC2107" s="12"/>
      <c r="BD2107" s="12"/>
      <c r="BE2107" s="44"/>
      <c r="BF2107" s="45"/>
      <c r="BG2107" s="12"/>
      <c r="BH2107" s="12"/>
      <c r="BI2107" s="12"/>
      <c r="BJ2107" s="12"/>
      <c r="BK2107" s="44"/>
      <c r="BL2107" s="45"/>
      <c r="BM2107" s="12"/>
      <c r="BN2107" s="12"/>
      <c r="BO2107" s="12"/>
      <c r="BP2107" s="12"/>
      <c r="BQ2107" s="48"/>
      <c r="BR2107" s="49"/>
      <c r="BS2107" s="13"/>
      <c r="BT2107" s="12"/>
      <c r="BV2107" s="14"/>
      <c r="BW2107" s="50"/>
      <c r="BX2107" s="54"/>
      <c r="BY2107" s="14"/>
      <c r="BZ2107" s="14"/>
      <c r="CA2107" s="14"/>
      <c r="CB2107" s="14"/>
      <c r="CC2107" s="14"/>
      <c r="CD2107" s="14"/>
      <c r="CE2107" s="14"/>
      <c r="CF2107" s="15"/>
      <c r="CG2107" s="14"/>
      <c r="CH2107" s="14"/>
      <c r="CI2107" s="50"/>
      <c r="CJ2107" s="54"/>
      <c r="CK2107" s="14"/>
      <c r="CL2107" s="14"/>
      <c r="CM2107" s="14"/>
      <c r="CN2107" s="14"/>
      <c r="CO2107" s="14"/>
      <c r="CP2107" s="14"/>
      <c r="CQ2107" s="14"/>
      <c r="CR2107" s="14"/>
      <c r="CS2107" s="14"/>
      <c r="CT2107" s="14"/>
      <c r="CU2107" s="16"/>
      <c r="CV2107" s="14"/>
      <c r="CW2107" s="50"/>
      <c r="CX2107" s="17"/>
    </row>
    <row r="2108" spans="4:102" x14ac:dyDescent="0.25">
      <c r="D2108" s="11"/>
      <c r="E2108" s="11"/>
      <c r="F2108" s="11"/>
      <c r="G2108" s="11"/>
      <c r="H2108" s="11"/>
      <c r="I2108" s="11"/>
      <c r="J2108" s="11"/>
      <c r="K2108" s="11"/>
      <c r="L2108" s="11"/>
      <c r="M2108" s="11"/>
      <c r="N2108" s="11"/>
      <c r="O2108" s="11"/>
      <c r="P2108" s="43"/>
      <c r="Q2108" s="11"/>
      <c r="R2108" s="11"/>
      <c r="S2108" s="11"/>
      <c r="T2108" s="11"/>
      <c r="U2108" s="11"/>
      <c r="V2108" s="11"/>
      <c r="W2108" s="11"/>
      <c r="X2108" s="12"/>
      <c r="Y2108" s="12"/>
      <c r="Z2108" s="12"/>
      <c r="AA2108" s="44"/>
      <c r="AB2108" s="45"/>
      <c r="AC2108" s="12"/>
      <c r="AD2108" s="12"/>
      <c r="AE2108" s="12"/>
      <c r="AF2108" s="12"/>
      <c r="AG2108" s="44"/>
      <c r="AH2108" s="45"/>
      <c r="AI2108" s="12"/>
      <c r="AJ2108" s="12"/>
      <c r="AK2108" s="12"/>
      <c r="AL2108" s="12"/>
      <c r="AM2108" s="44"/>
      <c r="AN2108" s="45"/>
      <c r="AO2108" s="12"/>
      <c r="AP2108" s="12"/>
      <c r="AQ2108" s="12"/>
      <c r="AR2108" s="12"/>
      <c r="AS2108" s="44"/>
      <c r="AT2108" s="45"/>
      <c r="AU2108" s="12"/>
      <c r="AV2108" s="12"/>
      <c r="AW2108" s="12"/>
      <c r="AX2108" s="12"/>
      <c r="AY2108" s="44"/>
      <c r="AZ2108" s="45"/>
      <c r="BA2108" s="12"/>
      <c r="BB2108" s="12"/>
      <c r="BC2108" s="12"/>
      <c r="BD2108" s="12"/>
      <c r="BE2108" s="44"/>
      <c r="BF2108" s="45"/>
      <c r="BG2108" s="12"/>
      <c r="BH2108" s="12"/>
      <c r="BI2108" s="12"/>
      <c r="BJ2108" s="12"/>
      <c r="BK2108" s="44"/>
      <c r="BL2108" s="45"/>
      <c r="BM2108" s="12"/>
      <c r="BN2108" s="12"/>
      <c r="BO2108" s="12"/>
      <c r="BP2108" s="12"/>
      <c r="BQ2108" s="48"/>
      <c r="BR2108" s="49"/>
      <c r="BS2108" s="13"/>
      <c r="BT2108" s="12"/>
      <c r="BV2108" s="14"/>
      <c r="BW2108" s="50"/>
      <c r="BX2108" s="54"/>
      <c r="BY2108" s="14"/>
      <c r="BZ2108" s="14"/>
      <c r="CA2108" s="14"/>
      <c r="CB2108" s="14"/>
      <c r="CC2108" s="14"/>
      <c r="CD2108" s="14"/>
      <c r="CE2108" s="14"/>
      <c r="CF2108" s="15"/>
      <c r="CG2108" s="14"/>
      <c r="CH2108" s="14"/>
      <c r="CI2108" s="50"/>
      <c r="CJ2108" s="54"/>
      <c r="CK2108" s="14"/>
      <c r="CL2108" s="14"/>
      <c r="CM2108" s="14"/>
      <c r="CN2108" s="14"/>
      <c r="CO2108" s="14"/>
      <c r="CP2108" s="14"/>
      <c r="CQ2108" s="14"/>
      <c r="CR2108" s="14"/>
      <c r="CS2108" s="14"/>
      <c r="CT2108" s="14"/>
      <c r="CU2108" s="16"/>
      <c r="CV2108" s="14"/>
      <c r="CW2108" s="50"/>
      <c r="CX2108" s="17"/>
    </row>
    <row r="2109" spans="4:102" x14ac:dyDescent="0.25">
      <c r="D2109" s="11"/>
      <c r="E2109" s="11"/>
      <c r="F2109" s="11"/>
      <c r="G2109" s="11"/>
      <c r="H2109" s="11"/>
      <c r="I2109" s="11"/>
      <c r="J2109" s="11"/>
      <c r="K2109" s="11"/>
      <c r="L2109" s="11"/>
      <c r="M2109" s="11"/>
      <c r="N2109" s="11"/>
      <c r="O2109" s="11"/>
      <c r="P2109" s="43"/>
      <c r="Q2109" s="11"/>
      <c r="R2109" s="11"/>
      <c r="S2109" s="11"/>
      <c r="T2109" s="11"/>
      <c r="U2109" s="11"/>
      <c r="V2109" s="11"/>
      <c r="W2109" s="11"/>
      <c r="X2109" s="12"/>
      <c r="Y2109" s="12"/>
      <c r="Z2109" s="12"/>
      <c r="AA2109" s="44"/>
      <c r="AB2109" s="45"/>
      <c r="AC2109" s="12"/>
      <c r="AD2109" s="12"/>
      <c r="AE2109" s="12"/>
      <c r="AF2109" s="12"/>
      <c r="AG2109" s="44"/>
      <c r="AH2109" s="45"/>
      <c r="AI2109" s="12"/>
      <c r="AJ2109" s="12"/>
      <c r="AK2109" s="12"/>
      <c r="AL2109" s="12"/>
      <c r="AM2109" s="44"/>
      <c r="AN2109" s="45"/>
      <c r="AO2109" s="12"/>
      <c r="AP2109" s="12"/>
      <c r="AQ2109" s="12"/>
      <c r="AR2109" s="12"/>
      <c r="AS2109" s="44"/>
      <c r="AT2109" s="45"/>
      <c r="AU2109" s="12"/>
      <c r="AV2109" s="12"/>
      <c r="AW2109" s="12"/>
      <c r="AX2109" s="12"/>
      <c r="AY2109" s="44"/>
      <c r="AZ2109" s="45"/>
      <c r="BA2109" s="12"/>
      <c r="BB2109" s="12"/>
      <c r="BC2109" s="12"/>
      <c r="BD2109" s="12"/>
      <c r="BE2109" s="44"/>
      <c r="BF2109" s="45"/>
      <c r="BG2109" s="12"/>
      <c r="BH2109" s="12"/>
      <c r="BI2109" s="12"/>
      <c r="BJ2109" s="12"/>
      <c r="BK2109" s="44"/>
      <c r="BL2109" s="45"/>
      <c r="BM2109" s="12"/>
      <c r="BN2109" s="12"/>
      <c r="BO2109" s="12"/>
      <c r="BP2109" s="12"/>
      <c r="BQ2109" s="48"/>
      <c r="BR2109" s="49"/>
      <c r="BS2109" s="13"/>
      <c r="BT2109" s="12"/>
      <c r="BV2109" s="14"/>
      <c r="BW2109" s="50"/>
      <c r="BX2109" s="54"/>
      <c r="BY2109" s="14"/>
      <c r="BZ2109" s="14"/>
      <c r="CA2109" s="14"/>
      <c r="CB2109" s="14"/>
      <c r="CC2109" s="14"/>
      <c r="CD2109" s="14"/>
      <c r="CE2109" s="14"/>
      <c r="CF2109" s="15"/>
      <c r="CG2109" s="14"/>
      <c r="CH2109" s="14"/>
      <c r="CI2109" s="50"/>
      <c r="CJ2109" s="54"/>
      <c r="CK2109" s="14"/>
      <c r="CL2109" s="14"/>
      <c r="CM2109" s="14"/>
      <c r="CN2109" s="14"/>
      <c r="CO2109" s="14"/>
      <c r="CP2109" s="14"/>
      <c r="CQ2109" s="14"/>
      <c r="CR2109" s="14"/>
      <c r="CS2109" s="14"/>
      <c r="CT2109" s="14"/>
      <c r="CU2109" s="16"/>
      <c r="CV2109" s="14"/>
      <c r="CW2109" s="50"/>
      <c r="CX2109" s="17"/>
    </row>
    <row r="2110" spans="4:102" x14ac:dyDescent="0.25">
      <c r="D2110" s="11"/>
      <c r="E2110" s="11"/>
      <c r="F2110" s="11"/>
      <c r="G2110" s="11"/>
      <c r="H2110" s="11"/>
      <c r="I2110" s="11"/>
      <c r="J2110" s="11"/>
      <c r="K2110" s="11"/>
      <c r="L2110" s="11"/>
      <c r="M2110" s="11"/>
      <c r="N2110" s="11"/>
      <c r="O2110" s="11"/>
      <c r="P2110" s="43"/>
      <c r="Q2110" s="11"/>
      <c r="R2110" s="11"/>
      <c r="S2110" s="11"/>
      <c r="T2110" s="11"/>
      <c r="U2110" s="11"/>
      <c r="V2110" s="11"/>
      <c r="W2110" s="11"/>
      <c r="X2110" s="12"/>
      <c r="Y2110" s="12"/>
      <c r="Z2110" s="12"/>
      <c r="AA2110" s="44"/>
      <c r="AB2110" s="45"/>
      <c r="AC2110" s="12"/>
      <c r="AD2110" s="12"/>
      <c r="AE2110" s="12"/>
      <c r="AF2110" s="12"/>
      <c r="AG2110" s="44"/>
      <c r="AH2110" s="45"/>
      <c r="AI2110" s="12"/>
      <c r="AJ2110" s="12"/>
      <c r="AK2110" s="12"/>
      <c r="AL2110" s="12"/>
      <c r="AM2110" s="44"/>
      <c r="AN2110" s="45"/>
      <c r="AO2110" s="12"/>
      <c r="AP2110" s="12"/>
      <c r="AQ2110" s="12"/>
      <c r="AR2110" s="12"/>
      <c r="AS2110" s="44"/>
      <c r="AT2110" s="45"/>
      <c r="AU2110" s="12"/>
      <c r="AV2110" s="12"/>
      <c r="AW2110" s="12"/>
      <c r="AX2110" s="12"/>
      <c r="AY2110" s="44"/>
      <c r="AZ2110" s="45"/>
      <c r="BA2110" s="12"/>
      <c r="BB2110" s="12"/>
      <c r="BC2110" s="12"/>
      <c r="BD2110" s="12"/>
      <c r="BE2110" s="44"/>
      <c r="BF2110" s="45"/>
      <c r="BG2110" s="12"/>
      <c r="BH2110" s="12"/>
      <c r="BI2110" s="12"/>
      <c r="BJ2110" s="12"/>
      <c r="BK2110" s="44"/>
      <c r="BL2110" s="45"/>
      <c r="BM2110" s="12"/>
      <c r="BN2110" s="12"/>
      <c r="BO2110" s="12"/>
      <c r="BP2110" s="12"/>
      <c r="BQ2110" s="48"/>
      <c r="BR2110" s="49"/>
      <c r="BS2110" s="13"/>
      <c r="BT2110" s="12"/>
      <c r="BV2110" s="14"/>
      <c r="BW2110" s="50"/>
      <c r="BX2110" s="54"/>
      <c r="BY2110" s="14"/>
      <c r="BZ2110" s="14"/>
      <c r="CA2110" s="14"/>
      <c r="CB2110" s="14"/>
      <c r="CC2110" s="14"/>
      <c r="CD2110" s="14"/>
      <c r="CE2110" s="14"/>
      <c r="CF2110" s="15"/>
      <c r="CG2110" s="14"/>
      <c r="CH2110" s="14"/>
      <c r="CI2110" s="50"/>
      <c r="CJ2110" s="54"/>
      <c r="CK2110" s="14"/>
      <c r="CL2110" s="14"/>
      <c r="CM2110" s="14"/>
      <c r="CN2110" s="14"/>
      <c r="CO2110" s="14"/>
      <c r="CP2110" s="14"/>
      <c r="CQ2110" s="14"/>
      <c r="CR2110" s="14"/>
      <c r="CS2110" s="14"/>
      <c r="CT2110" s="14"/>
      <c r="CU2110" s="16"/>
      <c r="CV2110" s="14"/>
      <c r="CW2110" s="50"/>
      <c r="CX2110" s="17"/>
    </row>
    <row r="2111" spans="4:102" x14ac:dyDescent="0.25">
      <c r="D2111" s="11"/>
      <c r="E2111" s="11"/>
      <c r="F2111" s="11"/>
      <c r="G2111" s="11"/>
      <c r="H2111" s="11"/>
      <c r="I2111" s="11"/>
      <c r="J2111" s="11"/>
      <c r="K2111" s="11"/>
      <c r="L2111" s="11"/>
      <c r="M2111" s="11"/>
      <c r="N2111" s="11"/>
      <c r="O2111" s="11"/>
      <c r="P2111" s="43"/>
      <c r="Q2111" s="11"/>
      <c r="R2111" s="11"/>
      <c r="S2111" s="11"/>
      <c r="T2111" s="11"/>
      <c r="U2111" s="11"/>
      <c r="V2111" s="11"/>
      <c r="W2111" s="11"/>
      <c r="X2111" s="12"/>
      <c r="Y2111" s="12"/>
      <c r="Z2111" s="12"/>
      <c r="AA2111" s="44"/>
      <c r="AB2111" s="45"/>
      <c r="AC2111" s="12"/>
      <c r="AD2111" s="12"/>
      <c r="AE2111" s="12"/>
      <c r="AF2111" s="12"/>
      <c r="AG2111" s="44"/>
      <c r="AH2111" s="45"/>
      <c r="AI2111" s="12"/>
      <c r="AJ2111" s="12"/>
      <c r="AK2111" s="12"/>
      <c r="AL2111" s="12"/>
      <c r="AM2111" s="44"/>
      <c r="AN2111" s="45"/>
      <c r="AO2111" s="12"/>
      <c r="AP2111" s="12"/>
      <c r="AQ2111" s="12"/>
      <c r="AR2111" s="12"/>
      <c r="AS2111" s="44"/>
      <c r="AT2111" s="45"/>
      <c r="AU2111" s="12"/>
      <c r="AV2111" s="12"/>
      <c r="AW2111" s="12"/>
      <c r="AX2111" s="12"/>
      <c r="AY2111" s="44"/>
      <c r="AZ2111" s="45"/>
      <c r="BA2111" s="12"/>
      <c r="BB2111" s="12"/>
      <c r="BC2111" s="12"/>
      <c r="BD2111" s="12"/>
      <c r="BE2111" s="44"/>
      <c r="BF2111" s="45"/>
      <c r="BG2111" s="12"/>
      <c r="BH2111" s="12"/>
      <c r="BI2111" s="12"/>
      <c r="BJ2111" s="12"/>
      <c r="BK2111" s="44"/>
      <c r="BL2111" s="45"/>
      <c r="BM2111" s="12"/>
      <c r="BN2111" s="12"/>
      <c r="BO2111" s="12"/>
      <c r="BP2111" s="12"/>
      <c r="BQ2111" s="48"/>
      <c r="BR2111" s="49"/>
      <c r="BS2111" s="13"/>
      <c r="BT2111" s="12"/>
      <c r="BV2111" s="14"/>
      <c r="BW2111" s="50"/>
      <c r="BX2111" s="54"/>
      <c r="BY2111" s="14"/>
      <c r="BZ2111" s="14"/>
      <c r="CA2111" s="14"/>
      <c r="CB2111" s="14"/>
      <c r="CC2111" s="14"/>
      <c r="CD2111" s="14"/>
      <c r="CE2111" s="14"/>
      <c r="CF2111" s="15"/>
      <c r="CG2111" s="14"/>
      <c r="CH2111" s="14"/>
      <c r="CI2111" s="50"/>
      <c r="CJ2111" s="54"/>
      <c r="CK2111" s="14"/>
      <c r="CL2111" s="14"/>
      <c r="CM2111" s="14"/>
      <c r="CN2111" s="14"/>
      <c r="CO2111" s="14"/>
      <c r="CP2111" s="14"/>
      <c r="CQ2111" s="14"/>
      <c r="CR2111" s="14"/>
      <c r="CS2111" s="14"/>
      <c r="CT2111" s="14"/>
      <c r="CU2111" s="16"/>
      <c r="CV2111" s="14"/>
      <c r="CW2111" s="50"/>
      <c r="CX2111" s="17"/>
    </row>
    <row r="2112" spans="4:102" x14ac:dyDescent="0.25">
      <c r="D2112" s="11"/>
      <c r="E2112" s="11"/>
      <c r="F2112" s="11"/>
      <c r="G2112" s="11"/>
      <c r="H2112" s="11"/>
      <c r="I2112" s="11"/>
      <c r="J2112" s="11"/>
      <c r="K2112" s="11"/>
      <c r="L2112" s="11"/>
      <c r="M2112" s="11"/>
      <c r="N2112" s="11"/>
      <c r="O2112" s="11"/>
      <c r="P2112" s="43"/>
      <c r="Q2112" s="11"/>
      <c r="R2112" s="11"/>
      <c r="S2112" s="11"/>
      <c r="T2112" s="11"/>
      <c r="U2112" s="11"/>
      <c r="V2112" s="11"/>
      <c r="W2112" s="11"/>
      <c r="X2112" s="12"/>
      <c r="Y2112" s="12"/>
      <c r="Z2112" s="12"/>
      <c r="AA2112" s="44"/>
      <c r="AB2112" s="45"/>
      <c r="AC2112" s="12"/>
      <c r="AD2112" s="12"/>
      <c r="AE2112" s="12"/>
      <c r="AF2112" s="12"/>
      <c r="AG2112" s="44"/>
      <c r="AH2112" s="45"/>
      <c r="AI2112" s="12"/>
      <c r="AJ2112" s="12"/>
      <c r="AK2112" s="12"/>
      <c r="AL2112" s="12"/>
      <c r="AM2112" s="44"/>
      <c r="AN2112" s="45"/>
      <c r="AO2112" s="12"/>
      <c r="AP2112" s="12"/>
      <c r="AQ2112" s="12"/>
      <c r="AR2112" s="12"/>
      <c r="AS2112" s="44"/>
      <c r="AT2112" s="45"/>
      <c r="AU2112" s="12"/>
      <c r="AV2112" s="12"/>
      <c r="AW2112" s="12"/>
      <c r="AX2112" s="12"/>
      <c r="AY2112" s="44"/>
      <c r="AZ2112" s="45"/>
      <c r="BA2112" s="12"/>
      <c r="BB2112" s="12"/>
      <c r="BC2112" s="12"/>
      <c r="BD2112" s="12"/>
      <c r="BE2112" s="44"/>
      <c r="BF2112" s="45"/>
      <c r="BG2112" s="12"/>
      <c r="BH2112" s="12"/>
      <c r="BI2112" s="12"/>
      <c r="BJ2112" s="12"/>
      <c r="BK2112" s="44"/>
      <c r="BL2112" s="45"/>
      <c r="BM2112" s="12"/>
      <c r="BN2112" s="12"/>
      <c r="BO2112" s="12"/>
      <c r="BP2112" s="12"/>
      <c r="BQ2112" s="48"/>
      <c r="BR2112" s="49"/>
      <c r="BS2112" s="13"/>
      <c r="BT2112" s="12"/>
      <c r="BV2112" s="14"/>
      <c r="BW2112" s="50"/>
      <c r="BX2112" s="54"/>
      <c r="BY2112" s="14"/>
      <c r="BZ2112" s="14"/>
      <c r="CA2112" s="14"/>
      <c r="CB2112" s="14"/>
      <c r="CC2112" s="14"/>
      <c r="CD2112" s="14"/>
      <c r="CE2112" s="14"/>
      <c r="CF2112" s="15"/>
      <c r="CG2112" s="14"/>
      <c r="CH2112" s="14"/>
      <c r="CI2112" s="50"/>
      <c r="CJ2112" s="54"/>
      <c r="CK2112" s="14"/>
      <c r="CL2112" s="14"/>
      <c r="CM2112" s="14"/>
      <c r="CN2112" s="14"/>
      <c r="CO2112" s="14"/>
      <c r="CP2112" s="14"/>
      <c r="CQ2112" s="14"/>
      <c r="CR2112" s="14"/>
      <c r="CS2112" s="14"/>
      <c r="CT2112" s="14"/>
      <c r="CU2112" s="16"/>
      <c r="CV2112" s="14"/>
      <c r="CW2112" s="50"/>
      <c r="CX2112" s="17"/>
    </row>
    <row r="2113" spans="4:102" x14ac:dyDescent="0.25">
      <c r="D2113" s="11"/>
      <c r="E2113" s="11"/>
      <c r="F2113" s="11"/>
      <c r="G2113" s="11"/>
      <c r="H2113" s="11"/>
      <c r="I2113" s="11"/>
      <c r="J2113" s="11"/>
      <c r="K2113" s="11"/>
      <c r="L2113" s="11"/>
      <c r="M2113" s="11"/>
      <c r="N2113" s="11"/>
      <c r="O2113" s="11"/>
      <c r="P2113" s="43"/>
      <c r="Q2113" s="11"/>
      <c r="R2113" s="11"/>
      <c r="S2113" s="11"/>
      <c r="T2113" s="11"/>
      <c r="U2113" s="11"/>
      <c r="V2113" s="11"/>
      <c r="W2113" s="11"/>
      <c r="X2113" s="12"/>
      <c r="Y2113" s="12"/>
      <c r="Z2113" s="12"/>
      <c r="AA2113" s="44"/>
      <c r="AB2113" s="45"/>
      <c r="AC2113" s="12"/>
      <c r="AD2113" s="12"/>
      <c r="AE2113" s="12"/>
      <c r="AF2113" s="12"/>
      <c r="AG2113" s="44"/>
      <c r="AH2113" s="45"/>
      <c r="AI2113" s="12"/>
      <c r="AJ2113" s="12"/>
      <c r="AK2113" s="12"/>
      <c r="AL2113" s="12"/>
      <c r="AM2113" s="44"/>
      <c r="AN2113" s="45"/>
      <c r="AO2113" s="12"/>
      <c r="AP2113" s="12"/>
      <c r="AQ2113" s="12"/>
      <c r="AR2113" s="12"/>
      <c r="AS2113" s="44"/>
      <c r="AT2113" s="45"/>
      <c r="AU2113" s="12"/>
      <c r="AV2113" s="12"/>
      <c r="AW2113" s="12"/>
      <c r="AX2113" s="12"/>
      <c r="AY2113" s="44"/>
      <c r="AZ2113" s="45"/>
      <c r="BA2113" s="12"/>
      <c r="BB2113" s="12"/>
      <c r="BC2113" s="12"/>
      <c r="BD2113" s="12"/>
      <c r="BE2113" s="44"/>
      <c r="BF2113" s="45"/>
      <c r="BG2113" s="12"/>
      <c r="BH2113" s="12"/>
      <c r="BI2113" s="12"/>
      <c r="BJ2113" s="12"/>
      <c r="BK2113" s="44"/>
      <c r="BL2113" s="45"/>
      <c r="BM2113" s="12"/>
      <c r="BN2113" s="12"/>
      <c r="BO2113" s="12"/>
      <c r="BP2113" s="12"/>
      <c r="BQ2113" s="48"/>
      <c r="BR2113" s="49"/>
      <c r="BS2113" s="13"/>
      <c r="BT2113" s="12"/>
      <c r="BV2113" s="14"/>
      <c r="BW2113" s="50"/>
      <c r="BX2113" s="54"/>
      <c r="BY2113" s="14"/>
      <c r="BZ2113" s="14"/>
      <c r="CA2113" s="14"/>
      <c r="CB2113" s="14"/>
      <c r="CC2113" s="14"/>
      <c r="CD2113" s="14"/>
      <c r="CE2113" s="14"/>
      <c r="CF2113" s="15"/>
      <c r="CG2113" s="14"/>
      <c r="CH2113" s="14"/>
      <c r="CI2113" s="50"/>
      <c r="CJ2113" s="54"/>
      <c r="CK2113" s="14"/>
      <c r="CL2113" s="14"/>
      <c r="CM2113" s="14"/>
      <c r="CN2113" s="14"/>
      <c r="CO2113" s="14"/>
      <c r="CP2113" s="14"/>
      <c r="CQ2113" s="14"/>
      <c r="CR2113" s="14"/>
      <c r="CS2113" s="14"/>
      <c r="CT2113" s="14"/>
      <c r="CU2113" s="16"/>
      <c r="CV2113" s="14"/>
      <c r="CW2113" s="50"/>
      <c r="CX2113" s="17"/>
    </row>
    <row r="2114" spans="4:102" x14ac:dyDescent="0.25">
      <c r="D2114" s="11"/>
      <c r="E2114" s="11"/>
      <c r="F2114" s="11"/>
      <c r="G2114" s="11"/>
      <c r="H2114" s="11"/>
      <c r="I2114" s="11"/>
      <c r="J2114" s="11"/>
      <c r="K2114" s="11"/>
      <c r="L2114" s="11"/>
      <c r="M2114" s="11"/>
      <c r="N2114" s="11"/>
      <c r="O2114" s="11"/>
      <c r="P2114" s="43"/>
      <c r="Q2114" s="11"/>
      <c r="R2114" s="11"/>
      <c r="S2114" s="11"/>
      <c r="T2114" s="11"/>
      <c r="U2114" s="11"/>
      <c r="V2114" s="11"/>
      <c r="W2114" s="11"/>
      <c r="X2114" s="12"/>
      <c r="Y2114" s="12"/>
      <c r="Z2114" s="12"/>
      <c r="AA2114" s="44"/>
      <c r="AB2114" s="45"/>
      <c r="AC2114" s="12"/>
      <c r="AD2114" s="12"/>
      <c r="AE2114" s="12"/>
      <c r="AF2114" s="12"/>
      <c r="AG2114" s="44"/>
      <c r="AH2114" s="45"/>
      <c r="AI2114" s="12"/>
      <c r="AJ2114" s="12"/>
      <c r="AK2114" s="12"/>
      <c r="AL2114" s="12"/>
      <c r="AM2114" s="44"/>
      <c r="AN2114" s="45"/>
      <c r="AO2114" s="12"/>
      <c r="AP2114" s="12"/>
      <c r="AQ2114" s="12"/>
      <c r="AR2114" s="12"/>
      <c r="AS2114" s="44"/>
      <c r="AT2114" s="45"/>
      <c r="AU2114" s="12"/>
      <c r="AV2114" s="12"/>
      <c r="AW2114" s="12"/>
      <c r="AX2114" s="12"/>
      <c r="AY2114" s="44"/>
      <c r="AZ2114" s="45"/>
      <c r="BA2114" s="12"/>
      <c r="BB2114" s="12"/>
      <c r="BC2114" s="12"/>
      <c r="BD2114" s="12"/>
      <c r="BE2114" s="44"/>
      <c r="BF2114" s="45"/>
      <c r="BG2114" s="12"/>
      <c r="BH2114" s="12"/>
      <c r="BI2114" s="12"/>
      <c r="BJ2114" s="12"/>
      <c r="BK2114" s="44"/>
      <c r="BL2114" s="45"/>
      <c r="BM2114" s="12"/>
      <c r="BN2114" s="12"/>
      <c r="BO2114" s="12"/>
      <c r="BP2114" s="12"/>
      <c r="BQ2114" s="48"/>
      <c r="BR2114" s="49"/>
      <c r="BS2114" s="13"/>
      <c r="BT2114" s="12"/>
      <c r="BV2114" s="14"/>
      <c r="BW2114" s="50"/>
      <c r="BX2114" s="54"/>
      <c r="BY2114" s="14"/>
      <c r="BZ2114" s="14"/>
      <c r="CA2114" s="14"/>
      <c r="CB2114" s="14"/>
      <c r="CC2114" s="14"/>
      <c r="CD2114" s="14"/>
      <c r="CE2114" s="14"/>
      <c r="CF2114" s="15"/>
      <c r="CG2114" s="14"/>
      <c r="CH2114" s="14"/>
      <c r="CI2114" s="50"/>
      <c r="CJ2114" s="54"/>
      <c r="CK2114" s="14"/>
      <c r="CL2114" s="14"/>
      <c r="CM2114" s="14"/>
      <c r="CN2114" s="14"/>
      <c r="CO2114" s="14"/>
      <c r="CP2114" s="14"/>
      <c r="CQ2114" s="14"/>
      <c r="CR2114" s="14"/>
      <c r="CS2114" s="14"/>
      <c r="CT2114" s="14"/>
      <c r="CU2114" s="16"/>
      <c r="CV2114" s="14"/>
      <c r="CW2114" s="50"/>
      <c r="CX2114" s="17"/>
    </row>
    <row r="2115" spans="4:102" x14ac:dyDescent="0.25">
      <c r="D2115" s="11"/>
      <c r="E2115" s="11"/>
      <c r="F2115" s="11"/>
      <c r="G2115" s="11"/>
      <c r="H2115" s="11"/>
      <c r="I2115" s="11"/>
      <c r="J2115" s="11"/>
      <c r="K2115" s="11"/>
      <c r="L2115" s="11"/>
      <c r="M2115" s="11"/>
      <c r="N2115" s="11"/>
      <c r="O2115" s="11"/>
      <c r="P2115" s="43"/>
      <c r="Q2115" s="11"/>
      <c r="R2115" s="11"/>
      <c r="S2115" s="11"/>
      <c r="T2115" s="11"/>
      <c r="U2115" s="11"/>
      <c r="V2115" s="11"/>
      <c r="W2115" s="11"/>
      <c r="X2115" s="12"/>
      <c r="Y2115" s="12"/>
      <c r="Z2115" s="12"/>
      <c r="AA2115" s="44"/>
      <c r="AB2115" s="45"/>
      <c r="AC2115" s="12"/>
      <c r="AD2115" s="12"/>
      <c r="AE2115" s="12"/>
      <c r="AF2115" s="12"/>
      <c r="AG2115" s="44"/>
      <c r="AH2115" s="45"/>
      <c r="AI2115" s="12"/>
      <c r="AJ2115" s="12"/>
      <c r="AK2115" s="12"/>
      <c r="AL2115" s="12"/>
      <c r="AM2115" s="44"/>
      <c r="AN2115" s="45"/>
      <c r="AO2115" s="12"/>
      <c r="AP2115" s="12"/>
      <c r="AQ2115" s="12"/>
      <c r="AR2115" s="12"/>
      <c r="AS2115" s="44"/>
      <c r="AT2115" s="45"/>
      <c r="AU2115" s="12"/>
      <c r="AV2115" s="12"/>
      <c r="AW2115" s="12"/>
      <c r="AX2115" s="12"/>
      <c r="AY2115" s="44"/>
      <c r="AZ2115" s="45"/>
      <c r="BA2115" s="12"/>
      <c r="BB2115" s="12"/>
      <c r="BC2115" s="12"/>
      <c r="BD2115" s="12"/>
      <c r="BE2115" s="44"/>
      <c r="BF2115" s="45"/>
      <c r="BG2115" s="12"/>
      <c r="BH2115" s="12"/>
      <c r="BI2115" s="12"/>
      <c r="BJ2115" s="12"/>
      <c r="BK2115" s="44"/>
      <c r="BL2115" s="45"/>
      <c r="BM2115" s="12"/>
      <c r="BN2115" s="12"/>
      <c r="BO2115" s="12"/>
      <c r="BP2115" s="12"/>
      <c r="BQ2115" s="48"/>
      <c r="BR2115" s="49"/>
      <c r="BS2115" s="13"/>
      <c r="BT2115" s="12"/>
      <c r="BV2115" s="14"/>
      <c r="BW2115" s="50"/>
      <c r="BX2115" s="54"/>
      <c r="BY2115" s="14"/>
      <c r="BZ2115" s="14"/>
      <c r="CA2115" s="14"/>
      <c r="CB2115" s="14"/>
      <c r="CC2115" s="14"/>
      <c r="CD2115" s="14"/>
      <c r="CE2115" s="14"/>
      <c r="CF2115" s="15"/>
      <c r="CG2115" s="14"/>
      <c r="CH2115" s="14"/>
      <c r="CI2115" s="50"/>
      <c r="CJ2115" s="54"/>
      <c r="CK2115" s="14"/>
      <c r="CL2115" s="14"/>
      <c r="CM2115" s="14"/>
      <c r="CN2115" s="14"/>
      <c r="CO2115" s="14"/>
      <c r="CP2115" s="14"/>
      <c r="CQ2115" s="14"/>
      <c r="CR2115" s="14"/>
      <c r="CS2115" s="14"/>
      <c r="CT2115" s="14"/>
      <c r="CU2115" s="16"/>
      <c r="CV2115" s="14"/>
      <c r="CW2115" s="50"/>
      <c r="CX2115" s="17"/>
    </row>
    <row r="2116" spans="4:102" x14ac:dyDescent="0.25">
      <c r="D2116" s="11"/>
      <c r="E2116" s="11"/>
      <c r="F2116" s="11"/>
      <c r="G2116" s="11"/>
      <c r="H2116" s="11"/>
      <c r="I2116" s="11"/>
      <c r="J2116" s="11"/>
      <c r="K2116" s="11"/>
      <c r="L2116" s="11"/>
      <c r="M2116" s="11"/>
      <c r="N2116" s="11"/>
      <c r="O2116" s="11"/>
      <c r="P2116" s="43"/>
      <c r="Q2116" s="11"/>
      <c r="R2116" s="11"/>
      <c r="S2116" s="11"/>
      <c r="T2116" s="11"/>
      <c r="U2116" s="11"/>
      <c r="V2116" s="11"/>
      <c r="W2116" s="11"/>
      <c r="X2116" s="12"/>
      <c r="Y2116" s="12"/>
      <c r="Z2116" s="12"/>
      <c r="AA2116" s="44"/>
      <c r="AB2116" s="45"/>
      <c r="AC2116" s="12"/>
      <c r="AD2116" s="12"/>
      <c r="AE2116" s="12"/>
      <c r="AF2116" s="12"/>
      <c r="AG2116" s="44"/>
      <c r="AH2116" s="45"/>
      <c r="AI2116" s="12"/>
      <c r="AJ2116" s="12"/>
      <c r="AK2116" s="12"/>
      <c r="AL2116" s="12"/>
      <c r="AM2116" s="44"/>
      <c r="AN2116" s="45"/>
      <c r="AO2116" s="12"/>
      <c r="AP2116" s="12"/>
      <c r="AQ2116" s="12"/>
      <c r="AR2116" s="12"/>
      <c r="AS2116" s="44"/>
      <c r="AT2116" s="45"/>
      <c r="AU2116" s="12"/>
      <c r="AV2116" s="12"/>
      <c r="AW2116" s="12"/>
      <c r="AX2116" s="12"/>
      <c r="AY2116" s="44"/>
      <c r="AZ2116" s="45"/>
      <c r="BA2116" s="12"/>
      <c r="BB2116" s="12"/>
      <c r="BC2116" s="12"/>
      <c r="BD2116" s="12"/>
      <c r="BE2116" s="44"/>
      <c r="BF2116" s="45"/>
      <c r="BG2116" s="12"/>
      <c r="BH2116" s="12"/>
      <c r="BI2116" s="12"/>
      <c r="BJ2116" s="12"/>
      <c r="BK2116" s="44"/>
      <c r="BL2116" s="45"/>
      <c r="BM2116" s="12"/>
      <c r="BN2116" s="12"/>
      <c r="BO2116" s="12"/>
      <c r="BP2116" s="12"/>
      <c r="BQ2116" s="48"/>
      <c r="BR2116" s="49"/>
      <c r="BS2116" s="13"/>
      <c r="BT2116" s="12"/>
      <c r="BV2116" s="14"/>
      <c r="BW2116" s="50"/>
      <c r="BX2116" s="54"/>
      <c r="BY2116" s="14"/>
      <c r="BZ2116" s="14"/>
      <c r="CA2116" s="14"/>
      <c r="CB2116" s="14"/>
      <c r="CC2116" s="14"/>
      <c r="CD2116" s="14"/>
      <c r="CE2116" s="14"/>
      <c r="CF2116" s="15"/>
      <c r="CG2116" s="14"/>
      <c r="CH2116" s="14"/>
      <c r="CI2116" s="50"/>
      <c r="CJ2116" s="54"/>
      <c r="CK2116" s="14"/>
      <c r="CL2116" s="14"/>
      <c r="CM2116" s="14"/>
      <c r="CN2116" s="14"/>
      <c r="CO2116" s="14"/>
      <c r="CP2116" s="14"/>
      <c r="CQ2116" s="14"/>
      <c r="CR2116" s="14"/>
      <c r="CS2116" s="14"/>
      <c r="CT2116" s="14"/>
      <c r="CU2116" s="16"/>
      <c r="CV2116" s="14"/>
      <c r="CW2116" s="50"/>
      <c r="CX2116" s="17"/>
    </row>
    <row r="2117" spans="4:102" x14ac:dyDescent="0.25">
      <c r="D2117" s="11"/>
      <c r="E2117" s="11"/>
      <c r="F2117" s="11"/>
      <c r="G2117" s="11"/>
      <c r="H2117" s="11"/>
      <c r="I2117" s="11"/>
      <c r="J2117" s="11"/>
      <c r="K2117" s="11"/>
      <c r="L2117" s="11"/>
      <c r="M2117" s="11"/>
      <c r="N2117" s="11"/>
      <c r="O2117" s="11"/>
      <c r="P2117" s="43"/>
      <c r="Q2117" s="11"/>
      <c r="R2117" s="11"/>
      <c r="S2117" s="11"/>
      <c r="T2117" s="11"/>
      <c r="U2117" s="11"/>
      <c r="V2117" s="11"/>
      <c r="W2117" s="11"/>
      <c r="X2117" s="12"/>
      <c r="Y2117" s="12"/>
      <c r="Z2117" s="12"/>
      <c r="AA2117" s="44"/>
      <c r="AB2117" s="45"/>
      <c r="AC2117" s="12"/>
      <c r="AD2117" s="12"/>
      <c r="AE2117" s="12"/>
      <c r="AF2117" s="12"/>
      <c r="AG2117" s="44"/>
      <c r="AH2117" s="45"/>
      <c r="AI2117" s="12"/>
      <c r="AJ2117" s="12"/>
      <c r="AK2117" s="12"/>
      <c r="AL2117" s="12"/>
      <c r="AM2117" s="44"/>
      <c r="AN2117" s="45"/>
      <c r="AO2117" s="12"/>
      <c r="AP2117" s="12"/>
      <c r="AQ2117" s="12"/>
      <c r="AR2117" s="12"/>
      <c r="AS2117" s="44"/>
      <c r="AT2117" s="45"/>
      <c r="AU2117" s="12"/>
      <c r="AV2117" s="12"/>
      <c r="AW2117" s="12"/>
      <c r="AX2117" s="12"/>
      <c r="AY2117" s="44"/>
      <c r="AZ2117" s="45"/>
      <c r="BA2117" s="12"/>
      <c r="BB2117" s="12"/>
      <c r="BC2117" s="12"/>
      <c r="BD2117" s="12"/>
      <c r="BE2117" s="44"/>
      <c r="BF2117" s="45"/>
      <c r="BG2117" s="12"/>
      <c r="BH2117" s="12"/>
      <c r="BI2117" s="12"/>
      <c r="BJ2117" s="12"/>
      <c r="BK2117" s="44"/>
      <c r="BL2117" s="45"/>
      <c r="BM2117" s="12"/>
      <c r="BN2117" s="12"/>
      <c r="BO2117" s="12"/>
      <c r="BP2117" s="12"/>
      <c r="BQ2117" s="48"/>
      <c r="BR2117" s="49"/>
      <c r="BS2117" s="13"/>
      <c r="BT2117" s="12"/>
      <c r="BV2117" s="14"/>
      <c r="BW2117" s="50"/>
      <c r="BX2117" s="54"/>
      <c r="BY2117" s="14"/>
      <c r="BZ2117" s="14"/>
      <c r="CA2117" s="14"/>
      <c r="CB2117" s="14"/>
      <c r="CC2117" s="14"/>
      <c r="CD2117" s="14"/>
      <c r="CE2117" s="14"/>
      <c r="CF2117" s="15"/>
      <c r="CG2117" s="14"/>
      <c r="CH2117" s="14"/>
      <c r="CI2117" s="50"/>
      <c r="CJ2117" s="54"/>
      <c r="CK2117" s="14"/>
      <c r="CL2117" s="14"/>
      <c r="CM2117" s="14"/>
      <c r="CN2117" s="14"/>
      <c r="CO2117" s="14"/>
      <c r="CP2117" s="14"/>
      <c r="CQ2117" s="14"/>
      <c r="CR2117" s="14"/>
      <c r="CS2117" s="14"/>
      <c r="CT2117" s="14"/>
      <c r="CU2117" s="16"/>
      <c r="CV2117" s="14"/>
      <c r="CW2117" s="50"/>
      <c r="CX2117" s="17"/>
    </row>
    <row r="2118" spans="4:102" x14ac:dyDescent="0.25">
      <c r="D2118" s="11"/>
      <c r="E2118" s="11"/>
      <c r="F2118" s="11"/>
      <c r="G2118" s="11"/>
      <c r="H2118" s="11"/>
      <c r="I2118" s="11"/>
      <c r="J2118" s="11"/>
      <c r="K2118" s="11"/>
      <c r="L2118" s="11"/>
      <c r="M2118" s="11"/>
      <c r="N2118" s="11"/>
      <c r="O2118" s="11"/>
      <c r="P2118" s="43"/>
      <c r="Q2118" s="11"/>
      <c r="R2118" s="11"/>
      <c r="S2118" s="11"/>
      <c r="T2118" s="11"/>
      <c r="U2118" s="11"/>
      <c r="V2118" s="11"/>
      <c r="W2118" s="11"/>
      <c r="X2118" s="12"/>
      <c r="Y2118" s="12"/>
      <c r="Z2118" s="12"/>
      <c r="AA2118" s="44"/>
      <c r="AB2118" s="45"/>
      <c r="AC2118" s="12"/>
      <c r="AD2118" s="12"/>
      <c r="AE2118" s="12"/>
      <c r="AF2118" s="12"/>
      <c r="AG2118" s="44"/>
      <c r="AH2118" s="45"/>
      <c r="AI2118" s="12"/>
      <c r="AJ2118" s="12"/>
      <c r="AK2118" s="12"/>
      <c r="AL2118" s="12"/>
      <c r="AM2118" s="44"/>
      <c r="AN2118" s="45"/>
      <c r="AO2118" s="12"/>
      <c r="AP2118" s="12"/>
      <c r="AQ2118" s="12"/>
      <c r="AR2118" s="12"/>
      <c r="AS2118" s="44"/>
      <c r="AT2118" s="45"/>
      <c r="AU2118" s="12"/>
      <c r="AV2118" s="12"/>
      <c r="AW2118" s="12"/>
      <c r="AX2118" s="12"/>
      <c r="AY2118" s="44"/>
      <c r="AZ2118" s="45"/>
      <c r="BA2118" s="12"/>
      <c r="BB2118" s="12"/>
      <c r="BC2118" s="12"/>
      <c r="BD2118" s="12"/>
      <c r="BE2118" s="44"/>
      <c r="BF2118" s="45"/>
      <c r="BG2118" s="12"/>
      <c r="BH2118" s="12"/>
      <c r="BI2118" s="12"/>
      <c r="BJ2118" s="12"/>
      <c r="BK2118" s="44"/>
      <c r="BL2118" s="45"/>
      <c r="BM2118" s="12"/>
      <c r="BN2118" s="12"/>
      <c r="BO2118" s="12"/>
      <c r="BP2118" s="12"/>
      <c r="BQ2118" s="48"/>
      <c r="BR2118" s="49"/>
      <c r="BS2118" s="13"/>
      <c r="BT2118" s="12"/>
      <c r="BV2118" s="14"/>
      <c r="BW2118" s="50"/>
      <c r="BX2118" s="54"/>
      <c r="BY2118" s="14"/>
      <c r="BZ2118" s="14"/>
      <c r="CA2118" s="14"/>
      <c r="CB2118" s="14"/>
      <c r="CC2118" s="14"/>
      <c r="CD2118" s="14"/>
      <c r="CE2118" s="14"/>
      <c r="CF2118" s="15"/>
      <c r="CG2118" s="14"/>
      <c r="CH2118" s="14"/>
      <c r="CI2118" s="50"/>
      <c r="CJ2118" s="54"/>
      <c r="CK2118" s="14"/>
      <c r="CL2118" s="14"/>
      <c r="CM2118" s="14"/>
      <c r="CN2118" s="14"/>
      <c r="CO2118" s="14"/>
      <c r="CP2118" s="14"/>
      <c r="CQ2118" s="14"/>
      <c r="CR2118" s="14"/>
      <c r="CS2118" s="14"/>
      <c r="CT2118" s="14"/>
      <c r="CU2118" s="16"/>
      <c r="CV2118" s="14"/>
      <c r="CW2118" s="50"/>
      <c r="CX2118" s="17"/>
    </row>
    <row r="2119" spans="4:102" x14ac:dyDescent="0.25">
      <c r="D2119" s="11"/>
      <c r="E2119" s="11"/>
      <c r="F2119" s="11"/>
      <c r="G2119" s="11"/>
      <c r="H2119" s="11"/>
      <c r="I2119" s="11"/>
      <c r="J2119" s="11"/>
      <c r="K2119" s="11"/>
      <c r="L2119" s="11"/>
      <c r="M2119" s="11"/>
      <c r="N2119" s="11"/>
      <c r="O2119" s="11"/>
      <c r="P2119" s="43"/>
      <c r="Q2119" s="11"/>
      <c r="R2119" s="11"/>
      <c r="S2119" s="11"/>
      <c r="T2119" s="11"/>
      <c r="U2119" s="11"/>
      <c r="V2119" s="11"/>
      <c r="W2119" s="11"/>
      <c r="X2119" s="12"/>
      <c r="Y2119" s="12"/>
      <c r="Z2119" s="12"/>
      <c r="AA2119" s="44"/>
      <c r="AB2119" s="45"/>
      <c r="AC2119" s="12"/>
      <c r="AD2119" s="12"/>
      <c r="AE2119" s="12"/>
      <c r="AF2119" s="12"/>
      <c r="AG2119" s="44"/>
      <c r="AH2119" s="45"/>
      <c r="AI2119" s="12"/>
      <c r="AJ2119" s="12"/>
      <c r="AK2119" s="12"/>
      <c r="AL2119" s="12"/>
      <c r="AM2119" s="44"/>
      <c r="AN2119" s="45"/>
      <c r="AO2119" s="12"/>
      <c r="AP2119" s="12"/>
      <c r="AQ2119" s="12"/>
      <c r="AR2119" s="12"/>
      <c r="AS2119" s="44"/>
      <c r="AT2119" s="45"/>
      <c r="AU2119" s="12"/>
      <c r="AV2119" s="12"/>
      <c r="AW2119" s="12"/>
      <c r="AX2119" s="12"/>
      <c r="AY2119" s="44"/>
      <c r="AZ2119" s="45"/>
      <c r="BA2119" s="12"/>
      <c r="BB2119" s="12"/>
      <c r="BC2119" s="12"/>
      <c r="BD2119" s="12"/>
      <c r="BE2119" s="44"/>
      <c r="BF2119" s="45"/>
      <c r="BG2119" s="12"/>
      <c r="BH2119" s="12"/>
      <c r="BI2119" s="12"/>
      <c r="BJ2119" s="12"/>
      <c r="BK2119" s="44"/>
      <c r="BL2119" s="45"/>
      <c r="BM2119" s="12"/>
      <c r="BN2119" s="12"/>
      <c r="BO2119" s="12"/>
      <c r="BP2119" s="12"/>
      <c r="BQ2119" s="48"/>
      <c r="BR2119" s="49"/>
      <c r="BS2119" s="13"/>
      <c r="BT2119" s="12"/>
      <c r="BV2119" s="14"/>
      <c r="BW2119" s="50"/>
      <c r="BX2119" s="54"/>
      <c r="BY2119" s="14"/>
      <c r="BZ2119" s="14"/>
      <c r="CA2119" s="14"/>
      <c r="CB2119" s="14"/>
      <c r="CC2119" s="14"/>
      <c r="CD2119" s="14"/>
      <c r="CE2119" s="14"/>
      <c r="CF2119" s="15"/>
      <c r="CG2119" s="14"/>
      <c r="CH2119" s="14"/>
      <c r="CI2119" s="50"/>
      <c r="CJ2119" s="54"/>
      <c r="CK2119" s="14"/>
      <c r="CL2119" s="14"/>
      <c r="CM2119" s="14"/>
      <c r="CN2119" s="14"/>
      <c r="CO2119" s="14"/>
      <c r="CP2119" s="14"/>
      <c r="CQ2119" s="14"/>
      <c r="CR2119" s="14"/>
      <c r="CS2119" s="14"/>
      <c r="CT2119" s="14"/>
      <c r="CU2119" s="16"/>
      <c r="CV2119" s="14"/>
      <c r="CW2119" s="50"/>
      <c r="CX2119" s="17"/>
    </row>
    <row r="2120" spans="4:102" x14ac:dyDescent="0.25">
      <c r="D2120" s="11"/>
      <c r="E2120" s="11"/>
      <c r="F2120" s="11"/>
      <c r="G2120" s="11"/>
      <c r="H2120" s="11"/>
      <c r="I2120" s="11"/>
      <c r="J2120" s="11"/>
      <c r="K2120" s="11"/>
      <c r="L2120" s="11"/>
      <c r="M2120" s="11"/>
      <c r="N2120" s="11"/>
      <c r="O2120" s="11"/>
      <c r="P2120" s="43"/>
      <c r="Q2120" s="11"/>
      <c r="R2120" s="11"/>
      <c r="S2120" s="11"/>
      <c r="T2120" s="11"/>
      <c r="U2120" s="11"/>
      <c r="V2120" s="11"/>
      <c r="W2120" s="11"/>
      <c r="X2120" s="12"/>
      <c r="Y2120" s="12"/>
      <c r="Z2120" s="12"/>
      <c r="AA2120" s="44"/>
      <c r="AB2120" s="45"/>
      <c r="AC2120" s="12"/>
      <c r="AD2120" s="12"/>
      <c r="AE2120" s="12"/>
      <c r="AF2120" s="12"/>
      <c r="AG2120" s="44"/>
      <c r="AH2120" s="45"/>
      <c r="AI2120" s="12"/>
      <c r="AJ2120" s="12"/>
      <c r="AK2120" s="12"/>
      <c r="AL2120" s="12"/>
      <c r="AM2120" s="44"/>
      <c r="AN2120" s="45"/>
      <c r="AO2120" s="12"/>
      <c r="AP2120" s="12"/>
      <c r="AQ2120" s="12"/>
      <c r="AR2120" s="12"/>
      <c r="AS2120" s="44"/>
      <c r="AT2120" s="45"/>
      <c r="AU2120" s="12"/>
      <c r="AV2120" s="12"/>
      <c r="AW2120" s="12"/>
      <c r="AX2120" s="12"/>
      <c r="AY2120" s="44"/>
      <c r="AZ2120" s="45"/>
      <c r="BA2120" s="12"/>
      <c r="BB2120" s="12"/>
      <c r="BC2120" s="12"/>
      <c r="BD2120" s="12"/>
      <c r="BE2120" s="44"/>
      <c r="BF2120" s="45"/>
      <c r="BG2120" s="12"/>
      <c r="BH2120" s="12"/>
      <c r="BI2120" s="12"/>
      <c r="BJ2120" s="12"/>
      <c r="BK2120" s="44"/>
      <c r="BL2120" s="45"/>
      <c r="BM2120" s="12"/>
      <c r="BN2120" s="12"/>
      <c r="BO2120" s="12"/>
      <c r="BP2120" s="12"/>
      <c r="BQ2120" s="48"/>
      <c r="BR2120" s="49"/>
      <c r="BS2120" s="13"/>
      <c r="BT2120" s="12"/>
      <c r="BV2120" s="14"/>
      <c r="BW2120" s="50"/>
      <c r="BX2120" s="54"/>
      <c r="BY2120" s="14"/>
      <c r="BZ2120" s="14"/>
      <c r="CA2120" s="14"/>
      <c r="CB2120" s="14"/>
      <c r="CC2120" s="14"/>
      <c r="CD2120" s="14"/>
      <c r="CE2120" s="14"/>
      <c r="CF2120" s="15"/>
      <c r="CG2120" s="14"/>
      <c r="CH2120" s="14"/>
      <c r="CI2120" s="50"/>
      <c r="CJ2120" s="54"/>
      <c r="CK2120" s="14"/>
      <c r="CL2120" s="14"/>
      <c r="CM2120" s="14"/>
      <c r="CN2120" s="14"/>
      <c r="CO2120" s="14"/>
      <c r="CP2120" s="14"/>
      <c r="CQ2120" s="14"/>
      <c r="CR2120" s="14"/>
      <c r="CS2120" s="14"/>
      <c r="CT2120" s="14"/>
      <c r="CU2120" s="16"/>
      <c r="CV2120" s="14"/>
      <c r="CW2120" s="50"/>
      <c r="CX2120" s="17"/>
    </row>
    <row r="2121" spans="4:102" x14ac:dyDescent="0.25">
      <c r="D2121" s="11"/>
      <c r="E2121" s="11"/>
      <c r="F2121" s="11"/>
      <c r="G2121" s="11"/>
      <c r="H2121" s="11"/>
      <c r="I2121" s="11"/>
      <c r="J2121" s="11"/>
      <c r="K2121" s="11"/>
      <c r="L2121" s="11"/>
      <c r="M2121" s="11"/>
      <c r="N2121" s="11"/>
      <c r="O2121" s="11"/>
      <c r="P2121" s="43"/>
      <c r="Q2121" s="11"/>
      <c r="R2121" s="11"/>
      <c r="S2121" s="11"/>
      <c r="T2121" s="11"/>
      <c r="U2121" s="11"/>
      <c r="V2121" s="11"/>
      <c r="W2121" s="11"/>
      <c r="X2121" s="12"/>
      <c r="Y2121" s="12"/>
      <c r="Z2121" s="12"/>
      <c r="AA2121" s="44"/>
      <c r="AB2121" s="45"/>
      <c r="AC2121" s="12"/>
      <c r="AD2121" s="12"/>
      <c r="AE2121" s="12"/>
      <c r="AF2121" s="12"/>
      <c r="AG2121" s="44"/>
      <c r="AH2121" s="45"/>
      <c r="AI2121" s="12"/>
      <c r="AJ2121" s="12"/>
      <c r="AK2121" s="12"/>
      <c r="AL2121" s="12"/>
      <c r="AM2121" s="44"/>
      <c r="AN2121" s="45"/>
      <c r="AO2121" s="12"/>
      <c r="AP2121" s="12"/>
      <c r="AQ2121" s="12"/>
      <c r="AR2121" s="12"/>
      <c r="AS2121" s="44"/>
      <c r="AT2121" s="45"/>
      <c r="AU2121" s="12"/>
      <c r="AV2121" s="12"/>
      <c r="AW2121" s="12"/>
      <c r="AX2121" s="12"/>
      <c r="AY2121" s="44"/>
      <c r="AZ2121" s="45"/>
      <c r="BA2121" s="12"/>
      <c r="BB2121" s="12"/>
      <c r="BC2121" s="12"/>
      <c r="BD2121" s="12"/>
      <c r="BE2121" s="44"/>
      <c r="BF2121" s="45"/>
      <c r="BG2121" s="12"/>
      <c r="BH2121" s="12"/>
      <c r="BI2121" s="12"/>
      <c r="BJ2121" s="12"/>
      <c r="BK2121" s="44"/>
      <c r="BL2121" s="45"/>
      <c r="BM2121" s="12"/>
      <c r="BN2121" s="12"/>
      <c r="BO2121" s="12"/>
      <c r="BP2121" s="12"/>
      <c r="BQ2121" s="48"/>
      <c r="BR2121" s="49"/>
      <c r="BS2121" s="13"/>
      <c r="BT2121" s="12"/>
      <c r="BV2121" s="14"/>
      <c r="BW2121" s="50"/>
      <c r="BX2121" s="54"/>
      <c r="BY2121" s="14"/>
      <c r="BZ2121" s="14"/>
      <c r="CA2121" s="14"/>
      <c r="CB2121" s="14"/>
      <c r="CC2121" s="14"/>
      <c r="CD2121" s="14"/>
      <c r="CE2121" s="14"/>
      <c r="CF2121" s="15"/>
      <c r="CG2121" s="14"/>
      <c r="CH2121" s="14"/>
      <c r="CI2121" s="50"/>
      <c r="CJ2121" s="54"/>
      <c r="CK2121" s="14"/>
      <c r="CL2121" s="14"/>
      <c r="CM2121" s="14"/>
      <c r="CN2121" s="14"/>
      <c r="CO2121" s="14"/>
      <c r="CP2121" s="14"/>
      <c r="CQ2121" s="14"/>
      <c r="CR2121" s="14"/>
      <c r="CS2121" s="14"/>
      <c r="CT2121" s="14"/>
      <c r="CU2121" s="16"/>
      <c r="CV2121" s="14"/>
      <c r="CW2121" s="50"/>
      <c r="CX2121" s="17"/>
    </row>
    <row r="2122" spans="4:102" x14ac:dyDescent="0.25">
      <c r="D2122" s="11"/>
      <c r="E2122" s="11"/>
      <c r="F2122" s="11"/>
      <c r="G2122" s="11"/>
      <c r="H2122" s="11"/>
      <c r="I2122" s="11"/>
      <c r="J2122" s="11"/>
      <c r="K2122" s="11"/>
      <c r="L2122" s="11"/>
      <c r="M2122" s="11"/>
      <c r="N2122" s="11"/>
      <c r="O2122" s="11"/>
      <c r="P2122" s="43"/>
      <c r="Q2122" s="11"/>
      <c r="R2122" s="11"/>
      <c r="S2122" s="11"/>
      <c r="T2122" s="11"/>
      <c r="U2122" s="11"/>
      <c r="V2122" s="11"/>
      <c r="W2122" s="11"/>
      <c r="X2122" s="12"/>
      <c r="Y2122" s="12"/>
      <c r="Z2122" s="12"/>
      <c r="AA2122" s="44"/>
      <c r="AB2122" s="45"/>
      <c r="AC2122" s="12"/>
      <c r="AD2122" s="12"/>
      <c r="AE2122" s="12"/>
      <c r="AF2122" s="12"/>
      <c r="AG2122" s="44"/>
      <c r="AH2122" s="45"/>
      <c r="AI2122" s="12"/>
      <c r="AJ2122" s="12"/>
      <c r="AK2122" s="12"/>
      <c r="AL2122" s="12"/>
      <c r="AM2122" s="44"/>
      <c r="AN2122" s="45"/>
      <c r="AO2122" s="12"/>
      <c r="AP2122" s="12"/>
      <c r="AQ2122" s="12"/>
      <c r="AR2122" s="12"/>
      <c r="AS2122" s="44"/>
      <c r="AT2122" s="45"/>
      <c r="AU2122" s="12"/>
      <c r="AV2122" s="12"/>
      <c r="AW2122" s="12"/>
      <c r="AX2122" s="12"/>
      <c r="AY2122" s="44"/>
      <c r="AZ2122" s="45"/>
      <c r="BA2122" s="12"/>
      <c r="BB2122" s="12"/>
      <c r="BC2122" s="12"/>
      <c r="BD2122" s="12"/>
      <c r="BE2122" s="44"/>
      <c r="BF2122" s="45"/>
      <c r="BG2122" s="12"/>
      <c r="BH2122" s="12"/>
      <c r="BI2122" s="12"/>
      <c r="BJ2122" s="12"/>
      <c r="BK2122" s="44"/>
      <c r="BL2122" s="45"/>
      <c r="BM2122" s="12"/>
      <c r="BN2122" s="12"/>
      <c r="BO2122" s="12"/>
      <c r="BP2122" s="12"/>
      <c r="BQ2122" s="48"/>
      <c r="BR2122" s="49"/>
      <c r="BS2122" s="13"/>
      <c r="BT2122" s="12"/>
      <c r="BV2122" s="14"/>
      <c r="BW2122" s="50"/>
      <c r="BX2122" s="54"/>
      <c r="BY2122" s="14"/>
      <c r="BZ2122" s="14"/>
      <c r="CA2122" s="14"/>
      <c r="CB2122" s="14"/>
      <c r="CC2122" s="14"/>
      <c r="CD2122" s="14"/>
      <c r="CE2122" s="14"/>
      <c r="CF2122" s="15"/>
      <c r="CG2122" s="14"/>
      <c r="CH2122" s="14"/>
      <c r="CI2122" s="50"/>
      <c r="CJ2122" s="54"/>
      <c r="CK2122" s="14"/>
      <c r="CL2122" s="14"/>
      <c r="CM2122" s="14"/>
      <c r="CN2122" s="14"/>
      <c r="CO2122" s="14"/>
      <c r="CP2122" s="14"/>
      <c r="CQ2122" s="14"/>
      <c r="CR2122" s="14"/>
      <c r="CS2122" s="14"/>
      <c r="CT2122" s="14"/>
      <c r="CU2122" s="16"/>
      <c r="CV2122" s="14"/>
      <c r="CW2122" s="50"/>
      <c r="CX2122" s="17"/>
    </row>
    <row r="2123" spans="4:102" x14ac:dyDescent="0.25">
      <c r="D2123" s="11"/>
      <c r="E2123" s="11"/>
      <c r="F2123" s="11"/>
      <c r="G2123" s="11"/>
      <c r="H2123" s="11"/>
      <c r="I2123" s="11"/>
      <c r="J2123" s="11"/>
      <c r="K2123" s="11"/>
      <c r="L2123" s="11"/>
      <c r="M2123" s="11"/>
      <c r="N2123" s="11"/>
      <c r="O2123" s="11"/>
      <c r="P2123" s="43"/>
      <c r="Q2123" s="11"/>
      <c r="R2123" s="11"/>
      <c r="S2123" s="11"/>
      <c r="T2123" s="11"/>
      <c r="U2123" s="11"/>
      <c r="V2123" s="11"/>
      <c r="W2123" s="11"/>
      <c r="X2123" s="12"/>
      <c r="Y2123" s="12"/>
      <c r="Z2123" s="12"/>
      <c r="AA2123" s="44"/>
      <c r="AB2123" s="45"/>
      <c r="AC2123" s="12"/>
      <c r="AD2123" s="12"/>
      <c r="AE2123" s="12"/>
      <c r="AF2123" s="12"/>
      <c r="AG2123" s="44"/>
      <c r="AH2123" s="45"/>
      <c r="AI2123" s="12"/>
      <c r="AJ2123" s="12"/>
      <c r="AK2123" s="12"/>
      <c r="AL2123" s="12"/>
      <c r="AM2123" s="44"/>
      <c r="AN2123" s="45"/>
      <c r="AO2123" s="12"/>
      <c r="AP2123" s="12"/>
      <c r="AQ2123" s="12"/>
      <c r="AR2123" s="12"/>
      <c r="AS2123" s="44"/>
      <c r="AT2123" s="45"/>
      <c r="AU2123" s="12"/>
      <c r="AV2123" s="12"/>
      <c r="AW2123" s="12"/>
      <c r="AX2123" s="12"/>
      <c r="AY2123" s="44"/>
      <c r="AZ2123" s="45"/>
      <c r="BA2123" s="12"/>
      <c r="BB2123" s="12"/>
      <c r="BC2123" s="12"/>
      <c r="BD2123" s="12"/>
      <c r="BE2123" s="44"/>
      <c r="BF2123" s="45"/>
      <c r="BG2123" s="12"/>
      <c r="BH2123" s="12"/>
      <c r="BI2123" s="12"/>
      <c r="BJ2123" s="12"/>
      <c r="BK2123" s="44"/>
      <c r="BL2123" s="45"/>
      <c r="BM2123" s="12"/>
      <c r="BN2123" s="12"/>
      <c r="BO2123" s="12"/>
      <c r="BP2123" s="12"/>
      <c r="BQ2123" s="48"/>
      <c r="BR2123" s="49"/>
      <c r="BS2123" s="13"/>
      <c r="BT2123" s="12"/>
      <c r="BV2123" s="14"/>
      <c r="BW2123" s="50"/>
      <c r="BX2123" s="54"/>
      <c r="BY2123" s="14"/>
      <c r="BZ2123" s="14"/>
      <c r="CA2123" s="14"/>
      <c r="CB2123" s="14"/>
      <c r="CC2123" s="14"/>
      <c r="CD2123" s="14"/>
      <c r="CE2123" s="14"/>
      <c r="CF2123" s="15"/>
      <c r="CG2123" s="14"/>
      <c r="CH2123" s="14"/>
      <c r="CI2123" s="50"/>
      <c r="CJ2123" s="54"/>
      <c r="CK2123" s="14"/>
      <c r="CL2123" s="14"/>
      <c r="CM2123" s="14"/>
      <c r="CN2123" s="14"/>
      <c r="CO2123" s="14"/>
      <c r="CP2123" s="14"/>
      <c r="CQ2123" s="14"/>
      <c r="CR2123" s="14"/>
      <c r="CS2123" s="14"/>
      <c r="CT2123" s="14"/>
      <c r="CU2123" s="16"/>
      <c r="CV2123" s="14"/>
      <c r="CW2123" s="50"/>
      <c r="CX2123" s="17"/>
    </row>
    <row r="2124" spans="4:102" x14ac:dyDescent="0.25">
      <c r="D2124" s="11"/>
      <c r="E2124" s="11"/>
      <c r="F2124" s="11"/>
      <c r="G2124" s="11"/>
      <c r="H2124" s="11"/>
      <c r="I2124" s="11"/>
      <c r="J2124" s="11"/>
      <c r="K2124" s="11"/>
      <c r="L2124" s="11"/>
      <c r="M2124" s="11"/>
      <c r="N2124" s="11"/>
      <c r="O2124" s="11"/>
      <c r="P2124" s="43"/>
      <c r="Q2124" s="11"/>
      <c r="R2124" s="11"/>
      <c r="S2124" s="11"/>
      <c r="T2124" s="11"/>
      <c r="U2124" s="11"/>
      <c r="V2124" s="11"/>
      <c r="W2124" s="11"/>
      <c r="X2124" s="12"/>
      <c r="Y2124" s="12"/>
      <c r="Z2124" s="12"/>
      <c r="AA2124" s="44"/>
      <c r="AB2124" s="45"/>
      <c r="AC2124" s="12"/>
      <c r="AD2124" s="12"/>
      <c r="AE2124" s="12"/>
      <c r="AF2124" s="12"/>
      <c r="AG2124" s="44"/>
      <c r="AH2124" s="45"/>
      <c r="AI2124" s="12"/>
      <c r="AJ2124" s="12"/>
      <c r="AK2124" s="12"/>
      <c r="AL2124" s="12"/>
      <c r="AM2124" s="44"/>
      <c r="AN2124" s="45"/>
      <c r="AO2124" s="12"/>
      <c r="AP2124" s="12"/>
      <c r="AQ2124" s="12"/>
      <c r="AR2124" s="12"/>
      <c r="AS2124" s="44"/>
      <c r="AT2124" s="45"/>
      <c r="AU2124" s="12"/>
      <c r="AV2124" s="12"/>
      <c r="AW2124" s="12"/>
      <c r="AX2124" s="12"/>
      <c r="AY2124" s="44"/>
      <c r="AZ2124" s="45"/>
      <c r="BA2124" s="12"/>
      <c r="BB2124" s="12"/>
      <c r="BC2124" s="12"/>
      <c r="BD2124" s="12"/>
      <c r="BE2124" s="44"/>
      <c r="BF2124" s="45"/>
      <c r="BG2124" s="12"/>
      <c r="BH2124" s="12"/>
      <c r="BI2124" s="12"/>
      <c r="BJ2124" s="12"/>
      <c r="BK2124" s="44"/>
      <c r="BL2124" s="45"/>
      <c r="BM2124" s="12"/>
      <c r="BN2124" s="12"/>
      <c r="BO2124" s="12"/>
      <c r="BP2124" s="12"/>
      <c r="BQ2124" s="48"/>
      <c r="BR2124" s="49"/>
      <c r="BS2124" s="13"/>
      <c r="BT2124" s="12"/>
      <c r="BV2124" s="14"/>
      <c r="BW2124" s="50"/>
      <c r="BX2124" s="54"/>
      <c r="BY2124" s="14"/>
      <c r="BZ2124" s="14"/>
      <c r="CA2124" s="14"/>
      <c r="CB2124" s="14"/>
      <c r="CC2124" s="14"/>
      <c r="CD2124" s="14"/>
      <c r="CE2124" s="14"/>
      <c r="CF2124" s="15"/>
      <c r="CG2124" s="14"/>
      <c r="CH2124" s="14"/>
      <c r="CI2124" s="50"/>
      <c r="CJ2124" s="54"/>
      <c r="CK2124" s="14"/>
      <c r="CL2124" s="14"/>
      <c r="CM2124" s="14"/>
      <c r="CN2124" s="14"/>
      <c r="CO2124" s="14"/>
      <c r="CP2124" s="14"/>
      <c r="CQ2124" s="14"/>
      <c r="CR2124" s="14"/>
      <c r="CS2124" s="14"/>
      <c r="CT2124" s="14"/>
      <c r="CU2124" s="16"/>
      <c r="CV2124" s="14"/>
      <c r="CW2124" s="50"/>
      <c r="CX2124" s="17"/>
    </row>
    <row r="2125" spans="4:102" x14ac:dyDescent="0.25">
      <c r="D2125" s="11"/>
      <c r="E2125" s="11"/>
      <c r="F2125" s="11"/>
      <c r="G2125" s="11"/>
      <c r="H2125" s="11"/>
      <c r="I2125" s="11"/>
      <c r="J2125" s="11"/>
      <c r="K2125" s="11"/>
      <c r="L2125" s="11"/>
      <c r="M2125" s="11"/>
      <c r="N2125" s="11"/>
      <c r="O2125" s="11"/>
      <c r="P2125" s="43"/>
      <c r="Q2125" s="11"/>
      <c r="R2125" s="11"/>
      <c r="S2125" s="11"/>
      <c r="T2125" s="11"/>
      <c r="U2125" s="11"/>
      <c r="V2125" s="11"/>
      <c r="W2125" s="11"/>
      <c r="X2125" s="12"/>
      <c r="Y2125" s="12"/>
      <c r="Z2125" s="12"/>
      <c r="AA2125" s="44"/>
      <c r="AB2125" s="45"/>
      <c r="AC2125" s="12"/>
      <c r="AD2125" s="12"/>
      <c r="AE2125" s="12"/>
      <c r="AF2125" s="12"/>
      <c r="AG2125" s="44"/>
      <c r="AH2125" s="45"/>
      <c r="AI2125" s="12"/>
      <c r="AJ2125" s="12"/>
      <c r="AK2125" s="12"/>
      <c r="AL2125" s="12"/>
      <c r="AM2125" s="44"/>
      <c r="AN2125" s="45"/>
      <c r="AO2125" s="12"/>
      <c r="AP2125" s="12"/>
      <c r="AQ2125" s="12"/>
      <c r="AR2125" s="12"/>
      <c r="AS2125" s="44"/>
      <c r="AT2125" s="45"/>
      <c r="AU2125" s="12"/>
      <c r="AV2125" s="12"/>
      <c r="AW2125" s="12"/>
      <c r="AX2125" s="12"/>
      <c r="AY2125" s="44"/>
      <c r="AZ2125" s="45"/>
      <c r="BA2125" s="12"/>
      <c r="BB2125" s="12"/>
      <c r="BC2125" s="12"/>
      <c r="BD2125" s="12"/>
      <c r="BE2125" s="44"/>
      <c r="BF2125" s="45"/>
      <c r="BG2125" s="12"/>
      <c r="BH2125" s="12"/>
      <c r="BI2125" s="12"/>
      <c r="BJ2125" s="12"/>
      <c r="BK2125" s="44"/>
      <c r="BL2125" s="45"/>
      <c r="BM2125" s="12"/>
      <c r="BN2125" s="12"/>
      <c r="BO2125" s="12"/>
      <c r="BP2125" s="12"/>
      <c r="BQ2125" s="48"/>
      <c r="BR2125" s="49"/>
      <c r="BS2125" s="13"/>
      <c r="BT2125" s="12"/>
      <c r="BV2125" s="14"/>
      <c r="BW2125" s="50"/>
      <c r="BX2125" s="54"/>
      <c r="BY2125" s="14"/>
      <c r="BZ2125" s="14"/>
      <c r="CA2125" s="14"/>
      <c r="CB2125" s="14"/>
      <c r="CC2125" s="14"/>
      <c r="CD2125" s="14"/>
      <c r="CE2125" s="14"/>
      <c r="CF2125" s="15"/>
      <c r="CG2125" s="14"/>
      <c r="CH2125" s="14"/>
      <c r="CI2125" s="50"/>
      <c r="CJ2125" s="54"/>
      <c r="CK2125" s="14"/>
      <c r="CL2125" s="14"/>
      <c r="CM2125" s="14"/>
      <c r="CN2125" s="14"/>
      <c r="CO2125" s="14"/>
      <c r="CP2125" s="14"/>
      <c r="CQ2125" s="14"/>
      <c r="CR2125" s="14"/>
      <c r="CS2125" s="14"/>
      <c r="CT2125" s="14"/>
      <c r="CU2125" s="16"/>
      <c r="CV2125" s="14"/>
      <c r="CW2125" s="50"/>
      <c r="CX2125" s="17"/>
    </row>
    <row r="2126" spans="4:102" x14ac:dyDescent="0.25">
      <c r="D2126" s="11"/>
      <c r="E2126" s="11"/>
      <c r="F2126" s="11"/>
      <c r="G2126" s="11"/>
      <c r="H2126" s="11"/>
      <c r="I2126" s="11"/>
      <c r="J2126" s="11"/>
      <c r="K2126" s="11"/>
      <c r="L2126" s="11"/>
      <c r="M2126" s="11"/>
      <c r="N2126" s="11"/>
      <c r="O2126" s="11"/>
      <c r="P2126" s="43"/>
      <c r="Q2126" s="11"/>
      <c r="R2126" s="11"/>
      <c r="S2126" s="11"/>
      <c r="T2126" s="11"/>
      <c r="U2126" s="11"/>
      <c r="V2126" s="11"/>
      <c r="W2126" s="11"/>
      <c r="X2126" s="12"/>
      <c r="Y2126" s="12"/>
      <c r="Z2126" s="12"/>
      <c r="AA2126" s="44"/>
      <c r="AB2126" s="45"/>
      <c r="AC2126" s="12"/>
      <c r="AD2126" s="12"/>
      <c r="AE2126" s="12"/>
      <c r="AF2126" s="12"/>
      <c r="AG2126" s="44"/>
      <c r="AH2126" s="45"/>
      <c r="AI2126" s="12"/>
      <c r="AJ2126" s="12"/>
      <c r="AK2126" s="12"/>
      <c r="AL2126" s="12"/>
      <c r="AM2126" s="44"/>
      <c r="AN2126" s="45"/>
      <c r="AO2126" s="12"/>
      <c r="AP2126" s="12"/>
      <c r="AQ2126" s="12"/>
      <c r="AR2126" s="12"/>
      <c r="AS2126" s="44"/>
      <c r="AT2126" s="45"/>
      <c r="AU2126" s="12"/>
      <c r="AV2126" s="12"/>
      <c r="AW2126" s="12"/>
      <c r="AX2126" s="12"/>
      <c r="AY2126" s="44"/>
      <c r="AZ2126" s="45"/>
      <c r="BA2126" s="12"/>
      <c r="BB2126" s="12"/>
      <c r="BC2126" s="12"/>
      <c r="BD2126" s="12"/>
      <c r="BE2126" s="44"/>
      <c r="BF2126" s="45"/>
      <c r="BG2126" s="12"/>
      <c r="BH2126" s="12"/>
      <c r="BI2126" s="12"/>
      <c r="BJ2126" s="12"/>
      <c r="BK2126" s="44"/>
      <c r="BL2126" s="45"/>
      <c r="BM2126" s="12"/>
      <c r="BN2126" s="12"/>
      <c r="BO2126" s="12"/>
      <c r="BP2126" s="12"/>
      <c r="BQ2126" s="48"/>
      <c r="BR2126" s="49"/>
      <c r="BS2126" s="13"/>
      <c r="BT2126" s="12"/>
      <c r="BV2126" s="14"/>
      <c r="BW2126" s="50"/>
      <c r="BX2126" s="54"/>
      <c r="BY2126" s="14"/>
      <c r="BZ2126" s="14"/>
      <c r="CA2126" s="14"/>
      <c r="CB2126" s="14"/>
      <c r="CC2126" s="14"/>
      <c r="CD2126" s="14"/>
      <c r="CE2126" s="14"/>
      <c r="CF2126" s="15"/>
      <c r="CG2126" s="14"/>
      <c r="CH2126" s="14"/>
      <c r="CI2126" s="50"/>
      <c r="CJ2126" s="54"/>
      <c r="CK2126" s="14"/>
      <c r="CL2126" s="14"/>
      <c r="CM2126" s="14"/>
      <c r="CN2126" s="14"/>
      <c r="CO2126" s="14"/>
      <c r="CP2126" s="14"/>
      <c r="CQ2126" s="14"/>
      <c r="CR2126" s="14"/>
      <c r="CS2126" s="14"/>
      <c r="CT2126" s="14"/>
      <c r="CU2126" s="16"/>
      <c r="CV2126" s="14"/>
      <c r="CW2126" s="50"/>
      <c r="CX2126" s="17"/>
    </row>
    <row r="2127" spans="4:102" x14ac:dyDescent="0.25">
      <c r="D2127" s="11"/>
      <c r="E2127" s="11"/>
      <c r="F2127" s="11"/>
      <c r="G2127" s="11"/>
      <c r="H2127" s="11"/>
      <c r="I2127" s="11"/>
      <c r="J2127" s="11"/>
      <c r="K2127" s="11"/>
      <c r="L2127" s="11"/>
      <c r="M2127" s="11"/>
      <c r="N2127" s="11"/>
      <c r="O2127" s="11"/>
      <c r="P2127" s="43"/>
      <c r="Q2127" s="11"/>
      <c r="R2127" s="11"/>
      <c r="S2127" s="11"/>
      <c r="T2127" s="11"/>
      <c r="U2127" s="11"/>
      <c r="V2127" s="11"/>
      <c r="W2127" s="11"/>
      <c r="X2127" s="12"/>
      <c r="Y2127" s="12"/>
      <c r="Z2127" s="12"/>
      <c r="AA2127" s="44"/>
      <c r="AB2127" s="45"/>
      <c r="AC2127" s="12"/>
      <c r="AD2127" s="12"/>
      <c r="AE2127" s="12"/>
      <c r="AF2127" s="12"/>
      <c r="AG2127" s="44"/>
      <c r="AH2127" s="45"/>
      <c r="AI2127" s="12"/>
      <c r="AJ2127" s="12"/>
      <c r="AK2127" s="12"/>
      <c r="AL2127" s="12"/>
      <c r="AM2127" s="44"/>
      <c r="AN2127" s="45"/>
      <c r="AO2127" s="12"/>
      <c r="AP2127" s="12"/>
      <c r="AQ2127" s="12"/>
      <c r="AR2127" s="12"/>
      <c r="AS2127" s="44"/>
      <c r="AT2127" s="45"/>
      <c r="AU2127" s="12"/>
      <c r="AV2127" s="12"/>
      <c r="AW2127" s="12"/>
      <c r="AX2127" s="12"/>
      <c r="AY2127" s="44"/>
      <c r="AZ2127" s="45"/>
      <c r="BA2127" s="12"/>
      <c r="BB2127" s="12"/>
      <c r="BC2127" s="12"/>
      <c r="BD2127" s="12"/>
      <c r="BE2127" s="44"/>
      <c r="BF2127" s="45"/>
      <c r="BG2127" s="12"/>
      <c r="BH2127" s="12"/>
      <c r="BI2127" s="12"/>
      <c r="BJ2127" s="12"/>
      <c r="BK2127" s="44"/>
      <c r="BL2127" s="45"/>
      <c r="BM2127" s="12"/>
      <c r="BN2127" s="12"/>
      <c r="BO2127" s="12"/>
      <c r="BP2127" s="12"/>
      <c r="BQ2127" s="48"/>
      <c r="BR2127" s="49"/>
      <c r="BS2127" s="13"/>
      <c r="BT2127" s="12"/>
      <c r="BV2127" s="14"/>
      <c r="BW2127" s="50"/>
      <c r="BX2127" s="54"/>
      <c r="BY2127" s="14"/>
      <c r="BZ2127" s="14"/>
      <c r="CA2127" s="14"/>
      <c r="CB2127" s="14"/>
      <c r="CC2127" s="14"/>
      <c r="CD2127" s="14"/>
      <c r="CE2127" s="14"/>
      <c r="CF2127" s="15"/>
      <c r="CG2127" s="14"/>
      <c r="CH2127" s="14"/>
      <c r="CI2127" s="50"/>
      <c r="CJ2127" s="54"/>
      <c r="CK2127" s="14"/>
      <c r="CL2127" s="14"/>
      <c r="CM2127" s="14"/>
      <c r="CN2127" s="14"/>
      <c r="CO2127" s="14"/>
      <c r="CP2127" s="14"/>
      <c r="CQ2127" s="14"/>
      <c r="CR2127" s="14"/>
      <c r="CS2127" s="14"/>
      <c r="CT2127" s="14"/>
      <c r="CU2127" s="16"/>
      <c r="CV2127" s="14"/>
      <c r="CW2127" s="50"/>
      <c r="CX2127" s="17"/>
    </row>
    <row r="2128" spans="4:102" x14ac:dyDescent="0.25">
      <c r="D2128" s="11"/>
      <c r="E2128" s="11"/>
      <c r="F2128" s="11"/>
      <c r="G2128" s="11"/>
      <c r="H2128" s="11"/>
      <c r="I2128" s="11"/>
      <c r="J2128" s="11"/>
      <c r="K2128" s="11"/>
      <c r="L2128" s="11"/>
      <c r="M2128" s="11"/>
      <c r="N2128" s="11"/>
      <c r="O2128" s="11"/>
      <c r="P2128" s="43"/>
      <c r="Q2128" s="11"/>
      <c r="R2128" s="11"/>
      <c r="S2128" s="11"/>
      <c r="T2128" s="11"/>
      <c r="U2128" s="11"/>
      <c r="V2128" s="11"/>
      <c r="W2128" s="11"/>
      <c r="X2128" s="12"/>
      <c r="Y2128" s="12"/>
      <c r="Z2128" s="12"/>
      <c r="AA2128" s="44"/>
      <c r="AB2128" s="45"/>
      <c r="AC2128" s="12"/>
      <c r="AD2128" s="12"/>
      <c r="AE2128" s="12"/>
      <c r="AF2128" s="12"/>
      <c r="AG2128" s="44"/>
      <c r="AH2128" s="45"/>
      <c r="AI2128" s="12"/>
      <c r="AJ2128" s="12"/>
      <c r="AK2128" s="12"/>
      <c r="AL2128" s="12"/>
      <c r="AM2128" s="44"/>
      <c r="AN2128" s="45"/>
      <c r="AO2128" s="12"/>
      <c r="AP2128" s="12"/>
      <c r="AQ2128" s="12"/>
      <c r="AR2128" s="12"/>
      <c r="AS2128" s="44"/>
      <c r="AT2128" s="45"/>
      <c r="AU2128" s="12"/>
      <c r="AV2128" s="12"/>
      <c r="AW2128" s="12"/>
      <c r="AX2128" s="12"/>
      <c r="AY2128" s="44"/>
      <c r="AZ2128" s="45"/>
      <c r="BA2128" s="12"/>
      <c r="BB2128" s="12"/>
      <c r="BC2128" s="12"/>
      <c r="BD2128" s="12"/>
      <c r="BE2128" s="44"/>
      <c r="BF2128" s="45"/>
      <c r="BG2128" s="12"/>
      <c r="BH2128" s="12"/>
      <c r="BI2128" s="12"/>
      <c r="BJ2128" s="12"/>
      <c r="BK2128" s="44"/>
      <c r="BL2128" s="45"/>
      <c r="BM2128" s="12"/>
      <c r="BN2128" s="12"/>
      <c r="BO2128" s="12"/>
      <c r="BP2128" s="12"/>
      <c r="BQ2128" s="48"/>
      <c r="BR2128" s="49"/>
      <c r="BS2128" s="13"/>
      <c r="BT2128" s="12"/>
      <c r="BV2128" s="14"/>
      <c r="BW2128" s="50"/>
      <c r="BX2128" s="54"/>
      <c r="BY2128" s="14"/>
      <c r="BZ2128" s="14"/>
      <c r="CA2128" s="14"/>
      <c r="CB2128" s="14"/>
      <c r="CC2128" s="14"/>
      <c r="CD2128" s="14"/>
      <c r="CE2128" s="14"/>
      <c r="CF2128" s="15"/>
      <c r="CG2128" s="14"/>
      <c r="CH2128" s="14"/>
      <c r="CI2128" s="50"/>
      <c r="CJ2128" s="54"/>
      <c r="CK2128" s="14"/>
      <c r="CL2128" s="14"/>
      <c r="CM2128" s="14"/>
      <c r="CN2128" s="14"/>
      <c r="CO2128" s="14"/>
      <c r="CP2128" s="14"/>
      <c r="CQ2128" s="14"/>
      <c r="CR2128" s="14"/>
      <c r="CS2128" s="14"/>
      <c r="CT2128" s="14"/>
      <c r="CU2128" s="16"/>
      <c r="CV2128" s="14"/>
      <c r="CW2128" s="50"/>
      <c r="CX2128" s="17"/>
    </row>
    <row r="2129" spans="4:102" x14ac:dyDescent="0.25">
      <c r="D2129" s="11"/>
      <c r="E2129" s="11"/>
      <c r="F2129" s="11"/>
      <c r="G2129" s="11"/>
      <c r="H2129" s="11"/>
      <c r="I2129" s="11"/>
      <c r="J2129" s="11"/>
      <c r="K2129" s="11"/>
      <c r="L2129" s="11"/>
      <c r="M2129" s="11"/>
      <c r="N2129" s="11"/>
      <c r="O2129" s="11"/>
      <c r="P2129" s="43"/>
      <c r="Q2129" s="11"/>
      <c r="R2129" s="11"/>
      <c r="S2129" s="11"/>
      <c r="T2129" s="11"/>
      <c r="U2129" s="11"/>
      <c r="V2129" s="11"/>
      <c r="W2129" s="11"/>
      <c r="X2129" s="12"/>
      <c r="Y2129" s="12"/>
      <c r="Z2129" s="12"/>
      <c r="AA2129" s="44"/>
      <c r="AB2129" s="45"/>
      <c r="AC2129" s="12"/>
      <c r="AD2129" s="12"/>
      <c r="AE2129" s="12"/>
      <c r="AF2129" s="12"/>
      <c r="AG2129" s="44"/>
      <c r="AH2129" s="45"/>
      <c r="AI2129" s="12"/>
      <c r="AJ2129" s="12"/>
      <c r="AK2129" s="12"/>
      <c r="AL2129" s="12"/>
      <c r="AM2129" s="44"/>
      <c r="AN2129" s="45"/>
      <c r="AO2129" s="12"/>
      <c r="AP2129" s="12"/>
      <c r="AQ2129" s="12"/>
      <c r="AR2129" s="12"/>
      <c r="AS2129" s="44"/>
      <c r="AT2129" s="45"/>
      <c r="AU2129" s="12"/>
      <c r="AV2129" s="12"/>
      <c r="AW2129" s="12"/>
      <c r="AX2129" s="12"/>
      <c r="AY2129" s="44"/>
      <c r="AZ2129" s="45"/>
      <c r="BA2129" s="12"/>
      <c r="BB2129" s="12"/>
      <c r="BC2129" s="12"/>
      <c r="BD2129" s="12"/>
      <c r="BE2129" s="44"/>
      <c r="BF2129" s="45"/>
      <c r="BG2129" s="12"/>
      <c r="BH2129" s="12"/>
      <c r="BI2129" s="12"/>
      <c r="BJ2129" s="12"/>
      <c r="BK2129" s="44"/>
      <c r="BL2129" s="45"/>
      <c r="BM2129" s="12"/>
      <c r="BN2129" s="12"/>
      <c r="BO2129" s="12"/>
      <c r="BP2129" s="12"/>
      <c r="BQ2129" s="48"/>
      <c r="BR2129" s="49"/>
      <c r="BS2129" s="13"/>
      <c r="BT2129" s="12"/>
      <c r="BV2129" s="14"/>
      <c r="BW2129" s="50"/>
      <c r="BX2129" s="54"/>
      <c r="BY2129" s="14"/>
      <c r="BZ2129" s="14"/>
      <c r="CA2129" s="14"/>
      <c r="CB2129" s="14"/>
      <c r="CC2129" s="14"/>
      <c r="CD2129" s="14"/>
      <c r="CE2129" s="14"/>
      <c r="CF2129" s="15"/>
      <c r="CG2129" s="14"/>
      <c r="CH2129" s="14"/>
      <c r="CI2129" s="50"/>
      <c r="CJ2129" s="54"/>
      <c r="CK2129" s="14"/>
      <c r="CL2129" s="14"/>
      <c r="CM2129" s="14"/>
      <c r="CN2129" s="14"/>
      <c r="CO2129" s="14"/>
      <c r="CP2129" s="14"/>
      <c r="CQ2129" s="14"/>
      <c r="CR2129" s="14"/>
      <c r="CS2129" s="14"/>
      <c r="CT2129" s="14"/>
      <c r="CU2129" s="16"/>
      <c r="CV2129" s="14"/>
      <c r="CW2129" s="50"/>
      <c r="CX2129" s="17"/>
    </row>
    <row r="2130" spans="4:102" x14ac:dyDescent="0.25">
      <c r="D2130" s="11"/>
      <c r="E2130" s="11"/>
      <c r="F2130" s="11"/>
      <c r="G2130" s="11"/>
      <c r="H2130" s="11"/>
      <c r="I2130" s="11"/>
      <c r="J2130" s="11"/>
      <c r="K2130" s="11"/>
      <c r="L2130" s="11"/>
      <c r="M2130" s="11"/>
      <c r="N2130" s="11"/>
      <c r="O2130" s="11"/>
      <c r="P2130" s="43"/>
      <c r="Q2130" s="11"/>
      <c r="R2130" s="11"/>
      <c r="S2130" s="11"/>
      <c r="T2130" s="11"/>
      <c r="U2130" s="11"/>
      <c r="V2130" s="11"/>
      <c r="W2130" s="11"/>
      <c r="X2130" s="12"/>
      <c r="Y2130" s="12"/>
      <c r="Z2130" s="12"/>
      <c r="AA2130" s="44"/>
      <c r="AB2130" s="45"/>
      <c r="AC2130" s="12"/>
      <c r="AD2130" s="12"/>
      <c r="AE2130" s="12"/>
      <c r="AF2130" s="12"/>
      <c r="AG2130" s="44"/>
      <c r="AH2130" s="45"/>
      <c r="AI2130" s="12"/>
      <c r="AJ2130" s="12"/>
      <c r="AK2130" s="12"/>
      <c r="AL2130" s="12"/>
      <c r="AM2130" s="44"/>
      <c r="AN2130" s="45"/>
      <c r="AO2130" s="12"/>
      <c r="AP2130" s="12"/>
      <c r="AQ2130" s="12"/>
      <c r="AR2130" s="12"/>
      <c r="AS2130" s="44"/>
      <c r="AT2130" s="45"/>
      <c r="AU2130" s="12"/>
      <c r="AV2130" s="12"/>
      <c r="AW2130" s="12"/>
      <c r="AX2130" s="12"/>
      <c r="AY2130" s="44"/>
      <c r="AZ2130" s="45"/>
      <c r="BA2130" s="12"/>
      <c r="BB2130" s="12"/>
      <c r="BC2130" s="12"/>
      <c r="BD2130" s="12"/>
      <c r="BE2130" s="44"/>
      <c r="BF2130" s="45"/>
      <c r="BG2130" s="12"/>
      <c r="BH2130" s="12"/>
      <c r="BI2130" s="12"/>
      <c r="BJ2130" s="12"/>
      <c r="BK2130" s="44"/>
      <c r="BL2130" s="45"/>
      <c r="BM2130" s="12"/>
      <c r="BN2130" s="12"/>
      <c r="BO2130" s="12"/>
      <c r="BP2130" s="12"/>
      <c r="BQ2130" s="48"/>
      <c r="BR2130" s="49"/>
      <c r="BS2130" s="13"/>
      <c r="BT2130" s="12"/>
      <c r="BV2130" s="14"/>
      <c r="BW2130" s="50"/>
      <c r="BX2130" s="54"/>
      <c r="BY2130" s="14"/>
      <c r="BZ2130" s="14"/>
      <c r="CA2130" s="14"/>
      <c r="CB2130" s="14"/>
      <c r="CC2130" s="14"/>
      <c r="CD2130" s="14"/>
      <c r="CE2130" s="14"/>
      <c r="CF2130" s="15"/>
      <c r="CG2130" s="14"/>
      <c r="CH2130" s="14"/>
      <c r="CI2130" s="50"/>
      <c r="CJ2130" s="54"/>
      <c r="CK2130" s="14"/>
      <c r="CL2130" s="14"/>
      <c r="CM2130" s="14"/>
      <c r="CN2130" s="14"/>
      <c r="CO2130" s="14"/>
      <c r="CP2130" s="14"/>
      <c r="CQ2130" s="14"/>
      <c r="CR2130" s="14"/>
      <c r="CS2130" s="14"/>
      <c r="CT2130" s="14"/>
      <c r="CU2130" s="16"/>
      <c r="CV2130" s="14"/>
      <c r="CW2130" s="50"/>
      <c r="CX2130" s="17"/>
    </row>
    <row r="2131" spans="4:102" x14ac:dyDescent="0.25">
      <c r="D2131" s="11"/>
      <c r="E2131" s="11"/>
      <c r="F2131" s="11"/>
      <c r="G2131" s="11"/>
      <c r="H2131" s="11"/>
      <c r="I2131" s="11"/>
      <c r="J2131" s="11"/>
      <c r="K2131" s="11"/>
      <c r="L2131" s="11"/>
      <c r="M2131" s="11"/>
      <c r="N2131" s="11"/>
      <c r="O2131" s="11"/>
      <c r="P2131" s="43"/>
      <c r="Q2131" s="11"/>
      <c r="R2131" s="11"/>
      <c r="S2131" s="11"/>
      <c r="T2131" s="11"/>
      <c r="U2131" s="11"/>
      <c r="V2131" s="11"/>
      <c r="W2131" s="11"/>
      <c r="X2131" s="12"/>
      <c r="Y2131" s="12"/>
      <c r="Z2131" s="12"/>
      <c r="AA2131" s="44"/>
      <c r="AB2131" s="45"/>
      <c r="AC2131" s="12"/>
      <c r="AD2131" s="12"/>
      <c r="AE2131" s="12"/>
      <c r="AF2131" s="12"/>
      <c r="AG2131" s="44"/>
      <c r="AH2131" s="45"/>
      <c r="AI2131" s="12"/>
      <c r="AJ2131" s="12"/>
      <c r="AK2131" s="12"/>
      <c r="AL2131" s="12"/>
      <c r="AM2131" s="44"/>
      <c r="AN2131" s="45"/>
      <c r="AO2131" s="12"/>
      <c r="AP2131" s="12"/>
      <c r="AQ2131" s="12"/>
      <c r="AR2131" s="12"/>
      <c r="AS2131" s="44"/>
      <c r="AT2131" s="45"/>
      <c r="AU2131" s="12"/>
      <c r="AV2131" s="12"/>
      <c r="AW2131" s="12"/>
      <c r="AX2131" s="12"/>
      <c r="AY2131" s="44"/>
      <c r="AZ2131" s="45"/>
      <c r="BA2131" s="12"/>
      <c r="BB2131" s="12"/>
      <c r="BC2131" s="12"/>
      <c r="BD2131" s="12"/>
      <c r="BE2131" s="44"/>
      <c r="BF2131" s="45"/>
      <c r="BG2131" s="12"/>
      <c r="BH2131" s="12"/>
      <c r="BI2131" s="12"/>
      <c r="BJ2131" s="12"/>
      <c r="BK2131" s="44"/>
      <c r="BL2131" s="45"/>
      <c r="BM2131" s="12"/>
      <c r="BN2131" s="12"/>
      <c r="BO2131" s="12"/>
      <c r="BP2131" s="12"/>
      <c r="BQ2131" s="48"/>
      <c r="BR2131" s="49"/>
      <c r="BS2131" s="13"/>
      <c r="BT2131" s="12"/>
      <c r="BV2131" s="14"/>
      <c r="BW2131" s="50"/>
      <c r="BX2131" s="54"/>
      <c r="BY2131" s="14"/>
      <c r="BZ2131" s="14"/>
      <c r="CA2131" s="14"/>
      <c r="CB2131" s="14"/>
      <c r="CC2131" s="14"/>
      <c r="CD2131" s="14"/>
      <c r="CE2131" s="14"/>
      <c r="CF2131" s="15"/>
      <c r="CG2131" s="14"/>
      <c r="CH2131" s="14"/>
      <c r="CI2131" s="50"/>
      <c r="CJ2131" s="54"/>
      <c r="CK2131" s="14"/>
      <c r="CL2131" s="14"/>
      <c r="CM2131" s="14"/>
      <c r="CN2131" s="14"/>
      <c r="CO2131" s="14"/>
      <c r="CP2131" s="14"/>
      <c r="CQ2131" s="14"/>
      <c r="CR2131" s="14"/>
      <c r="CS2131" s="14"/>
      <c r="CT2131" s="14"/>
      <c r="CU2131" s="16"/>
      <c r="CV2131" s="14"/>
      <c r="CW2131" s="50"/>
      <c r="CX2131" s="17"/>
    </row>
    <row r="2132" spans="4:102" x14ac:dyDescent="0.25">
      <c r="D2132" s="11"/>
      <c r="E2132" s="11"/>
      <c r="F2132" s="11"/>
      <c r="G2132" s="11"/>
      <c r="H2132" s="11"/>
      <c r="I2132" s="11"/>
      <c r="J2132" s="11"/>
      <c r="K2132" s="11"/>
      <c r="L2132" s="11"/>
      <c r="M2132" s="11"/>
      <c r="N2132" s="11"/>
      <c r="O2132" s="11"/>
      <c r="P2132" s="43"/>
      <c r="Q2132" s="11"/>
      <c r="R2132" s="11"/>
      <c r="S2132" s="11"/>
      <c r="T2132" s="11"/>
      <c r="U2132" s="11"/>
      <c r="V2132" s="11"/>
      <c r="W2132" s="11"/>
      <c r="X2132" s="12"/>
      <c r="Y2132" s="12"/>
      <c r="Z2132" s="12"/>
      <c r="AA2132" s="44"/>
      <c r="AB2132" s="45"/>
      <c r="AC2132" s="12"/>
      <c r="AD2132" s="12"/>
      <c r="AE2132" s="12"/>
      <c r="AF2132" s="12"/>
      <c r="AG2132" s="44"/>
      <c r="AH2132" s="45"/>
      <c r="AI2132" s="12"/>
      <c r="AJ2132" s="12"/>
      <c r="AK2132" s="12"/>
      <c r="AL2132" s="12"/>
      <c r="AM2132" s="44"/>
      <c r="AN2132" s="45"/>
      <c r="AO2132" s="12"/>
      <c r="AP2132" s="12"/>
      <c r="AQ2132" s="12"/>
      <c r="AR2132" s="12"/>
      <c r="AS2132" s="44"/>
      <c r="AT2132" s="45"/>
      <c r="AU2132" s="12"/>
      <c r="AV2132" s="12"/>
      <c r="AW2132" s="12"/>
      <c r="AX2132" s="12"/>
      <c r="AY2132" s="44"/>
      <c r="AZ2132" s="45"/>
      <c r="BA2132" s="12"/>
      <c r="BB2132" s="12"/>
      <c r="BC2132" s="12"/>
      <c r="BD2132" s="12"/>
      <c r="BE2132" s="44"/>
      <c r="BF2132" s="45"/>
      <c r="BG2132" s="12"/>
      <c r="BH2132" s="12"/>
      <c r="BI2132" s="12"/>
      <c r="BJ2132" s="12"/>
      <c r="BK2132" s="44"/>
      <c r="BL2132" s="45"/>
      <c r="BM2132" s="12"/>
      <c r="BN2132" s="12"/>
      <c r="BO2132" s="12"/>
      <c r="BP2132" s="12"/>
      <c r="BQ2132" s="48"/>
      <c r="BR2132" s="49"/>
      <c r="BS2132" s="13"/>
      <c r="BT2132" s="12"/>
      <c r="BV2132" s="14"/>
      <c r="BW2132" s="50"/>
      <c r="BX2132" s="54"/>
      <c r="BY2132" s="14"/>
      <c r="BZ2132" s="14"/>
      <c r="CA2132" s="14"/>
      <c r="CB2132" s="14"/>
      <c r="CC2132" s="14"/>
      <c r="CD2132" s="14"/>
      <c r="CE2132" s="14"/>
      <c r="CF2132" s="15"/>
      <c r="CG2132" s="14"/>
      <c r="CH2132" s="14"/>
      <c r="CI2132" s="50"/>
      <c r="CJ2132" s="54"/>
      <c r="CK2132" s="14"/>
      <c r="CL2132" s="14"/>
      <c r="CM2132" s="14"/>
      <c r="CN2132" s="14"/>
      <c r="CO2132" s="14"/>
      <c r="CP2132" s="14"/>
      <c r="CQ2132" s="14"/>
      <c r="CR2132" s="14"/>
      <c r="CS2132" s="14"/>
      <c r="CT2132" s="14"/>
      <c r="CU2132" s="16"/>
      <c r="CV2132" s="14"/>
      <c r="CW2132" s="50"/>
      <c r="CX2132" s="17"/>
    </row>
    <row r="2133" spans="4:102" x14ac:dyDescent="0.25">
      <c r="D2133" s="11"/>
      <c r="E2133" s="11"/>
      <c r="F2133" s="11"/>
      <c r="G2133" s="11"/>
      <c r="H2133" s="11"/>
      <c r="I2133" s="11"/>
      <c r="J2133" s="11"/>
      <c r="K2133" s="11"/>
      <c r="L2133" s="11"/>
      <c r="M2133" s="11"/>
      <c r="N2133" s="11"/>
      <c r="O2133" s="11"/>
      <c r="P2133" s="43"/>
      <c r="Q2133" s="11"/>
      <c r="R2133" s="11"/>
      <c r="S2133" s="11"/>
      <c r="T2133" s="11"/>
      <c r="U2133" s="11"/>
      <c r="V2133" s="11"/>
      <c r="W2133" s="11"/>
      <c r="X2133" s="12"/>
      <c r="Y2133" s="12"/>
      <c r="Z2133" s="12"/>
      <c r="AA2133" s="44"/>
      <c r="AB2133" s="45"/>
      <c r="AC2133" s="12"/>
      <c r="AD2133" s="12"/>
      <c r="AE2133" s="12"/>
      <c r="AF2133" s="12"/>
      <c r="AG2133" s="44"/>
      <c r="AH2133" s="45"/>
      <c r="AI2133" s="12"/>
      <c r="AJ2133" s="12"/>
      <c r="AK2133" s="12"/>
      <c r="AL2133" s="12"/>
      <c r="AM2133" s="44"/>
      <c r="AN2133" s="45"/>
      <c r="AO2133" s="12"/>
      <c r="AP2133" s="12"/>
      <c r="AQ2133" s="12"/>
      <c r="AR2133" s="12"/>
      <c r="AS2133" s="44"/>
      <c r="AT2133" s="45"/>
      <c r="AU2133" s="12"/>
      <c r="AV2133" s="12"/>
      <c r="AW2133" s="12"/>
      <c r="AX2133" s="12"/>
      <c r="AY2133" s="44"/>
      <c r="AZ2133" s="45"/>
      <c r="BA2133" s="12"/>
      <c r="BB2133" s="12"/>
      <c r="BC2133" s="12"/>
      <c r="BD2133" s="12"/>
      <c r="BE2133" s="44"/>
      <c r="BF2133" s="45"/>
      <c r="BG2133" s="12"/>
      <c r="BH2133" s="12"/>
      <c r="BI2133" s="12"/>
      <c r="BJ2133" s="12"/>
      <c r="BK2133" s="44"/>
      <c r="BL2133" s="45"/>
      <c r="BM2133" s="12"/>
      <c r="BN2133" s="12"/>
      <c r="BO2133" s="12"/>
      <c r="BP2133" s="12"/>
      <c r="BQ2133" s="48"/>
      <c r="BR2133" s="49"/>
      <c r="BS2133" s="13"/>
      <c r="BT2133" s="12"/>
      <c r="BV2133" s="14"/>
      <c r="BW2133" s="50"/>
      <c r="BX2133" s="54"/>
      <c r="BY2133" s="14"/>
      <c r="BZ2133" s="14"/>
      <c r="CA2133" s="14"/>
      <c r="CB2133" s="14"/>
      <c r="CC2133" s="14"/>
      <c r="CD2133" s="14"/>
      <c r="CE2133" s="14"/>
      <c r="CF2133" s="15"/>
      <c r="CG2133" s="14"/>
      <c r="CH2133" s="14"/>
      <c r="CI2133" s="50"/>
      <c r="CJ2133" s="54"/>
      <c r="CK2133" s="14"/>
      <c r="CL2133" s="14"/>
      <c r="CM2133" s="14"/>
      <c r="CN2133" s="14"/>
      <c r="CO2133" s="14"/>
      <c r="CP2133" s="14"/>
      <c r="CQ2133" s="14"/>
      <c r="CR2133" s="14"/>
      <c r="CS2133" s="14"/>
      <c r="CT2133" s="14"/>
      <c r="CU2133" s="16"/>
      <c r="CV2133" s="14"/>
      <c r="CW2133" s="50"/>
      <c r="CX2133" s="17"/>
    </row>
    <row r="2134" spans="4:102" x14ac:dyDescent="0.25">
      <c r="D2134" s="11"/>
      <c r="E2134" s="11"/>
      <c r="F2134" s="11"/>
      <c r="G2134" s="11"/>
      <c r="H2134" s="11"/>
      <c r="I2134" s="11"/>
      <c r="J2134" s="11"/>
      <c r="K2134" s="11"/>
      <c r="L2134" s="11"/>
      <c r="M2134" s="11"/>
      <c r="N2134" s="11"/>
      <c r="O2134" s="11"/>
      <c r="P2134" s="43"/>
      <c r="Q2134" s="11"/>
      <c r="R2134" s="11"/>
      <c r="S2134" s="11"/>
      <c r="T2134" s="11"/>
      <c r="U2134" s="11"/>
      <c r="V2134" s="11"/>
      <c r="W2134" s="11"/>
      <c r="X2134" s="12"/>
      <c r="Y2134" s="12"/>
      <c r="Z2134" s="12"/>
      <c r="AA2134" s="44"/>
      <c r="AB2134" s="45"/>
      <c r="AC2134" s="12"/>
      <c r="AD2134" s="12"/>
      <c r="AE2134" s="12"/>
      <c r="AF2134" s="12"/>
      <c r="AG2134" s="44"/>
      <c r="AH2134" s="45"/>
      <c r="AI2134" s="12"/>
      <c r="AJ2134" s="12"/>
      <c r="AK2134" s="12"/>
      <c r="AL2134" s="12"/>
      <c r="AM2134" s="44"/>
      <c r="AN2134" s="45"/>
      <c r="AO2134" s="12"/>
      <c r="AP2134" s="12"/>
      <c r="AQ2134" s="12"/>
      <c r="AR2134" s="12"/>
      <c r="AS2134" s="44"/>
      <c r="AT2134" s="45"/>
      <c r="AU2134" s="12"/>
      <c r="AV2134" s="12"/>
      <c r="AW2134" s="12"/>
      <c r="AX2134" s="12"/>
      <c r="AY2134" s="44"/>
      <c r="AZ2134" s="45"/>
      <c r="BA2134" s="12"/>
      <c r="BB2134" s="12"/>
      <c r="BC2134" s="12"/>
      <c r="BD2134" s="12"/>
      <c r="BE2134" s="44"/>
      <c r="BF2134" s="45"/>
      <c r="BG2134" s="12"/>
      <c r="BH2134" s="12"/>
      <c r="BI2134" s="12"/>
      <c r="BJ2134" s="12"/>
      <c r="BK2134" s="44"/>
      <c r="BL2134" s="45"/>
      <c r="BM2134" s="12"/>
      <c r="BN2134" s="12"/>
      <c r="BO2134" s="12"/>
      <c r="BP2134" s="12"/>
      <c r="BQ2134" s="48"/>
      <c r="BR2134" s="49"/>
      <c r="BS2134" s="13"/>
      <c r="BT2134" s="12"/>
      <c r="BV2134" s="14"/>
      <c r="BW2134" s="50"/>
      <c r="BX2134" s="54"/>
      <c r="BY2134" s="14"/>
      <c r="BZ2134" s="14"/>
      <c r="CA2134" s="14"/>
      <c r="CB2134" s="14"/>
      <c r="CC2134" s="14"/>
      <c r="CD2134" s="14"/>
      <c r="CE2134" s="14"/>
      <c r="CF2134" s="15"/>
      <c r="CG2134" s="14"/>
      <c r="CH2134" s="14"/>
      <c r="CI2134" s="50"/>
      <c r="CJ2134" s="54"/>
      <c r="CK2134" s="14"/>
      <c r="CL2134" s="14"/>
      <c r="CM2134" s="14"/>
      <c r="CN2134" s="14"/>
      <c r="CO2134" s="14"/>
      <c r="CP2134" s="14"/>
      <c r="CQ2134" s="14"/>
      <c r="CR2134" s="14"/>
      <c r="CS2134" s="14"/>
      <c r="CT2134" s="14"/>
      <c r="CU2134" s="16"/>
      <c r="CV2134" s="14"/>
      <c r="CW2134" s="50"/>
      <c r="CX2134" s="17"/>
    </row>
    <row r="2135" spans="4:102" x14ac:dyDescent="0.25">
      <c r="D2135" s="11"/>
      <c r="E2135" s="11"/>
      <c r="F2135" s="11"/>
      <c r="G2135" s="11"/>
      <c r="H2135" s="11"/>
      <c r="I2135" s="11"/>
      <c r="J2135" s="11"/>
      <c r="K2135" s="11"/>
      <c r="L2135" s="11"/>
      <c r="M2135" s="11"/>
      <c r="N2135" s="11"/>
      <c r="O2135" s="11"/>
      <c r="P2135" s="43"/>
      <c r="Q2135" s="11"/>
      <c r="R2135" s="11"/>
      <c r="S2135" s="11"/>
      <c r="T2135" s="11"/>
      <c r="U2135" s="11"/>
      <c r="V2135" s="11"/>
      <c r="W2135" s="11"/>
      <c r="X2135" s="12"/>
      <c r="Y2135" s="12"/>
      <c r="Z2135" s="12"/>
      <c r="AA2135" s="44"/>
      <c r="AB2135" s="45"/>
      <c r="AC2135" s="12"/>
      <c r="AD2135" s="12"/>
      <c r="AE2135" s="12"/>
      <c r="AF2135" s="12"/>
      <c r="AG2135" s="44"/>
      <c r="AH2135" s="45"/>
      <c r="AI2135" s="12"/>
      <c r="AJ2135" s="12"/>
      <c r="AK2135" s="12"/>
      <c r="AL2135" s="12"/>
      <c r="AM2135" s="44"/>
      <c r="AN2135" s="45"/>
      <c r="AO2135" s="12"/>
      <c r="AP2135" s="12"/>
      <c r="AQ2135" s="12"/>
      <c r="AR2135" s="12"/>
      <c r="AS2135" s="44"/>
      <c r="AT2135" s="45"/>
      <c r="AU2135" s="12"/>
      <c r="AV2135" s="12"/>
      <c r="AW2135" s="12"/>
      <c r="AX2135" s="12"/>
      <c r="AY2135" s="44"/>
      <c r="AZ2135" s="45"/>
      <c r="BA2135" s="12"/>
      <c r="BB2135" s="12"/>
      <c r="BC2135" s="12"/>
      <c r="BD2135" s="12"/>
      <c r="BE2135" s="44"/>
      <c r="BF2135" s="45"/>
      <c r="BG2135" s="12"/>
      <c r="BH2135" s="12"/>
      <c r="BI2135" s="12"/>
      <c r="BJ2135" s="12"/>
      <c r="BK2135" s="44"/>
      <c r="BL2135" s="45"/>
      <c r="BM2135" s="12"/>
      <c r="BN2135" s="12"/>
      <c r="BO2135" s="12"/>
      <c r="BP2135" s="12"/>
      <c r="BQ2135" s="48"/>
      <c r="BR2135" s="49"/>
      <c r="BS2135" s="13"/>
      <c r="BT2135" s="12"/>
      <c r="BV2135" s="14"/>
      <c r="BW2135" s="50"/>
      <c r="BX2135" s="54"/>
      <c r="BY2135" s="14"/>
      <c r="BZ2135" s="14"/>
      <c r="CA2135" s="14"/>
      <c r="CB2135" s="14"/>
      <c r="CC2135" s="14"/>
      <c r="CD2135" s="14"/>
      <c r="CE2135" s="14"/>
      <c r="CF2135" s="15"/>
      <c r="CG2135" s="14"/>
      <c r="CH2135" s="14"/>
      <c r="CI2135" s="50"/>
      <c r="CJ2135" s="54"/>
      <c r="CK2135" s="14"/>
      <c r="CL2135" s="14"/>
      <c r="CM2135" s="14"/>
      <c r="CN2135" s="14"/>
      <c r="CO2135" s="14"/>
      <c r="CP2135" s="14"/>
      <c r="CQ2135" s="14"/>
      <c r="CR2135" s="14"/>
      <c r="CS2135" s="14"/>
      <c r="CT2135" s="14"/>
      <c r="CU2135" s="16"/>
      <c r="CV2135" s="14"/>
      <c r="CW2135" s="50"/>
      <c r="CX2135" s="17"/>
    </row>
    <row r="2136" spans="4:102" x14ac:dyDescent="0.25">
      <c r="D2136" s="11"/>
      <c r="E2136" s="11"/>
      <c r="F2136" s="11"/>
      <c r="G2136" s="11"/>
      <c r="H2136" s="11"/>
      <c r="I2136" s="11"/>
      <c r="J2136" s="11"/>
      <c r="K2136" s="11"/>
      <c r="L2136" s="11"/>
      <c r="M2136" s="11"/>
      <c r="N2136" s="11"/>
      <c r="O2136" s="11"/>
      <c r="P2136" s="43"/>
      <c r="Q2136" s="11"/>
      <c r="R2136" s="11"/>
      <c r="S2136" s="11"/>
      <c r="T2136" s="11"/>
      <c r="U2136" s="11"/>
      <c r="V2136" s="11"/>
      <c r="W2136" s="11"/>
      <c r="X2136" s="12"/>
      <c r="Y2136" s="12"/>
      <c r="Z2136" s="12"/>
      <c r="AA2136" s="44"/>
      <c r="AB2136" s="45"/>
      <c r="AC2136" s="12"/>
      <c r="AD2136" s="12"/>
      <c r="AE2136" s="12"/>
      <c r="AF2136" s="12"/>
      <c r="AG2136" s="44"/>
      <c r="AH2136" s="45"/>
      <c r="AI2136" s="12"/>
      <c r="AJ2136" s="12"/>
      <c r="AK2136" s="12"/>
      <c r="AL2136" s="12"/>
      <c r="AM2136" s="44"/>
      <c r="AN2136" s="45"/>
      <c r="AO2136" s="12"/>
      <c r="AP2136" s="12"/>
      <c r="AQ2136" s="12"/>
      <c r="AR2136" s="12"/>
      <c r="AS2136" s="44"/>
      <c r="AT2136" s="45"/>
      <c r="AU2136" s="12"/>
      <c r="AV2136" s="12"/>
      <c r="AW2136" s="12"/>
      <c r="AX2136" s="12"/>
      <c r="AY2136" s="44"/>
      <c r="AZ2136" s="45"/>
      <c r="BA2136" s="12"/>
      <c r="BB2136" s="12"/>
      <c r="BC2136" s="12"/>
      <c r="BD2136" s="12"/>
      <c r="BE2136" s="44"/>
      <c r="BF2136" s="45"/>
      <c r="BG2136" s="12"/>
      <c r="BH2136" s="12"/>
      <c r="BI2136" s="12"/>
      <c r="BJ2136" s="12"/>
      <c r="BK2136" s="44"/>
      <c r="BL2136" s="45"/>
      <c r="BM2136" s="12"/>
      <c r="BN2136" s="12"/>
      <c r="BO2136" s="12"/>
      <c r="BP2136" s="12"/>
      <c r="BQ2136" s="48"/>
      <c r="BR2136" s="49"/>
      <c r="BS2136" s="13"/>
      <c r="BT2136" s="12"/>
      <c r="BV2136" s="14"/>
      <c r="BW2136" s="50"/>
      <c r="BX2136" s="54"/>
      <c r="BY2136" s="14"/>
      <c r="BZ2136" s="14"/>
      <c r="CA2136" s="14"/>
      <c r="CB2136" s="14"/>
      <c r="CC2136" s="14"/>
      <c r="CD2136" s="14"/>
      <c r="CE2136" s="14"/>
      <c r="CF2136" s="15"/>
      <c r="CG2136" s="14"/>
      <c r="CH2136" s="14"/>
      <c r="CI2136" s="50"/>
      <c r="CJ2136" s="54"/>
      <c r="CK2136" s="14"/>
      <c r="CL2136" s="14"/>
      <c r="CM2136" s="14"/>
      <c r="CN2136" s="14"/>
      <c r="CO2136" s="14"/>
      <c r="CP2136" s="14"/>
      <c r="CQ2136" s="14"/>
      <c r="CR2136" s="14"/>
      <c r="CS2136" s="14"/>
      <c r="CT2136" s="14"/>
      <c r="CU2136" s="16"/>
      <c r="CV2136" s="14"/>
      <c r="CW2136" s="50"/>
      <c r="CX2136" s="17"/>
    </row>
    <row r="2137" spans="4:102" x14ac:dyDescent="0.25">
      <c r="D2137" s="11"/>
      <c r="E2137" s="11"/>
      <c r="F2137" s="11"/>
      <c r="G2137" s="11"/>
      <c r="H2137" s="11"/>
      <c r="I2137" s="11"/>
      <c r="J2137" s="11"/>
      <c r="K2137" s="11"/>
      <c r="L2137" s="11"/>
      <c r="M2137" s="11"/>
      <c r="N2137" s="11"/>
      <c r="O2137" s="11"/>
      <c r="P2137" s="43"/>
      <c r="Q2137" s="11"/>
      <c r="R2137" s="11"/>
      <c r="S2137" s="11"/>
      <c r="T2137" s="11"/>
      <c r="U2137" s="11"/>
      <c r="V2137" s="11"/>
      <c r="W2137" s="11"/>
      <c r="X2137" s="12"/>
      <c r="Y2137" s="12"/>
      <c r="Z2137" s="12"/>
      <c r="AA2137" s="44"/>
      <c r="AB2137" s="45"/>
      <c r="AC2137" s="12"/>
      <c r="AD2137" s="12"/>
      <c r="AE2137" s="12"/>
      <c r="AF2137" s="12"/>
      <c r="AG2137" s="44"/>
      <c r="AH2137" s="45"/>
      <c r="AI2137" s="12"/>
      <c r="AJ2137" s="12"/>
      <c r="AK2137" s="12"/>
      <c r="AL2137" s="12"/>
      <c r="AM2137" s="44"/>
      <c r="AN2137" s="45"/>
      <c r="AO2137" s="12"/>
      <c r="AP2137" s="12"/>
      <c r="AQ2137" s="12"/>
      <c r="AR2137" s="12"/>
      <c r="AS2137" s="44"/>
      <c r="AT2137" s="45"/>
      <c r="AU2137" s="12"/>
      <c r="AV2137" s="12"/>
      <c r="AW2137" s="12"/>
      <c r="AX2137" s="12"/>
      <c r="AY2137" s="44"/>
      <c r="AZ2137" s="45"/>
      <c r="BA2137" s="12"/>
      <c r="BB2137" s="12"/>
      <c r="BC2137" s="12"/>
      <c r="BD2137" s="12"/>
      <c r="BE2137" s="44"/>
      <c r="BF2137" s="45"/>
      <c r="BG2137" s="12"/>
      <c r="BH2137" s="12"/>
      <c r="BI2137" s="12"/>
      <c r="BJ2137" s="12"/>
      <c r="BK2137" s="44"/>
      <c r="BL2137" s="45"/>
      <c r="BM2137" s="12"/>
      <c r="BN2137" s="12"/>
      <c r="BO2137" s="12"/>
      <c r="BP2137" s="12"/>
      <c r="BQ2137" s="48"/>
      <c r="BR2137" s="49"/>
      <c r="BS2137" s="13"/>
      <c r="BT2137" s="12"/>
      <c r="BV2137" s="14"/>
      <c r="BW2137" s="50"/>
      <c r="BX2137" s="54"/>
      <c r="BY2137" s="14"/>
      <c r="BZ2137" s="14"/>
      <c r="CA2137" s="14"/>
      <c r="CB2137" s="14"/>
      <c r="CC2137" s="14"/>
      <c r="CD2137" s="14"/>
      <c r="CE2137" s="14"/>
      <c r="CF2137" s="15"/>
      <c r="CG2137" s="14"/>
      <c r="CH2137" s="14"/>
      <c r="CI2137" s="50"/>
      <c r="CJ2137" s="54"/>
      <c r="CK2137" s="14"/>
      <c r="CL2137" s="14"/>
      <c r="CM2137" s="14"/>
      <c r="CN2137" s="14"/>
      <c r="CO2137" s="14"/>
      <c r="CP2137" s="14"/>
      <c r="CQ2137" s="14"/>
      <c r="CR2137" s="14"/>
      <c r="CS2137" s="14"/>
      <c r="CT2137" s="14"/>
      <c r="CU2137" s="16"/>
      <c r="CV2137" s="14"/>
      <c r="CW2137" s="50"/>
      <c r="CX2137" s="17"/>
    </row>
    <row r="2138" spans="4:102" x14ac:dyDescent="0.25">
      <c r="D2138" s="11"/>
      <c r="E2138" s="11"/>
      <c r="F2138" s="11"/>
      <c r="G2138" s="11"/>
      <c r="H2138" s="11"/>
      <c r="I2138" s="11"/>
      <c r="J2138" s="11"/>
      <c r="K2138" s="11"/>
      <c r="L2138" s="11"/>
      <c r="M2138" s="11"/>
      <c r="N2138" s="11"/>
      <c r="O2138" s="11"/>
      <c r="P2138" s="43"/>
      <c r="Q2138" s="11"/>
      <c r="R2138" s="11"/>
      <c r="S2138" s="11"/>
      <c r="T2138" s="11"/>
      <c r="U2138" s="11"/>
      <c r="V2138" s="11"/>
      <c r="W2138" s="11"/>
      <c r="X2138" s="12"/>
      <c r="Y2138" s="12"/>
      <c r="Z2138" s="12"/>
      <c r="AA2138" s="44"/>
      <c r="AB2138" s="45"/>
      <c r="AC2138" s="12"/>
      <c r="AD2138" s="12"/>
      <c r="AE2138" s="12"/>
      <c r="AF2138" s="12"/>
      <c r="AG2138" s="44"/>
      <c r="AH2138" s="45"/>
      <c r="AI2138" s="12"/>
      <c r="AJ2138" s="12"/>
      <c r="AK2138" s="12"/>
      <c r="AL2138" s="12"/>
      <c r="AM2138" s="44"/>
      <c r="AN2138" s="45"/>
      <c r="AO2138" s="12"/>
      <c r="AP2138" s="12"/>
      <c r="AQ2138" s="12"/>
      <c r="AR2138" s="12"/>
      <c r="AS2138" s="44"/>
      <c r="AT2138" s="45"/>
      <c r="AU2138" s="12"/>
      <c r="AV2138" s="12"/>
      <c r="AW2138" s="12"/>
      <c r="AX2138" s="12"/>
      <c r="AY2138" s="44"/>
      <c r="AZ2138" s="45"/>
      <c r="BA2138" s="12"/>
      <c r="BB2138" s="12"/>
      <c r="BC2138" s="12"/>
      <c r="BD2138" s="12"/>
      <c r="BE2138" s="44"/>
      <c r="BF2138" s="45"/>
      <c r="BG2138" s="12"/>
      <c r="BH2138" s="12"/>
      <c r="BI2138" s="12"/>
      <c r="BJ2138" s="12"/>
      <c r="BK2138" s="44"/>
      <c r="BL2138" s="45"/>
      <c r="BM2138" s="12"/>
      <c r="BN2138" s="12"/>
      <c r="BO2138" s="12"/>
      <c r="BP2138" s="12"/>
      <c r="BQ2138" s="48"/>
      <c r="BR2138" s="49"/>
      <c r="BS2138" s="13"/>
      <c r="BT2138" s="12"/>
      <c r="BV2138" s="14"/>
      <c r="BW2138" s="50"/>
      <c r="BX2138" s="54"/>
      <c r="BY2138" s="14"/>
      <c r="BZ2138" s="14"/>
      <c r="CA2138" s="14"/>
      <c r="CB2138" s="14"/>
      <c r="CC2138" s="14"/>
      <c r="CD2138" s="14"/>
      <c r="CE2138" s="14"/>
      <c r="CF2138" s="15"/>
      <c r="CG2138" s="14"/>
      <c r="CH2138" s="14"/>
      <c r="CI2138" s="50"/>
      <c r="CJ2138" s="54"/>
      <c r="CK2138" s="14"/>
      <c r="CL2138" s="14"/>
      <c r="CM2138" s="14"/>
      <c r="CN2138" s="14"/>
      <c r="CO2138" s="14"/>
      <c r="CP2138" s="14"/>
      <c r="CQ2138" s="14"/>
      <c r="CR2138" s="14"/>
      <c r="CS2138" s="14"/>
      <c r="CT2138" s="14"/>
      <c r="CU2138" s="16"/>
      <c r="CV2138" s="14"/>
      <c r="CW2138" s="50"/>
      <c r="CX2138" s="17"/>
    </row>
    <row r="2139" spans="4:102" x14ac:dyDescent="0.25">
      <c r="D2139" s="11"/>
      <c r="E2139" s="11"/>
      <c r="F2139" s="11"/>
      <c r="G2139" s="11"/>
      <c r="H2139" s="11"/>
      <c r="I2139" s="11"/>
      <c r="J2139" s="11"/>
      <c r="K2139" s="11"/>
      <c r="L2139" s="11"/>
      <c r="M2139" s="11"/>
      <c r="N2139" s="11"/>
      <c r="O2139" s="11"/>
      <c r="P2139" s="43"/>
      <c r="Q2139" s="11"/>
      <c r="R2139" s="11"/>
      <c r="S2139" s="11"/>
      <c r="T2139" s="11"/>
      <c r="U2139" s="11"/>
      <c r="V2139" s="11"/>
      <c r="W2139" s="11"/>
      <c r="X2139" s="12"/>
      <c r="Y2139" s="12"/>
      <c r="Z2139" s="12"/>
      <c r="AA2139" s="44"/>
      <c r="AB2139" s="45"/>
      <c r="AC2139" s="12"/>
      <c r="AD2139" s="12"/>
      <c r="AE2139" s="12"/>
      <c r="AF2139" s="12"/>
      <c r="AG2139" s="44"/>
      <c r="AH2139" s="45"/>
      <c r="AI2139" s="12"/>
      <c r="AJ2139" s="12"/>
      <c r="AK2139" s="12"/>
      <c r="AL2139" s="12"/>
      <c r="AM2139" s="44"/>
      <c r="AN2139" s="45"/>
      <c r="AO2139" s="12"/>
      <c r="AP2139" s="12"/>
      <c r="AQ2139" s="12"/>
      <c r="AR2139" s="12"/>
      <c r="AS2139" s="44"/>
      <c r="AT2139" s="45"/>
      <c r="AU2139" s="12"/>
      <c r="AV2139" s="12"/>
      <c r="AW2139" s="12"/>
      <c r="AX2139" s="12"/>
      <c r="AY2139" s="44"/>
      <c r="AZ2139" s="45"/>
      <c r="BA2139" s="12"/>
      <c r="BB2139" s="12"/>
      <c r="BC2139" s="12"/>
      <c r="BD2139" s="12"/>
      <c r="BE2139" s="44"/>
      <c r="BF2139" s="45"/>
      <c r="BG2139" s="12"/>
      <c r="BH2139" s="12"/>
      <c r="BI2139" s="12"/>
      <c r="BJ2139" s="12"/>
      <c r="BK2139" s="44"/>
      <c r="BL2139" s="45"/>
      <c r="BM2139" s="12"/>
      <c r="BN2139" s="12"/>
      <c r="BO2139" s="12"/>
      <c r="BP2139" s="12"/>
      <c r="BQ2139" s="48"/>
      <c r="BR2139" s="49"/>
      <c r="BS2139" s="13"/>
      <c r="BT2139" s="12"/>
      <c r="BV2139" s="14"/>
      <c r="BW2139" s="50"/>
      <c r="BX2139" s="54"/>
      <c r="BY2139" s="14"/>
      <c r="BZ2139" s="14"/>
      <c r="CA2139" s="14"/>
      <c r="CB2139" s="14"/>
      <c r="CC2139" s="14"/>
      <c r="CD2139" s="14"/>
      <c r="CE2139" s="14"/>
      <c r="CF2139" s="15"/>
      <c r="CG2139" s="14"/>
      <c r="CH2139" s="14"/>
      <c r="CI2139" s="50"/>
      <c r="CJ2139" s="54"/>
      <c r="CK2139" s="14"/>
      <c r="CL2139" s="14"/>
      <c r="CM2139" s="14"/>
      <c r="CN2139" s="14"/>
      <c r="CO2139" s="14"/>
      <c r="CP2139" s="14"/>
      <c r="CQ2139" s="14"/>
      <c r="CR2139" s="14"/>
      <c r="CS2139" s="14"/>
      <c r="CT2139" s="14"/>
      <c r="CU2139" s="16"/>
      <c r="CV2139" s="14"/>
      <c r="CW2139" s="50"/>
      <c r="CX2139" s="17"/>
    </row>
    <row r="2140" spans="4:102" x14ac:dyDescent="0.25">
      <c r="D2140" s="11"/>
      <c r="E2140" s="11"/>
      <c r="F2140" s="11"/>
      <c r="G2140" s="11"/>
      <c r="H2140" s="11"/>
      <c r="I2140" s="11"/>
      <c r="J2140" s="11"/>
      <c r="K2140" s="11"/>
      <c r="L2140" s="11"/>
      <c r="M2140" s="11"/>
      <c r="N2140" s="11"/>
      <c r="O2140" s="11"/>
      <c r="P2140" s="43"/>
      <c r="Q2140" s="11"/>
      <c r="R2140" s="11"/>
      <c r="S2140" s="11"/>
      <c r="T2140" s="11"/>
      <c r="U2140" s="11"/>
      <c r="V2140" s="11"/>
      <c r="W2140" s="11"/>
      <c r="X2140" s="12"/>
      <c r="Y2140" s="12"/>
      <c r="Z2140" s="12"/>
      <c r="AA2140" s="44"/>
      <c r="AB2140" s="45"/>
      <c r="AC2140" s="12"/>
      <c r="AD2140" s="12"/>
      <c r="AE2140" s="12"/>
      <c r="AF2140" s="12"/>
      <c r="AG2140" s="44"/>
      <c r="AH2140" s="45"/>
      <c r="AI2140" s="12"/>
      <c r="AJ2140" s="12"/>
      <c r="AK2140" s="12"/>
      <c r="AL2140" s="12"/>
      <c r="AM2140" s="44"/>
      <c r="AN2140" s="45"/>
      <c r="AO2140" s="12"/>
      <c r="AP2140" s="12"/>
      <c r="AQ2140" s="12"/>
      <c r="AR2140" s="12"/>
      <c r="AS2140" s="44"/>
      <c r="AT2140" s="45"/>
      <c r="AU2140" s="12"/>
      <c r="AV2140" s="12"/>
      <c r="AW2140" s="12"/>
      <c r="AX2140" s="12"/>
      <c r="AY2140" s="44"/>
      <c r="AZ2140" s="45"/>
      <c r="BA2140" s="12"/>
      <c r="BB2140" s="12"/>
      <c r="BC2140" s="12"/>
      <c r="BD2140" s="12"/>
      <c r="BE2140" s="44"/>
      <c r="BF2140" s="45"/>
      <c r="BG2140" s="12"/>
      <c r="BH2140" s="12"/>
      <c r="BI2140" s="12"/>
      <c r="BJ2140" s="12"/>
      <c r="BK2140" s="44"/>
      <c r="BL2140" s="45"/>
      <c r="BM2140" s="12"/>
      <c r="BN2140" s="12"/>
      <c r="BO2140" s="12"/>
      <c r="BP2140" s="12"/>
      <c r="BQ2140" s="48"/>
      <c r="BR2140" s="49"/>
      <c r="BS2140" s="13"/>
      <c r="BT2140" s="12"/>
      <c r="BV2140" s="14"/>
      <c r="BW2140" s="50"/>
      <c r="BX2140" s="54"/>
      <c r="BY2140" s="14"/>
      <c r="BZ2140" s="14"/>
      <c r="CA2140" s="14"/>
      <c r="CB2140" s="14"/>
      <c r="CC2140" s="14"/>
      <c r="CD2140" s="14"/>
      <c r="CE2140" s="14"/>
      <c r="CF2140" s="15"/>
      <c r="CG2140" s="14"/>
      <c r="CH2140" s="14"/>
      <c r="CI2140" s="50"/>
      <c r="CJ2140" s="54"/>
      <c r="CK2140" s="14"/>
      <c r="CL2140" s="14"/>
      <c r="CM2140" s="14"/>
      <c r="CN2140" s="14"/>
      <c r="CO2140" s="14"/>
      <c r="CP2140" s="14"/>
      <c r="CQ2140" s="14"/>
      <c r="CR2140" s="14"/>
      <c r="CS2140" s="14"/>
      <c r="CT2140" s="14"/>
      <c r="CU2140" s="16"/>
      <c r="CV2140" s="14"/>
      <c r="CW2140" s="50"/>
      <c r="CX2140" s="17"/>
    </row>
    <row r="2141" spans="4:102" x14ac:dyDescent="0.25">
      <c r="D2141" s="11"/>
      <c r="E2141" s="11"/>
      <c r="F2141" s="11"/>
      <c r="G2141" s="11"/>
      <c r="H2141" s="11"/>
      <c r="I2141" s="11"/>
      <c r="J2141" s="11"/>
      <c r="K2141" s="11"/>
      <c r="L2141" s="11"/>
      <c r="M2141" s="11"/>
      <c r="N2141" s="11"/>
      <c r="O2141" s="11"/>
      <c r="P2141" s="43"/>
      <c r="Q2141" s="11"/>
      <c r="R2141" s="11"/>
      <c r="S2141" s="11"/>
      <c r="T2141" s="11"/>
      <c r="U2141" s="11"/>
      <c r="V2141" s="11"/>
      <c r="W2141" s="11"/>
      <c r="X2141" s="12"/>
      <c r="Y2141" s="12"/>
      <c r="Z2141" s="12"/>
      <c r="AA2141" s="44"/>
      <c r="AB2141" s="45"/>
      <c r="AC2141" s="12"/>
      <c r="AD2141" s="12"/>
      <c r="AE2141" s="12"/>
      <c r="AF2141" s="12"/>
      <c r="AG2141" s="44"/>
      <c r="AH2141" s="45"/>
      <c r="AI2141" s="12"/>
      <c r="AJ2141" s="12"/>
      <c r="AK2141" s="12"/>
      <c r="AL2141" s="12"/>
      <c r="AM2141" s="44"/>
      <c r="AN2141" s="45"/>
      <c r="AO2141" s="12"/>
      <c r="AP2141" s="12"/>
      <c r="AQ2141" s="12"/>
      <c r="AR2141" s="12"/>
      <c r="AS2141" s="44"/>
      <c r="AT2141" s="45"/>
      <c r="AU2141" s="12"/>
      <c r="AV2141" s="12"/>
      <c r="AW2141" s="12"/>
      <c r="AX2141" s="12"/>
      <c r="AY2141" s="44"/>
      <c r="AZ2141" s="45"/>
      <c r="BA2141" s="12"/>
      <c r="BB2141" s="12"/>
      <c r="BC2141" s="12"/>
      <c r="BD2141" s="12"/>
      <c r="BE2141" s="44"/>
      <c r="BF2141" s="45"/>
      <c r="BG2141" s="12"/>
      <c r="BH2141" s="12"/>
      <c r="BI2141" s="12"/>
      <c r="BJ2141" s="12"/>
      <c r="BK2141" s="44"/>
      <c r="BL2141" s="45"/>
      <c r="BM2141" s="12"/>
      <c r="BN2141" s="12"/>
      <c r="BO2141" s="12"/>
      <c r="BP2141" s="12"/>
      <c r="BQ2141" s="48"/>
      <c r="BR2141" s="49"/>
      <c r="BS2141" s="13"/>
      <c r="BT2141" s="12"/>
      <c r="BV2141" s="14"/>
      <c r="BW2141" s="50"/>
      <c r="BX2141" s="54"/>
      <c r="BY2141" s="14"/>
      <c r="BZ2141" s="14"/>
      <c r="CA2141" s="14"/>
      <c r="CB2141" s="14"/>
      <c r="CC2141" s="14"/>
      <c r="CD2141" s="14"/>
      <c r="CE2141" s="14"/>
      <c r="CF2141" s="15"/>
      <c r="CG2141" s="14"/>
      <c r="CH2141" s="14"/>
      <c r="CI2141" s="50"/>
      <c r="CJ2141" s="54"/>
      <c r="CK2141" s="14"/>
      <c r="CL2141" s="14"/>
      <c r="CM2141" s="14"/>
      <c r="CN2141" s="14"/>
      <c r="CO2141" s="14"/>
      <c r="CP2141" s="14"/>
      <c r="CQ2141" s="14"/>
      <c r="CR2141" s="14"/>
      <c r="CS2141" s="14"/>
      <c r="CT2141" s="14"/>
      <c r="CU2141" s="16"/>
      <c r="CV2141" s="14"/>
      <c r="CW2141" s="50"/>
      <c r="CX2141" s="17"/>
    </row>
    <row r="2142" spans="4:102" x14ac:dyDescent="0.25">
      <c r="D2142" s="11"/>
      <c r="E2142" s="11"/>
      <c r="F2142" s="11"/>
      <c r="G2142" s="11"/>
      <c r="H2142" s="11"/>
      <c r="I2142" s="11"/>
      <c r="J2142" s="11"/>
      <c r="K2142" s="11"/>
      <c r="L2142" s="11"/>
      <c r="M2142" s="11"/>
      <c r="N2142" s="11"/>
      <c r="O2142" s="11"/>
      <c r="P2142" s="43"/>
      <c r="Q2142" s="11"/>
      <c r="R2142" s="11"/>
      <c r="S2142" s="11"/>
      <c r="T2142" s="11"/>
      <c r="U2142" s="11"/>
      <c r="V2142" s="11"/>
      <c r="W2142" s="11"/>
      <c r="X2142" s="12"/>
      <c r="Y2142" s="12"/>
      <c r="Z2142" s="12"/>
      <c r="AA2142" s="44"/>
      <c r="AB2142" s="45"/>
      <c r="AC2142" s="12"/>
      <c r="AD2142" s="12"/>
      <c r="AE2142" s="12"/>
      <c r="AF2142" s="12"/>
      <c r="AG2142" s="44"/>
      <c r="AH2142" s="45"/>
      <c r="AI2142" s="12"/>
      <c r="AJ2142" s="12"/>
      <c r="AK2142" s="12"/>
      <c r="AL2142" s="12"/>
      <c r="AM2142" s="44"/>
      <c r="AN2142" s="45"/>
      <c r="AO2142" s="12"/>
      <c r="AP2142" s="12"/>
      <c r="AQ2142" s="12"/>
      <c r="AR2142" s="12"/>
      <c r="AS2142" s="44"/>
      <c r="AT2142" s="45"/>
      <c r="AU2142" s="12"/>
      <c r="AV2142" s="12"/>
      <c r="AW2142" s="12"/>
      <c r="AX2142" s="12"/>
      <c r="AY2142" s="44"/>
      <c r="AZ2142" s="45"/>
      <c r="BA2142" s="12"/>
      <c r="BB2142" s="12"/>
      <c r="BC2142" s="12"/>
      <c r="BD2142" s="12"/>
      <c r="BE2142" s="44"/>
      <c r="BF2142" s="45"/>
      <c r="BG2142" s="12"/>
      <c r="BH2142" s="12"/>
      <c r="BI2142" s="12"/>
      <c r="BJ2142" s="12"/>
      <c r="BK2142" s="44"/>
      <c r="BL2142" s="45"/>
      <c r="BM2142" s="12"/>
      <c r="BN2142" s="12"/>
      <c r="BO2142" s="12"/>
      <c r="BP2142" s="12"/>
      <c r="BQ2142" s="48"/>
      <c r="BR2142" s="49"/>
      <c r="BS2142" s="13"/>
      <c r="BT2142" s="12"/>
      <c r="BV2142" s="14"/>
      <c r="BW2142" s="50"/>
      <c r="BX2142" s="54"/>
      <c r="BY2142" s="14"/>
      <c r="BZ2142" s="14"/>
      <c r="CA2142" s="14"/>
      <c r="CB2142" s="14"/>
      <c r="CC2142" s="14"/>
      <c r="CD2142" s="14"/>
      <c r="CE2142" s="14"/>
      <c r="CF2142" s="15"/>
      <c r="CG2142" s="14"/>
      <c r="CH2142" s="14"/>
      <c r="CI2142" s="50"/>
      <c r="CJ2142" s="54"/>
      <c r="CK2142" s="14"/>
      <c r="CL2142" s="14"/>
      <c r="CM2142" s="14"/>
      <c r="CN2142" s="14"/>
      <c r="CO2142" s="14"/>
      <c r="CP2142" s="14"/>
      <c r="CQ2142" s="14"/>
      <c r="CR2142" s="14"/>
      <c r="CS2142" s="14"/>
      <c r="CT2142" s="14"/>
      <c r="CU2142" s="16"/>
      <c r="CV2142" s="14"/>
      <c r="CW2142" s="50"/>
      <c r="CX2142" s="17"/>
    </row>
    <row r="2143" spans="4:102" x14ac:dyDescent="0.25">
      <c r="D2143" s="11"/>
      <c r="E2143" s="11"/>
      <c r="F2143" s="11"/>
      <c r="G2143" s="11"/>
      <c r="H2143" s="11"/>
      <c r="I2143" s="11"/>
      <c r="J2143" s="11"/>
      <c r="K2143" s="11"/>
      <c r="L2143" s="11"/>
      <c r="M2143" s="11"/>
      <c r="N2143" s="11"/>
      <c r="O2143" s="11"/>
      <c r="P2143" s="43"/>
      <c r="Q2143" s="11"/>
      <c r="R2143" s="11"/>
      <c r="S2143" s="11"/>
      <c r="T2143" s="11"/>
      <c r="U2143" s="11"/>
      <c r="V2143" s="11"/>
      <c r="W2143" s="11"/>
      <c r="X2143" s="12"/>
      <c r="Y2143" s="12"/>
      <c r="Z2143" s="12"/>
      <c r="AA2143" s="44"/>
      <c r="AB2143" s="45"/>
      <c r="AC2143" s="12"/>
      <c r="AD2143" s="12"/>
      <c r="AE2143" s="12"/>
      <c r="AF2143" s="12"/>
      <c r="AG2143" s="44"/>
      <c r="AH2143" s="45"/>
      <c r="AI2143" s="12"/>
      <c r="AJ2143" s="12"/>
      <c r="AK2143" s="12"/>
      <c r="AL2143" s="12"/>
      <c r="AM2143" s="44"/>
      <c r="AN2143" s="45"/>
      <c r="AO2143" s="12"/>
      <c r="AP2143" s="12"/>
      <c r="AQ2143" s="12"/>
      <c r="AR2143" s="12"/>
      <c r="AS2143" s="44"/>
      <c r="AT2143" s="45"/>
      <c r="AU2143" s="12"/>
      <c r="AV2143" s="12"/>
      <c r="AW2143" s="12"/>
      <c r="AX2143" s="12"/>
      <c r="AY2143" s="44"/>
      <c r="AZ2143" s="45"/>
      <c r="BA2143" s="12"/>
      <c r="BB2143" s="12"/>
      <c r="BC2143" s="12"/>
      <c r="BD2143" s="12"/>
      <c r="BE2143" s="44"/>
      <c r="BF2143" s="45"/>
      <c r="BG2143" s="12"/>
      <c r="BH2143" s="12"/>
      <c r="BI2143" s="12"/>
      <c r="BJ2143" s="12"/>
      <c r="BK2143" s="44"/>
      <c r="BL2143" s="45"/>
      <c r="BM2143" s="12"/>
      <c r="BN2143" s="12"/>
      <c r="BO2143" s="12"/>
      <c r="BP2143" s="12"/>
      <c r="BQ2143" s="48"/>
      <c r="BR2143" s="49"/>
      <c r="BS2143" s="13"/>
      <c r="BT2143" s="12"/>
      <c r="BV2143" s="14"/>
      <c r="BW2143" s="50"/>
      <c r="BX2143" s="54"/>
      <c r="BY2143" s="14"/>
      <c r="BZ2143" s="14"/>
      <c r="CA2143" s="14"/>
      <c r="CB2143" s="14"/>
      <c r="CC2143" s="14"/>
      <c r="CD2143" s="14"/>
      <c r="CE2143" s="14"/>
      <c r="CF2143" s="15"/>
      <c r="CG2143" s="14"/>
      <c r="CH2143" s="14"/>
      <c r="CI2143" s="50"/>
      <c r="CJ2143" s="54"/>
      <c r="CK2143" s="14"/>
      <c r="CL2143" s="14"/>
      <c r="CM2143" s="14"/>
      <c r="CN2143" s="14"/>
      <c r="CO2143" s="14"/>
      <c r="CP2143" s="14"/>
      <c r="CQ2143" s="14"/>
      <c r="CR2143" s="14"/>
      <c r="CS2143" s="14"/>
      <c r="CT2143" s="14"/>
      <c r="CU2143" s="16"/>
      <c r="CV2143" s="14"/>
      <c r="CW2143" s="50"/>
      <c r="CX2143" s="17"/>
    </row>
    <row r="2144" spans="4:102" x14ac:dyDescent="0.25">
      <c r="D2144" s="11"/>
      <c r="E2144" s="11"/>
      <c r="F2144" s="11"/>
      <c r="G2144" s="11"/>
      <c r="H2144" s="11"/>
      <c r="I2144" s="11"/>
      <c r="J2144" s="11"/>
      <c r="K2144" s="11"/>
      <c r="L2144" s="11"/>
      <c r="M2144" s="11"/>
      <c r="N2144" s="11"/>
      <c r="O2144" s="11"/>
      <c r="P2144" s="43"/>
      <c r="Q2144" s="11"/>
      <c r="R2144" s="11"/>
      <c r="S2144" s="11"/>
      <c r="T2144" s="11"/>
      <c r="U2144" s="11"/>
      <c r="V2144" s="11"/>
      <c r="W2144" s="11"/>
      <c r="X2144" s="12"/>
      <c r="Y2144" s="12"/>
      <c r="Z2144" s="12"/>
      <c r="AA2144" s="44"/>
      <c r="AB2144" s="45"/>
      <c r="AC2144" s="12"/>
      <c r="AD2144" s="12"/>
      <c r="AE2144" s="12"/>
      <c r="AF2144" s="12"/>
      <c r="AG2144" s="44"/>
      <c r="AH2144" s="45"/>
      <c r="AI2144" s="12"/>
      <c r="AJ2144" s="12"/>
      <c r="AK2144" s="12"/>
      <c r="AL2144" s="12"/>
      <c r="AM2144" s="44"/>
      <c r="AN2144" s="45"/>
      <c r="AO2144" s="12"/>
      <c r="AP2144" s="12"/>
      <c r="AQ2144" s="12"/>
      <c r="AR2144" s="12"/>
      <c r="AS2144" s="44"/>
      <c r="AT2144" s="45"/>
      <c r="AU2144" s="12"/>
      <c r="AV2144" s="12"/>
      <c r="AW2144" s="12"/>
      <c r="AX2144" s="12"/>
      <c r="AY2144" s="44"/>
      <c r="AZ2144" s="45"/>
      <c r="BA2144" s="12"/>
      <c r="BB2144" s="12"/>
      <c r="BC2144" s="12"/>
      <c r="BD2144" s="12"/>
      <c r="BE2144" s="44"/>
      <c r="BF2144" s="45"/>
      <c r="BG2144" s="12"/>
      <c r="BH2144" s="12"/>
      <c r="BI2144" s="12"/>
      <c r="BJ2144" s="12"/>
      <c r="BK2144" s="44"/>
      <c r="BL2144" s="45"/>
      <c r="BM2144" s="12"/>
      <c r="BN2144" s="12"/>
      <c r="BO2144" s="12"/>
      <c r="BP2144" s="12"/>
      <c r="BQ2144" s="48"/>
      <c r="BR2144" s="49"/>
      <c r="BS2144" s="13"/>
      <c r="BT2144" s="12"/>
      <c r="BV2144" s="14"/>
      <c r="BW2144" s="50"/>
      <c r="BX2144" s="54"/>
      <c r="BY2144" s="14"/>
      <c r="BZ2144" s="14"/>
      <c r="CA2144" s="14"/>
      <c r="CB2144" s="14"/>
      <c r="CC2144" s="14"/>
      <c r="CD2144" s="14"/>
      <c r="CE2144" s="14"/>
      <c r="CF2144" s="15"/>
      <c r="CG2144" s="14"/>
      <c r="CH2144" s="14"/>
      <c r="CI2144" s="50"/>
      <c r="CJ2144" s="54"/>
      <c r="CK2144" s="14"/>
      <c r="CL2144" s="14"/>
      <c r="CM2144" s="14"/>
      <c r="CN2144" s="14"/>
      <c r="CO2144" s="14"/>
      <c r="CP2144" s="14"/>
      <c r="CQ2144" s="14"/>
      <c r="CR2144" s="14"/>
      <c r="CS2144" s="14"/>
      <c r="CT2144" s="14"/>
      <c r="CU2144" s="16"/>
      <c r="CV2144" s="14"/>
      <c r="CW2144" s="50"/>
      <c r="CX2144" s="17"/>
    </row>
    <row r="2145" spans="4:102" x14ac:dyDescent="0.25">
      <c r="D2145" s="11"/>
      <c r="E2145" s="11"/>
      <c r="F2145" s="11"/>
      <c r="G2145" s="11"/>
      <c r="H2145" s="11"/>
      <c r="I2145" s="11"/>
      <c r="J2145" s="11"/>
      <c r="K2145" s="11"/>
      <c r="L2145" s="11"/>
      <c r="M2145" s="11"/>
      <c r="N2145" s="11"/>
      <c r="O2145" s="11"/>
      <c r="P2145" s="43"/>
      <c r="Q2145" s="11"/>
      <c r="R2145" s="11"/>
      <c r="S2145" s="11"/>
      <c r="T2145" s="11"/>
      <c r="U2145" s="11"/>
      <c r="V2145" s="11"/>
      <c r="W2145" s="11"/>
      <c r="X2145" s="12"/>
      <c r="Y2145" s="12"/>
      <c r="Z2145" s="12"/>
      <c r="AA2145" s="44"/>
      <c r="AB2145" s="45"/>
      <c r="AC2145" s="12"/>
      <c r="AD2145" s="12"/>
      <c r="AE2145" s="12"/>
      <c r="AF2145" s="12"/>
      <c r="AG2145" s="44"/>
      <c r="AH2145" s="45"/>
      <c r="AI2145" s="12"/>
      <c r="AJ2145" s="12"/>
      <c r="AK2145" s="12"/>
      <c r="AL2145" s="12"/>
      <c r="AM2145" s="44"/>
      <c r="AN2145" s="45"/>
      <c r="AO2145" s="12"/>
      <c r="AP2145" s="12"/>
      <c r="AQ2145" s="12"/>
      <c r="AR2145" s="12"/>
      <c r="AS2145" s="44"/>
      <c r="AT2145" s="45"/>
      <c r="AU2145" s="12"/>
      <c r="AV2145" s="12"/>
      <c r="AW2145" s="12"/>
      <c r="AX2145" s="12"/>
      <c r="AY2145" s="44"/>
      <c r="AZ2145" s="45"/>
      <c r="BA2145" s="12"/>
      <c r="BB2145" s="12"/>
      <c r="BC2145" s="12"/>
      <c r="BD2145" s="12"/>
      <c r="BE2145" s="44"/>
      <c r="BF2145" s="45"/>
      <c r="BG2145" s="12"/>
      <c r="BH2145" s="12"/>
      <c r="BI2145" s="12"/>
      <c r="BJ2145" s="12"/>
      <c r="BK2145" s="44"/>
      <c r="BL2145" s="45"/>
      <c r="BM2145" s="12"/>
      <c r="BN2145" s="12"/>
      <c r="BO2145" s="12"/>
      <c r="BP2145" s="12"/>
      <c r="BQ2145" s="48"/>
      <c r="BR2145" s="49"/>
      <c r="BS2145" s="13"/>
      <c r="BT2145" s="12"/>
      <c r="BV2145" s="14"/>
      <c r="BW2145" s="50"/>
      <c r="BX2145" s="54"/>
      <c r="BY2145" s="14"/>
      <c r="BZ2145" s="14"/>
      <c r="CA2145" s="14"/>
      <c r="CB2145" s="14"/>
      <c r="CC2145" s="14"/>
      <c r="CD2145" s="14"/>
      <c r="CE2145" s="14"/>
      <c r="CF2145" s="15"/>
      <c r="CG2145" s="14"/>
      <c r="CH2145" s="14"/>
      <c r="CI2145" s="50"/>
      <c r="CJ2145" s="54"/>
      <c r="CK2145" s="14"/>
      <c r="CL2145" s="14"/>
      <c r="CM2145" s="14"/>
      <c r="CN2145" s="14"/>
      <c r="CO2145" s="14"/>
      <c r="CP2145" s="14"/>
      <c r="CQ2145" s="14"/>
      <c r="CR2145" s="14"/>
      <c r="CS2145" s="14"/>
      <c r="CT2145" s="14"/>
      <c r="CU2145" s="16"/>
      <c r="CV2145" s="14"/>
      <c r="CW2145" s="50"/>
      <c r="CX2145" s="17"/>
    </row>
    <row r="2146" spans="4:102" x14ac:dyDescent="0.25">
      <c r="D2146" s="11"/>
      <c r="E2146" s="11"/>
      <c r="F2146" s="11"/>
      <c r="G2146" s="11"/>
      <c r="H2146" s="11"/>
      <c r="I2146" s="11"/>
      <c r="J2146" s="11"/>
      <c r="K2146" s="11"/>
      <c r="L2146" s="11"/>
      <c r="M2146" s="11"/>
      <c r="N2146" s="11"/>
      <c r="O2146" s="11"/>
      <c r="P2146" s="43"/>
      <c r="Q2146" s="11"/>
      <c r="R2146" s="11"/>
      <c r="S2146" s="11"/>
      <c r="T2146" s="11"/>
      <c r="U2146" s="11"/>
      <c r="V2146" s="11"/>
      <c r="W2146" s="11"/>
      <c r="X2146" s="12"/>
      <c r="Y2146" s="12"/>
      <c r="Z2146" s="12"/>
      <c r="AA2146" s="44"/>
      <c r="AB2146" s="45"/>
      <c r="AC2146" s="12"/>
      <c r="AD2146" s="12"/>
      <c r="AE2146" s="12"/>
      <c r="AF2146" s="12"/>
      <c r="AG2146" s="44"/>
      <c r="AH2146" s="45"/>
      <c r="AI2146" s="12"/>
      <c r="AJ2146" s="12"/>
      <c r="AK2146" s="12"/>
      <c r="AL2146" s="12"/>
      <c r="AM2146" s="44"/>
      <c r="AN2146" s="45"/>
      <c r="AO2146" s="12"/>
      <c r="AP2146" s="12"/>
      <c r="AQ2146" s="12"/>
      <c r="AR2146" s="12"/>
      <c r="AS2146" s="44"/>
      <c r="AT2146" s="45"/>
      <c r="AU2146" s="12"/>
      <c r="AV2146" s="12"/>
      <c r="AW2146" s="12"/>
      <c r="AX2146" s="12"/>
      <c r="AY2146" s="44"/>
      <c r="AZ2146" s="45"/>
      <c r="BA2146" s="12"/>
      <c r="BB2146" s="12"/>
      <c r="BC2146" s="12"/>
      <c r="BD2146" s="12"/>
      <c r="BE2146" s="44"/>
      <c r="BF2146" s="45"/>
      <c r="BG2146" s="12"/>
      <c r="BH2146" s="12"/>
      <c r="BI2146" s="12"/>
      <c r="BJ2146" s="12"/>
      <c r="BK2146" s="44"/>
      <c r="BL2146" s="45"/>
      <c r="BM2146" s="12"/>
      <c r="BN2146" s="12"/>
      <c r="BO2146" s="12"/>
      <c r="BP2146" s="12"/>
      <c r="BQ2146" s="48"/>
      <c r="BR2146" s="49"/>
      <c r="BS2146" s="13"/>
      <c r="BT2146" s="12"/>
      <c r="BV2146" s="14"/>
      <c r="BW2146" s="50"/>
      <c r="BX2146" s="54"/>
      <c r="BY2146" s="14"/>
      <c r="BZ2146" s="14"/>
      <c r="CA2146" s="14"/>
      <c r="CB2146" s="14"/>
      <c r="CC2146" s="14"/>
      <c r="CD2146" s="14"/>
      <c r="CE2146" s="14"/>
      <c r="CF2146" s="15"/>
      <c r="CG2146" s="14"/>
      <c r="CH2146" s="14"/>
      <c r="CI2146" s="50"/>
      <c r="CJ2146" s="54"/>
      <c r="CK2146" s="14"/>
      <c r="CL2146" s="14"/>
      <c r="CM2146" s="14"/>
      <c r="CN2146" s="14"/>
      <c r="CO2146" s="14"/>
      <c r="CP2146" s="14"/>
      <c r="CQ2146" s="14"/>
      <c r="CR2146" s="14"/>
      <c r="CS2146" s="14"/>
      <c r="CT2146" s="14"/>
      <c r="CU2146" s="16"/>
      <c r="CV2146" s="14"/>
      <c r="CW2146" s="50"/>
      <c r="CX2146" s="17"/>
    </row>
    <row r="2147" spans="4:102" x14ac:dyDescent="0.25">
      <c r="D2147" s="11"/>
      <c r="E2147" s="11"/>
      <c r="F2147" s="11"/>
      <c r="G2147" s="11"/>
      <c r="H2147" s="11"/>
      <c r="I2147" s="11"/>
      <c r="J2147" s="11"/>
      <c r="K2147" s="11"/>
      <c r="L2147" s="11"/>
      <c r="M2147" s="11"/>
      <c r="N2147" s="11"/>
      <c r="O2147" s="11"/>
      <c r="P2147" s="43"/>
      <c r="Q2147" s="11"/>
      <c r="R2147" s="11"/>
      <c r="S2147" s="11"/>
      <c r="T2147" s="11"/>
      <c r="U2147" s="11"/>
      <c r="V2147" s="11"/>
      <c r="W2147" s="11"/>
      <c r="X2147" s="12"/>
      <c r="Y2147" s="12"/>
      <c r="Z2147" s="12"/>
      <c r="AA2147" s="44"/>
      <c r="AB2147" s="45"/>
      <c r="AC2147" s="12"/>
      <c r="AD2147" s="12"/>
      <c r="AE2147" s="12"/>
      <c r="AF2147" s="12"/>
      <c r="AG2147" s="44"/>
      <c r="AH2147" s="45"/>
      <c r="AI2147" s="12"/>
      <c r="AJ2147" s="12"/>
      <c r="AK2147" s="12"/>
      <c r="AL2147" s="12"/>
      <c r="AM2147" s="44"/>
      <c r="AN2147" s="45"/>
      <c r="AO2147" s="12"/>
      <c r="AP2147" s="12"/>
      <c r="AQ2147" s="12"/>
      <c r="AR2147" s="12"/>
      <c r="AS2147" s="44"/>
      <c r="AT2147" s="45"/>
      <c r="AU2147" s="12"/>
      <c r="AV2147" s="12"/>
      <c r="AW2147" s="12"/>
      <c r="AX2147" s="12"/>
      <c r="AY2147" s="44"/>
      <c r="AZ2147" s="45"/>
      <c r="BA2147" s="12"/>
      <c r="BB2147" s="12"/>
      <c r="BC2147" s="12"/>
      <c r="BD2147" s="12"/>
      <c r="BE2147" s="44"/>
      <c r="BF2147" s="45"/>
      <c r="BG2147" s="12"/>
      <c r="BH2147" s="12"/>
      <c r="BI2147" s="12"/>
      <c r="BJ2147" s="12"/>
      <c r="BK2147" s="44"/>
      <c r="BL2147" s="45"/>
      <c r="BM2147" s="12"/>
      <c r="BN2147" s="12"/>
      <c r="BO2147" s="12"/>
      <c r="BP2147" s="12"/>
      <c r="BQ2147" s="48"/>
      <c r="BR2147" s="49"/>
      <c r="BS2147" s="13"/>
      <c r="BT2147" s="12"/>
      <c r="BV2147" s="14"/>
      <c r="BW2147" s="50"/>
      <c r="BX2147" s="54"/>
      <c r="BY2147" s="14"/>
      <c r="BZ2147" s="14"/>
      <c r="CA2147" s="14"/>
      <c r="CB2147" s="14"/>
      <c r="CC2147" s="14"/>
      <c r="CD2147" s="14"/>
      <c r="CE2147" s="14"/>
      <c r="CF2147" s="15"/>
      <c r="CG2147" s="14"/>
      <c r="CH2147" s="14"/>
      <c r="CI2147" s="50"/>
      <c r="CJ2147" s="54"/>
      <c r="CK2147" s="14"/>
      <c r="CL2147" s="14"/>
      <c r="CM2147" s="14"/>
      <c r="CN2147" s="14"/>
      <c r="CO2147" s="14"/>
      <c r="CP2147" s="14"/>
      <c r="CQ2147" s="14"/>
      <c r="CR2147" s="14"/>
      <c r="CS2147" s="14"/>
      <c r="CT2147" s="14"/>
      <c r="CU2147" s="16"/>
      <c r="CV2147" s="14"/>
      <c r="CW2147" s="50"/>
      <c r="CX2147" s="17"/>
    </row>
    <row r="2148" spans="4:102" x14ac:dyDescent="0.25">
      <c r="D2148" s="11"/>
      <c r="E2148" s="11"/>
      <c r="F2148" s="11"/>
      <c r="G2148" s="11"/>
      <c r="H2148" s="11"/>
      <c r="I2148" s="11"/>
      <c r="J2148" s="11"/>
      <c r="K2148" s="11"/>
      <c r="L2148" s="11"/>
      <c r="M2148" s="11"/>
      <c r="N2148" s="11"/>
      <c r="O2148" s="11"/>
      <c r="P2148" s="43"/>
      <c r="Q2148" s="11"/>
      <c r="R2148" s="11"/>
      <c r="S2148" s="11"/>
      <c r="T2148" s="11"/>
      <c r="U2148" s="11"/>
      <c r="V2148" s="11"/>
      <c r="W2148" s="11"/>
      <c r="X2148" s="12"/>
      <c r="Y2148" s="12"/>
      <c r="Z2148" s="12"/>
      <c r="AA2148" s="44"/>
      <c r="AB2148" s="45"/>
      <c r="AC2148" s="12"/>
      <c r="AD2148" s="12"/>
      <c r="AE2148" s="12"/>
      <c r="AF2148" s="12"/>
      <c r="AG2148" s="44"/>
      <c r="AH2148" s="45"/>
      <c r="AI2148" s="12"/>
      <c r="AJ2148" s="12"/>
      <c r="AK2148" s="12"/>
      <c r="AL2148" s="12"/>
      <c r="AM2148" s="44"/>
      <c r="AN2148" s="45"/>
      <c r="AO2148" s="12"/>
      <c r="AP2148" s="12"/>
      <c r="AQ2148" s="12"/>
      <c r="AR2148" s="12"/>
      <c r="AS2148" s="44"/>
      <c r="AT2148" s="45"/>
      <c r="AU2148" s="12"/>
      <c r="AV2148" s="12"/>
      <c r="AW2148" s="12"/>
      <c r="AX2148" s="12"/>
      <c r="AY2148" s="44"/>
      <c r="AZ2148" s="45"/>
      <c r="BA2148" s="12"/>
      <c r="BB2148" s="12"/>
      <c r="BC2148" s="12"/>
      <c r="BD2148" s="12"/>
      <c r="BE2148" s="44"/>
      <c r="BF2148" s="45"/>
      <c r="BG2148" s="12"/>
      <c r="BH2148" s="12"/>
      <c r="BI2148" s="12"/>
      <c r="BJ2148" s="12"/>
      <c r="BK2148" s="44"/>
      <c r="BL2148" s="45"/>
      <c r="BM2148" s="12"/>
      <c r="BN2148" s="12"/>
      <c r="BO2148" s="12"/>
      <c r="BP2148" s="12"/>
      <c r="BQ2148" s="48"/>
      <c r="BR2148" s="49"/>
      <c r="BS2148" s="13"/>
      <c r="BT2148" s="12"/>
      <c r="BV2148" s="14"/>
      <c r="BW2148" s="50"/>
      <c r="BX2148" s="54"/>
      <c r="BY2148" s="14"/>
      <c r="BZ2148" s="14"/>
      <c r="CA2148" s="14"/>
      <c r="CB2148" s="14"/>
      <c r="CC2148" s="14"/>
      <c r="CD2148" s="14"/>
      <c r="CE2148" s="14"/>
      <c r="CF2148" s="15"/>
      <c r="CG2148" s="14"/>
      <c r="CH2148" s="14"/>
      <c r="CI2148" s="50"/>
      <c r="CJ2148" s="54"/>
      <c r="CK2148" s="14"/>
      <c r="CL2148" s="14"/>
      <c r="CM2148" s="14"/>
      <c r="CN2148" s="14"/>
      <c r="CO2148" s="14"/>
      <c r="CP2148" s="14"/>
      <c r="CQ2148" s="14"/>
      <c r="CR2148" s="14"/>
      <c r="CS2148" s="14"/>
      <c r="CT2148" s="14"/>
      <c r="CU2148" s="16"/>
      <c r="CV2148" s="14"/>
      <c r="CW2148" s="50"/>
      <c r="CX2148" s="17"/>
    </row>
    <row r="2149" spans="4:102" x14ac:dyDescent="0.25">
      <c r="D2149" s="11"/>
      <c r="E2149" s="11"/>
      <c r="F2149" s="11"/>
      <c r="G2149" s="11"/>
      <c r="H2149" s="11"/>
      <c r="I2149" s="11"/>
      <c r="J2149" s="11"/>
      <c r="K2149" s="11"/>
      <c r="L2149" s="11"/>
      <c r="M2149" s="11"/>
      <c r="N2149" s="11"/>
      <c r="O2149" s="11"/>
      <c r="P2149" s="43"/>
      <c r="Q2149" s="11"/>
      <c r="R2149" s="11"/>
      <c r="S2149" s="11"/>
      <c r="T2149" s="11"/>
      <c r="U2149" s="11"/>
      <c r="V2149" s="11"/>
      <c r="W2149" s="11"/>
      <c r="X2149" s="12"/>
      <c r="Y2149" s="12"/>
      <c r="Z2149" s="12"/>
      <c r="AA2149" s="44"/>
      <c r="AB2149" s="45"/>
      <c r="AC2149" s="12"/>
      <c r="AD2149" s="12"/>
      <c r="AE2149" s="12"/>
      <c r="AF2149" s="12"/>
      <c r="AG2149" s="44"/>
      <c r="AH2149" s="45"/>
      <c r="AI2149" s="12"/>
      <c r="AJ2149" s="12"/>
      <c r="AK2149" s="12"/>
      <c r="AL2149" s="12"/>
      <c r="AM2149" s="44"/>
      <c r="AN2149" s="45"/>
      <c r="AO2149" s="12"/>
      <c r="AP2149" s="12"/>
      <c r="AQ2149" s="12"/>
      <c r="AR2149" s="12"/>
      <c r="AS2149" s="44"/>
      <c r="AT2149" s="45"/>
      <c r="AU2149" s="12"/>
      <c r="AV2149" s="12"/>
      <c r="AW2149" s="12"/>
      <c r="AX2149" s="12"/>
      <c r="AY2149" s="44"/>
      <c r="AZ2149" s="45"/>
      <c r="BA2149" s="12"/>
      <c r="BB2149" s="12"/>
      <c r="BC2149" s="12"/>
      <c r="BD2149" s="12"/>
      <c r="BE2149" s="44"/>
      <c r="BF2149" s="45"/>
      <c r="BG2149" s="12"/>
      <c r="BH2149" s="12"/>
      <c r="BI2149" s="12"/>
      <c r="BJ2149" s="12"/>
      <c r="BK2149" s="44"/>
      <c r="BL2149" s="45"/>
      <c r="BM2149" s="12"/>
      <c r="BN2149" s="12"/>
      <c r="BO2149" s="12"/>
      <c r="BP2149" s="12"/>
      <c r="BQ2149" s="48"/>
      <c r="BR2149" s="49"/>
      <c r="BS2149" s="13"/>
      <c r="BT2149" s="12"/>
      <c r="BV2149" s="14"/>
      <c r="BW2149" s="50"/>
      <c r="BX2149" s="54"/>
      <c r="BY2149" s="14"/>
      <c r="BZ2149" s="14"/>
      <c r="CA2149" s="14"/>
      <c r="CB2149" s="14"/>
      <c r="CC2149" s="14"/>
      <c r="CD2149" s="14"/>
      <c r="CE2149" s="14"/>
      <c r="CF2149" s="15"/>
      <c r="CG2149" s="14"/>
      <c r="CH2149" s="14"/>
      <c r="CI2149" s="50"/>
      <c r="CJ2149" s="54"/>
      <c r="CK2149" s="14"/>
      <c r="CL2149" s="14"/>
      <c r="CM2149" s="14"/>
      <c r="CN2149" s="14"/>
      <c r="CO2149" s="14"/>
      <c r="CP2149" s="14"/>
      <c r="CQ2149" s="14"/>
      <c r="CR2149" s="14"/>
      <c r="CS2149" s="14"/>
      <c r="CT2149" s="14"/>
      <c r="CU2149" s="16"/>
      <c r="CV2149" s="14"/>
      <c r="CW2149" s="50"/>
      <c r="CX2149" s="17"/>
    </row>
    <row r="2150" spans="4:102" x14ac:dyDescent="0.25">
      <c r="D2150" s="11"/>
      <c r="E2150" s="11"/>
      <c r="F2150" s="11"/>
      <c r="G2150" s="11"/>
      <c r="H2150" s="11"/>
      <c r="I2150" s="11"/>
      <c r="J2150" s="11"/>
      <c r="K2150" s="11"/>
      <c r="L2150" s="11"/>
      <c r="M2150" s="11"/>
      <c r="N2150" s="11"/>
      <c r="O2150" s="11"/>
      <c r="P2150" s="43"/>
      <c r="Q2150" s="11"/>
      <c r="R2150" s="11"/>
      <c r="S2150" s="11"/>
      <c r="T2150" s="11"/>
      <c r="U2150" s="11"/>
      <c r="V2150" s="11"/>
      <c r="W2150" s="11"/>
      <c r="X2150" s="12"/>
      <c r="Y2150" s="12"/>
      <c r="Z2150" s="12"/>
      <c r="AA2150" s="44"/>
      <c r="AB2150" s="45"/>
      <c r="AC2150" s="12"/>
      <c r="AD2150" s="12"/>
      <c r="AE2150" s="12"/>
      <c r="AF2150" s="12"/>
      <c r="AG2150" s="44"/>
      <c r="AH2150" s="45"/>
      <c r="AI2150" s="12"/>
      <c r="AJ2150" s="12"/>
      <c r="AK2150" s="12"/>
      <c r="AL2150" s="12"/>
      <c r="AM2150" s="44"/>
      <c r="AN2150" s="45"/>
      <c r="AO2150" s="12"/>
      <c r="AP2150" s="12"/>
      <c r="AQ2150" s="12"/>
      <c r="AR2150" s="12"/>
      <c r="AS2150" s="44"/>
      <c r="AT2150" s="45"/>
      <c r="AU2150" s="12"/>
      <c r="AV2150" s="12"/>
      <c r="AW2150" s="12"/>
      <c r="AX2150" s="12"/>
      <c r="AY2150" s="44"/>
      <c r="AZ2150" s="45"/>
      <c r="BA2150" s="12"/>
      <c r="BB2150" s="12"/>
      <c r="BC2150" s="12"/>
      <c r="BD2150" s="12"/>
      <c r="BE2150" s="44"/>
      <c r="BF2150" s="45"/>
      <c r="BG2150" s="12"/>
      <c r="BH2150" s="12"/>
      <c r="BI2150" s="12"/>
      <c r="BJ2150" s="12"/>
      <c r="BK2150" s="44"/>
      <c r="BL2150" s="45"/>
      <c r="BM2150" s="12"/>
      <c r="BN2150" s="12"/>
      <c r="BO2150" s="12"/>
      <c r="BP2150" s="12"/>
      <c r="BQ2150" s="48"/>
      <c r="BR2150" s="49"/>
      <c r="BS2150" s="13"/>
      <c r="BT2150" s="12"/>
      <c r="BV2150" s="14"/>
      <c r="BW2150" s="50"/>
      <c r="BX2150" s="54"/>
      <c r="BY2150" s="14"/>
      <c r="BZ2150" s="14"/>
      <c r="CA2150" s="14"/>
      <c r="CB2150" s="14"/>
      <c r="CC2150" s="14"/>
      <c r="CD2150" s="14"/>
      <c r="CE2150" s="14"/>
      <c r="CF2150" s="15"/>
      <c r="CG2150" s="14"/>
      <c r="CH2150" s="14"/>
      <c r="CI2150" s="50"/>
      <c r="CJ2150" s="54"/>
      <c r="CK2150" s="14"/>
      <c r="CL2150" s="14"/>
      <c r="CM2150" s="14"/>
      <c r="CN2150" s="14"/>
      <c r="CO2150" s="14"/>
      <c r="CP2150" s="14"/>
      <c r="CQ2150" s="14"/>
      <c r="CR2150" s="14"/>
      <c r="CS2150" s="14"/>
      <c r="CT2150" s="14"/>
      <c r="CU2150" s="16"/>
      <c r="CV2150" s="14"/>
      <c r="CW2150" s="50"/>
      <c r="CX2150" s="17"/>
    </row>
    <row r="2151" spans="4:102" x14ac:dyDescent="0.25">
      <c r="D2151" s="11"/>
      <c r="E2151" s="11"/>
      <c r="F2151" s="11"/>
      <c r="G2151" s="11"/>
      <c r="H2151" s="11"/>
      <c r="I2151" s="11"/>
      <c r="J2151" s="11"/>
      <c r="K2151" s="11"/>
      <c r="L2151" s="11"/>
      <c r="M2151" s="11"/>
      <c r="N2151" s="11"/>
      <c r="O2151" s="11"/>
      <c r="P2151" s="43"/>
      <c r="Q2151" s="11"/>
      <c r="R2151" s="11"/>
      <c r="S2151" s="11"/>
      <c r="T2151" s="11"/>
      <c r="U2151" s="11"/>
      <c r="V2151" s="11"/>
      <c r="W2151" s="11"/>
      <c r="X2151" s="12"/>
      <c r="Y2151" s="12"/>
      <c r="Z2151" s="12"/>
      <c r="AA2151" s="44"/>
      <c r="AB2151" s="45"/>
      <c r="AC2151" s="12"/>
      <c r="AD2151" s="12"/>
      <c r="AE2151" s="12"/>
      <c r="AF2151" s="12"/>
      <c r="AG2151" s="44"/>
      <c r="AH2151" s="45"/>
      <c r="AI2151" s="12"/>
      <c r="AJ2151" s="12"/>
      <c r="AK2151" s="12"/>
      <c r="AL2151" s="12"/>
      <c r="AM2151" s="44"/>
      <c r="AN2151" s="45"/>
      <c r="AO2151" s="12"/>
      <c r="AP2151" s="12"/>
      <c r="AQ2151" s="12"/>
      <c r="AR2151" s="12"/>
      <c r="AS2151" s="44"/>
      <c r="AT2151" s="45"/>
      <c r="AU2151" s="12"/>
      <c r="AV2151" s="12"/>
      <c r="AW2151" s="12"/>
      <c r="AX2151" s="12"/>
      <c r="AY2151" s="44"/>
      <c r="AZ2151" s="45"/>
      <c r="BA2151" s="12"/>
      <c r="BB2151" s="12"/>
      <c r="BC2151" s="12"/>
      <c r="BD2151" s="12"/>
      <c r="BE2151" s="44"/>
      <c r="BF2151" s="45"/>
      <c r="BG2151" s="12"/>
      <c r="BH2151" s="12"/>
      <c r="BI2151" s="12"/>
      <c r="BJ2151" s="12"/>
      <c r="BK2151" s="44"/>
      <c r="BL2151" s="45"/>
      <c r="BM2151" s="12"/>
      <c r="BN2151" s="12"/>
      <c r="BO2151" s="12"/>
      <c r="BP2151" s="12"/>
      <c r="BQ2151" s="48"/>
      <c r="BR2151" s="49"/>
      <c r="BS2151" s="13"/>
      <c r="BT2151" s="12"/>
      <c r="BV2151" s="14"/>
      <c r="BW2151" s="50"/>
      <c r="BX2151" s="54"/>
      <c r="BY2151" s="14"/>
      <c r="BZ2151" s="14"/>
      <c r="CA2151" s="14"/>
      <c r="CB2151" s="14"/>
      <c r="CC2151" s="14"/>
      <c r="CD2151" s="14"/>
      <c r="CE2151" s="14"/>
      <c r="CF2151" s="15"/>
      <c r="CG2151" s="14"/>
      <c r="CH2151" s="14"/>
      <c r="CI2151" s="50"/>
      <c r="CJ2151" s="54"/>
      <c r="CK2151" s="14"/>
      <c r="CL2151" s="14"/>
      <c r="CM2151" s="14"/>
      <c r="CN2151" s="14"/>
      <c r="CO2151" s="14"/>
      <c r="CP2151" s="14"/>
      <c r="CQ2151" s="14"/>
      <c r="CR2151" s="14"/>
      <c r="CS2151" s="14"/>
      <c r="CT2151" s="14"/>
      <c r="CU2151" s="16"/>
      <c r="CV2151" s="14"/>
      <c r="CW2151" s="50"/>
      <c r="CX2151" s="17"/>
    </row>
    <row r="2152" spans="4:102" x14ac:dyDescent="0.25">
      <c r="D2152" s="11"/>
      <c r="E2152" s="11"/>
      <c r="F2152" s="11"/>
      <c r="G2152" s="11"/>
      <c r="H2152" s="11"/>
      <c r="I2152" s="11"/>
      <c r="J2152" s="11"/>
      <c r="K2152" s="11"/>
      <c r="L2152" s="11"/>
      <c r="M2152" s="11"/>
      <c r="N2152" s="11"/>
      <c r="O2152" s="11"/>
      <c r="P2152" s="43"/>
      <c r="Q2152" s="11"/>
      <c r="R2152" s="11"/>
      <c r="S2152" s="11"/>
      <c r="T2152" s="11"/>
      <c r="U2152" s="11"/>
      <c r="V2152" s="11"/>
      <c r="W2152" s="11"/>
      <c r="X2152" s="12"/>
      <c r="Y2152" s="12"/>
      <c r="Z2152" s="12"/>
      <c r="AA2152" s="44"/>
      <c r="AB2152" s="45"/>
      <c r="AC2152" s="12"/>
      <c r="AD2152" s="12"/>
      <c r="AE2152" s="12"/>
      <c r="AF2152" s="12"/>
      <c r="AG2152" s="44"/>
      <c r="AH2152" s="45"/>
      <c r="AI2152" s="12"/>
      <c r="AJ2152" s="12"/>
      <c r="AK2152" s="12"/>
      <c r="AL2152" s="12"/>
      <c r="AM2152" s="44"/>
      <c r="AN2152" s="45"/>
      <c r="AO2152" s="12"/>
      <c r="AP2152" s="12"/>
      <c r="AQ2152" s="12"/>
      <c r="AR2152" s="12"/>
      <c r="AS2152" s="44"/>
      <c r="AT2152" s="45"/>
      <c r="AU2152" s="12"/>
      <c r="AV2152" s="12"/>
      <c r="AW2152" s="12"/>
      <c r="AX2152" s="12"/>
      <c r="AY2152" s="44"/>
      <c r="AZ2152" s="45"/>
      <c r="BA2152" s="12"/>
      <c r="BB2152" s="12"/>
      <c r="BC2152" s="12"/>
      <c r="BD2152" s="12"/>
      <c r="BE2152" s="44"/>
      <c r="BF2152" s="45"/>
      <c r="BG2152" s="12"/>
      <c r="BH2152" s="12"/>
      <c r="BI2152" s="12"/>
      <c r="BJ2152" s="12"/>
      <c r="BK2152" s="44"/>
      <c r="BL2152" s="45"/>
      <c r="BM2152" s="12"/>
      <c r="BN2152" s="12"/>
      <c r="BO2152" s="12"/>
      <c r="BP2152" s="12"/>
      <c r="BQ2152" s="48"/>
      <c r="BR2152" s="49"/>
      <c r="BS2152" s="13"/>
      <c r="BT2152" s="12"/>
      <c r="BV2152" s="14"/>
      <c r="BW2152" s="50"/>
      <c r="BX2152" s="54"/>
      <c r="BY2152" s="14"/>
      <c r="BZ2152" s="14"/>
      <c r="CA2152" s="14"/>
      <c r="CB2152" s="14"/>
      <c r="CC2152" s="14"/>
      <c r="CD2152" s="14"/>
      <c r="CE2152" s="14"/>
      <c r="CF2152" s="15"/>
      <c r="CG2152" s="14"/>
      <c r="CH2152" s="14"/>
      <c r="CI2152" s="50"/>
      <c r="CJ2152" s="54"/>
      <c r="CK2152" s="14"/>
      <c r="CL2152" s="14"/>
      <c r="CM2152" s="14"/>
      <c r="CN2152" s="14"/>
      <c r="CO2152" s="14"/>
      <c r="CP2152" s="14"/>
      <c r="CQ2152" s="14"/>
      <c r="CR2152" s="14"/>
      <c r="CS2152" s="14"/>
      <c r="CT2152" s="14"/>
      <c r="CU2152" s="16"/>
      <c r="CV2152" s="14"/>
      <c r="CW2152" s="50"/>
      <c r="CX2152" s="17"/>
    </row>
    <row r="2153" spans="4:102" x14ac:dyDescent="0.25">
      <c r="D2153" s="11"/>
      <c r="E2153" s="11"/>
      <c r="F2153" s="11"/>
      <c r="G2153" s="11"/>
      <c r="H2153" s="11"/>
      <c r="I2153" s="11"/>
      <c r="J2153" s="11"/>
      <c r="K2153" s="11"/>
      <c r="L2153" s="11"/>
      <c r="M2153" s="11"/>
      <c r="N2153" s="11"/>
      <c r="O2153" s="11"/>
      <c r="P2153" s="43"/>
      <c r="Q2153" s="11"/>
      <c r="R2153" s="11"/>
      <c r="S2153" s="11"/>
      <c r="T2153" s="11"/>
      <c r="U2153" s="11"/>
      <c r="V2153" s="11"/>
      <c r="W2153" s="11"/>
      <c r="X2153" s="12"/>
      <c r="Y2153" s="12"/>
      <c r="Z2153" s="12"/>
      <c r="AA2153" s="44"/>
      <c r="AB2153" s="45"/>
      <c r="AC2153" s="12"/>
      <c r="AD2153" s="12"/>
      <c r="AE2153" s="12"/>
      <c r="AF2153" s="12"/>
      <c r="AG2153" s="44"/>
      <c r="AH2153" s="45"/>
      <c r="AI2153" s="12"/>
      <c r="AJ2153" s="12"/>
      <c r="AK2153" s="12"/>
      <c r="AL2153" s="12"/>
      <c r="AM2153" s="44"/>
      <c r="AN2153" s="45"/>
      <c r="AO2153" s="12"/>
      <c r="AP2153" s="12"/>
      <c r="AQ2153" s="12"/>
      <c r="AR2153" s="12"/>
      <c r="AS2153" s="44"/>
      <c r="AT2153" s="45"/>
      <c r="AU2153" s="12"/>
      <c r="AV2153" s="12"/>
      <c r="AW2153" s="12"/>
      <c r="AX2153" s="12"/>
      <c r="AY2153" s="44"/>
      <c r="AZ2153" s="45"/>
      <c r="BA2153" s="12"/>
      <c r="BB2153" s="12"/>
      <c r="BC2153" s="12"/>
      <c r="BD2153" s="12"/>
      <c r="BE2153" s="44"/>
      <c r="BF2153" s="45"/>
      <c r="BG2153" s="12"/>
      <c r="BH2153" s="12"/>
      <c r="BI2153" s="12"/>
      <c r="BJ2153" s="12"/>
      <c r="BK2153" s="44"/>
      <c r="BL2153" s="45"/>
      <c r="BM2153" s="12"/>
      <c r="BN2153" s="12"/>
      <c r="BO2153" s="12"/>
      <c r="BP2153" s="12"/>
      <c r="BQ2153" s="48"/>
      <c r="BR2153" s="49"/>
      <c r="BS2153" s="13"/>
      <c r="BT2153" s="12"/>
      <c r="BV2153" s="14"/>
      <c r="BW2153" s="50"/>
      <c r="BX2153" s="54"/>
      <c r="BY2153" s="14"/>
      <c r="BZ2153" s="14"/>
      <c r="CA2153" s="14"/>
      <c r="CB2153" s="14"/>
      <c r="CC2153" s="14"/>
      <c r="CD2153" s="14"/>
      <c r="CE2153" s="14"/>
      <c r="CF2153" s="15"/>
      <c r="CG2153" s="14"/>
      <c r="CH2153" s="14"/>
      <c r="CI2153" s="50"/>
      <c r="CJ2153" s="54"/>
      <c r="CK2153" s="14"/>
      <c r="CL2153" s="14"/>
      <c r="CM2153" s="14"/>
      <c r="CN2153" s="14"/>
      <c r="CO2153" s="14"/>
      <c r="CP2153" s="14"/>
      <c r="CQ2153" s="14"/>
      <c r="CR2153" s="14"/>
      <c r="CS2153" s="14"/>
      <c r="CT2153" s="14"/>
      <c r="CU2153" s="16"/>
      <c r="CV2153" s="14"/>
      <c r="CW2153" s="50"/>
      <c r="CX2153" s="17"/>
    </row>
    <row r="2154" spans="4:102" x14ac:dyDescent="0.25">
      <c r="D2154" s="11"/>
      <c r="E2154" s="11"/>
      <c r="F2154" s="11"/>
      <c r="G2154" s="11"/>
      <c r="H2154" s="11"/>
      <c r="I2154" s="11"/>
      <c r="J2154" s="11"/>
      <c r="K2154" s="11"/>
      <c r="L2154" s="11"/>
      <c r="M2154" s="11"/>
      <c r="N2154" s="11"/>
      <c r="O2154" s="11"/>
      <c r="P2154" s="43"/>
      <c r="Q2154" s="11"/>
      <c r="R2154" s="11"/>
      <c r="S2154" s="11"/>
      <c r="T2154" s="11"/>
      <c r="U2154" s="11"/>
      <c r="V2154" s="11"/>
      <c r="W2154" s="11"/>
      <c r="X2154" s="12"/>
      <c r="Y2154" s="12"/>
      <c r="Z2154" s="12"/>
      <c r="AA2154" s="44"/>
      <c r="AB2154" s="45"/>
      <c r="AC2154" s="12"/>
      <c r="AD2154" s="12"/>
      <c r="AE2154" s="12"/>
      <c r="AF2154" s="12"/>
      <c r="AG2154" s="44"/>
      <c r="AH2154" s="45"/>
      <c r="AI2154" s="12"/>
      <c r="AJ2154" s="12"/>
      <c r="AK2154" s="12"/>
      <c r="AL2154" s="12"/>
      <c r="AM2154" s="44"/>
      <c r="AN2154" s="45"/>
      <c r="AO2154" s="12"/>
      <c r="AP2154" s="12"/>
      <c r="AQ2154" s="12"/>
      <c r="AR2154" s="12"/>
      <c r="AS2154" s="44"/>
      <c r="AT2154" s="45"/>
      <c r="AU2154" s="12"/>
      <c r="AV2154" s="12"/>
      <c r="AW2154" s="12"/>
      <c r="AX2154" s="12"/>
      <c r="AY2154" s="44"/>
      <c r="AZ2154" s="45"/>
      <c r="BA2154" s="12"/>
      <c r="BB2154" s="12"/>
      <c r="BC2154" s="12"/>
      <c r="BD2154" s="12"/>
      <c r="BE2154" s="44"/>
      <c r="BF2154" s="45"/>
      <c r="BG2154" s="12"/>
      <c r="BH2154" s="12"/>
      <c r="BI2154" s="12"/>
      <c r="BJ2154" s="12"/>
      <c r="BK2154" s="44"/>
      <c r="BL2154" s="45"/>
      <c r="BM2154" s="12"/>
      <c r="BN2154" s="12"/>
      <c r="BO2154" s="12"/>
      <c r="BP2154" s="12"/>
      <c r="BQ2154" s="48"/>
      <c r="BR2154" s="49"/>
      <c r="BS2154" s="13"/>
      <c r="BT2154" s="12"/>
      <c r="BV2154" s="14"/>
      <c r="BW2154" s="50"/>
      <c r="BX2154" s="54"/>
      <c r="BY2154" s="14"/>
      <c r="BZ2154" s="14"/>
      <c r="CA2154" s="14"/>
      <c r="CB2154" s="14"/>
      <c r="CC2154" s="14"/>
      <c r="CD2154" s="14"/>
      <c r="CE2154" s="14"/>
      <c r="CF2154" s="15"/>
      <c r="CG2154" s="14"/>
      <c r="CH2154" s="14"/>
      <c r="CI2154" s="50"/>
      <c r="CJ2154" s="54"/>
      <c r="CK2154" s="14"/>
      <c r="CL2154" s="14"/>
      <c r="CM2154" s="14"/>
      <c r="CN2154" s="14"/>
      <c r="CO2154" s="14"/>
      <c r="CP2154" s="14"/>
      <c r="CQ2154" s="14"/>
      <c r="CR2154" s="14"/>
      <c r="CS2154" s="14"/>
      <c r="CT2154" s="14"/>
      <c r="CU2154" s="16"/>
      <c r="CV2154" s="14"/>
      <c r="CW2154" s="50"/>
      <c r="CX2154" s="17"/>
    </row>
    <row r="2155" spans="4:102" x14ac:dyDescent="0.25">
      <c r="D2155" s="11"/>
      <c r="E2155" s="11"/>
      <c r="F2155" s="11"/>
      <c r="G2155" s="11"/>
      <c r="H2155" s="11"/>
      <c r="I2155" s="11"/>
      <c r="J2155" s="11"/>
      <c r="K2155" s="11"/>
      <c r="L2155" s="11"/>
      <c r="M2155" s="11"/>
      <c r="N2155" s="11"/>
      <c r="O2155" s="11"/>
      <c r="P2155" s="43"/>
      <c r="Q2155" s="11"/>
      <c r="R2155" s="11"/>
      <c r="S2155" s="11"/>
      <c r="T2155" s="11"/>
      <c r="U2155" s="11"/>
      <c r="V2155" s="11"/>
      <c r="W2155" s="11"/>
      <c r="X2155" s="12"/>
      <c r="Y2155" s="12"/>
      <c r="Z2155" s="12"/>
      <c r="AA2155" s="44"/>
      <c r="AB2155" s="45"/>
      <c r="AC2155" s="12"/>
      <c r="AD2155" s="12"/>
      <c r="AE2155" s="12"/>
      <c r="AF2155" s="12"/>
      <c r="AG2155" s="44"/>
      <c r="AH2155" s="45"/>
      <c r="AI2155" s="12"/>
      <c r="AJ2155" s="12"/>
      <c r="AK2155" s="12"/>
      <c r="AL2155" s="12"/>
      <c r="AM2155" s="44"/>
      <c r="AN2155" s="45"/>
      <c r="AO2155" s="12"/>
      <c r="AP2155" s="12"/>
      <c r="AQ2155" s="12"/>
      <c r="AR2155" s="12"/>
      <c r="AS2155" s="44"/>
      <c r="AT2155" s="45"/>
      <c r="AU2155" s="12"/>
      <c r="AV2155" s="12"/>
      <c r="AW2155" s="12"/>
      <c r="AX2155" s="12"/>
      <c r="AY2155" s="44"/>
      <c r="AZ2155" s="45"/>
      <c r="BA2155" s="12"/>
      <c r="BB2155" s="12"/>
      <c r="BC2155" s="12"/>
      <c r="BD2155" s="12"/>
      <c r="BE2155" s="44"/>
      <c r="BF2155" s="45"/>
      <c r="BG2155" s="12"/>
      <c r="BH2155" s="12"/>
      <c r="BI2155" s="12"/>
      <c r="BJ2155" s="12"/>
      <c r="BK2155" s="44"/>
      <c r="BL2155" s="45"/>
      <c r="BM2155" s="12"/>
      <c r="BN2155" s="12"/>
      <c r="BO2155" s="12"/>
      <c r="BP2155" s="12"/>
      <c r="BQ2155" s="48"/>
      <c r="BR2155" s="49"/>
      <c r="BS2155" s="13"/>
      <c r="BT2155" s="12"/>
      <c r="BV2155" s="14"/>
      <c r="BW2155" s="50"/>
      <c r="BX2155" s="54"/>
      <c r="BY2155" s="14"/>
      <c r="BZ2155" s="14"/>
      <c r="CA2155" s="14"/>
      <c r="CB2155" s="14"/>
      <c r="CC2155" s="14"/>
      <c r="CD2155" s="14"/>
      <c r="CE2155" s="14"/>
      <c r="CF2155" s="15"/>
      <c r="CG2155" s="14"/>
      <c r="CH2155" s="14"/>
      <c r="CI2155" s="50"/>
      <c r="CJ2155" s="54"/>
      <c r="CK2155" s="14"/>
      <c r="CL2155" s="14"/>
      <c r="CM2155" s="14"/>
      <c r="CN2155" s="14"/>
      <c r="CO2155" s="14"/>
      <c r="CP2155" s="14"/>
      <c r="CQ2155" s="14"/>
      <c r="CR2155" s="14"/>
      <c r="CS2155" s="14"/>
      <c r="CT2155" s="14"/>
      <c r="CU2155" s="16"/>
      <c r="CV2155" s="14"/>
      <c r="CW2155" s="50"/>
      <c r="CX2155" s="17"/>
    </row>
    <row r="2156" spans="4:102" x14ac:dyDescent="0.25">
      <c r="D2156" s="11"/>
      <c r="E2156" s="11"/>
      <c r="F2156" s="11"/>
      <c r="G2156" s="11"/>
      <c r="H2156" s="11"/>
      <c r="I2156" s="11"/>
      <c r="J2156" s="11"/>
      <c r="K2156" s="11"/>
      <c r="L2156" s="11"/>
      <c r="M2156" s="11"/>
      <c r="N2156" s="11"/>
      <c r="O2156" s="11"/>
      <c r="P2156" s="43"/>
      <c r="Q2156" s="11"/>
      <c r="R2156" s="11"/>
      <c r="S2156" s="11"/>
      <c r="T2156" s="11"/>
      <c r="U2156" s="11"/>
      <c r="V2156" s="11"/>
      <c r="W2156" s="11"/>
      <c r="X2156" s="12"/>
      <c r="Y2156" s="12"/>
      <c r="Z2156" s="12"/>
      <c r="AA2156" s="44"/>
      <c r="AB2156" s="45"/>
      <c r="AC2156" s="12"/>
      <c r="AD2156" s="12"/>
      <c r="AE2156" s="12"/>
      <c r="AF2156" s="12"/>
      <c r="AG2156" s="44"/>
      <c r="AH2156" s="45"/>
      <c r="AI2156" s="12"/>
      <c r="AJ2156" s="12"/>
      <c r="AK2156" s="12"/>
      <c r="AL2156" s="12"/>
      <c r="AM2156" s="44"/>
      <c r="AN2156" s="45"/>
      <c r="AO2156" s="12"/>
      <c r="AP2156" s="12"/>
      <c r="AQ2156" s="12"/>
      <c r="AR2156" s="12"/>
      <c r="AS2156" s="44"/>
      <c r="AT2156" s="45"/>
      <c r="AU2156" s="12"/>
      <c r="AV2156" s="12"/>
      <c r="AW2156" s="12"/>
      <c r="AX2156" s="12"/>
      <c r="AY2156" s="44"/>
      <c r="AZ2156" s="45"/>
      <c r="BA2156" s="12"/>
      <c r="BB2156" s="12"/>
      <c r="BC2156" s="12"/>
      <c r="BD2156" s="12"/>
      <c r="BE2156" s="44"/>
      <c r="BF2156" s="45"/>
      <c r="BG2156" s="12"/>
      <c r="BH2156" s="12"/>
      <c r="BI2156" s="12"/>
      <c r="BJ2156" s="12"/>
      <c r="BK2156" s="44"/>
      <c r="BL2156" s="45"/>
      <c r="BM2156" s="12"/>
      <c r="BN2156" s="12"/>
      <c r="BO2156" s="12"/>
      <c r="BP2156" s="12"/>
      <c r="BQ2156" s="48"/>
      <c r="BR2156" s="49"/>
      <c r="BS2156" s="13"/>
      <c r="BT2156" s="12"/>
      <c r="BV2156" s="14"/>
      <c r="BW2156" s="50"/>
      <c r="BX2156" s="54"/>
      <c r="BY2156" s="14"/>
      <c r="BZ2156" s="14"/>
      <c r="CA2156" s="14"/>
      <c r="CB2156" s="14"/>
      <c r="CC2156" s="14"/>
      <c r="CD2156" s="14"/>
      <c r="CE2156" s="14"/>
      <c r="CF2156" s="15"/>
      <c r="CG2156" s="14"/>
      <c r="CH2156" s="14"/>
      <c r="CI2156" s="50"/>
      <c r="CJ2156" s="54"/>
      <c r="CK2156" s="14"/>
      <c r="CL2156" s="14"/>
      <c r="CM2156" s="14"/>
      <c r="CN2156" s="14"/>
      <c r="CO2156" s="14"/>
      <c r="CP2156" s="14"/>
      <c r="CQ2156" s="14"/>
      <c r="CR2156" s="14"/>
      <c r="CS2156" s="14"/>
      <c r="CT2156" s="14"/>
      <c r="CU2156" s="16"/>
      <c r="CV2156" s="14"/>
      <c r="CW2156" s="50"/>
      <c r="CX2156" s="17"/>
    </row>
    <row r="2157" spans="4:102" x14ac:dyDescent="0.25">
      <c r="D2157" s="11"/>
      <c r="E2157" s="11"/>
      <c r="F2157" s="11"/>
      <c r="G2157" s="11"/>
      <c r="H2157" s="11"/>
      <c r="I2157" s="11"/>
      <c r="J2157" s="11"/>
      <c r="K2157" s="11"/>
      <c r="L2157" s="11"/>
      <c r="M2157" s="11"/>
      <c r="N2157" s="11"/>
      <c r="O2157" s="11"/>
      <c r="P2157" s="43"/>
      <c r="Q2157" s="11"/>
      <c r="R2157" s="11"/>
      <c r="S2157" s="11"/>
      <c r="T2157" s="11"/>
      <c r="U2157" s="11"/>
      <c r="V2157" s="11"/>
      <c r="W2157" s="11"/>
      <c r="X2157" s="12"/>
      <c r="Y2157" s="12"/>
      <c r="Z2157" s="12"/>
      <c r="AA2157" s="44"/>
      <c r="AB2157" s="45"/>
      <c r="AC2157" s="12"/>
      <c r="AD2157" s="12"/>
      <c r="AE2157" s="12"/>
      <c r="AF2157" s="12"/>
      <c r="AG2157" s="44"/>
      <c r="AH2157" s="45"/>
      <c r="AI2157" s="12"/>
      <c r="AJ2157" s="12"/>
      <c r="AK2157" s="12"/>
      <c r="AL2157" s="12"/>
      <c r="AM2157" s="44"/>
      <c r="AN2157" s="45"/>
      <c r="AO2157" s="12"/>
      <c r="AP2157" s="12"/>
      <c r="AQ2157" s="12"/>
      <c r="AR2157" s="12"/>
      <c r="AS2157" s="44"/>
      <c r="AT2157" s="45"/>
      <c r="AU2157" s="12"/>
      <c r="AV2157" s="12"/>
      <c r="AW2157" s="12"/>
      <c r="AX2157" s="12"/>
      <c r="AY2157" s="44"/>
      <c r="AZ2157" s="45"/>
      <c r="BA2157" s="12"/>
      <c r="BB2157" s="12"/>
      <c r="BC2157" s="12"/>
      <c r="BD2157" s="12"/>
      <c r="BE2157" s="44"/>
      <c r="BF2157" s="45"/>
      <c r="BG2157" s="12"/>
      <c r="BH2157" s="12"/>
      <c r="BI2157" s="12"/>
      <c r="BJ2157" s="12"/>
      <c r="BK2157" s="44"/>
      <c r="BL2157" s="45"/>
      <c r="BM2157" s="12"/>
      <c r="BN2157" s="12"/>
      <c r="BO2157" s="12"/>
      <c r="BP2157" s="12"/>
      <c r="BQ2157" s="48"/>
      <c r="BR2157" s="49"/>
      <c r="BS2157" s="13"/>
      <c r="BT2157" s="12"/>
      <c r="BV2157" s="14"/>
      <c r="BW2157" s="50"/>
      <c r="BX2157" s="54"/>
      <c r="BY2157" s="14"/>
      <c r="BZ2157" s="14"/>
      <c r="CA2157" s="14"/>
      <c r="CB2157" s="14"/>
      <c r="CC2157" s="14"/>
      <c r="CD2157" s="14"/>
      <c r="CE2157" s="14"/>
      <c r="CF2157" s="15"/>
      <c r="CG2157" s="14"/>
      <c r="CH2157" s="14"/>
      <c r="CI2157" s="50"/>
      <c r="CJ2157" s="54"/>
      <c r="CK2157" s="14"/>
      <c r="CL2157" s="14"/>
      <c r="CM2157" s="14"/>
      <c r="CN2157" s="14"/>
      <c r="CO2157" s="14"/>
      <c r="CP2157" s="14"/>
      <c r="CQ2157" s="14"/>
      <c r="CR2157" s="14"/>
      <c r="CS2157" s="14"/>
      <c r="CT2157" s="14"/>
      <c r="CU2157" s="16"/>
      <c r="CV2157" s="14"/>
      <c r="CW2157" s="50"/>
      <c r="CX2157" s="17"/>
    </row>
    <row r="2158" spans="4:102" x14ac:dyDescent="0.25">
      <c r="D2158" s="11"/>
      <c r="E2158" s="11"/>
      <c r="F2158" s="11"/>
      <c r="G2158" s="11"/>
      <c r="H2158" s="11"/>
      <c r="I2158" s="11"/>
      <c r="J2158" s="11"/>
      <c r="K2158" s="11"/>
      <c r="L2158" s="11"/>
      <c r="M2158" s="11"/>
      <c r="N2158" s="11"/>
      <c r="O2158" s="11"/>
      <c r="P2158" s="43"/>
      <c r="Q2158" s="11"/>
      <c r="R2158" s="11"/>
      <c r="S2158" s="11"/>
      <c r="T2158" s="11"/>
      <c r="U2158" s="11"/>
      <c r="V2158" s="11"/>
      <c r="W2158" s="11"/>
      <c r="X2158" s="12"/>
      <c r="Y2158" s="12"/>
      <c r="Z2158" s="12"/>
      <c r="AA2158" s="44"/>
      <c r="AB2158" s="45"/>
      <c r="AC2158" s="12"/>
      <c r="AD2158" s="12"/>
      <c r="AE2158" s="12"/>
      <c r="AF2158" s="12"/>
      <c r="AG2158" s="44"/>
      <c r="AH2158" s="45"/>
      <c r="AI2158" s="12"/>
      <c r="AJ2158" s="12"/>
      <c r="AK2158" s="12"/>
      <c r="AL2158" s="12"/>
      <c r="AM2158" s="44"/>
      <c r="AN2158" s="45"/>
      <c r="AO2158" s="12"/>
      <c r="AP2158" s="12"/>
      <c r="AQ2158" s="12"/>
      <c r="AR2158" s="12"/>
      <c r="AS2158" s="44"/>
      <c r="AT2158" s="45"/>
      <c r="AU2158" s="12"/>
      <c r="AV2158" s="12"/>
      <c r="AW2158" s="12"/>
      <c r="AX2158" s="12"/>
      <c r="AY2158" s="44"/>
      <c r="AZ2158" s="45"/>
      <c r="BA2158" s="12"/>
      <c r="BB2158" s="12"/>
      <c r="BC2158" s="12"/>
      <c r="BD2158" s="12"/>
      <c r="BE2158" s="44"/>
      <c r="BF2158" s="45"/>
      <c r="BG2158" s="12"/>
      <c r="BH2158" s="12"/>
      <c r="BI2158" s="12"/>
      <c r="BJ2158" s="12"/>
      <c r="BK2158" s="44"/>
      <c r="BL2158" s="45"/>
      <c r="BM2158" s="12"/>
      <c r="BN2158" s="12"/>
      <c r="BO2158" s="12"/>
      <c r="BP2158" s="12"/>
      <c r="BQ2158" s="48"/>
      <c r="BR2158" s="49"/>
      <c r="BS2158" s="13"/>
      <c r="BT2158" s="12"/>
      <c r="BV2158" s="14"/>
      <c r="BW2158" s="50"/>
      <c r="BX2158" s="54"/>
      <c r="BY2158" s="14"/>
      <c r="BZ2158" s="14"/>
      <c r="CA2158" s="14"/>
      <c r="CB2158" s="14"/>
      <c r="CC2158" s="14"/>
      <c r="CD2158" s="14"/>
      <c r="CE2158" s="14"/>
      <c r="CF2158" s="15"/>
      <c r="CG2158" s="14"/>
      <c r="CH2158" s="14"/>
      <c r="CI2158" s="50"/>
      <c r="CJ2158" s="54"/>
      <c r="CK2158" s="14"/>
      <c r="CL2158" s="14"/>
      <c r="CM2158" s="14"/>
      <c r="CN2158" s="14"/>
      <c r="CO2158" s="14"/>
      <c r="CP2158" s="14"/>
      <c r="CQ2158" s="14"/>
      <c r="CR2158" s="14"/>
      <c r="CS2158" s="14"/>
      <c r="CT2158" s="14"/>
      <c r="CU2158" s="16"/>
      <c r="CV2158" s="14"/>
      <c r="CW2158" s="50"/>
      <c r="CX2158" s="17"/>
    </row>
    <row r="2159" spans="4:102" x14ac:dyDescent="0.25">
      <c r="D2159" s="11"/>
      <c r="E2159" s="11"/>
      <c r="F2159" s="11"/>
      <c r="G2159" s="11"/>
      <c r="H2159" s="11"/>
      <c r="I2159" s="11"/>
      <c r="J2159" s="11"/>
      <c r="K2159" s="11"/>
      <c r="L2159" s="11"/>
      <c r="M2159" s="11"/>
      <c r="N2159" s="11"/>
      <c r="O2159" s="11"/>
      <c r="P2159" s="43"/>
      <c r="Q2159" s="11"/>
      <c r="R2159" s="11"/>
      <c r="S2159" s="11"/>
      <c r="T2159" s="11"/>
      <c r="U2159" s="11"/>
      <c r="V2159" s="11"/>
      <c r="W2159" s="11"/>
      <c r="X2159" s="12"/>
      <c r="Y2159" s="12"/>
      <c r="Z2159" s="12"/>
      <c r="AA2159" s="44"/>
      <c r="AB2159" s="45"/>
      <c r="AC2159" s="12"/>
      <c r="AD2159" s="12"/>
      <c r="AE2159" s="12"/>
      <c r="AF2159" s="12"/>
      <c r="AG2159" s="44"/>
      <c r="AH2159" s="45"/>
      <c r="AI2159" s="12"/>
      <c r="AJ2159" s="12"/>
      <c r="AK2159" s="12"/>
      <c r="AL2159" s="12"/>
      <c r="AM2159" s="44"/>
      <c r="AN2159" s="45"/>
      <c r="AO2159" s="12"/>
      <c r="AP2159" s="12"/>
      <c r="AQ2159" s="12"/>
      <c r="AR2159" s="12"/>
      <c r="AS2159" s="44"/>
      <c r="AT2159" s="45"/>
      <c r="AU2159" s="12"/>
      <c r="AV2159" s="12"/>
      <c r="AW2159" s="12"/>
      <c r="AX2159" s="12"/>
      <c r="AY2159" s="44"/>
      <c r="AZ2159" s="45"/>
      <c r="BA2159" s="12"/>
      <c r="BB2159" s="12"/>
      <c r="BC2159" s="12"/>
      <c r="BD2159" s="12"/>
      <c r="BE2159" s="44"/>
      <c r="BF2159" s="45"/>
      <c r="BG2159" s="12"/>
      <c r="BH2159" s="12"/>
      <c r="BI2159" s="12"/>
      <c r="BJ2159" s="12"/>
      <c r="BK2159" s="44"/>
      <c r="BL2159" s="45"/>
      <c r="BM2159" s="12"/>
      <c r="BN2159" s="12"/>
      <c r="BO2159" s="12"/>
      <c r="BP2159" s="12"/>
      <c r="BQ2159" s="48"/>
      <c r="BR2159" s="49"/>
      <c r="BS2159" s="13"/>
      <c r="BT2159" s="12"/>
      <c r="BV2159" s="14"/>
      <c r="BW2159" s="50"/>
      <c r="BX2159" s="54"/>
      <c r="BY2159" s="14"/>
      <c r="BZ2159" s="14"/>
      <c r="CA2159" s="14"/>
      <c r="CB2159" s="14"/>
      <c r="CC2159" s="14"/>
      <c r="CD2159" s="14"/>
      <c r="CE2159" s="14"/>
      <c r="CF2159" s="15"/>
      <c r="CG2159" s="14"/>
      <c r="CH2159" s="14"/>
      <c r="CI2159" s="50"/>
      <c r="CJ2159" s="54"/>
      <c r="CK2159" s="14"/>
      <c r="CL2159" s="14"/>
      <c r="CM2159" s="14"/>
      <c r="CN2159" s="14"/>
      <c r="CO2159" s="14"/>
      <c r="CP2159" s="14"/>
      <c r="CQ2159" s="14"/>
      <c r="CR2159" s="14"/>
      <c r="CS2159" s="14"/>
      <c r="CT2159" s="14"/>
      <c r="CU2159" s="16"/>
      <c r="CV2159" s="14"/>
      <c r="CW2159" s="50"/>
      <c r="CX2159" s="17"/>
    </row>
    <row r="2160" spans="4:102" x14ac:dyDescent="0.25">
      <c r="D2160" s="11"/>
      <c r="E2160" s="11"/>
      <c r="F2160" s="11"/>
      <c r="G2160" s="11"/>
      <c r="H2160" s="11"/>
      <c r="I2160" s="11"/>
      <c r="J2160" s="11"/>
      <c r="K2160" s="11"/>
      <c r="L2160" s="11"/>
      <c r="M2160" s="11"/>
      <c r="N2160" s="11"/>
      <c r="O2160" s="11"/>
      <c r="P2160" s="43"/>
      <c r="Q2160" s="11"/>
      <c r="R2160" s="11"/>
      <c r="S2160" s="11"/>
      <c r="T2160" s="11"/>
      <c r="U2160" s="11"/>
      <c r="V2160" s="11"/>
      <c r="W2160" s="11"/>
      <c r="X2160" s="12"/>
      <c r="Y2160" s="12"/>
      <c r="Z2160" s="12"/>
      <c r="AA2160" s="44"/>
      <c r="AB2160" s="45"/>
      <c r="AC2160" s="12"/>
      <c r="AD2160" s="12"/>
      <c r="AE2160" s="12"/>
      <c r="AF2160" s="12"/>
      <c r="AG2160" s="44"/>
      <c r="AH2160" s="45"/>
      <c r="AI2160" s="12"/>
      <c r="AJ2160" s="12"/>
      <c r="AK2160" s="12"/>
      <c r="AL2160" s="12"/>
      <c r="AM2160" s="44"/>
      <c r="AN2160" s="45"/>
      <c r="AO2160" s="12"/>
      <c r="AP2160" s="12"/>
      <c r="AQ2160" s="12"/>
      <c r="AR2160" s="12"/>
      <c r="AS2160" s="44"/>
      <c r="AT2160" s="45"/>
      <c r="AU2160" s="12"/>
      <c r="AV2160" s="12"/>
      <c r="AW2160" s="12"/>
      <c r="AX2160" s="12"/>
      <c r="AY2160" s="44"/>
      <c r="AZ2160" s="45"/>
      <c r="BA2160" s="12"/>
      <c r="BB2160" s="12"/>
      <c r="BC2160" s="12"/>
      <c r="BD2160" s="12"/>
      <c r="BE2160" s="44"/>
      <c r="BF2160" s="45"/>
      <c r="BG2160" s="12"/>
      <c r="BH2160" s="12"/>
      <c r="BI2160" s="12"/>
      <c r="BJ2160" s="12"/>
      <c r="BK2160" s="44"/>
      <c r="BL2160" s="45"/>
      <c r="BM2160" s="12"/>
      <c r="BN2160" s="12"/>
      <c r="BO2160" s="12"/>
      <c r="BP2160" s="12"/>
      <c r="BQ2160" s="48"/>
      <c r="BR2160" s="49"/>
      <c r="BS2160" s="13"/>
      <c r="BT2160" s="12"/>
      <c r="BV2160" s="14"/>
      <c r="BW2160" s="50"/>
      <c r="BX2160" s="54"/>
      <c r="BY2160" s="14"/>
      <c r="BZ2160" s="14"/>
      <c r="CA2160" s="14"/>
      <c r="CB2160" s="14"/>
      <c r="CC2160" s="14"/>
      <c r="CD2160" s="14"/>
      <c r="CE2160" s="14"/>
      <c r="CF2160" s="15"/>
      <c r="CG2160" s="14"/>
      <c r="CH2160" s="14"/>
      <c r="CI2160" s="50"/>
      <c r="CJ2160" s="54"/>
      <c r="CK2160" s="14"/>
      <c r="CL2160" s="14"/>
      <c r="CM2160" s="14"/>
      <c r="CN2160" s="14"/>
      <c r="CO2160" s="14"/>
      <c r="CP2160" s="14"/>
      <c r="CQ2160" s="14"/>
      <c r="CR2160" s="14"/>
      <c r="CS2160" s="14"/>
      <c r="CT2160" s="14"/>
      <c r="CU2160" s="16"/>
      <c r="CV2160" s="14"/>
      <c r="CW2160" s="50"/>
      <c r="CX2160" s="17"/>
    </row>
    <row r="2161" spans="4:102" x14ac:dyDescent="0.25">
      <c r="D2161" s="11"/>
      <c r="E2161" s="11"/>
      <c r="F2161" s="11"/>
      <c r="G2161" s="11"/>
      <c r="H2161" s="11"/>
      <c r="I2161" s="11"/>
      <c r="J2161" s="11"/>
      <c r="K2161" s="11"/>
      <c r="L2161" s="11"/>
      <c r="M2161" s="11"/>
      <c r="N2161" s="11"/>
      <c r="O2161" s="11"/>
      <c r="P2161" s="43"/>
      <c r="Q2161" s="11"/>
      <c r="R2161" s="11"/>
      <c r="S2161" s="11"/>
      <c r="T2161" s="11"/>
      <c r="U2161" s="11"/>
      <c r="V2161" s="11"/>
      <c r="W2161" s="11"/>
      <c r="X2161" s="12"/>
      <c r="Y2161" s="12"/>
      <c r="Z2161" s="12"/>
      <c r="AA2161" s="44"/>
      <c r="AB2161" s="45"/>
      <c r="AC2161" s="12"/>
      <c r="AD2161" s="12"/>
      <c r="AE2161" s="12"/>
      <c r="AF2161" s="12"/>
      <c r="AG2161" s="44"/>
      <c r="AH2161" s="45"/>
      <c r="AI2161" s="12"/>
      <c r="AJ2161" s="12"/>
      <c r="AK2161" s="12"/>
      <c r="AL2161" s="12"/>
      <c r="AM2161" s="44"/>
      <c r="AN2161" s="45"/>
      <c r="AO2161" s="12"/>
      <c r="AP2161" s="12"/>
      <c r="AQ2161" s="12"/>
      <c r="AR2161" s="12"/>
      <c r="AS2161" s="44"/>
      <c r="AT2161" s="45"/>
      <c r="AU2161" s="12"/>
      <c r="AV2161" s="12"/>
      <c r="AW2161" s="12"/>
      <c r="AX2161" s="12"/>
      <c r="AY2161" s="44"/>
      <c r="AZ2161" s="45"/>
      <c r="BA2161" s="12"/>
      <c r="BB2161" s="12"/>
      <c r="BC2161" s="12"/>
      <c r="BD2161" s="12"/>
      <c r="BE2161" s="44"/>
      <c r="BF2161" s="45"/>
      <c r="BG2161" s="12"/>
      <c r="BH2161" s="12"/>
      <c r="BI2161" s="12"/>
      <c r="BJ2161" s="12"/>
      <c r="BK2161" s="44"/>
      <c r="BL2161" s="45"/>
      <c r="BM2161" s="12"/>
      <c r="BN2161" s="12"/>
      <c r="BO2161" s="12"/>
      <c r="BP2161" s="12"/>
      <c r="BQ2161" s="48"/>
      <c r="BR2161" s="49"/>
      <c r="BS2161" s="13"/>
      <c r="BT2161" s="12"/>
      <c r="BV2161" s="14"/>
      <c r="BW2161" s="50"/>
      <c r="BX2161" s="54"/>
      <c r="BY2161" s="14"/>
      <c r="BZ2161" s="14"/>
      <c r="CA2161" s="14"/>
      <c r="CB2161" s="14"/>
      <c r="CC2161" s="14"/>
      <c r="CD2161" s="14"/>
      <c r="CE2161" s="14"/>
      <c r="CF2161" s="15"/>
      <c r="CG2161" s="14"/>
      <c r="CH2161" s="14"/>
      <c r="CI2161" s="50"/>
      <c r="CJ2161" s="54"/>
      <c r="CK2161" s="14"/>
      <c r="CL2161" s="14"/>
      <c r="CM2161" s="14"/>
      <c r="CN2161" s="14"/>
      <c r="CO2161" s="14"/>
      <c r="CP2161" s="14"/>
      <c r="CQ2161" s="14"/>
      <c r="CR2161" s="14"/>
      <c r="CS2161" s="14"/>
      <c r="CT2161" s="14"/>
      <c r="CU2161" s="16"/>
      <c r="CV2161" s="14"/>
      <c r="CW2161" s="50"/>
      <c r="CX2161" s="17"/>
    </row>
    <row r="2162" spans="4:102" x14ac:dyDescent="0.25">
      <c r="D2162" s="11"/>
      <c r="E2162" s="11"/>
      <c r="F2162" s="11"/>
      <c r="G2162" s="11"/>
      <c r="H2162" s="11"/>
      <c r="I2162" s="11"/>
      <c r="J2162" s="11"/>
      <c r="K2162" s="11"/>
      <c r="L2162" s="11"/>
      <c r="M2162" s="11"/>
      <c r="N2162" s="11"/>
      <c r="O2162" s="11"/>
      <c r="P2162" s="43"/>
      <c r="Q2162" s="11"/>
      <c r="R2162" s="11"/>
      <c r="S2162" s="11"/>
      <c r="T2162" s="11"/>
      <c r="U2162" s="11"/>
      <c r="V2162" s="11"/>
      <c r="W2162" s="11"/>
      <c r="X2162" s="12"/>
      <c r="Y2162" s="12"/>
      <c r="Z2162" s="12"/>
      <c r="AA2162" s="44"/>
      <c r="AB2162" s="45"/>
      <c r="AC2162" s="12"/>
      <c r="AD2162" s="12"/>
      <c r="AE2162" s="12"/>
      <c r="AF2162" s="12"/>
      <c r="AG2162" s="44"/>
      <c r="AH2162" s="45"/>
      <c r="AI2162" s="12"/>
      <c r="AJ2162" s="12"/>
      <c r="AK2162" s="12"/>
      <c r="AL2162" s="12"/>
      <c r="AM2162" s="44"/>
      <c r="AN2162" s="45"/>
      <c r="AO2162" s="12"/>
      <c r="AP2162" s="12"/>
      <c r="AQ2162" s="12"/>
      <c r="AR2162" s="12"/>
      <c r="AS2162" s="44"/>
      <c r="AT2162" s="45"/>
      <c r="AU2162" s="12"/>
      <c r="AV2162" s="12"/>
      <c r="AW2162" s="12"/>
      <c r="AX2162" s="12"/>
      <c r="AY2162" s="44"/>
      <c r="AZ2162" s="45"/>
      <c r="BA2162" s="12"/>
      <c r="BB2162" s="12"/>
      <c r="BC2162" s="12"/>
      <c r="BD2162" s="12"/>
      <c r="BE2162" s="44"/>
      <c r="BF2162" s="45"/>
      <c r="BG2162" s="12"/>
      <c r="BH2162" s="12"/>
      <c r="BI2162" s="12"/>
      <c r="BJ2162" s="12"/>
      <c r="BK2162" s="44"/>
      <c r="BL2162" s="45"/>
      <c r="BM2162" s="12"/>
      <c r="BN2162" s="12"/>
      <c r="BO2162" s="12"/>
      <c r="BP2162" s="12"/>
      <c r="BQ2162" s="48"/>
      <c r="BR2162" s="49"/>
      <c r="BS2162" s="13"/>
      <c r="BT2162" s="12"/>
      <c r="BV2162" s="14"/>
      <c r="BW2162" s="50"/>
      <c r="BX2162" s="54"/>
      <c r="BY2162" s="14"/>
      <c r="BZ2162" s="14"/>
      <c r="CA2162" s="14"/>
      <c r="CB2162" s="14"/>
      <c r="CC2162" s="14"/>
      <c r="CD2162" s="14"/>
      <c r="CE2162" s="14"/>
      <c r="CF2162" s="15"/>
      <c r="CG2162" s="14"/>
      <c r="CH2162" s="14"/>
      <c r="CI2162" s="50"/>
      <c r="CJ2162" s="54"/>
      <c r="CK2162" s="14"/>
      <c r="CL2162" s="14"/>
      <c r="CM2162" s="14"/>
      <c r="CN2162" s="14"/>
      <c r="CO2162" s="14"/>
      <c r="CP2162" s="14"/>
      <c r="CQ2162" s="14"/>
      <c r="CR2162" s="14"/>
      <c r="CS2162" s="14"/>
      <c r="CT2162" s="14"/>
      <c r="CU2162" s="16"/>
      <c r="CV2162" s="14"/>
      <c r="CW2162" s="50"/>
      <c r="CX2162" s="17"/>
    </row>
    <row r="2163" spans="4:102" x14ac:dyDescent="0.25">
      <c r="D2163" s="11"/>
      <c r="E2163" s="11"/>
      <c r="F2163" s="11"/>
      <c r="G2163" s="11"/>
      <c r="H2163" s="11"/>
      <c r="I2163" s="11"/>
      <c r="J2163" s="11"/>
      <c r="K2163" s="11"/>
      <c r="L2163" s="11"/>
      <c r="M2163" s="11"/>
      <c r="N2163" s="11"/>
      <c r="O2163" s="11"/>
      <c r="P2163" s="43"/>
      <c r="Q2163" s="11"/>
      <c r="R2163" s="11"/>
      <c r="S2163" s="11"/>
      <c r="T2163" s="11"/>
      <c r="U2163" s="11"/>
      <c r="V2163" s="11"/>
      <c r="W2163" s="11"/>
      <c r="X2163" s="12"/>
      <c r="Y2163" s="12"/>
      <c r="Z2163" s="12"/>
      <c r="AA2163" s="44"/>
      <c r="AB2163" s="45"/>
      <c r="AC2163" s="12"/>
      <c r="AD2163" s="12"/>
      <c r="AE2163" s="12"/>
      <c r="AF2163" s="12"/>
      <c r="AG2163" s="44"/>
      <c r="AH2163" s="45"/>
      <c r="AI2163" s="12"/>
      <c r="AJ2163" s="12"/>
      <c r="AK2163" s="12"/>
      <c r="AL2163" s="12"/>
      <c r="AM2163" s="44"/>
      <c r="AN2163" s="45"/>
      <c r="AO2163" s="12"/>
      <c r="AP2163" s="12"/>
      <c r="AQ2163" s="12"/>
      <c r="AR2163" s="12"/>
      <c r="AS2163" s="44"/>
      <c r="AT2163" s="45"/>
      <c r="AU2163" s="12"/>
      <c r="AV2163" s="12"/>
      <c r="AW2163" s="12"/>
      <c r="AX2163" s="12"/>
      <c r="AY2163" s="44"/>
      <c r="AZ2163" s="45"/>
      <c r="BA2163" s="12"/>
      <c r="BB2163" s="12"/>
      <c r="BC2163" s="12"/>
      <c r="BD2163" s="12"/>
      <c r="BE2163" s="44"/>
      <c r="BF2163" s="45"/>
      <c r="BG2163" s="12"/>
      <c r="BH2163" s="12"/>
      <c r="BI2163" s="12"/>
      <c r="BJ2163" s="12"/>
      <c r="BK2163" s="44"/>
      <c r="BL2163" s="45"/>
      <c r="BM2163" s="12"/>
      <c r="BN2163" s="12"/>
      <c r="BO2163" s="12"/>
      <c r="BP2163" s="12"/>
      <c r="BQ2163" s="48"/>
      <c r="BR2163" s="49"/>
      <c r="BS2163" s="13"/>
      <c r="BT2163" s="12"/>
      <c r="BV2163" s="14"/>
      <c r="BW2163" s="50"/>
      <c r="BX2163" s="54"/>
      <c r="BY2163" s="14"/>
      <c r="BZ2163" s="14"/>
      <c r="CA2163" s="14"/>
      <c r="CB2163" s="14"/>
      <c r="CC2163" s="14"/>
      <c r="CD2163" s="14"/>
      <c r="CE2163" s="14"/>
      <c r="CF2163" s="15"/>
      <c r="CG2163" s="14"/>
      <c r="CH2163" s="14"/>
      <c r="CI2163" s="50"/>
      <c r="CJ2163" s="54"/>
      <c r="CK2163" s="14"/>
      <c r="CL2163" s="14"/>
      <c r="CM2163" s="14"/>
      <c r="CN2163" s="14"/>
      <c r="CO2163" s="14"/>
      <c r="CP2163" s="14"/>
      <c r="CQ2163" s="14"/>
      <c r="CR2163" s="14"/>
      <c r="CS2163" s="14"/>
      <c r="CT2163" s="14"/>
      <c r="CU2163" s="16"/>
      <c r="CV2163" s="14"/>
      <c r="CW2163" s="50"/>
      <c r="CX2163" s="17"/>
    </row>
    <row r="2164" spans="4:102" x14ac:dyDescent="0.25">
      <c r="D2164" s="11"/>
      <c r="E2164" s="11"/>
      <c r="F2164" s="11"/>
      <c r="G2164" s="11"/>
      <c r="H2164" s="11"/>
      <c r="I2164" s="11"/>
      <c r="J2164" s="11"/>
      <c r="K2164" s="11"/>
      <c r="L2164" s="11"/>
      <c r="M2164" s="11"/>
      <c r="N2164" s="11"/>
      <c r="O2164" s="11"/>
      <c r="P2164" s="43"/>
      <c r="Q2164" s="11"/>
      <c r="R2164" s="11"/>
      <c r="S2164" s="11"/>
      <c r="T2164" s="11"/>
      <c r="U2164" s="11"/>
      <c r="V2164" s="11"/>
      <c r="W2164" s="11"/>
      <c r="X2164" s="12"/>
      <c r="Y2164" s="12"/>
      <c r="Z2164" s="12"/>
      <c r="AA2164" s="44"/>
      <c r="AB2164" s="45"/>
      <c r="AC2164" s="12"/>
      <c r="AD2164" s="12"/>
      <c r="AE2164" s="12"/>
      <c r="AF2164" s="12"/>
      <c r="AG2164" s="44"/>
      <c r="AH2164" s="45"/>
      <c r="AI2164" s="12"/>
      <c r="AJ2164" s="12"/>
      <c r="AK2164" s="12"/>
      <c r="AL2164" s="12"/>
      <c r="AM2164" s="44"/>
      <c r="AN2164" s="45"/>
      <c r="AO2164" s="12"/>
      <c r="AP2164" s="12"/>
      <c r="AQ2164" s="12"/>
      <c r="AR2164" s="12"/>
      <c r="AS2164" s="44"/>
      <c r="AT2164" s="45"/>
      <c r="AU2164" s="12"/>
      <c r="AV2164" s="12"/>
      <c r="AW2164" s="12"/>
      <c r="AX2164" s="12"/>
      <c r="AY2164" s="44"/>
      <c r="AZ2164" s="45"/>
      <c r="BA2164" s="12"/>
      <c r="BB2164" s="12"/>
      <c r="BC2164" s="12"/>
      <c r="BD2164" s="12"/>
      <c r="BE2164" s="44"/>
      <c r="BF2164" s="45"/>
      <c r="BG2164" s="12"/>
      <c r="BH2164" s="12"/>
      <c r="BI2164" s="12"/>
      <c r="BJ2164" s="12"/>
      <c r="BK2164" s="44"/>
      <c r="BL2164" s="45"/>
      <c r="BM2164" s="12"/>
      <c r="BN2164" s="12"/>
      <c r="BO2164" s="12"/>
      <c r="BP2164" s="12"/>
      <c r="BQ2164" s="48"/>
      <c r="BR2164" s="49"/>
      <c r="BS2164" s="13"/>
      <c r="BT2164" s="12"/>
      <c r="BV2164" s="14"/>
      <c r="BW2164" s="50"/>
      <c r="BX2164" s="54"/>
      <c r="BY2164" s="14"/>
      <c r="BZ2164" s="14"/>
      <c r="CA2164" s="14"/>
      <c r="CB2164" s="14"/>
      <c r="CC2164" s="14"/>
      <c r="CD2164" s="14"/>
      <c r="CE2164" s="14"/>
      <c r="CF2164" s="15"/>
      <c r="CG2164" s="14"/>
      <c r="CH2164" s="14"/>
      <c r="CI2164" s="50"/>
      <c r="CJ2164" s="54"/>
      <c r="CK2164" s="14"/>
      <c r="CL2164" s="14"/>
      <c r="CM2164" s="14"/>
      <c r="CN2164" s="14"/>
      <c r="CO2164" s="14"/>
      <c r="CP2164" s="14"/>
      <c r="CQ2164" s="14"/>
      <c r="CR2164" s="14"/>
      <c r="CS2164" s="14"/>
      <c r="CT2164" s="14"/>
      <c r="CU2164" s="16"/>
      <c r="CV2164" s="14"/>
      <c r="CW2164" s="50"/>
      <c r="CX2164" s="17"/>
    </row>
    <row r="2165" spans="4:102" x14ac:dyDescent="0.25">
      <c r="D2165" s="11"/>
      <c r="E2165" s="11"/>
      <c r="F2165" s="11"/>
      <c r="G2165" s="11"/>
      <c r="H2165" s="11"/>
      <c r="I2165" s="11"/>
      <c r="J2165" s="11"/>
      <c r="K2165" s="11"/>
      <c r="L2165" s="11"/>
      <c r="M2165" s="11"/>
      <c r="N2165" s="11"/>
      <c r="O2165" s="11"/>
      <c r="P2165" s="43"/>
      <c r="Q2165" s="11"/>
      <c r="R2165" s="11"/>
      <c r="S2165" s="11"/>
      <c r="T2165" s="11"/>
      <c r="U2165" s="11"/>
      <c r="V2165" s="11"/>
      <c r="W2165" s="11"/>
      <c r="X2165" s="12"/>
      <c r="Y2165" s="12"/>
      <c r="Z2165" s="12"/>
      <c r="AA2165" s="44"/>
      <c r="AB2165" s="45"/>
      <c r="AC2165" s="12"/>
      <c r="AD2165" s="12"/>
      <c r="AE2165" s="12"/>
      <c r="AF2165" s="12"/>
      <c r="AG2165" s="44"/>
      <c r="AH2165" s="45"/>
      <c r="AI2165" s="12"/>
      <c r="AJ2165" s="12"/>
      <c r="AK2165" s="12"/>
      <c r="AL2165" s="12"/>
      <c r="AM2165" s="44"/>
      <c r="AN2165" s="45"/>
      <c r="AO2165" s="12"/>
      <c r="AP2165" s="12"/>
      <c r="AQ2165" s="12"/>
      <c r="AR2165" s="12"/>
      <c r="AS2165" s="44"/>
      <c r="AT2165" s="45"/>
      <c r="AU2165" s="12"/>
      <c r="AV2165" s="12"/>
      <c r="AW2165" s="12"/>
      <c r="AX2165" s="12"/>
      <c r="AY2165" s="44"/>
      <c r="AZ2165" s="45"/>
      <c r="BA2165" s="12"/>
      <c r="BB2165" s="12"/>
      <c r="BC2165" s="12"/>
      <c r="BD2165" s="12"/>
      <c r="BE2165" s="44"/>
      <c r="BF2165" s="45"/>
      <c r="BG2165" s="12"/>
      <c r="BH2165" s="12"/>
      <c r="BI2165" s="12"/>
      <c r="BJ2165" s="12"/>
      <c r="BK2165" s="44"/>
      <c r="BL2165" s="45"/>
      <c r="BM2165" s="12"/>
      <c r="BN2165" s="12"/>
      <c r="BO2165" s="12"/>
      <c r="BP2165" s="12"/>
      <c r="BQ2165" s="48"/>
      <c r="BR2165" s="49"/>
      <c r="BS2165" s="13"/>
      <c r="BT2165" s="12"/>
      <c r="BV2165" s="14"/>
      <c r="BW2165" s="50"/>
      <c r="BX2165" s="54"/>
      <c r="BY2165" s="14"/>
      <c r="BZ2165" s="14"/>
      <c r="CA2165" s="14"/>
      <c r="CB2165" s="14"/>
      <c r="CC2165" s="14"/>
      <c r="CD2165" s="14"/>
      <c r="CE2165" s="14"/>
      <c r="CF2165" s="15"/>
      <c r="CG2165" s="14"/>
      <c r="CH2165" s="14"/>
      <c r="CI2165" s="50"/>
      <c r="CJ2165" s="54"/>
      <c r="CK2165" s="14"/>
      <c r="CL2165" s="14"/>
      <c r="CM2165" s="14"/>
      <c r="CN2165" s="14"/>
      <c r="CO2165" s="14"/>
      <c r="CP2165" s="14"/>
      <c r="CQ2165" s="14"/>
      <c r="CR2165" s="14"/>
      <c r="CS2165" s="14"/>
      <c r="CT2165" s="14"/>
      <c r="CU2165" s="16"/>
      <c r="CV2165" s="14"/>
      <c r="CW2165" s="50"/>
      <c r="CX2165" s="17"/>
    </row>
    <row r="2166" spans="4:102" x14ac:dyDescent="0.25">
      <c r="D2166" s="11"/>
      <c r="E2166" s="11"/>
      <c r="F2166" s="11"/>
      <c r="G2166" s="11"/>
      <c r="H2166" s="11"/>
      <c r="I2166" s="11"/>
      <c r="J2166" s="11"/>
      <c r="K2166" s="11"/>
      <c r="L2166" s="11"/>
      <c r="M2166" s="11"/>
      <c r="N2166" s="11"/>
      <c r="O2166" s="11"/>
      <c r="P2166" s="43"/>
      <c r="Q2166" s="11"/>
      <c r="R2166" s="11"/>
      <c r="S2166" s="11"/>
      <c r="T2166" s="11"/>
      <c r="U2166" s="11"/>
      <c r="V2166" s="11"/>
      <c r="W2166" s="11"/>
      <c r="X2166" s="12"/>
      <c r="Y2166" s="12"/>
      <c r="Z2166" s="12"/>
      <c r="AA2166" s="44"/>
      <c r="AB2166" s="45"/>
      <c r="AC2166" s="12"/>
      <c r="AD2166" s="12"/>
      <c r="AE2166" s="12"/>
      <c r="AF2166" s="12"/>
      <c r="AG2166" s="44"/>
      <c r="AH2166" s="45"/>
      <c r="AI2166" s="12"/>
      <c r="AJ2166" s="12"/>
      <c r="AK2166" s="12"/>
      <c r="AL2166" s="12"/>
      <c r="AM2166" s="44"/>
      <c r="AN2166" s="45"/>
      <c r="AO2166" s="12"/>
      <c r="AP2166" s="12"/>
      <c r="AQ2166" s="12"/>
      <c r="AR2166" s="12"/>
      <c r="AS2166" s="44"/>
      <c r="AT2166" s="45"/>
      <c r="AU2166" s="12"/>
      <c r="AV2166" s="12"/>
      <c r="AW2166" s="12"/>
      <c r="AX2166" s="12"/>
      <c r="AY2166" s="44"/>
      <c r="AZ2166" s="45"/>
      <c r="BA2166" s="12"/>
      <c r="BB2166" s="12"/>
      <c r="BC2166" s="12"/>
      <c r="BD2166" s="12"/>
      <c r="BE2166" s="44"/>
      <c r="BF2166" s="45"/>
      <c r="BG2166" s="12"/>
      <c r="BH2166" s="12"/>
      <c r="BI2166" s="12"/>
      <c r="BJ2166" s="12"/>
      <c r="BK2166" s="44"/>
      <c r="BL2166" s="45"/>
      <c r="BM2166" s="12"/>
      <c r="BN2166" s="12"/>
      <c r="BO2166" s="12"/>
      <c r="BP2166" s="12"/>
      <c r="BQ2166" s="48"/>
      <c r="BR2166" s="49"/>
      <c r="BS2166" s="13"/>
      <c r="BT2166" s="12"/>
      <c r="BV2166" s="14"/>
      <c r="BW2166" s="50"/>
      <c r="BX2166" s="54"/>
      <c r="BY2166" s="14"/>
      <c r="BZ2166" s="14"/>
      <c r="CA2166" s="14"/>
      <c r="CB2166" s="14"/>
      <c r="CC2166" s="14"/>
      <c r="CD2166" s="14"/>
      <c r="CE2166" s="14"/>
      <c r="CF2166" s="15"/>
      <c r="CG2166" s="14"/>
      <c r="CH2166" s="14"/>
      <c r="CI2166" s="50"/>
      <c r="CJ2166" s="54"/>
      <c r="CK2166" s="14"/>
      <c r="CL2166" s="14"/>
      <c r="CM2166" s="14"/>
      <c r="CN2166" s="14"/>
      <c r="CO2166" s="14"/>
      <c r="CP2166" s="14"/>
      <c r="CQ2166" s="14"/>
      <c r="CR2166" s="14"/>
      <c r="CS2166" s="14"/>
      <c r="CT2166" s="14"/>
      <c r="CU2166" s="16"/>
      <c r="CV2166" s="14"/>
      <c r="CW2166" s="50"/>
      <c r="CX2166" s="17"/>
    </row>
    <row r="2167" spans="4:102" x14ac:dyDescent="0.25">
      <c r="D2167" s="11"/>
      <c r="E2167" s="11"/>
      <c r="F2167" s="11"/>
      <c r="G2167" s="11"/>
      <c r="H2167" s="11"/>
      <c r="I2167" s="11"/>
      <c r="J2167" s="11"/>
      <c r="K2167" s="11"/>
      <c r="L2167" s="11"/>
      <c r="M2167" s="11"/>
      <c r="N2167" s="11"/>
      <c r="O2167" s="11"/>
      <c r="P2167" s="43"/>
      <c r="Q2167" s="11"/>
      <c r="R2167" s="11"/>
      <c r="S2167" s="11"/>
      <c r="T2167" s="11"/>
      <c r="U2167" s="11"/>
      <c r="V2167" s="11"/>
      <c r="W2167" s="11"/>
      <c r="X2167" s="12"/>
      <c r="Y2167" s="12"/>
      <c r="Z2167" s="12"/>
      <c r="AA2167" s="44"/>
      <c r="AB2167" s="45"/>
      <c r="AC2167" s="12"/>
      <c r="AD2167" s="12"/>
      <c r="AE2167" s="12"/>
      <c r="AF2167" s="12"/>
      <c r="AG2167" s="44"/>
      <c r="AH2167" s="45"/>
      <c r="AI2167" s="12"/>
      <c r="AJ2167" s="12"/>
      <c r="AK2167" s="12"/>
      <c r="AL2167" s="12"/>
      <c r="AM2167" s="44"/>
      <c r="AN2167" s="45"/>
      <c r="AO2167" s="12"/>
      <c r="AP2167" s="12"/>
      <c r="AQ2167" s="12"/>
      <c r="AR2167" s="12"/>
      <c r="AS2167" s="44"/>
      <c r="AT2167" s="45"/>
      <c r="AU2167" s="12"/>
      <c r="AV2167" s="12"/>
      <c r="AW2167" s="12"/>
      <c r="AX2167" s="12"/>
      <c r="AY2167" s="44"/>
      <c r="AZ2167" s="45"/>
      <c r="BA2167" s="12"/>
      <c r="BB2167" s="12"/>
      <c r="BC2167" s="12"/>
      <c r="BD2167" s="12"/>
      <c r="BE2167" s="44"/>
      <c r="BF2167" s="45"/>
      <c r="BG2167" s="12"/>
      <c r="BH2167" s="12"/>
      <c r="BI2167" s="12"/>
      <c r="BJ2167" s="12"/>
      <c r="BK2167" s="44"/>
      <c r="BL2167" s="45"/>
      <c r="BM2167" s="12"/>
      <c r="BN2167" s="12"/>
      <c r="BO2167" s="12"/>
      <c r="BP2167" s="12"/>
      <c r="BQ2167" s="48"/>
      <c r="BR2167" s="49"/>
      <c r="BS2167" s="13"/>
      <c r="BT2167" s="12"/>
      <c r="BV2167" s="14"/>
      <c r="BW2167" s="50"/>
      <c r="BX2167" s="54"/>
      <c r="BY2167" s="14"/>
      <c r="BZ2167" s="14"/>
      <c r="CA2167" s="14"/>
      <c r="CB2167" s="14"/>
      <c r="CC2167" s="14"/>
      <c r="CD2167" s="14"/>
      <c r="CE2167" s="14"/>
      <c r="CF2167" s="15"/>
      <c r="CG2167" s="14"/>
      <c r="CH2167" s="14"/>
      <c r="CI2167" s="50"/>
      <c r="CJ2167" s="54"/>
      <c r="CK2167" s="14"/>
      <c r="CL2167" s="14"/>
      <c r="CM2167" s="14"/>
      <c r="CN2167" s="14"/>
      <c r="CO2167" s="14"/>
      <c r="CP2167" s="14"/>
      <c r="CQ2167" s="14"/>
      <c r="CR2167" s="14"/>
      <c r="CS2167" s="14"/>
      <c r="CT2167" s="14"/>
      <c r="CU2167" s="16"/>
      <c r="CV2167" s="14"/>
      <c r="CW2167" s="50"/>
      <c r="CX2167" s="17"/>
    </row>
    <row r="2168" spans="4:102" x14ac:dyDescent="0.25">
      <c r="D2168" s="11"/>
      <c r="E2168" s="11"/>
      <c r="F2168" s="11"/>
      <c r="G2168" s="11"/>
      <c r="H2168" s="11"/>
      <c r="I2168" s="11"/>
      <c r="J2168" s="11"/>
      <c r="K2168" s="11"/>
      <c r="L2168" s="11"/>
      <c r="M2168" s="11"/>
      <c r="N2168" s="11"/>
      <c r="O2168" s="11"/>
      <c r="P2168" s="43"/>
      <c r="Q2168" s="11"/>
      <c r="R2168" s="11"/>
      <c r="S2168" s="11"/>
      <c r="T2168" s="11"/>
      <c r="U2168" s="11"/>
      <c r="V2168" s="11"/>
      <c r="W2168" s="11"/>
      <c r="X2168" s="12"/>
      <c r="Y2168" s="12"/>
      <c r="Z2168" s="12"/>
      <c r="AA2168" s="44"/>
      <c r="AB2168" s="45"/>
      <c r="AC2168" s="12"/>
      <c r="AD2168" s="12"/>
      <c r="AE2168" s="12"/>
      <c r="AF2168" s="12"/>
      <c r="AG2168" s="44"/>
      <c r="AH2168" s="45"/>
      <c r="AI2168" s="12"/>
      <c r="AJ2168" s="12"/>
      <c r="AK2168" s="12"/>
      <c r="AL2168" s="12"/>
      <c r="AM2168" s="44"/>
      <c r="AN2168" s="45"/>
      <c r="AO2168" s="12"/>
      <c r="AP2168" s="12"/>
      <c r="AQ2168" s="12"/>
      <c r="AR2168" s="12"/>
      <c r="AS2168" s="44"/>
      <c r="AT2168" s="45"/>
      <c r="AU2168" s="12"/>
      <c r="AV2168" s="12"/>
      <c r="AW2168" s="12"/>
      <c r="AX2168" s="12"/>
      <c r="AY2168" s="44"/>
      <c r="AZ2168" s="45"/>
      <c r="BA2168" s="12"/>
      <c r="BB2168" s="12"/>
      <c r="BC2168" s="12"/>
      <c r="BD2168" s="12"/>
      <c r="BE2168" s="44"/>
      <c r="BF2168" s="45"/>
      <c r="BG2168" s="12"/>
      <c r="BH2168" s="12"/>
      <c r="BI2168" s="12"/>
      <c r="BJ2168" s="12"/>
      <c r="BK2168" s="44"/>
      <c r="BL2168" s="45"/>
      <c r="BM2168" s="12"/>
      <c r="BN2168" s="12"/>
      <c r="BO2168" s="12"/>
      <c r="BP2168" s="12"/>
      <c r="BQ2168" s="48"/>
      <c r="BR2168" s="49"/>
      <c r="BS2168" s="13"/>
      <c r="BT2168" s="12"/>
      <c r="BV2168" s="14"/>
      <c r="BW2168" s="50"/>
      <c r="BX2168" s="54"/>
      <c r="BY2168" s="14"/>
      <c r="BZ2168" s="14"/>
      <c r="CA2168" s="14"/>
      <c r="CB2168" s="14"/>
      <c r="CC2168" s="14"/>
      <c r="CD2168" s="14"/>
      <c r="CE2168" s="14"/>
      <c r="CF2168" s="15"/>
      <c r="CG2168" s="14"/>
      <c r="CH2168" s="14"/>
      <c r="CI2168" s="50"/>
      <c r="CJ2168" s="54"/>
      <c r="CK2168" s="14"/>
      <c r="CL2168" s="14"/>
      <c r="CM2168" s="14"/>
      <c r="CN2168" s="14"/>
      <c r="CO2168" s="14"/>
      <c r="CP2168" s="14"/>
      <c r="CQ2168" s="14"/>
      <c r="CR2168" s="14"/>
      <c r="CS2168" s="14"/>
      <c r="CT2168" s="14"/>
      <c r="CU2168" s="16"/>
      <c r="CV2168" s="14"/>
      <c r="CW2168" s="50"/>
      <c r="CX2168" s="17"/>
    </row>
    <row r="2169" spans="4:102" x14ac:dyDescent="0.25">
      <c r="D2169" s="11"/>
      <c r="E2169" s="11"/>
      <c r="F2169" s="11"/>
      <c r="G2169" s="11"/>
      <c r="H2169" s="11"/>
      <c r="I2169" s="11"/>
      <c r="J2169" s="11"/>
      <c r="K2169" s="11"/>
      <c r="L2169" s="11"/>
      <c r="M2169" s="11"/>
      <c r="N2169" s="11"/>
      <c r="O2169" s="11"/>
      <c r="P2169" s="43"/>
      <c r="Q2169" s="11"/>
      <c r="R2169" s="11"/>
      <c r="S2169" s="11"/>
      <c r="T2169" s="11"/>
      <c r="U2169" s="11"/>
      <c r="V2169" s="11"/>
      <c r="W2169" s="11"/>
      <c r="X2169" s="12"/>
      <c r="Y2169" s="12"/>
      <c r="Z2169" s="12"/>
      <c r="AA2169" s="44"/>
      <c r="AB2169" s="45"/>
      <c r="AC2169" s="12"/>
      <c r="AD2169" s="12"/>
      <c r="AE2169" s="12"/>
      <c r="AF2169" s="12"/>
      <c r="AG2169" s="44"/>
      <c r="AH2169" s="45"/>
      <c r="AI2169" s="12"/>
      <c r="AJ2169" s="12"/>
      <c r="AK2169" s="12"/>
      <c r="AL2169" s="12"/>
      <c r="AM2169" s="44"/>
      <c r="AN2169" s="45"/>
      <c r="AO2169" s="12"/>
      <c r="AP2169" s="12"/>
      <c r="AQ2169" s="12"/>
      <c r="AR2169" s="12"/>
      <c r="AS2169" s="44"/>
      <c r="AT2169" s="45"/>
      <c r="AU2169" s="12"/>
      <c r="AV2169" s="12"/>
      <c r="AW2169" s="12"/>
      <c r="AX2169" s="12"/>
      <c r="AY2169" s="44"/>
      <c r="AZ2169" s="45"/>
      <c r="BA2169" s="12"/>
      <c r="BB2169" s="12"/>
      <c r="BC2169" s="12"/>
      <c r="BD2169" s="12"/>
      <c r="BE2169" s="44"/>
      <c r="BF2169" s="45"/>
      <c r="BG2169" s="12"/>
      <c r="BH2169" s="12"/>
      <c r="BI2169" s="12"/>
      <c r="BJ2169" s="12"/>
      <c r="BK2169" s="44"/>
      <c r="BL2169" s="45"/>
      <c r="BM2169" s="12"/>
      <c r="BN2169" s="12"/>
      <c r="BO2169" s="12"/>
      <c r="BP2169" s="12"/>
      <c r="BQ2169" s="48"/>
      <c r="BR2169" s="49"/>
      <c r="BS2169" s="13"/>
      <c r="BT2169" s="12"/>
      <c r="BV2169" s="14"/>
      <c r="BW2169" s="50"/>
      <c r="BX2169" s="54"/>
      <c r="BY2169" s="14"/>
      <c r="BZ2169" s="14"/>
      <c r="CA2169" s="14"/>
      <c r="CB2169" s="14"/>
      <c r="CC2169" s="14"/>
      <c r="CD2169" s="14"/>
      <c r="CE2169" s="14"/>
      <c r="CF2169" s="15"/>
      <c r="CG2169" s="14"/>
      <c r="CH2169" s="14"/>
      <c r="CI2169" s="50"/>
      <c r="CJ2169" s="54"/>
      <c r="CK2169" s="14"/>
      <c r="CL2169" s="14"/>
      <c r="CM2169" s="14"/>
      <c r="CN2169" s="14"/>
      <c r="CO2169" s="14"/>
      <c r="CP2169" s="14"/>
      <c r="CQ2169" s="14"/>
      <c r="CR2169" s="14"/>
      <c r="CS2169" s="14"/>
      <c r="CT2169" s="14"/>
      <c r="CU2169" s="16"/>
      <c r="CV2169" s="14"/>
      <c r="CW2169" s="50"/>
      <c r="CX2169" s="17"/>
    </row>
    <row r="2170" spans="4:102" x14ac:dyDescent="0.25">
      <c r="D2170" s="11"/>
      <c r="E2170" s="11"/>
      <c r="F2170" s="11"/>
      <c r="G2170" s="11"/>
      <c r="H2170" s="11"/>
      <c r="I2170" s="11"/>
      <c r="J2170" s="11"/>
      <c r="K2170" s="11"/>
      <c r="L2170" s="11"/>
      <c r="M2170" s="11"/>
      <c r="N2170" s="11"/>
      <c r="O2170" s="11"/>
      <c r="P2170" s="43"/>
      <c r="Q2170" s="11"/>
      <c r="R2170" s="11"/>
      <c r="S2170" s="11"/>
      <c r="T2170" s="11"/>
      <c r="U2170" s="11"/>
      <c r="V2170" s="11"/>
      <c r="W2170" s="11"/>
      <c r="X2170" s="12"/>
      <c r="Y2170" s="12"/>
      <c r="Z2170" s="12"/>
      <c r="AA2170" s="44"/>
      <c r="AB2170" s="45"/>
      <c r="AC2170" s="12"/>
      <c r="AD2170" s="12"/>
      <c r="AE2170" s="12"/>
      <c r="AF2170" s="12"/>
      <c r="AG2170" s="44"/>
      <c r="AH2170" s="45"/>
      <c r="AI2170" s="12"/>
      <c r="AJ2170" s="12"/>
      <c r="AK2170" s="12"/>
      <c r="AL2170" s="12"/>
      <c r="AM2170" s="44"/>
      <c r="AN2170" s="45"/>
      <c r="AO2170" s="12"/>
      <c r="AP2170" s="12"/>
      <c r="AQ2170" s="12"/>
      <c r="AR2170" s="12"/>
      <c r="AS2170" s="44"/>
      <c r="AT2170" s="45"/>
      <c r="AU2170" s="12"/>
      <c r="AV2170" s="12"/>
      <c r="AW2170" s="12"/>
      <c r="AX2170" s="12"/>
      <c r="AY2170" s="44"/>
      <c r="AZ2170" s="45"/>
      <c r="BA2170" s="12"/>
      <c r="BB2170" s="12"/>
      <c r="BC2170" s="12"/>
      <c r="BD2170" s="12"/>
      <c r="BE2170" s="44"/>
      <c r="BF2170" s="45"/>
      <c r="BG2170" s="12"/>
      <c r="BH2170" s="12"/>
      <c r="BI2170" s="12"/>
      <c r="BJ2170" s="12"/>
      <c r="BK2170" s="44"/>
      <c r="BL2170" s="45"/>
      <c r="BM2170" s="12"/>
      <c r="BN2170" s="12"/>
      <c r="BO2170" s="12"/>
      <c r="BP2170" s="12"/>
      <c r="BQ2170" s="48"/>
      <c r="BR2170" s="49"/>
      <c r="BS2170" s="13"/>
      <c r="BT2170" s="12"/>
      <c r="BV2170" s="14"/>
      <c r="BW2170" s="50"/>
      <c r="BX2170" s="54"/>
      <c r="BY2170" s="14"/>
      <c r="BZ2170" s="14"/>
      <c r="CA2170" s="14"/>
      <c r="CB2170" s="14"/>
      <c r="CC2170" s="14"/>
      <c r="CD2170" s="14"/>
      <c r="CE2170" s="14"/>
      <c r="CF2170" s="15"/>
      <c r="CG2170" s="14"/>
      <c r="CH2170" s="14"/>
      <c r="CI2170" s="50"/>
      <c r="CJ2170" s="54"/>
      <c r="CK2170" s="14"/>
      <c r="CL2170" s="14"/>
      <c r="CM2170" s="14"/>
      <c r="CN2170" s="14"/>
      <c r="CO2170" s="14"/>
      <c r="CP2170" s="14"/>
      <c r="CQ2170" s="14"/>
      <c r="CR2170" s="14"/>
      <c r="CS2170" s="14"/>
      <c r="CT2170" s="14"/>
      <c r="CU2170" s="16"/>
      <c r="CV2170" s="14"/>
      <c r="CW2170" s="50"/>
      <c r="CX2170" s="17"/>
    </row>
    <row r="2171" spans="4:102" x14ac:dyDescent="0.25">
      <c r="D2171" s="11"/>
      <c r="E2171" s="11"/>
      <c r="F2171" s="11"/>
      <c r="G2171" s="11"/>
      <c r="H2171" s="11"/>
      <c r="I2171" s="11"/>
      <c r="J2171" s="11"/>
      <c r="K2171" s="11"/>
      <c r="L2171" s="11"/>
      <c r="M2171" s="11"/>
      <c r="N2171" s="11"/>
      <c r="O2171" s="11"/>
      <c r="P2171" s="43"/>
      <c r="Q2171" s="11"/>
      <c r="R2171" s="11"/>
      <c r="S2171" s="11"/>
      <c r="T2171" s="11"/>
      <c r="U2171" s="11"/>
      <c r="V2171" s="11"/>
      <c r="W2171" s="11"/>
      <c r="X2171" s="12"/>
      <c r="Y2171" s="12"/>
      <c r="Z2171" s="12"/>
      <c r="AA2171" s="44"/>
      <c r="AB2171" s="45"/>
      <c r="AC2171" s="12"/>
      <c r="AD2171" s="12"/>
      <c r="AE2171" s="12"/>
      <c r="AF2171" s="12"/>
      <c r="AG2171" s="44"/>
      <c r="AH2171" s="45"/>
      <c r="AI2171" s="12"/>
      <c r="AJ2171" s="12"/>
      <c r="AK2171" s="12"/>
      <c r="AL2171" s="12"/>
      <c r="AM2171" s="44"/>
      <c r="AN2171" s="45"/>
      <c r="AO2171" s="12"/>
      <c r="AP2171" s="12"/>
      <c r="AQ2171" s="12"/>
      <c r="AR2171" s="12"/>
      <c r="AS2171" s="44"/>
      <c r="AT2171" s="45"/>
      <c r="AU2171" s="12"/>
      <c r="AV2171" s="12"/>
      <c r="AW2171" s="12"/>
      <c r="AX2171" s="12"/>
      <c r="AY2171" s="44"/>
      <c r="AZ2171" s="45"/>
      <c r="BA2171" s="12"/>
      <c r="BB2171" s="12"/>
      <c r="BC2171" s="12"/>
      <c r="BD2171" s="12"/>
      <c r="BE2171" s="44"/>
      <c r="BF2171" s="45"/>
      <c r="BG2171" s="12"/>
      <c r="BH2171" s="12"/>
      <c r="BI2171" s="12"/>
      <c r="BJ2171" s="12"/>
      <c r="BK2171" s="44"/>
      <c r="BL2171" s="45"/>
      <c r="BM2171" s="12"/>
      <c r="BN2171" s="12"/>
      <c r="BO2171" s="12"/>
      <c r="BP2171" s="12"/>
      <c r="BQ2171" s="48"/>
      <c r="BR2171" s="49"/>
      <c r="BS2171" s="13"/>
      <c r="BT2171" s="12"/>
      <c r="BV2171" s="14"/>
      <c r="BW2171" s="50"/>
      <c r="BX2171" s="54"/>
      <c r="BY2171" s="14"/>
      <c r="BZ2171" s="14"/>
      <c r="CA2171" s="14"/>
      <c r="CB2171" s="14"/>
      <c r="CC2171" s="14"/>
      <c r="CD2171" s="14"/>
      <c r="CE2171" s="14"/>
      <c r="CF2171" s="15"/>
      <c r="CG2171" s="14"/>
      <c r="CH2171" s="14"/>
      <c r="CI2171" s="50"/>
      <c r="CJ2171" s="54"/>
      <c r="CK2171" s="14"/>
      <c r="CL2171" s="14"/>
      <c r="CM2171" s="14"/>
      <c r="CN2171" s="14"/>
      <c r="CO2171" s="14"/>
      <c r="CP2171" s="14"/>
      <c r="CQ2171" s="14"/>
      <c r="CR2171" s="14"/>
      <c r="CS2171" s="14"/>
      <c r="CT2171" s="14"/>
      <c r="CU2171" s="16"/>
      <c r="CV2171" s="14"/>
      <c r="CW2171" s="50"/>
      <c r="CX2171" s="17"/>
    </row>
    <row r="2172" spans="4:102" x14ac:dyDescent="0.25">
      <c r="D2172" s="11"/>
      <c r="E2172" s="11"/>
      <c r="F2172" s="11"/>
      <c r="G2172" s="11"/>
      <c r="H2172" s="11"/>
      <c r="I2172" s="11"/>
      <c r="J2172" s="11"/>
      <c r="K2172" s="11"/>
      <c r="L2172" s="11"/>
      <c r="M2172" s="11"/>
      <c r="N2172" s="11"/>
      <c r="O2172" s="11"/>
      <c r="P2172" s="43"/>
      <c r="Q2172" s="11"/>
      <c r="R2172" s="11"/>
      <c r="S2172" s="11"/>
      <c r="T2172" s="11"/>
      <c r="U2172" s="11"/>
      <c r="V2172" s="11"/>
      <c r="W2172" s="11"/>
      <c r="X2172" s="12"/>
      <c r="Y2172" s="12"/>
      <c r="Z2172" s="12"/>
      <c r="AA2172" s="44"/>
      <c r="AB2172" s="45"/>
      <c r="AC2172" s="12"/>
      <c r="AD2172" s="12"/>
      <c r="AE2172" s="12"/>
      <c r="AF2172" s="12"/>
      <c r="AG2172" s="44"/>
      <c r="AH2172" s="45"/>
      <c r="AI2172" s="12"/>
      <c r="AJ2172" s="12"/>
      <c r="AK2172" s="12"/>
      <c r="AL2172" s="12"/>
      <c r="AM2172" s="44"/>
      <c r="AN2172" s="45"/>
      <c r="AO2172" s="12"/>
      <c r="AP2172" s="12"/>
      <c r="AQ2172" s="12"/>
      <c r="AR2172" s="12"/>
      <c r="AS2172" s="44"/>
      <c r="AT2172" s="45"/>
      <c r="AU2172" s="12"/>
      <c r="AV2172" s="12"/>
      <c r="AW2172" s="12"/>
      <c r="AX2172" s="12"/>
      <c r="AY2172" s="44"/>
      <c r="AZ2172" s="45"/>
      <c r="BA2172" s="12"/>
      <c r="BB2172" s="12"/>
      <c r="BC2172" s="12"/>
      <c r="BD2172" s="12"/>
      <c r="BE2172" s="44"/>
      <c r="BF2172" s="45"/>
      <c r="BG2172" s="12"/>
      <c r="BH2172" s="12"/>
      <c r="BI2172" s="12"/>
      <c r="BJ2172" s="12"/>
      <c r="BK2172" s="44"/>
      <c r="BL2172" s="45"/>
      <c r="BM2172" s="12"/>
      <c r="BN2172" s="12"/>
      <c r="BO2172" s="12"/>
      <c r="BP2172" s="12"/>
      <c r="BQ2172" s="48"/>
      <c r="BR2172" s="49"/>
      <c r="BS2172" s="13"/>
      <c r="BT2172" s="12"/>
      <c r="BV2172" s="14"/>
      <c r="BW2172" s="50"/>
      <c r="BX2172" s="54"/>
      <c r="BY2172" s="14"/>
      <c r="BZ2172" s="14"/>
      <c r="CA2172" s="14"/>
      <c r="CB2172" s="14"/>
      <c r="CC2172" s="14"/>
      <c r="CD2172" s="14"/>
      <c r="CE2172" s="14"/>
      <c r="CF2172" s="15"/>
      <c r="CG2172" s="14"/>
      <c r="CH2172" s="14"/>
      <c r="CI2172" s="50"/>
      <c r="CJ2172" s="54"/>
      <c r="CK2172" s="14"/>
      <c r="CL2172" s="14"/>
      <c r="CM2172" s="14"/>
      <c r="CN2172" s="14"/>
      <c r="CO2172" s="14"/>
      <c r="CP2172" s="14"/>
      <c r="CQ2172" s="14"/>
      <c r="CR2172" s="14"/>
      <c r="CS2172" s="14"/>
      <c r="CT2172" s="14"/>
      <c r="CU2172" s="16"/>
      <c r="CV2172" s="14"/>
      <c r="CW2172" s="50"/>
      <c r="CX2172" s="17"/>
    </row>
    <row r="2173" spans="4:102" x14ac:dyDescent="0.25">
      <c r="D2173" s="11"/>
      <c r="E2173" s="11"/>
      <c r="F2173" s="11"/>
      <c r="G2173" s="11"/>
      <c r="H2173" s="11"/>
      <c r="I2173" s="11"/>
      <c r="J2173" s="11"/>
      <c r="K2173" s="11"/>
      <c r="L2173" s="11"/>
      <c r="M2173" s="11"/>
      <c r="N2173" s="11"/>
      <c r="O2173" s="11"/>
      <c r="P2173" s="43"/>
      <c r="Q2173" s="11"/>
      <c r="R2173" s="11"/>
      <c r="S2173" s="11"/>
      <c r="T2173" s="11"/>
      <c r="U2173" s="11"/>
      <c r="V2173" s="11"/>
      <c r="W2173" s="11"/>
      <c r="X2173" s="12"/>
      <c r="Y2173" s="12"/>
      <c r="Z2173" s="12"/>
      <c r="AA2173" s="44"/>
      <c r="AB2173" s="45"/>
      <c r="AC2173" s="12"/>
      <c r="AD2173" s="12"/>
      <c r="AE2173" s="12"/>
      <c r="AF2173" s="12"/>
      <c r="AG2173" s="44"/>
      <c r="AH2173" s="45"/>
      <c r="AI2173" s="12"/>
      <c r="AJ2173" s="12"/>
      <c r="AK2173" s="12"/>
      <c r="AL2173" s="12"/>
      <c r="AM2173" s="44"/>
      <c r="AN2173" s="45"/>
      <c r="AO2173" s="12"/>
      <c r="AP2173" s="12"/>
      <c r="AQ2173" s="12"/>
      <c r="AR2173" s="12"/>
      <c r="AS2173" s="44"/>
      <c r="AT2173" s="45"/>
      <c r="AU2173" s="12"/>
      <c r="AV2173" s="12"/>
      <c r="AW2173" s="12"/>
      <c r="AX2173" s="12"/>
      <c r="AY2173" s="44"/>
      <c r="AZ2173" s="45"/>
      <c r="BA2173" s="12"/>
      <c r="BB2173" s="12"/>
      <c r="BC2173" s="12"/>
      <c r="BD2173" s="12"/>
      <c r="BE2173" s="44"/>
      <c r="BF2173" s="45"/>
      <c r="BG2173" s="12"/>
      <c r="BH2173" s="12"/>
      <c r="BI2173" s="12"/>
      <c r="BJ2173" s="12"/>
      <c r="BK2173" s="44"/>
      <c r="BL2173" s="45"/>
      <c r="BM2173" s="12"/>
      <c r="BN2173" s="12"/>
      <c r="BO2173" s="12"/>
      <c r="BP2173" s="12"/>
      <c r="BQ2173" s="48"/>
      <c r="BR2173" s="49"/>
      <c r="BS2173" s="13"/>
      <c r="BT2173" s="12"/>
      <c r="BV2173" s="14"/>
      <c r="BW2173" s="50"/>
      <c r="BX2173" s="54"/>
      <c r="BY2173" s="14"/>
      <c r="BZ2173" s="14"/>
      <c r="CA2173" s="14"/>
      <c r="CB2173" s="14"/>
      <c r="CC2173" s="14"/>
      <c r="CD2173" s="14"/>
      <c r="CE2173" s="14"/>
      <c r="CF2173" s="15"/>
      <c r="CG2173" s="14"/>
      <c r="CH2173" s="14"/>
      <c r="CI2173" s="50"/>
      <c r="CJ2173" s="54"/>
      <c r="CK2173" s="14"/>
      <c r="CL2173" s="14"/>
      <c r="CM2173" s="14"/>
      <c r="CN2173" s="14"/>
      <c r="CO2173" s="14"/>
      <c r="CP2173" s="14"/>
      <c r="CQ2173" s="14"/>
      <c r="CR2173" s="14"/>
      <c r="CS2173" s="14"/>
      <c r="CT2173" s="14"/>
      <c r="CU2173" s="16"/>
      <c r="CV2173" s="14"/>
      <c r="CW2173" s="50"/>
      <c r="CX2173" s="17"/>
    </row>
    <row r="2174" spans="4:102" x14ac:dyDescent="0.25">
      <c r="D2174" s="11"/>
      <c r="E2174" s="11"/>
      <c r="F2174" s="11"/>
      <c r="G2174" s="11"/>
      <c r="H2174" s="11"/>
      <c r="I2174" s="11"/>
      <c r="J2174" s="11"/>
      <c r="K2174" s="11"/>
      <c r="L2174" s="11"/>
      <c r="M2174" s="11"/>
      <c r="N2174" s="11"/>
      <c r="O2174" s="11"/>
      <c r="P2174" s="43"/>
      <c r="Q2174" s="11"/>
      <c r="R2174" s="11"/>
      <c r="S2174" s="11"/>
      <c r="T2174" s="11"/>
      <c r="U2174" s="11"/>
      <c r="V2174" s="11"/>
      <c r="W2174" s="11"/>
      <c r="X2174" s="12"/>
      <c r="Y2174" s="12"/>
      <c r="Z2174" s="12"/>
      <c r="AA2174" s="44"/>
      <c r="AB2174" s="45"/>
      <c r="AC2174" s="12"/>
      <c r="AD2174" s="12"/>
      <c r="AE2174" s="12"/>
      <c r="AF2174" s="12"/>
      <c r="AG2174" s="44"/>
      <c r="AH2174" s="45"/>
      <c r="AI2174" s="12"/>
      <c r="AJ2174" s="12"/>
      <c r="AK2174" s="12"/>
      <c r="AL2174" s="12"/>
      <c r="AM2174" s="44"/>
      <c r="AN2174" s="45"/>
      <c r="AO2174" s="12"/>
      <c r="AP2174" s="12"/>
      <c r="AQ2174" s="12"/>
      <c r="AR2174" s="12"/>
      <c r="AS2174" s="44"/>
      <c r="AT2174" s="45"/>
      <c r="AU2174" s="12"/>
      <c r="AV2174" s="12"/>
      <c r="AW2174" s="12"/>
      <c r="AX2174" s="12"/>
      <c r="AY2174" s="44"/>
      <c r="AZ2174" s="45"/>
      <c r="BA2174" s="12"/>
      <c r="BB2174" s="12"/>
      <c r="BC2174" s="12"/>
      <c r="BD2174" s="12"/>
      <c r="BE2174" s="44"/>
      <c r="BF2174" s="45"/>
      <c r="BG2174" s="12"/>
      <c r="BH2174" s="12"/>
      <c r="BI2174" s="12"/>
      <c r="BJ2174" s="12"/>
      <c r="BK2174" s="44"/>
      <c r="BL2174" s="45"/>
      <c r="BM2174" s="12"/>
      <c r="BN2174" s="12"/>
      <c r="BO2174" s="12"/>
      <c r="BP2174" s="12"/>
      <c r="BQ2174" s="48"/>
      <c r="BR2174" s="49"/>
      <c r="BS2174" s="13"/>
      <c r="BT2174" s="12"/>
      <c r="BV2174" s="14"/>
      <c r="BW2174" s="50"/>
      <c r="BX2174" s="54"/>
      <c r="BY2174" s="14"/>
      <c r="BZ2174" s="14"/>
      <c r="CA2174" s="14"/>
      <c r="CB2174" s="14"/>
      <c r="CC2174" s="14"/>
      <c r="CD2174" s="14"/>
      <c r="CE2174" s="14"/>
      <c r="CF2174" s="15"/>
      <c r="CG2174" s="14"/>
      <c r="CH2174" s="14"/>
      <c r="CI2174" s="50"/>
      <c r="CJ2174" s="54"/>
      <c r="CK2174" s="14"/>
      <c r="CL2174" s="14"/>
      <c r="CM2174" s="14"/>
      <c r="CN2174" s="14"/>
      <c r="CO2174" s="14"/>
      <c r="CP2174" s="14"/>
      <c r="CQ2174" s="14"/>
      <c r="CR2174" s="14"/>
      <c r="CS2174" s="14"/>
      <c r="CT2174" s="14"/>
      <c r="CU2174" s="16"/>
      <c r="CV2174" s="14"/>
      <c r="CW2174" s="50"/>
      <c r="CX2174" s="17"/>
    </row>
    <row r="2175" spans="4:102" x14ac:dyDescent="0.25">
      <c r="D2175" s="11"/>
      <c r="E2175" s="11"/>
      <c r="F2175" s="11"/>
      <c r="G2175" s="11"/>
      <c r="H2175" s="11"/>
      <c r="I2175" s="11"/>
      <c r="J2175" s="11"/>
      <c r="K2175" s="11"/>
      <c r="L2175" s="11"/>
      <c r="M2175" s="11"/>
      <c r="N2175" s="11"/>
      <c r="O2175" s="11"/>
      <c r="P2175" s="43"/>
      <c r="Q2175" s="11"/>
      <c r="R2175" s="11"/>
      <c r="S2175" s="11"/>
      <c r="T2175" s="11"/>
      <c r="U2175" s="11"/>
      <c r="V2175" s="11"/>
      <c r="W2175" s="11"/>
      <c r="X2175" s="12"/>
      <c r="Y2175" s="12"/>
      <c r="Z2175" s="12"/>
      <c r="AA2175" s="44"/>
      <c r="AB2175" s="45"/>
      <c r="AC2175" s="12"/>
      <c r="AD2175" s="12"/>
      <c r="AE2175" s="12"/>
      <c r="AF2175" s="12"/>
      <c r="AG2175" s="44"/>
      <c r="AH2175" s="45"/>
      <c r="AI2175" s="12"/>
      <c r="AJ2175" s="12"/>
      <c r="AK2175" s="12"/>
      <c r="AL2175" s="12"/>
      <c r="AM2175" s="44"/>
      <c r="AN2175" s="45"/>
      <c r="AO2175" s="12"/>
      <c r="AP2175" s="12"/>
      <c r="AQ2175" s="12"/>
      <c r="AR2175" s="12"/>
      <c r="AS2175" s="44"/>
      <c r="AT2175" s="45"/>
      <c r="AU2175" s="12"/>
      <c r="AV2175" s="12"/>
      <c r="AW2175" s="12"/>
      <c r="AX2175" s="12"/>
      <c r="AY2175" s="44"/>
      <c r="AZ2175" s="45"/>
      <c r="BA2175" s="12"/>
      <c r="BB2175" s="12"/>
      <c r="BC2175" s="12"/>
      <c r="BD2175" s="12"/>
      <c r="BE2175" s="44"/>
      <c r="BF2175" s="45"/>
      <c r="BG2175" s="12"/>
      <c r="BH2175" s="12"/>
      <c r="BI2175" s="12"/>
      <c r="BJ2175" s="12"/>
      <c r="BK2175" s="44"/>
      <c r="BL2175" s="45"/>
      <c r="BM2175" s="12"/>
      <c r="BN2175" s="12"/>
      <c r="BO2175" s="12"/>
      <c r="BP2175" s="12"/>
      <c r="BQ2175" s="48"/>
      <c r="BR2175" s="49"/>
      <c r="BS2175" s="13"/>
      <c r="BT2175" s="12"/>
      <c r="BV2175" s="14"/>
      <c r="BW2175" s="50"/>
      <c r="BX2175" s="54"/>
      <c r="BY2175" s="14"/>
      <c r="BZ2175" s="14"/>
      <c r="CA2175" s="14"/>
      <c r="CB2175" s="14"/>
      <c r="CC2175" s="14"/>
      <c r="CD2175" s="14"/>
      <c r="CE2175" s="14"/>
      <c r="CF2175" s="15"/>
      <c r="CG2175" s="14"/>
      <c r="CH2175" s="14"/>
      <c r="CI2175" s="50"/>
      <c r="CJ2175" s="54"/>
      <c r="CK2175" s="14"/>
      <c r="CL2175" s="14"/>
      <c r="CM2175" s="14"/>
      <c r="CN2175" s="14"/>
      <c r="CO2175" s="14"/>
      <c r="CP2175" s="14"/>
      <c r="CQ2175" s="14"/>
      <c r="CR2175" s="14"/>
      <c r="CS2175" s="14"/>
      <c r="CT2175" s="14"/>
      <c r="CU2175" s="16"/>
      <c r="CV2175" s="14"/>
      <c r="CW2175" s="50"/>
      <c r="CX2175" s="17"/>
    </row>
    <row r="2176" spans="4:102" x14ac:dyDescent="0.25">
      <c r="D2176" s="11"/>
      <c r="E2176" s="11"/>
      <c r="F2176" s="11"/>
      <c r="G2176" s="11"/>
      <c r="H2176" s="11"/>
      <c r="I2176" s="11"/>
      <c r="J2176" s="11"/>
      <c r="K2176" s="11"/>
      <c r="L2176" s="11"/>
      <c r="M2176" s="11"/>
      <c r="N2176" s="11"/>
      <c r="O2176" s="11"/>
      <c r="P2176" s="43"/>
      <c r="Q2176" s="11"/>
      <c r="R2176" s="11"/>
      <c r="S2176" s="11"/>
      <c r="T2176" s="11"/>
      <c r="U2176" s="11"/>
      <c r="V2176" s="11"/>
      <c r="W2176" s="11"/>
      <c r="X2176" s="12"/>
      <c r="Y2176" s="12"/>
      <c r="Z2176" s="12"/>
      <c r="AA2176" s="44"/>
      <c r="AB2176" s="45"/>
      <c r="AC2176" s="12"/>
      <c r="AD2176" s="12"/>
      <c r="AE2176" s="12"/>
      <c r="AF2176" s="12"/>
      <c r="AG2176" s="44"/>
      <c r="AH2176" s="45"/>
      <c r="AI2176" s="12"/>
      <c r="AJ2176" s="12"/>
      <c r="AK2176" s="12"/>
      <c r="AL2176" s="12"/>
      <c r="AM2176" s="44"/>
      <c r="AN2176" s="45"/>
      <c r="AO2176" s="12"/>
      <c r="AP2176" s="12"/>
      <c r="AQ2176" s="12"/>
      <c r="AR2176" s="12"/>
      <c r="AS2176" s="44"/>
      <c r="AT2176" s="45"/>
      <c r="AU2176" s="12"/>
      <c r="AV2176" s="12"/>
      <c r="AW2176" s="12"/>
      <c r="AX2176" s="12"/>
      <c r="AY2176" s="44"/>
      <c r="AZ2176" s="45"/>
      <c r="BA2176" s="12"/>
      <c r="BB2176" s="12"/>
      <c r="BC2176" s="12"/>
      <c r="BD2176" s="12"/>
      <c r="BE2176" s="44"/>
      <c r="BF2176" s="45"/>
      <c r="BG2176" s="12"/>
      <c r="BH2176" s="12"/>
      <c r="BI2176" s="12"/>
      <c r="BJ2176" s="12"/>
      <c r="BK2176" s="44"/>
      <c r="BL2176" s="45"/>
      <c r="BM2176" s="12"/>
      <c r="BN2176" s="12"/>
      <c r="BO2176" s="12"/>
      <c r="BP2176" s="12"/>
      <c r="BQ2176" s="48"/>
      <c r="BR2176" s="49"/>
      <c r="BS2176" s="13"/>
      <c r="BT2176" s="12"/>
      <c r="BV2176" s="14"/>
      <c r="BW2176" s="50"/>
      <c r="BX2176" s="54"/>
      <c r="BY2176" s="14"/>
      <c r="BZ2176" s="14"/>
      <c r="CA2176" s="14"/>
      <c r="CB2176" s="14"/>
      <c r="CC2176" s="14"/>
      <c r="CD2176" s="14"/>
      <c r="CE2176" s="14"/>
      <c r="CF2176" s="15"/>
      <c r="CG2176" s="14"/>
      <c r="CH2176" s="14"/>
      <c r="CI2176" s="50"/>
      <c r="CJ2176" s="54"/>
      <c r="CK2176" s="14"/>
      <c r="CL2176" s="14"/>
      <c r="CM2176" s="14"/>
      <c r="CN2176" s="14"/>
      <c r="CO2176" s="14"/>
      <c r="CP2176" s="14"/>
      <c r="CQ2176" s="14"/>
      <c r="CR2176" s="14"/>
      <c r="CS2176" s="14"/>
      <c r="CT2176" s="14"/>
      <c r="CU2176" s="16"/>
      <c r="CV2176" s="14"/>
      <c r="CW2176" s="50"/>
      <c r="CX2176" s="17"/>
    </row>
    <row r="2177" spans="4:102" x14ac:dyDescent="0.25">
      <c r="D2177" s="11"/>
      <c r="E2177" s="11"/>
      <c r="F2177" s="11"/>
      <c r="G2177" s="11"/>
      <c r="H2177" s="11"/>
      <c r="I2177" s="11"/>
      <c r="J2177" s="11"/>
      <c r="K2177" s="11"/>
      <c r="L2177" s="11"/>
      <c r="M2177" s="11"/>
      <c r="N2177" s="11"/>
      <c r="O2177" s="11"/>
      <c r="P2177" s="43"/>
      <c r="Q2177" s="11"/>
      <c r="R2177" s="11"/>
      <c r="S2177" s="11"/>
      <c r="T2177" s="11"/>
      <c r="U2177" s="11"/>
      <c r="V2177" s="11"/>
      <c r="W2177" s="11"/>
      <c r="X2177" s="12"/>
      <c r="Y2177" s="12"/>
      <c r="Z2177" s="12"/>
      <c r="AA2177" s="44"/>
      <c r="AB2177" s="45"/>
      <c r="AC2177" s="12"/>
      <c r="AD2177" s="12"/>
      <c r="AE2177" s="12"/>
      <c r="AF2177" s="12"/>
      <c r="AG2177" s="44"/>
      <c r="AH2177" s="45"/>
      <c r="AI2177" s="12"/>
      <c r="AJ2177" s="12"/>
      <c r="AK2177" s="12"/>
      <c r="AL2177" s="12"/>
      <c r="AM2177" s="44"/>
      <c r="AN2177" s="45"/>
      <c r="AO2177" s="12"/>
      <c r="AP2177" s="12"/>
      <c r="AQ2177" s="12"/>
      <c r="AR2177" s="12"/>
      <c r="AS2177" s="44"/>
      <c r="AT2177" s="45"/>
      <c r="AU2177" s="12"/>
      <c r="AV2177" s="12"/>
      <c r="AW2177" s="12"/>
      <c r="AX2177" s="12"/>
      <c r="AY2177" s="44"/>
      <c r="AZ2177" s="45"/>
      <c r="BA2177" s="12"/>
      <c r="BB2177" s="12"/>
      <c r="BC2177" s="12"/>
      <c r="BD2177" s="12"/>
      <c r="BE2177" s="44"/>
      <c r="BF2177" s="45"/>
      <c r="BG2177" s="12"/>
      <c r="BH2177" s="12"/>
      <c r="BI2177" s="12"/>
      <c r="BJ2177" s="12"/>
      <c r="BK2177" s="44"/>
      <c r="BL2177" s="45"/>
      <c r="BM2177" s="12"/>
      <c r="BN2177" s="12"/>
      <c r="BO2177" s="12"/>
      <c r="BP2177" s="12"/>
      <c r="BQ2177" s="48"/>
      <c r="BR2177" s="49"/>
      <c r="BS2177" s="13"/>
      <c r="BT2177" s="12"/>
      <c r="BV2177" s="14"/>
      <c r="BW2177" s="50"/>
      <c r="BX2177" s="54"/>
      <c r="BY2177" s="14"/>
      <c r="BZ2177" s="14"/>
      <c r="CA2177" s="14"/>
      <c r="CB2177" s="14"/>
      <c r="CC2177" s="14"/>
      <c r="CD2177" s="14"/>
      <c r="CE2177" s="14"/>
      <c r="CF2177" s="15"/>
      <c r="CG2177" s="14"/>
      <c r="CH2177" s="14"/>
      <c r="CI2177" s="50"/>
      <c r="CJ2177" s="54"/>
      <c r="CK2177" s="14"/>
      <c r="CL2177" s="14"/>
      <c r="CM2177" s="14"/>
      <c r="CN2177" s="14"/>
      <c r="CO2177" s="14"/>
      <c r="CP2177" s="14"/>
      <c r="CQ2177" s="14"/>
      <c r="CR2177" s="14"/>
      <c r="CS2177" s="14"/>
      <c r="CT2177" s="14"/>
      <c r="CU2177" s="16"/>
      <c r="CV2177" s="14"/>
      <c r="CW2177" s="50"/>
      <c r="CX2177" s="17"/>
    </row>
    <row r="2178" spans="4:102" x14ac:dyDescent="0.25">
      <c r="D2178" s="11"/>
      <c r="E2178" s="11"/>
      <c r="F2178" s="11"/>
      <c r="G2178" s="11"/>
      <c r="H2178" s="11"/>
      <c r="I2178" s="11"/>
      <c r="J2178" s="11"/>
      <c r="K2178" s="11"/>
      <c r="L2178" s="11"/>
      <c r="M2178" s="11"/>
      <c r="N2178" s="11"/>
      <c r="O2178" s="11"/>
      <c r="P2178" s="43"/>
      <c r="Q2178" s="11"/>
      <c r="R2178" s="11"/>
      <c r="S2178" s="11"/>
      <c r="T2178" s="11"/>
      <c r="U2178" s="11"/>
      <c r="V2178" s="11"/>
      <c r="W2178" s="11"/>
      <c r="X2178" s="12"/>
      <c r="Y2178" s="12"/>
      <c r="Z2178" s="12"/>
      <c r="AA2178" s="44"/>
      <c r="AB2178" s="45"/>
      <c r="AC2178" s="12"/>
      <c r="AD2178" s="12"/>
      <c r="AE2178" s="12"/>
      <c r="AF2178" s="12"/>
      <c r="AG2178" s="44"/>
      <c r="AH2178" s="45"/>
      <c r="AI2178" s="12"/>
      <c r="AJ2178" s="12"/>
      <c r="AK2178" s="12"/>
      <c r="AL2178" s="12"/>
      <c r="AM2178" s="44"/>
      <c r="AN2178" s="45"/>
      <c r="AO2178" s="12"/>
      <c r="AP2178" s="12"/>
      <c r="AQ2178" s="12"/>
      <c r="AR2178" s="12"/>
      <c r="AS2178" s="44"/>
      <c r="AT2178" s="45"/>
      <c r="AU2178" s="12"/>
      <c r="AV2178" s="12"/>
      <c r="AW2178" s="12"/>
      <c r="AX2178" s="12"/>
      <c r="AY2178" s="44"/>
      <c r="AZ2178" s="45"/>
      <c r="BA2178" s="12"/>
      <c r="BB2178" s="12"/>
      <c r="BC2178" s="12"/>
      <c r="BD2178" s="12"/>
      <c r="BE2178" s="44"/>
      <c r="BF2178" s="45"/>
      <c r="BG2178" s="12"/>
      <c r="BH2178" s="12"/>
      <c r="BI2178" s="12"/>
      <c r="BJ2178" s="12"/>
      <c r="BK2178" s="44"/>
      <c r="BL2178" s="45"/>
      <c r="BM2178" s="12"/>
      <c r="BN2178" s="12"/>
      <c r="BO2178" s="12"/>
      <c r="BP2178" s="12"/>
      <c r="BQ2178" s="48"/>
      <c r="BR2178" s="49"/>
      <c r="BS2178" s="13"/>
      <c r="BT2178" s="12"/>
      <c r="BV2178" s="14"/>
      <c r="BW2178" s="50"/>
      <c r="BX2178" s="54"/>
      <c r="BY2178" s="14"/>
      <c r="BZ2178" s="14"/>
      <c r="CA2178" s="14"/>
      <c r="CB2178" s="14"/>
      <c r="CC2178" s="14"/>
      <c r="CD2178" s="14"/>
      <c r="CE2178" s="14"/>
      <c r="CF2178" s="15"/>
      <c r="CG2178" s="14"/>
      <c r="CH2178" s="14"/>
      <c r="CI2178" s="50"/>
      <c r="CJ2178" s="54"/>
      <c r="CK2178" s="14"/>
      <c r="CL2178" s="14"/>
      <c r="CM2178" s="14"/>
      <c r="CN2178" s="14"/>
      <c r="CO2178" s="14"/>
      <c r="CP2178" s="14"/>
      <c r="CQ2178" s="14"/>
      <c r="CR2178" s="14"/>
      <c r="CS2178" s="14"/>
      <c r="CT2178" s="14"/>
      <c r="CU2178" s="16"/>
      <c r="CV2178" s="14"/>
      <c r="CW2178" s="50"/>
      <c r="CX2178" s="17"/>
    </row>
    <row r="2179" spans="4:102" x14ac:dyDescent="0.25">
      <c r="D2179" s="11"/>
      <c r="E2179" s="11"/>
      <c r="F2179" s="11"/>
      <c r="G2179" s="11"/>
      <c r="H2179" s="11"/>
      <c r="I2179" s="11"/>
      <c r="J2179" s="11"/>
      <c r="K2179" s="11"/>
      <c r="L2179" s="11"/>
      <c r="M2179" s="11"/>
      <c r="N2179" s="11"/>
      <c r="O2179" s="11"/>
      <c r="P2179" s="43"/>
      <c r="Q2179" s="11"/>
      <c r="R2179" s="11"/>
      <c r="S2179" s="11"/>
      <c r="T2179" s="11"/>
      <c r="U2179" s="11"/>
      <c r="V2179" s="11"/>
      <c r="W2179" s="11"/>
      <c r="X2179" s="12"/>
      <c r="Y2179" s="12"/>
      <c r="Z2179" s="12"/>
      <c r="AA2179" s="44"/>
      <c r="AB2179" s="45"/>
      <c r="AC2179" s="12"/>
      <c r="AD2179" s="12"/>
      <c r="AE2179" s="12"/>
      <c r="AF2179" s="12"/>
      <c r="AG2179" s="44"/>
      <c r="AH2179" s="45"/>
      <c r="AI2179" s="12"/>
      <c r="AJ2179" s="12"/>
      <c r="AK2179" s="12"/>
      <c r="AL2179" s="12"/>
      <c r="AM2179" s="44"/>
      <c r="AN2179" s="45"/>
      <c r="AO2179" s="12"/>
      <c r="AP2179" s="12"/>
      <c r="AQ2179" s="12"/>
      <c r="AR2179" s="12"/>
      <c r="AS2179" s="44"/>
      <c r="AT2179" s="45"/>
      <c r="AU2179" s="12"/>
      <c r="AV2179" s="12"/>
      <c r="AW2179" s="12"/>
      <c r="AX2179" s="12"/>
      <c r="AY2179" s="44"/>
      <c r="AZ2179" s="45"/>
      <c r="BA2179" s="12"/>
      <c r="BB2179" s="12"/>
      <c r="BC2179" s="12"/>
      <c r="BD2179" s="12"/>
      <c r="BE2179" s="44"/>
      <c r="BF2179" s="45"/>
      <c r="BG2179" s="12"/>
      <c r="BH2179" s="12"/>
      <c r="BI2179" s="12"/>
      <c r="BJ2179" s="12"/>
      <c r="BK2179" s="44"/>
      <c r="BL2179" s="45"/>
      <c r="BM2179" s="12"/>
      <c r="BN2179" s="12"/>
      <c r="BO2179" s="12"/>
      <c r="BP2179" s="12"/>
      <c r="BQ2179" s="48"/>
      <c r="BR2179" s="49"/>
      <c r="BS2179" s="13"/>
      <c r="BT2179" s="12"/>
      <c r="BV2179" s="14"/>
      <c r="BW2179" s="50"/>
      <c r="BX2179" s="54"/>
      <c r="BY2179" s="14"/>
      <c r="BZ2179" s="14"/>
      <c r="CA2179" s="14"/>
      <c r="CB2179" s="14"/>
      <c r="CC2179" s="14"/>
      <c r="CD2179" s="14"/>
      <c r="CE2179" s="14"/>
      <c r="CF2179" s="15"/>
      <c r="CG2179" s="14"/>
      <c r="CH2179" s="14"/>
      <c r="CI2179" s="50"/>
      <c r="CJ2179" s="54"/>
      <c r="CK2179" s="14"/>
      <c r="CL2179" s="14"/>
      <c r="CM2179" s="14"/>
      <c r="CN2179" s="14"/>
      <c r="CO2179" s="14"/>
      <c r="CP2179" s="14"/>
      <c r="CQ2179" s="14"/>
      <c r="CR2179" s="14"/>
      <c r="CS2179" s="14"/>
      <c r="CT2179" s="14"/>
      <c r="CU2179" s="16"/>
      <c r="CV2179" s="14"/>
      <c r="CW2179" s="50"/>
      <c r="CX2179" s="17"/>
    </row>
    <row r="2180" spans="4:102" x14ac:dyDescent="0.25">
      <c r="D2180" s="11"/>
      <c r="E2180" s="11"/>
      <c r="F2180" s="11"/>
      <c r="G2180" s="11"/>
      <c r="H2180" s="11"/>
      <c r="I2180" s="11"/>
      <c r="J2180" s="11"/>
      <c r="K2180" s="11"/>
      <c r="L2180" s="11"/>
      <c r="M2180" s="11"/>
      <c r="N2180" s="11"/>
      <c r="O2180" s="11"/>
      <c r="P2180" s="43"/>
      <c r="Q2180" s="11"/>
      <c r="R2180" s="11"/>
      <c r="S2180" s="11"/>
      <c r="T2180" s="11"/>
      <c r="U2180" s="11"/>
      <c r="V2180" s="11"/>
      <c r="W2180" s="11"/>
      <c r="X2180" s="12"/>
      <c r="Y2180" s="12"/>
      <c r="Z2180" s="12"/>
      <c r="AA2180" s="44"/>
      <c r="AB2180" s="45"/>
      <c r="AC2180" s="12"/>
      <c r="AD2180" s="12"/>
      <c r="AE2180" s="12"/>
      <c r="AF2180" s="12"/>
      <c r="AG2180" s="44"/>
      <c r="AH2180" s="45"/>
      <c r="AI2180" s="12"/>
      <c r="AJ2180" s="12"/>
      <c r="AK2180" s="12"/>
      <c r="AL2180" s="12"/>
      <c r="AM2180" s="44"/>
      <c r="AN2180" s="45"/>
      <c r="AO2180" s="12"/>
      <c r="AP2180" s="12"/>
      <c r="AQ2180" s="12"/>
      <c r="AR2180" s="12"/>
      <c r="AS2180" s="44"/>
      <c r="AT2180" s="45"/>
      <c r="AU2180" s="12"/>
      <c r="AV2180" s="12"/>
      <c r="AW2180" s="12"/>
      <c r="AX2180" s="12"/>
      <c r="AY2180" s="44"/>
      <c r="AZ2180" s="45"/>
      <c r="BA2180" s="12"/>
      <c r="BB2180" s="12"/>
      <c r="BC2180" s="12"/>
      <c r="BD2180" s="12"/>
      <c r="BE2180" s="44"/>
      <c r="BF2180" s="45"/>
      <c r="BG2180" s="12"/>
      <c r="BH2180" s="12"/>
      <c r="BI2180" s="12"/>
      <c r="BJ2180" s="12"/>
      <c r="BK2180" s="44"/>
      <c r="BL2180" s="45"/>
      <c r="BM2180" s="12"/>
      <c r="BN2180" s="12"/>
      <c r="BO2180" s="12"/>
      <c r="BP2180" s="12"/>
      <c r="BQ2180" s="48"/>
      <c r="BR2180" s="49"/>
      <c r="BS2180" s="13"/>
      <c r="BT2180" s="12"/>
      <c r="BV2180" s="14"/>
      <c r="BW2180" s="50"/>
      <c r="BX2180" s="54"/>
      <c r="BY2180" s="14"/>
      <c r="BZ2180" s="14"/>
      <c r="CA2180" s="14"/>
      <c r="CB2180" s="14"/>
      <c r="CC2180" s="14"/>
      <c r="CD2180" s="14"/>
      <c r="CE2180" s="14"/>
      <c r="CF2180" s="15"/>
      <c r="CG2180" s="14"/>
      <c r="CH2180" s="14"/>
      <c r="CI2180" s="50"/>
      <c r="CJ2180" s="54"/>
      <c r="CK2180" s="14"/>
      <c r="CL2180" s="14"/>
      <c r="CM2180" s="14"/>
      <c r="CN2180" s="14"/>
      <c r="CO2180" s="14"/>
      <c r="CP2180" s="14"/>
      <c r="CQ2180" s="14"/>
      <c r="CR2180" s="14"/>
      <c r="CS2180" s="14"/>
      <c r="CT2180" s="14"/>
      <c r="CU2180" s="16"/>
      <c r="CV2180" s="14"/>
      <c r="CW2180" s="50"/>
      <c r="CX2180" s="17"/>
    </row>
    <row r="2181" spans="4:102" x14ac:dyDescent="0.25">
      <c r="D2181" s="11"/>
      <c r="E2181" s="11"/>
      <c r="F2181" s="11"/>
      <c r="G2181" s="11"/>
      <c r="H2181" s="11"/>
      <c r="I2181" s="11"/>
      <c r="J2181" s="11"/>
      <c r="K2181" s="11"/>
      <c r="L2181" s="11"/>
      <c r="M2181" s="11"/>
      <c r="N2181" s="11"/>
      <c r="O2181" s="11"/>
      <c r="P2181" s="43"/>
      <c r="Q2181" s="11"/>
      <c r="R2181" s="11"/>
      <c r="S2181" s="11"/>
      <c r="T2181" s="11"/>
      <c r="U2181" s="11"/>
      <c r="V2181" s="11"/>
      <c r="W2181" s="11"/>
      <c r="X2181" s="12"/>
      <c r="Y2181" s="12"/>
      <c r="Z2181" s="12"/>
      <c r="AA2181" s="44"/>
      <c r="AB2181" s="45"/>
      <c r="AC2181" s="12"/>
      <c r="AD2181" s="12"/>
      <c r="AE2181" s="12"/>
      <c r="AF2181" s="12"/>
      <c r="AG2181" s="44"/>
      <c r="AH2181" s="45"/>
      <c r="AI2181" s="12"/>
      <c r="AJ2181" s="12"/>
      <c r="AK2181" s="12"/>
      <c r="AL2181" s="12"/>
      <c r="AM2181" s="44"/>
      <c r="AN2181" s="45"/>
      <c r="AO2181" s="12"/>
      <c r="AP2181" s="12"/>
      <c r="AQ2181" s="12"/>
      <c r="AR2181" s="12"/>
      <c r="AS2181" s="44"/>
      <c r="AT2181" s="45"/>
      <c r="AU2181" s="12"/>
      <c r="AV2181" s="12"/>
      <c r="AW2181" s="12"/>
      <c r="AX2181" s="12"/>
      <c r="AY2181" s="44"/>
      <c r="AZ2181" s="45"/>
      <c r="BA2181" s="12"/>
      <c r="BB2181" s="12"/>
      <c r="BC2181" s="12"/>
      <c r="BD2181" s="12"/>
      <c r="BE2181" s="44"/>
      <c r="BF2181" s="45"/>
      <c r="BG2181" s="12"/>
      <c r="BH2181" s="12"/>
      <c r="BI2181" s="12"/>
      <c r="BJ2181" s="12"/>
      <c r="BK2181" s="44"/>
      <c r="BL2181" s="45"/>
      <c r="BM2181" s="12"/>
      <c r="BN2181" s="12"/>
      <c r="BO2181" s="12"/>
      <c r="BP2181" s="12"/>
      <c r="BQ2181" s="48"/>
      <c r="BR2181" s="49"/>
      <c r="BS2181" s="13"/>
      <c r="BT2181" s="12"/>
      <c r="BV2181" s="14"/>
      <c r="BW2181" s="50"/>
      <c r="BX2181" s="54"/>
      <c r="BY2181" s="14"/>
      <c r="BZ2181" s="14"/>
      <c r="CA2181" s="14"/>
      <c r="CB2181" s="14"/>
      <c r="CC2181" s="14"/>
      <c r="CD2181" s="14"/>
      <c r="CE2181" s="14"/>
      <c r="CF2181" s="15"/>
      <c r="CG2181" s="14"/>
      <c r="CH2181" s="14"/>
      <c r="CI2181" s="50"/>
      <c r="CJ2181" s="54"/>
      <c r="CK2181" s="14"/>
      <c r="CL2181" s="14"/>
      <c r="CM2181" s="14"/>
      <c r="CN2181" s="14"/>
      <c r="CO2181" s="14"/>
      <c r="CP2181" s="14"/>
      <c r="CQ2181" s="14"/>
      <c r="CR2181" s="14"/>
      <c r="CS2181" s="14"/>
      <c r="CT2181" s="14"/>
      <c r="CU2181" s="16"/>
      <c r="CV2181" s="14"/>
      <c r="CW2181" s="50"/>
      <c r="CX2181" s="17"/>
    </row>
    <row r="2182" spans="4:102" x14ac:dyDescent="0.25">
      <c r="D2182" s="11"/>
      <c r="E2182" s="11"/>
      <c r="F2182" s="11"/>
      <c r="G2182" s="11"/>
      <c r="H2182" s="11"/>
      <c r="I2182" s="11"/>
      <c r="J2182" s="11"/>
      <c r="K2182" s="11"/>
      <c r="L2182" s="11"/>
      <c r="M2182" s="11"/>
      <c r="N2182" s="11"/>
      <c r="O2182" s="11"/>
      <c r="P2182" s="43"/>
      <c r="Q2182" s="11"/>
      <c r="R2182" s="11"/>
      <c r="S2182" s="11"/>
      <c r="T2182" s="11"/>
      <c r="U2182" s="11"/>
      <c r="V2182" s="11"/>
      <c r="W2182" s="11"/>
      <c r="X2182" s="12"/>
      <c r="Y2182" s="12"/>
      <c r="Z2182" s="12"/>
      <c r="AA2182" s="44"/>
      <c r="AB2182" s="45"/>
      <c r="AC2182" s="12"/>
      <c r="AD2182" s="12"/>
      <c r="AE2182" s="12"/>
      <c r="AF2182" s="12"/>
      <c r="AG2182" s="44"/>
      <c r="AH2182" s="45"/>
      <c r="AI2182" s="12"/>
      <c r="AJ2182" s="12"/>
      <c r="AK2182" s="12"/>
      <c r="AL2182" s="12"/>
      <c r="AM2182" s="44"/>
      <c r="AN2182" s="45"/>
      <c r="AO2182" s="12"/>
      <c r="AP2182" s="12"/>
      <c r="AQ2182" s="12"/>
      <c r="AR2182" s="12"/>
      <c r="AS2182" s="44"/>
      <c r="AT2182" s="45"/>
      <c r="AU2182" s="12"/>
      <c r="AV2182" s="12"/>
      <c r="AW2182" s="12"/>
      <c r="AX2182" s="12"/>
      <c r="AY2182" s="44"/>
      <c r="AZ2182" s="45"/>
      <c r="BA2182" s="12"/>
      <c r="BB2182" s="12"/>
      <c r="BC2182" s="12"/>
      <c r="BD2182" s="12"/>
      <c r="BE2182" s="44"/>
      <c r="BF2182" s="45"/>
      <c r="BG2182" s="12"/>
      <c r="BH2182" s="12"/>
      <c r="BI2182" s="12"/>
      <c r="BJ2182" s="12"/>
      <c r="BK2182" s="44"/>
      <c r="BL2182" s="45"/>
      <c r="BM2182" s="12"/>
      <c r="BN2182" s="12"/>
      <c r="BO2182" s="12"/>
      <c r="BP2182" s="12"/>
      <c r="BQ2182" s="48"/>
      <c r="BR2182" s="49"/>
      <c r="BS2182" s="13"/>
      <c r="BT2182" s="12"/>
      <c r="BV2182" s="14"/>
      <c r="BW2182" s="50"/>
      <c r="BX2182" s="54"/>
      <c r="BY2182" s="14"/>
      <c r="BZ2182" s="14"/>
      <c r="CA2182" s="14"/>
      <c r="CB2182" s="14"/>
      <c r="CC2182" s="14"/>
      <c r="CD2182" s="14"/>
      <c r="CE2182" s="14"/>
      <c r="CF2182" s="15"/>
      <c r="CG2182" s="14"/>
      <c r="CH2182" s="14"/>
      <c r="CI2182" s="50"/>
      <c r="CJ2182" s="54"/>
      <c r="CK2182" s="14"/>
      <c r="CL2182" s="14"/>
      <c r="CM2182" s="14"/>
      <c r="CN2182" s="14"/>
      <c r="CO2182" s="14"/>
      <c r="CP2182" s="14"/>
      <c r="CQ2182" s="14"/>
      <c r="CR2182" s="14"/>
      <c r="CS2182" s="14"/>
      <c r="CT2182" s="14"/>
      <c r="CU2182" s="16"/>
      <c r="CV2182" s="14"/>
      <c r="CW2182" s="50"/>
      <c r="CX2182" s="17"/>
    </row>
    <row r="2183" spans="4:102" x14ac:dyDescent="0.25">
      <c r="D2183" s="11"/>
      <c r="E2183" s="11"/>
      <c r="F2183" s="11"/>
      <c r="G2183" s="11"/>
      <c r="H2183" s="11"/>
      <c r="I2183" s="11"/>
      <c r="J2183" s="11"/>
      <c r="K2183" s="11"/>
      <c r="L2183" s="11"/>
      <c r="M2183" s="11"/>
      <c r="N2183" s="11"/>
      <c r="O2183" s="11"/>
      <c r="P2183" s="43"/>
      <c r="Q2183" s="11"/>
      <c r="R2183" s="11"/>
      <c r="S2183" s="11"/>
      <c r="T2183" s="11"/>
      <c r="U2183" s="11"/>
      <c r="V2183" s="11"/>
      <c r="W2183" s="11"/>
      <c r="X2183" s="12"/>
      <c r="Y2183" s="12"/>
      <c r="Z2183" s="12"/>
      <c r="AA2183" s="44"/>
      <c r="AB2183" s="45"/>
      <c r="AC2183" s="12"/>
      <c r="AD2183" s="12"/>
      <c r="AE2183" s="12"/>
      <c r="AF2183" s="12"/>
      <c r="AG2183" s="44"/>
      <c r="AH2183" s="45"/>
      <c r="AI2183" s="12"/>
      <c r="AJ2183" s="12"/>
      <c r="AK2183" s="12"/>
      <c r="AL2183" s="12"/>
      <c r="AM2183" s="44"/>
      <c r="AN2183" s="45"/>
      <c r="AO2183" s="12"/>
      <c r="AP2183" s="12"/>
      <c r="AQ2183" s="12"/>
      <c r="AR2183" s="12"/>
      <c r="AS2183" s="44"/>
      <c r="AT2183" s="45"/>
      <c r="AU2183" s="12"/>
      <c r="AV2183" s="12"/>
      <c r="AW2183" s="12"/>
      <c r="AX2183" s="12"/>
      <c r="AY2183" s="44"/>
      <c r="AZ2183" s="45"/>
      <c r="BA2183" s="12"/>
      <c r="BB2183" s="12"/>
      <c r="BC2183" s="12"/>
      <c r="BD2183" s="12"/>
      <c r="BE2183" s="44"/>
      <c r="BF2183" s="45"/>
      <c r="BG2183" s="12"/>
      <c r="BH2183" s="12"/>
      <c r="BI2183" s="12"/>
      <c r="BJ2183" s="12"/>
      <c r="BK2183" s="44"/>
      <c r="BL2183" s="45"/>
      <c r="BM2183" s="12"/>
      <c r="BN2183" s="12"/>
      <c r="BO2183" s="12"/>
      <c r="BP2183" s="12"/>
      <c r="BQ2183" s="48"/>
      <c r="BR2183" s="49"/>
      <c r="BS2183" s="13"/>
      <c r="BT2183" s="12"/>
      <c r="BV2183" s="14"/>
      <c r="BW2183" s="50"/>
      <c r="BX2183" s="54"/>
      <c r="BY2183" s="14"/>
      <c r="BZ2183" s="14"/>
      <c r="CA2183" s="14"/>
      <c r="CB2183" s="14"/>
      <c r="CC2183" s="14"/>
      <c r="CD2183" s="14"/>
      <c r="CE2183" s="14"/>
      <c r="CF2183" s="15"/>
      <c r="CG2183" s="14"/>
      <c r="CH2183" s="14"/>
      <c r="CI2183" s="50"/>
      <c r="CJ2183" s="54"/>
      <c r="CK2183" s="14"/>
      <c r="CL2183" s="14"/>
      <c r="CM2183" s="14"/>
      <c r="CN2183" s="14"/>
      <c r="CO2183" s="14"/>
      <c r="CP2183" s="14"/>
      <c r="CQ2183" s="14"/>
      <c r="CR2183" s="14"/>
      <c r="CS2183" s="14"/>
      <c r="CT2183" s="14"/>
      <c r="CU2183" s="16"/>
      <c r="CV2183" s="14"/>
      <c r="CW2183" s="50"/>
      <c r="CX2183" s="17"/>
    </row>
    <row r="2184" spans="4:102" x14ac:dyDescent="0.25">
      <c r="D2184" s="11"/>
      <c r="E2184" s="11"/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43"/>
      <c r="Q2184" s="11"/>
      <c r="R2184" s="11"/>
      <c r="S2184" s="11"/>
      <c r="T2184" s="11"/>
      <c r="U2184" s="11"/>
      <c r="V2184" s="11"/>
      <c r="W2184" s="11"/>
      <c r="X2184" s="12"/>
      <c r="Y2184" s="12"/>
      <c r="Z2184" s="12"/>
      <c r="AA2184" s="44"/>
      <c r="AB2184" s="45"/>
      <c r="AC2184" s="12"/>
      <c r="AD2184" s="12"/>
      <c r="AE2184" s="12"/>
      <c r="AF2184" s="12"/>
      <c r="AG2184" s="44"/>
      <c r="AH2184" s="45"/>
      <c r="AI2184" s="12"/>
      <c r="AJ2184" s="12"/>
      <c r="AK2184" s="12"/>
      <c r="AL2184" s="12"/>
      <c r="AM2184" s="44"/>
      <c r="AN2184" s="45"/>
      <c r="AO2184" s="12"/>
      <c r="AP2184" s="12"/>
      <c r="AQ2184" s="12"/>
      <c r="AR2184" s="12"/>
      <c r="AS2184" s="44"/>
      <c r="AT2184" s="45"/>
      <c r="AU2184" s="12"/>
      <c r="AV2184" s="12"/>
      <c r="AW2184" s="12"/>
      <c r="AX2184" s="12"/>
      <c r="AY2184" s="44"/>
      <c r="AZ2184" s="45"/>
      <c r="BA2184" s="12"/>
      <c r="BB2184" s="12"/>
      <c r="BC2184" s="12"/>
      <c r="BD2184" s="12"/>
      <c r="BE2184" s="44"/>
      <c r="BF2184" s="45"/>
      <c r="BG2184" s="12"/>
      <c r="BH2184" s="12"/>
      <c r="BI2184" s="12"/>
      <c r="BJ2184" s="12"/>
      <c r="BK2184" s="44"/>
      <c r="BL2184" s="45"/>
      <c r="BM2184" s="12"/>
      <c r="BN2184" s="12"/>
      <c r="BO2184" s="12"/>
      <c r="BP2184" s="12"/>
      <c r="BQ2184" s="48"/>
      <c r="BR2184" s="49"/>
      <c r="BS2184" s="13"/>
      <c r="BT2184" s="12"/>
      <c r="BV2184" s="14"/>
      <c r="BW2184" s="50"/>
      <c r="BX2184" s="54"/>
      <c r="BY2184" s="14"/>
      <c r="BZ2184" s="14"/>
      <c r="CA2184" s="14"/>
      <c r="CB2184" s="14"/>
      <c r="CC2184" s="14"/>
      <c r="CD2184" s="14"/>
      <c r="CE2184" s="14"/>
      <c r="CF2184" s="15"/>
      <c r="CG2184" s="14"/>
      <c r="CH2184" s="14"/>
      <c r="CI2184" s="50"/>
      <c r="CJ2184" s="54"/>
      <c r="CK2184" s="14"/>
      <c r="CL2184" s="14"/>
      <c r="CM2184" s="14"/>
      <c r="CN2184" s="14"/>
      <c r="CO2184" s="14"/>
      <c r="CP2184" s="14"/>
      <c r="CQ2184" s="14"/>
      <c r="CR2184" s="14"/>
      <c r="CS2184" s="14"/>
      <c r="CT2184" s="14"/>
      <c r="CU2184" s="16"/>
      <c r="CV2184" s="14"/>
      <c r="CW2184" s="50"/>
      <c r="CX2184" s="17"/>
    </row>
    <row r="2185" spans="4:102" x14ac:dyDescent="0.25">
      <c r="D2185" s="11"/>
      <c r="E2185" s="11"/>
      <c r="F2185" s="11"/>
      <c r="G2185" s="11"/>
      <c r="H2185" s="11"/>
      <c r="I2185" s="11"/>
      <c r="J2185" s="11"/>
      <c r="K2185" s="11"/>
      <c r="L2185" s="11"/>
      <c r="M2185" s="11"/>
      <c r="N2185" s="11"/>
      <c r="O2185" s="11"/>
      <c r="P2185" s="43"/>
      <c r="Q2185" s="11"/>
      <c r="R2185" s="11"/>
      <c r="S2185" s="11"/>
      <c r="T2185" s="11"/>
      <c r="U2185" s="11"/>
      <c r="V2185" s="11"/>
      <c r="W2185" s="11"/>
      <c r="X2185" s="12"/>
      <c r="Y2185" s="12"/>
      <c r="Z2185" s="12"/>
      <c r="AA2185" s="44"/>
      <c r="AB2185" s="45"/>
      <c r="AC2185" s="12"/>
      <c r="AD2185" s="12"/>
      <c r="AE2185" s="12"/>
      <c r="AF2185" s="12"/>
      <c r="AG2185" s="44"/>
      <c r="AH2185" s="45"/>
      <c r="AI2185" s="12"/>
      <c r="AJ2185" s="12"/>
      <c r="AK2185" s="12"/>
      <c r="AL2185" s="12"/>
      <c r="AM2185" s="44"/>
      <c r="AN2185" s="45"/>
      <c r="AO2185" s="12"/>
      <c r="AP2185" s="12"/>
      <c r="AQ2185" s="12"/>
      <c r="AR2185" s="12"/>
      <c r="AS2185" s="44"/>
      <c r="AT2185" s="45"/>
      <c r="AU2185" s="12"/>
      <c r="AV2185" s="12"/>
      <c r="AW2185" s="12"/>
      <c r="AX2185" s="12"/>
      <c r="AY2185" s="44"/>
      <c r="AZ2185" s="45"/>
      <c r="BA2185" s="12"/>
      <c r="BB2185" s="12"/>
      <c r="BC2185" s="12"/>
      <c r="BD2185" s="12"/>
      <c r="BE2185" s="44"/>
      <c r="BF2185" s="45"/>
      <c r="BG2185" s="12"/>
      <c r="BH2185" s="12"/>
      <c r="BI2185" s="12"/>
      <c r="BJ2185" s="12"/>
      <c r="BK2185" s="44"/>
      <c r="BL2185" s="45"/>
      <c r="BM2185" s="12"/>
      <c r="BN2185" s="12"/>
      <c r="BO2185" s="12"/>
      <c r="BP2185" s="12"/>
      <c r="BQ2185" s="48"/>
      <c r="BR2185" s="49"/>
      <c r="BS2185" s="13"/>
      <c r="BT2185" s="12"/>
      <c r="BV2185" s="14"/>
      <c r="BW2185" s="50"/>
      <c r="BX2185" s="54"/>
      <c r="BY2185" s="14"/>
      <c r="BZ2185" s="14"/>
      <c r="CA2185" s="14"/>
      <c r="CB2185" s="14"/>
      <c r="CC2185" s="14"/>
      <c r="CD2185" s="14"/>
      <c r="CE2185" s="14"/>
      <c r="CF2185" s="15"/>
      <c r="CG2185" s="14"/>
      <c r="CH2185" s="14"/>
      <c r="CI2185" s="50"/>
      <c r="CJ2185" s="54"/>
      <c r="CK2185" s="14"/>
      <c r="CL2185" s="14"/>
      <c r="CM2185" s="14"/>
      <c r="CN2185" s="14"/>
      <c r="CO2185" s="14"/>
      <c r="CP2185" s="14"/>
      <c r="CQ2185" s="14"/>
      <c r="CR2185" s="14"/>
      <c r="CS2185" s="14"/>
      <c r="CT2185" s="14"/>
      <c r="CU2185" s="16"/>
      <c r="CV2185" s="14"/>
      <c r="CW2185" s="50"/>
      <c r="CX2185" s="17"/>
    </row>
    <row r="2186" spans="4:102" x14ac:dyDescent="0.25">
      <c r="D2186" s="11"/>
      <c r="E2186" s="11"/>
      <c r="F2186" s="11"/>
      <c r="G2186" s="11"/>
      <c r="H2186" s="11"/>
      <c r="I2186" s="11"/>
      <c r="J2186" s="11"/>
      <c r="K2186" s="11"/>
      <c r="L2186" s="11"/>
      <c r="M2186" s="11"/>
      <c r="N2186" s="11"/>
      <c r="O2186" s="11"/>
      <c r="P2186" s="43"/>
      <c r="Q2186" s="11"/>
      <c r="R2186" s="11"/>
      <c r="S2186" s="11"/>
      <c r="T2186" s="11"/>
      <c r="U2186" s="11"/>
      <c r="V2186" s="11"/>
      <c r="W2186" s="11"/>
      <c r="X2186" s="12"/>
      <c r="Y2186" s="12"/>
      <c r="Z2186" s="12"/>
      <c r="AA2186" s="44"/>
      <c r="AB2186" s="45"/>
      <c r="AC2186" s="12"/>
      <c r="AD2186" s="12"/>
      <c r="AE2186" s="12"/>
      <c r="AF2186" s="12"/>
      <c r="AG2186" s="44"/>
      <c r="AH2186" s="45"/>
      <c r="AI2186" s="12"/>
      <c r="AJ2186" s="12"/>
      <c r="AK2186" s="12"/>
      <c r="AL2186" s="12"/>
      <c r="AM2186" s="44"/>
      <c r="AN2186" s="45"/>
      <c r="AO2186" s="12"/>
      <c r="AP2186" s="12"/>
      <c r="AQ2186" s="12"/>
      <c r="AR2186" s="12"/>
      <c r="AS2186" s="44"/>
      <c r="AT2186" s="45"/>
      <c r="AU2186" s="12"/>
      <c r="AV2186" s="12"/>
      <c r="AW2186" s="12"/>
      <c r="AX2186" s="12"/>
      <c r="AY2186" s="44"/>
      <c r="AZ2186" s="45"/>
      <c r="BA2186" s="12"/>
      <c r="BB2186" s="12"/>
      <c r="BC2186" s="12"/>
      <c r="BD2186" s="12"/>
      <c r="BE2186" s="44"/>
      <c r="BF2186" s="45"/>
      <c r="BG2186" s="12"/>
      <c r="BH2186" s="12"/>
      <c r="BI2186" s="12"/>
      <c r="BJ2186" s="12"/>
      <c r="BK2186" s="44"/>
      <c r="BL2186" s="45"/>
      <c r="BM2186" s="12"/>
      <c r="BN2186" s="12"/>
      <c r="BO2186" s="12"/>
      <c r="BP2186" s="12"/>
      <c r="BQ2186" s="48"/>
      <c r="BR2186" s="49"/>
      <c r="BS2186" s="13"/>
      <c r="BT2186" s="12"/>
      <c r="BV2186" s="14"/>
      <c r="BW2186" s="50"/>
      <c r="BX2186" s="54"/>
      <c r="BY2186" s="14"/>
      <c r="BZ2186" s="14"/>
      <c r="CA2186" s="14"/>
      <c r="CB2186" s="14"/>
      <c r="CC2186" s="14"/>
      <c r="CD2186" s="14"/>
      <c r="CE2186" s="14"/>
      <c r="CF2186" s="15"/>
      <c r="CG2186" s="14"/>
      <c r="CH2186" s="14"/>
      <c r="CI2186" s="50"/>
      <c r="CJ2186" s="54"/>
      <c r="CK2186" s="14"/>
      <c r="CL2186" s="14"/>
      <c r="CM2186" s="14"/>
      <c r="CN2186" s="14"/>
      <c r="CO2186" s="14"/>
      <c r="CP2186" s="14"/>
      <c r="CQ2186" s="14"/>
      <c r="CR2186" s="14"/>
      <c r="CS2186" s="14"/>
      <c r="CT2186" s="14"/>
      <c r="CU2186" s="16"/>
      <c r="CV2186" s="14"/>
      <c r="CW2186" s="50"/>
      <c r="CX2186" s="17"/>
    </row>
    <row r="2187" spans="4:102" x14ac:dyDescent="0.25">
      <c r="D2187" s="11"/>
      <c r="E2187" s="11"/>
      <c r="F2187" s="11"/>
      <c r="G2187" s="11"/>
      <c r="H2187" s="11"/>
      <c r="I2187" s="11"/>
      <c r="J2187" s="11"/>
      <c r="K2187" s="11"/>
      <c r="L2187" s="11"/>
      <c r="M2187" s="11"/>
      <c r="N2187" s="11"/>
      <c r="O2187" s="11"/>
      <c r="P2187" s="43"/>
      <c r="Q2187" s="11"/>
      <c r="R2187" s="11"/>
      <c r="S2187" s="11"/>
      <c r="T2187" s="11"/>
      <c r="U2187" s="11"/>
      <c r="V2187" s="11"/>
      <c r="W2187" s="11"/>
      <c r="X2187" s="12"/>
      <c r="Y2187" s="12"/>
      <c r="Z2187" s="12"/>
      <c r="AA2187" s="44"/>
      <c r="AB2187" s="45"/>
      <c r="AC2187" s="12"/>
      <c r="AD2187" s="12"/>
      <c r="AE2187" s="12"/>
      <c r="AF2187" s="12"/>
      <c r="AG2187" s="44"/>
      <c r="AH2187" s="45"/>
      <c r="AI2187" s="12"/>
      <c r="AJ2187" s="12"/>
      <c r="AK2187" s="12"/>
      <c r="AL2187" s="12"/>
      <c r="AM2187" s="44"/>
      <c r="AN2187" s="45"/>
      <c r="AO2187" s="12"/>
      <c r="AP2187" s="12"/>
      <c r="AQ2187" s="12"/>
      <c r="AR2187" s="12"/>
      <c r="AS2187" s="44"/>
      <c r="AT2187" s="45"/>
      <c r="AU2187" s="12"/>
      <c r="AV2187" s="12"/>
      <c r="AW2187" s="12"/>
      <c r="AX2187" s="12"/>
      <c r="AY2187" s="44"/>
      <c r="AZ2187" s="45"/>
      <c r="BA2187" s="12"/>
      <c r="BB2187" s="12"/>
      <c r="BC2187" s="12"/>
      <c r="BD2187" s="12"/>
      <c r="BE2187" s="44"/>
      <c r="BF2187" s="45"/>
      <c r="BG2187" s="12"/>
      <c r="BH2187" s="12"/>
      <c r="BI2187" s="12"/>
      <c r="BJ2187" s="12"/>
      <c r="BK2187" s="44"/>
      <c r="BL2187" s="45"/>
      <c r="BM2187" s="12"/>
      <c r="BN2187" s="12"/>
      <c r="BO2187" s="12"/>
      <c r="BP2187" s="12"/>
      <c r="BQ2187" s="48"/>
      <c r="BR2187" s="49"/>
      <c r="BS2187" s="13"/>
      <c r="BT2187" s="12"/>
      <c r="BV2187" s="14"/>
      <c r="BW2187" s="50"/>
      <c r="BX2187" s="54"/>
      <c r="BY2187" s="14"/>
      <c r="BZ2187" s="14"/>
      <c r="CA2187" s="14"/>
      <c r="CB2187" s="14"/>
      <c r="CC2187" s="14"/>
      <c r="CD2187" s="14"/>
      <c r="CE2187" s="14"/>
      <c r="CF2187" s="15"/>
      <c r="CG2187" s="14"/>
      <c r="CH2187" s="14"/>
      <c r="CI2187" s="50"/>
      <c r="CJ2187" s="54"/>
      <c r="CK2187" s="14"/>
      <c r="CL2187" s="14"/>
      <c r="CM2187" s="14"/>
      <c r="CN2187" s="14"/>
      <c r="CO2187" s="14"/>
      <c r="CP2187" s="14"/>
      <c r="CQ2187" s="14"/>
      <c r="CR2187" s="14"/>
      <c r="CS2187" s="14"/>
      <c r="CT2187" s="14"/>
      <c r="CU2187" s="16"/>
      <c r="CV2187" s="14"/>
      <c r="CW2187" s="50"/>
      <c r="CX2187" s="17"/>
    </row>
    <row r="2188" spans="4:102" x14ac:dyDescent="0.25">
      <c r="D2188" s="11"/>
      <c r="E2188" s="11"/>
      <c r="F2188" s="11"/>
      <c r="G2188" s="11"/>
      <c r="H2188" s="11"/>
      <c r="I2188" s="11"/>
      <c r="J2188" s="11"/>
      <c r="K2188" s="11"/>
      <c r="L2188" s="11"/>
      <c r="M2188" s="11"/>
      <c r="N2188" s="11"/>
      <c r="O2188" s="11"/>
      <c r="P2188" s="43"/>
      <c r="Q2188" s="11"/>
      <c r="R2188" s="11"/>
      <c r="S2188" s="11"/>
      <c r="T2188" s="11"/>
      <c r="U2188" s="11"/>
      <c r="V2188" s="11"/>
      <c r="W2188" s="11"/>
      <c r="X2188" s="12"/>
      <c r="Y2188" s="12"/>
      <c r="Z2188" s="12"/>
      <c r="AA2188" s="44"/>
      <c r="AB2188" s="45"/>
      <c r="AC2188" s="12"/>
      <c r="AD2188" s="12"/>
      <c r="AE2188" s="12"/>
      <c r="AF2188" s="12"/>
      <c r="AG2188" s="44"/>
      <c r="AH2188" s="45"/>
      <c r="AI2188" s="12"/>
      <c r="AJ2188" s="12"/>
      <c r="AK2188" s="12"/>
      <c r="AL2188" s="12"/>
      <c r="AM2188" s="44"/>
      <c r="AN2188" s="45"/>
      <c r="AO2188" s="12"/>
      <c r="AP2188" s="12"/>
      <c r="AQ2188" s="12"/>
      <c r="AR2188" s="12"/>
      <c r="AS2188" s="44"/>
      <c r="AT2188" s="45"/>
      <c r="AU2188" s="12"/>
      <c r="AV2188" s="12"/>
      <c r="AW2188" s="12"/>
      <c r="AX2188" s="12"/>
      <c r="AY2188" s="44"/>
      <c r="AZ2188" s="45"/>
      <c r="BA2188" s="12"/>
      <c r="BB2188" s="12"/>
      <c r="BC2188" s="12"/>
      <c r="BD2188" s="12"/>
      <c r="BE2188" s="44"/>
      <c r="BF2188" s="45"/>
      <c r="BG2188" s="12"/>
      <c r="BH2188" s="12"/>
      <c r="BI2188" s="12"/>
      <c r="BJ2188" s="12"/>
      <c r="BK2188" s="44"/>
      <c r="BL2188" s="45"/>
      <c r="BM2188" s="12"/>
      <c r="BN2188" s="12"/>
      <c r="BO2188" s="12"/>
      <c r="BP2188" s="12"/>
      <c r="BQ2188" s="48"/>
      <c r="BR2188" s="49"/>
      <c r="BS2188" s="13"/>
      <c r="BT2188" s="12"/>
      <c r="BV2188" s="14"/>
      <c r="BW2188" s="50"/>
      <c r="BX2188" s="54"/>
      <c r="BY2188" s="14"/>
      <c r="BZ2188" s="14"/>
      <c r="CA2188" s="14"/>
      <c r="CB2188" s="14"/>
      <c r="CC2188" s="14"/>
      <c r="CD2188" s="14"/>
      <c r="CE2188" s="14"/>
      <c r="CF2188" s="15"/>
      <c r="CG2188" s="14"/>
      <c r="CH2188" s="14"/>
      <c r="CI2188" s="50"/>
      <c r="CJ2188" s="54"/>
      <c r="CK2188" s="14"/>
      <c r="CL2188" s="14"/>
      <c r="CM2188" s="14"/>
      <c r="CN2188" s="14"/>
      <c r="CO2188" s="14"/>
      <c r="CP2188" s="14"/>
      <c r="CQ2188" s="14"/>
      <c r="CR2188" s="14"/>
      <c r="CS2188" s="14"/>
      <c r="CT2188" s="14"/>
      <c r="CU2188" s="16"/>
      <c r="CV2188" s="14"/>
      <c r="CW2188" s="50"/>
      <c r="CX2188" s="17"/>
    </row>
    <row r="2189" spans="4:102" x14ac:dyDescent="0.25">
      <c r="D2189" s="11"/>
      <c r="E2189" s="11"/>
      <c r="F2189" s="11"/>
      <c r="G2189" s="11"/>
      <c r="H2189" s="11"/>
      <c r="I2189" s="11"/>
      <c r="J2189" s="11"/>
      <c r="K2189" s="11"/>
      <c r="L2189" s="11"/>
      <c r="M2189" s="11"/>
      <c r="N2189" s="11"/>
      <c r="O2189" s="11"/>
      <c r="P2189" s="43"/>
      <c r="Q2189" s="11"/>
      <c r="R2189" s="11"/>
      <c r="S2189" s="11"/>
      <c r="T2189" s="11"/>
      <c r="U2189" s="11"/>
      <c r="V2189" s="11"/>
      <c r="W2189" s="11"/>
      <c r="X2189" s="12"/>
      <c r="Y2189" s="12"/>
      <c r="Z2189" s="12"/>
      <c r="AA2189" s="44"/>
      <c r="AB2189" s="45"/>
      <c r="AC2189" s="12"/>
      <c r="AD2189" s="12"/>
      <c r="AE2189" s="12"/>
      <c r="AF2189" s="12"/>
      <c r="AG2189" s="44"/>
      <c r="AH2189" s="45"/>
      <c r="AI2189" s="12"/>
      <c r="AJ2189" s="12"/>
      <c r="AK2189" s="12"/>
      <c r="AL2189" s="12"/>
      <c r="AM2189" s="44"/>
      <c r="AN2189" s="45"/>
      <c r="AO2189" s="12"/>
      <c r="AP2189" s="12"/>
      <c r="AQ2189" s="12"/>
      <c r="AR2189" s="12"/>
      <c r="AS2189" s="44"/>
      <c r="AT2189" s="45"/>
      <c r="AU2189" s="12"/>
      <c r="AV2189" s="12"/>
      <c r="AW2189" s="12"/>
      <c r="AX2189" s="12"/>
      <c r="AY2189" s="44"/>
      <c r="AZ2189" s="45"/>
      <c r="BA2189" s="12"/>
      <c r="BB2189" s="12"/>
      <c r="BC2189" s="12"/>
      <c r="BD2189" s="12"/>
      <c r="BE2189" s="44"/>
      <c r="BF2189" s="45"/>
      <c r="BG2189" s="12"/>
      <c r="BH2189" s="12"/>
      <c r="BI2189" s="12"/>
      <c r="BJ2189" s="12"/>
      <c r="BK2189" s="44"/>
      <c r="BL2189" s="45"/>
      <c r="BM2189" s="12"/>
      <c r="BN2189" s="12"/>
      <c r="BO2189" s="12"/>
      <c r="BP2189" s="12"/>
      <c r="BQ2189" s="48"/>
      <c r="BR2189" s="49"/>
      <c r="BS2189" s="13"/>
      <c r="BT2189" s="12"/>
      <c r="BV2189" s="14"/>
      <c r="BW2189" s="50"/>
      <c r="BX2189" s="54"/>
      <c r="BY2189" s="14"/>
      <c r="BZ2189" s="14"/>
      <c r="CA2189" s="14"/>
      <c r="CB2189" s="14"/>
      <c r="CC2189" s="14"/>
      <c r="CD2189" s="14"/>
      <c r="CE2189" s="14"/>
      <c r="CF2189" s="15"/>
      <c r="CG2189" s="14"/>
      <c r="CH2189" s="14"/>
      <c r="CI2189" s="50"/>
      <c r="CJ2189" s="54"/>
      <c r="CK2189" s="14"/>
      <c r="CL2189" s="14"/>
      <c r="CM2189" s="14"/>
      <c r="CN2189" s="14"/>
      <c r="CO2189" s="14"/>
      <c r="CP2189" s="14"/>
      <c r="CQ2189" s="14"/>
      <c r="CR2189" s="14"/>
      <c r="CS2189" s="14"/>
      <c r="CT2189" s="14"/>
      <c r="CU2189" s="16"/>
      <c r="CV2189" s="14"/>
      <c r="CW2189" s="50"/>
      <c r="CX2189" s="17"/>
    </row>
    <row r="2190" spans="4:102" x14ac:dyDescent="0.25">
      <c r="D2190" s="11"/>
      <c r="E2190" s="11"/>
      <c r="F2190" s="11"/>
      <c r="G2190" s="11"/>
      <c r="H2190" s="11"/>
      <c r="I2190" s="11"/>
      <c r="J2190" s="11"/>
      <c r="K2190" s="11"/>
      <c r="L2190" s="11"/>
      <c r="M2190" s="11"/>
      <c r="N2190" s="11"/>
      <c r="O2190" s="11"/>
      <c r="P2190" s="43"/>
      <c r="Q2190" s="11"/>
      <c r="R2190" s="11"/>
      <c r="S2190" s="11"/>
      <c r="T2190" s="11"/>
      <c r="U2190" s="11"/>
      <c r="V2190" s="11"/>
      <c r="W2190" s="11"/>
      <c r="X2190" s="12"/>
      <c r="Y2190" s="12"/>
      <c r="Z2190" s="12"/>
      <c r="AA2190" s="44"/>
      <c r="AB2190" s="45"/>
      <c r="AC2190" s="12"/>
      <c r="AD2190" s="12"/>
      <c r="AE2190" s="12"/>
      <c r="AF2190" s="12"/>
      <c r="AG2190" s="44"/>
      <c r="AH2190" s="45"/>
      <c r="AI2190" s="12"/>
      <c r="AJ2190" s="12"/>
      <c r="AK2190" s="12"/>
      <c r="AL2190" s="12"/>
      <c r="AM2190" s="44"/>
      <c r="AN2190" s="45"/>
      <c r="AO2190" s="12"/>
      <c r="AP2190" s="12"/>
      <c r="AQ2190" s="12"/>
      <c r="AR2190" s="12"/>
      <c r="AS2190" s="44"/>
      <c r="AT2190" s="45"/>
      <c r="AU2190" s="12"/>
      <c r="AV2190" s="12"/>
      <c r="AW2190" s="12"/>
      <c r="AX2190" s="12"/>
      <c r="AY2190" s="44"/>
      <c r="AZ2190" s="45"/>
      <c r="BA2190" s="12"/>
      <c r="BB2190" s="12"/>
      <c r="BC2190" s="12"/>
      <c r="BD2190" s="12"/>
      <c r="BE2190" s="44"/>
      <c r="BF2190" s="45"/>
      <c r="BG2190" s="12"/>
      <c r="BH2190" s="12"/>
      <c r="BI2190" s="12"/>
      <c r="BJ2190" s="12"/>
      <c r="BK2190" s="44"/>
      <c r="BL2190" s="45"/>
      <c r="BM2190" s="12"/>
      <c r="BN2190" s="12"/>
      <c r="BO2190" s="12"/>
      <c r="BP2190" s="12"/>
      <c r="BQ2190" s="48"/>
      <c r="BR2190" s="49"/>
      <c r="BS2190" s="13"/>
      <c r="BT2190" s="12"/>
      <c r="BV2190" s="14"/>
      <c r="BW2190" s="50"/>
      <c r="BX2190" s="54"/>
      <c r="BY2190" s="14"/>
      <c r="BZ2190" s="14"/>
      <c r="CA2190" s="14"/>
      <c r="CB2190" s="14"/>
      <c r="CC2190" s="14"/>
      <c r="CD2190" s="14"/>
      <c r="CE2190" s="14"/>
      <c r="CF2190" s="15"/>
      <c r="CG2190" s="14"/>
      <c r="CH2190" s="14"/>
      <c r="CI2190" s="50"/>
      <c r="CJ2190" s="54"/>
      <c r="CK2190" s="14"/>
      <c r="CL2190" s="14"/>
      <c r="CM2190" s="14"/>
      <c r="CN2190" s="14"/>
      <c r="CO2190" s="14"/>
      <c r="CP2190" s="14"/>
      <c r="CQ2190" s="14"/>
      <c r="CR2190" s="14"/>
      <c r="CS2190" s="14"/>
      <c r="CT2190" s="14"/>
      <c r="CU2190" s="16"/>
      <c r="CV2190" s="14"/>
      <c r="CW2190" s="50"/>
      <c r="CX2190" s="17"/>
    </row>
    <row r="2191" spans="4:102" x14ac:dyDescent="0.25">
      <c r="D2191" s="11"/>
      <c r="E2191" s="11"/>
      <c r="F2191" s="11"/>
      <c r="G2191" s="11"/>
      <c r="H2191" s="11"/>
      <c r="I2191" s="11"/>
      <c r="J2191" s="11"/>
      <c r="K2191" s="11"/>
      <c r="L2191" s="11"/>
      <c r="M2191" s="11"/>
      <c r="N2191" s="11"/>
      <c r="O2191" s="11"/>
      <c r="P2191" s="43"/>
      <c r="Q2191" s="11"/>
      <c r="R2191" s="11"/>
      <c r="S2191" s="11"/>
      <c r="T2191" s="11"/>
      <c r="U2191" s="11"/>
      <c r="V2191" s="11"/>
      <c r="W2191" s="11"/>
      <c r="X2191" s="12"/>
      <c r="Y2191" s="12"/>
      <c r="Z2191" s="12"/>
      <c r="AA2191" s="44"/>
      <c r="AB2191" s="45"/>
      <c r="AC2191" s="12"/>
      <c r="AD2191" s="12"/>
      <c r="AE2191" s="12"/>
      <c r="AF2191" s="12"/>
      <c r="AG2191" s="44"/>
      <c r="AH2191" s="45"/>
      <c r="AI2191" s="12"/>
      <c r="AJ2191" s="12"/>
      <c r="AK2191" s="12"/>
      <c r="AL2191" s="12"/>
      <c r="AM2191" s="44"/>
      <c r="AN2191" s="45"/>
      <c r="AO2191" s="12"/>
      <c r="AP2191" s="12"/>
      <c r="AQ2191" s="12"/>
      <c r="AR2191" s="12"/>
      <c r="AS2191" s="44"/>
      <c r="AT2191" s="45"/>
      <c r="AU2191" s="12"/>
      <c r="AV2191" s="12"/>
      <c r="AW2191" s="12"/>
      <c r="AX2191" s="12"/>
      <c r="AY2191" s="44"/>
      <c r="AZ2191" s="45"/>
      <c r="BA2191" s="12"/>
      <c r="BB2191" s="12"/>
      <c r="BC2191" s="12"/>
      <c r="BD2191" s="12"/>
      <c r="BE2191" s="44"/>
      <c r="BF2191" s="45"/>
      <c r="BG2191" s="12"/>
      <c r="BH2191" s="12"/>
      <c r="BI2191" s="12"/>
      <c r="BJ2191" s="12"/>
      <c r="BK2191" s="44"/>
      <c r="BL2191" s="45"/>
      <c r="BM2191" s="12"/>
      <c r="BN2191" s="12"/>
      <c r="BO2191" s="12"/>
      <c r="BP2191" s="12"/>
      <c r="BQ2191" s="48"/>
      <c r="BR2191" s="49"/>
      <c r="BS2191" s="13"/>
      <c r="BT2191" s="12"/>
      <c r="BV2191" s="14"/>
      <c r="BW2191" s="50"/>
      <c r="BX2191" s="54"/>
      <c r="BY2191" s="14"/>
      <c r="BZ2191" s="14"/>
      <c r="CA2191" s="14"/>
      <c r="CB2191" s="14"/>
      <c r="CC2191" s="14"/>
      <c r="CD2191" s="14"/>
      <c r="CE2191" s="14"/>
      <c r="CF2191" s="15"/>
      <c r="CG2191" s="14"/>
      <c r="CH2191" s="14"/>
      <c r="CI2191" s="50"/>
      <c r="CJ2191" s="54"/>
      <c r="CK2191" s="14"/>
      <c r="CL2191" s="14"/>
      <c r="CM2191" s="14"/>
      <c r="CN2191" s="14"/>
      <c r="CO2191" s="14"/>
      <c r="CP2191" s="14"/>
      <c r="CQ2191" s="14"/>
      <c r="CR2191" s="14"/>
      <c r="CS2191" s="14"/>
      <c r="CT2191" s="14"/>
      <c r="CU2191" s="16"/>
      <c r="CV2191" s="14"/>
      <c r="CW2191" s="50"/>
      <c r="CX2191" s="17"/>
    </row>
    <row r="2192" spans="4:102" x14ac:dyDescent="0.25">
      <c r="D2192" s="11"/>
      <c r="E2192" s="11"/>
      <c r="F2192" s="11"/>
      <c r="G2192" s="11"/>
      <c r="H2192" s="11"/>
      <c r="I2192" s="11"/>
      <c r="J2192" s="11"/>
      <c r="K2192" s="11"/>
      <c r="L2192" s="11"/>
      <c r="M2192" s="11"/>
      <c r="N2192" s="11"/>
      <c r="O2192" s="11"/>
      <c r="P2192" s="43"/>
      <c r="Q2192" s="11"/>
      <c r="R2192" s="11"/>
      <c r="S2192" s="11"/>
      <c r="T2192" s="11"/>
      <c r="U2192" s="11"/>
      <c r="V2192" s="11"/>
      <c r="W2192" s="11"/>
      <c r="X2192" s="12"/>
      <c r="Y2192" s="12"/>
      <c r="Z2192" s="12"/>
      <c r="AA2192" s="44"/>
      <c r="AB2192" s="45"/>
      <c r="AC2192" s="12"/>
      <c r="AD2192" s="12"/>
      <c r="AE2192" s="12"/>
      <c r="AF2192" s="12"/>
      <c r="AG2192" s="44"/>
      <c r="AH2192" s="45"/>
      <c r="AI2192" s="12"/>
      <c r="AJ2192" s="12"/>
      <c r="AK2192" s="12"/>
      <c r="AL2192" s="12"/>
      <c r="AM2192" s="44"/>
      <c r="AN2192" s="45"/>
      <c r="AO2192" s="12"/>
      <c r="AP2192" s="12"/>
      <c r="AQ2192" s="12"/>
      <c r="AR2192" s="12"/>
      <c r="AS2192" s="44"/>
      <c r="AT2192" s="45"/>
      <c r="AU2192" s="12"/>
      <c r="AV2192" s="12"/>
      <c r="AW2192" s="12"/>
      <c r="AX2192" s="12"/>
      <c r="AY2192" s="44"/>
      <c r="AZ2192" s="45"/>
      <c r="BA2192" s="12"/>
      <c r="BB2192" s="12"/>
      <c r="BC2192" s="12"/>
      <c r="BD2192" s="12"/>
      <c r="BE2192" s="44"/>
      <c r="BF2192" s="45"/>
      <c r="BG2192" s="12"/>
      <c r="BH2192" s="12"/>
      <c r="BI2192" s="12"/>
      <c r="BJ2192" s="12"/>
      <c r="BK2192" s="44"/>
      <c r="BL2192" s="45"/>
      <c r="BM2192" s="12"/>
      <c r="BN2192" s="12"/>
      <c r="BO2192" s="12"/>
      <c r="BP2192" s="12"/>
      <c r="BQ2192" s="48"/>
      <c r="BR2192" s="49"/>
      <c r="BS2192" s="13"/>
      <c r="BT2192" s="12"/>
      <c r="BV2192" s="14"/>
      <c r="BW2192" s="50"/>
      <c r="BX2192" s="54"/>
      <c r="BY2192" s="14"/>
      <c r="BZ2192" s="14"/>
      <c r="CA2192" s="14"/>
      <c r="CB2192" s="14"/>
      <c r="CC2192" s="14"/>
      <c r="CD2192" s="14"/>
      <c r="CE2192" s="14"/>
      <c r="CF2192" s="15"/>
      <c r="CG2192" s="14"/>
      <c r="CH2192" s="14"/>
      <c r="CI2192" s="50"/>
      <c r="CJ2192" s="54"/>
      <c r="CK2192" s="14"/>
      <c r="CL2192" s="14"/>
      <c r="CM2192" s="14"/>
      <c r="CN2192" s="14"/>
      <c r="CO2192" s="14"/>
      <c r="CP2192" s="14"/>
      <c r="CQ2192" s="14"/>
      <c r="CR2192" s="14"/>
      <c r="CS2192" s="14"/>
      <c r="CT2192" s="14"/>
      <c r="CU2192" s="16"/>
      <c r="CV2192" s="14"/>
      <c r="CW2192" s="50"/>
      <c r="CX2192" s="17"/>
    </row>
    <row r="2193" spans="4:102" x14ac:dyDescent="0.25">
      <c r="D2193" s="11"/>
      <c r="E2193" s="11"/>
      <c r="F2193" s="11"/>
      <c r="G2193" s="11"/>
      <c r="H2193" s="11"/>
      <c r="I2193" s="11"/>
      <c r="J2193" s="11"/>
      <c r="K2193" s="11"/>
      <c r="L2193" s="11"/>
      <c r="M2193" s="11"/>
      <c r="N2193" s="11"/>
      <c r="O2193" s="11"/>
      <c r="P2193" s="43"/>
      <c r="Q2193" s="11"/>
      <c r="R2193" s="11"/>
      <c r="S2193" s="11"/>
      <c r="T2193" s="11"/>
      <c r="U2193" s="11"/>
      <c r="V2193" s="11"/>
      <c r="W2193" s="11"/>
      <c r="X2193" s="12"/>
      <c r="Y2193" s="12"/>
      <c r="Z2193" s="12"/>
      <c r="AA2193" s="44"/>
      <c r="AB2193" s="45"/>
      <c r="AC2193" s="12"/>
      <c r="AD2193" s="12"/>
      <c r="AE2193" s="12"/>
      <c r="AF2193" s="12"/>
      <c r="AG2193" s="44"/>
      <c r="AH2193" s="45"/>
      <c r="AI2193" s="12"/>
      <c r="AJ2193" s="12"/>
      <c r="AK2193" s="12"/>
      <c r="AL2193" s="12"/>
      <c r="AM2193" s="44"/>
      <c r="AN2193" s="45"/>
      <c r="AO2193" s="12"/>
      <c r="AP2193" s="12"/>
      <c r="AQ2193" s="12"/>
      <c r="AR2193" s="12"/>
      <c r="AS2193" s="44"/>
      <c r="AT2193" s="45"/>
      <c r="AU2193" s="12"/>
      <c r="AV2193" s="12"/>
      <c r="AW2193" s="12"/>
      <c r="AX2193" s="12"/>
      <c r="AY2193" s="44"/>
      <c r="AZ2193" s="45"/>
      <c r="BA2193" s="12"/>
      <c r="BB2193" s="12"/>
      <c r="BC2193" s="12"/>
      <c r="BD2193" s="12"/>
      <c r="BE2193" s="44"/>
      <c r="BF2193" s="45"/>
      <c r="BG2193" s="12"/>
      <c r="BH2193" s="12"/>
      <c r="BI2193" s="12"/>
      <c r="BJ2193" s="12"/>
      <c r="BK2193" s="44"/>
      <c r="BL2193" s="45"/>
      <c r="BM2193" s="12"/>
      <c r="BN2193" s="12"/>
      <c r="BO2193" s="12"/>
      <c r="BP2193" s="12"/>
      <c r="BQ2193" s="48"/>
      <c r="BR2193" s="49"/>
      <c r="BS2193" s="13"/>
      <c r="BT2193" s="12"/>
      <c r="BV2193" s="14"/>
      <c r="BW2193" s="50"/>
      <c r="BX2193" s="54"/>
      <c r="BY2193" s="14"/>
      <c r="BZ2193" s="14"/>
      <c r="CA2193" s="14"/>
      <c r="CB2193" s="14"/>
      <c r="CC2193" s="14"/>
      <c r="CD2193" s="14"/>
      <c r="CE2193" s="14"/>
      <c r="CF2193" s="15"/>
      <c r="CG2193" s="14"/>
      <c r="CH2193" s="14"/>
      <c r="CI2193" s="50"/>
      <c r="CJ2193" s="54"/>
      <c r="CK2193" s="14"/>
      <c r="CL2193" s="14"/>
      <c r="CM2193" s="14"/>
      <c r="CN2193" s="14"/>
      <c r="CO2193" s="14"/>
      <c r="CP2193" s="14"/>
      <c r="CQ2193" s="14"/>
      <c r="CR2193" s="14"/>
      <c r="CS2193" s="14"/>
      <c r="CT2193" s="14"/>
      <c r="CU2193" s="16"/>
      <c r="CV2193" s="14"/>
      <c r="CW2193" s="50"/>
      <c r="CX2193" s="17"/>
    </row>
    <row r="2194" spans="4:102" x14ac:dyDescent="0.25">
      <c r="D2194" s="11"/>
      <c r="E2194" s="11"/>
      <c r="F2194" s="11"/>
      <c r="G2194" s="11"/>
      <c r="H2194" s="11"/>
      <c r="I2194" s="11"/>
      <c r="J2194" s="11"/>
      <c r="K2194" s="11"/>
      <c r="L2194" s="11"/>
      <c r="M2194" s="11"/>
      <c r="N2194" s="11"/>
      <c r="O2194" s="11"/>
      <c r="P2194" s="43"/>
      <c r="Q2194" s="11"/>
      <c r="R2194" s="11"/>
      <c r="S2194" s="11"/>
      <c r="T2194" s="11"/>
      <c r="U2194" s="11"/>
      <c r="V2194" s="11"/>
      <c r="W2194" s="11"/>
      <c r="X2194" s="12"/>
      <c r="Y2194" s="12"/>
      <c r="Z2194" s="12"/>
      <c r="AA2194" s="44"/>
      <c r="AB2194" s="45"/>
      <c r="AC2194" s="12"/>
      <c r="AD2194" s="12"/>
      <c r="AE2194" s="12"/>
      <c r="AF2194" s="12"/>
      <c r="AG2194" s="44"/>
      <c r="AH2194" s="45"/>
      <c r="AI2194" s="12"/>
      <c r="AJ2194" s="12"/>
      <c r="AK2194" s="12"/>
      <c r="AL2194" s="12"/>
      <c r="AM2194" s="44"/>
      <c r="AN2194" s="45"/>
      <c r="AO2194" s="12"/>
      <c r="AP2194" s="12"/>
      <c r="AQ2194" s="12"/>
      <c r="AR2194" s="12"/>
      <c r="AS2194" s="44"/>
      <c r="AT2194" s="45"/>
      <c r="AU2194" s="12"/>
      <c r="AV2194" s="12"/>
      <c r="AW2194" s="12"/>
      <c r="AX2194" s="12"/>
      <c r="AY2194" s="44"/>
      <c r="AZ2194" s="45"/>
      <c r="BA2194" s="12"/>
      <c r="BB2194" s="12"/>
      <c r="BC2194" s="12"/>
      <c r="BD2194" s="12"/>
      <c r="BE2194" s="44"/>
      <c r="BF2194" s="45"/>
      <c r="BG2194" s="12"/>
      <c r="BH2194" s="12"/>
      <c r="BI2194" s="12"/>
      <c r="BJ2194" s="12"/>
      <c r="BK2194" s="44"/>
      <c r="BL2194" s="45"/>
      <c r="BM2194" s="12"/>
      <c r="BN2194" s="12"/>
      <c r="BO2194" s="12"/>
      <c r="BP2194" s="12"/>
      <c r="BQ2194" s="48"/>
      <c r="BR2194" s="49"/>
      <c r="BS2194" s="13"/>
      <c r="BT2194" s="12"/>
      <c r="BV2194" s="14"/>
      <c r="BW2194" s="50"/>
      <c r="BX2194" s="54"/>
      <c r="BY2194" s="14"/>
      <c r="BZ2194" s="14"/>
      <c r="CA2194" s="14"/>
      <c r="CB2194" s="14"/>
      <c r="CC2194" s="14"/>
      <c r="CD2194" s="14"/>
      <c r="CE2194" s="14"/>
      <c r="CF2194" s="15"/>
      <c r="CG2194" s="14"/>
      <c r="CH2194" s="14"/>
      <c r="CI2194" s="50"/>
      <c r="CJ2194" s="54"/>
      <c r="CK2194" s="14"/>
      <c r="CL2194" s="14"/>
      <c r="CM2194" s="14"/>
      <c r="CN2194" s="14"/>
      <c r="CO2194" s="14"/>
      <c r="CP2194" s="14"/>
      <c r="CQ2194" s="14"/>
      <c r="CR2194" s="14"/>
      <c r="CS2194" s="14"/>
      <c r="CT2194" s="14"/>
      <c r="CU2194" s="16"/>
      <c r="CV2194" s="14"/>
      <c r="CW2194" s="50"/>
      <c r="CX2194" s="17"/>
    </row>
    <row r="2195" spans="4:102" x14ac:dyDescent="0.25">
      <c r="D2195" s="11"/>
      <c r="E2195" s="11"/>
      <c r="F2195" s="11"/>
      <c r="G2195" s="11"/>
      <c r="H2195" s="11"/>
      <c r="I2195" s="11"/>
      <c r="J2195" s="11"/>
      <c r="K2195" s="11"/>
      <c r="L2195" s="11"/>
      <c r="M2195" s="11"/>
      <c r="N2195" s="11"/>
      <c r="O2195" s="11"/>
      <c r="P2195" s="43"/>
      <c r="Q2195" s="11"/>
      <c r="R2195" s="11"/>
      <c r="S2195" s="11"/>
      <c r="T2195" s="11"/>
      <c r="U2195" s="11"/>
      <c r="V2195" s="11"/>
      <c r="W2195" s="11"/>
      <c r="X2195" s="12"/>
      <c r="Y2195" s="12"/>
      <c r="Z2195" s="12"/>
      <c r="AA2195" s="44"/>
      <c r="AB2195" s="45"/>
      <c r="AC2195" s="12"/>
      <c r="AD2195" s="12"/>
      <c r="AE2195" s="12"/>
      <c r="AF2195" s="12"/>
      <c r="AG2195" s="44"/>
      <c r="AH2195" s="45"/>
      <c r="AI2195" s="12"/>
      <c r="AJ2195" s="12"/>
      <c r="AK2195" s="12"/>
      <c r="AL2195" s="12"/>
      <c r="AM2195" s="44"/>
      <c r="AN2195" s="45"/>
      <c r="AO2195" s="12"/>
      <c r="AP2195" s="12"/>
      <c r="AQ2195" s="12"/>
      <c r="AR2195" s="12"/>
      <c r="AS2195" s="44"/>
      <c r="AT2195" s="45"/>
      <c r="AU2195" s="12"/>
      <c r="AV2195" s="12"/>
      <c r="AW2195" s="12"/>
      <c r="AX2195" s="12"/>
      <c r="AY2195" s="44"/>
      <c r="AZ2195" s="45"/>
      <c r="BA2195" s="12"/>
      <c r="BB2195" s="12"/>
      <c r="BC2195" s="12"/>
      <c r="BD2195" s="12"/>
      <c r="BE2195" s="44"/>
      <c r="BF2195" s="45"/>
      <c r="BG2195" s="12"/>
      <c r="BH2195" s="12"/>
      <c r="BI2195" s="12"/>
      <c r="BJ2195" s="12"/>
      <c r="BK2195" s="44"/>
      <c r="BL2195" s="45"/>
      <c r="BM2195" s="12"/>
      <c r="BN2195" s="12"/>
      <c r="BO2195" s="12"/>
      <c r="BP2195" s="12"/>
      <c r="BQ2195" s="48"/>
      <c r="BR2195" s="49"/>
      <c r="BS2195" s="13"/>
      <c r="BT2195" s="12"/>
      <c r="BV2195" s="14"/>
      <c r="BW2195" s="50"/>
      <c r="BX2195" s="54"/>
      <c r="BY2195" s="14"/>
      <c r="BZ2195" s="14"/>
      <c r="CA2195" s="14"/>
      <c r="CB2195" s="14"/>
      <c r="CC2195" s="14"/>
      <c r="CD2195" s="14"/>
      <c r="CE2195" s="14"/>
      <c r="CF2195" s="15"/>
      <c r="CG2195" s="14"/>
      <c r="CH2195" s="14"/>
      <c r="CI2195" s="50"/>
      <c r="CJ2195" s="54"/>
      <c r="CK2195" s="14"/>
      <c r="CL2195" s="14"/>
      <c r="CM2195" s="14"/>
      <c r="CN2195" s="14"/>
      <c r="CO2195" s="14"/>
      <c r="CP2195" s="14"/>
      <c r="CQ2195" s="14"/>
      <c r="CR2195" s="14"/>
      <c r="CS2195" s="14"/>
      <c r="CT2195" s="14"/>
      <c r="CU2195" s="16"/>
      <c r="CV2195" s="14"/>
      <c r="CW2195" s="50"/>
      <c r="CX2195" s="17"/>
    </row>
    <row r="2196" spans="4:102" x14ac:dyDescent="0.25">
      <c r="D2196" s="11"/>
      <c r="E2196" s="11"/>
      <c r="F2196" s="11"/>
      <c r="G2196" s="11"/>
      <c r="H2196" s="11"/>
      <c r="I2196" s="11"/>
      <c r="J2196" s="11"/>
      <c r="K2196" s="11"/>
      <c r="L2196" s="11"/>
      <c r="M2196" s="11"/>
      <c r="N2196" s="11"/>
      <c r="O2196" s="11"/>
      <c r="P2196" s="43"/>
      <c r="Q2196" s="11"/>
      <c r="R2196" s="11"/>
      <c r="S2196" s="11"/>
      <c r="T2196" s="11"/>
      <c r="U2196" s="11"/>
      <c r="V2196" s="11"/>
      <c r="W2196" s="11"/>
      <c r="X2196" s="12"/>
      <c r="Y2196" s="12"/>
      <c r="Z2196" s="12"/>
      <c r="AA2196" s="44"/>
      <c r="AB2196" s="45"/>
      <c r="AC2196" s="12"/>
      <c r="AD2196" s="12"/>
      <c r="AE2196" s="12"/>
      <c r="AF2196" s="12"/>
      <c r="AG2196" s="44"/>
      <c r="AH2196" s="45"/>
      <c r="AI2196" s="12"/>
      <c r="AJ2196" s="12"/>
      <c r="AK2196" s="12"/>
      <c r="AL2196" s="12"/>
      <c r="AM2196" s="44"/>
      <c r="AN2196" s="45"/>
      <c r="AO2196" s="12"/>
      <c r="AP2196" s="12"/>
      <c r="AQ2196" s="12"/>
      <c r="AR2196" s="12"/>
      <c r="AS2196" s="44"/>
      <c r="AT2196" s="45"/>
      <c r="AU2196" s="12"/>
      <c r="AV2196" s="12"/>
      <c r="AW2196" s="12"/>
      <c r="AX2196" s="12"/>
      <c r="AY2196" s="44"/>
      <c r="AZ2196" s="45"/>
      <c r="BA2196" s="12"/>
      <c r="BB2196" s="12"/>
      <c r="BC2196" s="12"/>
      <c r="BD2196" s="12"/>
      <c r="BE2196" s="44"/>
      <c r="BF2196" s="45"/>
      <c r="BG2196" s="12"/>
      <c r="BH2196" s="12"/>
      <c r="BI2196" s="12"/>
      <c r="BJ2196" s="12"/>
      <c r="BK2196" s="44"/>
      <c r="BL2196" s="45"/>
      <c r="BM2196" s="12"/>
      <c r="BN2196" s="12"/>
      <c r="BO2196" s="12"/>
      <c r="BP2196" s="12"/>
      <c r="BQ2196" s="48"/>
      <c r="BR2196" s="49"/>
      <c r="BS2196" s="13"/>
      <c r="BT2196" s="12"/>
      <c r="BV2196" s="14"/>
      <c r="BW2196" s="50"/>
      <c r="BX2196" s="54"/>
      <c r="BY2196" s="14"/>
      <c r="BZ2196" s="14"/>
      <c r="CA2196" s="14"/>
      <c r="CB2196" s="14"/>
      <c r="CC2196" s="14"/>
      <c r="CD2196" s="14"/>
      <c r="CE2196" s="14"/>
      <c r="CF2196" s="15"/>
      <c r="CG2196" s="14"/>
      <c r="CH2196" s="14"/>
      <c r="CI2196" s="50"/>
      <c r="CJ2196" s="54"/>
      <c r="CK2196" s="14"/>
      <c r="CL2196" s="14"/>
      <c r="CM2196" s="14"/>
      <c r="CN2196" s="14"/>
      <c r="CO2196" s="14"/>
      <c r="CP2196" s="14"/>
      <c r="CQ2196" s="14"/>
      <c r="CR2196" s="14"/>
      <c r="CS2196" s="14"/>
      <c r="CT2196" s="14"/>
      <c r="CU2196" s="16"/>
      <c r="CV2196" s="14"/>
      <c r="CW2196" s="50"/>
      <c r="CX2196" s="17"/>
    </row>
    <row r="2197" spans="4:102" x14ac:dyDescent="0.25">
      <c r="D2197" s="11"/>
      <c r="E2197" s="11"/>
      <c r="F2197" s="11"/>
      <c r="G2197" s="11"/>
      <c r="H2197" s="11"/>
      <c r="I2197" s="11"/>
      <c r="J2197" s="11"/>
      <c r="K2197" s="11"/>
      <c r="L2197" s="11"/>
      <c r="M2197" s="11"/>
      <c r="N2197" s="11"/>
      <c r="O2197" s="11"/>
      <c r="P2197" s="43"/>
      <c r="Q2197" s="11"/>
      <c r="R2197" s="11"/>
      <c r="S2197" s="11"/>
      <c r="T2197" s="11"/>
      <c r="U2197" s="11"/>
      <c r="V2197" s="11"/>
      <c r="W2197" s="11"/>
      <c r="X2197" s="12"/>
      <c r="Y2197" s="12"/>
      <c r="Z2197" s="12"/>
      <c r="AA2197" s="44"/>
      <c r="AB2197" s="45"/>
      <c r="AC2197" s="12"/>
      <c r="AD2197" s="12"/>
      <c r="AE2197" s="12"/>
      <c r="AF2197" s="12"/>
      <c r="AG2197" s="44"/>
      <c r="AH2197" s="45"/>
      <c r="AI2197" s="12"/>
      <c r="AJ2197" s="12"/>
      <c r="AK2197" s="12"/>
      <c r="AL2197" s="12"/>
      <c r="AM2197" s="44"/>
      <c r="AN2197" s="45"/>
      <c r="AO2197" s="12"/>
      <c r="AP2197" s="12"/>
      <c r="AQ2197" s="12"/>
      <c r="AR2197" s="12"/>
      <c r="AS2197" s="44"/>
      <c r="AT2197" s="45"/>
      <c r="AU2197" s="12"/>
      <c r="AV2197" s="12"/>
      <c r="AW2197" s="12"/>
      <c r="AX2197" s="12"/>
      <c r="AY2197" s="44"/>
      <c r="AZ2197" s="45"/>
      <c r="BA2197" s="12"/>
      <c r="BB2197" s="12"/>
      <c r="BC2197" s="12"/>
      <c r="BD2197" s="12"/>
      <c r="BE2197" s="44"/>
      <c r="BF2197" s="45"/>
      <c r="BG2197" s="12"/>
      <c r="BH2197" s="12"/>
      <c r="BI2197" s="12"/>
      <c r="BJ2197" s="12"/>
      <c r="BK2197" s="44"/>
      <c r="BL2197" s="45"/>
      <c r="BM2197" s="12"/>
      <c r="BN2197" s="12"/>
      <c r="BO2197" s="12"/>
      <c r="BP2197" s="12"/>
      <c r="BQ2197" s="48"/>
      <c r="BR2197" s="49"/>
      <c r="BS2197" s="13"/>
      <c r="BT2197" s="12"/>
      <c r="BV2197" s="14"/>
      <c r="BW2197" s="50"/>
      <c r="BX2197" s="54"/>
      <c r="BY2197" s="14"/>
      <c r="BZ2197" s="14"/>
      <c r="CA2197" s="14"/>
      <c r="CB2197" s="14"/>
      <c r="CC2197" s="14"/>
      <c r="CD2197" s="14"/>
      <c r="CE2197" s="14"/>
      <c r="CF2197" s="15"/>
      <c r="CG2197" s="14"/>
      <c r="CH2197" s="14"/>
      <c r="CI2197" s="50"/>
      <c r="CJ2197" s="54"/>
      <c r="CK2197" s="14"/>
      <c r="CL2197" s="14"/>
      <c r="CM2197" s="14"/>
      <c r="CN2197" s="14"/>
      <c r="CO2197" s="14"/>
      <c r="CP2197" s="14"/>
      <c r="CQ2197" s="14"/>
      <c r="CR2197" s="14"/>
      <c r="CS2197" s="14"/>
      <c r="CT2197" s="14"/>
      <c r="CU2197" s="16"/>
      <c r="CV2197" s="14"/>
      <c r="CW2197" s="50"/>
      <c r="CX2197" s="17"/>
    </row>
    <row r="2198" spans="4:102" x14ac:dyDescent="0.25">
      <c r="D2198" s="11"/>
      <c r="E2198" s="11"/>
      <c r="F2198" s="11"/>
      <c r="G2198" s="11"/>
      <c r="H2198" s="11"/>
      <c r="I2198" s="11"/>
      <c r="J2198" s="11"/>
      <c r="K2198" s="11"/>
      <c r="L2198" s="11"/>
      <c r="M2198" s="11"/>
      <c r="N2198" s="11"/>
      <c r="O2198" s="11"/>
      <c r="P2198" s="43"/>
      <c r="Q2198" s="11"/>
      <c r="R2198" s="11"/>
      <c r="S2198" s="11"/>
      <c r="T2198" s="11"/>
      <c r="U2198" s="11"/>
      <c r="V2198" s="11"/>
      <c r="W2198" s="11"/>
      <c r="X2198" s="12"/>
      <c r="Y2198" s="12"/>
      <c r="Z2198" s="12"/>
      <c r="AA2198" s="44"/>
      <c r="AB2198" s="45"/>
      <c r="AC2198" s="12"/>
      <c r="AD2198" s="12"/>
      <c r="AE2198" s="12"/>
      <c r="AF2198" s="12"/>
      <c r="AG2198" s="44"/>
      <c r="AH2198" s="45"/>
      <c r="AI2198" s="12"/>
      <c r="AJ2198" s="12"/>
      <c r="AK2198" s="12"/>
      <c r="AL2198" s="12"/>
      <c r="AM2198" s="44"/>
      <c r="AN2198" s="45"/>
      <c r="AO2198" s="12"/>
      <c r="AP2198" s="12"/>
      <c r="AQ2198" s="12"/>
      <c r="AR2198" s="12"/>
      <c r="AS2198" s="44"/>
      <c r="AT2198" s="45"/>
      <c r="AU2198" s="12"/>
      <c r="AV2198" s="12"/>
      <c r="AW2198" s="12"/>
      <c r="AX2198" s="12"/>
      <c r="AY2198" s="44"/>
      <c r="AZ2198" s="45"/>
      <c r="BA2198" s="12"/>
      <c r="BB2198" s="12"/>
      <c r="BC2198" s="12"/>
      <c r="BD2198" s="12"/>
      <c r="BE2198" s="44"/>
      <c r="BF2198" s="45"/>
      <c r="BG2198" s="12"/>
      <c r="BH2198" s="12"/>
      <c r="BI2198" s="12"/>
      <c r="BJ2198" s="12"/>
      <c r="BK2198" s="44"/>
      <c r="BL2198" s="45"/>
      <c r="BM2198" s="12"/>
      <c r="BN2198" s="12"/>
      <c r="BO2198" s="12"/>
      <c r="BP2198" s="12"/>
      <c r="BQ2198" s="48"/>
      <c r="BR2198" s="49"/>
      <c r="BS2198" s="13"/>
      <c r="BT2198" s="12"/>
      <c r="BV2198" s="14"/>
      <c r="BW2198" s="50"/>
      <c r="BX2198" s="54"/>
      <c r="BY2198" s="14"/>
      <c r="BZ2198" s="14"/>
      <c r="CA2198" s="14"/>
      <c r="CB2198" s="14"/>
      <c r="CC2198" s="14"/>
      <c r="CD2198" s="14"/>
      <c r="CE2198" s="14"/>
      <c r="CF2198" s="15"/>
      <c r="CG2198" s="14"/>
      <c r="CH2198" s="14"/>
      <c r="CI2198" s="50"/>
      <c r="CJ2198" s="54"/>
      <c r="CK2198" s="14"/>
      <c r="CL2198" s="14"/>
      <c r="CM2198" s="14"/>
      <c r="CN2198" s="14"/>
      <c r="CO2198" s="14"/>
      <c r="CP2198" s="14"/>
      <c r="CQ2198" s="14"/>
      <c r="CR2198" s="14"/>
      <c r="CS2198" s="14"/>
      <c r="CT2198" s="14"/>
      <c r="CU2198" s="16"/>
      <c r="CV2198" s="14"/>
      <c r="CW2198" s="50"/>
      <c r="CX2198" s="17"/>
    </row>
    <row r="2199" spans="4:102" x14ac:dyDescent="0.25">
      <c r="D2199" s="11"/>
      <c r="E2199" s="11"/>
      <c r="F2199" s="11"/>
      <c r="G2199" s="11"/>
      <c r="H2199" s="11"/>
      <c r="I2199" s="11"/>
      <c r="J2199" s="11"/>
      <c r="K2199" s="11"/>
      <c r="L2199" s="11"/>
      <c r="M2199" s="11"/>
      <c r="N2199" s="11"/>
      <c r="O2199" s="11"/>
      <c r="P2199" s="43"/>
      <c r="Q2199" s="11"/>
      <c r="R2199" s="11"/>
      <c r="S2199" s="11"/>
      <c r="T2199" s="11"/>
      <c r="U2199" s="11"/>
      <c r="V2199" s="11"/>
      <c r="W2199" s="11"/>
      <c r="X2199" s="12"/>
      <c r="Y2199" s="12"/>
      <c r="Z2199" s="12"/>
      <c r="AA2199" s="44"/>
      <c r="AB2199" s="45"/>
      <c r="AC2199" s="12"/>
      <c r="AD2199" s="12"/>
      <c r="AE2199" s="12"/>
      <c r="AF2199" s="12"/>
      <c r="AG2199" s="44"/>
      <c r="AH2199" s="45"/>
      <c r="AI2199" s="12"/>
      <c r="AJ2199" s="12"/>
      <c r="AK2199" s="12"/>
      <c r="AL2199" s="12"/>
      <c r="AM2199" s="44"/>
      <c r="AN2199" s="45"/>
      <c r="AO2199" s="12"/>
      <c r="AP2199" s="12"/>
      <c r="AQ2199" s="12"/>
      <c r="AR2199" s="12"/>
      <c r="AS2199" s="44"/>
      <c r="AT2199" s="45"/>
      <c r="AU2199" s="12"/>
      <c r="AV2199" s="12"/>
      <c r="AW2199" s="12"/>
      <c r="AX2199" s="12"/>
      <c r="AY2199" s="44"/>
      <c r="AZ2199" s="45"/>
      <c r="BA2199" s="12"/>
      <c r="BB2199" s="12"/>
      <c r="BC2199" s="12"/>
      <c r="BD2199" s="12"/>
      <c r="BE2199" s="44"/>
      <c r="BF2199" s="45"/>
      <c r="BG2199" s="12"/>
      <c r="BH2199" s="12"/>
      <c r="BI2199" s="12"/>
      <c r="BJ2199" s="12"/>
      <c r="BK2199" s="44"/>
      <c r="BL2199" s="45"/>
      <c r="BM2199" s="12"/>
      <c r="BN2199" s="12"/>
      <c r="BO2199" s="12"/>
      <c r="BP2199" s="12"/>
      <c r="BQ2199" s="48"/>
      <c r="BR2199" s="49"/>
      <c r="BS2199" s="13"/>
      <c r="BT2199" s="12"/>
      <c r="BV2199" s="14"/>
      <c r="BW2199" s="50"/>
      <c r="BX2199" s="54"/>
      <c r="BY2199" s="14"/>
      <c r="BZ2199" s="14"/>
      <c r="CA2199" s="14"/>
      <c r="CB2199" s="14"/>
      <c r="CC2199" s="14"/>
      <c r="CD2199" s="14"/>
      <c r="CE2199" s="14"/>
      <c r="CF2199" s="15"/>
      <c r="CG2199" s="14"/>
      <c r="CH2199" s="14"/>
      <c r="CI2199" s="50"/>
      <c r="CJ2199" s="54"/>
      <c r="CK2199" s="14"/>
      <c r="CL2199" s="14"/>
      <c r="CM2199" s="14"/>
      <c r="CN2199" s="14"/>
      <c r="CO2199" s="14"/>
      <c r="CP2199" s="14"/>
      <c r="CQ2199" s="14"/>
      <c r="CR2199" s="14"/>
      <c r="CS2199" s="14"/>
      <c r="CT2199" s="14"/>
      <c r="CU2199" s="16"/>
      <c r="CV2199" s="14"/>
      <c r="CW2199" s="50"/>
      <c r="CX2199" s="17"/>
    </row>
    <row r="2200" spans="4:102" x14ac:dyDescent="0.25">
      <c r="D2200" s="11"/>
      <c r="E2200" s="11"/>
      <c r="F2200" s="11"/>
      <c r="G2200" s="11"/>
      <c r="H2200" s="11"/>
      <c r="I2200" s="11"/>
      <c r="J2200" s="11"/>
      <c r="K2200" s="11"/>
      <c r="L2200" s="11"/>
      <c r="M2200" s="11"/>
      <c r="N2200" s="11"/>
      <c r="O2200" s="11"/>
      <c r="P2200" s="43"/>
      <c r="Q2200" s="11"/>
      <c r="R2200" s="11"/>
      <c r="S2200" s="11"/>
      <c r="T2200" s="11"/>
      <c r="U2200" s="11"/>
      <c r="V2200" s="11"/>
      <c r="W2200" s="11"/>
      <c r="X2200" s="12"/>
      <c r="Y2200" s="12"/>
      <c r="Z2200" s="12"/>
      <c r="AA2200" s="44"/>
      <c r="AB2200" s="45"/>
      <c r="AC2200" s="12"/>
      <c r="AD2200" s="12"/>
      <c r="AE2200" s="12"/>
      <c r="AF2200" s="12"/>
      <c r="AG2200" s="44"/>
      <c r="AH2200" s="45"/>
      <c r="AI2200" s="12"/>
      <c r="AJ2200" s="12"/>
      <c r="AK2200" s="12"/>
      <c r="AL2200" s="12"/>
      <c r="AM2200" s="44"/>
      <c r="AN2200" s="45"/>
      <c r="AO2200" s="12"/>
      <c r="AP2200" s="12"/>
      <c r="AQ2200" s="12"/>
      <c r="AR2200" s="12"/>
      <c r="AS2200" s="44"/>
      <c r="AT2200" s="45"/>
      <c r="AU2200" s="12"/>
      <c r="AV2200" s="12"/>
      <c r="AW2200" s="12"/>
      <c r="AX2200" s="12"/>
      <c r="AY2200" s="44"/>
      <c r="AZ2200" s="45"/>
      <c r="BA2200" s="12"/>
      <c r="BB2200" s="12"/>
      <c r="BC2200" s="12"/>
      <c r="BD2200" s="12"/>
      <c r="BE2200" s="44"/>
      <c r="BF2200" s="45"/>
      <c r="BG2200" s="12"/>
      <c r="BH2200" s="12"/>
      <c r="BI2200" s="12"/>
      <c r="BJ2200" s="12"/>
      <c r="BK2200" s="44"/>
      <c r="BL2200" s="45"/>
      <c r="BM2200" s="12"/>
      <c r="BN2200" s="12"/>
      <c r="BO2200" s="12"/>
      <c r="BP2200" s="12"/>
      <c r="BQ2200" s="48"/>
      <c r="BR2200" s="49"/>
      <c r="BS2200" s="13"/>
      <c r="BT2200" s="12"/>
      <c r="BV2200" s="14"/>
      <c r="BW2200" s="50"/>
      <c r="BX2200" s="54"/>
      <c r="BY2200" s="14"/>
      <c r="BZ2200" s="14"/>
      <c r="CA2200" s="14"/>
      <c r="CB2200" s="14"/>
      <c r="CC2200" s="14"/>
      <c r="CD2200" s="14"/>
      <c r="CE2200" s="14"/>
      <c r="CF2200" s="15"/>
      <c r="CG2200" s="14"/>
      <c r="CH2200" s="14"/>
      <c r="CI2200" s="50"/>
      <c r="CJ2200" s="54"/>
      <c r="CK2200" s="14"/>
      <c r="CL2200" s="14"/>
      <c r="CM2200" s="14"/>
      <c r="CN2200" s="14"/>
      <c r="CO2200" s="14"/>
      <c r="CP2200" s="14"/>
      <c r="CQ2200" s="14"/>
      <c r="CR2200" s="14"/>
      <c r="CS2200" s="14"/>
      <c r="CT2200" s="14"/>
      <c r="CU2200" s="16"/>
      <c r="CV2200" s="14"/>
      <c r="CW2200" s="50"/>
      <c r="CX2200" s="17"/>
    </row>
    <row r="2201" spans="4:102" x14ac:dyDescent="0.25">
      <c r="D2201" s="11"/>
      <c r="E2201" s="11"/>
      <c r="F2201" s="11"/>
      <c r="G2201" s="11"/>
      <c r="H2201" s="11"/>
      <c r="I2201" s="11"/>
      <c r="J2201" s="11"/>
      <c r="K2201" s="11"/>
      <c r="L2201" s="11"/>
      <c r="M2201" s="11"/>
      <c r="N2201" s="11"/>
      <c r="O2201" s="11"/>
      <c r="P2201" s="43"/>
      <c r="Q2201" s="11"/>
      <c r="R2201" s="11"/>
      <c r="S2201" s="11"/>
      <c r="T2201" s="11"/>
      <c r="U2201" s="11"/>
      <c r="V2201" s="11"/>
      <c r="W2201" s="11"/>
      <c r="X2201" s="12"/>
      <c r="Y2201" s="12"/>
      <c r="Z2201" s="12"/>
      <c r="AA2201" s="44"/>
      <c r="AB2201" s="45"/>
      <c r="AC2201" s="12"/>
      <c r="AD2201" s="12"/>
      <c r="AE2201" s="12"/>
      <c r="AF2201" s="12"/>
      <c r="AG2201" s="44"/>
      <c r="AH2201" s="45"/>
      <c r="AI2201" s="12"/>
      <c r="AJ2201" s="12"/>
      <c r="AK2201" s="12"/>
      <c r="AL2201" s="12"/>
      <c r="AM2201" s="44"/>
      <c r="AN2201" s="45"/>
      <c r="AO2201" s="12"/>
      <c r="AP2201" s="12"/>
      <c r="AQ2201" s="12"/>
      <c r="AR2201" s="12"/>
      <c r="AS2201" s="44"/>
      <c r="AT2201" s="45"/>
      <c r="AU2201" s="12"/>
      <c r="AV2201" s="12"/>
      <c r="AW2201" s="12"/>
      <c r="AX2201" s="12"/>
      <c r="AY2201" s="44"/>
      <c r="AZ2201" s="45"/>
      <c r="BA2201" s="12"/>
      <c r="BB2201" s="12"/>
      <c r="BC2201" s="12"/>
      <c r="BD2201" s="12"/>
      <c r="BE2201" s="44"/>
      <c r="BF2201" s="45"/>
      <c r="BG2201" s="12"/>
      <c r="BH2201" s="12"/>
      <c r="BI2201" s="12"/>
      <c r="BJ2201" s="12"/>
      <c r="BK2201" s="44"/>
      <c r="BL2201" s="45"/>
      <c r="BM2201" s="12"/>
      <c r="BN2201" s="12"/>
      <c r="BO2201" s="12"/>
      <c r="BP2201" s="12"/>
      <c r="BQ2201" s="48"/>
      <c r="BR2201" s="49"/>
      <c r="BS2201" s="13"/>
      <c r="BT2201" s="12"/>
      <c r="BV2201" s="14"/>
      <c r="BW2201" s="50"/>
      <c r="BX2201" s="54"/>
      <c r="BY2201" s="14"/>
      <c r="BZ2201" s="14"/>
      <c r="CA2201" s="14"/>
      <c r="CB2201" s="14"/>
      <c r="CC2201" s="14"/>
      <c r="CD2201" s="14"/>
      <c r="CE2201" s="14"/>
      <c r="CF2201" s="15"/>
      <c r="CG2201" s="14"/>
      <c r="CH2201" s="14"/>
      <c r="CI2201" s="50"/>
      <c r="CJ2201" s="54"/>
      <c r="CK2201" s="14"/>
      <c r="CL2201" s="14"/>
      <c r="CM2201" s="14"/>
      <c r="CN2201" s="14"/>
      <c r="CO2201" s="14"/>
      <c r="CP2201" s="14"/>
      <c r="CQ2201" s="14"/>
      <c r="CR2201" s="14"/>
      <c r="CS2201" s="14"/>
      <c r="CT2201" s="14"/>
      <c r="CU2201" s="16"/>
      <c r="CV2201" s="14"/>
      <c r="CW2201" s="50"/>
      <c r="CX2201" s="17"/>
    </row>
    <row r="2202" spans="4:102" x14ac:dyDescent="0.25">
      <c r="D2202" s="11"/>
      <c r="E2202" s="11"/>
      <c r="F2202" s="11"/>
      <c r="G2202" s="11"/>
      <c r="H2202" s="11"/>
      <c r="I2202" s="11"/>
      <c r="J2202" s="11"/>
      <c r="K2202" s="11"/>
      <c r="L2202" s="11"/>
      <c r="M2202" s="11"/>
      <c r="N2202" s="11"/>
      <c r="O2202" s="11"/>
      <c r="P2202" s="43"/>
      <c r="Q2202" s="11"/>
      <c r="R2202" s="11"/>
      <c r="S2202" s="11"/>
      <c r="T2202" s="11"/>
      <c r="U2202" s="11"/>
      <c r="V2202" s="11"/>
      <c r="W2202" s="11"/>
      <c r="X2202" s="12"/>
      <c r="Y2202" s="12"/>
      <c r="Z2202" s="12"/>
      <c r="AA2202" s="44"/>
      <c r="AB2202" s="45"/>
      <c r="AC2202" s="12"/>
      <c r="AD2202" s="12"/>
      <c r="AE2202" s="12"/>
      <c r="AF2202" s="12"/>
      <c r="AG2202" s="44"/>
      <c r="AH2202" s="45"/>
      <c r="AI2202" s="12"/>
      <c r="AJ2202" s="12"/>
      <c r="AK2202" s="12"/>
      <c r="AL2202" s="12"/>
      <c r="AM2202" s="44"/>
      <c r="AN2202" s="45"/>
      <c r="AO2202" s="12"/>
      <c r="AP2202" s="12"/>
      <c r="AQ2202" s="12"/>
      <c r="AR2202" s="12"/>
      <c r="AS2202" s="44"/>
      <c r="AT2202" s="45"/>
      <c r="AU2202" s="12"/>
      <c r="AV2202" s="12"/>
      <c r="AW2202" s="12"/>
      <c r="AX2202" s="12"/>
      <c r="AY2202" s="44"/>
      <c r="AZ2202" s="45"/>
      <c r="BA2202" s="12"/>
      <c r="BB2202" s="12"/>
      <c r="BC2202" s="12"/>
      <c r="BD2202" s="12"/>
      <c r="BE2202" s="44"/>
      <c r="BF2202" s="45"/>
      <c r="BG2202" s="12"/>
      <c r="BH2202" s="12"/>
      <c r="BI2202" s="12"/>
      <c r="BJ2202" s="12"/>
      <c r="BK2202" s="44"/>
      <c r="BL2202" s="45"/>
      <c r="BM2202" s="12"/>
      <c r="BN2202" s="12"/>
      <c r="BO2202" s="12"/>
      <c r="BP2202" s="12"/>
      <c r="BQ2202" s="48"/>
      <c r="BR2202" s="49"/>
      <c r="BS2202" s="13"/>
      <c r="BT2202" s="12"/>
      <c r="BV2202" s="14"/>
      <c r="BW2202" s="50"/>
      <c r="BX2202" s="54"/>
      <c r="BY2202" s="14"/>
      <c r="BZ2202" s="14"/>
      <c r="CA2202" s="14"/>
      <c r="CB2202" s="14"/>
      <c r="CC2202" s="14"/>
      <c r="CD2202" s="14"/>
      <c r="CE2202" s="14"/>
      <c r="CF2202" s="15"/>
      <c r="CG2202" s="14"/>
      <c r="CH2202" s="14"/>
      <c r="CI2202" s="50"/>
      <c r="CJ2202" s="54"/>
      <c r="CK2202" s="14"/>
      <c r="CL2202" s="14"/>
      <c r="CM2202" s="14"/>
      <c r="CN2202" s="14"/>
      <c r="CO2202" s="14"/>
      <c r="CP2202" s="14"/>
      <c r="CQ2202" s="14"/>
      <c r="CR2202" s="14"/>
      <c r="CS2202" s="14"/>
      <c r="CT2202" s="14"/>
      <c r="CU2202" s="16"/>
      <c r="CV2202" s="14"/>
      <c r="CW2202" s="50"/>
      <c r="CX2202" s="17"/>
    </row>
    <row r="2203" spans="4:102" x14ac:dyDescent="0.25">
      <c r="D2203" s="11"/>
      <c r="E2203" s="11"/>
      <c r="F2203" s="11"/>
      <c r="G2203" s="11"/>
      <c r="H2203" s="11"/>
      <c r="I2203" s="11"/>
      <c r="J2203" s="11"/>
      <c r="K2203" s="11"/>
      <c r="L2203" s="11"/>
      <c r="M2203" s="11"/>
      <c r="N2203" s="11"/>
      <c r="O2203" s="11"/>
      <c r="P2203" s="43"/>
      <c r="Q2203" s="11"/>
      <c r="R2203" s="11"/>
      <c r="S2203" s="11"/>
      <c r="T2203" s="11"/>
      <c r="U2203" s="11"/>
      <c r="V2203" s="11"/>
      <c r="W2203" s="11"/>
      <c r="X2203" s="12"/>
      <c r="Y2203" s="12"/>
      <c r="Z2203" s="12"/>
      <c r="AA2203" s="44"/>
      <c r="AB2203" s="45"/>
      <c r="AC2203" s="12"/>
      <c r="AD2203" s="12"/>
      <c r="AE2203" s="12"/>
      <c r="AF2203" s="12"/>
      <c r="AG2203" s="44"/>
      <c r="AH2203" s="45"/>
      <c r="AI2203" s="12"/>
      <c r="AJ2203" s="12"/>
      <c r="AK2203" s="12"/>
      <c r="AL2203" s="12"/>
      <c r="AM2203" s="44"/>
      <c r="AN2203" s="45"/>
      <c r="AO2203" s="12"/>
      <c r="AP2203" s="12"/>
      <c r="AQ2203" s="12"/>
      <c r="AR2203" s="12"/>
      <c r="AS2203" s="44"/>
      <c r="AT2203" s="45"/>
      <c r="AU2203" s="12"/>
      <c r="AV2203" s="12"/>
      <c r="AW2203" s="12"/>
      <c r="AX2203" s="12"/>
      <c r="AY2203" s="44"/>
      <c r="AZ2203" s="45"/>
      <c r="BA2203" s="12"/>
      <c r="BB2203" s="12"/>
      <c r="BC2203" s="12"/>
      <c r="BD2203" s="12"/>
      <c r="BE2203" s="44"/>
      <c r="BF2203" s="45"/>
      <c r="BG2203" s="12"/>
      <c r="BH2203" s="12"/>
      <c r="BI2203" s="12"/>
      <c r="BJ2203" s="12"/>
      <c r="BK2203" s="44"/>
      <c r="BL2203" s="45"/>
      <c r="BM2203" s="12"/>
      <c r="BN2203" s="12"/>
      <c r="BO2203" s="12"/>
      <c r="BP2203" s="12"/>
      <c r="BQ2203" s="48"/>
      <c r="BR2203" s="49"/>
      <c r="BS2203" s="13"/>
      <c r="BT2203" s="12"/>
      <c r="BV2203" s="14"/>
      <c r="BW2203" s="50"/>
      <c r="BX2203" s="54"/>
      <c r="BY2203" s="14"/>
      <c r="BZ2203" s="14"/>
      <c r="CA2203" s="14"/>
      <c r="CB2203" s="14"/>
      <c r="CC2203" s="14"/>
      <c r="CD2203" s="14"/>
      <c r="CE2203" s="14"/>
      <c r="CF2203" s="15"/>
      <c r="CG2203" s="14"/>
      <c r="CH2203" s="14"/>
      <c r="CI2203" s="50"/>
      <c r="CJ2203" s="54"/>
      <c r="CK2203" s="14"/>
      <c r="CL2203" s="14"/>
      <c r="CM2203" s="14"/>
      <c r="CN2203" s="14"/>
      <c r="CO2203" s="14"/>
      <c r="CP2203" s="14"/>
      <c r="CQ2203" s="14"/>
      <c r="CR2203" s="14"/>
      <c r="CS2203" s="14"/>
      <c r="CT2203" s="14"/>
      <c r="CU2203" s="16"/>
      <c r="CV2203" s="14"/>
      <c r="CW2203" s="50"/>
      <c r="CX2203" s="17"/>
    </row>
    <row r="2204" spans="4:102" x14ac:dyDescent="0.25">
      <c r="D2204" s="11"/>
      <c r="E2204" s="11"/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43"/>
      <c r="Q2204" s="11"/>
      <c r="R2204" s="11"/>
      <c r="S2204" s="11"/>
      <c r="T2204" s="11"/>
      <c r="U2204" s="11"/>
      <c r="V2204" s="11"/>
      <c r="W2204" s="11"/>
      <c r="X2204" s="12"/>
      <c r="Y2204" s="12"/>
      <c r="Z2204" s="12"/>
      <c r="AA2204" s="44"/>
      <c r="AB2204" s="45"/>
      <c r="AC2204" s="12"/>
      <c r="AD2204" s="12"/>
      <c r="AE2204" s="12"/>
      <c r="AF2204" s="12"/>
      <c r="AG2204" s="44"/>
      <c r="AH2204" s="45"/>
      <c r="AI2204" s="12"/>
      <c r="AJ2204" s="12"/>
      <c r="AK2204" s="12"/>
      <c r="AL2204" s="12"/>
      <c r="AM2204" s="44"/>
      <c r="AN2204" s="45"/>
      <c r="AO2204" s="12"/>
      <c r="AP2204" s="12"/>
      <c r="AQ2204" s="12"/>
      <c r="AR2204" s="12"/>
      <c r="AS2204" s="44"/>
      <c r="AT2204" s="45"/>
      <c r="AU2204" s="12"/>
      <c r="AV2204" s="12"/>
      <c r="AW2204" s="12"/>
      <c r="AX2204" s="12"/>
      <c r="AY2204" s="44"/>
      <c r="AZ2204" s="45"/>
      <c r="BA2204" s="12"/>
      <c r="BB2204" s="12"/>
      <c r="BC2204" s="12"/>
      <c r="BD2204" s="12"/>
      <c r="BE2204" s="44"/>
      <c r="BF2204" s="45"/>
      <c r="BG2204" s="12"/>
      <c r="BH2204" s="12"/>
      <c r="BI2204" s="12"/>
      <c r="BJ2204" s="12"/>
      <c r="BK2204" s="44"/>
      <c r="BL2204" s="45"/>
      <c r="BM2204" s="12"/>
      <c r="BN2204" s="12"/>
      <c r="BO2204" s="12"/>
      <c r="BP2204" s="12"/>
      <c r="BQ2204" s="48"/>
      <c r="BR2204" s="49"/>
      <c r="BS2204" s="13"/>
      <c r="BT2204" s="12"/>
      <c r="BV2204" s="14"/>
      <c r="BW2204" s="50"/>
      <c r="BX2204" s="54"/>
      <c r="BY2204" s="14"/>
      <c r="BZ2204" s="14"/>
      <c r="CA2204" s="14"/>
      <c r="CB2204" s="14"/>
      <c r="CC2204" s="14"/>
      <c r="CD2204" s="14"/>
      <c r="CE2204" s="14"/>
      <c r="CF2204" s="15"/>
      <c r="CG2204" s="14"/>
      <c r="CH2204" s="14"/>
      <c r="CI2204" s="50"/>
      <c r="CJ2204" s="54"/>
      <c r="CK2204" s="14"/>
      <c r="CL2204" s="14"/>
      <c r="CM2204" s="14"/>
      <c r="CN2204" s="14"/>
      <c r="CO2204" s="14"/>
      <c r="CP2204" s="14"/>
      <c r="CQ2204" s="14"/>
      <c r="CR2204" s="14"/>
      <c r="CS2204" s="14"/>
      <c r="CT2204" s="14"/>
      <c r="CU2204" s="16"/>
      <c r="CV2204" s="14"/>
      <c r="CW2204" s="50"/>
      <c r="CX2204" s="17"/>
    </row>
    <row r="2205" spans="4:102" x14ac:dyDescent="0.25">
      <c r="D2205" s="11"/>
      <c r="E2205" s="11"/>
      <c r="F2205" s="11"/>
      <c r="G2205" s="11"/>
      <c r="H2205" s="11"/>
      <c r="I2205" s="11"/>
      <c r="J2205" s="11"/>
      <c r="K2205" s="11"/>
      <c r="L2205" s="11"/>
      <c r="M2205" s="11"/>
      <c r="N2205" s="11"/>
      <c r="O2205" s="11"/>
      <c r="P2205" s="43"/>
      <c r="Q2205" s="11"/>
      <c r="R2205" s="11"/>
      <c r="S2205" s="11"/>
      <c r="T2205" s="11"/>
      <c r="U2205" s="11"/>
      <c r="V2205" s="11"/>
      <c r="W2205" s="11"/>
      <c r="X2205" s="12"/>
      <c r="Y2205" s="12"/>
      <c r="Z2205" s="12"/>
      <c r="AA2205" s="44"/>
      <c r="AB2205" s="45"/>
      <c r="AC2205" s="12"/>
      <c r="AD2205" s="12"/>
      <c r="AE2205" s="12"/>
      <c r="AF2205" s="12"/>
      <c r="AG2205" s="44"/>
      <c r="AH2205" s="45"/>
      <c r="AI2205" s="12"/>
      <c r="AJ2205" s="12"/>
      <c r="AK2205" s="12"/>
      <c r="AL2205" s="12"/>
      <c r="AM2205" s="44"/>
      <c r="AN2205" s="45"/>
      <c r="AO2205" s="12"/>
      <c r="AP2205" s="12"/>
      <c r="AQ2205" s="12"/>
      <c r="AR2205" s="12"/>
      <c r="AS2205" s="44"/>
      <c r="AT2205" s="45"/>
      <c r="AU2205" s="12"/>
      <c r="AV2205" s="12"/>
      <c r="AW2205" s="12"/>
      <c r="AX2205" s="12"/>
      <c r="AY2205" s="44"/>
      <c r="AZ2205" s="45"/>
      <c r="BA2205" s="12"/>
      <c r="BB2205" s="12"/>
      <c r="BC2205" s="12"/>
      <c r="BD2205" s="12"/>
      <c r="BE2205" s="44"/>
      <c r="BF2205" s="45"/>
      <c r="BG2205" s="12"/>
      <c r="BH2205" s="12"/>
      <c r="BI2205" s="12"/>
      <c r="BJ2205" s="12"/>
      <c r="BK2205" s="44"/>
      <c r="BL2205" s="45"/>
      <c r="BM2205" s="12"/>
      <c r="BN2205" s="12"/>
      <c r="BO2205" s="12"/>
      <c r="BP2205" s="12"/>
      <c r="BQ2205" s="48"/>
      <c r="BR2205" s="49"/>
      <c r="BS2205" s="13"/>
      <c r="BT2205" s="12"/>
      <c r="BV2205" s="14"/>
      <c r="BW2205" s="50"/>
      <c r="BX2205" s="54"/>
      <c r="BY2205" s="14"/>
      <c r="BZ2205" s="14"/>
      <c r="CA2205" s="14"/>
      <c r="CB2205" s="14"/>
      <c r="CC2205" s="14"/>
      <c r="CD2205" s="14"/>
      <c r="CE2205" s="14"/>
      <c r="CF2205" s="15"/>
      <c r="CG2205" s="14"/>
      <c r="CH2205" s="14"/>
      <c r="CI2205" s="50"/>
      <c r="CJ2205" s="54"/>
      <c r="CK2205" s="14"/>
      <c r="CL2205" s="14"/>
      <c r="CM2205" s="14"/>
      <c r="CN2205" s="14"/>
      <c r="CO2205" s="14"/>
      <c r="CP2205" s="14"/>
      <c r="CQ2205" s="14"/>
      <c r="CR2205" s="14"/>
      <c r="CS2205" s="14"/>
      <c r="CT2205" s="14"/>
      <c r="CU2205" s="16"/>
      <c r="CV2205" s="14"/>
      <c r="CW2205" s="50"/>
      <c r="CX2205" s="17"/>
    </row>
    <row r="2206" spans="4:102" x14ac:dyDescent="0.25">
      <c r="D2206" s="11"/>
      <c r="E2206" s="11"/>
      <c r="F2206" s="11"/>
      <c r="G2206" s="11"/>
      <c r="H2206" s="11"/>
      <c r="I2206" s="11"/>
      <c r="J2206" s="11"/>
      <c r="K2206" s="11"/>
      <c r="L2206" s="11"/>
      <c r="M2206" s="11"/>
      <c r="N2206" s="11"/>
      <c r="O2206" s="11"/>
      <c r="P2206" s="43"/>
      <c r="Q2206" s="11"/>
      <c r="R2206" s="11"/>
      <c r="S2206" s="11"/>
      <c r="T2206" s="11"/>
      <c r="U2206" s="11"/>
      <c r="V2206" s="11"/>
      <c r="W2206" s="11"/>
      <c r="X2206" s="12"/>
      <c r="Y2206" s="12"/>
      <c r="Z2206" s="12"/>
      <c r="AA2206" s="44"/>
      <c r="AB2206" s="45"/>
      <c r="AC2206" s="12"/>
      <c r="AD2206" s="12"/>
      <c r="AE2206" s="12"/>
      <c r="AF2206" s="12"/>
      <c r="AG2206" s="44"/>
      <c r="AH2206" s="45"/>
      <c r="AI2206" s="12"/>
      <c r="AJ2206" s="12"/>
      <c r="AK2206" s="12"/>
      <c r="AL2206" s="12"/>
      <c r="AM2206" s="44"/>
      <c r="AN2206" s="45"/>
      <c r="AO2206" s="12"/>
      <c r="AP2206" s="12"/>
      <c r="AQ2206" s="12"/>
      <c r="AR2206" s="12"/>
      <c r="AS2206" s="44"/>
      <c r="AT2206" s="45"/>
      <c r="AU2206" s="12"/>
      <c r="AV2206" s="12"/>
      <c r="AW2206" s="12"/>
      <c r="AX2206" s="12"/>
      <c r="AY2206" s="44"/>
      <c r="AZ2206" s="45"/>
      <c r="BA2206" s="12"/>
      <c r="BB2206" s="12"/>
      <c r="BC2206" s="12"/>
      <c r="BD2206" s="12"/>
      <c r="BE2206" s="44"/>
      <c r="BF2206" s="45"/>
      <c r="BG2206" s="12"/>
      <c r="BH2206" s="12"/>
      <c r="BI2206" s="12"/>
      <c r="BJ2206" s="12"/>
      <c r="BK2206" s="44"/>
      <c r="BL2206" s="45"/>
      <c r="BM2206" s="12"/>
      <c r="BN2206" s="12"/>
      <c r="BO2206" s="12"/>
      <c r="BP2206" s="12"/>
      <c r="BQ2206" s="48"/>
      <c r="BR2206" s="49"/>
      <c r="BS2206" s="13"/>
      <c r="BT2206" s="12"/>
      <c r="BV2206" s="14"/>
      <c r="BW2206" s="50"/>
      <c r="BX2206" s="54"/>
      <c r="BY2206" s="14"/>
      <c r="BZ2206" s="14"/>
      <c r="CA2206" s="14"/>
      <c r="CB2206" s="14"/>
      <c r="CC2206" s="14"/>
      <c r="CD2206" s="14"/>
      <c r="CE2206" s="14"/>
      <c r="CF2206" s="15"/>
      <c r="CG2206" s="14"/>
      <c r="CH2206" s="14"/>
      <c r="CI2206" s="50"/>
      <c r="CJ2206" s="54"/>
      <c r="CK2206" s="14"/>
      <c r="CL2206" s="14"/>
      <c r="CM2206" s="14"/>
      <c r="CN2206" s="14"/>
      <c r="CO2206" s="14"/>
      <c r="CP2206" s="14"/>
      <c r="CQ2206" s="14"/>
      <c r="CR2206" s="14"/>
      <c r="CS2206" s="14"/>
      <c r="CT2206" s="14"/>
      <c r="CU2206" s="16"/>
      <c r="CV2206" s="14"/>
      <c r="CW2206" s="50"/>
      <c r="CX2206" s="17"/>
    </row>
    <row r="2207" spans="4:102" x14ac:dyDescent="0.25">
      <c r="D2207" s="11"/>
      <c r="E2207" s="11"/>
      <c r="F2207" s="11"/>
      <c r="G2207" s="11"/>
      <c r="H2207" s="11"/>
      <c r="I2207" s="11"/>
      <c r="J2207" s="11"/>
      <c r="K2207" s="11"/>
      <c r="L2207" s="11"/>
      <c r="M2207" s="11"/>
      <c r="N2207" s="11"/>
      <c r="O2207" s="11"/>
      <c r="P2207" s="43"/>
      <c r="Q2207" s="11"/>
      <c r="R2207" s="11"/>
      <c r="S2207" s="11"/>
      <c r="T2207" s="11"/>
      <c r="U2207" s="11"/>
      <c r="V2207" s="11"/>
      <c r="W2207" s="11"/>
      <c r="X2207" s="12"/>
      <c r="Y2207" s="12"/>
      <c r="Z2207" s="12"/>
      <c r="AA2207" s="44"/>
      <c r="AB2207" s="45"/>
      <c r="AC2207" s="12"/>
      <c r="AD2207" s="12"/>
      <c r="AE2207" s="12"/>
      <c r="AF2207" s="12"/>
      <c r="AG2207" s="44"/>
      <c r="AH2207" s="45"/>
      <c r="AI2207" s="12"/>
      <c r="AJ2207" s="12"/>
      <c r="AK2207" s="12"/>
      <c r="AL2207" s="12"/>
      <c r="AM2207" s="44"/>
      <c r="AN2207" s="45"/>
      <c r="AO2207" s="12"/>
      <c r="AP2207" s="12"/>
      <c r="AQ2207" s="12"/>
      <c r="AR2207" s="12"/>
      <c r="AS2207" s="44"/>
      <c r="AT2207" s="45"/>
      <c r="AU2207" s="12"/>
      <c r="AV2207" s="12"/>
      <c r="AW2207" s="12"/>
      <c r="AX2207" s="12"/>
      <c r="AY2207" s="44"/>
      <c r="AZ2207" s="45"/>
      <c r="BA2207" s="12"/>
      <c r="BB2207" s="12"/>
      <c r="BC2207" s="12"/>
      <c r="BD2207" s="12"/>
      <c r="BE2207" s="44"/>
      <c r="BF2207" s="45"/>
      <c r="BG2207" s="12"/>
      <c r="BH2207" s="12"/>
      <c r="BI2207" s="12"/>
      <c r="BJ2207" s="12"/>
      <c r="BK2207" s="44"/>
      <c r="BL2207" s="45"/>
      <c r="BM2207" s="12"/>
      <c r="BN2207" s="12"/>
      <c r="BO2207" s="12"/>
      <c r="BP2207" s="12"/>
      <c r="BQ2207" s="48"/>
      <c r="BR2207" s="49"/>
      <c r="BS2207" s="13"/>
      <c r="BT2207" s="12"/>
      <c r="BV2207" s="14"/>
      <c r="BW2207" s="50"/>
      <c r="BX2207" s="54"/>
      <c r="BY2207" s="14"/>
      <c r="BZ2207" s="14"/>
      <c r="CA2207" s="14"/>
      <c r="CB2207" s="14"/>
      <c r="CC2207" s="14"/>
      <c r="CD2207" s="14"/>
      <c r="CE2207" s="14"/>
      <c r="CF2207" s="15"/>
      <c r="CG2207" s="14"/>
      <c r="CH2207" s="14"/>
      <c r="CI2207" s="50"/>
      <c r="CJ2207" s="54"/>
      <c r="CK2207" s="14"/>
      <c r="CL2207" s="14"/>
      <c r="CM2207" s="14"/>
      <c r="CN2207" s="14"/>
      <c r="CO2207" s="14"/>
      <c r="CP2207" s="14"/>
      <c r="CQ2207" s="14"/>
      <c r="CR2207" s="14"/>
      <c r="CS2207" s="14"/>
      <c r="CT2207" s="14"/>
      <c r="CU2207" s="16"/>
      <c r="CV2207" s="14"/>
      <c r="CW2207" s="50"/>
      <c r="CX2207" s="17"/>
    </row>
    <row r="2208" spans="4:102" x14ac:dyDescent="0.25">
      <c r="D2208" s="11"/>
      <c r="E2208" s="11"/>
      <c r="F2208" s="11"/>
      <c r="G2208" s="11"/>
      <c r="H2208" s="11"/>
      <c r="I2208" s="11"/>
      <c r="J2208" s="11"/>
      <c r="K2208" s="11"/>
      <c r="L2208" s="11"/>
      <c r="M2208" s="11"/>
      <c r="N2208" s="11"/>
      <c r="O2208" s="11"/>
      <c r="P2208" s="43"/>
      <c r="Q2208" s="11"/>
      <c r="R2208" s="11"/>
      <c r="S2208" s="11"/>
      <c r="T2208" s="11"/>
      <c r="U2208" s="11"/>
      <c r="V2208" s="11"/>
      <c r="W2208" s="11"/>
      <c r="X2208" s="12"/>
      <c r="Y2208" s="12"/>
      <c r="Z2208" s="12"/>
      <c r="AA2208" s="44"/>
      <c r="AB2208" s="45"/>
      <c r="AC2208" s="12"/>
      <c r="AD2208" s="12"/>
      <c r="AE2208" s="12"/>
      <c r="AF2208" s="12"/>
      <c r="AG2208" s="44"/>
      <c r="AH2208" s="45"/>
      <c r="AI2208" s="12"/>
      <c r="AJ2208" s="12"/>
      <c r="AK2208" s="12"/>
      <c r="AL2208" s="12"/>
      <c r="AM2208" s="44"/>
      <c r="AN2208" s="45"/>
      <c r="AO2208" s="12"/>
      <c r="AP2208" s="12"/>
      <c r="AQ2208" s="12"/>
      <c r="AR2208" s="12"/>
      <c r="AS2208" s="44"/>
      <c r="AT2208" s="45"/>
      <c r="AU2208" s="12"/>
      <c r="AV2208" s="12"/>
      <c r="AW2208" s="12"/>
      <c r="AX2208" s="12"/>
      <c r="AY2208" s="44"/>
      <c r="AZ2208" s="45"/>
      <c r="BA2208" s="12"/>
      <c r="BB2208" s="12"/>
      <c r="BC2208" s="12"/>
      <c r="BD2208" s="12"/>
      <c r="BE2208" s="44"/>
      <c r="BF2208" s="45"/>
      <c r="BG2208" s="12"/>
      <c r="BH2208" s="12"/>
      <c r="BI2208" s="12"/>
      <c r="BJ2208" s="12"/>
      <c r="BK2208" s="44"/>
      <c r="BL2208" s="45"/>
      <c r="BM2208" s="12"/>
      <c r="BN2208" s="12"/>
      <c r="BO2208" s="12"/>
      <c r="BP2208" s="12"/>
      <c r="BQ2208" s="48"/>
      <c r="BR2208" s="49"/>
      <c r="BS2208" s="13"/>
      <c r="BT2208" s="12"/>
      <c r="BV2208" s="14"/>
      <c r="BW2208" s="50"/>
      <c r="BX2208" s="54"/>
      <c r="BY2208" s="14"/>
      <c r="BZ2208" s="14"/>
      <c r="CA2208" s="14"/>
      <c r="CB2208" s="14"/>
      <c r="CC2208" s="14"/>
      <c r="CD2208" s="14"/>
      <c r="CE2208" s="14"/>
      <c r="CF2208" s="15"/>
      <c r="CG2208" s="14"/>
      <c r="CH2208" s="14"/>
      <c r="CI2208" s="50"/>
      <c r="CJ2208" s="54"/>
      <c r="CK2208" s="14"/>
      <c r="CL2208" s="14"/>
      <c r="CM2208" s="14"/>
      <c r="CN2208" s="14"/>
      <c r="CO2208" s="14"/>
      <c r="CP2208" s="14"/>
      <c r="CQ2208" s="14"/>
      <c r="CR2208" s="14"/>
      <c r="CS2208" s="14"/>
      <c r="CT2208" s="14"/>
      <c r="CU2208" s="16"/>
      <c r="CV2208" s="14"/>
      <c r="CW2208" s="50"/>
      <c r="CX2208" s="17"/>
    </row>
    <row r="2209" spans="4:102" x14ac:dyDescent="0.25">
      <c r="D2209" s="11"/>
      <c r="E2209" s="11"/>
      <c r="F2209" s="11"/>
      <c r="G2209" s="11"/>
      <c r="H2209" s="11"/>
      <c r="I2209" s="11"/>
      <c r="J2209" s="11"/>
      <c r="K2209" s="11"/>
      <c r="L2209" s="11"/>
      <c r="M2209" s="11"/>
      <c r="N2209" s="11"/>
      <c r="O2209" s="11"/>
      <c r="P2209" s="43"/>
      <c r="Q2209" s="11"/>
      <c r="R2209" s="11"/>
      <c r="S2209" s="11"/>
      <c r="T2209" s="11"/>
      <c r="U2209" s="11"/>
      <c r="V2209" s="11"/>
      <c r="W2209" s="11"/>
      <c r="X2209" s="12"/>
      <c r="Y2209" s="12"/>
      <c r="Z2209" s="12"/>
      <c r="AA2209" s="44"/>
      <c r="AB2209" s="45"/>
      <c r="AC2209" s="12"/>
      <c r="AD2209" s="12"/>
      <c r="AE2209" s="12"/>
      <c r="AF2209" s="12"/>
      <c r="AG2209" s="44"/>
      <c r="AH2209" s="45"/>
      <c r="AI2209" s="12"/>
      <c r="AJ2209" s="12"/>
      <c r="AK2209" s="12"/>
      <c r="AL2209" s="12"/>
      <c r="AM2209" s="44"/>
      <c r="AN2209" s="45"/>
      <c r="AO2209" s="12"/>
      <c r="AP2209" s="12"/>
      <c r="AQ2209" s="12"/>
      <c r="AR2209" s="12"/>
      <c r="AS2209" s="44"/>
      <c r="AT2209" s="45"/>
      <c r="AU2209" s="12"/>
      <c r="AV2209" s="12"/>
      <c r="AW2209" s="12"/>
      <c r="AX2209" s="12"/>
      <c r="AY2209" s="44"/>
      <c r="AZ2209" s="45"/>
      <c r="BA2209" s="12"/>
      <c r="BB2209" s="12"/>
      <c r="BC2209" s="12"/>
      <c r="BD2209" s="12"/>
      <c r="BE2209" s="44"/>
      <c r="BF2209" s="45"/>
      <c r="BG2209" s="12"/>
      <c r="BH2209" s="12"/>
      <c r="BI2209" s="12"/>
      <c r="BJ2209" s="12"/>
      <c r="BK2209" s="44"/>
      <c r="BL2209" s="45"/>
      <c r="BM2209" s="12"/>
      <c r="BN2209" s="12"/>
      <c r="BO2209" s="12"/>
      <c r="BP2209" s="12"/>
      <c r="BQ2209" s="48"/>
      <c r="BR2209" s="49"/>
      <c r="BS2209" s="13"/>
      <c r="BT2209" s="12"/>
      <c r="BV2209" s="14"/>
      <c r="BW2209" s="50"/>
      <c r="BX2209" s="54"/>
      <c r="BY2209" s="14"/>
      <c r="BZ2209" s="14"/>
      <c r="CA2209" s="14"/>
      <c r="CB2209" s="14"/>
      <c r="CC2209" s="14"/>
      <c r="CD2209" s="14"/>
      <c r="CE2209" s="14"/>
      <c r="CF2209" s="15"/>
      <c r="CG2209" s="14"/>
      <c r="CH2209" s="14"/>
      <c r="CI2209" s="50"/>
      <c r="CJ2209" s="54"/>
      <c r="CK2209" s="14"/>
      <c r="CL2209" s="14"/>
      <c r="CM2209" s="14"/>
      <c r="CN2209" s="14"/>
      <c r="CO2209" s="14"/>
      <c r="CP2209" s="14"/>
      <c r="CQ2209" s="14"/>
      <c r="CR2209" s="14"/>
      <c r="CS2209" s="14"/>
      <c r="CT2209" s="14"/>
      <c r="CU2209" s="16"/>
      <c r="CV2209" s="14"/>
      <c r="CW2209" s="50"/>
      <c r="CX2209" s="17"/>
    </row>
    <row r="2210" spans="4:102" x14ac:dyDescent="0.25">
      <c r="D2210" s="11"/>
      <c r="E2210" s="11"/>
      <c r="F2210" s="11"/>
      <c r="G2210" s="11"/>
      <c r="H2210" s="11"/>
      <c r="I2210" s="11"/>
      <c r="J2210" s="11"/>
      <c r="K2210" s="11"/>
      <c r="L2210" s="11"/>
      <c r="M2210" s="11"/>
      <c r="N2210" s="11"/>
      <c r="O2210" s="11"/>
      <c r="P2210" s="43"/>
      <c r="Q2210" s="11"/>
      <c r="R2210" s="11"/>
      <c r="S2210" s="11"/>
      <c r="T2210" s="11"/>
      <c r="U2210" s="11"/>
      <c r="V2210" s="11"/>
      <c r="W2210" s="11"/>
      <c r="X2210" s="12"/>
      <c r="Y2210" s="12"/>
      <c r="Z2210" s="12"/>
      <c r="AA2210" s="44"/>
      <c r="AB2210" s="45"/>
      <c r="AC2210" s="12"/>
      <c r="AD2210" s="12"/>
      <c r="AE2210" s="12"/>
      <c r="AF2210" s="12"/>
      <c r="AG2210" s="44"/>
      <c r="AH2210" s="45"/>
      <c r="AI2210" s="12"/>
      <c r="AJ2210" s="12"/>
      <c r="AK2210" s="12"/>
      <c r="AL2210" s="12"/>
      <c r="AM2210" s="44"/>
      <c r="AN2210" s="45"/>
      <c r="AO2210" s="12"/>
      <c r="AP2210" s="12"/>
      <c r="AQ2210" s="12"/>
      <c r="AR2210" s="12"/>
      <c r="AS2210" s="44"/>
      <c r="AT2210" s="45"/>
      <c r="AU2210" s="12"/>
      <c r="AV2210" s="12"/>
      <c r="AW2210" s="12"/>
      <c r="AX2210" s="12"/>
      <c r="AY2210" s="44"/>
      <c r="AZ2210" s="45"/>
      <c r="BA2210" s="12"/>
      <c r="BB2210" s="12"/>
      <c r="BC2210" s="12"/>
      <c r="BD2210" s="12"/>
      <c r="BE2210" s="44"/>
      <c r="BF2210" s="45"/>
      <c r="BG2210" s="12"/>
      <c r="BH2210" s="12"/>
      <c r="BI2210" s="12"/>
      <c r="BJ2210" s="12"/>
      <c r="BK2210" s="44"/>
      <c r="BL2210" s="45"/>
      <c r="BM2210" s="12"/>
      <c r="BN2210" s="12"/>
      <c r="BO2210" s="12"/>
      <c r="BP2210" s="12"/>
      <c r="BQ2210" s="48"/>
      <c r="BR2210" s="49"/>
      <c r="BS2210" s="13"/>
      <c r="BT2210" s="12"/>
      <c r="BV2210" s="14"/>
      <c r="BW2210" s="50"/>
      <c r="BX2210" s="54"/>
      <c r="BY2210" s="14"/>
      <c r="BZ2210" s="14"/>
      <c r="CA2210" s="14"/>
      <c r="CB2210" s="14"/>
      <c r="CC2210" s="14"/>
      <c r="CD2210" s="14"/>
      <c r="CE2210" s="14"/>
      <c r="CF2210" s="15"/>
      <c r="CG2210" s="14"/>
      <c r="CH2210" s="14"/>
      <c r="CI2210" s="50"/>
      <c r="CJ2210" s="54"/>
      <c r="CK2210" s="14"/>
      <c r="CL2210" s="14"/>
      <c r="CM2210" s="14"/>
      <c r="CN2210" s="14"/>
      <c r="CO2210" s="14"/>
      <c r="CP2210" s="14"/>
      <c r="CQ2210" s="14"/>
      <c r="CR2210" s="14"/>
      <c r="CS2210" s="14"/>
      <c r="CT2210" s="14"/>
      <c r="CU2210" s="16"/>
      <c r="CV2210" s="14"/>
      <c r="CW2210" s="50"/>
      <c r="CX2210" s="17"/>
    </row>
    <row r="2211" spans="4:102" x14ac:dyDescent="0.25">
      <c r="D2211" s="11"/>
      <c r="E2211" s="11"/>
      <c r="F2211" s="11"/>
      <c r="G2211" s="11"/>
      <c r="H2211" s="11"/>
      <c r="I2211" s="11"/>
      <c r="J2211" s="11"/>
      <c r="K2211" s="11"/>
      <c r="L2211" s="11"/>
      <c r="M2211" s="11"/>
      <c r="N2211" s="11"/>
      <c r="O2211" s="11"/>
      <c r="P2211" s="43"/>
      <c r="Q2211" s="11"/>
      <c r="R2211" s="11"/>
      <c r="S2211" s="11"/>
      <c r="T2211" s="11"/>
      <c r="U2211" s="11"/>
      <c r="V2211" s="11"/>
      <c r="W2211" s="11"/>
      <c r="X2211" s="12"/>
      <c r="Y2211" s="12"/>
      <c r="Z2211" s="12"/>
      <c r="AA2211" s="44"/>
      <c r="AB2211" s="45"/>
      <c r="AC2211" s="12"/>
      <c r="AD2211" s="12"/>
      <c r="AE2211" s="12"/>
      <c r="AF2211" s="12"/>
      <c r="AG2211" s="44"/>
      <c r="AH2211" s="45"/>
      <c r="AI2211" s="12"/>
      <c r="AJ2211" s="12"/>
      <c r="AK2211" s="12"/>
      <c r="AL2211" s="12"/>
      <c r="AM2211" s="44"/>
      <c r="AN2211" s="45"/>
      <c r="AO2211" s="12"/>
      <c r="AP2211" s="12"/>
      <c r="AQ2211" s="12"/>
      <c r="AR2211" s="12"/>
      <c r="AS2211" s="44"/>
      <c r="AT2211" s="45"/>
      <c r="AU2211" s="12"/>
      <c r="AV2211" s="12"/>
      <c r="AW2211" s="12"/>
      <c r="AX2211" s="12"/>
      <c r="AY2211" s="44"/>
      <c r="AZ2211" s="45"/>
      <c r="BA2211" s="12"/>
      <c r="BB2211" s="12"/>
      <c r="BC2211" s="12"/>
      <c r="BD2211" s="12"/>
      <c r="BE2211" s="44"/>
      <c r="BF2211" s="45"/>
      <c r="BG2211" s="12"/>
      <c r="BH2211" s="12"/>
      <c r="BI2211" s="12"/>
      <c r="BJ2211" s="12"/>
      <c r="BK2211" s="44"/>
      <c r="BL2211" s="45"/>
      <c r="BM2211" s="12"/>
      <c r="BN2211" s="12"/>
      <c r="BO2211" s="12"/>
      <c r="BP2211" s="12"/>
      <c r="BQ2211" s="48"/>
      <c r="BR2211" s="49"/>
      <c r="BS2211" s="13"/>
      <c r="BT2211" s="12"/>
      <c r="BV2211" s="14"/>
      <c r="BW2211" s="50"/>
      <c r="BX2211" s="54"/>
      <c r="BY2211" s="14"/>
      <c r="BZ2211" s="14"/>
      <c r="CA2211" s="14"/>
      <c r="CB2211" s="14"/>
      <c r="CC2211" s="14"/>
      <c r="CD2211" s="14"/>
      <c r="CE2211" s="14"/>
      <c r="CF2211" s="15"/>
      <c r="CG2211" s="14"/>
      <c r="CH2211" s="14"/>
      <c r="CI2211" s="50"/>
      <c r="CJ2211" s="54"/>
      <c r="CK2211" s="14"/>
      <c r="CL2211" s="14"/>
      <c r="CM2211" s="14"/>
      <c r="CN2211" s="14"/>
      <c r="CO2211" s="14"/>
      <c r="CP2211" s="14"/>
      <c r="CQ2211" s="14"/>
      <c r="CR2211" s="14"/>
      <c r="CS2211" s="14"/>
      <c r="CT2211" s="14"/>
      <c r="CU2211" s="16"/>
      <c r="CV2211" s="14"/>
      <c r="CW2211" s="50"/>
      <c r="CX2211" s="17"/>
    </row>
    <row r="2212" spans="4:102" x14ac:dyDescent="0.25">
      <c r="D2212" s="11"/>
      <c r="E2212" s="11"/>
      <c r="F2212" s="11"/>
      <c r="G2212" s="11"/>
      <c r="H2212" s="11"/>
      <c r="I2212" s="11"/>
      <c r="J2212" s="11"/>
      <c r="K2212" s="11"/>
      <c r="L2212" s="11"/>
      <c r="M2212" s="11"/>
      <c r="N2212" s="11"/>
      <c r="O2212" s="11"/>
      <c r="P2212" s="43"/>
      <c r="Q2212" s="11"/>
      <c r="R2212" s="11"/>
      <c r="S2212" s="11"/>
      <c r="T2212" s="11"/>
      <c r="U2212" s="11"/>
      <c r="V2212" s="11"/>
      <c r="W2212" s="11"/>
      <c r="X2212" s="12"/>
      <c r="Y2212" s="12"/>
      <c r="Z2212" s="12"/>
      <c r="AA2212" s="44"/>
      <c r="AB2212" s="45"/>
      <c r="AC2212" s="12"/>
      <c r="AD2212" s="12"/>
      <c r="AE2212" s="12"/>
      <c r="AF2212" s="12"/>
      <c r="AG2212" s="44"/>
      <c r="AH2212" s="45"/>
      <c r="AI2212" s="12"/>
      <c r="AJ2212" s="12"/>
      <c r="AK2212" s="12"/>
      <c r="AL2212" s="12"/>
      <c r="AM2212" s="44"/>
      <c r="AN2212" s="45"/>
      <c r="AO2212" s="12"/>
      <c r="AP2212" s="12"/>
      <c r="AQ2212" s="12"/>
      <c r="AR2212" s="12"/>
      <c r="AS2212" s="44"/>
      <c r="AT2212" s="45"/>
      <c r="AU2212" s="12"/>
      <c r="AV2212" s="12"/>
      <c r="AW2212" s="12"/>
      <c r="AX2212" s="12"/>
      <c r="AY2212" s="44"/>
      <c r="AZ2212" s="45"/>
      <c r="BA2212" s="12"/>
      <c r="BB2212" s="12"/>
      <c r="BC2212" s="12"/>
      <c r="BD2212" s="12"/>
      <c r="BE2212" s="44"/>
      <c r="BF2212" s="45"/>
      <c r="BG2212" s="12"/>
      <c r="BH2212" s="12"/>
      <c r="BI2212" s="12"/>
      <c r="BJ2212" s="12"/>
      <c r="BK2212" s="44"/>
      <c r="BL2212" s="45"/>
      <c r="BM2212" s="12"/>
      <c r="BN2212" s="12"/>
      <c r="BO2212" s="12"/>
      <c r="BP2212" s="12"/>
      <c r="BQ2212" s="48"/>
      <c r="BR2212" s="49"/>
      <c r="BS2212" s="13"/>
      <c r="BT2212" s="12"/>
      <c r="BV2212" s="14"/>
      <c r="BW2212" s="50"/>
      <c r="BX2212" s="54"/>
      <c r="BY2212" s="14"/>
      <c r="BZ2212" s="14"/>
      <c r="CA2212" s="14"/>
      <c r="CB2212" s="14"/>
      <c r="CC2212" s="14"/>
      <c r="CD2212" s="14"/>
      <c r="CE2212" s="14"/>
      <c r="CF2212" s="15"/>
      <c r="CG2212" s="14"/>
      <c r="CH2212" s="14"/>
      <c r="CI2212" s="50"/>
      <c r="CJ2212" s="54"/>
      <c r="CK2212" s="14"/>
      <c r="CL2212" s="14"/>
      <c r="CM2212" s="14"/>
      <c r="CN2212" s="14"/>
      <c r="CO2212" s="14"/>
      <c r="CP2212" s="14"/>
      <c r="CQ2212" s="14"/>
      <c r="CR2212" s="14"/>
      <c r="CS2212" s="14"/>
      <c r="CT2212" s="14"/>
      <c r="CU2212" s="16"/>
      <c r="CV2212" s="14"/>
      <c r="CW2212" s="50"/>
      <c r="CX2212" s="17"/>
    </row>
    <row r="2213" spans="4:102" x14ac:dyDescent="0.25">
      <c r="D2213" s="11"/>
      <c r="E2213" s="11"/>
      <c r="F2213" s="11"/>
      <c r="G2213" s="11"/>
      <c r="H2213" s="11"/>
      <c r="I2213" s="11"/>
      <c r="J2213" s="11"/>
      <c r="K2213" s="11"/>
      <c r="L2213" s="11"/>
      <c r="M2213" s="11"/>
      <c r="N2213" s="11"/>
      <c r="O2213" s="11"/>
      <c r="P2213" s="43"/>
      <c r="Q2213" s="11"/>
      <c r="R2213" s="11"/>
      <c r="S2213" s="11"/>
      <c r="T2213" s="11"/>
      <c r="U2213" s="11"/>
      <c r="V2213" s="11"/>
      <c r="W2213" s="11"/>
      <c r="X2213" s="12"/>
      <c r="Y2213" s="12"/>
      <c r="Z2213" s="12"/>
      <c r="AA2213" s="44"/>
      <c r="AB2213" s="45"/>
      <c r="AC2213" s="12"/>
      <c r="AD2213" s="12"/>
      <c r="AE2213" s="12"/>
      <c r="AF2213" s="12"/>
      <c r="AG2213" s="44"/>
      <c r="AH2213" s="45"/>
      <c r="AI2213" s="12"/>
      <c r="AJ2213" s="12"/>
      <c r="AK2213" s="12"/>
      <c r="AL2213" s="12"/>
      <c r="AM2213" s="44"/>
      <c r="AN2213" s="45"/>
      <c r="AO2213" s="12"/>
      <c r="AP2213" s="12"/>
      <c r="AQ2213" s="12"/>
      <c r="AR2213" s="12"/>
      <c r="AS2213" s="44"/>
      <c r="AT2213" s="45"/>
      <c r="AU2213" s="12"/>
      <c r="AV2213" s="12"/>
      <c r="AW2213" s="12"/>
      <c r="AX2213" s="12"/>
      <c r="AY2213" s="44"/>
      <c r="AZ2213" s="45"/>
      <c r="BA2213" s="12"/>
      <c r="BB2213" s="12"/>
      <c r="BC2213" s="12"/>
      <c r="BD2213" s="12"/>
      <c r="BE2213" s="44"/>
      <c r="BF2213" s="45"/>
      <c r="BG2213" s="12"/>
      <c r="BH2213" s="12"/>
      <c r="BI2213" s="12"/>
      <c r="BJ2213" s="12"/>
      <c r="BK2213" s="44"/>
      <c r="BL2213" s="45"/>
      <c r="BM2213" s="12"/>
      <c r="BN2213" s="12"/>
      <c r="BO2213" s="12"/>
      <c r="BP2213" s="12"/>
      <c r="BQ2213" s="48"/>
      <c r="BR2213" s="49"/>
      <c r="BS2213" s="13"/>
      <c r="BT2213" s="12"/>
      <c r="BV2213" s="14"/>
      <c r="BW2213" s="50"/>
      <c r="BX2213" s="54"/>
      <c r="BY2213" s="14"/>
      <c r="BZ2213" s="14"/>
      <c r="CA2213" s="14"/>
      <c r="CB2213" s="14"/>
      <c r="CC2213" s="14"/>
      <c r="CD2213" s="14"/>
      <c r="CE2213" s="14"/>
      <c r="CF2213" s="15"/>
      <c r="CG2213" s="14"/>
      <c r="CH2213" s="14"/>
      <c r="CI2213" s="50"/>
      <c r="CJ2213" s="54"/>
      <c r="CK2213" s="14"/>
      <c r="CL2213" s="14"/>
      <c r="CM2213" s="14"/>
      <c r="CN2213" s="14"/>
      <c r="CO2213" s="14"/>
      <c r="CP2213" s="14"/>
      <c r="CQ2213" s="14"/>
      <c r="CR2213" s="14"/>
      <c r="CS2213" s="14"/>
      <c r="CT2213" s="14"/>
      <c r="CU2213" s="16"/>
      <c r="CV2213" s="14"/>
      <c r="CW2213" s="50"/>
      <c r="CX2213" s="17"/>
    </row>
    <row r="2214" spans="4:102" x14ac:dyDescent="0.25">
      <c r="D2214" s="11"/>
      <c r="E2214" s="11"/>
      <c r="F2214" s="11"/>
      <c r="G2214" s="11"/>
      <c r="H2214" s="11"/>
      <c r="I2214" s="11"/>
      <c r="J2214" s="11"/>
      <c r="K2214" s="11"/>
      <c r="L2214" s="11"/>
      <c r="M2214" s="11"/>
      <c r="N2214" s="11"/>
      <c r="O2214" s="11"/>
      <c r="P2214" s="43"/>
      <c r="Q2214" s="11"/>
      <c r="R2214" s="11"/>
      <c r="S2214" s="11"/>
      <c r="T2214" s="11"/>
      <c r="U2214" s="11"/>
      <c r="V2214" s="11"/>
      <c r="W2214" s="11"/>
      <c r="X2214" s="12"/>
      <c r="Y2214" s="12"/>
      <c r="Z2214" s="12"/>
      <c r="AA2214" s="44"/>
      <c r="AB2214" s="45"/>
      <c r="AC2214" s="12"/>
      <c r="AD2214" s="12"/>
      <c r="AE2214" s="12"/>
      <c r="AF2214" s="12"/>
      <c r="AG2214" s="44"/>
      <c r="AH2214" s="45"/>
      <c r="AI2214" s="12"/>
      <c r="AJ2214" s="12"/>
      <c r="AK2214" s="12"/>
      <c r="AL2214" s="12"/>
      <c r="AM2214" s="44"/>
      <c r="AN2214" s="45"/>
      <c r="AO2214" s="12"/>
      <c r="AP2214" s="12"/>
      <c r="AQ2214" s="12"/>
      <c r="AR2214" s="12"/>
      <c r="AS2214" s="44"/>
      <c r="AT2214" s="45"/>
      <c r="AU2214" s="12"/>
      <c r="AV2214" s="12"/>
      <c r="AW2214" s="12"/>
      <c r="AX2214" s="12"/>
      <c r="AY2214" s="44"/>
      <c r="AZ2214" s="45"/>
      <c r="BA2214" s="12"/>
      <c r="BB2214" s="12"/>
      <c r="BC2214" s="12"/>
      <c r="BD2214" s="12"/>
      <c r="BE2214" s="44"/>
      <c r="BF2214" s="45"/>
      <c r="BG2214" s="12"/>
      <c r="BH2214" s="12"/>
      <c r="BI2214" s="12"/>
      <c r="BJ2214" s="12"/>
      <c r="BK2214" s="44"/>
      <c r="BL2214" s="45"/>
      <c r="BM2214" s="12"/>
      <c r="BN2214" s="12"/>
      <c r="BO2214" s="12"/>
      <c r="BP2214" s="12"/>
      <c r="BQ2214" s="48"/>
      <c r="BR2214" s="49"/>
      <c r="BS2214" s="13"/>
      <c r="BT2214" s="12"/>
      <c r="BV2214" s="14"/>
      <c r="BW2214" s="50"/>
      <c r="BX2214" s="54"/>
      <c r="BY2214" s="14"/>
      <c r="BZ2214" s="14"/>
      <c r="CA2214" s="14"/>
      <c r="CB2214" s="14"/>
      <c r="CC2214" s="14"/>
      <c r="CD2214" s="14"/>
      <c r="CE2214" s="14"/>
      <c r="CF2214" s="15"/>
      <c r="CG2214" s="14"/>
      <c r="CH2214" s="14"/>
      <c r="CI2214" s="50"/>
      <c r="CJ2214" s="54"/>
      <c r="CK2214" s="14"/>
      <c r="CL2214" s="14"/>
      <c r="CM2214" s="14"/>
      <c r="CN2214" s="14"/>
      <c r="CO2214" s="14"/>
      <c r="CP2214" s="14"/>
      <c r="CQ2214" s="14"/>
      <c r="CR2214" s="14"/>
      <c r="CS2214" s="14"/>
      <c r="CT2214" s="14"/>
      <c r="CU2214" s="16"/>
      <c r="CV2214" s="14"/>
      <c r="CW2214" s="50"/>
      <c r="CX2214" s="17"/>
    </row>
    <row r="2215" spans="4:102" x14ac:dyDescent="0.25">
      <c r="D2215" s="11"/>
      <c r="E2215" s="11"/>
      <c r="F2215" s="11"/>
      <c r="G2215" s="11"/>
      <c r="H2215" s="11"/>
      <c r="I2215" s="11"/>
      <c r="J2215" s="11"/>
      <c r="K2215" s="11"/>
      <c r="L2215" s="11"/>
      <c r="M2215" s="11"/>
      <c r="N2215" s="11"/>
      <c r="O2215" s="11"/>
      <c r="P2215" s="43"/>
      <c r="Q2215" s="11"/>
      <c r="R2215" s="11"/>
      <c r="S2215" s="11"/>
      <c r="T2215" s="11"/>
      <c r="U2215" s="11"/>
      <c r="V2215" s="11"/>
      <c r="W2215" s="11"/>
      <c r="X2215" s="12"/>
      <c r="Y2215" s="12"/>
      <c r="Z2215" s="12"/>
      <c r="AA2215" s="44"/>
      <c r="AB2215" s="45"/>
      <c r="AC2215" s="12"/>
      <c r="AD2215" s="12"/>
      <c r="AE2215" s="12"/>
      <c r="AF2215" s="12"/>
      <c r="AG2215" s="44"/>
      <c r="AH2215" s="45"/>
      <c r="AI2215" s="12"/>
      <c r="AJ2215" s="12"/>
      <c r="AK2215" s="12"/>
      <c r="AL2215" s="12"/>
      <c r="AM2215" s="44"/>
      <c r="AN2215" s="45"/>
      <c r="AO2215" s="12"/>
      <c r="AP2215" s="12"/>
      <c r="AQ2215" s="12"/>
      <c r="AR2215" s="12"/>
      <c r="AS2215" s="44"/>
      <c r="AT2215" s="45"/>
      <c r="AU2215" s="12"/>
      <c r="AV2215" s="12"/>
      <c r="AW2215" s="12"/>
      <c r="AX2215" s="12"/>
      <c r="AY2215" s="44"/>
      <c r="AZ2215" s="45"/>
      <c r="BA2215" s="12"/>
      <c r="BB2215" s="12"/>
      <c r="BC2215" s="12"/>
      <c r="BD2215" s="12"/>
      <c r="BE2215" s="44"/>
      <c r="BF2215" s="45"/>
      <c r="BG2215" s="12"/>
      <c r="BH2215" s="12"/>
      <c r="BI2215" s="12"/>
      <c r="BJ2215" s="12"/>
      <c r="BK2215" s="44"/>
      <c r="BL2215" s="45"/>
      <c r="BM2215" s="12"/>
      <c r="BN2215" s="12"/>
      <c r="BO2215" s="12"/>
      <c r="BP2215" s="12"/>
      <c r="BQ2215" s="48"/>
      <c r="BR2215" s="49"/>
      <c r="BS2215" s="13"/>
      <c r="BT2215" s="12"/>
      <c r="BV2215" s="14"/>
      <c r="BW2215" s="50"/>
      <c r="BX2215" s="54"/>
      <c r="BY2215" s="14"/>
      <c r="BZ2215" s="14"/>
      <c r="CA2215" s="14"/>
      <c r="CB2215" s="14"/>
      <c r="CC2215" s="14"/>
      <c r="CD2215" s="14"/>
      <c r="CE2215" s="14"/>
      <c r="CF2215" s="15"/>
      <c r="CG2215" s="14"/>
      <c r="CH2215" s="14"/>
      <c r="CI2215" s="50"/>
      <c r="CJ2215" s="54"/>
      <c r="CK2215" s="14"/>
      <c r="CL2215" s="14"/>
      <c r="CM2215" s="14"/>
      <c r="CN2215" s="14"/>
      <c r="CO2215" s="14"/>
      <c r="CP2215" s="14"/>
      <c r="CQ2215" s="14"/>
      <c r="CR2215" s="14"/>
      <c r="CS2215" s="14"/>
      <c r="CT2215" s="14"/>
      <c r="CU2215" s="16"/>
      <c r="CV2215" s="14"/>
      <c r="CW2215" s="50"/>
      <c r="CX2215" s="17"/>
    </row>
    <row r="2216" spans="4:102" x14ac:dyDescent="0.25">
      <c r="D2216" s="11"/>
      <c r="E2216" s="11"/>
      <c r="F2216" s="11"/>
      <c r="G2216" s="11"/>
      <c r="H2216" s="11"/>
      <c r="I2216" s="11"/>
      <c r="J2216" s="11"/>
      <c r="K2216" s="11"/>
      <c r="L2216" s="11"/>
      <c r="M2216" s="11"/>
      <c r="N2216" s="11"/>
      <c r="O2216" s="11"/>
      <c r="P2216" s="43"/>
      <c r="Q2216" s="11"/>
      <c r="R2216" s="11"/>
      <c r="S2216" s="11"/>
      <c r="T2216" s="11"/>
      <c r="U2216" s="11"/>
      <c r="V2216" s="11"/>
      <c r="W2216" s="11"/>
      <c r="X2216" s="12"/>
      <c r="Y2216" s="12"/>
      <c r="Z2216" s="12"/>
      <c r="AA2216" s="44"/>
      <c r="AB2216" s="45"/>
      <c r="AC2216" s="12"/>
      <c r="AD2216" s="12"/>
      <c r="AE2216" s="12"/>
      <c r="AF2216" s="12"/>
      <c r="AG2216" s="44"/>
      <c r="AH2216" s="45"/>
      <c r="AI2216" s="12"/>
      <c r="AJ2216" s="12"/>
      <c r="AK2216" s="12"/>
      <c r="AL2216" s="12"/>
      <c r="AM2216" s="44"/>
      <c r="AN2216" s="45"/>
      <c r="AO2216" s="12"/>
      <c r="AP2216" s="12"/>
      <c r="AQ2216" s="12"/>
      <c r="AR2216" s="12"/>
      <c r="AS2216" s="44"/>
      <c r="AT2216" s="45"/>
      <c r="AU2216" s="12"/>
      <c r="AV2216" s="12"/>
      <c r="AW2216" s="12"/>
      <c r="AX2216" s="12"/>
      <c r="AY2216" s="44"/>
      <c r="AZ2216" s="45"/>
      <c r="BA2216" s="12"/>
      <c r="BB2216" s="12"/>
      <c r="BC2216" s="12"/>
      <c r="BD2216" s="12"/>
      <c r="BE2216" s="44"/>
      <c r="BF2216" s="45"/>
      <c r="BG2216" s="12"/>
      <c r="BH2216" s="12"/>
      <c r="BI2216" s="12"/>
      <c r="BJ2216" s="12"/>
      <c r="BK2216" s="44"/>
      <c r="BL2216" s="45"/>
      <c r="BM2216" s="12"/>
      <c r="BN2216" s="12"/>
      <c r="BO2216" s="12"/>
      <c r="BP2216" s="12"/>
      <c r="BQ2216" s="48"/>
      <c r="BR2216" s="49"/>
      <c r="BS2216" s="13"/>
      <c r="BT2216" s="12"/>
      <c r="BV2216" s="14"/>
      <c r="BW2216" s="50"/>
      <c r="BX2216" s="54"/>
      <c r="BY2216" s="14"/>
      <c r="BZ2216" s="14"/>
      <c r="CA2216" s="14"/>
      <c r="CB2216" s="14"/>
      <c r="CC2216" s="14"/>
      <c r="CD2216" s="14"/>
      <c r="CE2216" s="14"/>
      <c r="CF2216" s="15"/>
      <c r="CG2216" s="14"/>
      <c r="CH2216" s="14"/>
      <c r="CI2216" s="50"/>
      <c r="CJ2216" s="54"/>
      <c r="CK2216" s="14"/>
      <c r="CL2216" s="14"/>
      <c r="CM2216" s="14"/>
      <c r="CN2216" s="14"/>
      <c r="CO2216" s="14"/>
      <c r="CP2216" s="14"/>
      <c r="CQ2216" s="14"/>
      <c r="CR2216" s="14"/>
      <c r="CS2216" s="14"/>
      <c r="CT2216" s="14"/>
      <c r="CU2216" s="16"/>
      <c r="CV2216" s="14"/>
      <c r="CW2216" s="50"/>
      <c r="CX2216" s="17"/>
    </row>
    <row r="2217" spans="4:102" x14ac:dyDescent="0.25">
      <c r="D2217" s="11"/>
      <c r="E2217" s="11"/>
      <c r="F2217" s="11"/>
      <c r="G2217" s="11"/>
      <c r="H2217" s="11"/>
      <c r="I2217" s="11"/>
      <c r="J2217" s="11"/>
      <c r="K2217" s="11"/>
      <c r="L2217" s="11"/>
      <c r="M2217" s="11"/>
      <c r="N2217" s="11"/>
      <c r="O2217" s="11"/>
      <c r="P2217" s="43"/>
      <c r="Q2217" s="11"/>
      <c r="R2217" s="11"/>
      <c r="S2217" s="11"/>
      <c r="T2217" s="11"/>
      <c r="U2217" s="11"/>
      <c r="V2217" s="11"/>
      <c r="W2217" s="11"/>
      <c r="X2217" s="12"/>
      <c r="Y2217" s="12"/>
      <c r="Z2217" s="12"/>
      <c r="AA2217" s="44"/>
      <c r="AB2217" s="45"/>
      <c r="AC2217" s="12"/>
      <c r="AD2217" s="12"/>
      <c r="AE2217" s="12"/>
      <c r="AF2217" s="12"/>
      <c r="AG2217" s="44"/>
      <c r="AH2217" s="45"/>
      <c r="AI2217" s="12"/>
      <c r="AJ2217" s="12"/>
      <c r="AK2217" s="12"/>
      <c r="AL2217" s="12"/>
      <c r="AM2217" s="44"/>
      <c r="AN2217" s="45"/>
      <c r="AO2217" s="12"/>
      <c r="AP2217" s="12"/>
      <c r="AQ2217" s="12"/>
      <c r="AR2217" s="12"/>
      <c r="AS2217" s="44"/>
      <c r="AT2217" s="45"/>
      <c r="AU2217" s="12"/>
      <c r="AV2217" s="12"/>
      <c r="AW2217" s="12"/>
      <c r="AX2217" s="12"/>
      <c r="AY2217" s="44"/>
      <c r="AZ2217" s="45"/>
      <c r="BA2217" s="12"/>
      <c r="BB2217" s="12"/>
      <c r="BC2217" s="12"/>
      <c r="BD2217" s="12"/>
      <c r="BE2217" s="44"/>
      <c r="BF2217" s="45"/>
      <c r="BG2217" s="12"/>
      <c r="BH2217" s="12"/>
      <c r="BI2217" s="12"/>
      <c r="BJ2217" s="12"/>
      <c r="BK2217" s="44"/>
      <c r="BL2217" s="45"/>
      <c r="BM2217" s="12"/>
      <c r="BN2217" s="12"/>
      <c r="BO2217" s="12"/>
      <c r="BP2217" s="12"/>
      <c r="BQ2217" s="48"/>
      <c r="BR2217" s="49"/>
      <c r="BS2217" s="13"/>
      <c r="BT2217" s="12"/>
      <c r="BV2217" s="14"/>
      <c r="BW2217" s="50"/>
      <c r="BX2217" s="54"/>
      <c r="BY2217" s="14"/>
      <c r="BZ2217" s="14"/>
      <c r="CA2217" s="14"/>
      <c r="CB2217" s="14"/>
      <c r="CC2217" s="14"/>
      <c r="CD2217" s="14"/>
      <c r="CE2217" s="14"/>
      <c r="CF2217" s="15"/>
      <c r="CG2217" s="14"/>
      <c r="CH2217" s="14"/>
      <c r="CI2217" s="50"/>
      <c r="CJ2217" s="54"/>
      <c r="CK2217" s="14"/>
      <c r="CL2217" s="14"/>
      <c r="CM2217" s="14"/>
      <c r="CN2217" s="14"/>
      <c r="CO2217" s="14"/>
      <c r="CP2217" s="14"/>
      <c r="CQ2217" s="14"/>
      <c r="CR2217" s="14"/>
      <c r="CS2217" s="14"/>
      <c r="CT2217" s="14"/>
      <c r="CU2217" s="16"/>
      <c r="CV2217" s="14"/>
      <c r="CW2217" s="50"/>
      <c r="CX2217" s="17"/>
    </row>
    <row r="2218" spans="4:102" x14ac:dyDescent="0.25">
      <c r="D2218" s="11"/>
      <c r="E2218" s="11"/>
      <c r="F2218" s="11"/>
      <c r="G2218" s="11"/>
      <c r="H2218" s="11"/>
      <c r="I2218" s="11"/>
      <c r="J2218" s="11"/>
      <c r="K2218" s="11"/>
      <c r="L2218" s="11"/>
      <c r="M2218" s="11"/>
      <c r="N2218" s="11"/>
      <c r="O2218" s="11"/>
      <c r="P2218" s="43"/>
      <c r="Q2218" s="11"/>
      <c r="R2218" s="11"/>
      <c r="S2218" s="11"/>
      <c r="T2218" s="11"/>
      <c r="U2218" s="11"/>
      <c r="V2218" s="11"/>
      <c r="W2218" s="11"/>
      <c r="X2218" s="12"/>
      <c r="Y2218" s="12"/>
      <c r="Z2218" s="12"/>
      <c r="AA2218" s="44"/>
      <c r="AB2218" s="45"/>
      <c r="AC2218" s="12"/>
      <c r="AD2218" s="12"/>
      <c r="AE2218" s="12"/>
      <c r="AF2218" s="12"/>
      <c r="AG2218" s="44"/>
      <c r="AH2218" s="45"/>
      <c r="AI2218" s="12"/>
      <c r="AJ2218" s="12"/>
      <c r="AK2218" s="12"/>
      <c r="AL2218" s="12"/>
      <c r="AM2218" s="44"/>
      <c r="AN2218" s="45"/>
      <c r="AO2218" s="12"/>
      <c r="AP2218" s="12"/>
      <c r="AQ2218" s="12"/>
      <c r="AR2218" s="12"/>
      <c r="AS2218" s="44"/>
      <c r="AT2218" s="45"/>
      <c r="AU2218" s="12"/>
      <c r="AV2218" s="12"/>
      <c r="AW2218" s="12"/>
      <c r="AX2218" s="12"/>
      <c r="AY2218" s="44"/>
      <c r="AZ2218" s="45"/>
      <c r="BA2218" s="12"/>
      <c r="BB2218" s="12"/>
      <c r="BC2218" s="12"/>
      <c r="BD2218" s="12"/>
      <c r="BE2218" s="44"/>
      <c r="BF2218" s="45"/>
      <c r="BG2218" s="12"/>
      <c r="BH2218" s="12"/>
      <c r="BI2218" s="12"/>
      <c r="BJ2218" s="12"/>
      <c r="BK2218" s="44"/>
      <c r="BL2218" s="45"/>
      <c r="BM2218" s="12"/>
      <c r="BN2218" s="12"/>
      <c r="BO2218" s="12"/>
      <c r="BP2218" s="12"/>
      <c r="BQ2218" s="48"/>
      <c r="BR2218" s="49"/>
      <c r="BS2218" s="13"/>
      <c r="BT2218" s="12"/>
      <c r="BV2218" s="14"/>
      <c r="BW2218" s="50"/>
      <c r="BX2218" s="54"/>
      <c r="BY2218" s="14"/>
      <c r="BZ2218" s="14"/>
      <c r="CA2218" s="14"/>
      <c r="CB2218" s="14"/>
      <c r="CC2218" s="14"/>
      <c r="CD2218" s="14"/>
      <c r="CE2218" s="14"/>
      <c r="CF2218" s="15"/>
      <c r="CG2218" s="14"/>
      <c r="CH2218" s="14"/>
      <c r="CI2218" s="50"/>
      <c r="CJ2218" s="54"/>
      <c r="CK2218" s="14"/>
      <c r="CL2218" s="14"/>
      <c r="CM2218" s="14"/>
      <c r="CN2218" s="14"/>
      <c r="CO2218" s="14"/>
      <c r="CP2218" s="14"/>
      <c r="CQ2218" s="14"/>
      <c r="CR2218" s="14"/>
      <c r="CS2218" s="14"/>
      <c r="CT2218" s="14"/>
      <c r="CU2218" s="16"/>
      <c r="CV2218" s="14"/>
      <c r="CW2218" s="50"/>
      <c r="CX2218" s="17"/>
    </row>
    <row r="2219" spans="4:102" x14ac:dyDescent="0.25">
      <c r="D2219" s="11"/>
      <c r="E2219" s="11"/>
      <c r="F2219" s="11"/>
      <c r="G2219" s="11"/>
      <c r="H2219" s="11"/>
      <c r="I2219" s="11"/>
      <c r="J2219" s="11"/>
      <c r="K2219" s="11"/>
      <c r="L2219" s="11"/>
      <c r="M2219" s="11"/>
      <c r="N2219" s="11"/>
      <c r="O2219" s="11"/>
      <c r="P2219" s="43"/>
      <c r="Q2219" s="11"/>
      <c r="R2219" s="11"/>
      <c r="S2219" s="11"/>
      <c r="T2219" s="11"/>
      <c r="U2219" s="11"/>
      <c r="V2219" s="11"/>
      <c r="W2219" s="11"/>
      <c r="X2219" s="12"/>
      <c r="Y2219" s="12"/>
      <c r="Z2219" s="12"/>
      <c r="AA2219" s="44"/>
      <c r="AB2219" s="45"/>
      <c r="AC2219" s="12"/>
      <c r="AD2219" s="12"/>
      <c r="AE2219" s="12"/>
      <c r="AF2219" s="12"/>
      <c r="AG2219" s="44"/>
      <c r="AH2219" s="45"/>
      <c r="AI2219" s="12"/>
      <c r="AJ2219" s="12"/>
      <c r="AK2219" s="12"/>
      <c r="AL2219" s="12"/>
      <c r="AM2219" s="44"/>
      <c r="AN2219" s="45"/>
      <c r="AO2219" s="12"/>
      <c r="AP2219" s="12"/>
      <c r="AQ2219" s="12"/>
      <c r="AR2219" s="12"/>
      <c r="AS2219" s="44"/>
      <c r="AT2219" s="45"/>
      <c r="AU2219" s="12"/>
      <c r="AV2219" s="12"/>
      <c r="AW2219" s="12"/>
      <c r="AX2219" s="12"/>
      <c r="AY2219" s="44"/>
      <c r="AZ2219" s="45"/>
      <c r="BA2219" s="12"/>
      <c r="BB2219" s="12"/>
      <c r="BC2219" s="12"/>
      <c r="BD2219" s="12"/>
      <c r="BE2219" s="44"/>
      <c r="BF2219" s="45"/>
      <c r="BG2219" s="12"/>
      <c r="BH2219" s="12"/>
      <c r="BI2219" s="12"/>
      <c r="BJ2219" s="12"/>
      <c r="BK2219" s="44"/>
      <c r="BL2219" s="45"/>
      <c r="BM2219" s="12"/>
      <c r="BN2219" s="12"/>
      <c r="BO2219" s="12"/>
      <c r="BP2219" s="12"/>
      <c r="BQ2219" s="48"/>
      <c r="BR2219" s="49"/>
      <c r="BS2219" s="13"/>
      <c r="BT2219" s="12"/>
      <c r="BV2219" s="14"/>
      <c r="BW2219" s="50"/>
      <c r="BX2219" s="54"/>
      <c r="BY2219" s="14"/>
      <c r="BZ2219" s="14"/>
      <c r="CA2219" s="14"/>
      <c r="CB2219" s="14"/>
      <c r="CC2219" s="14"/>
      <c r="CD2219" s="14"/>
      <c r="CE2219" s="14"/>
      <c r="CF2219" s="15"/>
      <c r="CG2219" s="14"/>
      <c r="CH2219" s="14"/>
      <c r="CI2219" s="50"/>
      <c r="CJ2219" s="54"/>
      <c r="CK2219" s="14"/>
      <c r="CL2219" s="14"/>
      <c r="CM2219" s="14"/>
      <c r="CN2219" s="14"/>
      <c r="CO2219" s="14"/>
      <c r="CP2219" s="14"/>
      <c r="CQ2219" s="14"/>
      <c r="CR2219" s="14"/>
      <c r="CS2219" s="14"/>
      <c r="CT2219" s="14"/>
      <c r="CU2219" s="16"/>
      <c r="CV2219" s="14"/>
      <c r="CW2219" s="50"/>
      <c r="CX2219" s="17"/>
    </row>
    <row r="2220" spans="4:102" x14ac:dyDescent="0.25">
      <c r="D2220" s="11"/>
      <c r="E2220" s="11"/>
      <c r="F2220" s="11"/>
      <c r="G2220" s="11"/>
      <c r="H2220" s="11"/>
      <c r="I2220" s="11"/>
      <c r="J2220" s="11"/>
      <c r="K2220" s="11"/>
      <c r="L2220" s="11"/>
      <c r="M2220" s="11"/>
      <c r="N2220" s="11"/>
      <c r="O2220" s="11"/>
      <c r="P2220" s="43"/>
      <c r="Q2220" s="11"/>
      <c r="R2220" s="11"/>
      <c r="S2220" s="11"/>
      <c r="T2220" s="11"/>
      <c r="U2220" s="11"/>
      <c r="V2220" s="11"/>
      <c r="W2220" s="11"/>
      <c r="X2220" s="12"/>
      <c r="Y2220" s="12"/>
      <c r="Z2220" s="12"/>
      <c r="AA2220" s="44"/>
      <c r="AB2220" s="45"/>
      <c r="AC2220" s="12"/>
      <c r="AD2220" s="12"/>
      <c r="AE2220" s="12"/>
      <c r="AF2220" s="12"/>
      <c r="AG2220" s="44"/>
      <c r="AH2220" s="45"/>
      <c r="AI2220" s="12"/>
      <c r="AJ2220" s="12"/>
      <c r="AK2220" s="12"/>
      <c r="AL2220" s="12"/>
      <c r="AM2220" s="44"/>
      <c r="AN2220" s="45"/>
      <c r="AO2220" s="12"/>
      <c r="AP2220" s="12"/>
      <c r="AQ2220" s="12"/>
      <c r="AR2220" s="12"/>
      <c r="AS2220" s="44"/>
      <c r="AT2220" s="45"/>
      <c r="AU2220" s="12"/>
      <c r="AV2220" s="12"/>
      <c r="AW2220" s="12"/>
      <c r="AX2220" s="12"/>
      <c r="AY2220" s="44"/>
      <c r="AZ2220" s="45"/>
      <c r="BA2220" s="12"/>
      <c r="BB2220" s="12"/>
      <c r="BC2220" s="12"/>
      <c r="BD2220" s="12"/>
      <c r="BE2220" s="44"/>
      <c r="BF2220" s="45"/>
      <c r="BG2220" s="12"/>
      <c r="BH2220" s="12"/>
      <c r="BI2220" s="12"/>
      <c r="BJ2220" s="12"/>
      <c r="BK2220" s="44"/>
      <c r="BL2220" s="45"/>
      <c r="BM2220" s="12"/>
      <c r="BN2220" s="12"/>
      <c r="BO2220" s="12"/>
      <c r="BP2220" s="12"/>
      <c r="BQ2220" s="48"/>
      <c r="BR2220" s="49"/>
      <c r="BS2220" s="13"/>
      <c r="BT2220" s="12"/>
      <c r="BV2220" s="14"/>
      <c r="BW2220" s="50"/>
      <c r="BX2220" s="54"/>
      <c r="BY2220" s="14"/>
      <c r="BZ2220" s="14"/>
      <c r="CA2220" s="14"/>
      <c r="CB2220" s="14"/>
      <c r="CC2220" s="14"/>
      <c r="CD2220" s="14"/>
      <c r="CE2220" s="14"/>
      <c r="CF2220" s="15"/>
      <c r="CG2220" s="14"/>
      <c r="CH2220" s="14"/>
      <c r="CI2220" s="50"/>
      <c r="CJ2220" s="54"/>
      <c r="CK2220" s="14"/>
      <c r="CL2220" s="14"/>
      <c r="CM2220" s="14"/>
      <c r="CN2220" s="14"/>
      <c r="CO2220" s="14"/>
      <c r="CP2220" s="14"/>
      <c r="CQ2220" s="14"/>
      <c r="CR2220" s="14"/>
      <c r="CS2220" s="14"/>
      <c r="CT2220" s="14"/>
      <c r="CU2220" s="16"/>
      <c r="CV2220" s="14"/>
      <c r="CW2220" s="50"/>
      <c r="CX2220" s="17"/>
    </row>
    <row r="2221" spans="4:102" x14ac:dyDescent="0.25">
      <c r="D2221" s="11"/>
      <c r="E2221" s="11"/>
      <c r="F2221" s="11"/>
      <c r="G2221" s="11"/>
      <c r="H2221" s="11"/>
      <c r="I2221" s="11"/>
      <c r="J2221" s="11"/>
      <c r="K2221" s="11"/>
      <c r="L2221" s="11"/>
      <c r="M2221" s="11"/>
      <c r="N2221" s="11"/>
      <c r="O2221" s="11"/>
      <c r="P2221" s="43"/>
      <c r="Q2221" s="11"/>
      <c r="R2221" s="11"/>
      <c r="S2221" s="11"/>
      <c r="T2221" s="11"/>
      <c r="U2221" s="11"/>
      <c r="V2221" s="11"/>
      <c r="W2221" s="11"/>
      <c r="X2221" s="12"/>
      <c r="Y2221" s="12"/>
      <c r="Z2221" s="12"/>
      <c r="AA2221" s="44"/>
      <c r="AB2221" s="45"/>
      <c r="AC2221" s="12"/>
      <c r="AD2221" s="12"/>
      <c r="AE2221" s="12"/>
      <c r="AF2221" s="12"/>
      <c r="AG2221" s="44"/>
      <c r="AH2221" s="45"/>
      <c r="AI2221" s="12"/>
      <c r="AJ2221" s="12"/>
      <c r="AK2221" s="12"/>
      <c r="AL2221" s="12"/>
      <c r="AM2221" s="44"/>
      <c r="AN2221" s="45"/>
      <c r="AO2221" s="12"/>
      <c r="AP2221" s="12"/>
      <c r="AQ2221" s="12"/>
      <c r="AR2221" s="12"/>
      <c r="AS2221" s="44"/>
      <c r="AT2221" s="45"/>
      <c r="AU2221" s="12"/>
      <c r="AV2221" s="12"/>
      <c r="AW2221" s="12"/>
      <c r="AX2221" s="12"/>
      <c r="AY2221" s="44"/>
      <c r="AZ2221" s="45"/>
      <c r="BA2221" s="12"/>
      <c r="BB2221" s="12"/>
      <c r="BC2221" s="12"/>
      <c r="BD2221" s="12"/>
      <c r="BE2221" s="44"/>
      <c r="BF2221" s="45"/>
      <c r="BG2221" s="12"/>
      <c r="BH2221" s="12"/>
      <c r="BI2221" s="12"/>
      <c r="BJ2221" s="12"/>
      <c r="BK2221" s="44"/>
      <c r="BL2221" s="45"/>
      <c r="BM2221" s="12"/>
      <c r="BN2221" s="12"/>
      <c r="BO2221" s="12"/>
      <c r="BP2221" s="12"/>
      <c r="BQ2221" s="48"/>
      <c r="BR2221" s="49"/>
      <c r="BS2221" s="13"/>
      <c r="BT2221" s="12"/>
      <c r="BV2221" s="14"/>
      <c r="BW2221" s="50"/>
      <c r="BX2221" s="54"/>
      <c r="BY2221" s="14"/>
      <c r="BZ2221" s="14"/>
      <c r="CA2221" s="14"/>
      <c r="CB2221" s="14"/>
      <c r="CC2221" s="14"/>
      <c r="CD2221" s="14"/>
      <c r="CE2221" s="14"/>
      <c r="CF2221" s="15"/>
      <c r="CG2221" s="14"/>
      <c r="CH2221" s="14"/>
      <c r="CI2221" s="50"/>
      <c r="CJ2221" s="54"/>
      <c r="CK2221" s="14"/>
      <c r="CL2221" s="14"/>
      <c r="CM2221" s="14"/>
      <c r="CN2221" s="14"/>
      <c r="CO2221" s="14"/>
      <c r="CP2221" s="14"/>
      <c r="CQ2221" s="14"/>
      <c r="CR2221" s="14"/>
      <c r="CS2221" s="14"/>
      <c r="CT2221" s="14"/>
      <c r="CU2221" s="16"/>
      <c r="CV2221" s="14"/>
      <c r="CW2221" s="50"/>
      <c r="CX2221" s="17"/>
    </row>
    <row r="2222" spans="4:102" x14ac:dyDescent="0.25">
      <c r="D2222" s="11"/>
      <c r="E2222" s="11"/>
      <c r="F2222" s="11"/>
      <c r="G2222" s="11"/>
      <c r="H2222" s="11"/>
      <c r="I2222" s="11"/>
      <c r="J2222" s="11"/>
      <c r="K2222" s="11"/>
      <c r="L2222" s="11"/>
      <c r="M2222" s="11"/>
      <c r="N2222" s="11"/>
      <c r="O2222" s="11"/>
      <c r="P2222" s="43"/>
      <c r="Q2222" s="11"/>
      <c r="R2222" s="11"/>
      <c r="S2222" s="11"/>
      <c r="T2222" s="11"/>
      <c r="U2222" s="11"/>
      <c r="V2222" s="11"/>
      <c r="W2222" s="11"/>
      <c r="X2222" s="12"/>
      <c r="Y2222" s="12"/>
      <c r="Z2222" s="12"/>
      <c r="AA2222" s="44"/>
      <c r="AB2222" s="45"/>
      <c r="AC2222" s="12"/>
      <c r="AD2222" s="12"/>
      <c r="AE2222" s="12"/>
      <c r="AF2222" s="12"/>
      <c r="AG2222" s="44"/>
      <c r="AH2222" s="45"/>
      <c r="AI2222" s="12"/>
      <c r="AJ2222" s="12"/>
      <c r="AK2222" s="12"/>
      <c r="AL2222" s="12"/>
      <c r="AM2222" s="44"/>
      <c r="AN2222" s="45"/>
      <c r="AO2222" s="12"/>
      <c r="AP2222" s="12"/>
      <c r="AQ2222" s="12"/>
      <c r="AR2222" s="12"/>
      <c r="AS2222" s="44"/>
      <c r="AT2222" s="45"/>
      <c r="AU2222" s="12"/>
      <c r="AV2222" s="12"/>
      <c r="AW2222" s="12"/>
      <c r="AX2222" s="12"/>
      <c r="AY2222" s="44"/>
      <c r="AZ2222" s="45"/>
      <c r="BA2222" s="12"/>
      <c r="BB2222" s="12"/>
      <c r="BC2222" s="12"/>
      <c r="BD2222" s="12"/>
      <c r="BE2222" s="44"/>
      <c r="BF2222" s="45"/>
      <c r="BG2222" s="12"/>
      <c r="BH2222" s="12"/>
      <c r="BI2222" s="12"/>
      <c r="BJ2222" s="12"/>
      <c r="BK2222" s="44"/>
      <c r="BL2222" s="45"/>
      <c r="BM2222" s="12"/>
      <c r="BN2222" s="12"/>
      <c r="BO2222" s="12"/>
      <c r="BP2222" s="12"/>
      <c r="BQ2222" s="48"/>
      <c r="BR2222" s="49"/>
      <c r="BS2222" s="13"/>
      <c r="BT2222" s="12"/>
      <c r="BV2222" s="14"/>
      <c r="BW2222" s="50"/>
      <c r="BX2222" s="54"/>
      <c r="BY2222" s="14"/>
      <c r="BZ2222" s="14"/>
      <c r="CA2222" s="14"/>
      <c r="CB2222" s="14"/>
      <c r="CC2222" s="14"/>
      <c r="CD2222" s="14"/>
      <c r="CE2222" s="14"/>
      <c r="CF2222" s="15"/>
      <c r="CG2222" s="14"/>
      <c r="CH2222" s="14"/>
      <c r="CI2222" s="50"/>
      <c r="CJ2222" s="54"/>
      <c r="CK2222" s="14"/>
      <c r="CL2222" s="14"/>
      <c r="CM2222" s="14"/>
      <c r="CN2222" s="14"/>
      <c r="CO2222" s="14"/>
      <c r="CP2222" s="14"/>
      <c r="CQ2222" s="14"/>
      <c r="CR2222" s="14"/>
      <c r="CS2222" s="14"/>
      <c r="CT2222" s="14"/>
      <c r="CU2222" s="16"/>
      <c r="CV2222" s="14"/>
      <c r="CW2222" s="50"/>
      <c r="CX2222" s="17"/>
    </row>
    <row r="2223" spans="4:102" x14ac:dyDescent="0.25">
      <c r="D2223" s="11"/>
      <c r="E2223" s="11"/>
      <c r="F2223" s="11"/>
      <c r="G2223" s="11"/>
      <c r="H2223" s="11"/>
      <c r="I2223" s="11"/>
      <c r="J2223" s="11"/>
      <c r="K2223" s="11"/>
      <c r="L2223" s="11"/>
      <c r="M2223" s="11"/>
      <c r="N2223" s="11"/>
      <c r="O2223" s="11"/>
      <c r="P2223" s="43"/>
      <c r="Q2223" s="11"/>
      <c r="R2223" s="11"/>
      <c r="S2223" s="11"/>
      <c r="T2223" s="11"/>
      <c r="U2223" s="11"/>
      <c r="V2223" s="11"/>
      <c r="W2223" s="11"/>
      <c r="X2223" s="12"/>
      <c r="Y2223" s="12"/>
      <c r="Z2223" s="12"/>
      <c r="AA2223" s="44"/>
      <c r="AB2223" s="45"/>
      <c r="AC2223" s="12"/>
      <c r="AD2223" s="12"/>
      <c r="AE2223" s="12"/>
      <c r="AF2223" s="12"/>
      <c r="AG2223" s="44"/>
      <c r="AH2223" s="45"/>
      <c r="AI2223" s="12"/>
      <c r="AJ2223" s="12"/>
      <c r="AK2223" s="12"/>
      <c r="AL2223" s="12"/>
      <c r="AM2223" s="44"/>
      <c r="AN2223" s="45"/>
      <c r="AO2223" s="12"/>
      <c r="AP2223" s="12"/>
      <c r="AQ2223" s="12"/>
      <c r="AR2223" s="12"/>
      <c r="AS2223" s="44"/>
      <c r="AT2223" s="45"/>
      <c r="AU2223" s="12"/>
      <c r="AV2223" s="12"/>
      <c r="AW2223" s="12"/>
      <c r="AX2223" s="12"/>
      <c r="AY2223" s="44"/>
      <c r="AZ2223" s="45"/>
      <c r="BA2223" s="12"/>
      <c r="BB2223" s="12"/>
      <c r="BC2223" s="12"/>
      <c r="BD2223" s="12"/>
      <c r="BE2223" s="44"/>
      <c r="BF2223" s="45"/>
      <c r="BG2223" s="12"/>
      <c r="BH2223" s="12"/>
      <c r="BI2223" s="12"/>
      <c r="BJ2223" s="12"/>
      <c r="BK2223" s="44"/>
      <c r="BL2223" s="45"/>
      <c r="BM2223" s="12"/>
      <c r="BN2223" s="12"/>
      <c r="BO2223" s="12"/>
      <c r="BP2223" s="12"/>
      <c r="BQ2223" s="48"/>
      <c r="BR2223" s="49"/>
      <c r="BS2223" s="13"/>
      <c r="BT2223" s="12"/>
      <c r="BV2223" s="14"/>
      <c r="BW2223" s="50"/>
      <c r="BX2223" s="54"/>
      <c r="BY2223" s="14"/>
      <c r="BZ2223" s="14"/>
      <c r="CA2223" s="14"/>
      <c r="CB2223" s="14"/>
      <c r="CC2223" s="14"/>
      <c r="CD2223" s="14"/>
      <c r="CE2223" s="14"/>
      <c r="CF2223" s="15"/>
      <c r="CG2223" s="14"/>
      <c r="CH2223" s="14"/>
      <c r="CI2223" s="50"/>
      <c r="CJ2223" s="54"/>
      <c r="CK2223" s="14"/>
      <c r="CL2223" s="14"/>
      <c r="CM2223" s="14"/>
      <c r="CN2223" s="14"/>
      <c r="CO2223" s="14"/>
      <c r="CP2223" s="14"/>
      <c r="CQ2223" s="14"/>
      <c r="CR2223" s="14"/>
      <c r="CS2223" s="14"/>
      <c r="CT2223" s="14"/>
      <c r="CU2223" s="16"/>
      <c r="CV2223" s="14"/>
      <c r="CW2223" s="50"/>
      <c r="CX2223" s="17"/>
    </row>
    <row r="2224" spans="4:102" x14ac:dyDescent="0.25">
      <c r="D2224" s="11"/>
      <c r="E2224" s="11"/>
      <c r="F2224" s="11"/>
      <c r="G2224" s="11"/>
      <c r="H2224" s="11"/>
      <c r="I2224" s="11"/>
      <c r="J2224" s="11"/>
      <c r="K2224" s="11"/>
      <c r="L2224" s="11"/>
      <c r="M2224" s="11"/>
      <c r="N2224" s="11"/>
      <c r="O2224" s="11"/>
      <c r="P2224" s="43"/>
      <c r="Q2224" s="11"/>
      <c r="R2224" s="11"/>
      <c r="S2224" s="11"/>
      <c r="T2224" s="11"/>
      <c r="U2224" s="11"/>
      <c r="V2224" s="11"/>
      <c r="W2224" s="11"/>
      <c r="X2224" s="12"/>
      <c r="Y2224" s="12"/>
      <c r="Z2224" s="12"/>
      <c r="AA2224" s="44"/>
      <c r="AB2224" s="45"/>
      <c r="AC2224" s="12"/>
      <c r="AD2224" s="12"/>
      <c r="AE2224" s="12"/>
      <c r="AF2224" s="12"/>
      <c r="AG2224" s="44"/>
      <c r="AH2224" s="45"/>
      <c r="AI2224" s="12"/>
      <c r="AJ2224" s="12"/>
      <c r="AK2224" s="12"/>
      <c r="AL2224" s="12"/>
      <c r="AM2224" s="44"/>
      <c r="AN2224" s="45"/>
      <c r="AO2224" s="12"/>
      <c r="AP2224" s="12"/>
      <c r="AQ2224" s="12"/>
      <c r="AR2224" s="12"/>
      <c r="AS2224" s="44"/>
      <c r="AT2224" s="45"/>
      <c r="AU2224" s="12"/>
      <c r="AV2224" s="12"/>
      <c r="AW2224" s="12"/>
      <c r="AX2224" s="12"/>
      <c r="AY2224" s="44"/>
      <c r="AZ2224" s="45"/>
      <c r="BA2224" s="12"/>
      <c r="BB2224" s="12"/>
      <c r="BC2224" s="12"/>
      <c r="BD2224" s="12"/>
      <c r="BE2224" s="44"/>
      <c r="BF2224" s="45"/>
      <c r="BG2224" s="12"/>
      <c r="BH2224" s="12"/>
      <c r="BI2224" s="12"/>
      <c r="BJ2224" s="12"/>
      <c r="BK2224" s="44"/>
      <c r="BL2224" s="45"/>
      <c r="BM2224" s="12"/>
      <c r="BN2224" s="12"/>
      <c r="BO2224" s="12"/>
      <c r="BP2224" s="12"/>
      <c r="BQ2224" s="48"/>
      <c r="BR2224" s="49"/>
      <c r="BS2224" s="13"/>
      <c r="BT2224" s="12"/>
      <c r="BV2224" s="14"/>
      <c r="BW2224" s="50"/>
      <c r="BX2224" s="54"/>
      <c r="BY2224" s="14"/>
      <c r="BZ2224" s="14"/>
      <c r="CA2224" s="14"/>
      <c r="CB2224" s="14"/>
      <c r="CC2224" s="14"/>
      <c r="CD2224" s="14"/>
      <c r="CE2224" s="14"/>
      <c r="CF2224" s="15"/>
      <c r="CG2224" s="14"/>
      <c r="CH2224" s="14"/>
      <c r="CI2224" s="50"/>
      <c r="CJ2224" s="54"/>
      <c r="CK2224" s="14"/>
      <c r="CL2224" s="14"/>
      <c r="CM2224" s="14"/>
      <c r="CN2224" s="14"/>
      <c r="CO2224" s="14"/>
      <c r="CP2224" s="14"/>
      <c r="CQ2224" s="14"/>
      <c r="CR2224" s="14"/>
      <c r="CS2224" s="14"/>
      <c r="CT2224" s="14"/>
      <c r="CU2224" s="16"/>
      <c r="CV2224" s="14"/>
      <c r="CW2224" s="50"/>
      <c r="CX2224" s="17"/>
    </row>
    <row r="2225" spans="4:102" x14ac:dyDescent="0.25">
      <c r="D2225" s="11"/>
      <c r="E2225" s="11"/>
      <c r="F2225" s="11"/>
      <c r="G2225" s="11"/>
      <c r="H2225" s="11"/>
      <c r="I2225" s="11"/>
      <c r="J2225" s="11"/>
      <c r="K2225" s="11"/>
      <c r="L2225" s="11"/>
      <c r="M2225" s="11"/>
      <c r="N2225" s="11"/>
      <c r="O2225" s="11"/>
      <c r="P2225" s="43"/>
      <c r="Q2225" s="11"/>
      <c r="R2225" s="11"/>
      <c r="S2225" s="11"/>
      <c r="T2225" s="11"/>
      <c r="U2225" s="11"/>
      <c r="V2225" s="11"/>
      <c r="W2225" s="11"/>
      <c r="X2225" s="12"/>
      <c r="Y2225" s="12"/>
      <c r="Z2225" s="12"/>
      <c r="AA2225" s="44"/>
      <c r="AB2225" s="45"/>
      <c r="AC2225" s="12"/>
      <c r="AD2225" s="12"/>
      <c r="AE2225" s="12"/>
      <c r="AF2225" s="12"/>
      <c r="AG2225" s="44"/>
      <c r="AH2225" s="45"/>
      <c r="AI2225" s="12"/>
      <c r="AJ2225" s="12"/>
      <c r="AK2225" s="12"/>
      <c r="AL2225" s="12"/>
      <c r="AM2225" s="44"/>
      <c r="AN2225" s="45"/>
      <c r="AO2225" s="12"/>
      <c r="AP2225" s="12"/>
      <c r="AQ2225" s="12"/>
      <c r="AR2225" s="12"/>
      <c r="AS2225" s="44"/>
      <c r="AT2225" s="45"/>
      <c r="AU2225" s="12"/>
      <c r="AV2225" s="12"/>
      <c r="AW2225" s="12"/>
      <c r="AX2225" s="12"/>
      <c r="AY2225" s="44"/>
      <c r="AZ2225" s="45"/>
      <c r="BA2225" s="12"/>
      <c r="BB2225" s="12"/>
      <c r="BC2225" s="12"/>
      <c r="BD2225" s="12"/>
      <c r="BE2225" s="44"/>
      <c r="BF2225" s="45"/>
      <c r="BG2225" s="12"/>
      <c r="BH2225" s="12"/>
      <c r="BI2225" s="12"/>
      <c r="BJ2225" s="12"/>
      <c r="BK2225" s="44"/>
      <c r="BL2225" s="45"/>
      <c r="BM2225" s="12"/>
      <c r="BN2225" s="12"/>
      <c r="BO2225" s="12"/>
      <c r="BP2225" s="12"/>
      <c r="BQ2225" s="48"/>
      <c r="BR2225" s="49"/>
      <c r="BS2225" s="13"/>
      <c r="BT2225" s="12"/>
      <c r="BV2225" s="14"/>
      <c r="BW2225" s="50"/>
      <c r="BX2225" s="54"/>
      <c r="BY2225" s="14"/>
      <c r="BZ2225" s="14"/>
      <c r="CA2225" s="14"/>
      <c r="CB2225" s="14"/>
      <c r="CC2225" s="14"/>
      <c r="CD2225" s="14"/>
      <c r="CE2225" s="14"/>
      <c r="CF2225" s="15"/>
      <c r="CG2225" s="14"/>
      <c r="CH2225" s="14"/>
      <c r="CI2225" s="50"/>
      <c r="CJ2225" s="54"/>
      <c r="CK2225" s="14"/>
      <c r="CL2225" s="14"/>
      <c r="CM2225" s="14"/>
      <c r="CN2225" s="14"/>
      <c r="CO2225" s="14"/>
      <c r="CP2225" s="14"/>
      <c r="CQ2225" s="14"/>
      <c r="CR2225" s="14"/>
      <c r="CS2225" s="14"/>
      <c r="CT2225" s="14"/>
      <c r="CU2225" s="16"/>
      <c r="CV2225" s="14"/>
      <c r="CW2225" s="50"/>
      <c r="CX2225" s="17"/>
    </row>
    <row r="2226" spans="4:102" x14ac:dyDescent="0.25">
      <c r="D2226" s="11"/>
      <c r="E2226" s="11"/>
      <c r="F2226" s="11"/>
      <c r="G2226" s="11"/>
      <c r="H2226" s="11"/>
      <c r="I2226" s="11"/>
      <c r="J2226" s="11"/>
      <c r="K2226" s="11"/>
      <c r="L2226" s="11"/>
      <c r="M2226" s="11"/>
      <c r="N2226" s="11"/>
      <c r="O2226" s="11"/>
      <c r="P2226" s="43"/>
      <c r="Q2226" s="11"/>
      <c r="R2226" s="11"/>
      <c r="S2226" s="11"/>
      <c r="T2226" s="11"/>
      <c r="U2226" s="11"/>
      <c r="V2226" s="11"/>
      <c r="W2226" s="11"/>
      <c r="X2226" s="12"/>
      <c r="Y2226" s="12"/>
      <c r="Z2226" s="12"/>
      <c r="AA2226" s="44"/>
      <c r="AB2226" s="45"/>
      <c r="AC2226" s="12"/>
      <c r="AD2226" s="12"/>
      <c r="AE2226" s="12"/>
      <c r="AF2226" s="12"/>
      <c r="AG2226" s="44"/>
      <c r="AH2226" s="45"/>
      <c r="AI2226" s="12"/>
      <c r="AJ2226" s="12"/>
      <c r="AK2226" s="12"/>
      <c r="AL2226" s="12"/>
      <c r="AM2226" s="44"/>
      <c r="AN2226" s="45"/>
      <c r="AO2226" s="12"/>
      <c r="AP2226" s="12"/>
      <c r="AQ2226" s="12"/>
      <c r="AR2226" s="12"/>
      <c r="AS2226" s="44"/>
      <c r="AT2226" s="45"/>
      <c r="AU2226" s="12"/>
      <c r="AV2226" s="12"/>
      <c r="AW2226" s="12"/>
      <c r="AX2226" s="12"/>
      <c r="AY2226" s="44"/>
      <c r="AZ2226" s="45"/>
      <c r="BA2226" s="12"/>
      <c r="BB2226" s="12"/>
      <c r="BC2226" s="12"/>
      <c r="BD2226" s="12"/>
      <c r="BE2226" s="44"/>
      <c r="BF2226" s="45"/>
      <c r="BG2226" s="12"/>
      <c r="BH2226" s="12"/>
      <c r="BI2226" s="12"/>
      <c r="BJ2226" s="12"/>
      <c r="BK2226" s="44"/>
      <c r="BL2226" s="45"/>
      <c r="BM2226" s="12"/>
      <c r="BN2226" s="12"/>
      <c r="BO2226" s="12"/>
      <c r="BP2226" s="12"/>
      <c r="BQ2226" s="48"/>
      <c r="BR2226" s="49"/>
      <c r="BS2226" s="13"/>
      <c r="BT2226" s="12"/>
      <c r="BV2226" s="14"/>
      <c r="BW2226" s="50"/>
      <c r="BX2226" s="54"/>
      <c r="BY2226" s="14"/>
      <c r="BZ2226" s="14"/>
      <c r="CA2226" s="14"/>
      <c r="CB2226" s="14"/>
      <c r="CC2226" s="14"/>
      <c r="CD2226" s="14"/>
      <c r="CE2226" s="14"/>
      <c r="CF2226" s="15"/>
      <c r="CG2226" s="14"/>
      <c r="CH2226" s="14"/>
      <c r="CI2226" s="50"/>
      <c r="CJ2226" s="54"/>
      <c r="CK2226" s="14"/>
      <c r="CL2226" s="14"/>
      <c r="CM2226" s="14"/>
      <c r="CN2226" s="14"/>
      <c r="CO2226" s="14"/>
      <c r="CP2226" s="14"/>
      <c r="CQ2226" s="14"/>
      <c r="CR2226" s="14"/>
      <c r="CS2226" s="14"/>
      <c r="CT2226" s="14"/>
      <c r="CU2226" s="16"/>
      <c r="CV2226" s="14"/>
      <c r="CW2226" s="50"/>
      <c r="CX2226" s="17"/>
    </row>
    <row r="2227" spans="4:102" x14ac:dyDescent="0.25">
      <c r="D2227" s="11"/>
      <c r="E2227" s="11"/>
      <c r="F2227" s="11"/>
      <c r="G2227" s="11"/>
      <c r="H2227" s="11"/>
      <c r="I2227" s="11"/>
      <c r="J2227" s="11"/>
      <c r="K2227" s="11"/>
      <c r="L2227" s="11"/>
      <c r="M2227" s="11"/>
      <c r="N2227" s="11"/>
      <c r="O2227" s="11"/>
      <c r="P2227" s="43"/>
      <c r="Q2227" s="11"/>
      <c r="R2227" s="11"/>
      <c r="S2227" s="11"/>
      <c r="T2227" s="11"/>
      <c r="U2227" s="11"/>
      <c r="V2227" s="11"/>
      <c r="W2227" s="11"/>
      <c r="X2227" s="12"/>
      <c r="Y2227" s="12"/>
      <c r="Z2227" s="12"/>
      <c r="AA2227" s="44"/>
      <c r="AB2227" s="45"/>
      <c r="AC2227" s="12"/>
      <c r="AD2227" s="12"/>
      <c r="AE2227" s="12"/>
      <c r="AF2227" s="12"/>
      <c r="AG2227" s="44"/>
      <c r="AH2227" s="45"/>
      <c r="AI2227" s="12"/>
      <c r="AJ2227" s="12"/>
      <c r="AK2227" s="12"/>
      <c r="AL2227" s="12"/>
      <c r="AM2227" s="44"/>
      <c r="AN2227" s="45"/>
      <c r="AO2227" s="12"/>
      <c r="AP2227" s="12"/>
      <c r="AQ2227" s="12"/>
      <c r="AR2227" s="12"/>
      <c r="AS2227" s="44"/>
      <c r="AT2227" s="45"/>
      <c r="AU2227" s="12"/>
      <c r="AV2227" s="12"/>
      <c r="AW2227" s="12"/>
      <c r="AX2227" s="12"/>
      <c r="AY2227" s="44"/>
      <c r="AZ2227" s="45"/>
      <c r="BA2227" s="12"/>
      <c r="BB2227" s="12"/>
      <c r="BC2227" s="12"/>
      <c r="BD2227" s="12"/>
      <c r="BE2227" s="44"/>
      <c r="BF2227" s="45"/>
      <c r="BG2227" s="12"/>
      <c r="BH2227" s="12"/>
      <c r="BI2227" s="12"/>
      <c r="BJ2227" s="12"/>
      <c r="BK2227" s="44"/>
      <c r="BL2227" s="45"/>
      <c r="BM2227" s="12"/>
      <c r="BN2227" s="12"/>
      <c r="BO2227" s="12"/>
      <c r="BP2227" s="12"/>
      <c r="BQ2227" s="48"/>
      <c r="BR2227" s="49"/>
      <c r="BS2227" s="13"/>
      <c r="BT2227" s="12"/>
      <c r="BV2227" s="14"/>
      <c r="BW2227" s="50"/>
      <c r="BX2227" s="54"/>
      <c r="BY2227" s="14"/>
      <c r="BZ2227" s="14"/>
      <c r="CA2227" s="14"/>
      <c r="CB2227" s="14"/>
      <c r="CC2227" s="14"/>
      <c r="CD2227" s="14"/>
      <c r="CE2227" s="14"/>
      <c r="CF2227" s="15"/>
      <c r="CG2227" s="14"/>
      <c r="CH2227" s="14"/>
      <c r="CI2227" s="50"/>
      <c r="CJ2227" s="54"/>
      <c r="CK2227" s="14"/>
      <c r="CL2227" s="14"/>
      <c r="CM2227" s="14"/>
      <c r="CN2227" s="14"/>
      <c r="CO2227" s="14"/>
      <c r="CP2227" s="14"/>
      <c r="CQ2227" s="14"/>
      <c r="CR2227" s="14"/>
      <c r="CS2227" s="14"/>
      <c r="CT2227" s="14"/>
      <c r="CU2227" s="16"/>
      <c r="CV2227" s="14"/>
      <c r="CW2227" s="50"/>
      <c r="CX2227" s="17"/>
    </row>
    <row r="2228" spans="4:102" x14ac:dyDescent="0.25">
      <c r="D2228" s="11"/>
      <c r="E2228" s="11"/>
      <c r="F2228" s="11"/>
      <c r="G2228" s="11"/>
      <c r="H2228" s="11"/>
      <c r="I2228" s="11"/>
      <c r="J2228" s="11"/>
      <c r="K2228" s="11"/>
      <c r="L2228" s="11"/>
      <c r="M2228" s="11"/>
      <c r="N2228" s="11"/>
      <c r="O2228" s="11"/>
      <c r="P2228" s="43"/>
      <c r="Q2228" s="11"/>
      <c r="R2228" s="11"/>
      <c r="S2228" s="11"/>
      <c r="T2228" s="11"/>
      <c r="U2228" s="11"/>
      <c r="V2228" s="11"/>
      <c r="W2228" s="11"/>
      <c r="X2228" s="12"/>
      <c r="Y2228" s="12"/>
      <c r="Z2228" s="12"/>
      <c r="AA2228" s="44"/>
      <c r="AB2228" s="45"/>
      <c r="AC2228" s="12"/>
      <c r="AD2228" s="12"/>
      <c r="AE2228" s="12"/>
      <c r="AF2228" s="12"/>
      <c r="AG2228" s="44"/>
      <c r="AH2228" s="45"/>
      <c r="AI2228" s="12"/>
      <c r="AJ2228" s="12"/>
      <c r="AK2228" s="12"/>
      <c r="AL2228" s="12"/>
      <c r="AM2228" s="44"/>
      <c r="AN2228" s="45"/>
      <c r="AO2228" s="12"/>
      <c r="AP2228" s="12"/>
      <c r="AQ2228" s="12"/>
      <c r="AR2228" s="12"/>
      <c r="AS2228" s="44"/>
      <c r="AT2228" s="45"/>
      <c r="AU2228" s="12"/>
      <c r="AV2228" s="12"/>
      <c r="AW2228" s="12"/>
      <c r="AX2228" s="12"/>
      <c r="AY2228" s="44"/>
      <c r="AZ2228" s="45"/>
      <c r="BA2228" s="12"/>
      <c r="BB2228" s="12"/>
      <c r="BC2228" s="12"/>
      <c r="BD2228" s="12"/>
      <c r="BE2228" s="44"/>
      <c r="BF2228" s="45"/>
      <c r="BG2228" s="12"/>
      <c r="BH2228" s="12"/>
      <c r="BI2228" s="12"/>
      <c r="BJ2228" s="12"/>
      <c r="BK2228" s="44"/>
      <c r="BL2228" s="45"/>
      <c r="BM2228" s="12"/>
      <c r="BN2228" s="12"/>
      <c r="BO2228" s="12"/>
      <c r="BP2228" s="12"/>
      <c r="BQ2228" s="48"/>
      <c r="BR2228" s="49"/>
      <c r="BS2228" s="13"/>
      <c r="BT2228" s="12"/>
      <c r="BV2228" s="14"/>
      <c r="BW2228" s="50"/>
      <c r="BX2228" s="54"/>
      <c r="BY2228" s="14"/>
      <c r="BZ2228" s="14"/>
      <c r="CA2228" s="14"/>
      <c r="CB2228" s="14"/>
      <c r="CC2228" s="14"/>
      <c r="CD2228" s="14"/>
      <c r="CE2228" s="14"/>
      <c r="CF2228" s="15"/>
      <c r="CG2228" s="14"/>
      <c r="CH2228" s="14"/>
      <c r="CI2228" s="50"/>
      <c r="CJ2228" s="54"/>
      <c r="CK2228" s="14"/>
      <c r="CL2228" s="14"/>
      <c r="CM2228" s="14"/>
      <c r="CN2228" s="14"/>
      <c r="CO2228" s="14"/>
      <c r="CP2228" s="14"/>
      <c r="CQ2228" s="14"/>
      <c r="CR2228" s="14"/>
      <c r="CS2228" s="14"/>
      <c r="CT2228" s="14"/>
      <c r="CU2228" s="16"/>
      <c r="CV2228" s="14"/>
      <c r="CW2228" s="50"/>
      <c r="CX2228" s="17"/>
    </row>
    <row r="2229" spans="4:102" x14ac:dyDescent="0.25">
      <c r="D2229" s="11"/>
      <c r="E2229" s="11"/>
      <c r="F2229" s="11"/>
      <c r="G2229" s="11"/>
      <c r="H2229" s="11"/>
      <c r="I2229" s="11"/>
      <c r="J2229" s="11"/>
      <c r="K2229" s="11"/>
      <c r="L2229" s="11"/>
      <c r="M2229" s="11"/>
      <c r="N2229" s="11"/>
      <c r="O2229" s="11"/>
      <c r="P2229" s="43"/>
      <c r="Q2229" s="11"/>
      <c r="R2229" s="11"/>
      <c r="S2229" s="11"/>
      <c r="T2229" s="11"/>
      <c r="U2229" s="11"/>
      <c r="V2229" s="11"/>
      <c r="W2229" s="11"/>
      <c r="X2229" s="12"/>
      <c r="Y2229" s="12"/>
      <c r="Z2229" s="12"/>
      <c r="AA2229" s="44"/>
      <c r="AB2229" s="45"/>
      <c r="AC2229" s="12"/>
      <c r="AD2229" s="12"/>
      <c r="AE2229" s="12"/>
      <c r="AF2229" s="12"/>
      <c r="AG2229" s="44"/>
      <c r="AH2229" s="45"/>
      <c r="AI2229" s="12"/>
      <c r="AJ2229" s="12"/>
      <c r="AK2229" s="12"/>
      <c r="AL2229" s="12"/>
      <c r="AM2229" s="44"/>
      <c r="AN2229" s="45"/>
      <c r="AO2229" s="12"/>
      <c r="AP2229" s="12"/>
      <c r="AQ2229" s="12"/>
      <c r="AR2229" s="12"/>
      <c r="AS2229" s="44"/>
      <c r="AT2229" s="45"/>
      <c r="AU2229" s="12"/>
      <c r="AV2229" s="12"/>
      <c r="AW2229" s="12"/>
      <c r="AX2229" s="12"/>
      <c r="AY2229" s="44"/>
      <c r="AZ2229" s="45"/>
      <c r="BA2229" s="12"/>
      <c r="BB2229" s="12"/>
      <c r="BC2229" s="12"/>
      <c r="BD2229" s="12"/>
      <c r="BE2229" s="44"/>
      <c r="BF2229" s="45"/>
      <c r="BG2229" s="12"/>
      <c r="BH2229" s="12"/>
      <c r="BI2229" s="12"/>
      <c r="BJ2229" s="12"/>
      <c r="BK2229" s="44"/>
      <c r="BL2229" s="45"/>
      <c r="BM2229" s="12"/>
      <c r="BN2229" s="12"/>
      <c r="BO2229" s="12"/>
      <c r="BP2229" s="12"/>
      <c r="BQ2229" s="48"/>
      <c r="BR2229" s="49"/>
      <c r="BS2229" s="13"/>
      <c r="BT2229" s="12"/>
      <c r="BV2229" s="14"/>
      <c r="BW2229" s="50"/>
      <c r="BX2229" s="54"/>
      <c r="BY2229" s="14"/>
      <c r="BZ2229" s="14"/>
      <c r="CA2229" s="14"/>
      <c r="CB2229" s="14"/>
      <c r="CC2229" s="14"/>
      <c r="CD2229" s="14"/>
      <c r="CE2229" s="14"/>
      <c r="CF2229" s="15"/>
      <c r="CG2229" s="14"/>
      <c r="CH2229" s="14"/>
      <c r="CI2229" s="50"/>
      <c r="CJ2229" s="54"/>
      <c r="CK2229" s="14"/>
      <c r="CL2229" s="14"/>
      <c r="CM2229" s="14"/>
      <c r="CN2229" s="14"/>
      <c r="CO2229" s="14"/>
      <c r="CP2229" s="14"/>
      <c r="CQ2229" s="14"/>
      <c r="CR2229" s="14"/>
      <c r="CS2229" s="14"/>
      <c r="CT2229" s="14"/>
      <c r="CU2229" s="16"/>
      <c r="CV2229" s="14"/>
      <c r="CW2229" s="50"/>
      <c r="CX2229" s="17"/>
    </row>
    <row r="2230" spans="4:102" x14ac:dyDescent="0.25">
      <c r="D2230" s="11"/>
      <c r="E2230" s="11"/>
      <c r="F2230" s="11"/>
      <c r="G2230" s="11"/>
      <c r="H2230" s="11"/>
      <c r="I2230" s="11"/>
      <c r="J2230" s="11"/>
      <c r="K2230" s="11"/>
      <c r="L2230" s="11"/>
      <c r="M2230" s="11"/>
      <c r="N2230" s="11"/>
      <c r="O2230" s="11"/>
      <c r="P2230" s="43"/>
      <c r="Q2230" s="11"/>
      <c r="R2230" s="11"/>
      <c r="S2230" s="11"/>
      <c r="T2230" s="11"/>
      <c r="U2230" s="11"/>
      <c r="V2230" s="11"/>
      <c r="W2230" s="11"/>
      <c r="X2230" s="12"/>
      <c r="Y2230" s="12"/>
      <c r="Z2230" s="12"/>
      <c r="AA2230" s="44"/>
      <c r="AB2230" s="45"/>
      <c r="AC2230" s="12"/>
      <c r="AD2230" s="12"/>
      <c r="AE2230" s="12"/>
      <c r="AF2230" s="12"/>
      <c r="AG2230" s="44"/>
      <c r="AH2230" s="45"/>
      <c r="AI2230" s="12"/>
      <c r="AJ2230" s="12"/>
      <c r="AK2230" s="12"/>
      <c r="AL2230" s="12"/>
      <c r="AM2230" s="44"/>
      <c r="AN2230" s="45"/>
      <c r="AO2230" s="12"/>
      <c r="AP2230" s="12"/>
      <c r="AQ2230" s="12"/>
      <c r="AR2230" s="12"/>
      <c r="AS2230" s="44"/>
      <c r="AT2230" s="45"/>
      <c r="AU2230" s="12"/>
      <c r="AV2230" s="12"/>
      <c r="AW2230" s="12"/>
      <c r="AX2230" s="12"/>
      <c r="AY2230" s="44"/>
      <c r="AZ2230" s="45"/>
      <c r="BA2230" s="12"/>
      <c r="BB2230" s="12"/>
      <c r="BC2230" s="12"/>
      <c r="BD2230" s="12"/>
      <c r="BE2230" s="44"/>
      <c r="BF2230" s="45"/>
      <c r="BG2230" s="12"/>
      <c r="BH2230" s="12"/>
      <c r="BI2230" s="12"/>
      <c r="BJ2230" s="12"/>
      <c r="BK2230" s="44"/>
      <c r="BL2230" s="45"/>
      <c r="BM2230" s="12"/>
      <c r="BN2230" s="12"/>
      <c r="BO2230" s="12"/>
      <c r="BP2230" s="12"/>
      <c r="BQ2230" s="48"/>
      <c r="BR2230" s="49"/>
      <c r="BS2230" s="13"/>
      <c r="BT2230" s="12"/>
      <c r="BV2230" s="14"/>
      <c r="BW2230" s="50"/>
      <c r="BX2230" s="54"/>
      <c r="BY2230" s="14"/>
      <c r="BZ2230" s="14"/>
      <c r="CA2230" s="14"/>
      <c r="CB2230" s="14"/>
      <c r="CC2230" s="14"/>
      <c r="CD2230" s="14"/>
      <c r="CE2230" s="14"/>
      <c r="CF2230" s="15"/>
      <c r="CG2230" s="14"/>
      <c r="CH2230" s="14"/>
      <c r="CI2230" s="50"/>
      <c r="CJ2230" s="54"/>
      <c r="CK2230" s="14"/>
      <c r="CL2230" s="14"/>
      <c r="CM2230" s="14"/>
      <c r="CN2230" s="14"/>
      <c r="CO2230" s="14"/>
      <c r="CP2230" s="14"/>
      <c r="CQ2230" s="14"/>
      <c r="CR2230" s="14"/>
      <c r="CS2230" s="14"/>
      <c r="CT2230" s="14"/>
      <c r="CU2230" s="16"/>
      <c r="CV2230" s="14"/>
      <c r="CW2230" s="50"/>
      <c r="CX2230" s="17"/>
    </row>
    <row r="2231" spans="4:102" x14ac:dyDescent="0.25">
      <c r="D2231" s="11"/>
      <c r="E2231" s="11"/>
      <c r="F2231" s="11"/>
      <c r="G2231" s="11"/>
      <c r="H2231" s="11"/>
      <c r="I2231" s="11"/>
      <c r="J2231" s="11"/>
      <c r="K2231" s="11"/>
      <c r="L2231" s="11"/>
      <c r="M2231" s="11"/>
      <c r="N2231" s="11"/>
      <c r="O2231" s="11"/>
      <c r="P2231" s="43"/>
      <c r="Q2231" s="11"/>
      <c r="R2231" s="11"/>
      <c r="S2231" s="11"/>
      <c r="T2231" s="11"/>
      <c r="U2231" s="11"/>
      <c r="V2231" s="11"/>
      <c r="W2231" s="11"/>
      <c r="X2231" s="12"/>
      <c r="Y2231" s="12"/>
      <c r="Z2231" s="12"/>
      <c r="AA2231" s="44"/>
      <c r="AB2231" s="45"/>
      <c r="AC2231" s="12"/>
      <c r="AD2231" s="12"/>
      <c r="AE2231" s="12"/>
      <c r="AF2231" s="12"/>
      <c r="AG2231" s="44"/>
      <c r="AH2231" s="45"/>
      <c r="AI2231" s="12"/>
      <c r="AJ2231" s="12"/>
      <c r="AK2231" s="12"/>
      <c r="AL2231" s="12"/>
      <c r="AM2231" s="44"/>
      <c r="AN2231" s="45"/>
      <c r="AO2231" s="12"/>
      <c r="AP2231" s="12"/>
      <c r="AQ2231" s="12"/>
      <c r="AR2231" s="12"/>
      <c r="AS2231" s="44"/>
      <c r="AT2231" s="45"/>
      <c r="AU2231" s="12"/>
      <c r="AV2231" s="12"/>
      <c r="AW2231" s="12"/>
      <c r="AX2231" s="12"/>
      <c r="AY2231" s="44"/>
      <c r="AZ2231" s="45"/>
      <c r="BA2231" s="12"/>
      <c r="BB2231" s="12"/>
      <c r="BC2231" s="12"/>
      <c r="BD2231" s="12"/>
      <c r="BE2231" s="44"/>
      <c r="BF2231" s="45"/>
      <c r="BG2231" s="12"/>
      <c r="BH2231" s="12"/>
      <c r="BI2231" s="12"/>
      <c r="BJ2231" s="12"/>
      <c r="BK2231" s="44"/>
      <c r="BL2231" s="45"/>
      <c r="BM2231" s="12"/>
      <c r="BN2231" s="12"/>
      <c r="BO2231" s="12"/>
      <c r="BP2231" s="12"/>
      <c r="BQ2231" s="48"/>
      <c r="BR2231" s="49"/>
      <c r="BS2231" s="13"/>
      <c r="BT2231" s="12"/>
      <c r="BV2231" s="14"/>
      <c r="BW2231" s="50"/>
      <c r="BX2231" s="54"/>
      <c r="BY2231" s="14"/>
      <c r="BZ2231" s="14"/>
      <c r="CA2231" s="14"/>
      <c r="CB2231" s="14"/>
      <c r="CC2231" s="14"/>
      <c r="CD2231" s="14"/>
      <c r="CE2231" s="14"/>
      <c r="CF2231" s="15"/>
      <c r="CG2231" s="14"/>
      <c r="CH2231" s="14"/>
      <c r="CI2231" s="50"/>
      <c r="CJ2231" s="54"/>
      <c r="CK2231" s="14"/>
      <c r="CL2231" s="14"/>
      <c r="CM2231" s="14"/>
      <c r="CN2231" s="14"/>
      <c r="CO2231" s="14"/>
      <c r="CP2231" s="14"/>
      <c r="CQ2231" s="14"/>
      <c r="CR2231" s="14"/>
      <c r="CS2231" s="14"/>
      <c r="CT2231" s="14"/>
      <c r="CU2231" s="16"/>
      <c r="CV2231" s="14"/>
      <c r="CW2231" s="50"/>
      <c r="CX2231" s="17"/>
    </row>
    <row r="2232" spans="4:102" x14ac:dyDescent="0.25">
      <c r="D2232" s="11"/>
      <c r="E2232" s="11"/>
      <c r="F2232" s="11"/>
      <c r="G2232" s="11"/>
      <c r="H2232" s="11"/>
      <c r="I2232" s="11"/>
      <c r="J2232" s="11"/>
      <c r="K2232" s="11"/>
      <c r="L2232" s="11"/>
      <c r="M2232" s="11"/>
      <c r="N2232" s="11"/>
      <c r="O2232" s="11"/>
      <c r="P2232" s="43"/>
      <c r="Q2232" s="11"/>
      <c r="R2232" s="11"/>
      <c r="S2232" s="11"/>
      <c r="T2232" s="11"/>
      <c r="U2232" s="11"/>
      <c r="V2232" s="11"/>
      <c r="W2232" s="11"/>
      <c r="X2232" s="12"/>
      <c r="Y2232" s="12"/>
      <c r="Z2232" s="12"/>
      <c r="AA2232" s="44"/>
      <c r="AB2232" s="45"/>
      <c r="AC2232" s="12"/>
      <c r="AD2232" s="12"/>
      <c r="AE2232" s="12"/>
      <c r="AF2232" s="12"/>
      <c r="AG2232" s="44"/>
      <c r="AH2232" s="45"/>
      <c r="AI2232" s="12"/>
      <c r="AJ2232" s="12"/>
      <c r="AK2232" s="12"/>
      <c r="AL2232" s="12"/>
      <c r="AM2232" s="44"/>
      <c r="AN2232" s="45"/>
      <c r="AO2232" s="12"/>
      <c r="AP2232" s="12"/>
      <c r="AQ2232" s="12"/>
      <c r="AR2232" s="12"/>
      <c r="AS2232" s="44"/>
      <c r="AT2232" s="45"/>
      <c r="AU2232" s="12"/>
      <c r="AV2232" s="12"/>
      <c r="AW2232" s="12"/>
      <c r="AX2232" s="12"/>
      <c r="AY2232" s="44"/>
      <c r="AZ2232" s="45"/>
      <c r="BA2232" s="12"/>
      <c r="BB2232" s="12"/>
      <c r="BC2232" s="12"/>
      <c r="BD2232" s="12"/>
      <c r="BE2232" s="44"/>
      <c r="BF2232" s="45"/>
      <c r="BG2232" s="12"/>
      <c r="BH2232" s="12"/>
      <c r="BI2232" s="12"/>
      <c r="BJ2232" s="12"/>
      <c r="BK2232" s="44"/>
      <c r="BL2232" s="45"/>
      <c r="BM2232" s="12"/>
      <c r="BN2232" s="12"/>
      <c r="BO2232" s="12"/>
      <c r="BP2232" s="12"/>
      <c r="BQ2232" s="48"/>
      <c r="BR2232" s="49"/>
      <c r="BS2232" s="13"/>
      <c r="BT2232" s="12"/>
      <c r="BV2232" s="14"/>
      <c r="BW2232" s="50"/>
      <c r="BX2232" s="54"/>
      <c r="BY2232" s="14"/>
      <c r="BZ2232" s="14"/>
      <c r="CA2232" s="14"/>
      <c r="CB2232" s="14"/>
      <c r="CC2232" s="14"/>
      <c r="CD2232" s="14"/>
      <c r="CE2232" s="14"/>
      <c r="CF2232" s="15"/>
      <c r="CG2232" s="14"/>
      <c r="CH2232" s="14"/>
      <c r="CI2232" s="50"/>
      <c r="CJ2232" s="54"/>
      <c r="CK2232" s="14"/>
      <c r="CL2232" s="14"/>
      <c r="CM2232" s="14"/>
      <c r="CN2232" s="14"/>
      <c r="CO2232" s="14"/>
      <c r="CP2232" s="14"/>
      <c r="CQ2232" s="14"/>
      <c r="CR2232" s="14"/>
      <c r="CS2232" s="14"/>
      <c r="CT2232" s="14"/>
      <c r="CU2232" s="16"/>
      <c r="CV2232" s="14"/>
      <c r="CW2232" s="50"/>
      <c r="CX2232" s="17"/>
    </row>
    <row r="2233" spans="4:102" x14ac:dyDescent="0.25">
      <c r="D2233" s="11"/>
      <c r="E2233" s="11"/>
      <c r="F2233" s="11"/>
      <c r="G2233" s="11"/>
      <c r="H2233" s="11"/>
      <c r="I2233" s="11"/>
      <c r="J2233" s="11"/>
      <c r="K2233" s="11"/>
      <c r="L2233" s="11"/>
      <c r="M2233" s="11"/>
      <c r="N2233" s="11"/>
      <c r="O2233" s="11"/>
      <c r="P2233" s="43"/>
      <c r="Q2233" s="11"/>
      <c r="R2233" s="11"/>
      <c r="S2233" s="11"/>
      <c r="T2233" s="11"/>
      <c r="U2233" s="11"/>
      <c r="V2233" s="11"/>
      <c r="W2233" s="11"/>
      <c r="X2233" s="12"/>
      <c r="Y2233" s="12"/>
      <c r="Z2233" s="12"/>
      <c r="AA2233" s="44"/>
      <c r="AB2233" s="45"/>
      <c r="AC2233" s="12"/>
      <c r="AD2233" s="12"/>
      <c r="AE2233" s="12"/>
      <c r="AF2233" s="12"/>
      <c r="AG2233" s="44"/>
      <c r="AH2233" s="45"/>
      <c r="AI2233" s="12"/>
      <c r="AJ2233" s="12"/>
      <c r="AK2233" s="12"/>
      <c r="AL2233" s="12"/>
      <c r="AM2233" s="44"/>
      <c r="AN2233" s="45"/>
      <c r="AO2233" s="12"/>
      <c r="AP2233" s="12"/>
      <c r="AQ2233" s="12"/>
      <c r="AR2233" s="12"/>
      <c r="AS2233" s="44"/>
      <c r="AT2233" s="45"/>
      <c r="AU2233" s="12"/>
      <c r="AV2233" s="12"/>
      <c r="AW2233" s="12"/>
      <c r="AX2233" s="12"/>
      <c r="AY2233" s="44"/>
      <c r="AZ2233" s="45"/>
      <c r="BA2233" s="12"/>
      <c r="BB2233" s="12"/>
      <c r="BC2233" s="12"/>
      <c r="BD2233" s="12"/>
      <c r="BE2233" s="44"/>
      <c r="BF2233" s="45"/>
      <c r="BG2233" s="12"/>
      <c r="BH2233" s="12"/>
      <c r="BI2233" s="12"/>
      <c r="BJ2233" s="12"/>
      <c r="BK2233" s="44"/>
      <c r="BL2233" s="45"/>
      <c r="BM2233" s="12"/>
      <c r="BN2233" s="12"/>
      <c r="BO2233" s="12"/>
      <c r="BP2233" s="12"/>
      <c r="BQ2233" s="48"/>
      <c r="BR2233" s="49"/>
      <c r="BS2233" s="13"/>
      <c r="BT2233" s="12"/>
      <c r="BV2233" s="14"/>
      <c r="BW2233" s="50"/>
      <c r="BX2233" s="54"/>
      <c r="BY2233" s="14"/>
      <c r="BZ2233" s="14"/>
      <c r="CA2233" s="14"/>
      <c r="CB2233" s="14"/>
      <c r="CC2233" s="14"/>
      <c r="CD2233" s="14"/>
      <c r="CE2233" s="14"/>
      <c r="CF2233" s="15"/>
      <c r="CG2233" s="14"/>
      <c r="CH2233" s="14"/>
      <c r="CI2233" s="50"/>
      <c r="CJ2233" s="54"/>
      <c r="CK2233" s="14"/>
      <c r="CL2233" s="14"/>
      <c r="CM2233" s="14"/>
      <c r="CN2233" s="14"/>
      <c r="CO2233" s="14"/>
      <c r="CP2233" s="14"/>
      <c r="CQ2233" s="14"/>
      <c r="CR2233" s="14"/>
      <c r="CS2233" s="14"/>
      <c r="CT2233" s="14"/>
      <c r="CU2233" s="16"/>
      <c r="CV2233" s="14"/>
      <c r="CW2233" s="50"/>
      <c r="CX2233" s="17"/>
    </row>
    <row r="2234" spans="4:102" x14ac:dyDescent="0.25">
      <c r="D2234" s="11"/>
      <c r="E2234" s="11"/>
      <c r="F2234" s="11"/>
      <c r="G2234" s="11"/>
      <c r="H2234" s="11"/>
      <c r="I2234" s="11"/>
      <c r="J2234" s="11"/>
      <c r="K2234" s="11"/>
      <c r="L2234" s="11"/>
      <c r="M2234" s="11"/>
      <c r="N2234" s="11"/>
      <c r="O2234" s="11"/>
      <c r="P2234" s="43"/>
      <c r="Q2234" s="11"/>
      <c r="R2234" s="11"/>
      <c r="S2234" s="11"/>
      <c r="T2234" s="11"/>
      <c r="U2234" s="11"/>
      <c r="V2234" s="11"/>
      <c r="W2234" s="11"/>
      <c r="X2234" s="12"/>
      <c r="Y2234" s="12"/>
      <c r="Z2234" s="12"/>
      <c r="AA2234" s="44"/>
      <c r="AB2234" s="45"/>
      <c r="AC2234" s="12"/>
      <c r="AD2234" s="12"/>
      <c r="AE2234" s="12"/>
      <c r="AF2234" s="12"/>
      <c r="AG2234" s="44"/>
      <c r="AH2234" s="45"/>
      <c r="AI2234" s="12"/>
      <c r="AJ2234" s="12"/>
      <c r="AK2234" s="12"/>
      <c r="AL2234" s="12"/>
      <c r="AM2234" s="44"/>
      <c r="AN2234" s="45"/>
      <c r="AO2234" s="12"/>
      <c r="AP2234" s="12"/>
      <c r="AQ2234" s="12"/>
      <c r="AR2234" s="12"/>
      <c r="AS2234" s="44"/>
      <c r="AT2234" s="45"/>
      <c r="AU2234" s="12"/>
      <c r="AV2234" s="12"/>
      <c r="AW2234" s="12"/>
      <c r="AX2234" s="12"/>
      <c r="AY2234" s="44"/>
      <c r="AZ2234" s="45"/>
      <c r="BA2234" s="12"/>
      <c r="BB2234" s="12"/>
      <c r="BC2234" s="12"/>
      <c r="BD2234" s="12"/>
      <c r="BE2234" s="44"/>
      <c r="BF2234" s="45"/>
      <c r="BG2234" s="12"/>
      <c r="BH2234" s="12"/>
      <c r="BI2234" s="12"/>
      <c r="BJ2234" s="12"/>
      <c r="BK2234" s="44"/>
      <c r="BL2234" s="45"/>
      <c r="BM2234" s="12"/>
      <c r="BN2234" s="12"/>
      <c r="BO2234" s="12"/>
      <c r="BP2234" s="12"/>
      <c r="BQ2234" s="48"/>
      <c r="BR2234" s="49"/>
      <c r="BS2234" s="13"/>
      <c r="BT2234" s="12"/>
      <c r="BV2234" s="14"/>
      <c r="BW2234" s="50"/>
      <c r="BX2234" s="54"/>
      <c r="BY2234" s="14"/>
      <c r="BZ2234" s="14"/>
      <c r="CA2234" s="14"/>
      <c r="CB2234" s="14"/>
      <c r="CC2234" s="14"/>
      <c r="CD2234" s="14"/>
      <c r="CE2234" s="14"/>
      <c r="CF2234" s="15"/>
      <c r="CG2234" s="14"/>
      <c r="CH2234" s="14"/>
      <c r="CI2234" s="50"/>
      <c r="CJ2234" s="54"/>
      <c r="CK2234" s="14"/>
      <c r="CL2234" s="14"/>
      <c r="CM2234" s="14"/>
      <c r="CN2234" s="14"/>
      <c r="CO2234" s="14"/>
      <c r="CP2234" s="14"/>
      <c r="CQ2234" s="14"/>
      <c r="CR2234" s="14"/>
      <c r="CS2234" s="14"/>
      <c r="CT2234" s="14"/>
      <c r="CU2234" s="16"/>
      <c r="CV2234" s="14"/>
      <c r="CW2234" s="50"/>
      <c r="CX2234" s="17"/>
    </row>
    <row r="2235" spans="4:102" x14ac:dyDescent="0.25">
      <c r="D2235" s="11"/>
      <c r="E2235" s="11"/>
      <c r="F2235" s="11"/>
      <c r="G2235" s="11"/>
      <c r="H2235" s="11"/>
      <c r="I2235" s="11"/>
      <c r="J2235" s="11"/>
      <c r="K2235" s="11"/>
      <c r="L2235" s="11"/>
      <c r="M2235" s="11"/>
      <c r="N2235" s="11"/>
      <c r="O2235" s="11"/>
      <c r="P2235" s="43"/>
      <c r="Q2235" s="11"/>
      <c r="R2235" s="11"/>
      <c r="S2235" s="11"/>
      <c r="T2235" s="11"/>
      <c r="U2235" s="11"/>
      <c r="V2235" s="11"/>
      <c r="W2235" s="11"/>
      <c r="X2235" s="12"/>
      <c r="Y2235" s="12"/>
      <c r="Z2235" s="12"/>
      <c r="AA2235" s="44"/>
      <c r="AB2235" s="45"/>
      <c r="AC2235" s="12"/>
      <c r="AD2235" s="12"/>
      <c r="AE2235" s="12"/>
      <c r="AF2235" s="12"/>
      <c r="AG2235" s="44"/>
      <c r="AH2235" s="45"/>
      <c r="AI2235" s="12"/>
      <c r="AJ2235" s="12"/>
      <c r="AK2235" s="12"/>
      <c r="AL2235" s="12"/>
      <c r="AM2235" s="44"/>
      <c r="AN2235" s="45"/>
      <c r="AO2235" s="12"/>
      <c r="AP2235" s="12"/>
      <c r="AQ2235" s="12"/>
      <c r="AR2235" s="12"/>
      <c r="AS2235" s="44"/>
      <c r="AT2235" s="45"/>
      <c r="AU2235" s="12"/>
      <c r="AV2235" s="12"/>
      <c r="AW2235" s="12"/>
      <c r="AX2235" s="12"/>
      <c r="AY2235" s="44"/>
      <c r="AZ2235" s="45"/>
      <c r="BA2235" s="12"/>
      <c r="BB2235" s="12"/>
      <c r="BC2235" s="12"/>
      <c r="BD2235" s="12"/>
      <c r="BE2235" s="44"/>
      <c r="BF2235" s="45"/>
      <c r="BG2235" s="12"/>
      <c r="BH2235" s="12"/>
      <c r="BI2235" s="12"/>
      <c r="BJ2235" s="12"/>
      <c r="BK2235" s="44"/>
      <c r="BL2235" s="45"/>
      <c r="BM2235" s="12"/>
      <c r="BN2235" s="12"/>
      <c r="BO2235" s="12"/>
      <c r="BP2235" s="12"/>
      <c r="BQ2235" s="48"/>
      <c r="BR2235" s="49"/>
      <c r="BS2235" s="13"/>
      <c r="BT2235" s="12"/>
      <c r="BV2235" s="14"/>
      <c r="BW2235" s="50"/>
      <c r="BX2235" s="54"/>
      <c r="BY2235" s="14"/>
      <c r="BZ2235" s="14"/>
      <c r="CA2235" s="14"/>
      <c r="CB2235" s="14"/>
      <c r="CC2235" s="14"/>
      <c r="CD2235" s="14"/>
      <c r="CE2235" s="14"/>
      <c r="CF2235" s="15"/>
      <c r="CG2235" s="14"/>
      <c r="CH2235" s="14"/>
      <c r="CI2235" s="50"/>
      <c r="CJ2235" s="54"/>
      <c r="CK2235" s="14"/>
      <c r="CL2235" s="14"/>
      <c r="CM2235" s="14"/>
      <c r="CN2235" s="14"/>
      <c r="CO2235" s="14"/>
      <c r="CP2235" s="14"/>
      <c r="CQ2235" s="14"/>
      <c r="CR2235" s="14"/>
      <c r="CS2235" s="14"/>
      <c r="CT2235" s="14"/>
      <c r="CU2235" s="16"/>
      <c r="CV2235" s="14"/>
      <c r="CW2235" s="50"/>
      <c r="CX2235" s="17"/>
    </row>
    <row r="2236" spans="4:102" x14ac:dyDescent="0.25">
      <c r="D2236" s="11"/>
      <c r="E2236" s="11"/>
      <c r="F2236" s="11"/>
      <c r="G2236" s="11"/>
      <c r="H2236" s="11"/>
      <c r="I2236" s="11"/>
      <c r="J2236" s="11"/>
      <c r="K2236" s="11"/>
      <c r="L2236" s="11"/>
      <c r="M2236" s="11"/>
      <c r="N2236" s="11"/>
      <c r="O2236" s="11"/>
      <c r="P2236" s="43"/>
      <c r="Q2236" s="11"/>
      <c r="R2236" s="11"/>
      <c r="S2236" s="11"/>
      <c r="T2236" s="11"/>
      <c r="U2236" s="11"/>
      <c r="V2236" s="11"/>
      <c r="W2236" s="11"/>
      <c r="X2236" s="12"/>
      <c r="Y2236" s="12"/>
      <c r="Z2236" s="12"/>
      <c r="AA2236" s="44"/>
      <c r="AB2236" s="45"/>
      <c r="AC2236" s="12"/>
      <c r="AD2236" s="12"/>
      <c r="AE2236" s="12"/>
      <c r="AF2236" s="12"/>
      <c r="AG2236" s="44"/>
      <c r="AH2236" s="45"/>
      <c r="AI2236" s="12"/>
      <c r="AJ2236" s="12"/>
      <c r="AK2236" s="12"/>
      <c r="AL2236" s="12"/>
      <c r="AM2236" s="44"/>
      <c r="AN2236" s="45"/>
      <c r="AO2236" s="12"/>
      <c r="AP2236" s="12"/>
      <c r="AQ2236" s="12"/>
      <c r="AR2236" s="12"/>
      <c r="AS2236" s="44"/>
      <c r="AT2236" s="45"/>
      <c r="AU2236" s="12"/>
      <c r="AV2236" s="12"/>
      <c r="AW2236" s="12"/>
      <c r="AX2236" s="12"/>
      <c r="AY2236" s="44"/>
      <c r="AZ2236" s="45"/>
      <c r="BA2236" s="12"/>
      <c r="BB2236" s="12"/>
      <c r="BC2236" s="12"/>
      <c r="BD2236" s="12"/>
      <c r="BE2236" s="44"/>
      <c r="BF2236" s="45"/>
      <c r="BG2236" s="12"/>
      <c r="BH2236" s="12"/>
      <c r="BI2236" s="12"/>
      <c r="BJ2236" s="12"/>
      <c r="BK2236" s="44"/>
      <c r="BL2236" s="45"/>
      <c r="BM2236" s="12"/>
      <c r="BN2236" s="12"/>
      <c r="BO2236" s="12"/>
      <c r="BP2236" s="12"/>
      <c r="BQ2236" s="48"/>
      <c r="BR2236" s="49"/>
      <c r="BS2236" s="13"/>
      <c r="BT2236" s="12"/>
      <c r="BV2236" s="14"/>
      <c r="BW2236" s="50"/>
      <c r="BX2236" s="54"/>
      <c r="BY2236" s="14"/>
      <c r="BZ2236" s="14"/>
      <c r="CA2236" s="14"/>
      <c r="CB2236" s="14"/>
      <c r="CC2236" s="14"/>
      <c r="CD2236" s="14"/>
      <c r="CE2236" s="14"/>
      <c r="CF2236" s="15"/>
      <c r="CG2236" s="14"/>
      <c r="CH2236" s="14"/>
      <c r="CI2236" s="50"/>
      <c r="CJ2236" s="54"/>
      <c r="CK2236" s="14"/>
      <c r="CL2236" s="14"/>
      <c r="CM2236" s="14"/>
      <c r="CN2236" s="14"/>
      <c r="CO2236" s="14"/>
      <c r="CP2236" s="14"/>
      <c r="CQ2236" s="14"/>
      <c r="CR2236" s="14"/>
      <c r="CS2236" s="14"/>
      <c r="CT2236" s="14"/>
      <c r="CU2236" s="16"/>
      <c r="CV2236" s="14"/>
      <c r="CW2236" s="50"/>
      <c r="CX2236" s="17"/>
    </row>
    <row r="2237" spans="4:102" x14ac:dyDescent="0.25">
      <c r="D2237" s="11"/>
      <c r="E2237" s="11"/>
      <c r="F2237" s="11"/>
      <c r="G2237" s="11"/>
      <c r="H2237" s="11"/>
      <c r="I2237" s="11"/>
      <c r="J2237" s="11"/>
      <c r="K2237" s="11"/>
      <c r="L2237" s="11"/>
      <c r="M2237" s="11"/>
      <c r="N2237" s="11"/>
      <c r="O2237" s="11"/>
      <c r="P2237" s="43"/>
      <c r="Q2237" s="11"/>
      <c r="R2237" s="11"/>
      <c r="S2237" s="11"/>
      <c r="T2237" s="11"/>
      <c r="U2237" s="11"/>
      <c r="V2237" s="11"/>
      <c r="W2237" s="11"/>
      <c r="X2237" s="12"/>
      <c r="Y2237" s="12"/>
      <c r="Z2237" s="12"/>
      <c r="AA2237" s="44"/>
      <c r="AB2237" s="45"/>
      <c r="AC2237" s="12"/>
      <c r="AD2237" s="12"/>
      <c r="AE2237" s="12"/>
      <c r="AF2237" s="12"/>
      <c r="AG2237" s="44"/>
      <c r="AH2237" s="45"/>
      <c r="AI2237" s="12"/>
      <c r="AJ2237" s="12"/>
      <c r="AK2237" s="12"/>
      <c r="AL2237" s="12"/>
      <c r="AM2237" s="44"/>
      <c r="AN2237" s="45"/>
      <c r="AO2237" s="12"/>
      <c r="AP2237" s="12"/>
      <c r="AQ2237" s="12"/>
      <c r="AR2237" s="12"/>
      <c r="AS2237" s="44"/>
      <c r="AT2237" s="45"/>
      <c r="AU2237" s="12"/>
      <c r="AV2237" s="12"/>
      <c r="AW2237" s="12"/>
      <c r="AX2237" s="12"/>
      <c r="AY2237" s="44"/>
      <c r="AZ2237" s="45"/>
      <c r="BA2237" s="12"/>
      <c r="BB2237" s="12"/>
      <c r="BC2237" s="12"/>
      <c r="BD2237" s="12"/>
      <c r="BE2237" s="44"/>
      <c r="BF2237" s="45"/>
      <c r="BG2237" s="12"/>
      <c r="BH2237" s="12"/>
      <c r="BI2237" s="12"/>
      <c r="BJ2237" s="12"/>
      <c r="BK2237" s="44"/>
      <c r="BL2237" s="45"/>
      <c r="BM2237" s="12"/>
      <c r="BN2237" s="12"/>
      <c r="BO2237" s="12"/>
      <c r="BP2237" s="12"/>
      <c r="BQ2237" s="48"/>
      <c r="BR2237" s="49"/>
      <c r="BS2237" s="13"/>
      <c r="BT2237" s="12"/>
      <c r="BV2237" s="14"/>
      <c r="BW2237" s="50"/>
      <c r="BX2237" s="54"/>
      <c r="BY2237" s="14"/>
      <c r="BZ2237" s="14"/>
      <c r="CA2237" s="14"/>
      <c r="CB2237" s="14"/>
      <c r="CC2237" s="14"/>
      <c r="CD2237" s="14"/>
      <c r="CE2237" s="14"/>
      <c r="CF2237" s="15"/>
      <c r="CG2237" s="14"/>
      <c r="CH2237" s="14"/>
      <c r="CI2237" s="50"/>
      <c r="CJ2237" s="54"/>
      <c r="CK2237" s="14"/>
      <c r="CL2237" s="14"/>
      <c r="CM2237" s="14"/>
      <c r="CN2237" s="14"/>
      <c r="CO2237" s="14"/>
      <c r="CP2237" s="14"/>
      <c r="CQ2237" s="14"/>
      <c r="CR2237" s="14"/>
      <c r="CS2237" s="14"/>
      <c r="CT2237" s="14"/>
      <c r="CU2237" s="16"/>
      <c r="CV2237" s="14"/>
      <c r="CW2237" s="50"/>
      <c r="CX2237" s="17"/>
    </row>
    <row r="2238" spans="4:102" x14ac:dyDescent="0.25">
      <c r="D2238" s="11"/>
      <c r="E2238" s="11"/>
      <c r="F2238" s="11"/>
      <c r="G2238" s="11"/>
      <c r="H2238" s="11"/>
      <c r="I2238" s="11"/>
      <c r="J2238" s="11"/>
      <c r="K2238" s="11"/>
      <c r="L2238" s="11"/>
      <c r="M2238" s="11"/>
      <c r="N2238" s="11"/>
      <c r="O2238" s="11"/>
      <c r="P2238" s="43"/>
      <c r="Q2238" s="11"/>
      <c r="R2238" s="11"/>
      <c r="S2238" s="11"/>
      <c r="T2238" s="11"/>
      <c r="U2238" s="11"/>
      <c r="V2238" s="11"/>
      <c r="W2238" s="11"/>
      <c r="X2238" s="12"/>
      <c r="Y2238" s="12"/>
      <c r="Z2238" s="12"/>
      <c r="AA2238" s="44"/>
      <c r="AB2238" s="45"/>
      <c r="AC2238" s="12"/>
      <c r="AD2238" s="12"/>
      <c r="AE2238" s="12"/>
      <c r="AF2238" s="12"/>
      <c r="AG2238" s="44"/>
      <c r="AH2238" s="45"/>
      <c r="AI2238" s="12"/>
      <c r="AJ2238" s="12"/>
      <c r="AK2238" s="12"/>
      <c r="AL2238" s="12"/>
      <c r="AM2238" s="44"/>
      <c r="AN2238" s="45"/>
      <c r="AO2238" s="12"/>
      <c r="AP2238" s="12"/>
      <c r="AQ2238" s="12"/>
      <c r="AR2238" s="12"/>
      <c r="AS2238" s="44"/>
      <c r="AT2238" s="45"/>
      <c r="AU2238" s="12"/>
      <c r="AV2238" s="12"/>
      <c r="AW2238" s="12"/>
      <c r="AX2238" s="12"/>
      <c r="AY2238" s="44"/>
      <c r="AZ2238" s="45"/>
      <c r="BA2238" s="12"/>
      <c r="BB2238" s="12"/>
      <c r="BC2238" s="12"/>
      <c r="BD2238" s="12"/>
      <c r="BE2238" s="44"/>
      <c r="BF2238" s="45"/>
      <c r="BG2238" s="12"/>
      <c r="BH2238" s="12"/>
      <c r="BI2238" s="12"/>
      <c r="BJ2238" s="12"/>
      <c r="BK2238" s="44"/>
      <c r="BL2238" s="45"/>
      <c r="BM2238" s="12"/>
      <c r="BN2238" s="12"/>
      <c r="BO2238" s="12"/>
      <c r="BP2238" s="12"/>
      <c r="BQ2238" s="48"/>
      <c r="BR2238" s="49"/>
      <c r="BS2238" s="13"/>
      <c r="BT2238" s="12"/>
      <c r="BV2238" s="14"/>
      <c r="BW2238" s="50"/>
      <c r="BX2238" s="54"/>
      <c r="BY2238" s="14"/>
      <c r="BZ2238" s="14"/>
      <c r="CA2238" s="14"/>
      <c r="CB2238" s="14"/>
      <c r="CC2238" s="14"/>
      <c r="CD2238" s="14"/>
      <c r="CE2238" s="14"/>
      <c r="CF2238" s="15"/>
      <c r="CG2238" s="14"/>
      <c r="CH2238" s="14"/>
      <c r="CI2238" s="50"/>
      <c r="CJ2238" s="54"/>
      <c r="CK2238" s="14"/>
      <c r="CL2238" s="14"/>
      <c r="CM2238" s="14"/>
      <c r="CN2238" s="14"/>
      <c r="CO2238" s="14"/>
      <c r="CP2238" s="14"/>
      <c r="CQ2238" s="14"/>
      <c r="CR2238" s="14"/>
      <c r="CS2238" s="14"/>
      <c r="CT2238" s="14"/>
      <c r="CU2238" s="16"/>
      <c r="CV2238" s="14"/>
      <c r="CW2238" s="50"/>
      <c r="CX2238" s="17"/>
    </row>
    <row r="2239" spans="4:102" x14ac:dyDescent="0.25">
      <c r="D2239" s="11"/>
      <c r="E2239" s="11"/>
      <c r="F2239" s="11"/>
      <c r="G2239" s="11"/>
      <c r="H2239" s="11"/>
      <c r="I2239" s="11"/>
      <c r="J2239" s="11"/>
      <c r="K2239" s="11"/>
      <c r="L2239" s="11"/>
      <c r="M2239" s="11"/>
      <c r="N2239" s="11"/>
      <c r="O2239" s="11"/>
      <c r="P2239" s="43"/>
      <c r="Q2239" s="11"/>
      <c r="R2239" s="11"/>
      <c r="S2239" s="11"/>
      <c r="T2239" s="11"/>
      <c r="U2239" s="11"/>
      <c r="V2239" s="11"/>
      <c r="W2239" s="11"/>
      <c r="X2239" s="12"/>
      <c r="Y2239" s="12"/>
      <c r="Z2239" s="12"/>
      <c r="AA2239" s="44"/>
      <c r="AB2239" s="45"/>
      <c r="AC2239" s="12"/>
      <c r="AD2239" s="12"/>
      <c r="AE2239" s="12"/>
      <c r="AF2239" s="12"/>
      <c r="AG2239" s="44"/>
      <c r="AH2239" s="45"/>
      <c r="AI2239" s="12"/>
      <c r="AJ2239" s="12"/>
      <c r="AK2239" s="12"/>
      <c r="AL2239" s="12"/>
      <c r="AM2239" s="44"/>
      <c r="AN2239" s="45"/>
      <c r="AO2239" s="12"/>
      <c r="AP2239" s="12"/>
      <c r="AQ2239" s="12"/>
      <c r="AR2239" s="12"/>
      <c r="AS2239" s="44"/>
      <c r="AT2239" s="45"/>
      <c r="AU2239" s="12"/>
      <c r="AV2239" s="12"/>
      <c r="AW2239" s="12"/>
      <c r="AX2239" s="12"/>
      <c r="AY2239" s="44"/>
      <c r="AZ2239" s="45"/>
      <c r="BA2239" s="12"/>
      <c r="BB2239" s="12"/>
      <c r="BC2239" s="12"/>
      <c r="BD2239" s="12"/>
      <c r="BE2239" s="44"/>
      <c r="BF2239" s="45"/>
      <c r="BG2239" s="12"/>
      <c r="BH2239" s="12"/>
      <c r="BI2239" s="12"/>
      <c r="BJ2239" s="12"/>
      <c r="BK2239" s="44"/>
      <c r="BL2239" s="45"/>
      <c r="BM2239" s="12"/>
      <c r="BN2239" s="12"/>
      <c r="BO2239" s="12"/>
      <c r="BP2239" s="12"/>
      <c r="BQ2239" s="48"/>
      <c r="BR2239" s="49"/>
      <c r="BS2239" s="13"/>
      <c r="BT2239" s="12"/>
      <c r="BV2239" s="14"/>
      <c r="BW2239" s="50"/>
      <c r="BX2239" s="54"/>
      <c r="BY2239" s="14"/>
      <c r="BZ2239" s="14"/>
      <c r="CA2239" s="14"/>
      <c r="CB2239" s="14"/>
      <c r="CC2239" s="14"/>
      <c r="CD2239" s="14"/>
      <c r="CE2239" s="14"/>
      <c r="CF2239" s="15"/>
      <c r="CG2239" s="14"/>
      <c r="CH2239" s="14"/>
      <c r="CI2239" s="50"/>
      <c r="CJ2239" s="54"/>
      <c r="CK2239" s="14"/>
      <c r="CL2239" s="14"/>
      <c r="CM2239" s="14"/>
      <c r="CN2239" s="14"/>
      <c r="CO2239" s="14"/>
      <c r="CP2239" s="14"/>
      <c r="CQ2239" s="14"/>
      <c r="CR2239" s="14"/>
      <c r="CS2239" s="14"/>
      <c r="CT2239" s="14"/>
      <c r="CU2239" s="16"/>
      <c r="CV2239" s="14"/>
      <c r="CW2239" s="50"/>
      <c r="CX2239" s="17"/>
    </row>
    <row r="2240" spans="4:102" x14ac:dyDescent="0.25">
      <c r="D2240" s="11"/>
      <c r="E2240" s="11"/>
      <c r="F2240" s="11"/>
      <c r="G2240" s="11"/>
      <c r="H2240" s="11"/>
      <c r="I2240" s="11"/>
      <c r="J2240" s="11"/>
      <c r="K2240" s="11"/>
      <c r="L2240" s="11"/>
      <c r="M2240" s="11"/>
      <c r="N2240" s="11"/>
      <c r="O2240" s="11"/>
      <c r="P2240" s="43"/>
      <c r="Q2240" s="11"/>
      <c r="R2240" s="11"/>
      <c r="S2240" s="11"/>
      <c r="T2240" s="11"/>
      <c r="U2240" s="11"/>
      <c r="V2240" s="11"/>
      <c r="W2240" s="11"/>
      <c r="X2240" s="12"/>
      <c r="Y2240" s="12"/>
      <c r="Z2240" s="12"/>
      <c r="AA2240" s="44"/>
      <c r="AB2240" s="45"/>
      <c r="AC2240" s="12"/>
      <c r="AD2240" s="12"/>
      <c r="AE2240" s="12"/>
      <c r="AF2240" s="12"/>
      <c r="AG2240" s="44"/>
      <c r="AH2240" s="45"/>
      <c r="AI2240" s="12"/>
      <c r="AJ2240" s="12"/>
      <c r="AK2240" s="12"/>
      <c r="AL2240" s="12"/>
      <c r="AM2240" s="44"/>
      <c r="AN2240" s="45"/>
      <c r="AO2240" s="12"/>
      <c r="AP2240" s="12"/>
      <c r="AQ2240" s="12"/>
      <c r="AR2240" s="12"/>
      <c r="AS2240" s="44"/>
      <c r="AT2240" s="45"/>
      <c r="AU2240" s="12"/>
      <c r="AV2240" s="12"/>
      <c r="AW2240" s="12"/>
      <c r="AX2240" s="12"/>
      <c r="AY2240" s="44"/>
      <c r="AZ2240" s="45"/>
      <c r="BA2240" s="12"/>
      <c r="BB2240" s="12"/>
      <c r="BC2240" s="12"/>
      <c r="BD2240" s="12"/>
      <c r="BE2240" s="44"/>
      <c r="BF2240" s="45"/>
      <c r="BG2240" s="12"/>
      <c r="BH2240" s="12"/>
      <c r="BI2240" s="12"/>
      <c r="BJ2240" s="12"/>
      <c r="BK2240" s="44"/>
      <c r="BL2240" s="45"/>
      <c r="BM2240" s="12"/>
      <c r="BN2240" s="12"/>
      <c r="BO2240" s="12"/>
      <c r="BP2240" s="12"/>
      <c r="BQ2240" s="48"/>
      <c r="BR2240" s="49"/>
      <c r="BS2240" s="13"/>
      <c r="BT2240" s="12"/>
      <c r="BV2240" s="14"/>
      <c r="BW2240" s="50"/>
      <c r="BX2240" s="54"/>
      <c r="BY2240" s="14"/>
      <c r="BZ2240" s="14"/>
      <c r="CA2240" s="14"/>
      <c r="CB2240" s="14"/>
      <c r="CC2240" s="14"/>
      <c r="CD2240" s="14"/>
      <c r="CE2240" s="14"/>
      <c r="CF2240" s="15"/>
      <c r="CG2240" s="14"/>
      <c r="CH2240" s="14"/>
      <c r="CI2240" s="50"/>
      <c r="CJ2240" s="54"/>
      <c r="CK2240" s="14"/>
      <c r="CL2240" s="14"/>
      <c r="CM2240" s="14"/>
      <c r="CN2240" s="14"/>
      <c r="CO2240" s="14"/>
      <c r="CP2240" s="14"/>
      <c r="CQ2240" s="14"/>
      <c r="CR2240" s="14"/>
      <c r="CS2240" s="14"/>
      <c r="CT2240" s="14"/>
      <c r="CU2240" s="16"/>
      <c r="CV2240" s="14"/>
      <c r="CW2240" s="50"/>
      <c r="CX2240" s="17"/>
    </row>
    <row r="2241" spans="4:102" x14ac:dyDescent="0.25">
      <c r="D2241" s="11"/>
      <c r="E2241" s="11"/>
      <c r="F2241" s="11"/>
      <c r="G2241" s="11"/>
      <c r="H2241" s="11"/>
      <c r="I2241" s="11"/>
      <c r="J2241" s="11"/>
      <c r="K2241" s="11"/>
      <c r="L2241" s="11"/>
      <c r="M2241" s="11"/>
      <c r="N2241" s="11"/>
      <c r="O2241" s="11"/>
      <c r="P2241" s="43"/>
      <c r="Q2241" s="11"/>
      <c r="R2241" s="11"/>
      <c r="S2241" s="11"/>
      <c r="T2241" s="11"/>
      <c r="U2241" s="11"/>
      <c r="V2241" s="11"/>
      <c r="W2241" s="11"/>
      <c r="X2241" s="12"/>
      <c r="Y2241" s="12"/>
      <c r="Z2241" s="12"/>
      <c r="AA2241" s="44"/>
      <c r="AB2241" s="45"/>
      <c r="AC2241" s="12"/>
      <c r="AD2241" s="12"/>
      <c r="AE2241" s="12"/>
      <c r="AF2241" s="12"/>
      <c r="AG2241" s="44"/>
      <c r="AH2241" s="45"/>
      <c r="AI2241" s="12"/>
      <c r="AJ2241" s="12"/>
      <c r="AK2241" s="12"/>
      <c r="AL2241" s="12"/>
      <c r="AM2241" s="44"/>
      <c r="AN2241" s="45"/>
      <c r="AO2241" s="12"/>
      <c r="AP2241" s="12"/>
      <c r="AQ2241" s="12"/>
      <c r="AR2241" s="12"/>
      <c r="AS2241" s="44"/>
      <c r="AT2241" s="45"/>
      <c r="AU2241" s="12"/>
      <c r="AV2241" s="12"/>
      <c r="AW2241" s="12"/>
      <c r="AX2241" s="12"/>
      <c r="AY2241" s="44"/>
      <c r="AZ2241" s="45"/>
      <c r="BA2241" s="12"/>
      <c r="BB2241" s="12"/>
      <c r="BC2241" s="12"/>
      <c r="BD2241" s="12"/>
      <c r="BE2241" s="44"/>
      <c r="BF2241" s="45"/>
      <c r="BG2241" s="12"/>
      <c r="BH2241" s="12"/>
      <c r="BI2241" s="12"/>
      <c r="BJ2241" s="12"/>
      <c r="BK2241" s="44"/>
      <c r="BL2241" s="45"/>
      <c r="BM2241" s="12"/>
      <c r="BN2241" s="12"/>
      <c r="BO2241" s="12"/>
      <c r="BP2241" s="12"/>
      <c r="BQ2241" s="48"/>
      <c r="BR2241" s="49"/>
      <c r="BS2241" s="13"/>
      <c r="BT2241" s="12"/>
      <c r="BV2241" s="14"/>
      <c r="BW2241" s="50"/>
      <c r="BX2241" s="54"/>
      <c r="BY2241" s="14"/>
      <c r="BZ2241" s="14"/>
      <c r="CA2241" s="14"/>
      <c r="CB2241" s="14"/>
      <c r="CC2241" s="14"/>
      <c r="CD2241" s="14"/>
      <c r="CE2241" s="14"/>
      <c r="CF2241" s="15"/>
      <c r="CG2241" s="14"/>
      <c r="CH2241" s="14"/>
      <c r="CI2241" s="50"/>
      <c r="CJ2241" s="54"/>
      <c r="CK2241" s="14"/>
      <c r="CL2241" s="14"/>
      <c r="CM2241" s="14"/>
      <c r="CN2241" s="14"/>
      <c r="CO2241" s="14"/>
      <c r="CP2241" s="14"/>
      <c r="CQ2241" s="14"/>
      <c r="CR2241" s="14"/>
      <c r="CS2241" s="14"/>
      <c r="CT2241" s="14"/>
      <c r="CU2241" s="16"/>
      <c r="CV2241" s="14"/>
      <c r="CW2241" s="50"/>
      <c r="CX2241" s="17"/>
    </row>
    <row r="2242" spans="4:102" x14ac:dyDescent="0.25">
      <c r="D2242" s="11"/>
      <c r="E2242" s="11"/>
      <c r="F2242" s="11"/>
      <c r="G2242" s="11"/>
      <c r="H2242" s="11"/>
      <c r="I2242" s="11"/>
      <c r="J2242" s="11"/>
      <c r="K2242" s="11"/>
      <c r="L2242" s="11"/>
      <c r="M2242" s="11"/>
      <c r="N2242" s="11"/>
      <c r="O2242" s="11"/>
      <c r="P2242" s="43"/>
      <c r="Q2242" s="11"/>
      <c r="R2242" s="11"/>
      <c r="S2242" s="11"/>
      <c r="T2242" s="11"/>
      <c r="U2242" s="11"/>
      <c r="V2242" s="11"/>
      <c r="W2242" s="11"/>
      <c r="X2242" s="12"/>
      <c r="Y2242" s="12"/>
      <c r="Z2242" s="12"/>
      <c r="AA2242" s="44"/>
      <c r="AB2242" s="45"/>
      <c r="AC2242" s="12"/>
      <c r="AD2242" s="12"/>
      <c r="AE2242" s="12"/>
      <c r="AF2242" s="12"/>
      <c r="AG2242" s="44"/>
      <c r="AH2242" s="45"/>
      <c r="AI2242" s="12"/>
      <c r="AJ2242" s="12"/>
      <c r="AK2242" s="12"/>
      <c r="AL2242" s="12"/>
      <c r="AM2242" s="44"/>
      <c r="AN2242" s="45"/>
      <c r="AO2242" s="12"/>
      <c r="AP2242" s="12"/>
      <c r="AQ2242" s="12"/>
      <c r="AR2242" s="12"/>
      <c r="AS2242" s="44"/>
      <c r="AT2242" s="45"/>
      <c r="AU2242" s="12"/>
      <c r="AV2242" s="12"/>
      <c r="AW2242" s="12"/>
      <c r="AX2242" s="12"/>
      <c r="AY2242" s="44"/>
      <c r="AZ2242" s="45"/>
      <c r="BA2242" s="12"/>
      <c r="BB2242" s="12"/>
      <c r="BC2242" s="12"/>
      <c r="BD2242" s="12"/>
      <c r="BE2242" s="44"/>
      <c r="BF2242" s="45"/>
      <c r="BG2242" s="12"/>
      <c r="BH2242" s="12"/>
      <c r="BI2242" s="12"/>
      <c r="BJ2242" s="12"/>
      <c r="BK2242" s="44"/>
      <c r="BL2242" s="45"/>
      <c r="BM2242" s="12"/>
      <c r="BN2242" s="12"/>
      <c r="BO2242" s="12"/>
      <c r="BP2242" s="12"/>
      <c r="BQ2242" s="48"/>
      <c r="BR2242" s="49"/>
      <c r="BS2242" s="13"/>
      <c r="BT2242" s="12"/>
      <c r="BV2242" s="14"/>
      <c r="BW2242" s="50"/>
      <c r="BX2242" s="54"/>
      <c r="BY2242" s="14"/>
      <c r="BZ2242" s="14"/>
      <c r="CA2242" s="14"/>
      <c r="CB2242" s="14"/>
      <c r="CC2242" s="14"/>
      <c r="CD2242" s="14"/>
      <c r="CE2242" s="14"/>
      <c r="CF2242" s="15"/>
      <c r="CG2242" s="14"/>
      <c r="CH2242" s="14"/>
      <c r="CI2242" s="50"/>
      <c r="CJ2242" s="54"/>
      <c r="CK2242" s="14"/>
      <c r="CL2242" s="14"/>
      <c r="CM2242" s="14"/>
      <c r="CN2242" s="14"/>
      <c r="CO2242" s="14"/>
      <c r="CP2242" s="14"/>
      <c r="CQ2242" s="14"/>
      <c r="CR2242" s="14"/>
      <c r="CS2242" s="14"/>
      <c r="CT2242" s="14"/>
      <c r="CU2242" s="16"/>
      <c r="CV2242" s="14"/>
      <c r="CW2242" s="50"/>
      <c r="CX2242" s="17"/>
    </row>
    <row r="2243" spans="4:102" x14ac:dyDescent="0.25">
      <c r="D2243" s="11"/>
      <c r="E2243" s="11"/>
      <c r="F2243" s="11"/>
      <c r="G2243" s="11"/>
      <c r="H2243" s="11"/>
      <c r="I2243" s="11"/>
      <c r="J2243" s="11"/>
      <c r="K2243" s="11"/>
      <c r="L2243" s="11"/>
      <c r="M2243" s="11"/>
      <c r="N2243" s="11"/>
      <c r="O2243" s="11"/>
      <c r="P2243" s="43"/>
      <c r="Q2243" s="11"/>
      <c r="R2243" s="11"/>
      <c r="S2243" s="11"/>
      <c r="T2243" s="11"/>
      <c r="U2243" s="11"/>
      <c r="V2243" s="11"/>
      <c r="W2243" s="11"/>
      <c r="X2243" s="12"/>
      <c r="Y2243" s="12"/>
      <c r="Z2243" s="12"/>
      <c r="AA2243" s="44"/>
      <c r="AB2243" s="45"/>
      <c r="AC2243" s="12"/>
      <c r="AD2243" s="12"/>
      <c r="AE2243" s="12"/>
      <c r="AF2243" s="12"/>
      <c r="AG2243" s="44"/>
      <c r="AH2243" s="45"/>
      <c r="AI2243" s="12"/>
      <c r="AJ2243" s="12"/>
      <c r="AK2243" s="12"/>
      <c r="AL2243" s="12"/>
      <c r="AM2243" s="44"/>
      <c r="AN2243" s="45"/>
      <c r="AO2243" s="12"/>
      <c r="AP2243" s="12"/>
      <c r="AQ2243" s="12"/>
      <c r="AR2243" s="12"/>
      <c r="AS2243" s="44"/>
      <c r="AT2243" s="45"/>
      <c r="AU2243" s="12"/>
      <c r="AV2243" s="12"/>
      <c r="AW2243" s="12"/>
      <c r="AX2243" s="12"/>
      <c r="AY2243" s="44"/>
      <c r="AZ2243" s="45"/>
      <c r="BA2243" s="12"/>
      <c r="BB2243" s="12"/>
      <c r="BC2243" s="12"/>
      <c r="BD2243" s="12"/>
      <c r="BE2243" s="44"/>
      <c r="BF2243" s="45"/>
      <c r="BG2243" s="12"/>
      <c r="BH2243" s="12"/>
      <c r="BI2243" s="12"/>
      <c r="BJ2243" s="12"/>
      <c r="BK2243" s="44"/>
      <c r="BL2243" s="45"/>
      <c r="BM2243" s="12"/>
      <c r="BN2243" s="12"/>
      <c r="BO2243" s="12"/>
      <c r="BP2243" s="12"/>
      <c r="BQ2243" s="48"/>
      <c r="BR2243" s="49"/>
      <c r="BS2243" s="13"/>
      <c r="BT2243" s="12"/>
      <c r="BV2243" s="14"/>
      <c r="BW2243" s="50"/>
      <c r="BX2243" s="54"/>
      <c r="BY2243" s="14"/>
      <c r="BZ2243" s="14"/>
      <c r="CA2243" s="14"/>
      <c r="CB2243" s="14"/>
      <c r="CC2243" s="14"/>
      <c r="CD2243" s="14"/>
      <c r="CE2243" s="14"/>
      <c r="CF2243" s="15"/>
      <c r="CG2243" s="14"/>
      <c r="CH2243" s="14"/>
      <c r="CI2243" s="50"/>
      <c r="CJ2243" s="54"/>
      <c r="CK2243" s="14"/>
      <c r="CL2243" s="14"/>
      <c r="CM2243" s="14"/>
      <c r="CN2243" s="14"/>
      <c r="CO2243" s="14"/>
      <c r="CP2243" s="14"/>
      <c r="CQ2243" s="14"/>
      <c r="CR2243" s="14"/>
      <c r="CS2243" s="14"/>
      <c r="CT2243" s="14"/>
      <c r="CU2243" s="16"/>
      <c r="CV2243" s="14"/>
      <c r="CW2243" s="50"/>
      <c r="CX2243" s="17"/>
    </row>
    <row r="2244" spans="4:102" x14ac:dyDescent="0.25">
      <c r="D2244" s="11"/>
      <c r="E2244" s="11"/>
      <c r="F2244" s="11"/>
      <c r="G2244" s="11"/>
      <c r="H2244" s="11"/>
      <c r="I2244" s="11"/>
      <c r="J2244" s="11"/>
      <c r="K2244" s="11"/>
      <c r="L2244" s="11"/>
      <c r="M2244" s="11"/>
      <c r="N2244" s="11"/>
      <c r="O2244" s="11"/>
      <c r="P2244" s="43"/>
      <c r="Q2244" s="11"/>
      <c r="R2244" s="11"/>
      <c r="S2244" s="11"/>
      <c r="T2244" s="11"/>
      <c r="U2244" s="11"/>
      <c r="V2244" s="11"/>
      <c r="W2244" s="11"/>
      <c r="X2244" s="12"/>
      <c r="Y2244" s="12"/>
      <c r="Z2244" s="12"/>
      <c r="AA2244" s="44"/>
      <c r="AB2244" s="45"/>
      <c r="AC2244" s="12"/>
      <c r="AD2244" s="12"/>
      <c r="AE2244" s="12"/>
      <c r="AF2244" s="12"/>
      <c r="AG2244" s="44"/>
      <c r="AH2244" s="45"/>
      <c r="AI2244" s="12"/>
      <c r="AJ2244" s="12"/>
      <c r="AK2244" s="12"/>
      <c r="AL2244" s="12"/>
      <c r="AM2244" s="44"/>
      <c r="AN2244" s="45"/>
      <c r="AO2244" s="12"/>
      <c r="AP2244" s="12"/>
      <c r="AQ2244" s="12"/>
      <c r="AR2244" s="12"/>
      <c r="AS2244" s="44"/>
      <c r="AT2244" s="45"/>
      <c r="AU2244" s="12"/>
      <c r="AV2244" s="12"/>
      <c r="AW2244" s="12"/>
      <c r="AX2244" s="12"/>
      <c r="AY2244" s="44"/>
      <c r="AZ2244" s="45"/>
      <c r="BA2244" s="12"/>
      <c r="BB2244" s="12"/>
      <c r="BC2244" s="12"/>
      <c r="BD2244" s="12"/>
      <c r="BE2244" s="44"/>
      <c r="BF2244" s="45"/>
      <c r="BG2244" s="12"/>
      <c r="BH2244" s="12"/>
      <c r="BI2244" s="12"/>
      <c r="BJ2244" s="12"/>
      <c r="BK2244" s="44"/>
      <c r="BL2244" s="45"/>
      <c r="BM2244" s="12"/>
      <c r="BN2244" s="12"/>
      <c r="BO2244" s="12"/>
      <c r="BP2244" s="12"/>
      <c r="BQ2244" s="48"/>
      <c r="BR2244" s="49"/>
      <c r="BS2244" s="13"/>
      <c r="BT2244" s="12"/>
      <c r="BV2244" s="14"/>
      <c r="BW2244" s="50"/>
      <c r="BX2244" s="54"/>
      <c r="BY2244" s="14"/>
      <c r="BZ2244" s="14"/>
      <c r="CA2244" s="14"/>
      <c r="CB2244" s="14"/>
      <c r="CC2244" s="14"/>
      <c r="CD2244" s="14"/>
      <c r="CE2244" s="14"/>
      <c r="CF2244" s="15"/>
      <c r="CG2244" s="14"/>
      <c r="CH2244" s="14"/>
      <c r="CI2244" s="50"/>
      <c r="CJ2244" s="54"/>
      <c r="CK2244" s="14"/>
      <c r="CL2244" s="14"/>
      <c r="CM2244" s="14"/>
      <c r="CN2244" s="14"/>
      <c r="CO2244" s="14"/>
      <c r="CP2244" s="14"/>
      <c r="CQ2244" s="14"/>
      <c r="CR2244" s="14"/>
      <c r="CS2244" s="14"/>
      <c r="CT2244" s="14"/>
      <c r="CU2244" s="16"/>
      <c r="CV2244" s="14"/>
      <c r="CW2244" s="50"/>
      <c r="CX2244" s="17"/>
    </row>
    <row r="2245" spans="4:102" x14ac:dyDescent="0.25">
      <c r="D2245" s="11"/>
      <c r="E2245" s="11"/>
      <c r="F2245" s="11"/>
      <c r="G2245" s="11"/>
      <c r="H2245" s="11"/>
      <c r="I2245" s="11"/>
      <c r="J2245" s="11"/>
      <c r="K2245" s="11"/>
      <c r="L2245" s="11"/>
      <c r="M2245" s="11"/>
      <c r="N2245" s="11"/>
      <c r="O2245" s="11"/>
      <c r="P2245" s="43"/>
      <c r="Q2245" s="11"/>
      <c r="R2245" s="11"/>
      <c r="S2245" s="11"/>
      <c r="T2245" s="11"/>
      <c r="U2245" s="11"/>
      <c r="V2245" s="11"/>
      <c r="W2245" s="11"/>
      <c r="X2245" s="12"/>
      <c r="Y2245" s="12"/>
      <c r="Z2245" s="12"/>
      <c r="AA2245" s="44"/>
      <c r="AB2245" s="45"/>
      <c r="AC2245" s="12"/>
      <c r="AD2245" s="12"/>
      <c r="AE2245" s="12"/>
      <c r="AF2245" s="12"/>
      <c r="AG2245" s="44"/>
      <c r="AH2245" s="45"/>
      <c r="AI2245" s="12"/>
      <c r="AJ2245" s="12"/>
      <c r="AK2245" s="12"/>
      <c r="AL2245" s="12"/>
      <c r="AM2245" s="44"/>
      <c r="AN2245" s="45"/>
      <c r="AO2245" s="12"/>
      <c r="AP2245" s="12"/>
      <c r="AQ2245" s="12"/>
      <c r="AR2245" s="12"/>
      <c r="AS2245" s="44"/>
      <c r="AT2245" s="45"/>
      <c r="AU2245" s="12"/>
      <c r="AV2245" s="12"/>
      <c r="AW2245" s="12"/>
      <c r="AX2245" s="12"/>
      <c r="AY2245" s="44"/>
      <c r="AZ2245" s="45"/>
      <c r="BA2245" s="12"/>
      <c r="BB2245" s="12"/>
      <c r="BC2245" s="12"/>
      <c r="BD2245" s="12"/>
      <c r="BE2245" s="44"/>
      <c r="BF2245" s="45"/>
      <c r="BG2245" s="12"/>
      <c r="BH2245" s="12"/>
      <c r="BI2245" s="12"/>
      <c r="BJ2245" s="12"/>
      <c r="BK2245" s="44"/>
      <c r="BL2245" s="45"/>
      <c r="BM2245" s="12"/>
      <c r="BN2245" s="12"/>
      <c r="BO2245" s="12"/>
      <c r="BP2245" s="12"/>
      <c r="BQ2245" s="48"/>
      <c r="BR2245" s="49"/>
      <c r="BS2245" s="13"/>
      <c r="BT2245" s="12"/>
      <c r="BV2245" s="14"/>
      <c r="BW2245" s="50"/>
      <c r="BX2245" s="54"/>
      <c r="BY2245" s="14"/>
      <c r="BZ2245" s="14"/>
      <c r="CA2245" s="14"/>
      <c r="CB2245" s="14"/>
      <c r="CC2245" s="14"/>
      <c r="CD2245" s="14"/>
      <c r="CE2245" s="14"/>
      <c r="CF2245" s="15"/>
      <c r="CG2245" s="14"/>
      <c r="CH2245" s="14"/>
      <c r="CI2245" s="50"/>
      <c r="CJ2245" s="54"/>
      <c r="CK2245" s="14"/>
      <c r="CL2245" s="14"/>
      <c r="CM2245" s="14"/>
      <c r="CN2245" s="14"/>
      <c r="CO2245" s="14"/>
      <c r="CP2245" s="14"/>
      <c r="CQ2245" s="14"/>
      <c r="CR2245" s="14"/>
      <c r="CS2245" s="14"/>
      <c r="CT2245" s="14"/>
      <c r="CU2245" s="16"/>
      <c r="CV2245" s="14"/>
      <c r="CW2245" s="50"/>
      <c r="CX2245" s="17"/>
    </row>
    <row r="2246" spans="4:102" x14ac:dyDescent="0.25">
      <c r="D2246" s="11"/>
      <c r="E2246" s="11"/>
      <c r="F2246" s="11"/>
      <c r="G2246" s="11"/>
      <c r="H2246" s="11"/>
      <c r="I2246" s="11"/>
      <c r="J2246" s="11"/>
      <c r="K2246" s="11"/>
      <c r="L2246" s="11"/>
      <c r="M2246" s="11"/>
      <c r="N2246" s="11"/>
      <c r="O2246" s="11"/>
      <c r="P2246" s="43"/>
      <c r="Q2246" s="11"/>
      <c r="R2246" s="11"/>
      <c r="S2246" s="11"/>
      <c r="T2246" s="11"/>
      <c r="U2246" s="11"/>
      <c r="V2246" s="11"/>
      <c r="W2246" s="11"/>
      <c r="X2246" s="12"/>
      <c r="Y2246" s="12"/>
      <c r="Z2246" s="12"/>
      <c r="AA2246" s="44"/>
      <c r="AB2246" s="45"/>
      <c r="AC2246" s="12"/>
      <c r="AD2246" s="12"/>
      <c r="AE2246" s="12"/>
      <c r="AF2246" s="12"/>
      <c r="AG2246" s="44"/>
      <c r="AH2246" s="45"/>
      <c r="AI2246" s="12"/>
      <c r="AJ2246" s="12"/>
      <c r="AK2246" s="12"/>
      <c r="AL2246" s="12"/>
      <c r="AM2246" s="44"/>
      <c r="AN2246" s="45"/>
      <c r="AO2246" s="12"/>
      <c r="AP2246" s="12"/>
      <c r="AQ2246" s="12"/>
      <c r="AR2246" s="12"/>
      <c r="AS2246" s="44"/>
      <c r="AT2246" s="45"/>
      <c r="AU2246" s="12"/>
      <c r="AV2246" s="12"/>
      <c r="AW2246" s="12"/>
      <c r="AX2246" s="12"/>
      <c r="AY2246" s="44"/>
      <c r="AZ2246" s="45"/>
      <c r="BA2246" s="12"/>
      <c r="BB2246" s="12"/>
      <c r="BC2246" s="12"/>
      <c r="BD2246" s="12"/>
      <c r="BE2246" s="44"/>
      <c r="BF2246" s="45"/>
      <c r="BG2246" s="12"/>
      <c r="BH2246" s="12"/>
      <c r="BI2246" s="12"/>
      <c r="BJ2246" s="12"/>
      <c r="BK2246" s="44"/>
      <c r="BL2246" s="45"/>
      <c r="BM2246" s="12"/>
      <c r="BN2246" s="12"/>
      <c r="BO2246" s="12"/>
      <c r="BP2246" s="12"/>
      <c r="BQ2246" s="48"/>
      <c r="BR2246" s="49"/>
      <c r="BS2246" s="13"/>
      <c r="BT2246" s="12"/>
      <c r="BV2246" s="14"/>
      <c r="BW2246" s="50"/>
      <c r="BX2246" s="54"/>
      <c r="BY2246" s="14"/>
      <c r="BZ2246" s="14"/>
      <c r="CA2246" s="14"/>
      <c r="CB2246" s="14"/>
      <c r="CC2246" s="14"/>
      <c r="CD2246" s="14"/>
      <c r="CE2246" s="14"/>
      <c r="CF2246" s="15"/>
      <c r="CG2246" s="14"/>
      <c r="CH2246" s="14"/>
      <c r="CI2246" s="50"/>
      <c r="CJ2246" s="54"/>
      <c r="CK2246" s="14"/>
      <c r="CL2246" s="14"/>
      <c r="CM2246" s="14"/>
      <c r="CN2246" s="14"/>
      <c r="CO2246" s="14"/>
      <c r="CP2246" s="14"/>
      <c r="CQ2246" s="14"/>
      <c r="CR2246" s="14"/>
      <c r="CS2246" s="14"/>
      <c r="CT2246" s="14"/>
      <c r="CU2246" s="16"/>
      <c r="CV2246" s="14"/>
      <c r="CW2246" s="50"/>
      <c r="CX2246" s="17"/>
    </row>
    <row r="2247" spans="4:102" x14ac:dyDescent="0.25">
      <c r="D2247" s="11"/>
      <c r="E2247" s="11"/>
      <c r="F2247" s="11"/>
      <c r="G2247" s="11"/>
      <c r="H2247" s="11"/>
      <c r="I2247" s="11"/>
      <c r="J2247" s="11"/>
      <c r="K2247" s="11"/>
      <c r="L2247" s="11"/>
      <c r="M2247" s="11"/>
      <c r="N2247" s="11"/>
      <c r="O2247" s="11"/>
      <c r="P2247" s="43"/>
      <c r="Q2247" s="11"/>
      <c r="R2247" s="11"/>
      <c r="S2247" s="11"/>
      <c r="T2247" s="11"/>
      <c r="U2247" s="11"/>
      <c r="V2247" s="11"/>
      <c r="W2247" s="11"/>
      <c r="X2247" s="12"/>
      <c r="Y2247" s="12"/>
      <c r="Z2247" s="12"/>
      <c r="AA2247" s="44"/>
      <c r="AB2247" s="45"/>
      <c r="AC2247" s="12"/>
      <c r="AD2247" s="12"/>
      <c r="AE2247" s="12"/>
      <c r="AF2247" s="12"/>
      <c r="AG2247" s="44"/>
      <c r="AH2247" s="45"/>
      <c r="AI2247" s="12"/>
      <c r="AJ2247" s="12"/>
      <c r="AK2247" s="12"/>
      <c r="AL2247" s="12"/>
      <c r="AM2247" s="44"/>
      <c r="AN2247" s="45"/>
      <c r="AO2247" s="12"/>
      <c r="AP2247" s="12"/>
      <c r="AQ2247" s="12"/>
      <c r="AR2247" s="12"/>
      <c r="AS2247" s="44"/>
      <c r="AT2247" s="45"/>
      <c r="AU2247" s="12"/>
      <c r="AV2247" s="12"/>
      <c r="AW2247" s="12"/>
      <c r="AX2247" s="12"/>
      <c r="AY2247" s="44"/>
      <c r="AZ2247" s="45"/>
      <c r="BA2247" s="12"/>
      <c r="BB2247" s="12"/>
      <c r="BC2247" s="12"/>
      <c r="BD2247" s="12"/>
      <c r="BE2247" s="44"/>
      <c r="BF2247" s="45"/>
      <c r="BG2247" s="12"/>
      <c r="BH2247" s="12"/>
      <c r="BI2247" s="12"/>
      <c r="BJ2247" s="12"/>
      <c r="BK2247" s="44"/>
      <c r="BL2247" s="45"/>
      <c r="BM2247" s="12"/>
      <c r="BN2247" s="12"/>
      <c r="BO2247" s="12"/>
      <c r="BP2247" s="12"/>
      <c r="BQ2247" s="48"/>
      <c r="BR2247" s="49"/>
      <c r="BS2247" s="13"/>
      <c r="BT2247" s="12"/>
      <c r="BV2247" s="14"/>
      <c r="BW2247" s="50"/>
      <c r="BX2247" s="54"/>
      <c r="BY2247" s="14"/>
      <c r="BZ2247" s="14"/>
      <c r="CA2247" s="14"/>
      <c r="CB2247" s="14"/>
      <c r="CC2247" s="14"/>
      <c r="CD2247" s="14"/>
      <c r="CE2247" s="14"/>
      <c r="CF2247" s="15"/>
      <c r="CG2247" s="14"/>
      <c r="CH2247" s="14"/>
      <c r="CI2247" s="50"/>
      <c r="CJ2247" s="54"/>
      <c r="CK2247" s="14"/>
      <c r="CL2247" s="14"/>
      <c r="CM2247" s="14"/>
      <c r="CN2247" s="14"/>
      <c r="CO2247" s="14"/>
      <c r="CP2247" s="14"/>
      <c r="CQ2247" s="14"/>
      <c r="CR2247" s="14"/>
      <c r="CS2247" s="14"/>
      <c r="CT2247" s="14"/>
      <c r="CU2247" s="16"/>
      <c r="CV2247" s="14"/>
      <c r="CW2247" s="50"/>
      <c r="CX2247" s="17"/>
    </row>
    <row r="2248" spans="4:102" x14ac:dyDescent="0.25">
      <c r="D2248" s="11"/>
      <c r="E2248" s="11"/>
      <c r="F2248" s="11"/>
      <c r="G2248" s="11"/>
      <c r="H2248" s="11"/>
      <c r="I2248" s="11"/>
      <c r="J2248" s="11"/>
      <c r="K2248" s="11"/>
      <c r="L2248" s="11"/>
      <c r="M2248" s="11"/>
      <c r="N2248" s="11"/>
      <c r="O2248" s="11"/>
      <c r="P2248" s="43"/>
      <c r="Q2248" s="11"/>
      <c r="R2248" s="11"/>
      <c r="S2248" s="11"/>
      <c r="T2248" s="11"/>
      <c r="U2248" s="11"/>
      <c r="V2248" s="11"/>
      <c r="W2248" s="11"/>
      <c r="X2248" s="12"/>
      <c r="Y2248" s="12"/>
      <c r="Z2248" s="12"/>
      <c r="AA2248" s="44"/>
      <c r="AB2248" s="45"/>
      <c r="AC2248" s="12"/>
      <c r="AD2248" s="12"/>
      <c r="AE2248" s="12"/>
      <c r="AF2248" s="12"/>
      <c r="AG2248" s="44"/>
      <c r="AH2248" s="45"/>
      <c r="AI2248" s="12"/>
      <c r="AJ2248" s="12"/>
      <c r="AK2248" s="12"/>
      <c r="AL2248" s="12"/>
      <c r="AM2248" s="44"/>
      <c r="AN2248" s="45"/>
      <c r="AO2248" s="12"/>
      <c r="AP2248" s="12"/>
      <c r="AQ2248" s="12"/>
      <c r="AR2248" s="12"/>
      <c r="AS2248" s="44"/>
      <c r="AT2248" s="45"/>
      <c r="AU2248" s="12"/>
      <c r="AV2248" s="12"/>
      <c r="AW2248" s="12"/>
      <c r="AX2248" s="12"/>
      <c r="AY2248" s="44"/>
      <c r="AZ2248" s="45"/>
      <c r="BA2248" s="12"/>
      <c r="BB2248" s="12"/>
      <c r="BC2248" s="12"/>
      <c r="BD2248" s="12"/>
      <c r="BE2248" s="44"/>
      <c r="BF2248" s="45"/>
      <c r="BG2248" s="12"/>
      <c r="BH2248" s="12"/>
      <c r="BI2248" s="12"/>
      <c r="BJ2248" s="12"/>
      <c r="BK2248" s="44"/>
      <c r="BL2248" s="45"/>
      <c r="BM2248" s="12"/>
      <c r="BN2248" s="12"/>
      <c r="BO2248" s="12"/>
      <c r="BP2248" s="12"/>
      <c r="BQ2248" s="48"/>
      <c r="BR2248" s="49"/>
      <c r="BS2248" s="13"/>
      <c r="BT2248" s="12"/>
      <c r="BV2248" s="14"/>
      <c r="BW2248" s="50"/>
      <c r="BX2248" s="54"/>
      <c r="BY2248" s="14"/>
      <c r="BZ2248" s="14"/>
      <c r="CA2248" s="14"/>
      <c r="CB2248" s="14"/>
      <c r="CC2248" s="14"/>
      <c r="CD2248" s="14"/>
      <c r="CE2248" s="14"/>
      <c r="CF2248" s="15"/>
      <c r="CG2248" s="14"/>
      <c r="CH2248" s="14"/>
      <c r="CI2248" s="50"/>
      <c r="CJ2248" s="54"/>
      <c r="CK2248" s="14"/>
      <c r="CL2248" s="14"/>
      <c r="CM2248" s="14"/>
      <c r="CN2248" s="14"/>
      <c r="CO2248" s="14"/>
      <c r="CP2248" s="14"/>
      <c r="CQ2248" s="14"/>
      <c r="CR2248" s="14"/>
      <c r="CS2248" s="14"/>
      <c r="CT2248" s="14"/>
      <c r="CU2248" s="16"/>
      <c r="CV2248" s="14"/>
      <c r="CW2248" s="50"/>
      <c r="CX2248" s="17"/>
    </row>
    <row r="2249" spans="4:102" x14ac:dyDescent="0.25">
      <c r="D2249" s="11"/>
      <c r="E2249" s="11"/>
      <c r="F2249" s="11"/>
      <c r="G2249" s="11"/>
      <c r="H2249" s="11"/>
      <c r="I2249" s="11"/>
      <c r="J2249" s="11"/>
      <c r="K2249" s="11"/>
      <c r="L2249" s="11"/>
      <c r="M2249" s="11"/>
      <c r="N2249" s="11"/>
      <c r="O2249" s="11"/>
      <c r="P2249" s="43"/>
      <c r="Q2249" s="11"/>
      <c r="R2249" s="11"/>
      <c r="S2249" s="11"/>
      <c r="T2249" s="11"/>
      <c r="U2249" s="11"/>
      <c r="V2249" s="11"/>
      <c r="W2249" s="11"/>
      <c r="X2249" s="12"/>
      <c r="Y2249" s="12"/>
      <c r="Z2249" s="12"/>
      <c r="AA2249" s="44"/>
      <c r="AB2249" s="45"/>
      <c r="AC2249" s="12"/>
      <c r="AD2249" s="12"/>
      <c r="AE2249" s="12"/>
      <c r="AF2249" s="12"/>
      <c r="AG2249" s="44"/>
      <c r="AH2249" s="45"/>
      <c r="AI2249" s="12"/>
      <c r="AJ2249" s="12"/>
      <c r="AK2249" s="12"/>
      <c r="AL2249" s="12"/>
      <c r="AM2249" s="44"/>
      <c r="AN2249" s="45"/>
      <c r="AO2249" s="12"/>
      <c r="AP2249" s="12"/>
      <c r="AQ2249" s="12"/>
      <c r="AR2249" s="12"/>
      <c r="AS2249" s="44"/>
      <c r="AT2249" s="45"/>
      <c r="AU2249" s="12"/>
      <c r="AV2249" s="12"/>
      <c r="AW2249" s="12"/>
      <c r="AX2249" s="12"/>
      <c r="AY2249" s="44"/>
      <c r="AZ2249" s="45"/>
      <c r="BA2249" s="12"/>
      <c r="BB2249" s="12"/>
      <c r="BC2249" s="12"/>
      <c r="BD2249" s="12"/>
      <c r="BE2249" s="44"/>
      <c r="BF2249" s="45"/>
      <c r="BG2249" s="12"/>
      <c r="BH2249" s="12"/>
      <c r="BI2249" s="12"/>
      <c r="BJ2249" s="12"/>
      <c r="BK2249" s="44"/>
      <c r="BL2249" s="45"/>
      <c r="BM2249" s="12"/>
      <c r="BN2249" s="12"/>
      <c r="BO2249" s="12"/>
      <c r="BP2249" s="12"/>
      <c r="BQ2249" s="48"/>
      <c r="BR2249" s="49"/>
      <c r="BS2249" s="13"/>
      <c r="BT2249" s="12"/>
      <c r="BV2249" s="14"/>
      <c r="BW2249" s="50"/>
      <c r="BX2249" s="54"/>
      <c r="BY2249" s="14"/>
      <c r="BZ2249" s="14"/>
      <c r="CA2249" s="14"/>
      <c r="CB2249" s="14"/>
      <c r="CC2249" s="14"/>
      <c r="CD2249" s="14"/>
      <c r="CE2249" s="14"/>
      <c r="CF2249" s="15"/>
      <c r="CG2249" s="14"/>
      <c r="CH2249" s="14"/>
      <c r="CI2249" s="50"/>
      <c r="CJ2249" s="54"/>
      <c r="CK2249" s="14"/>
      <c r="CL2249" s="14"/>
      <c r="CM2249" s="14"/>
      <c r="CN2249" s="14"/>
      <c r="CO2249" s="14"/>
      <c r="CP2249" s="14"/>
      <c r="CQ2249" s="14"/>
      <c r="CR2249" s="14"/>
      <c r="CS2249" s="14"/>
      <c r="CT2249" s="14"/>
      <c r="CU2249" s="16"/>
      <c r="CV2249" s="14"/>
      <c r="CW2249" s="50"/>
      <c r="CX2249" s="17"/>
    </row>
    <row r="2250" spans="4:102" x14ac:dyDescent="0.25">
      <c r="D2250" s="11"/>
      <c r="E2250" s="11"/>
      <c r="F2250" s="11"/>
      <c r="G2250" s="11"/>
      <c r="H2250" s="11"/>
      <c r="I2250" s="11"/>
      <c r="J2250" s="11"/>
      <c r="K2250" s="11"/>
      <c r="L2250" s="11"/>
      <c r="M2250" s="11"/>
      <c r="N2250" s="11"/>
      <c r="O2250" s="11"/>
      <c r="P2250" s="43"/>
      <c r="Q2250" s="11"/>
      <c r="R2250" s="11"/>
      <c r="S2250" s="11"/>
      <c r="T2250" s="11"/>
      <c r="U2250" s="11"/>
      <c r="V2250" s="11"/>
      <c r="W2250" s="11"/>
      <c r="X2250" s="12"/>
      <c r="Y2250" s="12"/>
      <c r="Z2250" s="12"/>
      <c r="AA2250" s="44"/>
      <c r="AB2250" s="45"/>
      <c r="AC2250" s="12"/>
      <c r="AD2250" s="12"/>
      <c r="AE2250" s="12"/>
      <c r="AF2250" s="12"/>
      <c r="AG2250" s="44"/>
      <c r="AH2250" s="45"/>
      <c r="AI2250" s="12"/>
      <c r="AJ2250" s="12"/>
      <c r="AK2250" s="12"/>
      <c r="AL2250" s="12"/>
      <c r="AM2250" s="44"/>
      <c r="AN2250" s="45"/>
      <c r="AO2250" s="12"/>
      <c r="AP2250" s="12"/>
      <c r="AQ2250" s="12"/>
      <c r="AR2250" s="12"/>
      <c r="AS2250" s="44"/>
      <c r="AT2250" s="45"/>
      <c r="AU2250" s="12"/>
      <c r="AV2250" s="12"/>
      <c r="AW2250" s="12"/>
      <c r="AX2250" s="12"/>
      <c r="AY2250" s="44"/>
      <c r="AZ2250" s="45"/>
      <c r="BA2250" s="12"/>
      <c r="BB2250" s="12"/>
      <c r="BC2250" s="12"/>
      <c r="BD2250" s="12"/>
      <c r="BE2250" s="44"/>
      <c r="BF2250" s="45"/>
      <c r="BG2250" s="12"/>
      <c r="BH2250" s="12"/>
      <c r="BI2250" s="12"/>
      <c r="BJ2250" s="12"/>
      <c r="BK2250" s="44"/>
      <c r="BL2250" s="45"/>
      <c r="BM2250" s="12"/>
      <c r="BN2250" s="12"/>
      <c r="BO2250" s="12"/>
      <c r="BP2250" s="12"/>
      <c r="BQ2250" s="48"/>
      <c r="BR2250" s="49"/>
      <c r="BS2250" s="13"/>
      <c r="BT2250" s="12"/>
      <c r="BV2250" s="14"/>
      <c r="BW2250" s="50"/>
      <c r="BX2250" s="54"/>
      <c r="BY2250" s="14"/>
      <c r="BZ2250" s="14"/>
      <c r="CA2250" s="14"/>
      <c r="CB2250" s="14"/>
      <c r="CC2250" s="14"/>
      <c r="CD2250" s="14"/>
      <c r="CE2250" s="14"/>
      <c r="CF2250" s="15"/>
      <c r="CG2250" s="14"/>
      <c r="CH2250" s="14"/>
      <c r="CI2250" s="50"/>
      <c r="CJ2250" s="54"/>
      <c r="CK2250" s="14"/>
      <c r="CL2250" s="14"/>
      <c r="CM2250" s="14"/>
      <c r="CN2250" s="14"/>
      <c r="CO2250" s="14"/>
      <c r="CP2250" s="14"/>
      <c r="CQ2250" s="14"/>
      <c r="CR2250" s="14"/>
      <c r="CS2250" s="14"/>
      <c r="CT2250" s="14"/>
      <c r="CU2250" s="16"/>
      <c r="CV2250" s="14"/>
      <c r="CW2250" s="50"/>
      <c r="CX2250" s="17"/>
    </row>
    <row r="2251" spans="4:102" x14ac:dyDescent="0.25">
      <c r="D2251" s="11"/>
      <c r="E2251" s="11"/>
      <c r="F2251" s="11"/>
      <c r="G2251" s="11"/>
      <c r="H2251" s="11"/>
      <c r="I2251" s="11"/>
      <c r="J2251" s="11"/>
      <c r="K2251" s="11"/>
      <c r="L2251" s="11"/>
      <c r="M2251" s="11"/>
      <c r="N2251" s="11"/>
      <c r="O2251" s="11"/>
      <c r="P2251" s="43"/>
      <c r="Q2251" s="11"/>
      <c r="R2251" s="11"/>
      <c r="S2251" s="11"/>
      <c r="T2251" s="11"/>
      <c r="U2251" s="11"/>
      <c r="V2251" s="11"/>
      <c r="W2251" s="11"/>
      <c r="X2251" s="12"/>
      <c r="Y2251" s="12"/>
      <c r="Z2251" s="12"/>
      <c r="AA2251" s="44"/>
      <c r="AB2251" s="45"/>
      <c r="AC2251" s="12"/>
      <c r="AD2251" s="12"/>
      <c r="AE2251" s="12"/>
      <c r="AF2251" s="12"/>
      <c r="AG2251" s="44"/>
      <c r="AH2251" s="45"/>
      <c r="AI2251" s="12"/>
      <c r="AJ2251" s="12"/>
      <c r="AK2251" s="12"/>
      <c r="AL2251" s="12"/>
      <c r="AM2251" s="44"/>
      <c r="AN2251" s="45"/>
      <c r="AO2251" s="12"/>
      <c r="AP2251" s="12"/>
      <c r="AQ2251" s="12"/>
      <c r="AR2251" s="12"/>
      <c r="AS2251" s="44"/>
      <c r="AT2251" s="45"/>
      <c r="AU2251" s="12"/>
      <c r="AV2251" s="12"/>
      <c r="AW2251" s="12"/>
      <c r="AX2251" s="12"/>
      <c r="AY2251" s="44"/>
      <c r="AZ2251" s="45"/>
      <c r="BA2251" s="12"/>
      <c r="BB2251" s="12"/>
      <c r="BC2251" s="12"/>
      <c r="BD2251" s="12"/>
      <c r="BE2251" s="44"/>
      <c r="BF2251" s="45"/>
      <c r="BG2251" s="12"/>
      <c r="BH2251" s="12"/>
      <c r="BI2251" s="12"/>
      <c r="BJ2251" s="12"/>
      <c r="BK2251" s="44"/>
      <c r="BL2251" s="45"/>
      <c r="BM2251" s="12"/>
      <c r="BN2251" s="12"/>
      <c r="BO2251" s="12"/>
      <c r="BP2251" s="12"/>
      <c r="BQ2251" s="48"/>
      <c r="BR2251" s="49"/>
      <c r="BS2251" s="13"/>
      <c r="BT2251" s="12"/>
      <c r="BV2251" s="14"/>
      <c r="BW2251" s="50"/>
      <c r="BX2251" s="54"/>
      <c r="BY2251" s="14"/>
      <c r="BZ2251" s="14"/>
      <c r="CA2251" s="14"/>
      <c r="CB2251" s="14"/>
      <c r="CC2251" s="14"/>
      <c r="CD2251" s="14"/>
      <c r="CE2251" s="14"/>
      <c r="CF2251" s="15"/>
      <c r="CG2251" s="14"/>
      <c r="CH2251" s="14"/>
      <c r="CI2251" s="50"/>
      <c r="CJ2251" s="54"/>
      <c r="CK2251" s="14"/>
      <c r="CL2251" s="14"/>
      <c r="CM2251" s="14"/>
      <c r="CN2251" s="14"/>
      <c r="CO2251" s="14"/>
      <c r="CP2251" s="14"/>
      <c r="CQ2251" s="14"/>
      <c r="CR2251" s="14"/>
      <c r="CS2251" s="14"/>
      <c r="CT2251" s="14"/>
      <c r="CU2251" s="16"/>
      <c r="CV2251" s="14"/>
      <c r="CW2251" s="50"/>
      <c r="CX2251" s="17"/>
    </row>
    <row r="2252" spans="4:102" x14ac:dyDescent="0.25">
      <c r="D2252" s="11"/>
      <c r="E2252" s="11"/>
      <c r="F2252" s="11"/>
      <c r="G2252" s="11"/>
      <c r="H2252" s="11"/>
      <c r="I2252" s="11"/>
      <c r="J2252" s="11"/>
      <c r="K2252" s="11"/>
      <c r="L2252" s="11"/>
      <c r="M2252" s="11"/>
      <c r="N2252" s="11"/>
      <c r="O2252" s="11"/>
      <c r="P2252" s="43"/>
      <c r="Q2252" s="11"/>
      <c r="R2252" s="11"/>
      <c r="S2252" s="11"/>
      <c r="T2252" s="11"/>
      <c r="U2252" s="11"/>
      <c r="V2252" s="11"/>
      <c r="W2252" s="11"/>
      <c r="X2252" s="12"/>
      <c r="Y2252" s="12"/>
      <c r="Z2252" s="12"/>
      <c r="AA2252" s="44"/>
      <c r="AB2252" s="45"/>
      <c r="AC2252" s="12"/>
      <c r="AD2252" s="12"/>
      <c r="AE2252" s="12"/>
      <c r="AF2252" s="12"/>
      <c r="AG2252" s="44"/>
      <c r="AH2252" s="45"/>
      <c r="AI2252" s="12"/>
      <c r="AJ2252" s="12"/>
      <c r="AK2252" s="12"/>
      <c r="AL2252" s="12"/>
      <c r="AM2252" s="44"/>
      <c r="AN2252" s="45"/>
      <c r="AO2252" s="12"/>
      <c r="AP2252" s="12"/>
      <c r="AQ2252" s="12"/>
      <c r="AR2252" s="12"/>
      <c r="AS2252" s="44"/>
      <c r="AT2252" s="45"/>
      <c r="AU2252" s="12"/>
      <c r="AV2252" s="12"/>
      <c r="AW2252" s="12"/>
      <c r="AX2252" s="12"/>
      <c r="AY2252" s="44"/>
      <c r="AZ2252" s="45"/>
      <c r="BA2252" s="12"/>
      <c r="BB2252" s="12"/>
      <c r="BC2252" s="12"/>
      <c r="BD2252" s="12"/>
      <c r="BE2252" s="44"/>
      <c r="BF2252" s="45"/>
      <c r="BG2252" s="12"/>
      <c r="BH2252" s="12"/>
      <c r="BI2252" s="12"/>
      <c r="BJ2252" s="12"/>
      <c r="BK2252" s="44"/>
      <c r="BL2252" s="45"/>
      <c r="BM2252" s="12"/>
      <c r="BN2252" s="12"/>
      <c r="BO2252" s="12"/>
      <c r="BP2252" s="12"/>
      <c r="BQ2252" s="48"/>
      <c r="BR2252" s="49"/>
      <c r="BS2252" s="13"/>
      <c r="BT2252" s="12"/>
      <c r="BV2252" s="14"/>
      <c r="BW2252" s="50"/>
      <c r="BX2252" s="54"/>
      <c r="BY2252" s="14"/>
      <c r="BZ2252" s="14"/>
      <c r="CA2252" s="14"/>
      <c r="CB2252" s="14"/>
      <c r="CC2252" s="14"/>
      <c r="CD2252" s="14"/>
      <c r="CE2252" s="14"/>
      <c r="CF2252" s="15"/>
      <c r="CG2252" s="14"/>
      <c r="CH2252" s="14"/>
      <c r="CI2252" s="50"/>
      <c r="CJ2252" s="54"/>
      <c r="CK2252" s="14"/>
      <c r="CL2252" s="14"/>
      <c r="CM2252" s="14"/>
      <c r="CN2252" s="14"/>
      <c r="CO2252" s="14"/>
      <c r="CP2252" s="14"/>
      <c r="CQ2252" s="14"/>
      <c r="CR2252" s="14"/>
      <c r="CS2252" s="14"/>
      <c r="CT2252" s="14"/>
      <c r="CU2252" s="16"/>
      <c r="CV2252" s="14"/>
      <c r="CW2252" s="50"/>
      <c r="CX2252" s="17"/>
    </row>
    <row r="2253" spans="4:102" x14ac:dyDescent="0.25">
      <c r="D2253" s="11"/>
      <c r="E2253" s="11"/>
      <c r="F2253" s="11"/>
      <c r="G2253" s="11"/>
      <c r="H2253" s="11"/>
      <c r="I2253" s="11"/>
      <c r="J2253" s="11"/>
      <c r="K2253" s="11"/>
      <c r="L2253" s="11"/>
      <c r="M2253" s="11"/>
      <c r="N2253" s="11"/>
      <c r="O2253" s="11"/>
      <c r="P2253" s="43"/>
      <c r="Q2253" s="11"/>
      <c r="R2253" s="11"/>
      <c r="S2253" s="11"/>
      <c r="T2253" s="11"/>
      <c r="U2253" s="11"/>
      <c r="V2253" s="11"/>
      <c r="W2253" s="11"/>
      <c r="X2253" s="12"/>
      <c r="Y2253" s="12"/>
      <c r="Z2253" s="12"/>
      <c r="AA2253" s="44"/>
      <c r="AB2253" s="45"/>
      <c r="AC2253" s="12"/>
      <c r="AD2253" s="12"/>
      <c r="AE2253" s="12"/>
      <c r="AF2253" s="12"/>
      <c r="AG2253" s="44"/>
      <c r="AH2253" s="45"/>
      <c r="AI2253" s="12"/>
      <c r="AJ2253" s="12"/>
      <c r="AK2253" s="12"/>
      <c r="AL2253" s="12"/>
      <c r="AM2253" s="44"/>
      <c r="AN2253" s="45"/>
      <c r="AO2253" s="12"/>
      <c r="AP2253" s="12"/>
      <c r="AQ2253" s="12"/>
      <c r="AR2253" s="12"/>
      <c r="AS2253" s="44"/>
      <c r="AT2253" s="45"/>
      <c r="AU2253" s="12"/>
      <c r="AV2253" s="12"/>
      <c r="AW2253" s="12"/>
      <c r="AX2253" s="12"/>
      <c r="AY2253" s="44"/>
      <c r="AZ2253" s="45"/>
      <c r="BA2253" s="12"/>
      <c r="BB2253" s="12"/>
      <c r="BC2253" s="12"/>
      <c r="BD2253" s="12"/>
      <c r="BE2253" s="44"/>
      <c r="BF2253" s="45"/>
      <c r="BG2253" s="12"/>
      <c r="BH2253" s="12"/>
      <c r="BI2253" s="12"/>
      <c r="BJ2253" s="12"/>
      <c r="BK2253" s="44"/>
      <c r="BL2253" s="45"/>
      <c r="BM2253" s="12"/>
      <c r="BN2253" s="12"/>
      <c r="BO2253" s="12"/>
      <c r="BP2253" s="12"/>
      <c r="BQ2253" s="48"/>
      <c r="BR2253" s="49"/>
      <c r="BS2253" s="13"/>
      <c r="BT2253" s="12"/>
      <c r="BV2253" s="14"/>
      <c r="BW2253" s="50"/>
      <c r="BX2253" s="54"/>
      <c r="BY2253" s="14"/>
      <c r="BZ2253" s="14"/>
      <c r="CA2253" s="14"/>
      <c r="CB2253" s="14"/>
      <c r="CC2253" s="14"/>
      <c r="CD2253" s="14"/>
      <c r="CE2253" s="14"/>
      <c r="CF2253" s="15"/>
      <c r="CG2253" s="14"/>
      <c r="CH2253" s="14"/>
      <c r="CI2253" s="50"/>
      <c r="CJ2253" s="54"/>
      <c r="CK2253" s="14"/>
      <c r="CL2253" s="14"/>
      <c r="CM2253" s="14"/>
      <c r="CN2253" s="14"/>
      <c r="CO2253" s="14"/>
      <c r="CP2253" s="14"/>
      <c r="CQ2253" s="14"/>
      <c r="CR2253" s="14"/>
      <c r="CS2253" s="14"/>
      <c r="CT2253" s="14"/>
      <c r="CU2253" s="16"/>
      <c r="CV2253" s="14"/>
      <c r="CW2253" s="50"/>
      <c r="CX2253" s="17"/>
    </row>
    <row r="2254" spans="4:102" x14ac:dyDescent="0.25">
      <c r="D2254" s="11"/>
      <c r="E2254" s="11"/>
      <c r="F2254" s="11"/>
      <c r="G2254" s="11"/>
      <c r="H2254" s="11"/>
      <c r="I2254" s="11"/>
      <c r="J2254" s="11"/>
      <c r="K2254" s="11"/>
      <c r="L2254" s="11"/>
      <c r="M2254" s="11"/>
      <c r="N2254" s="11"/>
      <c r="O2254" s="11"/>
      <c r="P2254" s="43"/>
      <c r="Q2254" s="11"/>
      <c r="R2254" s="11"/>
      <c r="S2254" s="11"/>
      <c r="T2254" s="11"/>
      <c r="U2254" s="11"/>
      <c r="V2254" s="11"/>
      <c r="W2254" s="11"/>
      <c r="X2254" s="12"/>
      <c r="Y2254" s="12"/>
      <c r="Z2254" s="12"/>
      <c r="AA2254" s="44"/>
      <c r="AB2254" s="45"/>
      <c r="AC2254" s="12"/>
      <c r="AD2254" s="12"/>
      <c r="AE2254" s="12"/>
      <c r="AF2254" s="12"/>
      <c r="AG2254" s="44"/>
      <c r="AH2254" s="45"/>
      <c r="AI2254" s="12"/>
      <c r="AJ2254" s="12"/>
      <c r="AK2254" s="12"/>
      <c r="AL2254" s="12"/>
      <c r="AM2254" s="44"/>
      <c r="AN2254" s="45"/>
      <c r="AO2254" s="12"/>
      <c r="AP2254" s="12"/>
      <c r="AQ2254" s="12"/>
      <c r="AR2254" s="12"/>
      <c r="AS2254" s="44"/>
      <c r="AT2254" s="45"/>
      <c r="AU2254" s="12"/>
      <c r="AV2254" s="12"/>
      <c r="AW2254" s="12"/>
      <c r="AX2254" s="12"/>
      <c r="AY2254" s="44"/>
      <c r="AZ2254" s="45"/>
      <c r="BA2254" s="12"/>
      <c r="BB2254" s="12"/>
      <c r="BC2254" s="12"/>
      <c r="BD2254" s="12"/>
      <c r="BE2254" s="44"/>
      <c r="BF2254" s="45"/>
      <c r="BG2254" s="12"/>
      <c r="BH2254" s="12"/>
      <c r="BI2254" s="12"/>
      <c r="BJ2254" s="12"/>
      <c r="BK2254" s="44"/>
      <c r="BL2254" s="45"/>
      <c r="BM2254" s="12"/>
      <c r="BN2254" s="12"/>
      <c r="BO2254" s="12"/>
      <c r="BP2254" s="12"/>
      <c r="BQ2254" s="48"/>
      <c r="BR2254" s="49"/>
      <c r="BS2254" s="13"/>
      <c r="BT2254" s="12"/>
      <c r="BV2254" s="14"/>
      <c r="BW2254" s="50"/>
      <c r="BX2254" s="54"/>
      <c r="BY2254" s="14"/>
      <c r="BZ2254" s="14"/>
      <c r="CA2254" s="14"/>
      <c r="CB2254" s="14"/>
      <c r="CC2254" s="14"/>
      <c r="CD2254" s="14"/>
      <c r="CE2254" s="14"/>
      <c r="CF2254" s="15"/>
      <c r="CG2254" s="14"/>
      <c r="CH2254" s="14"/>
      <c r="CI2254" s="50"/>
      <c r="CJ2254" s="54"/>
      <c r="CK2254" s="14"/>
      <c r="CL2254" s="14"/>
      <c r="CM2254" s="14"/>
      <c r="CN2254" s="14"/>
      <c r="CO2254" s="14"/>
      <c r="CP2254" s="14"/>
      <c r="CQ2254" s="14"/>
      <c r="CR2254" s="14"/>
      <c r="CS2254" s="14"/>
      <c r="CT2254" s="14"/>
      <c r="CU2254" s="16"/>
      <c r="CV2254" s="14"/>
      <c r="CW2254" s="50"/>
      <c r="CX2254" s="17"/>
    </row>
    <row r="2255" spans="4:102" x14ac:dyDescent="0.25">
      <c r="D2255" s="11"/>
      <c r="E2255" s="11"/>
      <c r="F2255" s="11"/>
      <c r="G2255" s="11"/>
      <c r="H2255" s="11"/>
      <c r="I2255" s="11"/>
      <c r="J2255" s="11"/>
      <c r="K2255" s="11"/>
      <c r="L2255" s="11"/>
      <c r="M2255" s="11"/>
      <c r="N2255" s="11"/>
      <c r="O2255" s="11"/>
      <c r="P2255" s="43"/>
      <c r="Q2255" s="11"/>
      <c r="R2255" s="11"/>
      <c r="S2255" s="11"/>
      <c r="T2255" s="11"/>
      <c r="U2255" s="11"/>
      <c r="V2255" s="11"/>
      <c r="W2255" s="11"/>
      <c r="X2255" s="12"/>
      <c r="Y2255" s="12"/>
      <c r="Z2255" s="12"/>
      <c r="AA2255" s="44"/>
      <c r="AB2255" s="45"/>
      <c r="AC2255" s="12"/>
      <c r="AD2255" s="12"/>
      <c r="AE2255" s="12"/>
      <c r="AF2255" s="12"/>
      <c r="AG2255" s="44"/>
      <c r="AH2255" s="45"/>
      <c r="AI2255" s="12"/>
      <c r="AJ2255" s="12"/>
      <c r="AK2255" s="12"/>
      <c r="AL2255" s="12"/>
      <c r="AM2255" s="44"/>
      <c r="AN2255" s="45"/>
      <c r="AO2255" s="12"/>
      <c r="AP2255" s="12"/>
      <c r="AQ2255" s="12"/>
      <c r="AR2255" s="12"/>
      <c r="AS2255" s="44"/>
      <c r="AT2255" s="45"/>
      <c r="AU2255" s="12"/>
      <c r="AV2255" s="12"/>
      <c r="AW2255" s="12"/>
      <c r="AX2255" s="12"/>
      <c r="AY2255" s="44"/>
      <c r="AZ2255" s="45"/>
      <c r="BA2255" s="12"/>
      <c r="BB2255" s="12"/>
      <c r="BC2255" s="12"/>
      <c r="BD2255" s="12"/>
      <c r="BE2255" s="44"/>
      <c r="BF2255" s="45"/>
      <c r="BG2255" s="12"/>
      <c r="BH2255" s="12"/>
      <c r="BI2255" s="12"/>
      <c r="BJ2255" s="12"/>
      <c r="BK2255" s="44"/>
      <c r="BL2255" s="45"/>
      <c r="BM2255" s="12"/>
      <c r="BN2255" s="12"/>
      <c r="BO2255" s="12"/>
      <c r="BP2255" s="12"/>
      <c r="BQ2255" s="48"/>
      <c r="BR2255" s="49"/>
      <c r="BS2255" s="13"/>
      <c r="BT2255" s="12"/>
      <c r="BV2255" s="14"/>
      <c r="BW2255" s="50"/>
      <c r="BX2255" s="54"/>
      <c r="BY2255" s="14"/>
      <c r="BZ2255" s="14"/>
      <c r="CA2255" s="14"/>
      <c r="CB2255" s="14"/>
      <c r="CC2255" s="14"/>
      <c r="CD2255" s="14"/>
      <c r="CE2255" s="14"/>
      <c r="CF2255" s="15"/>
      <c r="CG2255" s="14"/>
      <c r="CH2255" s="14"/>
      <c r="CI2255" s="50"/>
      <c r="CJ2255" s="54"/>
      <c r="CK2255" s="14"/>
      <c r="CL2255" s="14"/>
      <c r="CM2255" s="14"/>
      <c r="CN2255" s="14"/>
      <c r="CO2255" s="14"/>
      <c r="CP2255" s="14"/>
      <c r="CQ2255" s="14"/>
      <c r="CR2255" s="14"/>
      <c r="CS2255" s="14"/>
      <c r="CT2255" s="14"/>
      <c r="CU2255" s="16"/>
      <c r="CV2255" s="14"/>
      <c r="CW2255" s="50"/>
      <c r="CX2255" s="17"/>
    </row>
    <row r="2256" spans="4:102" x14ac:dyDescent="0.25">
      <c r="D2256" s="11"/>
      <c r="E2256" s="11"/>
      <c r="F2256" s="11"/>
      <c r="G2256" s="11"/>
      <c r="H2256" s="11"/>
      <c r="I2256" s="11"/>
      <c r="J2256" s="11"/>
      <c r="K2256" s="11"/>
      <c r="L2256" s="11"/>
      <c r="M2256" s="11"/>
      <c r="N2256" s="11"/>
      <c r="O2256" s="11"/>
      <c r="P2256" s="43"/>
      <c r="Q2256" s="11"/>
      <c r="R2256" s="11"/>
      <c r="S2256" s="11"/>
      <c r="T2256" s="11"/>
      <c r="U2256" s="11"/>
      <c r="V2256" s="11"/>
      <c r="W2256" s="11"/>
      <c r="X2256" s="12"/>
      <c r="Y2256" s="12"/>
      <c r="Z2256" s="12"/>
      <c r="AA2256" s="44"/>
      <c r="AB2256" s="45"/>
      <c r="AC2256" s="12"/>
      <c r="AD2256" s="12"/>
      <c r="AE2256" s="12"/>
      <c r="AF2256" s="12"/>
      <c r="AG2256" s="44"/>
      <c r="AH2256" s="45"/>
      <c r="AI2256" s="12"/>
      <c r="AJ2256" s="12"/>
      <c r="AK2256" s="12"/>
      <c r="AL2256" s="12"/>
      <c r="AM2256" s="44"/>
      <c r="AN2256" s="45"/>
      <c r="AO2256" s="12"/>
      <c r="AP2256" s="12"/>
      <c r="AQ2256" s="12"/>
      <c r="AR2256" s="12"/>
      <c r="AS2256" s="44"/>
      <c r="AT2256" s="45"/>
      <c r="AU2256" s="12"/>
      <c r="AV2256" s="12"/>
      <c r="AW2256" s="12"/>
      <c r="AX2256" s="12"/>
      <c r="AY2256" s="44"/>
      <c r="AZ2256" s="45"/>
      <c r="BA2256" s="12"/>
      <c r="BB2256" s="12"/>
      <c r="BC2256" s="12"/>
      <c r="BD2256" s="12"/>
      <c r="BE2256" s="44"/>
      <c r="BF2256" s="45"/>
      <c r="BG2256" s="12"/>
      <c r="BH2256" s="12"/>
      <c r="BI2256" s="12"/>
      <c r="BJ2256" s="12"/>
      <c r="BK2256" s="44"/>
      <c r="BL2256" s="45"/>
      <c r="BM2256" s="12"/>
      <c r="BN2256" s="12"/>
      <c r="BO2256" s="12"/>
      <c r="BP2256" s="12"/>
      <c r="BQ2256" s="48"/>
      <c r="BR2256" s="49"/>
      <c r="BS2256" s="13"/>
      <c r="BT2256" s="12"/>
      <c r="BV2256" s="14"/>
      <c r="BW2256" s="50"/>
      <c r="BX2256" s="54"/>
      <c r="BY2256" s="14"/>
      <c r="BZ2256" s="14"/>
      <c r="CA2256" s="14"/>
      <c r="CB2256" s="14"/>
      <c r="CC2256" s="14"/>
      <c r="CD2256" s="14"/>
      <c r="CE2256" s="14"/>
      <c r="CF2256" s="15"/>
      <c r="CG2256" s="14"/>
      <c r="CH2256" s="14"/>
      <c r="CI2256" s="50"/>
      <c r="CJ2256" s="54"/>
      <c r="CK2256" s="14"/>
      <c r="CL2256" s="14"/>
      <c r="CM2256" s="14"/>
      <c r="CN2256" s="14"/>
      <c r="CO2256" s="14"/>
      <c r="CP2256" s="14"/>
      <c r="CQ2256" s="14"/>
      <c r="CR2256" s="14"/>
      <c r="CS2256" s="14"/>
      <c r="CT2256" s="14"/>
      <c r="CU2256" s="16"/>
      <c r="CV2256" s="14"/>
      <c r="CW2256" s="50"/>
      <c r="CX2256" s="17"/>
    </row>
    <row r="2257" spans="4:102" x14ac:dyDescent="0.25">
      <c r="D2257" s="11"/>
      <c r="E2257" s="11"/>
      <c r="F2257" s="11"/>
      <c r="G2257" s="11"/>
      <c r="H2257" s="11"/>
      <c r="I2257" s="11"/>
      <c r="J2257" s="11"/>
      <c r="K2257" s="11"/>
      <c r="L2257" s="11"/>
      <c r="M2257" s="11"/>
      <c r="N2257" s="11"/>
      <c r="O2257" s="11"/>
      <c r="P2257" s="43"/>
      <c r="Q2257" s="11"/>
      <c r="R2257" s="11"/>
      <c r="S2257" s="11"/>
      <c r="T2257" s="11"/>
      <c r="U2257" s="11"/>
      <c r="V2257" s="11"/>
      <c r="W2257" s="11"/>
      <c r="X2257" s="12"/>
      <c r="Y2257" s="12"/>
      <c r="Z2257" s="12"/>
      <c r="AA2257" s="44"/>
      <c r="AB2257" s="45"/>
      <c r="AC2257" s="12"/>
      <c r="AD2257" s="12"/>
      <c r="AE2257" s="12"/>
      <c r="AF2257" s="12"/>
      <c r="AG2257" s="44"/>
      <c r="AH2257" s="45"/>
      <c r="AI2257" s="12"/>
      <c r="AJ2257" s="12"/>
      <c r="AK2257" s="12"/>
      <c r="AL2257" s="12"/>
      <c r="AM2257" s="44"/>
      <c r="AN2257" s="45"/>
      <c r="AO2257" s="12"/>
      <c r="AP2257" s="12"/>
      <c r="AQ2257" s="12"/>
      <c r="AR2257" s="12"/>
      <c r="AS2257" s="44"/>
      <c r="AT2257" s="45"/>
      <c r="AU2257" s="12"/>
      <c r="AV2257" s="12"/>
      <c r="AW2257" s="12"/>
      <c r="AX2257" s="12"/>
      <c r="AY2257" s="44"/>
      <c r="AZ2257" s="45"/>
      <c r="BA2257" s="12"/>
      <c r="BB2257" s="12"/>
      <c r="BC2257" s="12"/>
      <c r="BD2257" s="12"/>
      <c r="BE2257" s="44"/>
      <c r="BF2257" s="45"/>
      <c r="BG2257" s="12"/>
      <c r="BH2257" s="12"/>
      <c r="BI2257" s="12"/>
      <c r="BJ2257" s="12"/>
      <c r="BK2257" s="44"/>
      <c r="BL2257" s="45"/>
      <c r="BM2257" s="12"/>
      <c r="BN2257" s="12"/>
      <c r="BO2257" s="12"/>
      <c r="BP2257" s="12"/>
      <c r="BQ2257" s="48"/>
      <c r="BR2257" s="49"/>
      <c r="BS2257" s="13"/>
      <c r="BT2257" s="12"/>
      <c r="BV2257" s="14"/>
      <c r="BW2257" s="50"/>
      <c r="BX2257" s="54"/>
      <c r="BY2257" s="14"/>
      <c r="BZ2257" s="14"/>
      <c r="CA2257" s="14"/>
      <c r="CB2257" s="14"/>
      <c r="CC2257" s="14"/>
      <c r="CD2257" s="14"/>
      <c r="CE2257" s="14"/>
      <c r="CF2257" s="15"/>
      <c r="CG2257" s="14"/>
      <c r="CH2257" s="14"/>
      <c r="CI2257" s="50"/>
      <c r="CJ2257" s="54"/>
      <c r="CK2257" s="14"/>
      <c r="CL2257" s="14"/>
      <c r="CM2257" s="14"/>
      <c r="CN2257" s="14"/>
      <c r="CO2257" s="14"/>
      <c r="CP2257" s="14"/>
      <c r="CQ2257" s="14"/>
      <c r="CR2257" s="14"/>
      <c r="CS2257" s="14"/>
      <c r="CT2257" s="14"/>
      <c r="CU2257" s="16"/>
      <c r="CV2257" s="14"/>
      <c r="CW2257" s="50"/>
      <c r="CX2257" s="17"/>
    </row>
    <row r="2258" spans="4:102" x14ac:dyDescent="0.25">
      <c r="D2258" s="11"/>
      <c r="E2258" s="11"/>
      <c r="F2258" s="11"/>
      <c r="G2258" s="11"/>
      <c r="H2258" s="11"/>
      <c r="I2258" s="11"/>
      <c r="J2258" s="11"/>
      <c r="K2258" s="11"/>
      <c r="L2258" s="11"/>
      <c r="M2258" s="11"/>
      <c r="N2258" s="11"/>
      <c r="O2258" s="11"/>
      <c r="P2258" s="43"/>
      <c r="Q2258" s="11"/>
      <c r="R2258" s="11"/>
      <c r="S2258" s="11"/>
      <c r="T2258" s="11"/>
      <c r="U2258" s="11"/>
      <c r="V2258" s="11"/>
      <c r="W2258" s="11"/>
      <c r="X2258" s="12"/>
      <c r="Y2258" s="12"/>
      <c r="Z2258" s="12"/>
      <c r="AA2258" s="44"/>
      <c r="AB2258" s="45"/>
      <c r="AC2258" s="12"/>
      <c r="AD2258" s="12"/>
      <c r="AE2258" s="12"/>
      <c r="AF2258" s="12"/>
      <c r="AG2258" s="44"/>
      <c r="AH2258" s="45"/>
      <c r="AI2258" s="12"/>
      <c r="AJ2258" s="12"/>
      <c r="AK2258" s="12"/>
      <c r="AL2258" s="12"/>
      <c r="AM2258" s="44"/>
      <c r="AN2258" s="45"/>
      <c r="AO2258" s="12"/>
      <c r="AP2258" s="12"/>
      <c r="AQ2258" s="12"/>
      <c r="AR2258" s="12"/>
      <c r="AS2258" s="44"/>
      <c r="AT2258" s="45"/>
      <c r="AU2258" s="12"/>
      <c r="AV2258" s="12"/>
      <c r="AW2258" s="12"/>
      <c r="AX2258" s="12"/>
      <c r="AY2258" s="44"/>
      <c r="AZ2258" s="45"/>
      <c r="BA2258" s="12"/>
      <c r="BB2258" s="12"/>
      <c r="BC2258" s="12"/>
      <c r="BD2258" s="12"/>
      <c r="BE2258" s="44"/>
      <c r="BF2258" s="45"/>
      <c r="BG2258" s="12"/>
      <c r="BH2258" s="12"/>
      <c r="BI2258" s="12"/>
      <c r="BJ2258" s="12"/>
      <c r="BK2258" s="44"/>
      <c r="BL2258" s="45"/>
      <c r="BM2258" s="12"/>
      <c r="BN2258" s="12"/>
      <c r="BO2258" s="12"/>
      <c r="BP2258" s="12"/>
      <c r="BQ2258" s="48"/>
      <c r="BR2258" s="49"/>
      <c r="BS2258" s="13"/>
      <c r="BT2258" s="12"/>
      <c r="BV2258" s="14"/>
      <c r="BW2258" s="50"/>
      <c r="BX2258" s="54"/>
      <c r="BY2258" s="14"/>
      <c r="BZ2258" s="14"/>
      <c r="CA2258" s="14"/>
      <c r="CB2258" s="14"/>
      <c r="CC2258" s="14"/>
      <c r="CD2258" s="14"/>
      <c r="CE2258" s="14"/>
      <c r="CF2258" s="15"/>
      <c r="CG2258" s="14"/>
      <c r="CH2258" s="14"/>
      <c r="CI2258" s="50"/>
      <c r="CJ2258" s="54"/>
      <c r="CK2258" s="14"/>
      <c r="CL2258" s="14"/>
      <c r="CM2258" s="14"/>
      <c r="CN2258" s="14"/>
      <c r="CO2258" s="14"/>
      <c r="CP2258" s="14"/>
      <c r="CQ2258" s="14"/>
      <c r="CR2258" s="14"/>
      <c r="CS2258" s="14"/>
      <c r="CT2258" s="14"/>
      <c r="CU2258" s="16"/>
      <c r="CV2258" s="14"/>
      <c r="CW2258" s="50"/>
      <c r="CX2258" s="17"/>
    </row>
    <row r="2259" spans="4:102" x14ac:dyDescent="0.25">
      <c r="D2259" s="11"/>
      <c r="E2259" s="11"/>
      <c r="F2259" s="11"/>
      <c r="G2259" s="11"/>
      <c r="H2259" s="11"/>
      <c r="I2259" s="11"/>
      <c r="J2259" s="11"/>
      <c r="K2259" s="11"/>
      <c r="L2259" s="11"/>
      <c r="M2259" s="11"/>
      <c r="N2259" s="11"/>
      <c r="O2259" s="11"/>
      <c r="P2259" s="43"/>
      <c r="Q2259" s="11"/>
      <c r="R2259" s="11"/>
      <c r="S2259" s="11"/>
      <c r="T2259" s="11"/>
      <c r="U2259" s="11"/>
      <c r="V2259" s="11"/>
      <c r="W2259" s="11"/>
      <c r="X2259" s="12"/>
      <c r="Y2259" s="12"/>
      <c r="Z2259" s="12"/>
      <c r="AA2259" s="44"/>
      <c r="AB2259" s="45"/>
      <c r="AC2259" s="12"/>
      <c r="AD2259" s="12"/>
      <c r="AE2259" s="12"/>
      <c r="AF2259" s="12"/>
      <c r="AG2259" s="44"/>
      <c r="AH2259" s="45"/>
      <c r="AI2259" s="12"/>
      <c r="AJ2259" s="12"/>
      <c r="AK2259" s="12"/>
      <c r="AL2259" s="12"/>
      <c r="AM2259" s="44"/>
      <c r="AN2259" s="45"/>
      <c r="AO2259" s="12"/>
      <c r="AP2259" s="12"/>
      <c r="AQ2259" s="12"/>
      <c r="AR2259" s="12"/>
      <c r="AS2259" s="44"/>
      <c r="AT2259" s="45"/>
      <c r="AU2259" s="12"/>
      <c r="AV2259" s="12"/>
      <c r="AW2259" s="12"/>
      <c r="AX2259" s="12"/>
      <c r="AY2259" s="44"/>
      <c r="AZ2259" s="45"/>
      <c r="BA2259" s="12"/>
      <c r="BB2259" s="12"/>
      <c r="BC2259" s="12"/>
      <c r="BD2259" s="12"/>
      <c r="BE2259" s="44"/>
      <c r="BF2259" s="45"/>
      <c r="BG2259" s="12"/>
      <c r="BH2259" s="12"/>
      <c r="BI2259" s="12"/>
      <c r="BJ2259" s="12"/>
      <c r="BK2259" s="44"/>
      <c r="BL2259" s="45"/>
      <c r="BM2259" s="12"/>
      <c r="BN2259" s="12"/>
      <c r="BO2259" s="12"/>
      <c r="BP2259" s="12"/>
      <c r="BQ2259" s="48"/>
      <c r="BR2259" s="49"/>
      <c r="BS2259" s="13"/>
      <c r="BT2259" s="12"/>
      <c r="BV2259" s="14"/>
      <c r="BW2259" s="50"/>
      <c r="BX2259" s="54"/>
      <c r="BY2259" s="14"/>
      <c r="BZ2259" s="14"/>
      <c r="CA2259" s="14"/>
      <c r="CB2259" s="14"/>
      <c r="CC2259" s="14"/>
      <c r="CD2259" s="14"/>
      <c r="CE2259" s="14"/>
      <c r="CF2259" s="15"/>
      <c r="CG2259" s="14"/>
      <c r="CH2259" s="14"/>
      <c r="CI2259" s="50"/>
      <c r="CJ2259" s="54"/>
      <c r="CK2259" s="14"/>
      <c r="CL2259" s="14"/>
      <c r="CM2259" s="14"/>
      <c r="CN2259" s="14"/>
      <c r="CO2259" s="14"/>
      <c r="CP2259" s="14"/>
      <c r="CQ2259" s="14"/>
      <c r="CR2259" s="14"/>
      <c r="CS2259" s="14"/>
      <c r="CT2259" s="14"/>
      <c r="CU2259" s="16"/>
      <c r="CV2259" s="14"/>
      <c r="CW2259" s="50"/>
      <c r="CX2259" s="17"/>
    </row>
    <row r="2260" spans="4:102" x14ac:dyDescent="0.25">
      <c r="D2260" s="11"/>
      <c r="E2260" s="11"/>
      <c r="F2260" s="11"/>
      <c r="G2260" s="11"/>
      <c r="H2260" s="11"/>
      <c r="I2260" s="11"/>
      <c r="J2260" s="11"/>
      <c r="K2260" s="11"/>
      <c r="L2260" s="11"/>
      <c r="M2260" s="11"/>
      <c r="N2260" s="11"/>
      <c r="O2260" s="11"/>
      <c r="P2260" s="43"/>
      <c r="Q2260" s="11"/>
      <c r="R2260" s="11"/>
      <c r="S2260" s="11"/>
      <c r="T2260" s="11"/>
      <c r="U2260" s="11"/>
      <c r="V2260" s="11"/>
      <c r="W2260" s="11"/>
      <c r="X2260" s="12"/>
      <c r="Y2260" s="12"/>
      <c r="Z2260" s="12"/>
      <c r="AA2260" s="44"/>
      <c r="AB2260" s="45"/>
      <c r="AC2260" s="12"/>
      <c r="AD2260" s="12"/>
      <c r="AE2260" s="12"/>
      <c r="AF2260" s="12"/>
      <c r="AG2260" s="44"/>
      <c r="AH2260" s="45"/>
      <c r="AI2260" s="12"/>
      <c r="AJ2260" s="12"/>
      <c r="AK2260" s="12"/>
      <c r="AL2260" s="12"/>
      <c r="AM2260" s="44"/>
      <c r="AN2260" s="45"/>
      <c r="AO2260" s="12"/>
      <c r="AP2260" s="12"/>
      <c r="AQ2260" s="12"/>
      <c r="AR2260" s="12"/>
      <c r="AS2260" s="44"/>
      <c r="AT2260" s="45"/>
      <c r="AU2260" s="12"/>
      <c r="AV2260" s="12"/>
      <c r="AW2260" s="12"/>
      <c r="AX2260" s="12"/>
      <c r="AY2260" s="44"/>
      <c r="AZ2260" s="45"/>
      <c r="BA2260" s="12"/>
      <c r="BB2260" s="12"/>
      <c r="BC2260" s="12"/>
      <c r="BD2260" s="12"/>
      <c r="BE2260" s="44"/>
      <c r="BF2260" s="45"/>
      <c r="BG2260" s="12"/>
      <c r="BH2260" s="12"/>
      <c r="BI2260" s="12"/>
      <c r="BJ2260" s="12"/>
      <c r="BK2260" s="44"/>
      <c r="BL2260" s="45"/>
      <c r="BM2260" s="12"/>
      <c r="BN2260" s="12"/>
      <c r="BO2260" s="12"/>
      <c r="BP2260" s="12"/>
      <c r="BQ2260" s="48"/>
      <c r="BR2260" s="49"/>
      <c r="BS2260" s="13"/>
      <c r="BT2260" s="12"/>
      <c r="BV2260" s="14"/>
      <c r="BW2260" s="50"/>
      <c r="BX2260" s="54"/>
      <c r="BY2260" s="14"/>
      <c r="BZ2260" s="14"/>
      <c r="CA2260" s="14"/>
      <c r="CB2260" s="14"/>
      <c r="CC2260" s="14"/>
      <c r="CD2260" s="14"/>
      <c r="CE2260" s="14"/>
      <c r="CF2260" s="15"/>
      <c r="CG2260" s="14"/>
      <c r="CH2260" s="14"/>
      <c r="CI2260" s="50"/>
      <c r="CJ2260" s="54"/>
      <c r="CK2260" s="14"/>
      <c r="CL2260" s="14"/>
      <c r="CM2260" s="14"/>
      <c r="CN2260" s="14"/>
      <c r="CO2260" s="14"/>
      <c r="CP2260" s="14"/>
      <c r="CQ2260" s="14"/>
      <c r="CR2260" s="14"/>
      <c r="CS2260" s="14"/>
      <c r="CT2260" s="14"/>
      <c r="CU2260" s="16"/>
      <c r="CV2260" s="14"/>
      <c r="CW2260" s="50"/>
      <c r="CX2260" s="17"/>
    </row>
    <row r="2261" spans="4:102" x14ac:dyDescent="0.25">
      <c r="D2261" s="11"/>
      <c r="E2261" s="11"/>
      <c r="F2261" s="11"/>
      <c r="G2261" s="11"/>
      <c r="H2261" s="11"/>
      <c r="I2261" s="11"/>
      <c r="J2261" s="11"/>
      <c r="K2261" s="11"/>
      <c r="L2261" s="11"/>
      <c r="M2261" s="11"/>
      <c r="N2261" s="11"/>
      <c r="O2261" s="11"/>
      <c r="P2261" s="43"/>
      <c r="Q2261" s="11"/>
      <c r="R2261" s="11"/>
      <c r="S2261" s="11"/>
      <c r="T2261" s="11"/>
      <c r="U2261" s="11"/>
      <c r="V2261" s="11"/>
      <c r="W2261" s="11"/>
      <c r="X2261" s="12"/>
      <c r="Y2261" s="12"/>
      <c r="Z2261" s="12"/>
      <c r="AA2261" s="44"/>
      <c r="AB2261" s="45"/>
      <c r="AC2261" s="12"/>
      <c r="AD2261" s="12"/>
      <c r="AE2261" s="12"/>
      <c r="AF2261" s="12"/>
      <c r="AG2261" s="44"/>
      <c r="AH2261" s="45"/>
      <c r="AI2261" s="12"/>
      <c r="AJ2261" s="12"/>
      <c r="AK2261" s="12"/>
      <c r="AL2261" s="12"/>
      <c r="AM2261" s="44"/>
      <c r="AN2261" s="45"/>
      <c r="AO2261" s="12"/>
      <c r="AP2261" s="12"/>
      <c r="AQ2261" s="12"/>
      <c r="AR2261" s="12"/>
      <c r="AS2261" s="44"/>
      <c r="AT2261" s="45"/>
      <c r="AU2261" s="12"/>
      <c r="AV2261" s="12"/>
      <c r="AW2261" s="12"/>
      <c r="AX2261" s="12"/>
      <c r="AY2261" s="44"/>
      <c r="AZ2261" s="45"/>
      <c r="BA2261" s="12"/>
      <c r="BB2261" s="12"/>
      <c r="BC2261" s="12"/>
      <c r="BD2261" s="12"/>
      <c r="BE2261" s="44"/>
      <c r="BF2261" s="45"/>
      <c r="BG2261" s="12"/>
      <c r="BH2261" s="12"/>
      <c r="BI2261" s="12"/>
      <c r="BJ2261" s="12"/>
      <c r="BK2261" s="44"/>
      <c r="BL2261" s="45"/>
      <c r="BM2261" s="12"/>
      <c r="BN2261" s="12"/>
      <c r="BO2261" s="12"/>
      <c r="BP2261" s="12"/>
      <c r="BQ2261" s="48"/>
      <c r="BR2261" s="49"/>
      <c r="BS2261" s="13"/>
      <c r="BT2261" s="12"/>
      <c r="BV2261" s="14"/>
      <c r="BW2261" s="50"/>
      <c r="BX2261" s="54"/>
      <c r="BY2261" s="14"/>
      <c r="BZ2261" s="14"/>
      <c r="CA2261" s="14"/>
      <c r="CB2261" s="14"/>
      <c r="CC2261" s="14"/>
      <c r="CD2261" s="14"/>
      <c r="CE2261" s="14"/>
      <c r="CF2261" s="15"/>
      <c r="CG2261" s="14"/>
      <c r="CH2261" s="14"/>
      <c r="CI2261" s="50"/>
      <c r="CJ2261" s="54"/>
      <c r="CK2261" s="14"/>
      <c r="CL2261" s="14"/>
      <c r="CM2261" s="14"/>
      <c r="CN2261" s="14"/>
      <c r="CO2261" s="14"/>
      <c r="CP2261" s="14"/>
      <c r="CQ2261" s="14"/>
      <c r="CR2261" s="14"/>
      <c r="CS2261" s="14"/>
      <c r="CT2261" s="14"/>
      <c r="CU2261" s="16"/>
      <c r="CV2261" s="14"/>
      <c r="CW2261" s="50"/>
      <c r="CX2261" s="17"/>
    </row>
    <row r="2262" spans="4:102" x14ac:dyDescent="0.25">
      <c r="D2262" s="11"/>
      <c r="E2262" s="11"/>
      <c r="F2262" s="11"/>
      <c r="G2262" s="11"/>
      <c r="H2262" s="11"/>
      <c r="I2262" s="11"/>
      <c r="J2262" s="11"/>
      <c r="K2262" s="11"/>
      <c r="L2262" s="11"/>
      <c r="M2262" s="11"/>
      <c r="N2262" s="11"/>
      <c r="O2262" s="11"/>
      <c r="P2262" s="43"/>
      <c r="Q2262" s="11"/>
      <c r="R2262" s="11"/>
      <c r="S2262" s="11"/>
      <c r="T2262" s="11"/>
      <c r="U2262" s="11"/>
      <c r="V2262" s="11"/>
      <c r="W2262" s="11"/>
      <c r="X2262" s="12"/>
      <c r="Y2262" s="12"/>
      <c r="Z2262" s="12"/>
      <c r="AA2262" s="44"/>
      <c r="AB2262" s="45"/>
      <c r="AC2262" s="12"/>
      <c r="AD2262" s="12"/>
      <c r="AE2262" s="12"/>
      <c r="AF2262" s="12"/>
      <c r="AG2262" s="44"/>
      <c r="AH2262" s="45"/>
      <c r="AI2262" s="12"/>
      <c r="AJ2262" s="12"/>
      <c r="AK2262" s="12"/>
      <c r="AL2262" s="12"/>
      <c r="AM2262" s="44"/>
      <c r="AN2262" s="45"/>
      <c r="AO2262" s="12"/>
      <c r="AP2262" s="12"/>
      <c r="AQ2262" s="12"/>
      <c r="AR2262" s="12"/>
      <c r="AS2262" s="44"/>
      <c r="AT2262" s="45"/>
      <c r="AU2262" s="12"/>
      <c r="AV2262" s="12"/>
      <c r="AW2262" s="12"/>
      <c r="AX2262" s="12"/>
      <c r="AY2262" s="44"/>
      <c r="AZ2262" s="45"/>
      <c r="BA2262" s="12"/>
      <c r="BB2262" s="12"/>
      <c r="BC2262" s="12"/>
      <c r="BD2262" s="12"/>
      <c r="BE2262" s="44"/>
      <c r="BF2262" s="45"/>
      <c r="BG2262" s="12"/>
      <c r="BH2262" s="12"/>
      <c r="BI2262" s="12"/>
      <c r="BJ2262" s="12"/>
      <c r="BK2262" s="44"/>
      <c r="BL2262" s="45"/>
      <c r="BM2262" s="12"/>
      <c r="BN2262" s="12"/>
      <c r="BO2262" s="12"/>
      <c r="BP2262" s="12"/>
      <c r="BQ2262" s="48"/>
      <c r="BR2262" s="49"/>
      <c r="BS2262" s="13"/>
      <c r="BT2262" s="12"/>
      <c r="BV2262" s="14"/>
      <c r="BW2262" s="50"/>
      <c r="BX2262" s="54"/>
      <c r="BY2262" s="14"/>
      <c r="BZ2262" s="14"/>
      <c r="CA2262" s="14"/>
      <c r="CB2262" s="14"/>
      <c r="CC2262" s="14"/>
      <c r="CD2262" s="14"/>
      <c r="CE2262" s="14"/>
      <c r="CF2262" s="15"/>
      <c r="CG2262" s="14"/>
      <c r="CH2262" s="14"/>
      <c r="CI2262" s="50"/>
      <c r="CJ2262" s="54"/>
      <c r="CK2262" s="14"/>
      <c r="CL2262" s="14"/>
      <c r="CM2262" s="14"/>
      <c r="CN2262" s="14"/>
      <c r="CO2262" s="14"/>
      <c r="CP2262" s="14"/>
      <c r="CQ2262" s="14"/>
      <c r="CR2262" s="14"/>
      <c r="CS2262" s="14"/>
      <c r="CT2262" s="14"/>
      <c r="CU2262" s="16"/>
      <c r="CV2262" s="14"/>
      <c r="CW2262" s="50"/>
      <c r="CX2262" s="17"/>
    </row>
    <row r="2263" spans="4:102" x14ac:dyDescent="0.25">
      <c r="D2263" s="11"/>
      <c r="E2263" s="11"/>
      <c r="F2263" s="11"/>
      <c r="G2263" s="11"/>
      <c r="H2263" s="11"/>
      <c r="I2263" s="11"/>
      <c r="J2263" s="11"/>
      <c r="K2263" s="11"/>
      <c r="L2263" s="11"/>
      <c r="M2263" s="11"/>
      <c r="N2263" s="11"/>
      <c r="O2263" s="11"/>
      <c r="P2263" s="43"/>
      <c r="Q2263" s="11"/>
      <c r="R2263" s="11"/>
      <c r="S2263" s="11"/>
      <c r="T2263" s="11"/>
      <c r="U2263" s="11"/>
      <c r="V2263" s="11"/>
      <c r="W2263" s="11"/>
      <c r="X2263" s="12"/>
      <c r="Y2263" s="12"/>
      <c r="Z2263" s="12"/>
      <c r="AA2263" s="44"/>
      <c r="AB2263" s="45"/>
      <c r="AC2263" s="12"/>
      <c r="AD2263" s="12"/>
      <c r="AE2263" s="12"/>
      <c r="AF2263" s="12"/>
      <c r="AG2263" s="44"/>
      <c r="AH2263" s="45"/>
      <c r="AI2263" s="12"/>
      <c r="AJ2263" s="12"/>
      <c r="AK2263" s="12"/>
      <c r="AL2263" s="12"/>
      <c r="AM2263" s="44"/>
      <c r="AN2263" s="45"/>
      <c r="AO2263" s="12"/>
      <c r="AP2263" s="12"/>
      <c r="AQ2263" s="12"/>
      <c r="AR2263" s="12"/>
      <c r="AS2263" s="44"/>
      <c r="AT2263" s="45"/>
      <c r="AU2263" s="12"/>
      <c r="AV2263" s="12"/>
      <c r="AW2263" s="12"/>
      <c r="AX2263" s="12"/>
      <c r="AY2263" s="44"/>
      <c r="AZ2263" s="45"/>
      <c r="BA2263" s="12"/>
      <c r="BB2263" s="12"/>
      <c r="BC2263" s="12"/>
      <c r="BD2263" s="12"/>
      <c r="BE2263" s="44"/>
      <c r="BF2263" s="45"/>
      <c r="BG2263" s="12"/>
      <c r="BH2263" s="12"/>
      <c r="BI2263" s="12"/>
      <c r="BJ2263" s="12"/>
      <c r="BK2263" s="44"/>
      <c r="BL2263" s="45"/>
      <c r="BM2263" s="12"/>
      <c r="BN2263" s="12"/>
      <c r="BO2263" s="12"/>
      <c r="BP2263" s="12"/>
      <c r="BQ2263" s="48"/>
      <c r="BR2263" s="49"/>
      <c r="BS2263" s="13"/>
      <c r="BT2263" s="12"/>
      <c r="BV2263" s="14"/>
      <c r="BW2263" s="50"/>
      <c r="BX2263" s="54"/>
      <c r="BY2263" s="14"/>
      <c r="BZ2263" s="14"/>
      <c r="CA2263" s="14"/>
      <c r="CB2263" s="14"/>
      <c r="CC2263" s="14"/>
      <c r="CD2263" s="14"/>
      <c r="CE2263" s="14"/>
      <c r="CF2263" s="15"/>
      <c r="CG2263" s="14"/>
      <c r="CH2263" s="14"/>
      <c r="CI2263" s="50"/>
      <c r="CJ2263" s="54"/>
      <c r="CK2263" s="14"/>
      <c r="CL2263" s="14"/>
      <c r="CM2263" s="14"/>
      <c r="CN2263" s="14"/>
      <c r="CO2263" s="14"/>
      <c r="CP2263" s="14"/>
      <c r="CQ2263" s="14"/>
      <c r="CR2263" s="14"/>
      <c r="CS2263" s="14"/>
      <c r="CT2263" s="14"/>
      <c r="CU2263" s="16"/>
      <c r="CV2263" s="14"/>
      <c r="CW2263" s="50"/>
      <c r="CX2263" s="17"/>
    </row>
    <row r="2264" spans="4:102" x14ac:dyDescent="0.25">
      <c r="D2264" s="11"/>
      <c r="E2264" s="11"/>
      <c r="F2264" s="11"/>
      <c r="G2264" s="11"/>
      <c r="H2264" s="11"/>
      <c r="I2264" s="11"/>
      <c r="J2264" s="11"/>
      <c r="K2264" s="11"/>
      <c r="L2264" s="11"/>
      <c r="M2264" s="11"/>
      <c r="N2264" s="11"/>
      <c r="O2264" s="11"/>
      <c r="P2264" s="43"/>
      <c r="Q2264" s="11"/>
      <c r="R2264" s="11"/>
      <c r="S2264" s="11"/>
      <c r="T2264" s="11"/>
      <c r="U2264" s="11"/>
      <c r="V2264" s="11"/>
      <c r="W2264" s="11"/>
      <c r="X2264" s="12"/>
      <c r="Y2264" s="12"/>
      <c r="Z2264" s="12"/>
      <c r="AA2264" s="44"/>
      <c r="AB2264" s="45"/>
      <c r="AC2264" s="12"/>
      <c r="AD2264" s="12"/>
      <c r="AE2264" s="12"/>
      <c r="AF2264" s="12"/>
      <c r="AG2264" s="44"/>
      <c r="AH2264" s="45"/>
      <c r="AI2264" s="12"/>
      <c r="AJ2264" s="12"/>
      <c r="AK2264" s="12"/>
      <c r="AL2264" s="12"/>
      <c r="AM2264" s="44"/>
      <c r="AN2264" s="45"/>
      <c r="AO2264" s="12"/>
      <c r="AP2264" s="12"/>
      <c r="AQ2264" s="12"/>
      <c r="AR2264" s="12"/>
      <c r="AS2264" s="44"/>
      <c r="AT2264" s="45"/>
      <c r="AU2264" s="12"/>
      <c r="AV2264" s="12"/>
      <c r="AW2264" s="12"/>
      <c r="AX2264" s="12"/>
      <c r="AY2264" s="44"/>
      <c r="AZ2264" s="45"/>
      <c r="BA2264" s="12"/>
      <c r="BB2264" s="12"/>
      <c r="BC2264" s="12"/>
      <c r="BD2264" s="12"/>
      <c r="BE2264" s="44"/>
      <c r="BF2264" s="45"/>
      <c r="BG2264" s="12"/>
      <c r="BH2264" s="12"/>
      <c r="BI2264" s="12"/>
      <c r="BJ2264" s="12"/>
      <c r="BK2264" s="44"/>
      <c r="BL2264" s="45"/>
      <c r="BM2264" s="12"/>
      <c r="BN2264" s="12"/>
      <c r="BO2264" s="12"/>
      <c r="BP2264" s="12"/>
      <c r="BQ2264" s="48"/>
      <c r="BR2264" s="49"/>
      <c r="BS2264" s="13"/>
      <c r="BT2264" s="12"/>
      <c r="BV2264" s="14"/>
      <c r="BW2264" s="50"/>
      <c r="BX2264" s="54"/>
      <c r="BY2264" s="14"/>
      <c r="BZ2264" s="14"/>
      <c r="CA2264" s="14"/>
      <c r="CB2264" s="14"/>
      <c r="CC2264" s="14"/>
      <c r="CD2264" s="14"/>
      <c r="CE2264" s="14"/>
      <c r="CF2264" s="15"/>
      <c r="CG2264" s="14"/>
      <c r="CH2264" s="14"/>
      <c r="CI2264" s="50"/>
      <c r="CJ2264" s="54"/>
      <c r="CK2264" s="14"/>
      <c r="CL2264" s="14"/>
      <c r="CM2264" s="14"/>
      <c r="CN2264" s="14"/>
      <c r="CO2264" s="14"/>
      <c r="CP2264" s="14"/>
      <c r="CQ2264" s="14"/>
      <c r="CR2264" s="14"/>
      <c r="CS2264" s="14"/>
      <c r="CT2264" s="14"/>
      <c r="CU2264" s="16"/>
      <c r="CV2264" s="14"/>
      <c r="CW2264" s="50"/>
      <c r="CX2264" s="17"/>
    </row>
    <row r="2265" spans="4:102" x14ac:dyDescent="0.25">
      <c r="D2265" s="11"/>
      <c r="E2265" s="11"/>
      <c r="F2265" s="11"/>
      <c r="G2265" s="11"/>
      <c r="H2265" s="11"/>
      <c r="I2265" s="11"/>
      <c r="J2265" s="11"/>
      <c r="K2265" s="11"/>
      <c r="L2265" s="11"/>
      <c r="M2265" s="11"/>
      <c r="N2265" s="11"/>
      <c r="O2265" s="11"/>
      <c r="P2265" s="43"/>
      <c r="Q2265" s="11"/>
      <c r="R2265" s="11"/>
      <c r="S2265" s="11"/>
      <c r="T2265" s="11"/>
      <c r="U2265" s="11"/>
      <c r="V2265" s="11"/>
      <c r="W2265" s="11"/>
      <c r="X2265" s="12"/>
      <c r="Y2265" s="12"/>
      <c r="Z2265" s="12"/>
      <c r="AA2265" s="44"/>
      <c r="AB2265" s="45"/>
      <c r="AC2265" s="12"/>
      <c r="AD2265" s="12"/>
      <c r="AE2265" s="12"/>
      <c r="AF2265" s="12"/>
      <c r="AG2265" s="44"/>
      <c r="AH2265" s="45"/>
      <c r="AI2265" s="12"/>
      <c r="AJ2265" s="12"/>
      <c r="AK2265" s="12"/>
      <c r="AL2265" s="12"/>
      <c r="AM2265" s="44"/>
      <c r="AN2265" s="45"/>
      <c r="AO2265" s="12"/>
      <c r="AP2265" s="12"/>
      <c r="AQ2265" s="12"/>
      <c r="AR2265" s="12"/>
      <c r="AS2265" s="44"/>
      <c r="AT2265" s="45"/>
      <c r="AU2265" s="12"/>
      <c r="AV2265" s="12"/>
      <c r="AW2265" s="12"/>
      <c r="AX2265" s="12"/>
      <c r="AY2265" s="44"/>
      <c r="AZ2265" s="45"/>
      <c r="BA2265" s="12"/>
      <c r="BB2265" s="12"/>
      <c r="BC2265" s="12"/>
      <c r="BD2265" s="12"/>
      <c r="BE2265" s="44"/>
      <c r="BF2265" s="45"/>
      <c r="BG2265" s="12"/>
      <c r="BH2265" s="12"/>
      <c r="BI2265" s="12"/>
      <c r="BJ2265" s="12"/>
      <c r="BK2265" s="44"/>
      <c r="BL2265" s="45"/>
      <c r="BM2265" s="12"/>
      <c r="BN2265" s="12"/>
      <c r="BO2265" s="12"/>
      <c r="BP2265" s="12"/>
      <c r="BQ2265" s="48"/>
      <c r="BR2265" s="49"/>
      <c r="BS2265" s="13"/>
      <c r="BT2265" s="12"/>
      <c r="BV2265" s="14"/>
      <c r="BW2265" s="50"/>
      <c r="BX2265" s="54"/>
      <c r="BY2265" s="14"/>
      <c r="BZ2265" s="14"/>
      <c r="CA2265" s="14"/>
      <c r="CB2265" s="14"/>
      <c r="CC2265" s="14"/>
      <c r="CD2265" s="14"/>
      <c r="CE2265" s="14"/>
      <c r="CF2265" s="15"/>
      <c r="CG2265" s="14"/>
      <c r="CH2265" s="14"/>
      <c r="CI2265" s="50"/>
      <c r="CJ2265" s="54"/>
      <c r="CK2265" s="14"/>
      <c r="CL2265" s="14"/>
      <c r="CM2265" s="14"/>
      <c r="CN2265" s="14"/>
      <c r="CO2265" s="14"/>
      <c r="CP2265" s="14"/>
      <c r="CQ2265" s="14"/>
      <c r="CR2265" s="14"/>
      <c r="CS2265" s="14"/>
      <c r="CT2265" s="14"/>
      <c r="CU2265" s="16"/>
      <c r="CV2265" s="14"/>
      <c r="CW2265" s="50"/>
      <c r="CX2265" s="17"/>
    </row>
    <row r="2266" spans="4:102" x14ac:dyDescent="0.25">
      <c r="D2266" s="11"/>
      <c r="E2266" s="11"/>
      <c r="F2266" s="11"/>
      <c r="G2266" s="11"/>
      <c r="H2266" s="11"/>
      <c r="I2266" s="11"/>
      <c r="J2266" s="11"/>
      <c r="K2266" s="11"/>
      <c r="L2266" s="11"/>
      <c r="M2266" s="11"/>
      <c r="N2266" s="11"/>
      <c r="O2266" s="11"/>
      <c r="P2266" s="43"/>
      <c r="Q2266" s="11"/>
      <c r="R2266" s="11"/>
      <c r="S2266" s="11"/>
      <c r="T2266" s="11"/>
      <c r="U2266" s="11"/>
      <c r="V2266" s="11"/>
      <c r="W2266" s="11"/>
      <c r="X2266" s="12"/>
      <c r="Y2266" s="12"/>
      <c r="Z2266" s="12"/>
      <c r="AA2266" s="44"/>
      <c r="AB2266" s="45"/>
      <c r="AC2266" s="12"/>
      <c r="AD2266" s="12"/>
      <c r="AE2266" s="12"/>
      <c r="AF2266" s="12"/>
      <c r="AG2266" s="44"/>
      <c r="AH2266" s="45"/>
      <c r="AI2266" s="12"/>
      <c r="AJ2266" s="12"/>
      <c r="AK2266" s="12"/>
      <c r="AL2266" s="12"/>
      <c r="AM2266" s="44"/>
      <c r="AN2266" s="45"/>
      <c r="AO2266" s="12"/>
      <c r="AP2266" s="12"/>
      <c r="AQ2266" s="12"/>
      <c r="AR2266" s="12"/>
      <c r="AS2266" s="44"/>
      <c r="AT2266" s="45"/>
      <c r="AU2266" s="12"/>
      <c r="AV2266" s="12"/>
      <c r="AW2266" s="12"/>
      <c r="AX2266" s="12"/>
      <c r="AY2266" s="44"/>
      <c r="AZ2266" s="45"/>
      <c r="BA2266" s="12"/>
      <c r="BB2266" s="12"/>
      <c r="BC2266" s="12"/>
      <c r="BD2266" s="12"/>
      <c r="BE2266" s="44"/>
      <c r="BF2266" s="45"/>
      <c r="BG2266" s="12"/>
      <c r="BH2266" s="12"/>
      <c r="BI2266" s="12"/>
      <c r="BJ2266" s="12"/>
      <c r="BK2266" s="44"/>
      <c r="BL2266" s="45"/>
      <c r="BM2266" s="12"/>
      <c r="BN2266" s="12"/>
      <c r="BO2266" s="12"/>
      <c r="BP2266" s="12"/>
      <c r="BQ2266" s="48"/>
      <c r="BR2266" s="49"/>
      <c r="BS2266" s="13"/>
      <c r="BT2266" s="12"/>
      <c r="BV2266" s="14"/>
      <c r="BW2266" s="50"/>
      <c r="BX2266" s="54"/>
      <c r="BY2266" s="14"/>
      <c r="BZ2266" s="14"/>
      <c r="CA2266" s="14"/>
      <c r="CB2266" s="14"/>
      <c r="CC2266" s="14"/>
      <c r="CD2266" s="14"/>
      <c r="CE2266" s="14"/>
      <c r="CF2266" s="15"/>
      <c r="CG2266" s="14"/>
      <c r="CH2266" s="14"/>
      <c r="CI2266" s="50"/>
      <c r="CJ2266" s="54"/>
      <c r="CK2266" s="14"/>
      <c r="CL2266" s="14"/>
      <c r="CM2266" s="14"/>
      <c r="CN2266" s="14"/>
      <c r="CO2266" s="14"/>
      <c r="CP2266" s="14"/>
      <c r="CQ2266" s="14"/>
      <c r="CR2266" s="14"/>
      <c r="CS2266" s="14"/>
      <c r="CT2266" s="14"/>
      <c r="CU2266" s="16"/>
      <c r="CV2266" s="14"/>
      <c r="CW2266" s="50"/>
      <c r="CX2266" s="17"/>
    </row>
    <row r="2267" spans="4:102" x14ac:dyDescent="0.25">
      <c r="D2267" s="11"/>
      <c r="E2267" s="11"/>
      <c r="F2267" s="11"/>
      <c r="G2267" s="11"/>
      <c r="H2267" s="11"/>
      <c r="I2267" s="11"/>
      <c r="J2267" s="11"/>
      <c r="K2267" s="11"/>
      <c r="L2267" s="11"/>
      <c r="M2267" s="11"/>
      <c r="N2267" s="11"/>
      <c r="O2267" s="11"/>
      <c r="P2267" s="43"/>
      <c r="Q2267" s="11"/>
      <c r="R2267" s="11"/>
      <c r="S2267" s="11"/>
      <c r="T2267" s="11"/>
      <c r="U2267" s="11"/>
      <c r="V2267" s="11"/>
      <c r="W2267" s="11"/>
      <c r="X2267" s="12"/>
      <c r="Y2267" s="12"/>
      <c r="Z2267" s="12"/>
      <c r="AA2267" s="44"/>
      <c r="AB2267" s="45"/>
      <c r="AC2267" s="12"/>
      <c r="AD2267" s="12"/>
      <c r="AE2267" s="12"/>
      <c r="AF2267" s="12"/>
      <c r="AG2267" s="44"/>
      <c r="AH2267" s="45"/>
      <c r="AI2267" s="12"/>
      <c r="AJ2267" s="12"/>
      <c r="AK2267" s="12"/>
      <c r="AL2267" s="12"/>
      <c r="AM2267" s="44"/>
      <c r="AN2267" s="45"/>
      <c r="AO2267" s="12"/>
      <c r="AP2267" s="12"/>
      <c r="AQ2267" s="12"/>
      <c r="AR2267" s="12"/>
      <c r="AS2267" s="44"/>
      <c r="AT2267" s="45"/>
      <c r="AU2267" s="12"/>
      <c r="AV2267" s="12"/>
      <c r="AW2267" s="12"/>
      <c r="AX2267" s="12"/>
      <c r="AY2267" s="44"/>
      <c r="AZ2267" s="45"/>
      <c r="BA2267" s="12"/>
      <c r="BB2267" s="12"/>
      <c r="BC2267" s="12"/>
      <c r="BD2267" s="12"/>
      <c r="BE2267" s="44"/>
      <c r="BF2267" s="45"/>
      <c r="BG2267" s="12"/>
      <c r="BH2267" s="12"/>
      <c r="BI2267" s="12"/>
      <c r="BJ2267" s="12"/>
      <c r="BK2267" s="44"/>
      <c r="BL2267" s="45"/>
      <c r="BM2267" s="12"/>
      <c r="BN2267" s="12"/>
      <c r="BO2267" s="12"/>
      <c r="BP2267" s="12"/>
      <c r="BQ2267" s="48"/>
      <c r="BR2267" s="49"/>
      <c r="BS2267" s="13"/>
      <c r="BT2267" s="12"/>
      <c r="BV2267" s="14"/>
      <c r="BW2267" s="50"/>
      <c r="BX2267" s="54"/>
      <c r="BY2267" s="14"/>
      <c r="BZ2267" s="14"/>
      <c r="CA2267" s="14"/>
      <c r="CB2267" s="14"/>
      <c r="CC2267" s="14"/>
      <c r="CD2267" s="14"/>
      <c r="CE2267" s="14"/>
      <c r="CF2267" s="15"/>
      <c r="CG2267" s="14"/>
      <c r="CH2267" s="14"/>
      <c r="CI2267" s="50"/>
      <c r="CJ2267" s="54"/>
      <c r="CK2267" s="14"/>
      <c r="CL2267" s="14"/>
      <c r="CM2267" s="14"/>
      <c r="CN2267" s="14"/>
      <c r="CO2267" s="14"/>
      <c r="CP2267" s="14"/>
      <c r="CQ2267" s="14"/>
      <c r="CR2267" s="14"/>
      <c r="CS2267" s="14"/>
      <c r="CT2267" s="14"/>
      <c r="CU2267" s="16"/>
      <c r="CV2267" s="14"/>
      <c r="CW2267" s="50"/>
      <c r="CX2267" s="17"/>
    </row>
    <row r="2268" spans="4:102" x14ac:dyDescent="0.25">
      <c r="D2268" s="11"/>
      <c r="E2268" s="11"/>
      <c r="F2268" s="11"/>
      <c r="G2268" s="11"/>
      <c r="H2268" s="11"/>
      <c r="I2268" s="11"/>
      <c r="J2268" s="11"/>
      <c r="K2268" s="11"/>
      <c r="L2268" s="11"/>
      <c r="M2268" s="11"/>
      <c r="N2268" s="11"/>
      <c r="O2268" s="11"/>
      <c r="P2268" s="43"/>
      <c r="Q2268" s="11"/>
      <c r="R2268" s="11"/>
      <c r="S2268" s="11"/>
      <c r="T2268" s="11"/>
      <c r="U2268" s="11"/>
      <c r="V2268" s="11"/>
      <c r="W2268" s="11"/>
      <c r="X2268" s="12"/>
      <c r="Y2268" s="12"/>
      <c r="Z2268" s="12"/>
      <c r="AA2268" s="44"/>
      <c r="AB2268" s="45"/>
      <c r="AC2268" s="12"/>
      <c r="AD2268" s="12"/>
      <c r="AE2268" s="12"/>
      <c r="AF2268" s="12"/>
      <c r="AG2268" s="44"/>
      <c r="AH2268" s="45"/>
      <c r="AI2268" s="12"/>
      <c r="AJ2268" s="12"/>
      <c r="AK2268" s="12"/>
      <c r="AL2268" s="12"/>
      <c r="AM2268" s="44"/>
      <c r="AN2268" s="45"/>
      <c r="AO2268" s="12"/>
      <c r="AP2268" s="12"/>
      <c r="AQ2268" s="12"/>
      <c r="AR2268" s="12"/>
      <c r="AS2268" s="44"/>
      <c r="AT2268" s="45"/>
      <c r="AU2268" s="12"/>
      <c r="AV2268" s="12"/>
      <c r="AW2268" s="12"/>
      <c r="AX2268" s="12"/>
      <c r="AY2268" s="44"/>
      <c r="AZ2268" s="45"/>
      <c r="BA2268" s="12"/>
      <c r="BB2268" s="12"/>
      <c r="BC2268" s="12"/>
      <c r="BD2268" s="12"/>
      <c r="BE2268" s="44"/>
      <c r="BF2268" s="45"/>
      <c r="BG2268" s="12"/>
      <c r="BH2268" s="12"/>
      <c r="BI2268" s="12"/>
      <c r="BJ2268" s="12"/>
      <c r="BK2268" s="44"/>
      <c r="BL2268" s="45"/>
      <c r="BM2268" s="12"/>
      <c r="BN2268" s="12"/>
      <c r="BO2268" s="12"/>
      <c r="BP2268" s="12"/>
      <c r="BQ2268" s="48"/>
      <c r="BR2268" s="49"/>
      <c r="BS2268" s="13"/>
      <c r="BT2268" s="12"/>
      <c r="BV2268" s="14"/>
      <c r="BW2268" s="50"/>
      <c r="BX2268" s="54"/>
      <c r="BY2268" s="14"/>
      <c r="BZ2268" s="14"/>
      <c r="CA2268" s="14"/>
      <c r="CB2268" s="14"/>
      <c r="CC2268" s="14"/>
      <c r="CD2268" s="14"/>
      <c r="CE2268" s="14"/>
      <c r="CF2268" s="15"/>
      <c r="CG2268" s="14"/>
      <c r="CH2268" s="14"/>
      <c r="CI2268" s="50"/>
      <c r="CJ2268" s="54"/>
      <c r="CK2268" s="14"/>
      <c r="CL2268" s="14"/>
      <c r="CM2268" s="14"/>
      <c r="CN2268" s="14"/>
      <c r="CO2268" s="14"/>
      <c r="CP2268" s="14"/>
      <c r="CQ2268" s="14"/>
      <c r="CR2268" s="14"/>
      <c r="CS2268" s="14"/>
      <c r="CT2268" s="14"/>
      <c r="CU2268" s="16"/>
      <c r="CV2268" s="14"/>
      <c r="CW2268" s="50"/>
      <c r="CX2268" s="17"/>
    </row>
    <row r="2269" spans="4:102" x14ac:dyDescent="0.25">
      <c r="D2269" s="11"/>
      <c r="E2269" s="11"/>
      <c r="F2269" s="11"/>
      <c r="G2269" s="11"/>
      <c r="H2269" s="11"/>
      <c r="I2269" s="11"/>
      <c r="J2269" s="11"/>
      <c r="K2269" s="11"/>
      <c r="L2269" s="11"/>
      <c r="M2269" s="11"/>
      <c r="N2269" s="11"/>
      <c r="O2269" s="11"/>
      <c r="P2269" s="43"/>
      <c r="Q2269" s="11"/>
      <c r="R2269" s="11"/>
      <c r="S2269" s="11"/>
      <c r="T2269" s="11"/>
      <c r="U2269" s="11"/>
      <c r="V2269" s="11"/>
      <c r="W2269" s="11"/>
      <c r="X2269" s="12"/>
      <c r="Y2269" s="12"/>
      <c r="Z2269" s="12"/>
      <c r="AA2269" s="44"/>
      <c r="AB2269" s="45"/>
      <c r="AC2269" s="12"/>
      <c r="AD2269" s="12"/>
      <c r="AE2269" s="12"/>
      <c r="AF2269" s="12"/>
      <c r="AG2269" s="44"/>
      <c r="AH2269" s="45"/>
      <c r="AI2269" s="12"/>
      <c r="AJ2269" s="12"/>
      <c r="AK2269" s="12"/>
      <c r="AL2269" s="12"/>
      <c r="AM2269" s="44"/>
      <c r="AN2269" s="45"/>
      <c r="AO2269" s="12"/>
      <c r="AP2269" s="12"/>
      <c r="AQ2269" s="12"/>
      <c r="AR2269" s="12"/>
      <c r="AS2269" s="44"/>
      <c r="AT2269" s="45"/>
      <c r="AU2269" s="12"/>
      <c r="AV2269" s="12"/>
      <c r="AW2269" s="12"/>
      <c r="AX2269" s="12"/>
      <c r="AY2269" s="44"/>
      <c r="AZ2269" s="45"/>
      <c r="BA2269" s="12"/>
      <c r="BB2269" s="12"/>
      <c r="BC2269" s="12"/>
      <c r="BD2269" s="12"/>
      <c r="BE2269" s="44"/>
      <c r="BF2269" s="45"/>
      <c r="BG2269" s="12"/>
      <c r="BH2269" s="12"/>
      <c r="BI2269" s="12"/>
      <c r="BJ2269" s="12"/>
      <c r="BK2269" s="44"/>
      <c r="BL2269" s="45"/>
      <c r="BM2269" s="12"/>
      <c r="BN2269" s="12"/>
      <c r="BO2269" s="12"/>
      <c r="BP2269" s="12"/>
      <c r="BQ2269" s="48"/>
      <c r="BR2269" s="49"/>
      <c r="BS2269" s="13"/>
      <c r="BT2269" s="12"/>
      <c r="BV2269" s="14"/>
      <c r="BW2269" s="50"/>
      <c r="BX2269" s="54"/>
      <c r="BY2269" s="14"/>
      <c r="BZ2269" s="14"/>
      <c r="CA2269" s="14"/>
      <c r="CB2269" s="14"/>
      <c r="CC2269" s="14"/>
      <c r="CD2269" s="14"/>
      <c r="CE2269" s="14"/>
      <c r="CF2269" s="15"/>
      <c r="CG2269" s="14"/>
      <c r="CH2269" s="14"/>
      <c r="CI2269" s="50"/>
      <c r="CJ2269" s="54"/>
      <c r="CK2269" s="14"/>
      <c r="CL2269" s="14"/>
      <c r="CM2269" s="14"/>
      <c r="CN2269" s="14"/>
      <c r="CO2269" s="14"/>
      <c r="CP2269" s="14"/>
      <c r="CQ2269" s="14"/>
      <c r="CR2269" s="14"/>
      <c r="CS2269" s="14"/>
      <c r="CT2269" s="14"/>
      <c r="CU2269" s="16"/>
      <c r="CV2269" s="14"/>
      <c r="CW2269" s="50"/>
      <c r="CX2269" s="17"/>
    </row>
    <row r="2270" spans="4:102" x14ac:dyDescent="0.25">
      <c r="D2270" s="11"/>
      <c r="E2270" s="11"/>
      <c r="F2270" s="11"/>
      <c r="G2270" s="11"/>
      <c r="H2270" s="11"/>
      <c r="I2270" s="11"/>
      <c r="J2270" s="11"/>
      <c r="K2270" s="11"/>
      <c r="L2270" s="11"/>
      <c r="M2270" s="11"/>
      <c r="N2270" s="11"/>
      <c r="O2270" s="11"/>
      <c r="P2270" s="43"/>
      <c r="Q2270" s="11"/>
      <c r="R2270" s="11"/>
      <c r="S2270" s="11"/>
      <c r="T2270" s="11"/>
      <c r="U2270" s="11"/>
      <c r="V2270" s="11"/>
      <c r="W2270" s="11"/>
      <c r="X2270" s="12"/>
      <c r="Y2270" s="12"/>
      <c r="Z2270" s="12"/>
      <c r="AA2270" s="44"/>
      <c r="AB2270" s="45"/>
      <c r="AC2270" s="12"/>
      <c r="AD2270" s="12"/>
      <c r="AE2270" s="12"/>
      <c r="AF2270" s="12"/>
      <c r="AG2270" s="44"/>
      <c r="AH2270" s="45"/>
      <c r="AI2270" s="12"/>
      <c r="AJ2270" s="12"/>
      <c r="AK2270" s="12"/>
      <c r="AL2270" s="12"/>
      <c r="AM2270" s="44"/>
      <c r="AN2270" s="45"/>
      <c r="AO2270" s="12"/>
      <c r="AP2270" s="12"/>
      <c r="AQ2270" s="12"/>
      <c r="AR2270" s="12"/>
      <c r="AS2270" s="44"/>
      <c r="AT2270" s="45"/>
      <c r="AU2270" s="12"/>
      <c r="AV2270" s="12"/>
      <c r="AW2270" s="12"/>
      <c r="AX2270" s="12"/>
      <c r="AY2270" s="44"/>
      <c r="AZ2270" s="45"/>
      <c r="BA2270" s="12"/>
      <c r="BB2270" s="12"/>
      <c r="BC2270" s="12"/>
      <c r="BD2270" s="12"/>
      <c r="BE2270" s="44"/>
      <c r="BF2270" s="45"/>
      <c r="BG2270" s="12"/>
      <c r="BH2270" s="12"/>
      <c r="BI2270" s="12"/>
      <c r="BJ2270" s="12"/>
      <c r="BK2270" s="44"/>
      <c r="BL2270" s="45"/>
      <c r="BM2270" s="12"/>
      <c r="BN2270" s="12"/>
      <c r="BO2270" s="12"/>
      <c r="BP2270" s="12"/>
      <c r="BQ2270" s="48"/>
      <c r="BR2270" s="49"/>
      <c r="BS2270" s="13"/>
      <c r="BT2270" s="12"/>
      <c r="BV2270" s="14"/>
      <c r="BW2270" s="50"/>
      <c r="BX2270" s="54"/>
      <c r="BY2270" s="14"/>
      <c r="BZ2270" s="14"/>
      <c r="CA2270" s="14"/>
      <c r="CB2270" s="14"/>
      <c r="CC2270" s="14"/>
      <c r="CD2270" s="14"/>
      <c r="CE2270" s="14"/>
      <c r="CF2270" s="15"/>
      <c r="CG2270" s="14"/>
      <c r="CH2270" s="14"/>
      <c r="CI2270" s="50"/>
      <c r="CJ2270" s="54"/>
      <c r="CK2270" s="14"/>
      <c r="CL2270" s="14"/>
      <c r="CM2270" s="14"/>
      <c r="CN2270" s="14"/>
      <c r="CO2270" s="14"/>
      <c r="CP2270" s="14"/>
      <c r="CQ2270" s="14"/>
      <c r="CR2270" s="14"/>
      <c r="CS2270" s="14"/>
      <c r="CT2270" s="14"/>
      <c r="CU2270" s="16"/>
      <c r="CV2270" s="14"/>
      <c r="CW2270" s="50"/>
      <c r="CX2270" s="17"/>
    </row>
    <row r="2271" spans="4:102" x14ac:dyDescent="0.25">
      <c r="D2271" s="11"/>
      <c r="E2271" s="11"/>
      <c r="F2271" s="11"/>
      <c r="G2271" s="11"/>
      <c r="H2271" s="11"/>
      <c r="I2271" s="11"/>
      <c r="J2271" s="11"/>
      <c r="K2271" s="11"/>
      <c r="L2271" s="11"/>
      <c r="M2271" s="11"/>
      <c r="N2271" s="11"/>
      <c r="O2271" s="11"/>
      <c r="P2271" s="43"/>
      <c r="Q2271" s="11"/>
      <c r="R2271" s="11"/>
      <c r="S2271" s="11"/>
      <c r="T2271" s="11"/>
      <c r="U2271" s="11"/>
      <c r="V2271" s="11"/>
      <c r="W2271" s="11"/>
      <c r="X2271" s="12"/>
      <c r="Y2271" s="12"/>
      <c r="Z2271" s="12"/>
      <c r="AA2271" s="44"/>
      <c r="AB2271" s="45"/>
      <c r="AC2271" s="12"/>
      <c r="AD2271" s="12"/>
      <c r="AE2271" s="12"/>
      <c r="AF2271" s="12"/>
      <c r="AG2271" s="44"/>
      <c r="AH2271" s="45"/>
      <c r="AI2271" s="12"/>
      <c r="AJ2271" s="12"/>
      <c r="AK2271" s="12"/>
      <c r="AL2271" s="12"/>
      <c r="AM2271" s="44"/>
      <c r="AN2271" s="45"/>
      <c r="AO2271" s="12"/>
      <c r="AP2271" s="12"/>
      <c r="AQ2271" s="12"/>
      <c r="AR2271" s="12"/>
      <c r="AS2271" s="44"/>
      <c r="AT2271" s="45"/>
      <c r="AU2271" s="12"/>
      <c r="AV2271" s="12"/>
      <c r="AW2271" s="12"/>
      <c r="AX2271" s="12"/>
      <c r="AY2271" s="44"/>
      <c r="AZ2271" s="45"/>
      <c r="BA2271" s="12"/>
      <c r="BB2271" s="12"/>
      <c r="BC2271" s="12"/>
      <c r="BD2271" s="12"/>
      <c r="BE2271" s="44"/>
      <c r="BF2271" s="45"/>
      <c r="BG2271" s="12"/>
      <c r="BH2271" s="12"/>
      <c r="BI2271" s="12"/>
      <c r="BJ2271" s="12"/>
      <c r="BK2271" s="44"/>
      <c r="BL2271" s="45"/>
      <c r="BM2271" s="12"/>
      <c r="BN2271" s="12"/>
      <c r="BO2271" s="12"/>
      <c r="BP2271" s="12"/>
      <c r="BQ2271" s="48"/>
      <c r="BR2271" s="49"/>
      <c r="BS2271" s="13"/>
      <c r="BT2271" s="12"/>
      <c r="BV2271" s="14"/>
      <c r="BW2271" s="50"/>
      <c r="BX2271" s="54"/>
      <c r="BY2271" s="14"/>
      <c r="BZ2271" s="14"/>
      <c r="CA2271" s="14"/>
      <c r="CB2271" s="14"/>
      <c r="CC2271" s="14"/>
      <c r="CD2271" s="14"/>
      <c r="CE2271" s="14"/>
      <c r="CF2271" s="15"/>
      <c r="CG2271" s="14"/>
      <c r="CH2271" s="14"/>
      <c r="CI2271" s="50"/>
      <c r="CJ2271" s="54"/>
      <c r="CK2271" s="14"/>
      <c r="CL2271" s="14"/>
      <c r="CM2271" s="14"/>
      <c r="CN2271" s="14"/>
      <c r="CO2271" s="14"/>
      <c r="CP2271" s="14"/>
      <c r="CQ2271" s="14"/>
      <c r="CR2271" s="14"/>
      <c r="CS2271" s="14"/>
      <c r="CT2271" s="14"/>
      <c r="CU2271" s="16"/>
      <c r="CV2271" s="14"/>
      <c r="CW2271" s="50"/>
      <c r="CX2271" s="17"/>
    </row>
    <row r="2272" spans="4:102" x14ac:dyDescent="0.25">
      <c r="D2272" s="11"/>
      <c r="E2272" s="11"/>
      <c r="F2272" s="11"/>
      <c r="G2272" s="11"/>
      <c r="H2272" s="11"/>
      <c r="I2272" s="11"/>
      <c r="J2272" s="11"/>
      <c r="K2272" s="11"/>
      <c r="L2272" s="11"/>
      <c r="M2272" s="11"/>
      <c r="N2272" s="11"/>
      <c r="O2272" s="11"/>
      <c r="P2272" s="43"/>
      <c r="Q2272" s="11"/>
      <c r="R2272" s="11"/>
      <c r="S2272" s="11"/>
      <c r="T2272" s="11"/>
      <c r="U2272" s="11"/>
      <c r="V2272" s="11"/>
      <c r="W2272" s="11"/>
      <c r="X2272" s="12"/>
      <c r="Y2272" s="12"/>
      <c r="Z2272" s="12"/>
      <c r="AA2272" s="44"/>
      <c r="AB2272" s="45"/>
      <c r="AC2272" s="12"/>
      <c r="AD2272" s="12"/>
      <c r="AE2272" s="12"/>
      <c r="AF2272" s="12"/>
      <c r="AG2272" s="44"/>
      <c r="AH2272" s="45"/>
      <c r="AI2272" s="12"/>
      <c r="AJ2272" s="12"/>
      <c r="AK2272" s="12"/>
      <c r="AL2272" s="12"/>
      <c r="AM2272" s="44"/>
      <c r="AN2272" s="45"/>
      <c r="AO2272" s="12"/>
      <c r="AP2272" s="12"/>
      <c r="AQ2272" s="12"/>
      <c r="AR2272" s="12"/>
      <c r="AS2272" s="44"/>
      <c r="AT2272" s="45"/>
      <c r="AU2272" s="12"/>
      <c r="AV2272" s="12"/>
      <c r="AW2272" s="12"/>
      <c r="AX2272" s="12"/>
      <c r="AY2272" s="44"/>
      <c r="AZ2272" s="45"/>
      <c r="BA2272" s="12"/>
      <c r="BB2272" s="12"/>
      <c r="BC2272" s="12"/>
      <c r="BD2272" s="12"/>
      <c r="BE2272" s="44"/>
      <c r="BF2272" s="45"/>
      <c r="BG2272" s="12"/>
      <c r="BH2272" s="12"/>
      <c r="BI2272" s="12"/>
      <c r="BJ2272" s="12"/>
      <c r="BK2272" s="44"/>
      <c r="BL2272" s="45"/>
      <c r="BM2272" s="12"/>
      <c r="BN2272" s="12"/>
      <c r="BO2272" s="12"/>
      <c r="BP2272" s="12"/>
      <c r="BQ2272" s="48"/>
      <c r="BR2272" s="49"/>
      <c r="BS2272" s="13"/>
      <c r="BT2272" s="12"/>
      <c r="BV2272" s="14"/>
      <c r="BW2272" s="50"/>
      <c r="BX2272" s="54"/>
      <c r="BY2272" s="14"/>
      <c r="BZ2272" s="14"/>
      <c r="CA2272" s="14"/>
      <c r="CB2272" s="14"/>
      <c r="CC2272" s="14"/>
      <c r="CD2272" s="14"/>
      <c r="CE2272" s="14"/>
      <c r="CF2272" s="15"/>
      <c r="CG2272" s="14"/>
      <c r="CH2272" s="14"/>
      <c r="CI2272" s="50"/>
      <c r="CJ2272" s="54"/>
      <c r="CK2272" s="14"/>
      <c r="CL2272" s="14"/>
      <c r="CM2272" s="14"/>
      <c r="CN2272" s="14"/>
      <c r="CO2272" s="14"/>
      <c r="CP2272" s="14"/>
      <c r="CQ2272" s="14"/>
      <c r="CR2272" s="14"/>
      <c r="CS2272" s="14"/>
      <c r="CT2272" s="14"/>
      <c r="CU2272" s="16"/>
      <c r="CV2272" s="14"/>
      <c r="CW2272" s="50"/>
      <c r="CX2272" s="17"/>
    </row>
    <row r="2273" spans="4:102" x14ac:dyDescent="0.25">
      <c r="D2273" s="11"/>
      <c r="E2273" s="11"/>
      <c r="F2273" s="11"/>
      <c r="G2273" s="11"/>
      <c r="H2273" s="11"/>
      <c r="I2273" s="11"/>
      <c r="J2273" s="11"/>
      <c r="K2273" s="11"/>
      <c r="L2273" s="11"/>
      <c r="M2273" s="11"/>
      <c r="N2273" s="11"/>
      <c r="O2273" s="11"/>
      <c r="P2273" s="43"/>
      <c r="Q2273" s="11"/>
      <c r="R2273" s="11"/>
      <c r="S2273" s="11"/>
      <c r="T2273" s="11"/>
      <c r="U2273" s="11"/>
      <c r="V2273" s="11"/>
      <c r="W2273" s="11"/>
      <c r="X2273" s="12"/>
      <c r="Y2273" s="12"/>
      <c r="Z2273" s="12"/>
      <c r="AA2273" s="44"/>
      <c r="AB2273" s="45"/>
      <c r="AC2273" s="12"/>
      <c r="AD2273" s="12"/>
      <c r="AE2273" s="12"/>
      <c r="AF2273" s="12"/>
      <c r="AG2273" s="44"/>
      <c r="AH2273" s="45"/>
      <c r="AI2273" s="12"/>
      <c r="AJ2273" s="12"/>
      <c r="AK2273" s="12"/>
      <c r="AL2273" s="12"/>
      <c r="AM2273" s="44"/>
      <c r="AN2273" s="45"/>
      <c r="AO2273" s="12"/>
      <c r="AP2273" s="12"/>
      <c r="AQ2273" s="12"/>
      <c r="AR2273" s="12"/>
      <c r="AS2273" s="44"/>
      <c r="AT2273" s="45"/>
      <c r="AU2273" s="12"/>
      <c r="AV2273" s="12"/>
      <c r="AW2273" s="12"/>
      <c r="AX2273" s="12"/>
      <c r="AY2273" s="44"/>
      <c r="AZ2273" s="45"/>
      <c r="BA2273" s="12"/>
      <c r="BB2273" s="12"/>
      <c r="BC2273" s="12"/>
      <c r="BD2273" s="12"/>
      <c r="BE2273" s="44"/>
      <c r="BF2273" s="45"/>
      <c r="BG2273" s="12"/>
      <c r="BH2273" s="12"/>
      <c r="BI2273" s="12"/>
      <c r="BJ2273" s="12"/>
      <c r="BK2273" s="44"/>
      <c r="BL2273" s="45"/>
      <c r="BM2273" s="12"/>
      <c r="BN2273" s="12"/>
      <c r="BO2273" s="12"/>
      <c r="BP2273" s="12"/>
      <c r="BQ2273" s="48"/>
      <c r="BR2273" s="49"/>
      <c r="BS2273" s="13"/>
      <c r="BT2273" s="12"/>
      <c r="BV2273" s="14"/>
      <c r="BW2273" s="50"/>
      <c r="BX2273" s="54"/>
      <c r="BY2273" s="14"/>
      <c r="BZ2273" s="14"/>
      <c r="CA2273" s="14"/>
      <c r="CB2273" s="14"/>
      <c r="CC2273" s="14"/>
      <c r="CD2273" s="14"/>
      <c r="CE2273" s="14"/>
      <c r="CF2273" s="15"/>
      <c r="CG2273" s="14"/>
      <c r="CH2273" s="14"/>
      <c r="CI2273" s="50"/>
      <c r="CJ2273" s="54"/>
      <c r="CK2273" s="14"/>
      <c r="CL2273" s="14"/>
      <c r="CM2273" s="14"/>
      <c r="CN2273" s="14"/>
      <c r="CO2273" s="14"/>
      <c r="CP2273" s="14"/>
      <c r="CQ2273" s="14"/>
      <c r="CR2273" s="14"/>
      <c r="CS2273" s="14"/>
      <c r="CT2273" s="14"/>
      <c r="CU2273" s="16"/>
      <c r="CV2273" s="14"/>
      <c r="CW2273" s="50"/>
      <c r="CX2273" s="17"/>
    </row>
    <row r="2274" spans="4:102" x14ac:dyDescent="0.25">
      <c r="D2274" s="11"/>
      <c r="E2274" s="11"/>
      <c r="F2274" s="11"/>
      <c r="G2274" s="11"/>
      <c r="H2274" s="11"/>
      <c r="I2274" s="11"/>
      <c r="J2274" s="11"/>
      <c r="K2274" s="11"/>
      <c r="L2274" s="11"/>
      <c r="M2274" s="11"/>
      <c r="N2274" s="11"/>
      <c r="O2274" s="11"/>
      <c r="P2274" s="43"/>
      <c r="Q2274" s="11"/>
      <c r="R2274" s="11"/>
      <c r="S2274" s="11"/>
      <c r="T2274" s="11"/>
      <c r="U2274" s="11"/>
      <c r="V2274" s="11"/>
      <c r="W2274" s="11"/>
      <c r="X2274" s="12"/>
      <c r="Y2274" s="12"/>
      <c r="Z2274" s="12"/>
      <c r="AA2274" s="44"/>
      <c r="AB2274" s="45"/>
      <c r="AC2274" s="12"/>
      <c r="AD2274" s="12"/>
      <c r="AE2274" s="12"/>
      <c r="AF2274" s="12"/>
      <c r="AG2274" s="44"/>
      <c r="AH2274" s="45"/>
      <c r="AI2274" s="12"/>
      <c r="AJ2274" s="12"/>
      <c r="AK2274" s="12"/>
      <c r="AL2274" s="12"/>
      <c r="AM2274" s="44"/>
      <c r="AN2274" s="45"/>
      <c r="AO2274" s="12"/>
      <c r="AP2274" s="12"/>
      <c r="AQ2274" s="12"/>
      <c r="AR2274" s="12"/>
      <c r="AS2274" s="44"/>
      <c r="AT2274" s="45"/>
      <c r="AU2274" s="12"/>
      <c r="AV2274" s="12"/>
      <c r="AW2274" s="12"/>
      <c r="AX2274" s="12"/>
      <c r="AY2274" s="44"/>
      <c r="AZ2274" s="45"/>
      <c r="BA2274" s="12"/>
      <c r="BB2274" s="12"/>
      <c r="BC2274" s="12"/>
      <c r="BD2274" s="12"/>
      <c r="BE2274" s="44"/>
      <c r="BF2274" s="45"/>
      <c r="BG2274" s="12"/>
      <c r="BH2274" s="12"/>
      <c r="BI2274" s="12"/>
      <c r="BJ2274" s="12"/>
      <c r="BK2274" s="44"/>
      <c r="BL2274" s="45"/>
      <c r="BM2274" s="12"/>
      <c r="BN2274" s="12"/>
      <c r="BO2274" s="12"/>
      <c r="BP2274" s="12"/>
      <c r="BQ2274" s="48"/>
      <c r="BR2274" s="49"/>
      <c r="BS2274" s="13"/>
      <c r="BT2274" s="12"/>
      <c r="BV2274" s="14"/>
      <c r="BW2274" s="50"/>
      <c r="BX2274" s="54"/>
      <c r="BY2274" s="14"/>
      <c r="BZ2274" s="14"/>
      <c r="CA2274" s="14"/>
      <c r="CB2274" s="14"/>
      <c r="CC2274" s="14"/>
      <c r="CD2274" s="14"/>
      <c r="CE2274" s="14"/>
      <c r="CF2274" s="15"/>
      <c r="CG2274" s="14"/>
      <c r="CH2274" s="14"/>
      <c r="CI2274" s="50"/>
      <c r="CJ2274" s="54"/>
      <c r="CK2274" s="14"/>
      <c r="CL2274" s="14"/>
      <c r="CM2274" s="14"/>
      <c r="CN2274" s="14"/>
      <c r="CO2274" s="14"/>
      <c r="CP2274" s="14"/>
      <c r="CQ2274" s="14"/>
      <c r="CR2274" s="14"/>
      <c r="CS2274" s="14"/>
      <c r="CT2274" s="14"/>
      <c r="CU2274" s="16"/>
      <c r="CV2274" s="14"/>
      <c r="CW2274" s="50"/>
      <c r="CX2274" s="17"/>
    </row>
    <row r="2275" spans="4:102" x14ac:dyDescent="0.25">
      <c r="D2275" s="11"/>
      <c r="E2275" s="11"/>
      <c r="F2275" s="11"/>
      <c r="G2275" s="11"/>
      <c r="H2275" s="11"/>
      <c r="I2275" s="11"/>
      <c r="J2275" s="11"/>
      <c r="K2275" s="11"/>
      <c r="L2275" s="11"/>
      <c r="M2275" s="11"/>
      <c r="N2275" s="11"/>
      <c r="O2275" s="11"/>
      <c r="P2275" s="43"/>
      <c r="Q2275" s="11"/>
      <c r="R2275" s="11"/>
      <c r="S2275" s="11"/>
      <c r="T2275" s="11"/>
      <c r="U2275" s="11"/>
      <c r="V2275" s="11"/>
      <c r="W2275" s="11"/>
      <c r="X2275" s="12"/>
      <c r="Y2275" s="12"/>
      <c r="Z2275" s="12"/>
      <c r="AA2275" s="44"/>
      <c r="AB2275" s="45"/>
      <c r="AC2275" s="12"/>
      <c r="AD2275" s="12"/>
      <c r="AE2275" s="12"/>
      <c r="AF2275" s="12"/>
      <c r="AG2275" s="44"/>
      <c r="AH2275" s="45"/>
      <c r="AI2275" s="12"/>
      <c r="AJ2275" s="12"/>
      <c r="AK2275" s="12"/>
      <c r="AL2275" s="12"/>
      <c r="AM2275" s="44"/>
      <c r="AN2275" s="45"/>
      <c r="AO2275" s="12"/>
      <c r="AP2275" s="12"/>
      <c r="AQ2275" s="12"/>
      <c r="AR2275" s="12"/>
      <c r="AS2275" s="44"/>
      <c r="AT2275" s="45"/>
      <c r="AU2275" s="12"/>
      <c r="AV2275" s="12"/>
      <c r="AW2275" s="12"/>
      <c r="AX2275" s="12"/>
      <c r="AY2275" s="44"/>
      <c r="AZ2275" s="45"/>
      <c r="BA2275" s="12"/>
      <c r="BB2275" s="12"/>
      <c r="BC2275" s="12"/>
      <c r="BD2275" s="12"/>
      <c r="BE2275" s="44"/>
      <c r="BF2275" s="45"/>
      <c r="BG2275" s="12"/>
      <c r="BH2275" s="12"/>
      <c r="BI2275" s="12"/>
      <c r="BJ2275" s="12"/>
      <c r="BK2275" s="44"/>
      <c r="BL2275" s="45"/>
      <c r="BM2275" s="12"/>
      <c r="BN2275" s="12"/>
      <c r="BO2275" s="12"/>
      <c r="BP2275" s="12"/>
      <c r="BQ2275" s="48"/>
      <c r="BR2275" s="49"/>
      <c r="BS2275" s="13"/>
      <c r="BT2275" s="12"/>
      <c r="BV2275" s="14"/>
      <c r="BW2275" s="50"/>
      <c r="BX2275" s="54"/>
      <c r="BY2275" s="14"/>
      <c r="BZ2275" s="14"/>
      <c r="CA2275" s="14"/>
      <c r="CB2275" s="14"/>
      <c r="CC2275" s="14"/>
      <c r="CD2275" s="14"/>
      <c r="CE2275" s="14"/>
      <c r="CF2275" s="15"/>
      <c r="CG2275" s="14"/>
      <c r="CH2275" s="14"/>
      <c r="CI2275" s="50"/>
      <c r="CJ2275" s="54"/>
      <c r="CK2275" s="14"/>
      <c r="CL2275" s="14"/>
      <c r="CM2275" s="14"/>
      <c r="CN2275" s="14"/>
      <c r="CO2275" s="14"/>
      <c r="CP2275" s="14"/>
      <c r="CQ2275" s="14"/>
      <c r="CR2275" s="14"/>
      <c r="CS2275" s="14"/>
      <c r="CT2275" s="14"/>
      <c r="CU2275" s="16"/>
      <c r="CV2275" s="14"/>
      <c r="CW2275" s="50"/>
      <c r="CX2275" s="17"/>
    </row>
    <row r="2276" spans="4:102" x14ac:dyDescent="0.25">
      <c r="D2276" s="11"/>
      <c r="E2276" s="11"/>
      <c r="F2276" s="11"/>
      <c r="G2276" s="11"/>
      <c r="H2276" s="11"/>
      <c r="I2276" s="11"/>
      <c r="J2276" s="11"/>
      <c r="K2276" s="11"/>
      <c r="L2276" s="11"/>
      <c r="M2276" s="11"/>
      <c r="N2276" s="11"/>
      <c r="O2276" s="11"/>
      <c r="P2276" s="43"/>
      <c r="Q2276" s="11"/>
      <c r="R2276" s="11"/>
      <c r="S2276" s="11"/>
      <c r="T2276" s="11"/>
      <c r="U2276" s="11"/>
      <c r="V2276" s="11"/>
      <c r="W2276" s="11"/>
      <c r="X2276" s="12"/>
      <c r="Y2276" s="12"/>
      <c r="Z2276" s="12"/>
      <c r="AA2276" s="44"/>
      <c r="AB2276" s="45"/>
      <c r="AC2276" s="12"/>
      <c r="AD2276" s="12"/>
      <c r="AE2276" s="12"/>
      <c r="AF2276" s="12"/>
      <c r="AG2276" s="44"/>
      <c r="AH2276" s="45"/>
      <c r="AI2276" s="12"/>
      <c r="AJ2276" s="12"/>
      <c r="AK2276" s="12"/>
      <c r="AL2276" s="12"/>
      <c r="AM2276" s="44"/>
      <c r="AN2276" s="45"/>
      <c r="AO2276" s="12"/>
      <c r="AP2276" s="12"/>
      <c r="AQ2276" s="12"/>
      <c r="AR2276" s="12"/>
      <c r="AS2276" s="44"/>
      <c r="AT2276" s="45"/>
      <c r="AU2276" s="12"/>
      <c r="AV2276" s="12"/>
      <c r="AW2276" s="12"/>
      <c r="AX2276" s="12"/>
      <c r="AY2276" s="44"/>
      <c r="AZ2276" s="45"/>
      <c r="BA2276" s="12"/>
      <c r="BB2276" s="12"/>
      <c r="BC2276" s="12"/>
      <c r="BD2276" s="12"/>
      <c r="BE2276" s="44"/>
      <c r="BF2276" s="45"/>
      <c r="BG2276" s="12"/>
      <c r="BH2276" s="12"/>
      <c r="BI2276" s="12"/>
      <c r="BJ2276" s="12"/>
      <c r="BK2276" s="44"/>
      <c r="BL2276" s="45"/>
      <c r="BM2276" s="12"/>
      <c r="BN2276" s="12"/>
      <c r="BO2276" s="12"/>
      <c r="BP2276" s="12"/>
      <c r="BQ2276" s="48"/>
      <c r="BR2276" s="49"/>
      <c r="BS2276" s="13"/>
      <c r="BT2276" s="12"/>
      <c r="BV2276" s="14"/>
      <c r="BW2276" s="50"/>
      <c r="BX2276" s="54"/>
      <c r="BY2276" s="14"/>
      <c r="BZ2276" s="14"/>
      <c r="CA2276" s="14"/>
      <c r="CB2276" s="14"/>
      <c r="CC2276" s="14"/>
      <c r="CD2276" s="14"/>
      <c r="CE2276" s="14"/>
      <c r="CF2276" s="15"/>
      <c r="CG2276" s="14"/>
      <c r="CH2276" s="14"/>
      <c r="CI2276" s="50"/>
      <c r="CJ2276" s="54"/>
      <c r="CK2276" s="14"/>
      <c r="CL2276" s="14"/>
      <c r="CM2276" s="14"/>
      <c r="CN2276" s="14"/>
      <c r="CO2276" s="14"/>
      <c r="CP2276" s="14"/>
      <c r="CQ2276" s="14"/>
      <c r="CR2276" s="14"/>
      <c r="CS2276" s="14"/>
      <c r="CT2276" s="14"/>
      <c r="CU2276" s="16"/>
      <c r="CV2276" s="14"/>
      <c r="CW2276" s="50"/>
      <c r="CX2276" s="17"/>
    </row>
    <row r="2277" spans="4:102" x14ac:dyDescent="0.25">
      <c r="D2277" s="11"/>
      <c r="E2277" s="11"/>
      <c r="F2277" s="11"/>
      <c r="G2277" s="11"/>
      <c r="H2277" s="11"/>
      <c r="I2277" s="11"/>
      <c r="J2277" s="11"/>
      <c r="K2277" s="11"/>
      <c r="L2277" s="11"/>
      <c r="M2277" s="11"/>
      <c r="N2277" s="11"/>
      <c r="O2277" s="11"/>
      <c r="P2277" s="43"/>
      <c r="Q2277" s="11"/>
      <c r="R2277" s="11"/>
      <c r="S2277" s="11"/>
      <c r="T2277" s="11"/>
      <c r="U2277" s="11"/>
      <c r="V2277" s="11"/>
      <c r="W2277" s="11"/>
      <c r="X2277" s="12"/>
      <c r="Y2277" s="12"/>
      <c r="Z2277" s="12"/>
      <c r="AA2277" s="44"/>
      <c r="AB2277" s="45"/>
      <c r="AC2277" s="12"/>
      <c r="AD2277" s="12"/>
      <c r="AE2277" s="12"/>
      <c r="AF2277" s="12"/>
      <c r="AG2277" s="44"/>
      <c r="AH2277" s="45"/>
      <c r="AI2277" s="12"/>
      <c r="AJ2277" s="12"/>
      <c r="AK2277" s="12"/>
      <c r="AL2277" s="12"/>
      <c r="AM2277" s="44"/>
      <c r="AN2277" s="45"/>
      <c r="AO2277" s="12"/>
      <c r="AP2277" s="12"/>
      <c r="AQ2277" s="12"/>
      <c r="AR2277" s="12"/>
      <c r="AS2277" s="44"/>
      <c r="AT2277" s="45"/>
      <c r="AU2277" s="12"/>
      <c r="AV2277" s="12"/>
      <c r="AW2277" s="12"/>
      <c r="AX2277" s="12"/>
      <c r="AY2277" s="44"/>
      <c r="AZ2277" s="45"/>
      <c r="BA2277" s="12"/>
      <c r="BB2277" s="12"/>
      <c r="BC2277" s="12"/>
      <c r="BD2277" s="12"/>
      <c r="BE2277" s="44"/>
      <c r="BF2277" s="45"/>
      <c r="BG2277" s="12"/>
      <c r="BH2277" s="12"/>
      <c r="BI2277" s="12"/>
      <c r="BJ2277" s="12"/>
      <c r="BK2277" s="44"/>
      <c r="BL2277" s="45"/>
      <c r="BM2277" s="12"/>
      <c r="BN2277" s="12"/>
      <c r="BO2277" s="12"/>
      <c r="BP2277" s="12"/>
      <c r="BQ2277" s="48"/>
      <c r="BR2277" s="49"/>
      <c r="BS2277" s="13"/>
      <c r="BT2277" s="12"/>
      <c r="BV2277" s="14"/>
      <c r="BW2277" s="50"/>
      <c r="BX2277" s="54"/>
      <c r="BY2277" s="14"/>
      <c r="BZ2277" s="14"/>
      <c r="CA2277" s="14"/>
      <c r="CB2277" s="14"/>
      <c r="CC2277" s="14"/>
      <c r="CD2277" s="14"/>
      <c r="CE2277" s="14"/>
      <c r="CF2277" s="15"/>
      <c r="CG2277" s="14"/>
      <c r="CH2277" s="14"/>
      <c r="CI2277" s="50"/>
      <c r="CJ2277" s="54"/>
      <c r="CK2277" s="14"/>
      <c r="CL2277" s="14"/>
      <c r="CM2277" s="14"/>
      <c r="CN2277" s="14"/>
      <c r="CO2277" s="14"/>
      <c r="CP2277" s="14"/>
      <c r="CQ2277" s="14"/>
      <c r="CR2277" s="14"/>
      <c r="CS2277" s="14"/>
      <c r="CT2277" s="14"/>
      <c r="CU2277" s="16"/>
      <c r="CV2277" s="14"/>
      <c r="CW2277" s="50"/>
      <c r="CX2277" s="17"/>
    </row>
    <row r="2278" spans="4:102" x14ac:dyDescent="0.25">
      <c r="D2278" s="11"/>
      <c r="E2278" s="11"/>
      <c r="F2278" s="11"/>
      <c r="G2278" s="11"/>
      <c r="H2278" s="11"/>
      <c r="I2278" s="11"/>
      <c r="J2278" s="11"/>
      <c r="K2278" s="11"/>
      <c r="L2278" s="11"/>
      <c r="M2278" s="11"/>
      <c r="N2278" s="11"/>
      <c r="O2278" s="11"/>
      <c r="P2278" s="43"/>
      <c r="Q2278" s="11"/>
      <c r="R2278" s="11"/>
      <c r="S2278" s="11"/>
      <c r="T2278" s="11"/>
      <c r="U2278" s="11"/>
      <c r="V2278" s="11"/>
      <c r="W2278" s="11"/>
      <c r="X2278" s="12"/>
      <c r="Y2278" s="12"/>
      <c r="Z2278" s="12"/>
      <c r="AA2278" s="44"/>
      <c r="AB2278" s="45"/>
      <c r="AC2278" s="12"/>
      <c r="AD2278" s="12"/>
      <c r="AE2278" s="12"/>
      <c r="AF2278" s="12"/>
      <c r="AG2278" s="44"/>
      <c r="AH2278" s="45"/>
      <c r="AI2278" s="12"/>
      <c r="AJ2278" s="12"/>
      <c r="AK2278" s="12"/>
      <c r="AL2278" s="12"/>
      <c r="AM2278" s="44"/>
      <c r="AN2278" s="45"/>
      <c r="AO2278" s="12"/>
      <c r="AP2278" s="12"/>
      <c r="AQ2278" s="12"/>
      <c r="AR2278" s="12"/>
      <c r="AS2278" s="44"/>
      <c r="AT2278" s="45"/>
      <c r="AU2278" s="12"/>
      <c r="AV2278" s="12"/>
      <c r="AW2278" s="12"/>
      <c r="AX2278" s="12"/>
      <c r="AY2278" s="44"/>
      <c r="AZ2278" s="45"/>
      <c r="BA2278" s="12"/>
      <c r="BB2278" s="12"/>
      <c r="BC2278" s="12"/>
      <c r="BD2278" s="12"/>
      <c r="BE2278" s="44"/>
      <c r="BF2278" s="45"/>
      <c r="BG2278" s="12"/>
      <c r="BH2278" s="12"/>
      <c r="BI2278" s="12"/>
      <c r="BJ2278" s="12"/>
      <c r="BK2278" s="44"/>
      <c r="BL2278" s="45"/>
      <c r="BM2278" s="12"/>
      <c r="BN2278" s="12"/>
      <c r="BO2278" s="12"/>
      <c r="BP2278" s="12"/>
      <c r="BQ2278" s="48"/>
      <c r="BR2278" s="49"/>
      <c r="BS2278" s="13"/>
      <c r="BT2278" s="12"/>
      <c r="BV2278" s="14"/>
      <c r="BW2278" s="50"/>
      <c r="BX2278" s="54"/>
      <c r="BY2278" s="14"/>
      <c r="BZ2278" s="14"/>
      <c r="CA2278" s="14"/>
      <c r="CB2278" s="14"/>
      <c r="CC2278" s="14"/>
      <c r="CD2278" s="14"/>
      <c r="CE2278" s="14"/>
      <c r="CF2278" s="15"/>
      <c r="CG2278" s="14"/>
      <c r="CH2278" s="14"/>
      <c r="CI2278" s="50"/>
      <c r="CJ2278" s="54"/>
      <c r="CK2278" s="14"/>
      <c r="CL2278" s="14"/>
      <c r="CM2278" s="14"/>
      <c r="CN2278" s="14"/>
      <c r="CO2278" s="14"/>
      <c r="CP2278" s="14"/>
      <c r="CQ2278" s="14"/>
      <c r="CR2278" s="14"/>
      <c r="CS2278" s="14"/>
      <c r="CT2278" s="14"/>
      <c r="CU2278" s="16"/>
      <c r="CV2278" s="14"/>
      <c r="CW2278" s="50"/>
      <c r="CX2278" s="17"/>
    </row>
    <row r="2279" spans="4:102" x14ac:dyDescent="0.25">
      <c r="D2279" s="11"/>
      <c r="E2279" s="11"/>
      <c r="F2279" s="11"/>
      <c r="G2279" s="11"/>
      <c r="H2279" s="11"/>
      <c r="I2279" s="11"/>
      <c r="J2279" s="11"/>
      <c r="K2279" s="11"/>
      <c r="L2279" s="11"/>
      <c r="M2279" s="11"/>
      <c r="N2279" s="11"/>
      <c r="O2279" s="11"/>
      <c r="P2279" s="43"/>
      <c r="Q2279" s="11"/>
      <c r="R2279" s="11"/>
      <c r="S2279" s="11"/>
      <c r="T2279" s="11"/>
      <c r="U2279" s="11"/>
      <c r="V2279" s="11"/>
      <c r="W2279" s="11"/>
      <c r="X2279" s="12"/>
      <c r="Y2279" s="12"/>
      <c r="Z2279" s="12"/>
      <c r="AA2279" s="44"/>
      <c r="AB2279" s="45"/>
      <c r="AC2279" s="12"/>
      <c r="AD2279" s="12"/>
      <c r="AE2279" s="12"/>
      <c r="AF2279" s="12"/>
      <c r="AG2279" s="44"/>
      <c r="AH2279" s="45"/>
      <c r="AI2279" s="12"/>
      <c r="AJ2279" s="12"/>
      <c r="AK2279" s="12"/>
      <c r="AL2279" s="12"/>
      <c r="AM2279" s="44"/>
      <c r="AN2279" s="45"/>
      <c r="AO2279" s="12"/>
      <c r="AP2279" s="12"/>
      <c r="AQ2279" s="12"/>
      <c r="AR2279" s="12"/>
      <c r="AS2279" s="44"/>
      <c r="AT2279" s="45"/>
      <c r="AU2279" s="12"/>
      <c r="AV2279" s="12"/>
      <c r="AW2279" s="12"/>
      <c r="AX2279" s="12"/>
      <c r="AY2279" s="44"/>
      <c r="AZ2279" s="45"/>
      <c r="BA2279" s="12"/>
      <c r="BB2279" s="12"/>
      <c r="BC2279" s="12"/>
      <c r="BD2279" s="12"/>
      <c r="BE2279" s="44"/>
      <c r="BF2279" s="45"/>
      <c r="BG2279" s="12"/>
      <c r="BH2279" s="12"/>
      <c r="BI2279" s="12"/>
      <c r="BJ2279" s="12"/>
      <c r="BK2279" s="44"/>
      <c r="BL2279" s="45"/>
      <c r="BM2279" s="12"/>
      <c r="BN2279" s="12"/>
      <c r="BO2279" s="12"/>
      <c r="BP2279" s="12"/>
      <c r="BQ2279" s="48"/>
      <c r="BR2279" s="49"/>
      <c r="BS2279" s="13"/>
      <c r="BT2279" s="12"/>
      <c r="BV2279" s="14"/>
      <c r="BW2279" s="50"/>
      <c r="BX2279" s="54"/>
      <c r="BY2279" s="14"/>
      <c r="BZ2279" s="14"/>
      <c r="CA2279" s="14"/>
      <c r="CB2279" s="14"/>
      <c r="CC2279" s="14"/>
      <c r="CD2279" s="14"/>
      <c r="CE2279" s="14"/>
      <c r="CF2279" s="15"/>
      <c r="CG2279" s="14"/>
      <c r="CH2279" s="14"/>
      <c r="CI2279" s="50"/>
      <c r="CJ2279" s="54"/>
      <c r="CK2279" s="14"/>
      <c r="CL2279" s="14"/>
      <c r="CM2279" s="14"/>
      <c r="CN2279" s="14"/>
      <c r="CO2279" s="14"/>
      <c r="CP2279" s="14"/>
      <c r="CQ2279" s="14"/>
      <c r="CR2279" s="14"/>
      <c r="CS2279" s="14"/>
      <c r="CT2279" s="14"/>
      <c r="CU2279" s="16"/>
      <c r="CV2279" s="14"/>
      <c r="CW2279" s="50"/>
      <c r="CX2279" s="17"/>
    </row>
    <row r="2280" spans="4:102" x14ac:dyDescent="0.25">
      <c r="D2280" s="11"/>
      <c r="E2280" s="11"/>
      <c r="F2280" s="11"/>
      <c r="G2280" s="11"/>
      <c r="H2280" s="11"/>
      <c r="I2280" s="11"/>
      <c r="J2280" s="11"/>
      <c r="K2280" s="11"/>
      <c r="L2280" s="11"/>
      <c r="M2280" s="11"/>
      <c r="N2280" s="11"/>
      <c r="O2280" s="11"/>
      <c r="P2280" s="43"/>
      <c r="Q2280" s="11"/>
      <c r="R2280" s="11"/>
      <c r="S2280" s="11"/>
      <c r="T2280" s="11"/>
      <c r="U2280" s="11"/>
      <c r="V2280" s="11"/>
      <c r="W2280" s="11"/>
      <c r="X2280" s="12"/>
      <c r="Y2280" s="12"/>
      <c r="Z2280" s="12"/>
      <c r="AA2280" s="44"/>
      <c r="AB2280" s="45"/>
      <c r="AC2280" s="12"/>
      <c r="AD2280" s="12"/>
      <c r="AE2280" s="12"/>
      <c r="AF2280" s="12"/>
      <c r="AG2280" s="44"/>
      <c r="AH2280" s="45"/>
      <c r="AI2280" s="12"/>
      <c r="AJ2280" s="12"/>
      <c r="AK2280" s="12"/>
      <c r="AL2280" s="12"/>
      <c r="AM2280" s="44"/>
      <c r="AN2280" s="45"/>
      <c r="AO2280" s="12"/>
      <c r="AP2280" s="12"/>
      <c r="AQ2280" s="12"/>
      <c r="AR2280" s="12"/>
      <c r="AS2280" s="44"/>
      <c r="AT2280" s="45"/>
      <c r="AU2280" s="12"/>
      <c r="AV2280" s="12"/>
      <c r="AW2280" s="12"/>
      <c r="AX2280" s="12"/>
      <c r="AY2280" s="44"/>
      <c r="AZ2280" s="45"/>
      <c r="BA2280" s="12"/>
      <c r="BB2280" s="12"/>
      <c r="BC2280" s="12"/>
      <c r="BD2280" s="12"/>
      <c r="BE2280" s="44"/>
      <c r="BF2280" s="45"/>
      <c r="BG2280" s="12"/>
      <c r="BH2280" s="12"/>
      <c r="BI2280" s="12"/>
      <c r="BJ2280" s="12"/>
      <c r="BK2280" s="44"/>
      <c r="BL2280" s="45"/>
      <c r="BM2280" s="12"/>
      <c r="BN2280" s="12"/>
      <c r="BO2280" s="12"/>
      <c r="BP2280" s="12"/>
      <c r="BQ2280" s="48"/>
      <c r="BR2280" s="49"/>
      <c r="BS2280" s="13"/>
      <c r="BT2280" s="12"/>
      <c r="BV2280" s="14"/>
      <c r="BW2280" s="50"/>
      <c r="BX2280" s="54"/>
      <c r="BY2280" s="14"/>
      <c r="BZ2280" s="14"/>
      <c r="CA2280" s="14"/>
      <c r="CB2280" s="14"/>
      <c r="CC2280" s="14"/>
      <c r="CD2280" s="14"/>
      <c r="CE2280" s="14"/>
      <c r="CF2280" s="15"/>
      <c r="CG2280" s="14"/>
      <c r="CH2280" s="14"/>
      <c r="CI2280" s="50"/>
      <c r="CJ2280" s="54"/>
      <c r="CK2280" s="14"/>
      <c r="CL2280" s="14"/>
      <c r="CM2280" s="14"/>
      <c r="CN2280" s="14"/>
      <c r="CO2280" s="14"/>
      <c r="CP2280" s="14"/>
      <c r="CQ2280" s="14"/>
      <c r="CR2280" s="14"/>
      <c r="CS2280" s="14"/>
      <c r="CT2280" s="14"/>
      <c r="CU2280" s="16"/>
      <c r="CV2280" s="14"/>
      <c r="CW2280" s="50"/>
      <c r="CX2280" s="17"/>
    </row>
    <row r="2281" spans="4:102" x14ac:dyDescent="0.25">
      <c r="D2281" s="11"/>
      <c r="E2281" s="11"/>
      <c r="F2281" s="11"/>
      <c r="G2281" s="11"/>
      <c r="H2281" s="11"/>
      <c r="I2281" s="11"/>
      <c r="J2281" s="11"/>
      <c r="K2281" s="11"/>
      <c r="L2281" s="11"/>
      <c r="M2281" s="11"/>
      <c r="N2281" s="11"/>
      <c r="O2281" s="11"/>
      <c r="P2281" s="43"/>
      <c r="Q2281" s="11"/>
      <c r="R2281" s="11"/>
      <c r="S2281" s="11"/>
      <c r="T2281" s="11"/>
      <c r="U2281" s="11"/>
      <c r="V2281" s="11"/>
      <c r="W2281" s="11"/>
      <c r="X2281" s="12"/>
      <c r="Y2281" s="12"/>
      <c r="Z2281" s="12"/>
      <c r="AA2281" s="44"/>
      <c r="AB2281" s="45"/>
      <c r="AC2281" s="12"/>
      <c r="AD2281" s="12"/>
      <c r="AE2281" s="12"/>
      <c r="AF2281" s="12"/>
      <c r="AG2281" s="44"/>
      <c r="AH2281" s="45"/>
      <c r="AI2281" s="12"/>
      <c r="AJ2281" s="12"/>
      <c r="AK2281" s="12"/>
      <c r="AL2281" s="12"/>
      <c r="AM2281" s="44"/>
      <c r="AN2281" s="45"/>
      <c r="AO2281" s="12"/>
      <c r="AP2281" s="12"/>
      <c r="AQ2281" s="12"/>
      <c r="AR2281" s="12"/>
      <c r="AS2281" s="44"/>
      <c r="AT2281" s="45"/>
      <c r="AU2281" s="12"/>
      <c r="AV2281" s="12"/>
      <c r="AW2281" s="12"/>
      <c r="AX2281" s="12"/>
      <c r="AY2281" s="44"/>
      <c r="AZ2281" s="45"/>
      <c r="BA2281" s="12"/>
      <c r="BB2281" s="12"/>
      <c r="BC2281" s="12"/>
      <c r="BD2281" s="12"/>
      <c r="BE2281" s="44"/>
      <c r="BF2281" s="45"/>
      <c r="BG2281" s="12"/>
      <c r="BH2281" s="12"/>
      <c r="BI2281" s="12"/>
      <c r="BJ2281" s="12"/>
      <c r="BK2281" s="44"/>
      <c r="BL2281" s="45"/>
      <c r="BM2281" s="12"/>
      <c r="BN2281" s="12"/>
      <c r="BO2281" s="12"/>
      <c r="BP2281" s="12"/>
      <c r="BQ2281" s="48"/>
      <c r="BR2281" s="49"/>
      <c r="BS2281" s="13"/>
      <c r="BT2281" s="12"/>
      <c r="BV2281" s="14"/>
      <c r="BW2281" s="50"/>
      <c r="BX2281" s="54"/>
      <c r="BY2281" s="14"/>
      <c r="BZ2281" s="14"/>
      <c r="CA2281" s="14"/>
      <c r="CB2281" s="14"/>
      <c r="CC2281" s="14"/>
      <c r="CD2281" s="14"/>
      <c r="CE2281" s="14"/>
      <c r="CF2281" s="15"/>
      <c r="CG2281" s="14"/>
      <c r="CH2281" s="14"/>
      <c r="CI2281" s="50"/>
      <c r="CJ2281" s="54"/>
      <c r="CK2281" s="14"/>
      <c r="CL2281" s="14"/>
      <c r="CM2281" s="14"/>
      <c r="CN2281" s="14"/>
      <c r="CO2281" s="14"/>
      <c r="CP2281" s="14"/>
      <c r="CQ2281" s="14"/>
      <c r="CR2281" s="14"/>
      <c r="CS2281" s="14"/>
      <c r="CT2281" s="14"/>
      <c r="CU2281" s="16"/>
      <c r="CV2281" s="14"/>
      <c r="CW2281" s="50"/>
      <c r="CX2281" s="17"/>
    </row>
    <row r="2282" spans="4:102" x14ac:dyDescent="0.25">
      <c r="D2282" s="11"/>
      <c r="E2282" s="11"/>
      <c r="F2282" s="11"/>
      <c r="G2282" s="11"/>
      <c r="H2282" s="11"/>
      <c r="I2282" s="11"/>
      <c r="J2282" s="11"/>
      <c r="K2282" s="11"/>
      <c r="L2282" s="11"/>
      <c r="M2282" s="11"/>
      <c r="N2282" s="11"/>
      <c r="O2282" s="11"/>
      <c r="P2282" s="43"/>
      <c r="Q2282" s="11"/>
      <c r="R2282" s="11"/>
      <c r="S2282" s="11"/>
      <c r="T2282" s="11"/>
      <c r="U2282" s="11"/>
      <c r="V2282" s="11"/>
      <c r="W2282" s="11"/>
      <c r="X2282" s="12"/>
      <c r="Y2282" s="12"/>
      <c r="Z2282" s="12"/>
      <c r="AA2282" s="44"/>
      <c r="AB2282" s="45"/>
      <c r="AC2282" s="12"/>
      <c r="AD2282" s="12"/>
      <c r="AE2282" s="12"/>
      <c r="AF2282" s="12"/>
      <c r="AG2282" s="44"/>
      <c r="AH2282" s="45"/>
      <c r="AI2282" s="12"/>
      <c r="AJ2282" s="12"/>
      <c r="AK2282" s="12"/>
      <c r="AL2282" s="12"/>
      <c r="AM2282" s="44"/>
      <c r="AN2282" s="45"/>
      <c r="AO2282" s="12"/>
      <c r="AP2282" s="12"/>
      <c r="AQ2282" s="12"/>
      <c r="AR2282" s="12"/>
      <c r="AS2282" s="44"/>
      <c r="AT2282" s="45"/>
      <c r="AU2282" s="12"/>
      <c r="AV2282" s="12"/>
      <c r="AW2282" s="12"/>
      <c r="AX2282" s="12"/>
      <c r="AY2282" s="44"/>
      <c r="AZ2282" s="45"/>
      <c r="BA2282" s="12"/>
      <c r="BB2282" s="12"/>
      <c r="BC2282" s="12"/>
      <c r="BD2282" s="12"/>
      <c r="BE2282" s="44"/>
      <c r="BF2282" s="45"/>
      <c r="BG2282" s="12"/>
      <c r="BH2282" s="12"/>
      <c r="BI2282" s="12"/>
      <c r="BJ2282" s="12"/>
      <c r="BK2282" s="44"/>
      <c r="BL2282" s="45"/>
      <c r="BM2282" s="12"/>
      <c r="BN2282" s="12"/>
      <c r="BO2282" s="12"/>
      <c r="BP2282" s="12"/>
      <c r="BQ2282" s="48"/>
      <c r="BR2282" s="49"/>
      <c r="BS2282" s="13"/>
      <c r="BT2282" s="12"/>
      <c r="BV2282" s="14"/>
      <c r="BW2282" s="50"/>
      <c r="BX2282" s="54"/>
      <c r="BY2282" s="14"/>
      <c r="BZ2282" s="14"/>
      <c r="CA2282" s="14"/>
      <c r="CB2282" s="14"/>
      <c r="CC2282" s="14"/>
      <c r="CD2282" s="14"/>
      <c r="CE2282" s="14"/>
      <c r="CF2282" s="15"/>
      <c r="CG2282" s="14"/>
      <c r="CH2282" s="14"/>
      <c r="CI2282" s="50"/>
      <c r="CJ2282" s="54"/>
      <c r="CK2282" s="14"/>
      <c r="CL2282" s="14"/>
      <c r="CM2282" s="14"/>
      <c r="CN2282" s="14"/>
      <c r="CO2282" s="14"/>
      <c r="CP2282" s="14"/>
      <c r="CQ2282" s="14"/>
      <c r="CR2282" s="14"/>
      <c r="CS2282" s="14"/>
      <c r="CT2282" s="14"/>
      <c r="CU2282" s="16"/>
      <c r="CV2282" s="14"/>
      <c r="CW2282" s="50"/>
      <c r="CX2282" s="17"/>
    </row>
    <row r="2283" spans="4:102" x14ac:dyDescent="0.25">
      <c r="D2283" s="11"/>
      <c r="E2283" s="11"/>
      <c r="F2283" s="11"/>
      <c r="G2283" s="11"/>
      <c r="H2283" s="11"/>
      <c r="I2283" s="11"/>
      <c r="J2283" s="11"/>
      <c r="K2283" s="11"/>
      <c r="L2283" s="11"/>
      <c r="M2283" s="11"/>
      <c r="N2283" s="11"/>
      <c r="O2283" s="11"/>
      <c r="P2283" s="43"/>
      <c r="Q2283" s="11"/>
      <c r="R2283" s="11"/>
      <c r="S2283" s="11"/>
      <c r="T2283" s="11"/>
      <c r="U2283" s="11"/>
      <c r="V2283" s="11"/>
      <c r="W2283" s="11"/>
      <c r="X2283" s="12"/>
      <c r="Y2283" s="12"/>
      <c r="Z2283" s="12"/>
      <c r="AA2283" s="44"/>
      <c r="AB2283" s="45"/>
      <c r="AC2283" s="12"/>
      <c r="AD2283" s="12"/>
      <c r="AE2283" s="12"/>
      <c r="AF2283" s="12"/>
      <c r="AG2283" s="44"/>
      <c r="AH2283" s="45"/>
      <c r="AI2283" s="12"/>
      <c r="AJ2283" s="12"/>
      <c r="AK2283" s="12"/>
      <c r="AL2283" s="12"/>
      <c r="AM2283" s="44"/>
      <c r="AN2283" s="45"/>
      <c r="AO2283" s="12"/>
      <c r="AP2283" s="12"/>
      <c r="AQ2283" s="12"/>
      <c r="AR2283" s="12"/>
      <c r="AS2283" s="44"/>
      <c r="AT2283" s="45"/>
      <c r="AU2283" s="12"/>
      <c r="AV2283" s="12"/>
      <c r="AW2283" s="12"/>
      <c r="AX2283" s="12"/>
      <c r="AY2283" s="44"/>
      <c r="AZ2283" s="45"/>
      <c r="BA2283" s="12"/>
      <c r="BB2283" s="12"/>
      <c r="BC2283" s="12"/>
      <c r="BD2283" s="12"/>
      <c r="BE2283" s="44"/>
      <c r="BF2283" s="45"/>
      <c r="BG2283" s="12"/>
      <c r="BH2283" s="12"/>
      <c r="BI2283" s="12"/>
      <c r="BJ2283" s="12"/>
      <c r="BK2283" s="44"/>
      <c r="BL2283" s="45"/>
      <c r="BM2283" s="12"/>
      <c r="BN2283" s="12"/>
      <c r="BO2283" s="12"/>
      <c r="BP2283" s="12"/>
      <c r="BQ2283" s="48"/>
      <c r="BR2283" s="49"/>
      <c r="BS2283" s="13"/>
      <c r="BT2283" s="12"/>
      <c r="BV2283" s="14"/>
      <c r="BW2283" s="50"/>
      <c r="BX2283" s="54"/>
      <c r="BY2283" s="14"/>
      <c r="BZ2283" s="14"/>
      <c r="CA2283" s="14"/>
      <c r="CB2283" s="14"/>
      <c r="CC2283" s="14"/>
      <c r="CD2283" s="14"/>
      <c r="CE2283" s="14"/>
      <c r="CF2283" s="15"/>
      <c r="CG2283" s="14"/>
      <c r="CH2283" s="14"/>
      <c r="CI2283" s="50"/>
      <c r="CJ2283" s="54"/>
      <c r="CK2283" s="14"/>
      <c r="CL2283" s="14"/>
      <c r="CM2283" s="14"/>
      <c r="CN2283" s="14"/>
      <c r="CO2283" s="14"/>
      <c r="CP2283" s="14"/>
      <c r="CQ2283" s="14"/>
      <c r="CR2283" s="14"/>
      <c r="CS2283" s="14"/>
      <c r="CT2283" s="14"/>
      <c r="CU2283" s="16"/>
      <c r="CV2283" s="14"/>
      <c r="CW2283" s="50"/>
      <c r="CX2283" s="17"/>
    </row>
    <row r="2284" spans="4:102" x14ac:dyDescent="0.25">
      <c r="D2284" s="11"/>
      <c r="E2284" s="11"/>
      <c r="F2284" s="11"/>
      <c r="G2284" s="11"/>
      <c r="H2284" s="11"/>
      <c r="I2284" s="11"/>
      <c r="J2284" s="11"/>
      <c r="K2284" s="11"/>
      <c r="L2284" s="11"/>
      <c r="M2284" s="11"/>
      <c r="N2284" s="11"/>
      <c r="O2284" s="11"/>
      <c r="P2284" s="43"/>
      <c r="Q2284" s="11"/>
      <c r="R2284" s="11"/>
      <c r="S2284" s="11"/>
      <c r="T2284" s="11"/>
      <c r="U2284" s="11"/>
      <c r="V2284" s="11"/>
      <c r="W2284" s="11"/>
      <c r="X2284" s="12"/>
      <c r="Y2284" s="12"/>
      <c r="Z2284" s="12"/>
      <c r="AA2284" s="44"/>
      <c r="AB2284" s="45"/>
      <c r="AC2284" s="12"/>
      <c r="AD2284" s="12"/>
      <c r="AE2284" s="12"/>
      <c r="AF2284" s="12"/>
      <c r="AG2284" s="44"/>
      <c r="AH2284" s="45"/>
      <c r="AI2284" s="12"/>
      <c r="AJ2284" s="12"/>
      <c r="AK2284" s="12"/>
      <c r="AL2284" s="12"/>
      <c r="AM2284" s="44"/>
      <c r="AN2284" s="45"/>
      <c r="AO2284" s="12"/>
      <c r="AP2284" s="12"/>
      <c r="AQ2284" s="12"/>
      <c r="AR2284" s="12"/>
      <c r="AS2284" s="44"/>
      <c r="AT2284" s="45"/>
      <c r="AU2284" s="12"/>
      <c r="AV2284" s="12"/>
      <c r="AW2284" s="12"/>
      <c r="AX2284" s="12"/>
      <c r="AY2284" s="44"/>
      <c r="AZ2284" s="45"/>
      <c r="BA2284" s="12"/>
      <c r="BB2284" s="12"/>
      <c r="BC2284" s="12"/>
      <c r="BD2284" s="12"/>
      <c r="BE2284" s="44"/>
      <c r="BF2284" s="45"/>
      <c r="BG2284" s="12"/>
      <c r="BH2284" s="12"/>
      <c r="BI2284" s="12"/>
      <c r="BJ2284" s="12"/>
      <c r="BK2284" s="44"/>
      <c r="BL2284" s="45"/>
      <c r="BM2284" s="12"/>
      <c r="BN2284" s="12"/>
      <c r="BO2284" s="12"/>
      <c r="BP2284" s="12"/>
      <c r="BQ2284" s="48"/>
      <c r="BR2284" s="49"/>
      <c r="BS2284" s="13"/>
      <c r="BT2284" s="12"/>
      <c r="BV2284" s="14"/>
      <c r="BW2284" s="50"/>
      <c r="BX2284" s="54"/>
      <c r="BY2284" s="14"/>
      <c r="BZ2284" s="14"/>
      <c r="CA2284" s="14"/>
      <c r="CB2284" s="14"/>
      <c r="CC2284" s="14"/>
      <c r="CD2284" s="14"/>
      <c r="CE2284" s="14"/>
      <c r="CF2284" s="15"/>
      <c r="CG2284" s="14"/>
      <c r="CH2284" s="14"/>
      <c r="CI2284" s="50"/>
      <c r="CJ2284" s="54"/>
      <c r="CK2284" s="14"/>
      <c r="CL2284" s="14"/>
      <c r="CM2284" s="14"/>
      <c r="CN2284" s="14"/>
      <c r="CO2284" s="14"/>
      <c r="CP2284" s="14"/>
      <c r="CQ2284" s="14"/>
      <c r="CR2284" s="14"/>
      <c r="CS2284" s="14"/>
      <c r="CT2284" s="14"/>
      <c r="CU2284" s="16"/>
      <c r="CV2284" s="14"/>
      <c r="CW2284" s="50"/>
      <c r="CX2284" s="17"/>
    </row>
    <row r="2285" spans="4:102" x14ac:dyDescent="0.25">
      <c r="D2285" s="11"/>
      <c r="E2285" s="11"/>
      <c r="F2285" s="11"/>
      <c r="G2285" s="11"/>
      <c r="H2285" s="11"/>
      <c r="I2285" s="11"/>
      <c r="J2285" s="11"/>
      <c r="K2285" s="11"/>
      <c r="L2285" s="11"/>
      <c r="M2285" s="11"/>
      <c r="N2285" s="11"/>
      <c r="O2285" s="11"/>
      <c r="P2285" s="43"/>
      <c r="Q2285" s="11"/>
      <c r="R2285" s="11"/>
      <c r="S2285" s="11"/>
      <c r="T2285" s="11"/>
      <c r="U2285" s="11"/>
      <c r="V2285" s="11"/>
      <c r="W2285" s="11"/>
      <c r="X2285" s="12"/>
      <c r="Y2285" s="12"/>
      <c r="Z2285" s="12"/>
      <c r="AA2285" s="44"/>
      <c r="AB2285" s="45"/>
      <c r="AC2285" s="12"/>
      <c r="AD2285" s="12"/>
      <c r="AE2285" s="12"/>
      <c r="AF2285" s="12"/>
      <c r="AG2285" s="44"/>
      <c r="AH2285" s="45"/>
      <c r="AI2285" s="12"/>
      <c r="AJ2285" s="12"/>
      <c r="AK2285" s="12"/>
      <c r="AL2285" s="12"/>
      <c r="AM2285" s="44"/>
      <c r="AN2285" s="45"/>
      <c r="AO2285" s="12"/>
      <c r="AP2285" s="12"/>
      <c r="AQ2285" s="12"/>
      <c r="AR2285" s="12"/>
      <c r="AS2285" s="44"/>
      <c r="AT2285" s="45"/>
      <c r="AU2285" s="12"/>
      <c r="AV2285" s="12"/>
      <c r="AW2285" s="12"/>
      <c r="AX2285" s="12"/>
      <c r="AY2285" s="44"/>
      <c r="AZ2285" s="45"/>
      <c r="BA2285" s="12"/>
      <c r="BB2285" s="12"/>
      <c r="BC2285" s="12"/>
      <c r="BD2285" s="12"/>
      <c r="BE2285" s="44"/>
      <c r="BF2285" s="45"/>
      <c r="BG2285" s="12"/>
      <c r="BH2285" s="12"/>
      <c r="BI2285" s="12"/>
      <c r="BJ2285" s="12"/>
      <c r="BK2285" s="44"/>
      <c r="BL2285" s="45"/>
      <c r="BM2285" s="12"/>
      <c r="BN2285" s="12"/>
      <c r="BO2285" s="12"/>
      <c r="BP2285" s="12"/>
      <c r="BQ2285" s="48"/>
      <c r="BR2285" s="49"/>
      <c r="BS2285" s="13"/>
      <c r="BT2285" s="12"/>
      <c r="BV2285" s="14"/>
      <c r="BW2285" s="50"/>
      <c r="BX2285" s="54"/>
      <c r="BY2285" s="14"/>
      <c r="BZ2285" s="14"/>
      <c r="CA2285" s="14"/>
      <c r="CB2285" s="14"/>
      <c r="CC2285" s="14"/>
      <c r="CD2285" s="14"/>
      <c r="CE2285" s="14"/>
      <c r="CF2285" s="15"/>
      <c r="CG2285" s="14"/>
      <c r="CH2285" s="14"/>
      <c r="CI2285" s="50"/>
      <c r="CJ2285" s="54"/>
      <c r="CK2285" s="14"/>
      <c r="CL2285" s="14"/>
      <c r="CM2285" s="14"/>
      <c r="CN2285" s="14"/>
      <c r="CO2285" s="14"/>
      <c r="CP2285" s="14"/>
      <c r="CQ2285" s="14"/>
      <c r="CR2285" s="14"/>
      <c r="CS2285" s="14"/>
      <c r="CT2285" s="14"/>
      <c r="CU2285" s="16"/>
      <c r="CV2285" s="14"/>
      <c r="CW2285" s="50"/>
      <c r="CX2285" s="17"/>
    </row>
    <row r="2286" spans="4:102" x14ac:dyDescent="0.25">
      <c r="D2286" s="11"/>
      <c r="E2286" s="11"/>
      <c r="F2286" s="11"/>
      <c r="G2286" s="11"/>
      <c r="H2286" s="11"/>
      <c r="I2286" s="11"/>
      <c r="J2286" s="11"/>
      <c r="K2286" s="11"/>
      <c r="L2286" s="11"/>
      <c r="M2286" s="11"/>
      <c r="N2286" s="11"/>
      <c r="O2286" s="11"/>
      <c r="P2286" s="43"/>
      <c r="Q2286" s="11"/>
      <c r="R2286" s="11"/>
      <c r="S2286" s="11"/>
      <c r="T2286" s="11"/>
      <c r="U2286" s="11"/>
      <c r="V2286" s="11"/>
      <c r="W2286" s="11"/>
      <c r="X2286" s="12"/>
      <c r="Y2286" s="12"/>
      <c r="Z2286" s="12"/>
      <c r="AA2286" s="44"/>
      <c r="AB2286" s="45"/>
      <c r="AC2286" s="12"/>
      <c r="AD2286" s="12"/>
      <c r="AE2286" s="12"/>
      <c r="AF2286" s="12"/>
      <c r="AG2286" s="44"/>
      <c r="AH2286" s="45"/>
      <c r="AI2286" s="12"/>
      <c r="AJ2286" s="12"/>
      <c r="AK2286" s="12"/>
      <c r="AL2286" s="12"/>
      <c r="AM2286" s="44"/>
      <c r="AN2286" s="45"/>
      <c r="AO2286" s="12"/>
      <c r="AP2286" s="12"/>
      <c r="AQ2286" s="12"/>
      <c r="AR2286" s="12"/>
      <c r="AS2286" s="44"/>
      <c r="AT2286" s="45"/>
      <c r="AU2286" s="12"/>
      <c r="AV2286" s="12"/>
      <c r="AW2286" s="12"/>
      <c r="AX2286" s="12"/>
      <c r="AY2286" s="44"/>
      <c r="AZ2286" s="45"/>
      <c r="BA2286" s="12"/>
      <c r="BB2286" s="12"/>
      <c r="BC2286" s="12"/>
      <c r="BD2286" s="12"/>
      <c r="BE2286" s="44"/>
      <c r="BF2286" s="45"/>
      <c r="BG2286" s="12"/>
      <c r="BH2286" s="12"/>
      <c r="BI2286" s="12"/>
      <c r="BJ2286" s="12"/>
      <c r="BK2286" s="44"/>
      <c r="BL2286" s="45"/>
      <c r="BM2286" s="12"/>
      <c r="BN2286" s="12"/>
      <c r="BO2286" s="12"/>
      <c r="BP2286" s="12"/>
      <c r="BQ2286" s="48"/>
      <c r="BR2286" s="49"/>
      <c r="BS2286" s="13"/>
      <c r="BT2286" s="12"/>
      <c r="BV2286" s="14"/>
      <c r="BW2286" s="50"/>
      <c r="BX2286" s="54"/>
      <c r="BY2286" s="14"/>
      <c r="BZ2286" s="14"/>
      <c r="CA2286" s="14"/>
      <c r="CB2286" s="14"/>
      <c r="CC2286" s="14"/>
      <c r="CD2286" s="14"/>
      <c r="CE2286" s="14"/>
      <c r="CF2286" s="15"/>
      <c r="CG2286" s="14"/>
      <c r="CH2286" s="14"/>
      <c r="CI2286" s="50"/>
      <c r="CJ2286" s="54"/>
      <c r="CK2286" s="14"/>
      <c r="CL2286" s="14"/>
      <c r="CM2286" s="14"/>
      <c r="CN2286" s="14"/>
      <c r="CO2286" s="14"/>
      <c r="CP2286" s="14"/>
      <c r="CQ2286" s="14"/>
      <c r="CR2286" s="14"/>
      <c r="CS2286" s="14"/>
      <c r="CT2286" s="14"/>
      <c r="CU2286" s="16"/>
      <c r="CV2286" s="14"/>
      <c r="CW2286" s="50"/>
      <c r="CX2286" s="17"/>
    </row>
    <row r="2287" spans="4:102" x14ac:dyDescent="0.25">
      <c r="D2287" s="11"/>
      <c r="E2287" s="11"/>
      <c r="F2287" s="11"/>
      <c r="G2287" s="11"/>
      <c r="H2287" s="11"/>
      <c r="I2287" s="11"/>
      <c r="J2287" s="11"/>
      <c r="K2287" s="11"/>
      <c r="L2287" s="11"/>
      <c r="M2287" s="11"/>
      <c r="N2287" s="11"/>
      <c r="O2287" s="11"/>
      <c r="P2287" s="43"/>
      <c r="Q2287" s="11"/>
      <c r="R2287" s="11"/>
      <c r="S2287" s="11"/>
      <c r="T2287" s="11"/>
      <c r="U2287" s="11"/>
      <c r="V2287" s="11"/>
      <c r="W2287" s="11"/>
      <c r="X2287" s="12"/>
      <c r="Y2287" s="12"/>
      <c r="Z2287" s="12"/>
      <c r="AA2287" s="44"/>
      <c r="AB2287" s="45"/>
      <c r="AC2287" s="12"/>
      <c r="AD2287" s="12"/>
      <c r="AE2287" s="12"/>
      <c r="AF2287" s="12"/>
      <c r="AG2287" s="44"/>
      <c r="AH2287" s="45"/>
      <c r="AI2287" s="12"/>
      <c r="AJ2287" s="12"/>
      <c r="AK2287" s="12"/>
      <c r="AL2287" s="12"/>
      <c r="AM2287" s="44"/>
      <c r="AN2287" s="45"/>
      <c r="AO2287" s="12"/>
      <c r="AP2287" s="12"/>
      <c r="AQ2287" s="12"/>
      <c r="AR2287" s="12"/>
      <c r="AS2287" s="44"/>
      <c r="AT2287" s="45"/>
      <c r="AU2287" s="12"/>
      <c r="AV2287" s="12"/>
      <c r="AW2287" s="12"/>
      <c r="AX2287" s="12"/>
      <c r="AY2287" s="44"/>
      <c r="AZ2287" s="45"/>
      <c r="BA2287" s="12"/>
      <c r="BB2287" s="12"/>
      <c r="BC2287" s="12"/>
      <c r="BD2287" s="12"/>
      <c r="BE2287" s="44"/>
      <c r="BF2287" s="45"/>
      <c r="BG2287" s="12"/>
      <c r="BH2287" s="12"/>
      <c r="BI2287" s="12"/>
      <c r="BJ2287" s="12"/>
      <c r="BK2287" s="44"/>
      <c r="BL2287" s="45"/>
      <c r="BM2287" s="12"/>
      <c r="BN2287" s="12"/>
      <c r="BO2287" s="12"/>
      <c r="BP2287" s="12"/>
      <c r="BQ2287" s="48"/>
      <c r="BR2287" s="49"/>
      <c r="BS2287" s="13"/>
      <c r="BT2287" s="12"/>
      <c r="BV2287" s="14"/>
      <c r="BW2287" s="50"/>
      <c r="BX2287" s="54"/>
      <c r="BY2287" s="14"/>
      <c r="BZ2287" s="14"/>
      <c r="CA2287" s="14"/>
      <c r="CB2287" s="14"/>
      <c r="CC2287" s="14"/>
      <c r="CD2287" s="14"/>
      <c r="CE2287" s="14"/>
      <c r="CF2287" s="15"/>
      <c r="CG2287" s="14"/>
      <c r="CH2287" s="14"/>
      <c r="CI2287" s="50"/>
      <c r="CJ2287" s="54"/>
      <c r="CK2287" s="14"/>
      <c r="CL2287" s="14"/>
      <c r="CM2287" s="14"/>
      <c r="CN2287" s="14"/>
      <c r="CO2287" s="14"/>
      <c r="CP2287" s="14"/>
      <c r="CQ2287" s="14"/>
      <c r="CR2287" s="14"/>
      <c r="CS2287" s="14"/>
      <c r="CT2287" s="14"/>
      <c r="CU2287" s="16"/>
      <c r="CV2287" s="14"/>
      <c r="CW2287" s="50"/>
      <c r="CX2287" s="17"/>
    </row>
    <row r="2288" spans="4:102" x14ac:dyDescent="0.25">
      <c r="D2288" s="11"/>
      <c r="E2288" s="11"/>
      <c r="F2288" s="11"/>
      <c r="G2288" s="11"/>
      <c r="H2288" s="11"/>
      <c r="I2288" s="11"/>
      <c r="J2288" s="11"/>
      <c r="K2288" s="11"/>
      <c r="L2288" s="11"/>
      <c r="M2288" s="11"/>
      <c r="N2288" s="11"/>
      <c r="O2288" s="11"/>
      <c r="P2288" s="43"/>
      <c r="Q2288" s="11"/>
      <c r="R2288" s="11"/>
      <c r="S2288" s="11"/>
      <c r="T2288" s="11"/>
      <c r="U2288" s="11"/>
      <c r="V2288" s="11"/>
      <c r="W2288" s="11"/>
      <c r="X2288" s="12"/>
      <c r="Y2288" s="12"/>
      <c r="Z2288" s="12"/>
      <c r="AA2288" s="44"/>
      <c r="AB2288" s="45"/>
      <c r="AC2288" s="12"/>
      <c r="AD2288" s="12"/>
      <c r="AE2288" s="12"/>
      <c r="AF2288" s="12"/>
      <c r="AG2288" s="44"/>
      <c r="AH2288" s="45"/>
      <c r="AI2288" s="12"/>
      <c r="AJ2288" s="12"/>
      <c r="AK2288" s="12"/>
      <c r="AL2288" s="12"/>
      <c r="AM2288" s="44"/>
      <c r="AN2288" s="45"/>
      <c r="AO2288" s="12"/>
      <c r="AP2288" s="12"/>
      <c r="AQ2288" s="12"/>
      <c r="AR2288" s="12"/>
      <c r="AS2288" s="44"/>
      <c r="AT2288" s="45"/>
      <c r="AU2288" s="12"/>
      <c r="AV2288" s="12"/>
      <c r="AW2288" s="12"/>
      <c r="AX2288" s="12"/>
      <c r="AY2288" s="44"/>
      <c r="AZ2288" s="45"/>
      <c r="BA2288" s="12"/>
      <c r="BB2288" s="12"/>
      <c r="BC2288" s="12"/>
      <c r="BD2288" s="12"/>
      <c r="BE2288" s="44"/>
      <c r="BF2288" s="45"/>
      <c r="BG2288" s="12"/>
      <c r="BH2288" s="12"/>
      <c r="BI2288" s="12"/>
      <c r="BJ2288" s="12"/>
      <c r="BK2288" s="44"/>
      <c r="BL2288" s="45"/>
      <c r="BM2288" s="12"/>
      <c r="BN2288" s="12"/>
      <c r="BO2288" s="12"/>
      <c r="BP2288" s="12"/>
      <c r="BQ2288" s="48"/>
      <c r="BR2288" s="49"/>
      <c r="BS2288" s="13"/>
      <c r="BT2288" s="12"/>
      <c r="BV2288" s="14"/>
      <c r="BW2288" s="50"/>
      <c r="BX2288" s="54"/>
      <c r="BY2288" s="14"/>
      <c r="BZ2288" s="14"/>
      <c r="CA2288" s="14"/>
      <c r="CB2288" s="14"/>
      <c r="CC2288" s="14"/>
      <c r="CD2288" s="14"/>
      <c r="CE2288" s="14"/>
      <c r="CF2288" s="15"/>
      <c r="CG2288" s="14"/>
      <c r="CH2288" s="14"/>
      <c r="CI2288" s="50"/>
      <c r="CJ2288" s="54"/>
      <c r="CK2288" s="14"/>
      <c r="CL2288" s="14"/>
      <c r="CM2288" s="14"/>
      <c r="CN2288" s="14"/>
      <c r="CO2288" s="14"/>
      <c r="CP2288" s="14"/>
      <c r="CQ2288" s="14"/>
      <c r="CR2288" s="14"/>
      <c r="CS2288" s="14"/>
      <c r="CT2288" s="14"/>
      <c r="CU2288" s="16"/>
      <c r="CV2288" s="14"/>
      <c r="CW2288" s="50"/>
      <c r="CX2288" s="17"/>
    </row>
    <row r="2289" spans="4:102" x14ac:dyDescent="0.25">
      <c r="D2289" s="11"/>
      <c r="E2289" s="11"/>
      <c r="F2289" s="11"/>
      <c r="G2289" s="11"/>
      <c r="H2289" s="11"/>
      <c r="I2289" s="11"/>
      <c r="J2289" s="11"/>
      <c r="K2289" s="11"/>
      <c r="L2289" s="11"/>
      <c r="M2289" s="11"/>
      <c r="N2289" s="11"/>
      <c r="O2289" s="11"/>
      <c r="P2289" s="43"/>
      <c r="Q2289" s="11"/>
      <c r="R2289" s="11"/>
      <c r="S2289" s="11"/>
      <c r="T2289" s="11"/>
      <c r="U2289" s="11"/>
      <c r="V2289" s="11"/>
      <c r="W2289" s="11"/>
      <c r="X2289" s="12"/>
      <c r="Y2289" s="12"/>
      <c r="Z2289" s="12"/>
      <c r="AA2289" s="44"/>
      <c r="AB2289" s="45"/>
      <c r="AC2289" s="12"/>
      <c r="AD2289" s="12"/>
      <c r="AE2289" s="12"/>
      <c r="AF2289" s="12"/>
      <c r="AG2289" s="44"/>
      <c r="AH2289" s="45"/>
      <c r="AI2289" s="12"/>
      <c r="AJ2289" s="12"/>
      <c r="AK2289" s="12"/>
      <c r="AL2289" s="12"/>
      <c r="AM2289" s="44"/>
      <c r="AN2289" s="45"/>
      <c r="AO2289" s="12"/>
      <c r="AP2289" s="12"/>
      <c r="AQ2289" s="12"/>
      <c r="AR2289" s="12"/>
      <c r="AS2289" s="44"/>
      <c r="AT2289" s="45"/>
      <c r="AU2289" s="12"/>
      <c r="AV2289" s="12"/>
      <c r="AW2289" s="12"/>
      <c r="AX2289" s="12"/>
      <c r="AY2289" s="44"/>
      <c r="AZ2289" s="45"/>
      <c r="BA2289" s="12"/>
      <c r="BB2289" s="12"/>
      <c r="BC2289" s="12"/>
      <c r="BD2289" s="12"/>
      <c r="BE2289" s="44"/>
      <c r="BF2289" s="45"/>
      <c r="BG2289" s="12"/>
      <c r="BH2289" s="12"/>
      <c r="BI2289" s="12"/>
      <c r="BJ2289" s="12"/>
      <c r="BK2289" s="44"/>
      <c r="BL2289" s="45"/>
      <c r="BM2289" s="12"/>
      <c r="BN2289" s="12"/>
      <c r="BO2289" s="12"/>
      <c r="BP2289" s="12"/>
      <c r="BQ2289" s="48"/>
      <c r="BR2289" s="49"/>
      <c r="BS2289" s="13"/>
      <c r="BT2289" s="12"/>
      <c r="BV2289" s="14"/>
      <c r="BW2289" s="50"/>
      <c r="BX2289" s="54"/>
      <c r="BY2289" s="14"/>
      <c r="BZ2289" s="14"/>
      <c r="CA2289" s="14"/>
      <c r="CB2289" s="14"/>
      <c r="CC2289" s="14"/>
      <c r="CD2289" s="14"/>
      <c r="CE2289" s="14"/>
      <c r="CF2289" s="15"/>
      <c r="CG2289" s="14"/>
      <c r="CH2289" s="14"/>
      <c r="CI2289" s="50"/>
      <c r="CJ2289" s="54"/>
      <c r="CK2289" s="14"/>
      <c r="CL2289" s="14"/>
      <c r="CM2289" s="14"/>
      <c r="CN2289" s="14"/>
      <c r="CO2289" s="14"/>
      <c r="CP2289" s="14"/>
      <c r="CQ2289" s="14"/>
      <c r="CR2289" s="14"/>
      <c r="CS2289" s="14"/>
      <c r="CT2289" s="14"/>
      <c r="CU2289" s="16"/>
      <c r="CV2289" s="14"/>
      <c r="CW2289" s="50"/>
      <c r="CX2289" s="17"/>
    </row>
    <row r="2290" spans="4:102" x14ac:dyDescent="0.25">
      <c r="D2290" s="11"/>
      <c r="E2290" s="11"/>
      <c r="F2290" s="11"/>
      <c r="G2290" s="11"/>
      <c r="H2290" s="11"/>
      <c r="I2290" s="11"/>
      <c r="J2290" s="11"/>
      <c r="K2290" s="11"/>
      <c r="L2290" s="11"/>
      <c r="M2290" s="11"/>
      <c r="N2290" s="11"/>
      <c r="O2290" s="11"/>
      <c r="P2290" s="43"/>
      <c r="Q2290" s="11"/>
      <c r="R2290" s="11"/>
      <c r="S2290" s="11"/>
      <c r="T2290" s="11"/>
      <c r="U2290" s="11"/>
      <c r="V2290" s="11"/>
      <c r="W2290" s="11"/>
      <c r="X2290" s="12"/>
      <c r="Y2290" s="12"/>
      <c r="Z2290" s="12"/>
      <c r="AA2290" s="44"/>
      <c r="AB2290" s="45"/>
      <c r="AC2290" s="12"/>
      <c r="AD2290" s="12"/>
      <c r="AE2290" s="12"/>
      <c r="AF2290" s="12"/>
      <c r="AG2290" s="44"/>
      <c r="AH2290" s="45"/>
      <c r="AI2290" s="12"/>
      <c r="AJ2290" s="12"/>
      <c r="AK2290" s="12"/>
      <c r="AL2290" s="12"/>
      <c r="AM2290" s="44"/>
      <c r="AN2290" s="45"/>
      <c r="AO2290" s="12"/>
      <c r="AP2290" s="12"/>
      <c r="AQ2290" s="12"/>
      <c r="AR2290" s="12"/>
      <c r="AS2290" s="44"/>
      <c r="AT2290" s="45"/>
      <c r="AU2290" s="12"/>
      <c r="AV2290" s="12"/>
      <c r="AW2290" s="12"/>
      <c r="AX2290" s="12"/>
      <c r="AY2290" s="44"/>
      <c r="AZ2290" s="45"/>
      <c r="BA2290" s="12"/>
      <c r="BB2290" s="12"/>
      <c r="BC2290" s="12"/>
      <c r="BD2290" s="12"/>
      <c r="BE2290" s="44"/>
      <c r="BF2290" s="45"/>
      <c r="BG2290" s="12"/>
      <c r="BH2290" s="12"/>
      <c r="BI2290" s="12"/>
      <c r="BJ2290" s="12"/>
      <c r="BK2290" s="44"/>
      <c r="BL2290" s="45"/>
      <c r="BM2290" s="12"/>
      <c r="BN2290" s="12"/>
      <c r="BO2290" s="12"/>
      <c r="BP2290" s="12"/>
      <c r="BQ2290" s="48"/>
      <c r="BR2290" s="49"/>
      <c r="BS2290" s="13"/>
      <c r="BT2290" s="12"/>
      <c r="BV2290" s="14"/>
      <c r="BW2290" s="50"/>
      <c r="BX2290" s="54"/>
      <c r="BY2290" s="14"/>
      <c r="BZ2290" s="14"/>
      <c r="CA2290" s="14"/>
      <c r="CB2290" s="14"/>
      <c r="CC2290" s="14"/>
      <c r="CD2290" s="14"/>
      <c r="CE2290" s="14"/>
      <c r="CF2290" s="15"/>
      <c r="CG2290" s="14"/>
      <c r="CH2290" s="14"/>
      <c r="CI2290" s="50"/>
      <c r="CJ2290" s="54"/>
      <c r="CK2290" s="14"/>
      <c r="CL2290" s="14"/>
      <c r="CM2290" s="14"/>
      <c r="CN2290" s="14"/>
      <c r="CO2290" s="14"/>
      <c r="CP2290" s="14"/>
      <c r="CQ2290" s="14"/>
      <c r="CR2290" s="14"/>
      <c r="CS2290" s="14"/>
      <c r="CT2290" s="14"/>
      <c r="CU2290" s="16"/>
      <c r="CV2290" s="14"/>
      <c r="CW2290" s="50"/>
      <c r="CX2290" s="17"/>
    </row>
    <row r="2291" spans="4:102" x14ac:dyDescent="0.25">
      <c r="D2291" s="11"/>
      <c r="E2291" s="11"/>
      <c r="F2291" s="11"/>
      <c r="G2291" s="11"/>
      <c r="H2291" s="11"/>
      <c r="I2291" s="11"/>
      <c r="J2291" s="11"/>
      <c r="K2291" s="11"/>
      <c r="L2291" s="11"/>
      <c r="M2291" s="11"/>
      <c r="N2291" s="11"/>
      <c r="O2291" s="11"/>
      <c r="P2291" s="43"/>
      <c r="Q2291" s="11"/>
      <c r="R2291" s="11"/>
      <c r="S2291" s="11"/>
      <c r="T2291" s="11"/>
      <c r="U2291" s="11"/>
      <c r="V2291" s="11"/>
      <c r="W2291" s="11"/>
      <c r="X2291" s="12"/>
      <c r="Y2291" s="12"/>
      <c r="Z2291" s="12"/>
      <c r="AA2291" s="44"/>
      <c r="AB2291" s="45"/>
      <c r="AC2291" s="12"/>
      <c r="AD2291" s="12"/>
      <c r="AE2291" s="12"/>
      <c r="AF2291" s="12"/>
      <c r="AG2291" s="44"/>
      <c r="AH2291" s="45"/>
      <c r="AI2291" s="12"/>
      <c r="AJ2291" s="12"/>
      <c r="AK2291" s="12"/>
      <c r="AL2291" s="12"/>
      <c r="AM2291" s="44"/>
      <c r="AN2291" s="45"/>
      <c r="AO2291" s="12"/>
      <c r="AP2291" s="12"/>
      <c r="AQ2291" s="12"/>
      <c r="AR2291" s="12"/>
      <c r="AS2291" s="44"/>
      <c r="AT2291" s="45"/>
      <c r="AU2291" s="12"/>
      <c r="AV2291" s="12"/>
      <c r="AW2291" s="12"/>
      <c r="AX2291" s="12"/>
      <c r="AY2291" s="44"/>
      <c r="AZ2291" s="45"/>
      <c r="BA2291" s="12"/>
      <c r="BB2291" s="12"/>
      <c r="BC2291" s="12"/>
      <c r="BD2291" s="12"/>
      <c r="BE2291" s="44"/>
      <c r="BF2291" s="45"/>
      <c r="BG2291" s="12"/>
      <c r="BH2291" s="12"/>
      <c r="BI2291" s="12"/>
      <c r="BJ2291" s="12"/>
      <c r="BK2291" s="44"/>
      <c r="BL2291" s="45"/>
      <c r="BM2291" s="12"/>
      <c r="BN2291" s="12"/>
      <c r="BO2291" s="12"/>
      <c r="BP2291" s="12"/>
      <c r="BQ2291" s="48"/>
      <c r="BR2291" s="49"/>
      <c r="BS2291" s="13"/>
      <c r="BT2291" s="12"/>
      <c r="BV2291" s="14"/>
      <c r="BW2291" s="50"/>
      <c r="BX2291" s="54"/>
      <c r="BY2291" s="14"/>
      <c r="BZ2291" s="14"/>
      <c r="CA2291" s="14"/>
      <c r="CB2291" s="14"/>
      <c r="CC2291" s="14"/>
      <c r="CD2291" s="14"/>
      <c r="CE2291" s="14"/>
      <c r="CF2291" s="15"/>
      <c r="CG2291" s="14"/>
      <c r="CH2291" s="14"/>
      <c r="CI2291" s="50"/>
      <c r="CJ2291" s="54"/>
      <c r="CK2291" s="14"/>
      <c r="CL2291" s="14"/>
      <c r="CM2291" s="14"/>
      <c r="CN2291" s="14"/>
      <c r="CO2291" s="14"/>
      <c r="CP2291" s="14"/>
      <c r="CQ2291" s="14"/>
      <c r="CR2291" s="14"/>
      <c r="CS2291" s="14"/>
      <c r="CT2291" s="14"/>
      <c r="CU2291" s="16"/>
      <c r="CV2291" s="14"/>
      <c r="CW2291" s="50"/>
      <c r="CX2291" s="17"/>
    </row>
    <row r="2292" spans="4:102" x14ac:dyDescent="0.25">
      <c r="D2292" s="11"/>
      <c r="E2292" s="11"/>
      <c r="F2292" s="11"/>
      <c r="G2292" s="11"/>
      <c r="H2292" s="11"/>
      <c r="I2292" s="11"/>
      <c r="J2292" s="11"/>
      <c r="K2292" s="11"/>
      <c r="L2292" s="11"/>
      <c r="M2292" s="11"/>
      <c r="N2292" s="11"/>
      <c r="O2292" s="11"/>
      <c r="P2292" s="43"/>
      <c r="Q2292" s="11"/>
      <c r="R2292" s="11"/>
      <c r="S2292" s="11"/>
      <c r="T2292" s="11"/>
      <c r="U2292" s="11"/>
      <c r="V2292" s="11"/>
      <c r="W2292" s="11"/>
      <c r="X2292" s="12"/>
      <c r="Y2292" s="12"/>
      <c r="Z2292" s="12"/>
      <c r="AA2292" s="44"/>
      <c r="AB2292" s="45"/>
      <c r="AC2292" s="12"/>
      <c r="AD2292" s="12"/>
      <c r="AE2292" s="12"/>
      <c r="AF2292" s="12"/>
      <c r="AG2292" s="44"/>
      <c r="AH2292" s="45"/>
      <c r="AI2292" s="12"/>
      <c r="AJ2292" s="12"/>
      <c r="AK2292" s="12"/>
      <c r="AL2292" s="12"/>
      <c r="AM2292" s="44"/>
      <c r="AN2292" s="45"/>
      <c r="AO2292" s="12"/>
      <c r="AP2292" s="12"/>
      <c r="AQ2292" s="12"/>
      <c r="AR2292" s="12"/>
      <c r="AS2292" s="44"/>
      <c r="AT2292" s="45"/>
      <c r="AU2292" s="12"/>
      <c r="AV2292" s="12"/>
      <c r="AW2292" s="12"/>
      <c r="AX2292" s="12"/>
      <c r="AY2292" s="44"/>
      <c r="AZ2292" s="45"/>
      <c r="BA2292" s="12"/>
      <c r="BB2292" s="12"/>
      <c r="BC2292" s="12"/>
      <c r="BD2292" s="12"/>
      <c r="BE2292" s="44"/>
      <c r="BF2292" s="45"/>
      <c r="BG2292" s="12"/>
      <c r="BH2292" s="12"/>
      <c r="BI2292" s="12"/>
      <c r="BJ2292" s="12"/>
      <c r="BK2292" s="44"/>
      <c r="BL2292" s="45"/>
      <c r="BM2292" s="12"/>
      <c r="BN2292" s="12"/>
      <c r="BO2292" s="12"/>
      <c r="BP2292" s="12"/>
      <c r="BQ2292" s="48"/>
      <c r="BR2292" s="49"/>
      <c r="BS2292" s="13"/>
      <c r="BT2292" s="12"/>
      <c r="BV2292" s="14"/>
      <c r="BW2292" s="50"/>
      <c r="BX2292" s="54"/>
      <c r="BY2292" s="14"/>
      <c r="BZ2292" s="14"/>
      <c r="CA2292" s="14"/>
      <c r="CB2292" s="14"/>
      <c r="CC2292" s="14"/>
      <c r="CD2292" s="14"/>
      <c r="CE2292" s="14"/>
      <c r="CF2292" s="15"/>
      <c r="CG2292" s="14"/>
      <c r="CH2292" s="14"/>
      <c r="CI2292" s="50"/>
      <c r="CJ2292" s="54"/>
      <c r="CK2292" s="14"/>
      <c r="CL2292" s="14"/>
      <c r="CM2292" s="14"/>
      <c r="CN2292" s="14"/>
      <c r="CO2292" s="14"/>
      <c r="CP2292" s="14"/>
      <c r="CQ2292" s="14"/>
      <c r="CR2292" s="14"/>
      <c r="CS2292" s="14"/>
      <c r="CT2292" s="14"/>
      <c r="CU2292" s="16"/>
      <c r="CV2292" s="14"/>
      <c r="CW2292" s="50"/>
      <c r="CX2292" s="17"/>
    </row>
    <row r="2293" spans="4:102" x14ac:dyDescent="0.25">
      <c r="D2293" s="11"/>
      <c r="E2293" s="11"/>
      <c r="F2293" s="11"/>
      <c r="G2293" s="11"/>
      <c r="H2293" s="11"/>
      <c r="I2293" s="11"/>
      <c r="J2293" s="11"/>
      <c r="K2293" s="11"/>
      <c r="L2293" s="11"/>
      <c r="M2293" s="11"/>
      <c r="N2293" s="11"/>
      <c r="O2293" s="11"/>
      <c r="P2293" s="43"/>
      <c r="Q2293" s="11"/>
      <c r="R2293" s="11"/>
      <c r="S2293" s="11"/>
      <c r="T2293" s="11"/>
      <c r="U2293" s="11"/>
      <c r="V2293" s="11"/>
      <c r="W2293" s="11"/>
      <c r="X2293" s="12"/>
      <c r="Y2293" s="12"/>
      <c r="Z2293" s="12"/>
      <c r="AA2293" s="44"/>
      <c r="AB2293" s="45"/>
      <c r="AC2293" s="12"/>
      <c r="AD2293" s="12"/>
      <c r="AE2293" s="12"/>
      <c r="AF2293" s="12"/>
      <c r="AG2293" s="44"/>
      <c r="AH2293" s="45"/>
      <c r="AI2293" s="12"/>
      <c r="AJ2293" s="12"/>
      <c r="AK2293" s="12"/>
      <c r="AL2293" s="12"/>
      <c r="AM2293" s="44"/>
      <c r="AN2293" s="45"/>
      <c r="AO2293" s="12"/>
      <c r="AP2293" s="12"/>
      <c r="AQ2293" s="12"/>
      <c r="AR2293" s="12"/>
      <c r="AS2293" s="44"/>
      <c r="AT2293" s="45"/>
      <c r="AU2293" s="12"/>
      <c r="AV2293" s="12"/>
      <c r="AW2293" s="12"/>
      <c r="AX2293" s="12"/>
      <c r="AY2293" s="44"/>
      <c r="AZ2293" s="45"/>
      <c r="BA2293" s="12"/>
      <c r="BB2293" s="12"/>
      <c r="BC2293" s="12"/>
      <c r="BD2293" s="12"/>
      <c r="BE2293" s="44"/>
      <c r="BF2293" s="45"/>
      <c r="BG2293" s="12"/>
      <c r="BH2293" s="12"/>
      <c r="BI2293" s="12"/>
      <c r="BJ2293" s="12"/>
      <c r="BK2293" s="44"/>
      <c r="BL2293" s="45"/>
      <c r="BM2293" s="12"/>
      <c r="BN2293" s="12"/>
      <c r="BO2293" s="12"/>
      <c r="BP2293" s="12"/>
      <c r="BQ2293" s="48"/>
      <c r="BR2293" s="49"/>
      <c r="BS2293" s="13"/>
      <c r="BT2293" s="12"/>
      <c r="BV2293" s="14"/>
      <c r="BW2293" s="50"/>
      <c r="BX2293" s="54"/>
      <c r="BY2293" s="14"/>
      <c r="BZ2293" s="14"/>
      <c r="CA2293" s="14"/>
      <c r="CB2293" s="14"/>
      <c r="CC2293" s="14"/>
      <c r="CD2293" s="14"/>
      <c r="CE2293" s="14"/>
      <c r="CF2293" s="15"/>
      <c r="CG2293" s="14"/>
      <c r="CH2293" s="14"/>
      <c r="CI2293" s="50"/>
      <c r="CJ2293" s="54"/>
      <c r="CK2293" s="14"/>
      <c r="CL2293" s="14"/>
      <c r="CM2293" s="14"/>
      <c r="CN2293" s="14"/>
      <c r="CO2293" s="14"/>
      <c r="CP2293" s="14"/>
      <c r="CQ2293" s="14"/>
      <c r="CR2293" s="14"/>
      <c r="CS2293" s="14"/>
      <c r="CT2293" s="14"/>
      <c r="CU2293" s="16"/>
      <c r="CV2293" s="14"/>
      <c r="CW2293" s="50"/>
      <c r="CX2293" s="17"/>
    </row>
    <row r="2294" spans="4:102" x14ac:dyDescent="0.25">
      <c r="D2294" s="11"/>
      <c r="E2294" s="11"/>
      <c r="F2294" s="11"/>
      <c r="G2294" s="11"/>
      <c r="H2294" s="11"/>
      <c r="I2294" s="11"/>
      <c r="J2294" s="11"/>
      <c r="K2294" s="11"/>
      <c r="L2294" s="11"/>
      <c r="M2294" s="11"/>
      <c r="N2294" s="11"/>
      <c r="O2294" s="11"/>
      <c r="P2294" s="43"/>
      <c r="Q2294" s="11"/>
      <c r="R2294" s="11"/>
      <c r="S2294" s="11"/>
      <c r="T2294" s="11"/>
      <c r="U2294" s="11"/>
      <c r="V2294" s="11"/>
      <c r="W2294" s="11"/>
      <c r="X2294" s="12"/>
      <c r="Y2294" s="12"/>
      <c r="Z2294" s="12"/>
      <c r="AA2294" s="44"/>
      <c r="AB2294" s="45"/>
      <c r="AC2294" s="12"/>
      <c r="AD2294" s="12"/>
      <c r="AE2294" s="12"/>
      <c r="AF2294" s="12"/>
      <c r="AG2294" s="44"/>
      <c r="AH2294" s="45"/>
      <c r="AI2294" s="12"/>
      <c r="AJ2294" s="12"/>
      <c r="AK2294" s="12"/>
      <c r="AL2294" s="12"/>
      <c r="AM2294" s="44"/>
      <c r="AN2294" s="45"/>
      <c r="AO2294" s="12"/>
      <c r="AP2294" s="12"/>
      <c r="AQ2294" s="12"/>
      <c r="AR2294" s="12"/>
      <c r="AS2294" s="44"/>
      <c r="AT2294" s="45"/>
      <c r="AU2294" s="12"/>
      <c r="AV2294" s="12"/>
      <c r="AW2294" s="12"/>
      <c r="AX2294" s="12"/>
      <c r="AY2294" s="44"/>
      <c r="AZ2294" s="45"/>
      <c r="BA2294" s="12"/>
      <c r="BB2294" s="12"/>
      <c r="BC2294" s="12"/>
      <c r="BD2294" s="12"/>
      <c r="BE2294" s="44"/>
      <c r="BF2294" s="45"/>
      <c r="BG2294" s="12"/>
      <c r="BH2294" s="12"/>
      <c r="BI2294" s="12"/>
      <c r="BJ2294" s="12"/>
      <c r="BK2294" s="44"/>
      <c r="BL2294" s="45"/>
      <c r="BM2294" s="12"/>
      <c r="BN2294" s="12"/>
      <c r="BO2294" s="12"/>
      <c r="BP2294" s="12"/>
      <c r="BQ2294" s="48"/>
      <c r="BR2294" s="49"/>
      <c r="BS2294" s="13"/>
      <c r="BT2294" s="12"/>
      <c r="BV2294" s="14"/>
      <c r="BW2294" s="50"/>
      <c r="BX2294" s="54"/>
      <c r="BY2294" s="14"/>
      <c r="BZ2294" s="14"/>
      <c r="CA2294" s="14"/>
      <c r="CB2294" s="14"/>
      <c r="CC2294" s="14"/>
      <c r="CD2294" s="14"/>
      <c r="CE2294" s="14"/>
      <c r="CF2294" s="15"/>
      <c r="CG2294" s="14"/>
      <c r="CH2294" s="14"/>
      <c r="CI2294" s="50"/>
      <c r="CJ2294" s="54"/>
      <c r="CK2294" s="14"/>
      <c r="CL2294" s="14"/>
      <c r="CM2294" s="14"/>
      <c r="CN2294" s="14"/>
      <c r="CO2294" s="14"/>
      <c r="CP2294" s="14"/>
      <c r="CQ2294" s="14"/>
      <c r="CR2294" s="14"/>
      <c r="CS2294" s="14"/>
      <c r="CT2294" s="14"/>
      <c r="CU2294" s="16"/>
      <c r="CV2294" s="14"/>
      <c r="CW2294" s="50"/>
      <c r="CX2294" s="17"/>
    </row>
    <row r="2295" spans="4:102" x14ac:dyDescent="0.25">
      <c r="D2295" s="11"/>
      <c r="E2295" s="11"/>
      <c r="F2295" s="11"/>
      <c r="G2295" s="11"/>
      <c r="H2295" s="11"/>
      <c r="I2295" s="11"/>
      <c r="J2295" s="11"/>
      <c r="K2295" s="11"/>
      <c r="L2295" s="11"/>
      <c r="M2295" s="11"/>
      <c r="N2295" s="11"/>
      <c r="O2295" s="11"/>
      <c r="P2295" s="43"/>
      <c r="Q2295" s="11"/>
      <c r="R2295" s="11"/>
      <c r="S2295" s="11"/>
      <c r="T2295" s="11"/>
      <c r="U2295" s="11"/>
      <c r="V2295" s="11"/>
      <c r="W2295" s="11"/>
      <c r="X2295" s="12"/>
      <c r="Y2295" s="12"/>
      <c r="Z2295" s="12"/>
      <c r="AA2295" s="44"/>
      <c r="AB2295" s="45"/>
      <c r="AC2295" s="12"/>
      <c r="AD2295" s="12"/>
      <c r="AE2295" s="12"/>
      <c r="AF2295" s="12"/>
      <c r="AG2295" s="44"/>
      <c r="AH2295" s="45"/>
      <c r="AI2295" s="12"/>
      <c r="AJ2295" s="12"/>
      <c r="AK2295" s="12"/>
      <c r="AL2295" s="12"/>
      <c r="AM2295" s="44"/>
      <c r="AN2295" s="45"/>
      <c r="AO2295" s="12"/>
      <c r="AP2295" s="12"/>
      <c r="AQ2295" s="12"/>
      <c r="AR2295" s="12"/>
      <c r="AS2295" s="44"/>
      <c r="AT2295" s="45"/>
      <c r="AU2295" s="12"/>
      <c r="AV2295" s="12"/>
      <c r="AW2295" s="12"/>
      <c r="AX2295" s="12"/>
      <c r="AY2295" s="44"/>
      <c r="AZ2295" s="45"/>
      <c r="BA2295" s="12"/>
      <c r="BB2295" s="12"/>
      <c r="BC2295" s="12"/>
      <c r="BD2295" s="12"/>
      <c r="BE2295" s="44"/>
      <c r="BF2295" s="45"/>
      <c r="BG2295" s="12"/>
      <c r="BH2295" s="12"/>
      <c r="BI2295" s="12"/>
      <c r="BJ2295" s="12"/>
      <c r="BK2295" s="44"/>
      <c r="BL2295" s="45"/>
      <c r="BM2295" s="12"/>
      <c r="BN2295" s="12"/>
      <c r="BO2295" s="12"/>
      <c r="BP2295" s="12"/>
      <c r="BQ2295" s="48"/>
      <c r="BR2295" s="49"/>
      <c r="BS2295" s="13"/>
      <c r="BT2295" s="12"/>
      <c r="BV2295" s="14"/>
      <c r="BW2295" s="50"/>
      <c r="BX2295" s="54"/>
      <c r="BY2295" s="14"/>
      <c r="BZ2295" s="14"/>
      <c r="CA2295" s="14"/>
      <c r="CB2295" s="14"/>
      <c r="CC2295" s="14"/>
      <c r="CD2295" s="14"/>
      <c r="CE2295" s="14"/>
      <c r="CF2295" s="15"/>
      <c r="CG2295" s="14"/>
      <c r="CH2295" s="14"/>
      <c r="CI2295" s="50"/>
      <c r="CJ2295" s="54"/>
      <c r="CK2295" s="14"/>
      <c r="CL2295" s="14"/>
      <c r="CM2295" s="14"/>
      <c r="CN2295" s="14"/>
      <c r="CO2295" s="14"/>
      <c r="CP2295" s="14"/>
      <c r="CQ2295" s="14"/>
      <c r="CR2295" s="14"/>
      <c r="CS2295" s="14"/>
      <c r="CT2295" s="14"/>
      <c r="CU2295" s="16"/>
      <c r="CV2295" s="14"/>
      <c r="CW2295" s="50"/>
      <c r="CX2295" s="17"/>
    </row>
    <row r="2296" spans="4:102" x14ac:dyDescent="0.25">
      <c r="D2296" s="11"/>
      <c r="E2296" s="11"/>
      <c r="F2296" s="11"/>
      <c r="G2296" s="11"/>
      <c r="H2296" s="11"/>
      <c r="I2296" s="11"/>
      <c r="J2296" s="11"/>
      <c r="K2296" s="11"/>
      <c r="L2296" s="11"/>
      <c r="M2296" s="11"/>
      <c r="N2296" s="11"/>
      <c r="O2296" s="11"/>
      <c r="P2296" s="43"/>
      <c r="Q2296" s="11"/>
      <c r="R2296" s="11"/>
      <c r="S2296" s="11"/>
      <c r="T2296" s="11"/>
      <c r="U2296" s="11"/>
      <c r="V2296" s="11"/>
      <c r="W2296" s="11"/>
      <c r="X2296" s="12"/>
      <c r="Y2296" s="12"/>
      <c r="Z2296" s="12"/>
      <c r="AA2296" s="44"/>
      <c r="AB2296" s="45"/>
      <c r="AC2296" s="12"/>
      <c r="AD2296" s="12"/>
      <c r="AE2296" s="12"/>
      <c r="AF2296" s="12"/>
      <c r="AG2296" s="44"/>
      <c r="AH2296" s="45"/>
      <c r="AI2296" s="12"/>
      <c r="AJ2296" s="12"/>
      <c r="AK2296" s="12"/>
      <c r="AL2296" s="12"/>
      <c r="AM2296" s="44"/>
      <c r="AN2296" s="45"/>
      <c r="AO2296" s="12"/>
      <c r="AP2296" s="12"/>
      <c r="AQ2296" s="12"/>
      <c r="AR2296" s="12"/>
      <c r="AS2296" s="44"/>
      <c r="AT2296" s="45"/>
      <c r="AU2296" s="12"/>
      <c r="AV2296" s="12"/>
      <c r="AW2296" s="12"/>
      <c r="AX2296" s="12"/>
      <c r="AY2296" s="44"/>
      <c r="AZ2296" s="45"/>
      <c r="BA2296" s="12"/>
      <c r="BB2296" s="12"/>
      <c r="BC2296" s="12"/>
      <c r="BD2296" s="12"/>
      <c r="BE2296" s="44"/>
      <c r="BF2296" s="45"/>
      <c r="BG2296" s="12"/>
      <c r="BH2296" s="12"/>
      <c r="BI2296" s="12"/>
      <c r="BJ2296" s="12"/>
      <c r="BK2296" s="44"/>
      <c r="BL2296" s="45"/>
      <c r="BM2296" s="12"/>
      <c r="BN2296" s="12"/>
      <c r="BO2296" s="12"/>
      <c r="BP2296" s="12"/>
      <c r="BQ2296" s="48"/>
      <c r="BR2296" s="49"/>
      <c r="BS2296" s="13"/>
      <c r="BT2296" s="12"/>
      <c r="BV2296" s="14"/>
      <c r="BW2296" s="50"/>
      <c r="BX2296" s="54"/>
      <c r="BY2296" s="14"/>
      <c r="BZ2296" s="14"/>
      <c r="CA2296" s="14"/>
      <c r="CB2296" s="14"/>
      <c r="CC2296" s="14"/>
      <c r="CD2296" s="14"/>
      <c r="CE2296" s="14"/>
      <c r="CF2296" s="15"/>
      <c r="CG2296" s="14"/>
      <c r="CH2296" s="14"/>
      <c r="CI2296" s="50"/>
      <c r="CJ2296" s="54"/>
      <c r="CK2296" s="14"/>
      <c r="CL2296" s="14"/>
      <c r="CM2296" s="14"/>
      <c r="CN2296" s="14"/>
      <c r="CO2296" s="14"/>
      <c r="CP2296" s="14"/>
      <c r="CQ2296" s="14"/>
      <c r="CR2296" s="14"/>
      <c r="CS2296" s="14"/>
      <c r="CT2296" s="14"/>
      <c r="CU2296" s="16"/>
      <c r="CV2296" s="14"/>
      <c r="CW2296" s="50"/>
      <c r="CX2296" s="17"/>
    </row>
    <row r="2297" spans="4:102" x14ac:dyDescent="0.25">
      <c r="D2297" s="11"/>
      <c r="E2297" s="11"/>
      <c r="F2297" s="11"/>
      <c r="G2297" s="11"/>
      <c r="H2297" s="11"/>
      <c r="I2297" s="11"/>
      <c r="J2297" s="11"/>
      <c r="K2297" s="11"/>
      <c r="L2297" s="11"/>
      <c r="M2297" s="11"/>
      <c r="N2297" s="11"/>
      <c r="O2297" s="11"/>
      <c r="P2297" s="43"/>
      <c r="Q2297" s="11"/>
      <c r="R2297" s="11"/>
      <c r="S2297" s="11"/>
      <c r="T2297" s="11"/>
      <c r="U2297" s="11"/>
      <c r="V2297" s="11"/>
      <c r="W2297" s="11"/>
      <c r="X2297" s="12"/>
      <c r="Y2297" s="12"/>
      <c r="Z2297" s="12"/>
      <c r="AA2297" s="44"/>
      <c r="AB2297" s="45"/>
      <c r="AC2297" s="12"/>
      <c r="AD2297" s="12"/>
      <c r="AE2297" s="12"/>
      <c r="AF2297" s="12"/>
      <c r="AG2297" s="44"/>
      <c r="AH2297" s="45"/>
      <c r="AI2297" s="12"/>
      <c r="AJ2297" s="12"/>
      <c r="AK2297" s="12"/>
      <c r="AL2297" s="12"/>
      <c r="AM2297" s="44"/>
      <c r="AN2297" s="45"/>
      <c r="AO2297" s="12"/>
      <c r="AP2297" s="12"/>
      <c r="AQ2297" s="12"/>
      <c r="AR2297" s="12"/>
      <c r="AS2297" s="44"/>
      <c r="AT2297" s="45"/>
      <c r="AU2297" s="12"/>
      <c r="AV2297" s="12"/>
      <c r="AW2297" s="12"/>
      <c r="AX2297" s="12"/>
      <c r="AY2297" s="44"/>
      <c r="AZ2297" s="45"/>
      <c r="BA2297" s="12"/>
      <c r="BB2297" s="12"/>
      <c r="BC2297" s="12"/>
      <c r="BD2297" s="12"/>
      <c r="BE2297" s="44"/>
      <c r="BF2297" s="45"/>
      <c r="BG2297" s="12"/>
      <c r="BH2297" s="12"/>
      <c r="BI2297" s="12"/>
      <c r="BJ2297" s="12"/>
      <c r="BK2297" s="44"/>
      <c r="BL2297" s="45"/>
      <c r="BM2297" s="12"/>
      <c r="BN2297" s="12"/>
      <c r="BO2297" s="12"/>
      <c r="BP2297" s="12"/>
      <c r="BQ2297" s="48"/>
      <c r="BR2297" s="49"/>
      <c r="BS2297" s="13"/>
      <c r="BT2297" s="12"/>
      <c r="BV2297" s="14"/>
      <c r="BW2297" s="50"/>
      <c r="BX2297" s="54"/>
      <c r="BY2297" s="14"/>
      <c r="BZ2297" s="14"/>
      <c r="CA2297" s="14"/>
      <c r="CB2297" s="14"/>
      <c r="CC2297" s="14"/>
      <c r="CD2297" s="14"/>
      <c r="CE2297" s="14"/>
      <c r="CF2297" s="15"/>
      <c r="CG2297" s="14"/>
      <c r="CH2297" s="14"/>
      <c r="CI2297" s="50"/>
      <c r="CJ2297" s="54"/>
      <c r="CK2297" s="14"/>
      <c r="CL2297" s="14"/>
      <c r="CM2297" s="14"/>
      <c r="CN2297" s="14"/>
      <c r="CO2297" s="14"/>
      <c r="CP2297" s="14"/>
      <c r="CQ2297" s="14"/>
      <c r="CR2297" s="14"/>
      <c r="CS2297" s="14"/>
      <c r="CT2297" s="14"/>
      <c r="CU2297" s="16"/>
      <c r="CV2297" s="14"/>
      <c r="CW2297" s="50"/>
      <c r="CX2297" s="17"/>
    </row>
    <row r="2298" spans="4:102" x14ac:dyDescent="0.25">
      <c r="D2298" s="11"/>
      <c r="E2298" s="11"/>
      <c r="F2298" s="11"/>
      <c r="G2298" s="11"/>
      <c r="H2298" s="11"/>
      <c r="I2298" s="11"/>
      <c r="J2298" s="11"/>
      <c r="K2298" s="11"/>
      <c r="L2298" s="11"/>
      <c r="M2298" s="11"/>
      <c r="N2298" s="11"/>
      <c r="O2298" s="11"/>
      <c r="P2298" s="43"/>
      <c r="Q2298" s="11"/>
      <c r="R2298" s="11"/>
      <c r="S2298" s="11"/>
      <c r="T2298" s="11"/>
      <c r="U2298" s="11"/>
      <c r="V2298" s="11"/>
      <c r="W2298" s="11"/>
      <c r="X2298" s="12"/>
      <c r="Y2298" s="12"/>
      <c r="Z2298" s="12"/>
      <c r="AA2298" s="44"/>
      <c r="AB2298" s="45"/>
      <c r="AC2298" s="12"/>
      <c r="AD2298" s="12"/>
      <c r="AE2298" s="12"/>
      <c r="AF2298" s="12"/>
      <c r="AG2298" s="44"/>
      <c r="AH2298" s="45"/>
      <c r="AI2298" s="12"/>
      <c r="AJ2298" s="12"/>
      <c r="AK2298" s="12"/>
      <c r="AL2298" s="12"/>
      <c r="AM2298" s="44"/>
      <c r="AN2298" s="45"/>
      <c r="AO2298" s="12"/>
      <c r="AP2298" s="12"/>
      <c r="AQ2298" s="12"/>
      <c r="AR2298" s="12"/>
      <c r="AS2298" s="44"/>
      <c r="AT2298" s="45"/>
      <c r="AU2298" s="12"/>
      <c r="AV2298" s="12"/>
      <c r="AW2298" s="12"/>
      <c r="AX2298" s="12"/>
      <c r="AY2298" s="44"/>
      <c r="AZ2298" s="45"/>
      <c r="BA2298" s="12"/>
      <c r="BB2298" s="12"/>
      <c r="BC2298" s="12"/>
      <c r="BD2298" s="12"/>
      <c r="BE2298" s="44"/>
      <c r="BF2298" s="45"/>
      <c r="BG2298" s="12"/>
      <c r="BH2298" s="12"/>
      <c r="BI2298" s="12"/>
      <c r="BJ2298" s="12"/>
      <c r="BK2298" s="44"/>
      <c r="BL2298" s="45"/>
      <c r="BM2298" s="12"/>
      <c r="BN2298" s="12"/>
      <c r="BO2298" s="12"/>
      <c r="BP2298" s="12"/>
      <c r="BQ2298" s="48"/>
      <c r="BR2298" s="49"/>
      <c r="BS2298" s="13"/>
      <c r="BT2298" s="12"/>
      <c r="BV2298" s="14"/>
      <c r="BW2298" s="50"/>
      <c r="BX2298" s="54"/>
      <c r="BY2298" s="14"/>
      <c r="BZ2298" s="14"/>
      <c r="CA2298" s="14"/>
      <c r="CB2298" s="14"/>
      <c r="CC2298" s="14"/>
      <c r="CD2298" s="14"/>
      <c r="CE2298" s="14"/>
      <c r="CF2298" s="15"/>
      <c r="CG2298" s="14"/>
      <c r="CH2298" s="14"/>
      <c r="CI2298" s="50"/>
      <c r="CJ2298" s="54"/>
      <c r="CK2298" s="14"/>
      <c r="CL2298" s="14"/>
      <c r="CM2298" s="14"/>
      <c r="CN2298" s="14"/>
      <c r="CO2298" s="14"/>
      <c r="CP2298" s="14"/>
      <c r="CQ2298" s="14"/>
      <c r="CR2298" s="14"/>
      <c r="CS2298" s="14"/>
      <c r="CT2298" s="14"/>
      <c r="CU2298" s="16"/>
      <c r="CV2298" s="14"/>
      <c r="CW2298" s="50"/>
      <c r="CX2298" s="17"/>
    </row>
    <row r="2299" spans="4:102" x14ac:dyDescent="0.25">
      <c r="D2299" s="11"/>
      <c r="E2299" s="11"/>
      <c r="F2299" s="11"/>
      <c r="G2299" s="11"/>
      <c r="H2299" s="11"/>
      <c r="I2299" s="11"/>
      <c r="J2299" s="11"/>
      <c r="K2299" s="11"/>
      <c r="L2299" s="11"/>
      <c r="M2299" s="11"/>
      <c r="N2299" s="11"/>
      <c r="O2299" s="11"/>
      <c r="P2299" s="43"/>
      <c r="Q2299" s="11"/>
      <c r="R2299" s="11"/>
      <c r="S2299" s="11"/>
      <c r="T2299" s="11"/>
      <c r="U2299" s="11"/>
      <c r="V2299" s="11"/>
      <c r="W2299" s="11"/>
      <c r="X2299" s="12"/>
      <c r="Y2299" s="12"/>
      <c r="Z2299" s="12"/>
      <c r="AA2299" s="44"/>
      <c r="AB2299" s="45"/>
      <c r="AC2299" s="12"/>
      <c r="AD2299" s="12"/>
      <c r="AE2299" s="12"/>
      <c r="AF2299" s="12"/>
      <c r="AG2299" s="44"/>
      <c r="AH2299" s="45"/>
      <c r="AI2299" s="12"/>
      <c r="AJ2299" s="12"/>
      <c r="AK2299" s="12"/>
      <c r="AL2299" s="12"/>
      <c r="AM2299" s="44"/>
      <c r="AN2299" s="45"/>
      <c r="AO2299" s="12"/>
      <c r="AP2299" s="12"/>
      <c r="AQ2299" s="12"/>
      <c r="AR2299" s="12"/>
      <c r="AS2299" s="44"/>
      <c r="AT2299" s="45"/>
      <c r="AU2299" s="12"/>
      <c r="AV2299" s="12"/>
      <c r="AW2299" s="12"/>
      <c r="AX2299" s="12"/>
      <c r="AY2299" s="44"/>
      <c r="AZ2299" s="45"/>
      <c r="BA2299" s="12"/>
      <c r="BB2299" s="12"/>
      <c r="BC2299" s="12"/>
      <c r="BD2299" s="12"/>
      <c r="BE2299" s="44"/>
      <c r="BF2299" s="45"/>
      <c r="BG2299" s="12"/>
      <c r="BH2299" s="12"/>
      <c r="BI2299" s="12"/>
      <c r="BJ2299" s="12"/>
      <c r="BK2299" s="44"/>
      <c r="BL2299" s="45"/>
      <c r="BM2299" s="12"/>
      <c r="BN2299" s="12"/>
      <c r="BO2299" s="12"/>
      <c r="BP2299" s="12"/>
      <c r="BQ2299" s="48"/>
      <c r="BR2299" s="49"/>
      <c r="BS2299" s="13"/>
      <c r="BT2299" s="12"/>
      <c r="BV2299" s="14"/>
      <c r="BW2299" s="50"/>
      <c r="BX2299" s="54"/>
      <c r="BY2299" s="14"/>
      <c r="BZ2299" s="14"/>
      <c r="CA2299" s="14"/>
      <c r="CB2299" s="14"/>
      <c r="CC2299" s="14"/>
      <c r="CD2299" s="14"/>
      <c r="CE2299" s="14"/>
      <c r="CF2299" s="15"/>
      <c r="CG2299" s="14"/>
      <c r="CH2299" s="14"/>
      <c r="CI2299" s="50"/>
      <c r="CJ2299" s="54"/>
      <c r="CK2299" s="14"/>
      <c r="CL2299" s="14"/>
      <c r="CM2299" s="14"/>
      <c r="CN2299" s="14"/>
      <c r="CO2299" s="14"/>
      <c r="CP2299" s="14"/>
      <c r="CQ2299" s="14"/>
      <c r="CR2299" s="14"/>
      <c r="CS2299" s="14"/>
      <c r="CT2299" s="14"/>
      <c r="CU2299" s="16"/>
      <c r="CV2299" s="14"/>
      <c r="CW2299" s="50"/>
      <c r="CX2299" s="17"/>
    </row>
    <row r="2300" spans="4:102" x14ac:dyDescent="0.25">
      <c r="D2300" s="11"/>
      <c r="E2300" s="11"/>
      <c r="F2300" s="11"/>
      <c r="G2300" s="11"/>
      <c r="H2300" s="11"/>
      <c r="I2300" s="11"/>
      <c r="J2300" s="11"/>
      <c r="K2300" s="11"/>
      <c r="L2300" s="11"/>
      <c r="M2300" s="11"/>
      <c r="N2300" s="11"/>
      <c r="O2300" s="11"/>
      <c r="P2300" s="43"/>
      <c r="Q2300" s="11"/>
      <c r="R2300" s="11"/>
      <c r="S2300" s="11"/>
      <c r="T2300" s="11"/>
      <c r="U2300" s="11"/>
      <c r="V2300" s="11"/>
      <c r="W2300" s="11"/>
      <c r="X2300" s="12"/>
      <c r="Y2300" s="12"/>
      <c r="Z2300" s="12"/>
      <c r="AA2300" s="44"/>
      <c r="AB2300" s="45"/>
      <c r="AC2300" s="12"/>
      <c r="AD2300" s="12"/>
      <c r="AE2300" s="12"/>
      <c r="AF2300" s="12"/>
      <c r="AG2300" s="44"/>
      <c r="AH2300" s="45"/>
      <c r="AI2300" s="12"/>
      <c r="AJ2300" s="12"/>
      <c r="AK2300" s="12"/>
      <c r="AL2300" s="12"/>
      <c r="AM2300" s="44"/>
      <c r="AN2300" s="45"/>
      <c r="AO2300" s="12"/>
      <c r="AP2300" s="12"/>
      <c r="AQ2300" s="12"/>
      <c r="AR2300" s="12"/>
      <c r="AS2300" s="44"/>
      <c r="AT2300" s="45"/>
      <c r="AU2300" s="12"/>
      <c r="AV2300" s="12"/>
      <c r="AW2300" s="12"/>
      <c r="AX2300" s="12"/>
      <c r="AY2300" s="44"/>
      <c r="AZ2300" s="45"/>
      <c r="BA2300" s="12"/>
      <c r="BB2300" s="12"/>
      <c r="BC2300" s="12"/>
      <c r="BD2300" s="12"/>
      <c r="BE2300" s="44"/>
      <c r="BF2300" s="45"/>
      <c r="BG2300" s="12"/>
      <c r="BH2300" s="12"/>
      <c r="BI2300" s="12"/>
      <c r="BJ2300" s="12"/>
      <c r="BK2300" s="44"/>
      <c r="BL2300" s="45"/>
      <c r="BM2300" s="12"/>
      <c r="BN2300" s="12"/>
      <c r="BO2300" s="12"/>
      <c r="BP2300" s="12"/>
      <c r="BQ2300" s="48"/>
      <c r="BR2300" s="49"/>
      <c r="BS2300" s="13"/>
      <c r="BT2300" s="12"/>
      <c r="BV2300" s="14"/>
      <c r="BW2300" s="50"/>
      <c r="BX2300" s="54"/>
      <c r="BY2300" s="14"/>
      <c r="BZ2300" s="14"/>
      <c r="CA2300" s="14"/>
      <c r="CB2300" s="14"/>
      <c r="CC2300" s="14"/>
      <c r="CD2300" s="14"/>
      <c r="CE2300" s="14"/>
      <c r="CF2300" s="15"/>
      <c r="CG2300" s="14"/>
      <c r="CH2300" s="14"/>
      <c r="CI2300" s="50"/>
      <c r="CJ2300" s="54"/>
      <c r="CK2300" s="14"/>
      <c r="CL2300" s="14"/>
      <c r="CM2300" s="14"/>
      <c r="CN2300" s="14"/>
      <c r="CO2300" s="14"/>
      <c r="CP2300" s="14"/>
      <c r="CQ2300" s="14"/>
      <c r="CR2300" s="14"/>
      <c r="CS2300" s="14"/>
      <c r="CT2300" s="14"/>
      <c r="CU2300" s="16"/>
      <c r="CV2300" s="14"/>
      <c r="CW2300" s="50"/>
      <c r="CX2300" s="17"/>
    </row>
    <row r="2301" spans="4:102" x14ac:dyDescent="0.25">
      <c r="D2301" s="11"/>
      <c r="E2301" s="11"/>
      <c r="F2301" s="11"/>
      <c r="G2301" s="11"/>
      <c r="H2301" s="11"/>
      <c r="I2301" s="11"/>
      <c r="J2301" s="11"/>
      <c r="K2301" s="11"/>
      <c r="L2301" s="11"/>
      <c r="M2301" s="11"/>
      <c r="N2301" s="11"/>
      <c r="O2301" s="11"/>
      <c r="P2301" s="43"/>
      <c r="Q2301" s="11"/>
      <c r="R2301" s="11"/>
      <c r="S2301" s="11"/>
      <c r="T2301" s="11"/>
      <c r="U2301" s="11"/>
      <c r="V2301" s="11"/>
      <c r="W2301" s="11"/>
      <c r="X2301" s="12"/>
      <c r="Y2301" s="12"/>
      <c r="Z2301" s="12"/>
      <c r="AA2301" s="44"/>
      <c r="AB2301" s="45"/>
      <c r="AC2301" s="12"/>
      <c r="AD2301" s="12"/>
      <c r="AE2301" s="12"/>
      <c r="AF2301" s="12"/>
      <c r="AG2301" s="44"/>
      <c r="AH2301" s="45"/>
      <c r="AI2301" s="12"/>
      <c r="AJ2301" s="12"/>
      <c r="AK2301" s="12"/>
      <c r="AL2301" s="12"/>
      <c r="AM2301" s="44"/>
      <c r="AN2301" s="45"/>
      <c r="AO2301" s="12"/>
      <c r="AP2301" s="12"/>
      <c r="AQ2301" s="12"/>
      <c r="AR2301" s="12"/>
      <c r="AS2301" s="44"/>
      <c r="AT2301" s="45"/>
      <c r="AU2301" s="12"/>
      <c r="AV2301" s="12"/>
      <c r="AW2301" s="12"/>
      <c r="AX2301" s="12"/>
      <c r="AY2301" s="44"/>
      <c r="AZ2301" s="45"/>
      <c r="BA2301" s="12"/>
      <c r="BB2301" s="12"/>
      <c r="BC2301" s="12"/>
      <c r="BD2301" s="12"/>
      <c r="BE2301" s="44"/>
      <c r="BF2301" s="45"/>
      <c r="BG2301" s="12"/>
      <c r="BH2301" s="12"/>
      <c r="BI2301" s="12"/>
      <c r="BJ2301" s="12"/>
      <c r="BK2301" s="44"/>
      <c r="BL2301" s="45"/>
      <c r="BM2301" s="12"/>
      <c r="BN2301" s="12"/>
      <c r="BO2301" s="12"/>
      <c r="BP2301" s="12"/>
      <c r="BQ2301" s="48"/>
      <c r="BR2301" s="49"/>
      <c r="BS2301" s="13"/>
      <c r="BT2301" s="12"/>
      <c r="BV2301" s="14"/>
      <c r="BW2301" s="50"/>
      <c r="BX2301" s="54"/>
      <c r="BY2301" s="14"/>
      <c r="BZ2301" s="14"/>
      <c r="CA2301" s="14"/>
      <c r="CB2301" s="14"/>
      <c r="CC2301" s="14"/>
      <c r="CD2301" s="14"/>
      <c r="CE2301" s="14"/>
      <c r="CF2301" s="15"/>
      <c r="CG2301" s="14"/>
      <c r="CH2301" s="14"/>
      <c r="CI2301" s="50"/>
      <c r="CJ2301" s="54"/>
      <c r="CK2301" s="14"/>
      <c r="CL2301" s="14"/>
      <c r="CM2301" s="14"/>
      <c r="CN2301" s="14"/>
      <c r="CO2301" s="14"/>
      <c r="CP2301" s="14"/>
      <c r="CQ2301" s="14"/>
      <c r="CR2301" s="14"/>
      <c r="CS2301" s="14"/>
      <c r="CT2301" s="14"/>
      <c r="CU2301" s="16"/>
      <c r="CV2301" s="14"/>
      <c r="CW2301" s="50"/>
      <c r="CX2301" s="17"/>
    </row>
    <row r="2302" spans="4:102" x14ac:dyDescent="0.25">
      <c r="D2302" s="11"/>
      <c r="E2302" s="11"/>
      <c r="F2302" s="11"/>
      <c r="G2302" s="11"/>
      <c r="H2302" s="11"/>
      <c r="I2302" s="11"/>
      <c r="J2302" s="11"/>
      <c r="K2302" s="11"/>
      <c r="L2302" s="11"/>
      <c r="M2302" s="11"/>
      <c r="N2302" s="11"/>
      <c r="O2302" s="11"/>
      <c r="P2302" s="43"/>
      <c r="Q2302" s="11"/>
      <c r="R2302" s="11"/>
      <c r="S2302" s="11"/>
      <c r="T2302" s="11"/>
      <c r="U2302" s="11"/>
      <c r="V2302" s="11"/>
      <c r="W2302" s="11"/>
      <c r="X2302" s="12"/>
      <c r="Y2302" s="12"/>
      <c r="Z2302" s="12"/>
      <c r="AA2302" s="44"/>
      <c r="AB2302" s="45"/>
      <c r="AC2302" s="12"/>
      <c r="AD2302" s="12"/>
      <c r="AE2302" s="12"/>
      <c r="AF2302" s="12"/>
      <c r="AG2302" s="44"/>
      <c r="AH2302" s="45"/>
      <c r="AI2302" s="12"/>
      <c r="AJ2302" s="12"/>
      <c r="AK2302" s="12"/>
      <c r="AL2302" s="12"/>
      <c r="AM2302" s="44"/>
      <c r="AN2302" s="45"/>
      <c r="AO2302" s="12"/>
      <c r="AP2302" s="12"/>
      <c r="AQ2302" s="12"/>
      <c r="AR2302" s="12"/>
      <c r="AS2302" s="44"/>
      <c r="AT2302" s="45"/>
      <c r="AU2302" s="12"/>
      <c r="AV2302" s="12"/>
      <c r="AW2302" s="12"/>
      <c r="AX2302" s="12"/>
      <c r="AY2302" s="44"/>
      <c r="AZ2302" s="45"/>
      <c r="BA2302" s="12"/>
      <c r="BB2302" s="12"/>
      <c r="BC2302" s="12"/>
      <c r="BD2302" s="12"/>
      <c r="BE2302" s="44"/>
      <c r="BF2302" s="45"/>
      <c r="BG2302" s="12"/>
      <c r="BH2302" s="12"/>
      <c r="BI2302" s="12"/>
      <c r="BJ2302" s="12"/>
      <c r="BK2302" s="44"/>
      <c r="BL2302" s="45"/>
      <c r="BM2302" s="12"/>
      <c r="BN2302" s="12"/>
      <c r="BO2302" s="12"/>
      <c r="BP2302" s="12"/>
      <c r="BQ2302" s="48"/>
      <c r="BR2302" s="49"/>
      <c r="BS2302" s="13"/>
      <c r="BT2302" s="12"/>
      <c r="BV2302" s="14"/>
      <c r="BW2302" s="50"/>
      <c r="BX2302" s="54"/>
      <c r="BY2302" s="14"/>
      <c r="BZ2302" s="14"/>
      <c r="CA2302" s="14"/>
      <c r="CB2302" s="14"/>
      <c r="CC2302" s="14"/>
      <c r="CD2302" s="14"/>
      <c r="CE2302" s="14"/>
      <c r="CF2302" s="15"/>
      <c r="CG2302" s="14"/>
      <c r="CH2302" s="14"/>
      <c r="CI2302" s="50"/>
      <c r="CJ2302" s="54"/>
      <c r="CK2302" s="14"/>
      <c r="CL2302" s="14"/>
      <c r="CM2302" s="14"/>
      <c r="CN2302" s="14"/>
      <c r="CO2302" s="14"/>
      <c r="CP2302" s="14"/>
      <c r="CQ2302" s="14"/>
      <c r="CR2302" s="14"/>
      <c r="CS2302" s="14"/>
      <c r="CT2302" s="14"/>
      <c r="CU2302" s="16"/>
      <c r="CV2302" s="14"/>
      <c r="CW2302" s="50"/>
      <c r="CX2302" s="17"/>
    </row>
    <row r="2303" spans="4:102" x14ac:dyDescent="0.25">
      <c r="D2303" s="11"/>
      <c r="E2303" s="11"/>
      <c r="F2303" s="11"/>
      <c r="G2303" s="11"/>
      <c r="H2303" s="11"/>
      <c r="I2303" s="11"/>
      <c r="J2303" s="11"/>
      <c r="K2303" s="11"/>
      <c r="L2303" s="11"/>
      <c r="M2303" s="11"/>
      <c r="N2303" s="11"/>
      <c r="O2303" s="11"/>
      <c r="P2303" s="43"/>
      <c r="Q2303" s="11"/>
      <c r="R2303" s="11"/>
      <c r="S2303" s="11"/>
      <c r="T2303" s="11"/>
      <c r="U2303" s="11"/>
      <c r="V2303" s="11"/>
      <c r="W2303" s="11"/>
      <c r="X2303" s="12"/>
      <c r="Y2303" s="12"/>
      <c r="Z2303" s="12"/>
      <c r="AA2303" s="44"/>
      <c r="AB2303" s="45"/>
      <c r="AC2303" s="12"/>
      <c r="AD2303" s="12"/>
      <c r="AE2303" s="12"/>
      <c r="AF2303" s="12"/>
      <c r="AG2303" s="44"/>
      <c r="AH2303" s="45"/>
      <c r="AI2303" s="12"/>
      <c r="AJ2303" s="12"/>
      <c r="AK2303" s="12"/>
      <c r="AL2303" s="12"/>
      <c r="AM2303" s="44"/>
      <c r="AN2303" s="45"/>
      <c r="AO2303" s="12"/>
      <c r="AP2303" s="12"/>
      <c r="AQ2303" s="12"/>
      <c r="AR2303" s="12"/>
      <c r="AS2303" s="44"/>
      <c r="AT2303" s="45"/>
      <c r="AU2303" s="12"/>
      <c r="AV2303" s="12"/>
      <c r="AW2303" s="12"/>
      <c r="AX2303" s="12"/>
      <c r="AY2303" s="44"/>
      <c r="AZ2303" s="45"/>
      <c r="BA2303" s="12"/>
      <c r="BB2303" s="12"/>
      <c r="BC2303" s="12"/>
      <c r="BD2303" s="12"/>
      <c r="BE2303" s="44"/>
      <c r="BF2303" s="45"/>
      <c r="BG2303" s="12"/>
      <c r="BH2303" s="12"/>
      <c r="BI2303" s="12"/>
      <c r="BJ2303" s="12"/>
      <c r="BK2303" s="44"/>
      <c r="BL2303" s="45"/>
      <c r="BM2303" s="12"/>
      <c r="BN2303" s="12"/>
      <c r="BO2303" s="12"/>
      <c r="BP2303" s="12"/>
      <c r="BQ2303" s="48"/>
      <c r="BR2303" s="49"/>
      <c r="BS2303" s="13"/>
      <c r="BT2303" s="12"/>
      <c r="BV2303" s="14"/>
      <c r="BW2303" s="50"/>
      <c r="BX2303" s="54"/>
      <c r="BY2303" s="14"/>
      <c r="BZ2303" s="14"/>
      <c r="CA2303" s="14"/>
      <c r="CB2303" s="14"/>
      <c r="CC2303" s="14"/>
      <c r="CD2303" s="14"/>
      <c r="CE2303" s="14"/>
      <c r="CF2303" s="15"/>
      <c r="CG2303" s="14"/>
      <c r="CH2303" s="14"/>
      <c r="CI2303" s="50"/>
      <c r="CJ2303" s="54"/>
      <c r="CK2303" s="14"/>
      <c r="CL2303" s="14"/>
      <c r="CM2303" s="14"/>
      <c r="CN2303" s="14"/>
      <c r="CO2303" s="14"/>
      <c r="CP2303" s="14"/>
      <c r="CQ2303" s="14"/>
      <c r="CR2303" s="14"/>
      <c r="CS2303" s="14"/>
      <c r="CT2303" s="14"/>
      <c r="CU2303" s="16"/>
      <c r="CV2303" s="14"/>
      <c r="CW2303" s="50"/>
      <c r="CX2303" s="17"/>
    </row>
    <row r="2304" spans="4:102" x14ac:dyDescent="0.25">
      <c r="D2304" s="11"/>
      <c r="E2304" s="11"/>
      <c r="F2304" s="11"/>
      <c r="G2304" s="11"/>
      <c r="H2304" s="11"/>
      <c r="I2304" s="11"/>
      <c r="J2304" s="11"/>
      <c r="K2304" s="11"/>
      <c r="L2304" s="11"/>
      <c r="M2304" s="11"/>
      <c r="N2304" s="11"/>
      <c r="O2304" s="11"/>
      <c r="P2304" s="43"/>
      <c r="Q2304" s="11"/>
      <c r="R2304" s="11"/>
      <c r="S2304" s="11"/>
      <c r="T2304" s="11"/>
      <c r="U2304" s="11"/>
      <c r="V2304" s="11"/>
      <c r="W2304" s="11"/>
      <c r="X2304" s="12"/>
      <c r="Y2304" s="12"/>
      <c r="Z2304" s="12"/>
      <c r="AA2304" s="44"/>
      <c r="AB2304" s="45"/>
      <c r="AC2304" s="12"/>
      <c r="AD2304" s="12"/>
      <c r="AE2304" s="12"/>
      <c r="AF2304" s="12"/>
      <c r="AG2304" s="44"/>
      <c r="AH2304" s="45"/>
      <c r="AI2304" s="12"/>
      <c r="AJ2304" s="12"/>
      <c r="AK2304" s="12"/>
      <c r="AL2304" s="12"/>
      <c r="AM2304" s="44"/>
      <c r="AN2304" s="45"/>
      <c r="AO2304" s="12"/>
      <c r="AP2304" s="12"/>
      <c r="AQ2304" s="12"/>
      <c r="AR2304" s="12"/>
      <c r="AS2304" s="44"/>
      <c r="AT2304" s="45"/>
      <c r="AU2304" s="12"/>
      <c r="AV2304" s="12"/>
      <c r="AW2304" s="12"/>
      <c r="AX2304" s="12"/>
      <c r="AY2304" s="44"/>
      <c r="AZ2304" s="45"/>
      <c r="BA2304" s="12"/>
      <c r="BB2304" s="12"/>
      <c r="BC2304" s="12"/>
      <c r="BD2304" s="12"/>
      <c r="BE2304" s="44"/>
      <c r="BF2304" s="45"/>
      <c r="BG2304" s="12"/>
      <c r="BH2304" s="12"/>
      <c r="BI2304" s="12"/>
      <c r="BJ2304" s="12"/>
      <c r="BK2304" s="44"/>
      <c r="BL2304" s="45"/>
      <c r="BM2304" s="12"/>
      <c r="BN2304" s="12"/>
      <c r="BO2304" s="12"/>
      <c r="BP2304" s="12"/>
      <c r="BQ2304" s="48"/>
      <c r="BR2304" s="49"/>
      <c r="BS2304" s="13"/>
      <c r="BT2304" s="12"/>
      <c r="BV2304" s="14"/>
      <c r="BW2304" s="50"/>
      <c r="BX2304" s="54"/>
      <c r="BY2304" s="14"/>
      <c r="BZ2304" s="14"/>
      <c r="CA2304" s="14"/>
      <c r="CB2304" s="14"/>
      <c r="CC2304" s="14"/>
      <c r="CD2304" s="14"/>
      <c r="CE2304" s="14"/>
      <c r="CF2304" s="15"/>
      <c r="CG2304" s="14"/>
      <c r="CH2304" s="14"/>
      <c r="CI2304" s="50"/>
      <c r="CJ2304" s="54"/>
      <c r="CK2304" s="14"/>
      <c r="CL2304" s="14"/>
      <c r="CM2304" s="14"/>
      <c r="CN2304" s="14"/>
      <c r="CO2304" s="14"/>
      <c r="CP2304" s="14"/>
      <c r="CQ2304" s="14"/>
      <c r="CR2304" s="14"/>
      <c r="CS2304" s="14"/>
      <c r="CT2304" s="14"/>
      <c r="CU2304" s="16"/>
      <c r="CV2304" s="14"/>
      <c r="CW2304" s="50"/>
      <c r="CX2304" s="17"/>
    </row>
    <row r="2305" spans="4:102" x14ac:dyDescent="0.25">
      <c r="D2305" s="11"/>
      <c r="E2305" s="11"/>
      <c r="F2305" s="11"/>
      <c r="G2305" s="11"/>
      <c r="H2305" s="11"/>
      <c r="I2305" s="11"/>
      <c r="J2305" s="11"/>
      <c r="K2305" s="11"/>
      <c r="L2305" s="11"/>
      <c r="M2305" s="11"/>
      <c r="N2305" s="11"/>
      <c r="O2305" s="11"/>
      <c r="P2305" s="43"/>
      <c r="Q2305" s="11"/>
      <c r="R2305" s="11"/>
      <c r="S2305" s="11"/>
      <c r="T2305" s="11"/>
      <c r="U2305" s="11"/>
      <c r="V2305" s="11"/>
      <c r="W2305" s="11"/>
      <c r="X2305" s="12"/>
      <c r="Y2305" s="12"/>
      <c r="Z2305" s="12"/>
      <c r="AA2305" s="44"/>
      <c r="AB2305" s="45"/>
      <c r="AC2305" s="12"/>
      <c r="AD2305" s="12"/>
      <c r="AE2305" s="12"/>
      <c r="AF2305" s="12"/>
      <c r="AG2305" s="44"/>
      <c r="AH2305" s="45"/>
      <c r="AI2305" s="12"/>
      <c r="AJ2305" s="12"/>
      <c r="AK2305" s="12"/>
      <c r="AL2305" s="12"/>
      <c r="AM2305" s="44"/>
      <c r="AN2305" s="45"/>
      <c r="AO2305" s="12"/>
      <c r="AP2305" s="12"/>
      <c r="AQ2305" s="12"/>
      <c r="AR2305" s="12"/>
      <c r="AS2305" s="44"/>
      <c r="AT2305" s="45"/>
      <c r="AU2305" s="12"/>
      <c r="AV2305" s="12"/>
      <c r="AW2305" s="12"/>
      <c r="AX2305" s="12"/>
      <c r="AY2305" s="44"/>
      <c r="AZ2305" s="45"/>
      <c r="BA2305" s="12"/>
      <c r="BB2305" s="12"/>
      <c r="BC2305" s="12"/>
      <c r="BD2305" s="12"/>
      <c r="BE2305" s="44"/>
      <c r="BF2305" s="45"/>
      <c r="BG2305" s="12"/>
      <c r="BH2305" s="12"/>
      <c r="BI2305" s="12"/>
      <c r="BJ2305" s="12"/>
      <c r="BK2305" s="44"/>
      <c r="BL2305" s="45"/>
      <c r="BM2305" s="12"/>
      <c r="BN2305" s="12"/>
      <c r="BO2305" s="12"/>
      <c r="BP2305" s="12"/>
      <c r="BQ2305" s="48"/>
      <c r="BR2305" s="49"/>
      <c r="BS2305" s="13"/>
      <c r="BT2305" s="12"/>
      <c r="BV2305" s="14"/>
      <c r="BW2305" s="50"/>
      <c r="BX2305" s="54"/>
      <c r="BY2305" s="14"/>
      <c r="BZ2305" s="14"/>
      <c r="CA2305" s="14"/>
      <c r="CB2305" s="14"/>
      <c r="CC2305" s="14"/>
      <c r="CD2305" s="14"/>
      <c r="CE2305" s="14"/>
      <c r="CF2305" s="15"/>
      <c r="CG2305" s="14"/>
      <c r="CH2305" s="14"/>
      <c r="CI2305" s="50"/>
      <c r="CJ2305" s="54"/>
      <c r="CK2305" s="14"/>
      <c r="CL2305" s="14"/>
      <c r="CM2305" s="14"/>
      <c r="CN2305" s="14"/>
      <c r="CO2305" s="14"/>
      <c r="CP2305" s="14"/>
      <c r="CQ2305" s="14"/>
      <c r="CR2305" s="14"/>
      <c r="CS2305" s="14"/>
      <c r="CT2305" s="14"/>
      <c r="CU2305" s="16"/>
      <c r="CV2305" s="14"/>
      <c r="CW2305" s="50"/>
      <c r="CX2305" s="17"/>
    </row>
    <row r="2306" spans="4:102" x14ac:dyDescent="0.25">
      <c r="D2306" s="11"/>
      <c r="E2306" s="11"/>
      <c r="F2306" s="11"/>
      <c r="G2306" s="11"/>
      <c r="H2306" s="11"/>
      <c r="I2306" s="11"/>
      <c r="J2306" s="11"/>
      <c r="K2306" s="11"/>
      <c r="L2306" s="11"/>
      <c r="M2306" s="11"/>
      <c r="N2306" s="11"/>
      <c r="O2306" s="11"/>
      <c r="P2306" s="43"/>
      <c r="Q2306" s="11"/>
      <c r="R2306" s="11"/>
      <c r="S2306" s="11"/>
      <c r="T2306" s="11"/>
      <c r="U2306" s="11"/>
      <c r="V2306" s="11"/>
      <c r="W2306" s="11"/>
      <c r="X2306" s="12"/>
      <c r="Y2306" s="12"/>
      <c r="Z2306" s="12"/>
      <c r="AA2306" s="44"/>
      <c r="AB2306" s="45"/>
      <c r="AC2306" s="12"/>
      <c r="AD2306" s="12"/>
      <c r="AE2306" s="12"/>
      <c r="AF2306" s="12"/>
      <c r="AG2306" s="44"/>
      <c r="AH2306" s="45"/>
      <c r="AI2306" s="12"/>
      <c r="AJ2306" s="12"/>
      <c r="AK2306" s="12"/>
      <c r="AL2306" s="12"/>
      <c r="AM2306" s="44"/>
      <c r="AN2306" s="45"/>
      <c r="AO2306" s="12"/>
      <c r="AP2306" s="12"/>
      <c r="AQ2306" s="12"/>
      <c r="AR2306" s="12"/>
      <c r="AS2306" s="44"/>
      <c r="AT2306" s="45"/>
      <c r="AU2306" s="12"/>
      <c r="AV2306" s="12"/>
      <c r="AW2306" s="12"/>
      <c r="AX2306" s="12"/>
      <c r="AY2306" s="44"/>
      <c r="AZ2306" s="45"/>
      <c r="BA2306" s="12"/>
      <c r="BB2306" s="12"/>
      <c r="BC2306" s="12"/>
      <c r="BD2306" s="12"/>
      <c r="BE2306" s="44"/>
      <c r="BF2306" s="45"/>
      <c r="BG2306" s="12"/>
      <c r="BH2306" s="12"/>
      <c r="BI2306" s="12"/>
      <c r="BJ2306" s="12"/>
      <c r="BK2306" s="44"/>
      <c r="BL2306" s="45"/>
      <c r="BM2306" s="12"/>
      <c r="BN2306" s="12"/>
      <c r="BO2306" s="12"/>
      <c r="BP2306" s="12"/>
      <c r="BQ2306" s="48"/>
      <c r="BR2306" s="49"/>
      <c r="BS2306" s="13"/>
      <c r="BT2306" s="12"/>
      <c r="BV2306" s="14"/>
      <c r="BW2306" s="50"/>
      <c r="BX2306" s="54"/>
      <c r="BY2306" s="14"/>
      <c r="BZ2306" s="14"/>
      <c r="CA2306" s="14"/>
      <c r="CB2306" s="14"/>
      <c r="CC2306" s="14"/>
      <c r="CD2306" s="14"/>
      <c r="CE2306" s="14"/>
      <c r="CF2306" s="15"/>
      <c r="CG2306" s="14"/>
      <c r="CH2306" s="14"/>
      <c r="CI2306" s="50"/>
      <c r="CJ2306" s="54"/>
      <c r="CK2306" s="14"/>
      <c r="CL2306" s="14"/>
      <c r="CM2306" s="14"/>
      <c r="CN2306" s="14"/>
      <c r="CO2306" s="14"/>
      <c r="CP2306" s="14"/>
      <c r="CQ2306" s="14"/>
      <c r="CR2306" s="14"/>
      <c r="CS2306" s="14"/>
      <c r="CT2306" s="14"/>
      <c r="CU2306" s="16"/>
      <c r="CV2306" s="14"/>
      <c r="CW2306" s="50"/>
      <c r="CX2306" s="17"/>
    </row>
    <row r="2307" spans="4:102" x14ac:dyDescent="0.25">
      <c r="D2307" s="11"/>
      <c r="E2307" s="11"/>
      <c r="F2307" s="11"/>
      <c r="G2307" s="11"/>
      <c r="H2307" s="11"/>
      <c r="I2307" s="11"/>
      <c r="J2307" s="11"/>
      <c r="K2307" s="11"/>
      <c r="L2307" s="11"/>
      <c r="M2307" s="11"/>
      <c r="N2307" s="11"/>
      <c r="O2307" s="11"/>
      <c r="P2307" s="43"/>
      <c r="Q2307" s="11"/>
      <c r="R2307" s="11"/>
      <c r="S2307" s="11"/>
      <c r="T2307" s="11"/>
      <c r="U2307" s="11"/>
      <c r="V2307" s="11"/>
      <c r="W2307" s="11"/>
      <c r="X2307" s="12"/>
      <c r="Y2307" s="12"/>
      <c r="Z2307" s="12"/>
      <c r="AA2307" s="44"/>
      <c r="AB2307" s="45"/>
      <c r="AC2307" s="12"/>
      <c r="AD2307" s="12"/>
      <c r="AE2307" s="12"/>
      <c r="AF2307" s="12"/>
      <c r="AG2307" s="44"/>
      <c r="AH2307" s="45"/>
      <c r="AI2307" s="12"/>
      <c r="AJ2307" s="12"/>
      <c r="AK2307" s="12"/>
      <c r="AL2307" s="12"/>
      <c r="AM2307" s="44"/>
      <c r="AN2307" s="45"/>
      <c r="AO2307" s="12"/>
      <c r="AP2307" s="12"/>
      <c r="AQ2307" s="12"/>
      <c r="AR2307" s="12"/>
      <c r="AS2307" s="44"/>
      <c r="AT2307" s="45"/>
      <c r="AU2307" s="12"/>
      <c r="AV2307" s="12"/>
      <c r="AW2307" s="12"/>
      <c r="AX2307" s="12"/>
      <c r="AY2307" s="44"/>
      <c r="AZ2307" s="45"/>
      <c r="BA2307" s="12"/>
      <c r="BB2307" s="12"/>
      <c r="BC2307" s="12"/>
      <c r="BD2307" s="12"/>
      <c r="BE2307" s="44"/>
      <c r="BF2307" s="45"/>
      <c r="BG2307" s="12"/>
      <c r="BH2307" s="12"/>
      <c r="BI2307" s="12"/>
      <c r="BJ2307" s="12"/>
      <c r="BK2307" s="44"/>
      <c r="BL2307" s="45"/>
      <c r="BM2307" s="12"/>
      <c r="BN2307" s="12"/>
      <c r="BO2307" s="12"/>
      <c r="BP2307" s="12"/>
      <c r="BQ2307" s="48"/>
      <c r="BR2307" s="49"/>
      <c r="BS2307" s="13"/>
      <c r="BT2307" s="12"/>
      <c r="BV2307" s="14"/>
      <c r="BW2307" s="50"/>
      <c r="BX2307" s="54"/>
      <c r="BY2307" s="14"/>
      <c r="BZ2307" s="14"/>
      <c r="CA2307" s="14"/>
      <c r="CB2307" s="14"/>
      <c r="CC2307" s="14"/>
      <c r="CD2307" s="14"/>
      <c r="CE2307" s="14"/>
      <c r="CF2307" s="15"/>
      <c r="CG2307" s="14"/>
      <c r="CH2307" s="14"/>
      <c r="CI2307" s="50"/>
      <c r="CJ2307" s="54"/>
      <c r="CK2307" s="14"/>
      <c r="CL2307" s="14"/>
      <c r="CM2307" s="14"/>
      <c r="CN2307" s="14"/>
      <c r="CO2307" s="14"/>
      <c r="CP2307" s="14"/>
      <c r="CQ2307" s="14"/>
      <c r="CR2307" s="14"/>
      <c r="CS2307" s="14"/>
      <c r="CT2307" s="14"/>
      <c r="CU2307" s="16"/>
      <c r="CV2307" s="14"/>
      <c r="CW2307" s="50"/>
      <c r="CX2307" s="17"/>
    </row>
    <row r="2308" spans="4:102" x14ac:dyDescent="0.25">
      <c r="D2308" s="11"/>
      <c r="E2308" s="11"/>
      <c r="F2308" s="11"/>
      <c r="G2308" s="11"/>
      <c r="H2308" s="11"/>
      <c r="I2308" s="11"/>
      <c r="J2308" s="11"/>
      <c r="K2308" s="11"/>
      <c r="L2308" s="11"/>
      <c r="M2308" s="11"/>
      <c r="N2308" s="11"/>
      <c r="O2308" s="11"/>
      <c r="P2308" s="43"/>
      <c r="Q2308" s="11"/>
      <c r="R2308" s="11"/>
      <c r="S2308" s="11"/>
      <c r="T2308" s="11"/>
      <c r="U2308" s="11"/>
      <c r="V2308" s="11"/>
      <c r="W2308" s="11"/>
      <c r="X2308" s="12"/>
      <c r="Y2308" s="12"/>
      <c r="Z2308" s="12"/>
      <c r="AA2308" s="44"/>
      <c r="AB2308" s="45"/>
      <c r="AC2308" s="12"/>
      <c r="AD2308" s="12"/>
      <c r="AE2308" s="12"/>
      <c r="AF2308" s="12"/>
      <c r="AG2308" s="44"/>
      <c r="AH2308" s="45"/>
      <c r="AI2308" s="12"/>
      <c r="AJ2308" s="12"/>
      <c r="AK2308" s="12"/>
      <c r="AL2308" s="12"/>
      <c r="AM2308" s="44"/>
      <c r="AN2308" s="45"/>
      <c r="AO2308" s="12"/>
      <c r="AP2308" s="12"/>
      <c r="AQ2308" s="12"/>
      <c r="AR2308" s="12"/>
      <c r="AS2308" s="44"/>
      <c r="AT2308" s="45"/>
      <c r="AU2308" s="12"/>
      <c r="AV2308" s="12"/>
      <c r="AW2308" s="12"/>
      <c r="AX2308" s="12"/>
      <c r="AY2308" s="44"/>
      <c r="AZ2308" s="45"/>
      <c r="BA2308" s="12"/>
      <c r="BB2308" s="12"/>
      <c r="BC2308" s="12"/>
      <c r="BD2308" s="12"/>
      <c r="BE2308" s="44"/>
      <c r="BF2308" s="45"/>
      <c r="BG2308" s="12"/>
      <c r="BH2308" s="12"/>
      <c r="BI2308" s="12"/>
      <c r="BJ2308" s="12"/>
      <c r="BK2308" s="44"/>
      <c r="BL2308" s="45"/>
      <c r="BM2308" s="12"/>
      <c r="BN2308" s="12"/>
      <c r="BO2308" s="12"/>
      <c r="BP2308" s="12"/>
      <c r="BQ2308" s="48"/>
      <c r="BR2308" s="49"/>
      <c r="BS2308" s="13"/>
      <c r="BT2308" s="12"/>
      <c r="BV2308" s="14"/>
      <c r="BW2308" s="50"/>
      <c r="BX2308" s="54"/>
      <c r="BY2308" s="14"/>
      <c r="BZ2308" s="14"/>
      <c r="CA2308" s="14"/>
      <c r="CB2308" s="14"/>
      <c r="CC2308" s="14"/>
      <c r="CD2308" s="14"/>
      <c r="CE2308" s="14"/>
      <c r="CF2308" s="15"/>
      <c r="CG2308" s="14"/>
      <c r="CH2308" s="14"/>
      <c r="CI2308" s="50"/>
      <c r="CJ2308" s="54"/>
      <c r="CK2308" s="14"/>
      <c r="CL2308" s="14"/>
      <c r="CM2308" s="14"/>
      <c r="CN2308" s="14"/>
      <c r="CO2308" s="14"/>
      <c r="CP2308" s="14"/>
      <c r="CQ2308" s="14"/>
      <c r="CR2308" s="14"/>
      <c r="CS2308" s="14"/>
      <c r="CT2308" s="14"/>
      <c r="CU2308" s="16"/>
      <c r="CV2308" s="14"/>
      <c r="CW2308" s="50"/>
      <c r="CX2308" s="17"/>
    </row>
    <row r="2309" spans="4:102" x14ac:dyDescent="0.25">
      <c r="D2309" s="11"/>
      <c r="E2309" s="11"/>
      <c r="F2309" s="11"/>
      <c r="G2309" s="11"/>
      <c r="H2309" s="11"/>
      <c r="I2309" s="11"/>
      <c r="J2309" s="11"/>
      <c r="K2309" s="11"/>
      <c r="L2309" s="11"/>
      <c r="M2309" s="11"/>
      <c r="N2309" s="11"/>
      <c r="O2309" s="11"/>
      <c r="P2309" s="43"/>
      <c r="Q2309" s="11"/>
      <c r="R2309" s="11"/>
      <c r="S2309" s="11"/>
      <c r="T2309" s="11"/>
      <c r="U2309" s="11"/>
      <c r="V2309" s="11"/>
      <c r="W2309" s="11"/>
      <c r="X2309" s="12"/>
      <c r="Y2309" s="12"/>
      <c r="Z2309" s="12"/>
      <c r="AA2309" s="44"/>
      <c r="AB2309" s="45"/>
      <c r="AC2309" s="12"/>
      <c r="AD2309" s="12"/>
      <c r="AE2309" s="12"/>
      <c r="AF2309" s="12"/>
      <c r="AG2309" s="44"/>
      <c r="AH2309" s="45"/>
      <c r="AI2309" s="12"/>
      <c r="AJ2309" s="12"/>
      <c r="AK2309" s="12"/>
      <c r="AL2309" s="12"/>
      <c r="AM2309" s="44"/>
      <c r="AN2309" s="45"/>
      <c r="AO2309" s="12"/>
      <c r="AP2309" s="12"/>
      <c r="AQ2309" s="12"/>
      <c r="AR2309" s="12"/>
      <c r="AS2309" s="44"/>
      <c r="AT2309" s="45"/>
      <c r="AU2309" s="12"/>
      <c r="AV2309" s="12"/>
      <c r="AW2309" s="12"/>
      <c r="AX2309" s="12"/>
      <c r="AY2309" s="44"/>
      <c r="AZ2309" s="45"/>
      <c r="BA2309" s="12"/>
      <c r="BB2309" s="12"/>
      <c r="BC2309" s="12"/>
      <c r="BD2309" s="12"/>
      <c r="BE2309" s="44"/>
      <c r="BF2309" s="45"/>
      <c r="BG2309" s="12"/>
      <c r="BH2309" s="12"/>
      <c r="BI2309" s="12"/>
      <c r="BJ2309" s="12"/>
      <c r="BK2309" s="44"/>
      <c r="BL2309" s="45"/>
      <c r="BM2309" s="12"/>
      <c r="BN2309" s="12"/>
      <c r="BO2309" s="12"/>
      <c r="BP2309" s="12"/>
      <c r="BQ2309" s="48"/>
      <c r="BR2309" s="49"/>
      <c r="BS2309" s="13"/>
      <c r="BT2309" s="12"/>
      <c r="BV2309" s="14"/>
      <c r="BW2309" s="50"/>
      <c r="BX2309" s="54"/>
      <c r="BY2309" s="14"/>
      <c r="BZ2309" s="14"/>
      <c r="CA2309" s="14"/>
      <c r="CB2309" s="14"/>
      <c r="CC2309" s="14"/>
      <c r="CD2309" s="14"/>
      <c r="CE2309" s="14"/>
      <c r="CF2309" s="15"/>
      <c r="CG2309" s="14"/>
      <c r="CH2309" s="14"/>
      <c r="CI2309" s="50"/>
      <c r="CJ2309" s="54"/>
      <c r="CK2309" s="14"/>
      <c r="CL2309" s="14"/>
      <c r="CM2309" s="14"/>
      <c r="CN2309" s="14"/>
      <c r="CO2309" s="14"/>
      <c r="CP2309" s="14"/>
      <c r="CQ2309" s="14"/>
      <c r="CR2309" s="14"/>
      <c r="CS2309" s="14"/>
      <c r="CT2309" s="14"/>
      <c r="CU2309" s="16"/>
      <c r="CV2309" s="14"/>
      <c r="CW2309" s="50"/>
      <c r="CX2309" s="17"/>
    </row>
    <row r="2310" spans="4:102" x14ac:dyDescent="0.25">
      <c r="D2310" s="11"/>
      <c r="E2310" s="11"/>
      <c r="F2310" s="11"/>
      <c r="G2310" s="11"/>
      <c r="H2310" s="11"/>
      <c r="I2310" s="11"/>
      <c r="J2310" s="11"/>
      <c r="K2310" s="11"/>
      <c r="L2310" s="11"/>
      <c r="M2310" s="11"/>
      <c r="N2310" s="11"/>
      <c r="O2310" s="11"/>
      <c r="P2310" s="43"/>
      <c r="Q2310" s="11"/>
      <c r="R2310" s="11"/>
      <c r="S2310" s="11"/>
      <c r="T2310" s="11"/>
      <c r="U2310" s="11"/>
      <c r="V2310" s="11"/>
      <c r="W2310" s="11"/>
      <c r="X2310" s="12"/>
      <c r="Y2310" s="12"/>
      <c r="Z2310" s="12"/>
      <c r="AA2310" s="44"/>
      <c r="AB2310" s="45"/>
      <c r="AC2310" s="12"/>
      <c r="AD2310" s="12"/>
      <c r="AE2310" s="12"/>
      <c r="AF2310" s="12"/>
      <c r="AG2310" s="44"/>
      <c r="AH2310" s="45"/>
      <c r="AI2310" s="12"/>
      <c r="AJ2310" s="12"/>
      <c r="AK2310" s="12"/>
      <c r="AL2310" s="12"/>
      <c r="AM2310" s="44"/>
      <c r="AN2310" s="45"/>
      <c r="AO2310" s="12"/>
      <c r="AP2310" s="12"/>
      <c r="AQ2310" s="12"/>
      <c r="AR2310" s="12"/>
      <c r="AS2310" s="44"/>
      <c r="AT2310" s="45"/>
      <c r="AU2310" s="12"/>
      <c r="AV2310" s="12"/>
      <c r="AW2310" s="12"/>
      <c r="AX2310" s="12"/>
      <c r="AY2310" s="44"/>
      <c r="AZ2310" s="45"/>
      <c r="BA2310" s="12"/>
      <c r="BB2310" s="12"/>
      <c r="BC2310" s="12"/>
      <c r="BD2310" s="12"/>
      <c r="BE2310" s="44"/>
      <c r="BF2310" s="45"/>
      <c r="BG2310" s="12"/>
      <c r="BH2310" s="12"/>
      <c r="BI2310" s="12"/>
      <c r="BJ2310" s="12"/>
      <c r="BK2310" s="44"/>
      <c r="BL2310" s="45"/>
      <c r="BM2310" s="12"/>
      <c r="BN2310" s="12"/>
      <c r="BO2310" s="12"/>
      <c r="BP2310" s="12"/>
      <c r="BQ2310" s="48"/>
      <c r="BR2310" s="49"/>
      <c r="BS2310" s="13"/>
      <c r="BT2310" s="12"/>
      <c r="BV2310" s="14"/>
      <c r="BW2310" s="50"/>
      <c r="BX2310" s="54"/>
      <c r="BY2310" s="14"/>
      <c r="BZ2310" s="14"/>
      <c r="CA2310" s="14"/>
      <c r="CB2310" s="14"/>
      <c r="CC2310" s="14"/>
      <c r="CD2310" s="14"/>
      <c r="CE2310" s="14"/>
      <c r="CF2310" s="15"/>
      <c r="CG2310" s="14"/>
      <c r="CH2310" s="14"/>
      <c r="CI2310" s="50"/>
      <c r="CJ2310" s="54"/>
      <c r="CK2310" s="14"/>
      <c r="CL2310" s="14"/>
      <c r="CM2310" s="14"/>
      <c r="CN2310" s="14"/>
      <c r="CO2310" s="14"/>
      <c r="CP2310" s="14"/>
      <c r="CQ2310" s="14"/>
      <c r="CR2310" s="14"/>
      <c r="CS2310" s="14"/>
      <c r="CT2310" s="14"/>
      <c r="CU2310" s="16"/>
      <c r="CV2310" s="14"/>
      <c r="CW2310" s="50"/>
      <c r="CX2310" s="17"/>
    </row>
    <row r="2311" spans="4:102" x14ac:dyDescent="0.25">
      <c r="D2311" s="11"/>
      <c r="E2311" s="11"/>
      <c r="F2311" s="11"/>
      <c r="G2311" s="11"/>
      <c r="H2311" s="11"/>
      <c r="I2311" s="11"/>
      <c r="J2311" s="11"/>
      <c r="K2311" s="11"/>
      <c r="L2311" s="11"/>
      <c r="M2311" s="11"/>
      <c r="N2311" s="11"/>
      <c r="O2311" s="11"/>
      <c r="P2311" s="43"/>
      <c r="Q2311" s="11"/>
      <c r="R2311" s="11"/>
      <c r="S2311" s="11"/>
      <c r="T2311" s="11"/>
      <c r="U2311" s="11"/>
      <c r="V2311" s="11"/>
      <c r="W2311" s="11"/>
      <c r="X2311" s="12"/>
      <c r="Y2311" s="12"/>
      <c r="Z2311" s="12"/>
      <c r="AA2311" s="44"/>
      <c r="AB2311" s="45"/>
      <c r="AC2311" s="12"/>
      <c r="AD2311" s="12"/>
      <c r="AE2311" s="12"/>
      <c r="AF2311" s="12"/>
      <c r="AG2311" s="44"/>
      <c r="AH2311" s="45"/>
      <c r="AI2311" s="12"/>
      <c r="AJ2311" s="12"/>
      <c r="AK2311" s="12"/>
      <c r="AL2311" s="12"/>
      <c r="AM2311" s="44"/>
      <c r="AN2311" s="45"/>
      <c r="AO2311" s="12"/>
      <c r="AP2311" s="12"/>
      <c r="AQ2311" s="12"/>
      <c r="AR2311" s="12"/>
      <c r="AS2311" s="44"/>
      <c r="AT2311" s="45"/>
      <c r="AU2311" s="12"/>
      <c r="AV2311" s="12"/>
      <c r="AW2311" s="12"/>
      <c r="AX2311" s="12"/>
      <c r="AY2311" s="44"/>
      <c r="AZ2311" s="45"/>
      <c r="BA2311" s="12"/>
      <c r="BB2311" s="12"/>
      <c r="BC2311" s="12"/>
      <c r="BD2311" s="12"/>
      <c r="BE2311" s="44"/>
      <c r="BF2311" s="45"/>
      <c r="BG2311" s="12"/>
      <c r="BH2311" s="12"/>
      <c r="BI2311" s="12"/>
      <c r="BJ2311" s="12"/>
      <c r="BK2311" s="44"/>
      <c r="BL2311" s="45"/>
      <c r="BM2311" s="12"/>
      <c r="BN2311" s="12"/>
      <c r="BO2311" s="12"/>
      <c r="BP2311" s="12"/>
      <c r="BQ2311" s="48"/>
      <c r="BR2311" s="49"/>
      <c r="BS2311" s="13"/>
      <c r="BT2311" s="12"/>
      <c r="BV2311" s="14"/>
      <c r="BW2311" s="50"/>
      <c r="BX2311" s="54"/>
      <c r="BY2311" s="14"/>
      <c r="BZ2311" s="14"/>
      <c r="CA2311" s="14"/>
      <c r="CB2311" s="14"/>
      <c r="CC2311" s="14"/>
      <c r="CD2311" s="14"/>
      <c r="CE2311" s="14"/>
      <c r="CF2311" s="15"/>
      <c r="CG2311" s="14"/>
      <c r="CH2311" s="14"/>
      <c r="CI2311" s="50"/>
      <c r="CJ2311" s="54"/>
      <c r="CK2311" s="14"/>
      <c r="CL2311" s="14"/>
      <c r="CM2311" s="14"/>
      <c r="CN2311" s="14"/>
      <c r="CO2311" s="14"/>
      <c r="CP2311" s="14"/>
      <c r="CQ2311" s="14"/>
      <c r="CR2311" s="14"/>
      <c r="CS2311" s="14"/>
      <c r="CT2311" s="14"/>
      <c r="CU2311" s="16"/>
      <c r="CV2311" s="14"/>
      <c r="CW2311" s="50"/>
      <c r="CX2311" s="17"/>
    </row>
    <row r="2312" spans="4:102" x14ac:dyDescent="0.25">
      <c r="D2312" s="11"/>
      <c r="E2312" s="11"/>
      <c r="F2312" s="11"/>
      <c r="G2312" s="11"/>
      <c r="H2312" s="11"/>
      <c r="I2312" s="11"/>
      <c r="J2312" s="11"/>
      <c r="K2312" s="11"/>
      <c r="L2312" s="11"/>
      <c r="M2312" s="11"/>
      <c r="N2312" s="11"/>
      <c r="O2312" s="11"/>
      <c r="P2312" s="43"/>
      <c r="Q2312" s="11"/>
      <c r="R2312" s="11"/>
      <c r="S2312" s="11"/>
      <c r="T2312" s="11"/>
      <c r="U2312" s="11"/>
      <c r="V2312" s="11"/>
      <c r="W2312" s="11"/>
      <c r="X2312" s="12"/>
      <c r="Y2312" s="12"/>
      <c r="Z2312" s="12"/>
      <c r="AA2312" s="44"/>
      <c r="AB2312" s="45"/>
      <c r="AC2312" s="12"/>
      <c r="AD2312" s="12"/>
      <c r="AE2312" s="12"/>
      <c r="AF2312" s="12"/>
      <c r="AG2312" s="44"/>
      <c r="AH2312" s="45"/>
      <c r="AI2312" s="12"/>
      <c r="AJ2312" s="12"/>
      <c r="AK2312" s="12"/>
      <c r="AL2312" s="12"/>
      <c r="AM2312" s="44"/>
      <c r="AN2312" s="45"/>
      <c r="AO2312" s="12"/>
      <c r="AP2312" s="12"/>
      <c r="AQ2312" s="12"/>
      <c r="AR2312" s="12"/>
      <c r="AS2312" s="44"/>
      <c r="AT2312" s="45"/>
      <c r="AU2312" s="12"/>
      <c r="AV2312" s="12"/>
      <c r="AW2312" s="12"/>
      <c r="AX2312" s="12"/>
      <c r="AY2312" s="44"/>
      <c r="AZ2312" s="45"/>
      <c r="BA2312" s="12"/>
      <c r="BB2312" s="12"/>
      <c r="BC2312" s="12"/>
      <c r="BD2312" s="12"/>
      <c r="BE2312" s="44"/>
      <c r="BF2312" s="45"/>
      <c r="BG2312" s="12"/>
      <c r="BH2312" s="12"/>
      <c r="BI2312" s="12"/>
      <c r="BJ2312" s="12"/>
      <c r="BK2312" s="44"/>
      <c r="BL2312" s="45"/>
      <c r="BM2312" s="12"/>
      <c r="BN2312" s="12"/>
      <c r="BO2312" s="12"/>
      <c r="BP2312" s="12"/>
      <c r="BQ2312" s="48"/>
      <c r="BR2312" s="49"/>
      <c r="BS2312" s="13"/>
      <c r="BT2312" s="12"/>
      <c r="BV2312" s="14"/>
      <c r="BW2312" s="50"/>
      <c r="BX2312" s="54"/>
      <c r="BY2312" s="14"/>
      <c r="BZ2312" s="14"/>
      <c r="CA2312" s="14"/>
      <c r="CB2312" s="14"/>
      <c r="CC2312" s="14"/>
      <c r="CD2312" s="14"/>
      <c r="CE2312" s="14"/>
      <c r="CF2312" s="15"/>
      <c r="CG2312" s="14"/>
      <c r="CH2312" s="14"/>
      <c r="CI2312" s="50"/>
      <c r="CJ2312" s="54"/>
      <c r="CK2312" s="14"/>
      <c r="CL2312" s="14"/>
      <c r="CM2312" s="14"/>
      <c r="CN2312" s="14"/>
      <c r="CO2312" s="14"/>
      <c r="CP2312" s="14"/>
      <c r="CQ2312" s="14"/>
      <c r="CR2312" s="14"/>
      <c r="CS2312" s="14"/>
      <c r="CT2312" s="14"/>
      <c r="CU2312" s="16"/>
      <c r="CV2312" s="14"/>
      <c r="CW2312" s="50"/>
      <c r="CX2312" s="17"/>
    </row>
    <row r="2313" spans="4:102" x14ac:dyDescent="0.25">
      <c r="D2313" s="11"/>
      <c r="E2313" s="11"/>
      <c r="F2313" s="11"/>
      <c r="G2313" s="11"/>
      <c r="H2313" s="11"/>
      <c r="I2313" s="11"/>
      <c r="J2313" s="11"/>
      <c r="K2313" s="11"/>
      <c r="L2313" s="11"/>
      <c r="M2313" s="11"/>
      <c r="N2313" s="11"/>
      <c r="O2313" s="11"/>
      <c r="P2313" s="43"/>
      <c r="Q2313" s="11"/>
      <c r="R2313" s="11"/>
      <c r="S2313" s="11"/>
      <c r="T2313" s="11"/>
      <c r="U2313" s="11"/>
      <c r="V2313" s="11"/>
      <c r="W2313" s="11"/>
      <c r="X2313" s="12"/>
      <c r="Y2313" s="12"/>
      <c r="Z2313" s="12"/>
      <c r="AA2313" s="44"/>
      <c r="AB2313" s="45"/>
      <c r="AC2313" s="12"/>
      <c r="AD2313" s="12"/>
      <c r="AE2313" s="12"/>
      <c r="AF2313" s="12"/>
      <c r="AG2313" s="44"/>
      <c r="AH2313" s="45"/>
      <c r="AI2313" s="12"/>
      <c r="AJ2313" s="12"/>
      <c r="AK2313" s="12"/>
      <c r="AL2313" s="12"/>
      <c r="AM2313" s="44"/>
      <c r="AN2313" s="45"/>
      <c r="AO2313" s="12"/>
      <c r="AP2313" s="12"/>
      <c r="AQ2313" s="12"/>
      <c r="AR2313" s="12"/>
      <c r="AS2313" s="44"/>
      <c r="AT2313" s="45"/>
      <c r="AU2313" s="12"/>
      <c r="AV2313" s="12"/>
      <c r="AW2313" s="12"/>
      <c r="AX2313" s="12"/>
      <c r="AY2313" s="44"/>
      <c r="AZ2313" s="45"/>
      <c r="BA2313" s="12"/>
      <c r="BB2313" s="12"/>
      <c r="BC2313" s="12"/>
      <c r="BD2313" s="12"/>
      <c r="BE2313" s="44"/>
      <c r="BF2313" s="45"/>
      <c r="BG2313" s="12"/>
      <c r="BH2313" s="12"/>
      <c r="BI2313" s="12"/>
      <c r="BJ2313" s="12"/>
      <c r="BK2313" s="44"/>
      <c r="BL2313" s="45"/>
      <c r="BM2313" s="12"/>
      <c r="BN2313" s="12"/>
      <c r="BO2313" s="12"/>
      <c r="BP2313" s="12"/>
      <c r="BQ2313" s="48"/>
      <c r="BR2313" s="49"/>
      <c r="BS2313" s="13"/>
      <c r="BT2313" s="12"/>
      <c r="BV2313" s="14"/>
      <c r="BW2313" s="50"/>
      <c r="BX2313" s="54"/>
      <c r="BY2313" s="14"/>
      <c r="BZ2313" s="14"/>
      <c r="CA2313" s="14"/>
      <c r="CB2313" s="14"/>
      <c r="CC2313" s="14"/>
      <c r="CD2313" s="14"/>
      <c r="CE2313" s="14"/>
      <c r="CF2313" s="15"/>
      <c r="CG2313" s="14"/>
      <c r="CH2313" s="14"/>
      <c r="CI2313" s="50"/>
      <c r="CJ2313" s="54"/>
      <c r="CK2313" s="14"/>
      <c r="CL2313" s="14"/>
      <c r="CM2313" s="14"/>
      <c r="CN2313" s="14"/>
      <c r="CO2313" s="14"/>
      <c r="CP2313" s="14"/>
      <c r="CQ2313" s="14"/>
      <c r="CR2313" s="14"/>
      <c r="CS2313" s="14"/>
      <c r="CT2313" s="14"/>
      <c r="CU2313" s="16"/>
      <c r="CV2313" s="14"/>
      <c r="CW2313" s="50"/>
      <c r="CX2313" s="17"/>
    </row>
    <row r="2314" spans="4:102" x14ac:dyDescent="0.25">
      <c r="D2314" s="11"/>
      <c r="E2314" s="11"/>
      <c r="F2314" s="11"/>
      <c r="G2314" s="11"/>
      <c r="H2314" s="11"/>
      <c r="I2314" s="11"/>
      <c r="J2314" s="11"/>
      <c r="K2314" s="11"/>
      <c r="L2314" s="11"/>
      <c r="M2314" s="11"/>
      <c r="N2314" s="11"/>
      <c r="O2314" s="11"/>
      <c r="P2314" s="43"/>
      <c r="Q2314" s="11"/>
      <c r="R2314" s="11"/>
      <c r="S2314" s="11"/>
      <c r="T2314" s="11"/>
      <c r="U2314" s="11"/>
      <c r="V2314" s="11"/>
      <c r="W2314" s="11"/>
      <c r="X2314" s="12"/>
      <c r="Y2314" s="12"/>
      <c r="Z2314" s="12"/>
      <c r="AA2314" s="44"/>
      <c r="AB2314" s="45"/>
      <c r="AC2314" s="12"/>
      <c r="AD2314" s="12"/>
      <c r="AE2314" s="12"/>
      <c r="AF2314" s="12"/>
      <c r="AG2314" s="44"/>
      <c r="AH2314" s="45"/>
      <c r="AI2314" s="12"/>
      <c r="AJ2314" s="12"/>
      <c r="AK2314" s="12"/>
      <c r="AL2314" s="12"/>
      <c r="AM2314" s="44"/>
      <c r="AN2314" s="45"/>
      <c r="AO2314" s="12"/>
      <c r="AP2314" s="12"/>
      <c r="AQ2314" s="12"/>
      <c r="AR2314" s="12"/>
      <c r="AS2314" s="44"/>
      <c r="AT2314" s="45"/>
      <c r="AU2314" s="12"/>
      <c r="AV2314" s="12"/>
      <c r="AW2314" s="12"/>
      <c r="AX2314" s="12"/>
      <c r="AY2314" s="44"/>
      <c r="AZ2314" s="45"/>
      <c r="BA2314" s="12"/>
      <c r="BB2314" s="12"/>
      <c r="BC2314" s="12"/>
      <c r="BD2314" s="12"/>
      <c r="BE2314" s="44"/>
      <c r="BF2314" s="45"/>
      <c r="BG2314" s="12"/>
      <c r="BH2314" s="12"/>
      <c r="BI2314" s="12"/>
      <c r="BJ2314" s="12"/>
      <c r="BK2314" s="44"/>
      <c r="BL2314" s="45"/>
      <c r="BM2314" s="12"/>
      <c r="BN2314" s="12"/>
      <c r="BO2314" s="12"/>
      <c r="BP2314" s="12"/>
      <c r="BQ2314" s="48"/>
      <c r="BR2314" s="49"/>
      <c r="BS2314" s="13"/>
      <c r="BT2314" s="12"/>
      <c r="BV2314" s="14"/>
      <c r="BW2314" s="50"/>
      <c r="BX2314" s="54"/>
      <c r="BY2314" s="14"/>
      <c r="BZ2314" s="14"/>
      <c r="CA2314" s="14"/>
      <c r="CB2314" s="14"/>
      <c r="CC2314" s="14"/>
      <c r="CD2314" s="14"/>
      <c r="CE2314" s="14"/>
      <c r="CF2314" s="15"/>
      <c r="CG2314" s="14"/>
      <c r="CH2314" s="14"/>
      <c r="CI2314" s="50"/>
      <c r="CJ2314" s="54"/>
      <c r="CK2314" s="14"/>
      <c r="CL2314" s="14"/>
      <c r="CM2314" s="14"/>
      <c r="CN2314" s="14"/>
      <c r="CO2314" s="14"/>
      <c r="CP2314" s="14"/>
      <c r="CQ2314" s="14"/>
      <c r="CR2314" s="14"/>
      <c r="CS2314" s="14"/>
      <c r="CT2314" s="14"/>
      <c r="CU2314" s="16"/>
      <c r="CV2314" s="14"/>
      <c r="CW2314" s="50"/>
      <c r="CX2314" s="17"/>
    </row>
    <row r="2315" spans="4:102" x14ac:dyDescent="0.25">
      <c r="D2315" s="11"/>
      <c r="E2315" s="11"/>
      <c r="F2315" s="11"/>
      <c r="G2315" s="11"/>
      <c r="H2315" s="11"/>
      <c r="I2315" s="11"/>
      <c r="J2315" s="11"/>
      <c r="K2315" s="11"/>
      <c r="L2315" s="11"/>
      <c r="M2315" s="11"/>
      <c r="N2315" s="11"/>
      <c r="O2315" s="11"/>
      <c r="P2315" s="43"/>
      <c r="Q2315" s="11"/>
      <c r="R2315" s="11"/>
      <c r="S2315" s="11"/>
      <c r="T2315" s="11"/>
      <c r="U2315" s="11"/>
      <c r="V2315" s="11"/>
      <c r="W2315" s="11"/>
      <c r="X2315" s="12"/>
      <c r="Y2315" s="12"/>
      <c r="Z2315" s="12"/>
      <c r="AA2315" s="44"/>
      <c r="AB2315" s="45"/>
      <c r="AC2315" s="12"/>
      <c r="AD2315" s="12"/>
      <c r="AE2315" s="12"/>
      <c r="AF2315" s="12"/>
      <c r="AG2315" s="44"/>
      <c r="AH2315" s="45"/>
      <c r="AI2315" s="12"/>
      <c r="AJ2315" s="12"/>
      <c r="AK2315" s="12"/>
      <c r="AL2315" s="12"/>
      <c r="AM2315" s="44"/>
      <c r="AN2315" s="45"/>
      <c r="AO2315" s="12"/>
      <c r="AP2315" s="12"/>
      <c r="AQ2315" s="12"/>
      <c r="AR2315" s="12"/>
      <c r="AS2315" s="44"/>
      <c r="AT2315" s="45"/>
      <c r="AU2315" s="12"/>
      <c r="AV2315" s="12"/>
      <c r="AW2315" s="12"/>
      <c r="AX2315" s="12"/>
      <c r="AY2315" s="44"/>
      <c r="AZ2315" s="45"/>
      <c r="BA2315" s="12"/>
      <c r="BB2315" s="12"/>
      <c r="BC2315" s="12"/>
      <c r="BD2315" s="12"/>
      <c r="BE2315" s="44"/>
      <c r="BF2315" s="45"/>
      <c r="BG2315" s="12"/>
      <c r="BH2315" s="12"/>
      <c r="BI2315" s="12"/>
      <c r="BJ2315" s="12"/>
      <c r="BK2315" s="44"/>
      <c r="BL2315" s="45"/>
      <c r="BM2315" s="12"/>
      <c r="BN2315" s="12"/>
      <c r="BO2315" s="12"/>
      <c r="BP2315" s="12"/>
      <c r="BQ2315" s="48"/>
      <c r="BR2315" s="49"/>
      <c r="BS2315" s="13"/>
      <c r="BT2315" s="12"/>
      <c r="BV2315" s="14"/>
      <c r="BW2315" s="50"/>
      <c r="BX2315" s="54"/>
      <c r="BY2315" s="14"/>
      <c r="BZ2315" s="14"/>
      <c r="CA2315" s="14"/>
      <c r="CB2315" s="14"/>
      <c r="CC2315" s="14"/>
      <c r="CD2315" s="14"/>
      <c r="CE2315" s="14"/>
      <c r="CF2315" s="15"/>
      <c r="CG2315" s="14"/>
      <c r="CH2315" s="14"/>
      <c r="CI2315" s="50"/>
      <c r="CJ2315" s="54"/>
      <c r="CK2315" s="14"/>
      <c r="CL2315" s="14"/>
      <c r="CM2315" s="14"/>
      <c r="CN2315" s="14"/>
      <c r="CO2315" s="14"/>
      <c r="CP2315" s="14"/>
      <c r="CQ2315" s="14"/>
      <c r="CR2315" s="14"/>
      <c r="CS2315" s="14"/>
      <c r="CT2315" s="14"/>
      <c r="CU2315" s="16"/>
      <c r="CV2315" s="14"/>
      <c r="CW2315" s="50"/>
      <c r="CX2315" s="17"/>
    </row>
    <row r="2316" spans="4:102" x14ac:dyDescent="0.25">
      <c r="D2316" s="11"/>
      <c r="E2316" s="11"/>
      <c r="F2316" s="11"/>
      <c r="G2316" s="11"/>
      <c r="H2316" s="11"/>
      <c r="I2316" s="11"/>
      <c r="J2316" s="11"/>
      <c r="K2316" s="11"/>
      <c r="L2316" s="11"/>
      <c r="M2316" s="11"/>
      <c r="N2316" s="11"/>
      <c r="O2316" s="11"/>
      <c r="P2316" s="43"/>
      <c r="Q2316" s="11"/>
      <c r="R2316" s="11"/>
      <c r="S2316" s="11"/>
      <c r="T2316" s="11"/>
      <c r="U2316" s="11"/>
      <c r="V2316" s="11"/>
      <c r="W2316" s="11"/>
      <c r="X2316" s="12"/>
      <c r="Y2316" s="12"/>
      <c r="Z2316" s="12"/>
      <c r="AA2316" s="44"/>
      <c r="AB2316" s="45"/>
      <c r="AC2316" s="12"/>
      <c r="AD2316" s="12"/>
      <c r="AE2316" s="12"/>
      <c r="AF2316" s="12"/>
      <c r="AG2316" s="44"/>
      <c r="AH2316" s="45"/>
      <c r="AI2316" s="12"/>
      <c r="AJ2316" s="12"/>
      <c r="AK2316" s="12"/>
      <c r="AL2316" s="12"/>
      <c r="AM2316" s="44"/>
      <c r="AN2316" s="45"/>
      <c r="AO2316" s="12"/>
      <c r="AP2316" s="12"/>
      <c r="AQ2316" s="12"/>
      <c r="AR2316" s="12"/>
      <c r="AS2316" s="44"/>
      <c r="AT2316" s="45"/>
      <c r="AU2316" s="12"/>
      <c r="AV2316" s="12"/>
      <c r="AW2316" s="12"/>
      <c r="AX2316" s="12"/>
      <c r="AY2316" s="44"/>
      <c r="AZ2316" s="45"/>
      <c r="BA2316" s="12"/>
      <c r="BB2316" s="12"/>
      <c r="BC2316" s="12"/>
      <c r="BD2316" s="12"/>
      <c r="BE2316" s="44"/>
      <c r="BF2316" s="45"/>
      <c r="BG2316" s="12"/>
      <c r="BH2316" s="12"/>
      <c r="BI2316" s="12"/>
      <c r="BJ2316" s="12"/>
      <c r="BK2316" s="44"/>
      <c r="BL2316" s="45"/>
      <c r="BM2316" s="12"/>
      <c r="BN2316" s="12"/>
      <c r="BO2316" s="12"/>
      <c r="BP2316" s="12"/>
      <c r="BQ2316" s="48"/>
      <c r="BR2316" s="49"/>
      <c r="BS2316" s="13"/>
      <c r="BT2316" s="12"/>
      <c r="BV2316" s="14"/>
      <c r="BW2316" s="50"/>
      <c r="BX2316" s="54"/>
      <c r="BY2316" s="14"/>
      <c r="BZ2316" s="14"/>
      <c r="CA2316" s="14"/>
      <c r="CB2316" s="14"/>
      <c r="CC2316" s="14"/>
      <c r="CD2316" s="14"/>
      <c r="CE2316" s="14"/>
      <c r="CF2316" s="15"/>
      <c r="CG2316" s="14"/>
      <c r="CH2316" s="14"/>
      <c r="CI2316" s="50"/>
      <c r="CJ2316" s="54"/>
      <c r="CK2316" s="14"/>
      <c r="CL2316" s="14"/>
      <c r="CM2316" s="14"/>
      <c r="CN2316" s="14"/>
      <c r="CO2316" s="14"/>
      <c r="CP2316" s="14"/>
      <c r="CQ2316" s="14"/>
      <c r="CR2316" s="14"/>
      <c r="CS2316" s="14"/>
      <c r="CT2316" s="14"/>
      <c r="CU2316" s="16"/>
      <c r="CV2316" s="14"/>
      <c r="CW2316" s="50"/>
      <c r="CX2316" s="17"/>
    </row>
    <row r="2317" spans="4:102" x14ac:dyDescent="0.25">
      <c r="D2317" s="11"/>
      <c r="E2317" s="11"/>
      <c r="F2317" s="11"/>
      <c r="G2317" s="11"/>
      <c r="H2317" s="11"/>
      <c r="I2317" s="11"/>
      <c r="J2317" s="11"/>
      <c r="K2317" s="11"/>
      <c r="L2317" s="11"/>
      <c r="M2317" s="11"/>
      <c r="N2317" s="11"/>
      <c r="O2317" s="11"/>
      <c r="P2317" s="43"/>
      <c r="Q2317" s="11"/>
      <c r="R2317" s="11"/>
      <c r="S2317" s="11"/>
      <c r="T2317" s="11"/>
      <c r="U2317" s="11"/>
      <c r="V2317" s="11"/>
      <c r="W2317" s="11"/>
      <c r="X2317" s="12"/>
      <c r="Y2317" s="12"/>
      <c r="Z2317" s="12"/>
      <c r="AA2317" s="44"/>
      <c r="AB2317" s="45"/>
      <c r="AC2317" s="12"/>
      <c r="AD2317" s="12"/>
      <c r="AE2317" s="12"/>
      <c r="AF2317" s="12"/>
      <c r="AG2317" s="44"/>
      <c r="AH2317" s="45"/>
      <c r="AI2317" s="12"/>
      <c r="AJ2317" s="12"/>
      <c r="AK2317" s="12"/>
      <c r="AL2317" s="12"/>
      <c r="AM2317" s="44"/>
      <c r="AN2317" s="45"/>
      <c r="AO2317" s="12"/>
      <c r="AP2317" s="12"/>
      <c r="AQ2317" s="12"/>
      <c r="AR2317" s="12"/>
      <c r="AS2317" s="44"/>
      <c r="AT2317" s="45"/>
      <c r="AU2317" s="12"/>
      <c r="AV2317" s="12"/>
      <c r="AW2317" s="12"/>
      <c r="AX2317" s="12"/>
      <c r="AY2317" s="44"/>
      <c r="AZ2317" s="45"/>
      <c r="BA2317" s="12"/>
      <c r="BB2317" s="12"/>
      <c r="BC2317" s="12"/>
      <c r="BD2317" s="12"/>
      <c r="BE2317" s="44"/>
      <c r="BF2317" s="45"/>
      <c r="BG2317" s="12"/>
      <c r="BH2317" s="12"/>
      <c r="BI2317" s="12"/>
      <c r="BJ2317" s="12"/>
      <c r="BK2317" s="44"/>
      <c r="BL2317" s="45"/>
      <c r="BM2317" s="12"/>
      <c r="BN2317" s="12"/>
      <c r="BO2317" s="12"/>
      <c r="BP2317" s="12"/>
      <c r="BQ2317" s="48"/>
      <c r="BR2317" s="49"/>
      <c r="BS2317" s="13"/>
      <c r="BT2317" s="12"/>
      <c r="BV2317" s="14"/>
      <c r="BW2317" s="50"/>
      <c r="BX2317" s="54"/>
      <c r="BY2317" s="14"/>
      <c r="BZ2317" s="14"/>
      <c r="CA2317" s="14"/>
      <c r="CB2317" s="14"/>
      <c r="CC2317" s="14"/>
      <c r="CD2317" s="14"/>
      <c r="CE2317" s="14"/>
      <c r="CF2317" s="15"/>
      <c r="CG2317" s="14"/>
      <c r="CH2317" s="14"/>
      <c r="CI2317" s="50"/>
      <c r="CJ2317" s="54"/>
      <c r="CK2317" s="14"/>
      <c r="CL2317" s="14"/>
      <c r="CM2317" s="14"/>
      <c r="CN2317" s="14"/>
      <c r="CO2317" s="14"/>
      <c r="CP2317" s="14"/>
      <c r="CQ2317" s="14"/>
      <c r="CR2317" s="14"/>
      <c r="CS2317" s="14"/>
      <c r="CT2317" s="14"/>
      <c r="CU2317" s="16"/>
      <c r="CV2317" s="14"/>
      <c r="CW2317" s="50"/>
      <c r="CX2317" s="17"/>
    </row>
    <row r="2318" spans="4:102" x14ac:dyDescent="0.25">
      <c r="D2318" s="11"/>
      <c r="E2318" s="11"/>
      <c r="F2318" s="11"/>
      <c r="G2318" s="11"/>
      <c r="H2318" s="11"/>
      <c r="I2318" s="11"/>
      <c r="J2318" s="11"/>
      <c r="K2318" s="11"/>
      <c r="L2318" s="11"/>
      <c r="M2318" s="11"/>
      <c r="N2318" s="11"/>
      <c r="O2318" s="11"/>
      <c r="P2318" s="43"/>
      <c r="Q2318" s="11"/>
      <c r="R2318" s="11"/>
      <c r="S2318" s="11"/>
      <c r="T2318" s="11"/>
      <c r="U2318" s="11"/>
      <c r="V2318" s="11"/>
      <c r="W2318" s="11"/>
      <c r="X2318" s="12"/>
      <c r="Y2318" s="12"/>
      <c r="Z2318" s="12"/>
      <c r="AA2318" s="44"/>
      <c r="AB2318" s="45"/>
      <c r="AC2318" s="12"/>
      <c r="AD2318" s="12"/>
      <c r="AE2318" s="12"/>
      <c r="AF2318" s="12"/>
      <c r="AG2318" s="44"/>
      <c r="AH2318" s="45"/>
      <c r="AI2318" s="12"/>
      <c r="AJ2318" s="12"/>
      <c r="AK2318" s="12"/>
      <c r="AL2318" s="12"/>
      <c r="AM2318" s="44"/>
      <c r="AN2318" s="45"/>
      <c r="AO2318" s="12"/>
      <c r="AP2318" s="12"/>
      <c r="AQ2318" s="12"/>
      <c r="AR2318" s="12"/>
      <c r="AS2318" s="44"/>
      <c r="AT2318" s="45"/>
      <c r="AU2318" s="12"/>
      <c r="AV2318" s="12"/>
      <c r="AW2318" s="12"/>
      <c r="AX2318" s="12"/>
      <c r="AY2318" s="44"/>
      <c r="AZ2318" s="45"/>
      <c r="BA2318" s="12"/>
      <c r="BB2318" s="12"/>
      <c r="BC2318" s="12"/>
      <c r="BD2318" s="12"/>
      <c r="BE2318" s="44"/>
      <c r="BF2318" s="45"/>
      <c r="BG2318" s="12"/>
      <c r="BH2318" s="12"/>
      <c r="BI2318" s="12"/>
      <c r="BJ2318" s="12"/>
      <c r="BK2318" s="44"/>
      <c r="BL2318" s="45"/>
      <c r="BM2318" s="12"/>
      <c r="BN2318" s="12"/>
      <c r="BO2318" s="12"/>
      <c r="BP2318" s="12"/>
      <c r="BQ2318" s="48"/>
      <c r="BR2318" s="49"/>
      <c r="BS2318" s="13"/>
      <c r="BT2318" s="12"/>
      <c r="BV2318" s="14"/>
      <c r="BW2318" s="50"/>
      <c r="BX2318" s="54"/>
      <c r="BY2318" s="14"/>
      <c r="BZ2318" s="14"/>
      <c r="CA2318" s="14"/>
      <c r="CB2318" s="14"/>
      <c r="CC2318" s="14"/>
      <c r="CD2318" s="14"/>
      <c r="CE2318" s="14"/>
      <c r="CF2318" s="15"/>
      <c r="CG2318" s="14"/>
      <c r="CH2318" s="14"/>
      <c r="CI2318" s="50"/>
      <c r="CJ2318" s="54"/>
      <c r="CK2318" s="14"/>
      <c r="CL2318" s="14"/>
      <c r="CM2318" s="14"/>
      <c r="CN2318" s="14"/>
      <c r="CO2318" s="14"/>
      <c r="CP2318" s="14"/>
      <c r="CQ2318" s="14"/>
      <c r="CR2318" s="14"/>
      <c r="CS2318" s="14"/>
      <c r="CT2318" s="14"/>
      <c r="CU2318" s="16"/>
      <c r="CV2318" s="14"/>
      <c r="CW2318" s="50"/>
      <c r="CX2318" s="17"/>
    </row>
    <row r="2319" spans="4:102" x14ac:dyDescent="0.25">
      <c r="D2319" s="11"/>
      <c r="E2319" s="11"/>
      <c r="F2319" s="11"/>
      <c r="G2319" s="11"/>
      <c r="H2319" s="11"/>
      <c r="I2319" s="11"/>
      <c r="J2319" s="11"/>
      <c r="K2319" s="11"/>
      <c r="L2319" s="11"/>
      <c r="M2319" s="11"/>
      <c r="N2319" s="11"/>
      <c r="O2319" s="11"/>
      <c r="P2319" s="43"/>
      <c r="Q2319" s="11"/>
      <c r="R2319" s="11"/>
      <c r="S2319" s="11"/>
      <c r="T2319" s="11"/>
      <c r="U2319" s="11"/>
      <c r="V2319" s="11"/>
      <c r="W2319" s="11"/>
      <c r="X2319" s="12"/>
      <c r="Y2319" s="12"/>
      <c r="Z2319" s="12"/>
      <c r="AA2319" s="44"/>
      <c r="AB2319" s="45"/>
      <c r="AC2319" s="12"/>
      <c r="AD2319" s="12"/>
      <c r="AE2319" s="12"/>
      <c r="AF2319" s="12"/>
      <c r="AG2319" s="44"/>
      <c r="AH2319" s="45"/>
      <c r="AI2319" s="12"/>
      <c r="AJ2319" s="12"/>
      <c r="AK2319" s="12"/>
      <c r="AL2319" s="12"/>
      <c r="AM2319" s="44"/>
      <c r="AN2319" s="45"/>
      <c r="AO2319" s="12"/>
      <c r="AP2319" s="12"/>
      <c r="AQ2319" s="12"/>
      <c r="AR2319" s="12"/>
      <c r="AS2319" s="44"/>
      <c r="AT2319" s="45"/>
      <c r="AU2319" s="12"/>
      <c r="AV2319" s="12"/>
      <c r="AW2319" s="12"/>
      <c r="AX2319" s="12"/>
      <c r="AY2319" s="44"/>
      <c r="AZ2319" s="45"/>
      <c r="BA2319" s="12"/>
      <c r="BB2319" s="12"/>
      <c r="BC2319" s="12"/>
      <c r="BD2319" s="12"/>
      <c r="BE2319" s="44"/>
      <c r="BF2319" s="45"/>
      <c r="BG2319" s="12"/>
      <c r="BH2319" s="12"/>
      <c r="BI2319" s="12"/>
      <c r="BJ2319" s="12"/>
      <c r="BK2319" s="44"/>
      <c r="BL2319" s="45"/>
      <c r="BM2319" s="12"/>
      <c r="BN2319" s="12"/>
      <c r="BO2319" s="12"/>
      <c r="BP2319" s="12"/>
      <c r="BQ2319" s="48"/>
      <c r="BR2319" s="49"/>
      <c r="BS2319" s="13"/>
      <c r="BT2319" s="12"/>
      <c r="BV2319" s="14"/>
      <c r="BW2319" s="50"/>
      <c r="BX2319" s="54"/>
      <c r="BY2319" s="14"/>
      <c r="BZ2319" s="14"/>
      <c r="CA2319" s="14"/>
      <c r="CB2319" s="14"/>
      <c r="CC2319" s="14"/>
      <c r="CD2319" s="14"/>
      <c r="CE2319" s="14"/>
      <c r="CF2319" s="15"/>
      <c r="CG2319" s="14"/>
      <c r="CH2319" s="14"/>
      <c r="CI2319" s="50"/>
      <c r="CJ2319" s="54"/>
      <c r="CK2319" s="14"/>
      <c r="CL2319" s="14"/>
      <c r="CM2319" s="14"/>
      <c r="CN2319" s="14"/>
      <c r="CO2319" s="14"/>
      <c r="CP2319" s="14"/>
      <c r="CQ2319" s="14"/>
      <c r="CR2319" s="14"/>
      <c r="CS2319" s="14"/>
      <c r="CT2319" s="14"/>
      <c r="CU2319" s="16"/>
      <c r="CV2319" s="14"/>
      <c r="CW2319" s="50"/>
      <c r="CX2319" s="17"/>
    </row>
    <row r="2320" spans="4:102" x14ac:dyDescent="0.25">
      <c r="D2320" s="11"/>
      <c r="E2320" s="11"/>
      <c r="F2320" s="11"/>
      <c r="G2320" s="11"/>
      <c r="H2320" s="11"/>
      <c r="I2320" s="11"/>
      <c r="J2320" s="11"/>
      <c r="K2320" s="11"/>
      <c r="L2320" s="11"/>
      <c r="M2320" s="11"/>
      <c r="N2320" s="11"/>
      <c r="O2320" s="11"/>
      <c r="P2320" s="43"/>
      <c r="Q2320" s="11"/>
      <c r="R2320" s="11"/>
      <c r="S2320" s="11"/>
      <c r="T2320" s="11"/>
      <c r="U2320" s="11"/>
      <c r="V2320" s="11"/>
      <c r="W2320" s="11"/>
      <c r="X2320" s="12"/>
      <c r="Y2320" s="12"/>
      <c r="Z2320" s="12"/>
      <c r="AA2320" s="44"/>
      <c r="AB2320" s="45"/>
      <c r="AC2320" s="12"/>
      <c r="AD2320" s="12"/>
      <c r="AE2320" s="12"/>
      <c r="AF2320" s="12"/>
      <c r="AG2320" s="44"/>
      <c r="AH2320" s="45"/>
      <c r="AI2320" s="12"/>
      <c r="AJ2320" s="12"/>
      <c r="AK2320" s="12"/>
      <c r="AL2320" s="12"/>
      <c r="AM2320" s="44"/>
      <c r="AN2320" s="45"/>
      <c r="AO2320" s="12"/>
      <c r="AP2320" s="12"/>
      <c r="AQ2320" s="12"/>
      <c r="AR2320" s="12"/>
      <c r="AS2320" s="44"/>
      <c r="AT2320" s="45"/>
      <c r="AU2320" s="12"/>
      <c r="AV2320" s="12"/>
      <c r="AW2320" s="12"/>
      <c r="AX2320" s="12"/>
      <c r="AY2320" s="44"/>
      <c r="AZ2320" s="45"/>
      <c r="BA2320" s="12"/>
      <c r="BB2320" s="12"/>
      <c r="BC2320" s="12"/>
      <c r="BD2320" s="12"/>
      <c r="BE2320" s="44"/>
      <c r="BF2320" s="45"/>
      <c r="BG2320" s="12"/>
      <c r="BH2320" s="12"/>
      <c r="BI2320" s="12"/>
      <c r="BJ2320" s="12"/>
      <c r="BK2320" s="44"/>
      <c r="BL2320" s="45"/>
      <c r="BM2320" s="12"/>
      <c r="BN2320" s="12"/>
      <c r="BO2320" s="12"/>
      <c r="BP2320" s="12"/>
      <c r="BQ2320" s="48"/>
      <c r="BR2320" s="49"/>
      <c r="BS2320" s="13"/>
      <c r="BT2320" s="12"/>
      <c r="BV2320" s="14"/>
      <c r="BW2320" s="50"/>
      <c r="BX2320" s="54"/>
      <c r="BY2320" s="14"/>
      <c r="BZ2320" s="14"/>
      <c r="CA2320" s="14"/>
      <c r="CB2320" s="14"/>
      <c r="CC2320" s="14"/>
      <c r="CD2320" s="14"/>
      <c r="CE2320" s="14"/>
      <c r="CF2320" s="15"/>
      <c r="CG2320" s="14"/>
      <c r="CH2320" s="14"/>
      <c r="CI2320" s="50"/>
      <c r="CJ2320" s="54"/>
      <c r="CK2320" s="14"/>
      <c r="CL2320" s="14"/>
      <c r="CM2320" s="14"/>
      <c r="CN2320" s="14"/>
      <c r="CO2320" s="14"/>
      <c r="CP2320" s="14"/>
      <c r="CQ2320" s="14"/>
      <c r="CR2320" s="14"/>
      <c r="CS2320" s="14"/>
      <c r="CT2320" s="14"/>
      <c r="CU2320" s="16"/>
      <c r="CV2320" s="14"/>
      <c r="CW2320" s="50"/>
      <c r="CX2320" s="17"/>
    </row>
    <row r="2321" spans="4:102" x14ac:dyDescent="0.25">
      <c r="D2321" s="11"/>
      <c r="E2321" s="11"/>
      <c r="F2321" s="11"/>
      <c r="G2321" s="11"/>
      <c r="H2321" s="11"/>
      <c r="I2321" s="11"/>
      <c r="J2321" s="11"/>
      <c r="K2321" s="11"/>
      <c r="L2321" s="11"/>
      <c r="M2321" s="11"/>
      <c r="N2321" s="11"/>
      <c r="O2321" s="11"/>
      <c r="P2321" s="43"/>
      <c r="Q2321" s="11"/>
      <c r="R2321" s="11"/>
      <c r="S2321" s="11"/>
      <c r="T2321" s="11"/>
      <c r="U2321" s="11"/>
      <c r="V2321" s="11"/>
      <c r="W2321" s="11"/>
      <c r="X2321" s="12"/>
      <c r="Y2321" s="12"/>
      <c r="Z2321" s="12"/>
      <c r="AA2321" s="44"/>
      <c r="AB2321" s="45"/>
      <c r="AC2321" s="12"/>
      <c r="AD2321" s="12"/>
      <c r="AE2321" s="12"/>
      <c r="AF2321" s="12"/>
      <c r="AG2321" s="44"/>
      <c r="AH2321" s="45"/>
      <c r="AI2321" s="12"/>
      <c r="AJ2321" s="12"/>
      <c r="AK2321" s="12"/>
      <c r="AL2321" s="12"/>
      <c r="AM2321" s="44"/>
      <c r="AN2321" s="45"/>
      <c r="AO2321" s="12"/>
      <c r="AP2321" s="12"/>
      <c r="AQ2321" s="12"/>
      <c r="AR2321" s="12"/>
      <c r="AS2321" s="44"/>
      <c r="AT2321" s="45"/>
      <c r="AU2321" s="12"/>
      <c r="AV2321" s="12"/>
      <c r="AW2321" s="12"/>
      <c r="AX2321" s="12"/>
      <c r="AY2321" s="44"/>
      <c r="AZ2321" s="45"/>
      <c r="BA2321" s="12"/>
      <c r="BB2321" s="12"/>
      <c r="BC2321" s="12"/>
      <c r="BD2321" s="12"/>
      <c r="BE2321" s="44"/>
      <c r="BF2321" s="45"/>
      <c r="BG2321" s="12"/>
      <c r="BH2321" s="12"/>
      <c r="BI2321" s="12"/>
      <c r="BJ2321" s="12"/>
      <c r="BK2321" s="44"/>
      <c r="BL2321" s="45"/>
      <c r="BM2321" s="12"/>
      <c r="BN2321" s="12"/>
      <c r="BO2321" s="12"/>
      <c r="BP2321" s="12"/>
      <c r="BQ2321" s="48"/>
      <c r="BR2321" s="49"/>
      <c r="BS2321" s="13"/>
      <c r="BT2321" s="12"/>
      <c r="BV2321" s="14"/>
      <c r="BW2321" s="50"/>
      <c r="BX2321" s="54"/>
      <c r="BY2321" s="14"/>
      <c r="BZ2321" s="14"/>
      <c r="CA2321" s="14"/>
      <c r="CB2321" s="14"/>
      <c r="CC2321" s="14"/>
      <c r="CD2321" s="14"/>
      <c r="CE2321" s="14"/>
      <c r="CF2321" s="15"/>
      <c r="CG2321" s="14"/>
      <c r="CH2321" s="14"/>
      <c r="CI2321" s="50"/>
      <c r="CJ2321" s="54"/>
      <c r="CK2321" s="14"/>
      <c r="CL2321" s="14"/>
      <c r="CM2321" s="14"/>
      <c r="CN2321" s="14"/>
      <c r="CO2321" s="14"/>
      <c r="CP2321" s="14"/>
      <c r="CQ2321" s="14"/>
      <c r="CR2321" s="14"/>
      <c r="CS2321" s="14"/>
      <c r="CT2321" s="14"/>
      <c r="CU2321" s="16"/>
      <c r="CV2321" s="14"/>
      <c r="CW2321" s="50"/>
      <c r="CX2321" s="17"/>
    </row>
    <row r="2322" spans="4:102" x14ac:dyDescent="0.25">
      <c r="D2322" s="11"/>
      <c r="E2322" s="11"/>
      <c r="F2322" s="11"/>
      <c r="G2322" s="11"/>
      <c r="H2322" s="11"/>
      <c r="I2322" s="11"/>
      <c r="J2322" s="11"/>
      <c r="K2322" s="11"/>
      <c r="L2322" s="11"/>
      <c r="M2322" s="11"/>
      <c r="N2322" s="11"/>
      <c r="O2322" s="11"/>
      <c r="P2322" s="43"/>
      <c r="Q2322" s="11"/>
      <c r="R2322" s="11"/>
      <c r="S2322" s="11"/>
      <c r="T2322" s="11"/>
      <c r="U2322" s="11"/>
      <c r="V2322" s="11"/>
      <c r="W2322" s="11"/>
      <c r="X2322" s="12"/>
      <c r="Y2322" s="12"/>
      <c r="Z2322" s="12"/>
      <c r="AA2322" s="44"/>
      <c r="AB2322" s="45"/>
      <c r="AC2322" s="12"/>
      <c r="AD2322" s="12"/>
      <c r="AE2322" s="12"/>
      <c r="AF2322" s="12"/>
      <c r="AG2322" s="44"/>
      <c r="AH2322" s="45"/>
      <c r="AI2322" s="12"/>
      <c r="AJ2322" s="12"/>
      <c r="AK2322" s="12"/>
      <c r="AL2322" s="12"/>
      <c r="AM2322" s="44"/>
      <c r="AN2322" s="45"/>
      <c r="AO2322" s="12"/>
      <c r="AP2322" s="12"/>
      <c r="AQ2322" s="12"/>
      <c r="AR2322" s="12"/>
      <c r="AS2322" s="44"/>
      <c r="AT2322" s="45"/>
      <c r="AU2322" s="12"/>
      <c r="AV2322" s="12"/>
      <c r="AW2322" s="12"/>
      <c r="AX2322" s="12"/>
      <c r="AY2322" s="44"/>
      <c r="AZ2322" s="45"/>
      <c r="BA2322" s="12"/>
      <c r="BB2322" s="12"/>
      <c r="BC2322" s="12"/>
      <c r="BD2322" s="12"/>
      <c r="BE2322" s="44"/>
      <c r="BF2322" s="45"/>
      <c r="BG2322" s="12"/>
      <c r="BH2322" s="12"/>
      <c r="BI2322" s="12"/>
      <c r="BJ2322" s="12"/>
      <c r="BK2322" s="44"/>
      <c r="BL2322" s="45"/>
      <c r="BM2322" s="12"/>
      <c r="BN2322" s="12"/>
      <c r="BO2322" s="12"/>
      <c r="BP2322" s="12"/>
      <c r="BQ2322" s="48"/>
      <c r="BR2322" s="49"/>
      <c r="BS2322" s="13"/>
      <c r="BT2322" s="12"/>
      <c r="BV2322" s="14"/>
      <c r="BW2322" s="50"/>
      <c r="BX2322" s="54"/>
      <c r="BY2322" s="14"/>
      <c r="BZ2322" s="14"/>
      <c r="CA2322" s="14"/>
      <c r="CB2322" s="14"/>
      <c r="CC2322" s="14"/>
      <c r="CD2322" s="14"/>
      <c r="CE2322" s="14"/>
      <c r="CF2322" s="15"/>
      <c r="CG2322" s="14"/>
      <c r="CH2322" s="14"/>
      <c r="CI2322" s="50"/>
      <c r="CJ2322" s="54"/>
      <c r="CK2322" s="14"/>
      <c r="CL2322" s="14"/>
      <c r="CM2322" s="14"/>
      <c r="CN2322" s="14"/>
      <c r="CO2322" s="14"/>
      <c r="CP2322" s="14"/>
      <c r="CQ2322" s="14"/>
      <c r="CR2322" s="14"/>
      <c r="CS2322" s="14"/>
      <c r="CT2322" s="14"/>
      <c r="CU2322" s="16"/>
      <c r="CV2322" s="14"/>
      <c r="CW2322" s="50"/>
      <c r="CX2322" s="17"/>
    </row>
    <row r="2323" spans="4:102" x14ac:dyDescent="0.25">
      <c r="D2323" s="11"/>
      <c r="E2323" s="11"/>
      <c r="F2323" s="11"/>
      <c r="G2323" s="11"/>
      <c r="H2323" s="11"/>
      <c r="I2323" s="11"/>
      <c r="J2323" s="11"/>
      <c r="K2323" s="11"/>
      <c r="L2323" s="11"/>
      <c r="M2323" s="11"/>
      <c r="N2323" s="11"/>
      <c r="O2323" s="11"/>
      <c r="P2323" s="43"/>
      <c r="Q2323" s="11"/>
      <c r="R2323" s="11"/>
      <c r="S2323" s="11"/>
      <c r="T2323" s="11"/>
      <c r="U2323" s="11"/>
      <c r="V2323" s="11"/>
      <c r="W2323" s="11"/>
      <c r="X2323" s="12"/>
      <c r="Y2323" s="12"/>
      <c r="Z2323" s="12"/>
      <c r="AA2323" s="44"/>
      <c r="AB2323" s="45"/>
      <c r="AC2323" s="12"/>
      <c r="AD2323" s="12"/>
      <c r="AE2323" s="12"/>
      <c r="AF2323" s="12"/>
      <c r="AG2323" s="44"/>
      <c r="AH2323" s="45"/>
      <c r="AI2323" s="12"/>
      <c r="AJ2323" s="12"/>
      <c r="AK2323" s="12"/>
      <c r="AL2323" s="12"/>
      <c r="AM2323" s="44"/>
      <c r="AN2323" s="45"/>
      <c r="AO2323" s="12"/>
      <c r="AP2323" s="12"/>
      <c r="AQ2323" s="12"/>
      <c r="AR2323" s="12"/>
      <c r="AS2323" s="44"/>
      <c r="AT2323" s="45"/>
      <c r="AU2323" s="12"/>
      <c r="AV2323" s="12"/>
      <c r="AW2323" s="12"/>
      <c r="AX2323" s="12"/>
      <c r="AY2323" s="44"/>
      <c r="AZ2323" s="45"/>
      <c r="BA2323" s="12"/>
      <c r="BB2323" s="12"/>
      <c r="BC2323" s="12"/>
      <c r="BD2323" s="12"/>
      <c r="BE2323" s="44"/>
      <c r="BF2323" s="45"/>
      <c r="BG2323" s="12"/>
      <c r="BH2323" s="12"/>
      <c r="BI2323" s="12"/>
      <c r="BJ2323" s="12"/>
      <c r="BK2323" s="44"/>
      <c r="BL2323" s="45"/>
      <c r="BM2323" s="12"/>
      <c r="BN2323" s="12"/>
      <c r="BO2323" s="12"/>
      <c r="BP2323" s="12"/>
      <c r="BQ2323" s="48"/>
      <c r="BR2323" s="49"/>
      <c r="BS2323" s="13"/>
      <c r="BT2323" s="12"/>
      <c r="BV2323" s="14"/>
      <c r="BW2323" s="50"/>
      <c r="BX2323" s="54"/>
      <c r="BY2323" s="14"/>
      <c r="BZ2323" s="14"/>
      <c r="CA2323" s="14"/>
      <c r="CB2323" s="14"/>
      <c r="CC2323" s="14"/>
      <c r="CD2323" s="14"/>
      <c r="CE2323" s="14"/>
      <c r="CF2323" s="15"/>
      <c r="CG2323" s="14"/>
      <c r="CH2323" s="14"/>
      <c r="CI2323" s="50"/>
      <c r="CJ2323" s="54"/>
      <c r="CK2323" s="14"/>
      <c r="CL2323" s="14"/>
      <c r="CM2323" s="14"/>
      <c r="CN2323" s="14"/>
      <c r="CO2323" s="14"/>
      <c r="CP2323" s="14"/>
      <c r="CQ2323" s="14"/>
      <c r="CR2323" s="14"/>
      <c r="CS2323" s="14"/>
      <c r="CT2323" s="14"/>
      <c r="CU2323" s="16"/>
      <c r="CV2323" s="14"/>
      <c r="CW2323" s="50"/>
      <c r="CX2323" s="17"/>
    </row>
    <row r="2324" spans="4:102" x14ac:dyDescent="0.25">
      <c r="D2324" s="11"/>
      <c r="E2324" s="11"/>
      <c r="F2324" s="11"/>
      <c r="G2324" s="11"/>
      <c r="H2324" s="11"/>
      <c r="I2324" s="11"/>
      <c r="J2324" s="11"/>
      <c r="K2324" s="11"/>
      <c r="L2324" s="11"/>
      <c r="M2324" s="11"/>
      <c r="N2324" s="11"/>
      <c r="O2324" s="11"/>
      <c r="P2324" s="43"/>
      <c r="Q2324" s="11"/>
      <c r="R2324" s="11"/>
      <c r="S2324" s="11"/>
      <c r="T2324" s="11"/>
      <c r="U2324" s="11"/>
      <c r="V2324" s="11"/>
      <c r="W2324" s="11"/>
      <c r="X2324" s="12"/>
      <c r="Y2324" s="12"/>
      <c r="Z2324" s="12"/>
      <c r="AA2324" s="44"/>
      <c r="AB2324" s="45"/>
      <c r="AC2324" s="12"/>
      <c r="AD2324" s="12"/>
      <c r="AE2324" s="12"/>
      <c r="AF2324" s="12"/>
      <c r="AG2324" s="44"/>
      <c r="AH2324" s="45"/>
      <c r="AI2324" s="12"/>
      <c r="AJ2324" s="12"/>
      <c r="AK2324" s="12"/>
      <c r="AL2324" s="12"/>
      <c r="AM2324" s="44"/>
      <c r="AN2324" s="45"/>
      <c r="AO2324" s="12"/>
      <c r="AP2324" s="12"/>
      <c r="AQ2324" s="12"/>
      <c r="AR2324" s="12"/>
      <c r="AS2324" s="44"/>
      <c r="AT2324" s="45"/>
      <c r="AU2324" s="12"/>
      <c r="AV2324" s="12"/>
      <c r="AW2324" s="12"/>
      <c r="AX2324" s="12"/>
      <c r="AY2324" s="44"/>
      <c r="AZ2324" s="45"/>
      <c r="BA2324" s="12"/>
      <c r="BB2324" s="12"/>
      <c r="BC2324" s="12"/>
      <c r="BD2324" s="12"/>
      <c r="BE2324" s="44"/>
      <c r="BF2324" s="45"/>
      <c r="BG2324" s="12"/>
      <c r="BH2324" s="12"/>
      <c r="BI2324" s="12"/>
      <c r="BJ2324" s="12"/>
      <c r="BK2324" s="44"/>
      <c r="BL2324" s="45"/>
      <c r="BM2324" s="12"/>
      <c r="BN2324" s="12"/>
      <c r="BO2324" s="12"/>
      <c r="BP2324" s="12"/>
      <c r="BQ2324" s="48"/>
      <c r="BR2324" s="49"/>
      <c r="BS2324" s="13"/>
      <c r="BT2324" s="12"/>
      <c r="BV2324" s="14"/>
      <c r="BW2324" s="50"/>
      <c r="BX2324" s="54"/>
      <c r="BY2324" s="14"/>
      <c r="BZ2324" s="14"/>
      <c r="CA2324" s="14"/>
      <c r="CB2324" s="14"/>
      <c r="CC2324" s="14"/>
      <c r="CD2324" s="14"/>
      <c r="CE2324" s="14"/>
      <c r="CF2324" s="15"/>
      <c r="CG2324" s="14"/>
      <c r="CH2324" s="14"/>
      <c r="CI2324" s="50"/>
      <c r="CJ2324" s="54"/>
      <c r="CK2324" s="14"/>
      <c r="CL2324" s="14"/>
      <c r="CM2324" s="14"/>
      <c r="CN2324" s="14"/>
      <c r="CO2324" s="14"/>
      <c r="CP2324" s="14"/>
      <c r="CQ2324" s="14"/>
      <c r="CR2324" s="14"/>
      <c r="CS2324" s="14"/>
      <c r="CT2324" s="14"/>
      <c r="CU2324" s="16"/>
      <c r="CV2324" s="14"/>
      <c r="CW2324" s="50"/>
      <c r="CX2324" s="17"/>
    </row>
    <row r="2325" spans="4:102" x14ac:dyDescent="0.25">
      <c r="D2325" s="11"/>
      <c r="E2325" s="11"/>
      <c r="F2325" s="11"/>
      <c r="G2325" s="11"/>
      <c r="H2325" s="11"/>
      <c r="I2325" s="11"/>
      <c r="J2325" s="11"/>
      <c r="K2325" s="11"/>
      <c r="L2325" s="11"/>
      <c r="M2325" s="11"/>
      <c r="N2325" s="11"/>
      <c r="O2325" s="11"/>
      <c r="P2325" s="43"/>
      <c r="Q2325" s="11"/>
      <c r="R2325" s="11"/>
      <c r="S2325" s="11"/>
      <c r="T2325" s="11"/>
      <c r="U2325" s="11"/>
      <c r="V2325" s="11"/>
      <c r="W2325" s="11"/>
      <c r="X2325" s="12"/>
      <c r="Y2325" s="12"/>
      <c r="Z2325" s="12"/>
      <c r="AA2325" s="44"/>
      <c r="AB2325" s="45"/>
      <c r="AC2325" s="12"/>
      <c r="AD2325" s="12"/>
      <c r="AE2325" s="12"/>
      <c r="AF2325" s="12"/>
      <c r="AG2325" s="44"/>
      <c r="AH2325" s="45"/>
      <c r="AI2325" s="12"/>
      <c r="AJ2325" s="12"/>
      <c r="AK2325" s="12"/>
      <c r="AL2325" s="12"/>
      <c r="AM2325" s="44"/>
      <c r="AN2325" s="45"/>
      <c r="AO2325" s="12"/>
      <c r="AP2325" s="12"/>
      <c r="AQ2325" s="12"/>
      <c r="AR2325" s="12"/>
      <c r="AS2325" s="44"/>
      <c r="AT2325" s="45"/>
      <c r="AU2325" s="12"/>
      <c r="AV2325" s="12"/>
      <c r="AW2325" s="12"/>
      <c r="AX2325" s="12"/>
      <c r="AY2325" s="44"/>
      <c r="AZ2325" s="45"/>
      <c r="BA2325" s="12"/>
      <c r="BB2325" s="12"/>
      <c r="BC2325" s="12"/>
      <c r="BD2325" s="12"/>
      <c r="BE2325" s="44"/>
      <c r="BF2325" s="45"/>
      <c r="BG2325" s="12"/>
      <c r="BH2325" s="12"/>
      <c r="BI2325" s="12"/>
      <c r="BJ2325" s="12"/>
      <c r="BK2325" s="44"/>
      <c r="BL2325" s="45"/>
      <c r="BM2325" s="12"/>
      <c r="BN2325" s="12"/>
      <c r="BO2325" s="12"/>
      <c r="BP2325" s="12"/>
      <c r="BQ2325" s="48"/>
      <c r="BR2325" s="49"/>
      <c r="BS2325" s="13"/>
      <c r="BT2325" s="12"/>
      <c r="BV2325" s="14"/>
      <c r="BW2325" s="50"/>
      <c r="BX2325" s="54"/>
      <c r="BY2325" s="14"/>
      <c r="BZ2325" s="14"/>
      <c r="CA2325" s="14"/>
      <c r="CB2325" s="14"/>
      <c r="CC2325" s="14"/>
      <c r="CD2325" s="14"/>
      <c r="CE2325" s="14"/>
      <c r="CF2325" s="15"/>
      <c r="CG2325" s="14"/>
      <c r="CH2325" s="14"/>
      <c r="CI2325" s="50"/>
      <c r="CJ2325" s="54"/>
      <c r="CK2325" s="14"/>
      <c r="CL2325" s="14"/>
      <c r="CM2325" s="14"/>
      <c r="CN2325" s="14"/>
      <c r="CO2325" s="14"/>
      <c r="CP2325" s="14"/>
      <c r="CQ2325" s="14"/>
      <c r="CR2325" s="14"/>
      <c r="CS2325" s="14"/>
      <c r="CT2325" s="14"/>
      <c r="CU2325" s="16"/>
      <c r="CV2325" s="14"/>
      <c r="CW2325" s="50"/>
      <c r="CX2325" s="17"/>
    </row>
    <row r="2326" spans="4:102" x14ac:dyDescent="0.25">
      <c r="D2326" s="11"/>
      <c r="E2326" s="11"/>
      <c r="F2326" s="11"/>
      <c r="G2326" s="11"/>
      <c r="H2326" s="11"/>
      <c r="I2326" s="11"/>
      <c r="J2326" s="11"/>
      <c r="K2326" s="11"/>
      <c r="L2326" s="11"/>
      <c r="M2326" s="11"/>
      <c r="N2326" s="11"/>
      <c r="O2326" s="11"/>
      <c r="P2326" s="43"/>
      <c r="Q2326" s="11"/>
      <c r="R2326" s="11"/>
      <c r="S2326" s="11"/>
      <c r="T2326" s="11"/>
      <c r="U2326" s="11"/>
      <c r="V2326" s="11"/>
      <c r="W2326" s="11"/>
      <c r="X2326" s="12"/>
      <c r="Y2326" s="12"/>
      <c r="Z2326" s="12"/>
      <c r="AA2326" s="44"/>
      <c r="AB2326" s="45"/>
      <c r="AC2326" s="12"/>
      <c r="AD2326" s="12"/>
      <c r="AE2326" s="12"/>
      <c r="AF2326" s="12"/>
      <c r="AG2326" s="44"/>
      <c r="AH2326" s="45"/>
      <c r="AI2326" s="12"/>
      <c r="AJ2326" s="12"/>
      <c r="AK2326" s="12"/>
      <c r="AL2326" s="12"/>
      <c r="AM2326" s="44"/>
      <c r="AN2326" s="45"/>
      <c r="AO2326" s="12"/>
      <c r="AP2326" s="12"/>
      <c r="AQ2326" s="12"/>
      <c r="AR2326" s="12"/>
      <c r="AS2326" s="44"/>
      <c r="AT2326" s="45"/>
      <c r="AU2326" s="12"/>
      <c r="AV2326" s="12"/>
      <c r="AW2326" s="12"/>
      <c r="AX2326" s="12"/>
      <c r="AY2326" s="44"/>
      <c r="AZ2326" s="45"/>
      <c r="BA2326" s="12"/>
      <c r="BB2326" s="12"/>
      <c r="BC2326" s="12"/>
      <c r="BD2326" s="12"/>
      <c r="BE2326" s="44"/>
      <c r="BF2326" s="45"/>
      <c r="BG2326" s="12"/>
      <c r="BH2326" s="12"/>
      <c r="BI2326" s="12"/>
      <c r="BJ2326" s="12"/>
      <c r="BK2326" s="44"/>
      <c r="BL2326" s="45"/>
      <c r="BM2326" s="12"/>
      <c r="BN2326" s="12"/>
      <c r="BO2326" s="12"/>
      <c r="BP2326" s="12"/>
      <c r="BQ2326" s="48"/>
      <c r="BR2326" s="49"/>
      <c r="BS2326" s="13"/>
      <c r="BT2326" s="12"/>
      <c r="BV2326" s="14"/>
      <c r="BW2326" s="50"/>
      <c r="BX2326" s="54"/>
      <c r="BY2326" s="14"/>
      <c r="BZ2326" s="14"/>
      <c r="CA2326" s="14"/>
      <c r="CB2326" s="14"/>
      <c r="CC2326" s="14"/>
      <c r="CD2326" s="14"/>
      <c r="CE2326" s="14"/>
      <c r="CF2326" s="15"/>
      <c r="CG2326" s="14"/>
      <c r="CH2326" s="14"/>
      <c r="CI2326" s="50"/>
      <c r="CJ2326" s="54"/>
      <c r="CK2326" s="14"/>
      <c r="CL2326" s="14"/>
      <c r="CM2326" s="14"/>
      <c r="CN2326" s="14"/>
      <c r="CO2326" s="14"/>
      <c r="CP2326" s="14"/>
      <c r="CQ2326" s="14"/>
      <c r="CR2326" s="14"/>
      <c r="CS2326" s="14"/>
      <c r="CT2326" s="14"/>
      <c r="CU2326" s="16"/>
      <c r="CV2326" s="14"/>
      <c r="CW2326" s="50"/>
      <c r="CX2326" s="17"/>
    </row>
    <row r="2327" spans="4:102" x14ac:dyDescent="0.25">
      <c r="D2327" s="11"/>
      <c r="E2327" s="11"/>
      <c r="F2327" s="11"/>
      <c r="G2327" s="11"/>
      <c r="H2327" s="11"/>
      <c r="I2327" s="11"/>
      <c r="J2327" s="11"/>
      <c r="K2327" s="11"/>
      <c r="L2327" s="11"/>
      <c r="M2327" s="11"/>
      <c r="N2327" s="11"/>
      <c r="O2327" s="11"/>
      <c r="P2327" s="43"/>
      <c r="Q2327" s="11"/>
      <c r="R2327" s="11"/>
      <c r="S2327" s="11"/>
      <c r="T2327" s="11"/>
      <c r="U2327" s="11"/>
      <c r="V2327" s="11"/>
      <c r="W2327" s="11"/>
      <c r="X2327" s="12"/>
      <c r="Y2327" s="12"/>
      <c r="Z2327" s="12"/>
      <c r="AA2327" s="44"/>
      <c r="AB2327" s="45"/>
      <c r="AC2327" s="12"/>
      <c r="AD2327" s="12"/>
      <c r="AE2327" s="12"/>
      <c r="AF2327" s="12"/>
      <c r="AG2327" s="44"/>
      <c r="AH2327" s="45"/>
      <c r="AI2327" s="12"/>
      <c r="AJ2327" s="12"/>
      <c r="AK2327" s="12"/>
      <c r="AL2327" s="12"/>
      <c r="AM2327" s="44"/>
      <c r="AN2327" s="45"/>
      <c r="AO2327" s="12"/>
      <c r="AP2327" s="12"/>
      <c r="AQ2327" s="12"/>
      <c r="AR2327" s="12"/>
      <c r="AS2327" s="44"/>
      <c r="AT2327" s="45"/>
      <c r="AU2327" s="12"/>
      <c r="AV2327" s="12"/>
      <c r="AW2327" s="12"/>
      <c r="AX2327" s="12"/>
      <c r="AY2327" s="44"/>
      <c r="AZ2327" s="45"/>
      <c r="BA2327" s="12"/>
      <c r="BB2327" s="12"/>
      <c r="BC2327" s="12"/>
      <c r="BD2327" s="12"/>
      <c r="BE2327" s="44"/>
      <c r="BF2327" s="45"/>
      <c r="BG2327" s="12"/>
      <c r="BH2327" s="12"/>
      <c r="BI2327" s="12"/>
      <c r="BJ2327" s="12"/>
      <c r="BK2327" s="44"/>
      <c r="BL2327" s="45"/>
      <c r="BM2327" s="12"/>
      <c r="BN2327" s="12"/>
      <c r="BO2327" s="12"/>
      <c r="BP2327" s="12"/>
      <c r="BQ2327" s="48"/>
      <c r="BR2327" s="49"/>
      <c r="BS2327" s="13"/>
      <c r="BT2327" s="12"/>
      <c r="BV2327" s="14"/>
      <c r="BW2327" s="50"/>
      <c r="BX2327" s="54"/>
      <c r="BY2327" s="14"/>
      <c r="BZ2327" s="14"/>
      <c r="CA2327" s="14"/>
      <c r="CB2327" s="14"/>
      <c r="CC2327" s="14"/>
      <c r="CD2327" s="14"/>
      <c r="CE2327" s="14"/>
      <c r="CF2327" s="15"/>
      <c r="CG2327" s="14"/>
      <c r="CH2327" s="14"/>
      <c r="CI2327" s="50"/>
      <c r="CJ2327" s="54"/>
      <c r="CK2327" s="14"/>
      <c r="CL2327" s="14"/>
      <c r="CM2327" s="14"/>
      <c r="CN2327" s="14"/>
      <c r="CO2327" s="14"/>
      <c r="CP2327" s="14"/>
      <c r="CQ2327" s="14"/>
      <c r="CR2327" s="14"/>
      <c r="CS2327" s="14"/>
      <c r="CT2327" s="14"/>
      <c r="CU2327" s="16"/>
      <c r="CV2327" s="14"/>
      <c r="CW2327" s="50"/>
      <c r="CX2327" s="17"/>
    </row>
    <row r="2328" spans="4:102" x14ac:dyDescent="0.25">
      <c r="D2328" s="11"/>
      <c r="E2328" s="11"/>
      <c r="F2328" s="11"/>
      <c r="G2328" s="11"/>
      <c r="H2328" s="11"/>
      <c r="I2328" s="11"/>
      <c r="J2328" s="11"/>
      <c r="K2328" s="11"/>
      <c r="L2328" s="11"/>
      <c r="M2328" s="11"/>
      <c r="N2328" s="11"/>
      <c r="O2328" s="11"/>
      <c r="P2328" s="43"/>
      <c r="Q2328" s="11"/>
      <c r="R2328" s="11"/>
      <c r="S2328" s="11"/>
      <c r="T2328" s="11"/>
      <c r="U2328" s="11"/>
      <c r="V2328" s="11"/>
      <c r="W2328" s="11"/>
      <c r="X2328" s="12"/>
      <c r="Y2328" s="12"/>
      <c r="Z2328" s="12"/>
      <c r="AA2328" s="44"/>
      <c r="AB2328" s="45"/>
      <c r="AC2328" s="12"/>
      <c r="AD2328" s="12"/>
      <c r="AE2328" s="12"/>
      <c r="AF2328" s="12"/>
      <c r="AG2328" s="44"/>
      <c r="AH2328" s="45"/>
      <c r="AI2328" s="12"/>
      <c r="AJ2328" s="12"/>
      <c r="AK2328" s="12"/>
      <c r="AL2328" s="12"/>
      <c r="AM2328" s="44"/>
      <c r="AN2328" s="45"/>
      <c r="AO2328" s="12"/>
      <c r="AP2328" s="12"/>
      <c r="AQ2328" s="12"/>
      <c r="AR2328" s="12"/>
      <c r="AS2328" s="44"/>
      <c r="AT2328" s="45"/>
      <c r="AU2328" s="12"/>
      <c r="AV2328" s="12"/>
      <c r="AW2328" s="12"/>
      <c r="AX2328" s="12"/>
      <c r="AY2328" s="44"/>
      <c r="AZ2328" s="45"/>
      <c r="BA2328" s="12"/>
      <c r="BB2328" s="12"/>
      <c r="BC2328" s="12"/>
      <c r="BD2328" s="12"/>
      <c r="BE2328" s="44"/>
      <c r="BF2328" s="45"/>
      <c r="BG2328" s="12"/>
      <c r="BH2328" s="12"/>
      <c r="BI2328" s="12"/>
      <c r="BJ2328" s="12"/>
      <c r="BK2328" s="44"/>
      <c r="BL2328" s="45"/>
      <c r="BM2328" s="12"/>
      <c r="BN2328" s="12"/>
      <c r="BO2328" s="12"/>
      <c r="BP2328" s="12"/>
      <c r="BQ2328" s="48"/>
      <c r="BR2328" s="49"/>
      <c r="BS2328" s="13"/>
      <c r="BT2328" s="12"/>
      <c r="BV2328" s="14"/>
      <c r="BW2328" s="50"/>
      <c r="BX2328" s="54"/>
      <c r="BY2328" s="14"/>
      <c r="BZ2328" s="14"/>
      <c r="CA2328" s="14"/>
      <c r="CB2328" s="14"/>
      <c r="CC2328" s="14"/>
      <c r="CD2328" s="14"/>
      <c r="CE2328" s="14"/>
      <c r="CF2328" s="15"/>
      <c r="CG2328" s="14"/>
      <c r="CH2328" s="14"/>
      <c r="CI2328" s="50"/>
      <c r="CJ2328" s="54"/>
      <c r="CK2328" s="14"/>
      <c r="CL2328" s="14"/>
      <c r="CM2328" s="14"/>
      <c r="CN2328" s="14"/>
      <c r="CO2328" s="14"/>
      <c r="CP2328" s="14"/>
      <c r="CQ2328" s="14"/>
      <c r="CR2328" s="14"/>
      <c r="CS2328" s="14"/>
      <c r="CT2328" s="14"/>
      <c r="CU2328" s="16"/>
      <c r="CV2328" s="14"/>
      <c r="CW2328" s="50"/>
      <c r="CX2328" s="17"/>
    </row>
    <row r="2329" spans="4:102" x14ac:dyDescent="0.25">
      <c r="D2329" s="11"/>
      <c r="E2329" s="11"/>
      <c r="F2329" s="11"/>
      <c r="G2329" s="11"/>
      <c r="H2329" s="11"/>
      <c r="I2329" s="11"/>
      <c r="J2329" s="11"/>
      <c r="K2329" s="11"/>
      <c r="L2329" s="11"/>
      <c r="M2329" s="11"/>
      <c r="N2329" s="11"/>
      <c r="O2329" s="11"/>
      <c r="P2329" s="43"/>
      <c r="Q2329" s="11"/>
      <c r="R2329" s="11"/>
      <c r="S2329" s="11"/>
      <c r="T2329" s="11"/>
      <c r="U2329" s="11"/>
      <c r="V2329" s="11"/>
      <c r="W2329" s="11"/>
      <c r="X2329" s="12"/>
      <c r="Y2329" s="12"/>
      <c r="Z2329" s="12"/>
      <c r="AA2329" s="44"/>
      <c r="AB2329" s="45"/>
      <c r="AC2329" s="12"/>
      <c r="AD2329" s="12"/>
      <c r="AE2329" s="12"/>
      <c r="AF2329" s="12"/>
      <c r="AG2329" s="44"/>
      <c r="AH2329" s="45"/>
      <c r="AI2329" s="12"/>
      <c r="AJ2329" s="12"/>
      <c r="AK2329" s="12"/>
      <c r="AL2329" s="12"/>
      <c r="AM2329" s="44"/>
      <c r="AN2329" s="45"/>
      <c r="AO2329" s="12"/>
      <c r="AP2329" s="12"/>
      <c r="AQ2329" s="12"/>
      <c r="AR2329" s="12"/>
      <c r="AS2329" s="44"/>
      <c r="AT2329" s="45"/>
      <c r="AU2329" s="12"/>
      <c r="AV2329" s="12"/>
      <c r="AW2329" s="12"/>
      <c r="AX2329" s="12"/>
      <c r="AY2329" s="44"/>
      <c r="AZ2329" s="45"/>
      <c r="BA2329" s="12"/>
      <c r="BB2329" s="12"/>
      <c r="BC2329" s="12"/>
      <c r="BD2329" s="12"/>
      <c r="BE2329" s="44"/>
      <c r="BF2329" s="45"/>
      <c r="BG2329" s="12"/>
      <c r="BH2329" s="12"/>
      <c r="BI2329" s="12"/>
      <c r="BJ2329" s="12"/>
      <c r="BK2329" s="44"/>
      <c r="BL2329" s="45"/>
      <c r="BM2329" s="12"/>
      <c r="BN2329" s="12"/>
      <c r="BO2329" s="12"/>
      <c r="BP2329" s="12"/>
      <c r="BQ2329" s="48"/>
      <c r="BR2329" s="49"/>
      <c r="BS2329" s="13"/>
      <c r="BT2329" s="12"/>
      <c r="BV2329" s="14"/>
      <c r="BW2329" s="50"/>
      <c r="BX2329" s="54"/>
      <c r="BY2329" s="14"/>
      <c r="BZ2329" s="14"/>
      <c r="CA2329" s="14"/>
      <c r="CB2329" s="14"/>
      <c r="CC2329" s="14"/>
      <c r="CD2329" s="14"/>
      <c r="CE2329" s="14"/>
      <c r="CF2329" s="15"/>
      <c r="CG2329" s="14"/>
      <c r="CH2329" s="14"/>
      <c r="CI2329" s="50"/>
      <c r="CJ2329" s="54"/>
      <c r="CK2329" s="14"/>
      <c r="CL2329" s="14"/>
      <c r="CM2329" s="14"/>
      <c r="CN2329" s="14"/>
      <c r="CO2329" s="14"/>
      <c r="CP2329" s="14"/>
      <c r="CQ2329" s="14"/>
      <c r="CR2329" s="14"/>
      <c r="CS2329" s="14"/>
      <c r="CT2329" s="14"/>
      <c r="CU2329" s="16"/>
      <c r="CV2329" s="14"/>
      <c r="CW2329" s="50"/>
      <c r="CX2329" s="17"/>
    </row>
    <row r="2330" spans="4:102" x14ac:dyDescent="0.25">
      <c r="D2330" s="11"/>
      <c r="E2330" s="11"/>
      <c r="F2330" s="11"/>
      <c r="G2330" s="11"/>
      <c r="H2330" s="11"/>
      <c r="I2330" s="11"/>
      <c r="J2330" s="11"/>
      <c r="K2330" s="11"/>
      <c r="L2330" s="11"/>
      <c r="M2330" s="11"/>
      <c r="N2330" s="11"/>
      <c r="O2330" s="11"/>
      <c r="P2330" s="43"/>
      <c r="Q2330" s="11"/>
      <c r="R2330" s="11"/>
      <c r="S2330" s="11"/>
      <c r="T2330" s="11"/>
      <c r="U2330" s="11"/>
      <c r="V2330" s="11"/>
      <c r="W2330" s="11"/>
      <c r="X2330" s="12"/>
      <c r="Y2330" s="12"/>
      <c r="Z2330" s="12"/>
      <c r="AA2330" s="44"/>
      <c r="AB2330" s="45"/>
      <c r="AC2330" s="12"/>
      <c r="AD2330" s="12"/>
      <c r="AE2330" s="12"/>
      <c r="AF2330" s="12"/>
      <c r="AG2330" s="44"/>
      <c r="AH2330" s="45"/>
      <c r="AI2330" s="12"/>
      <c r="AJ2330" s="12"/>
      <c r="AK2330" s="12"/>
      <c r="AL2330" s="12"/>
      <c r="AM2330" s="44"/>
      <c r="AN2330" s="45"/>
      <c r="AO2330" s="12"/>
      <c r="AP2330" s="12"/>
      <c r="AQ2330" s="12"/>
      <c r="AR2330" s="12"/>
      <c r="AS2330" s="44"/>
      <c r="AT2330" s="45"/>
      <c r="AU2330" s="12"/>
      <c r="AV2330" s="12"/>
      <c r="AW2330" s="12"/>
      <c r="AX2330" s="12"/>
      <c r="AY2330" s="44"/>
      <c r="AZ2330" s="45"/>
      <c r="BA2330" s="12"/>
      <c r="BB2330" s="12"/>
      <c r="BC2330" s="12"/>
      <c r="BD2330" s="12"/>
      <c r="BE2330" s="44"/>
      <c r="BF2330" s="45"/>
      <c r="BG2330" s="12"/>
      <c r="BH2330" s="12"/>
      <c r="BI2330" s="12"/>
      <c r="BJ2330" s="12"/>
      <c r="BK2330" s="44"/>
      <c r="BL2330" s="45"/>
      <c r="BM2330" s="12"/>
      <c r="BN2330" s="12"/>
      <c r="BO2330" s="12"/>
      <c r="BP2330" s="12"/>
      <c r="BQ2330" s="48"/>
      <c r="BR2330" s="49"/>
      <c r="BS2330" s="13"/>
      <c r="BT2330" s="12"/>
      <c r="BV2330" s="14"/>
      <c r="BW2330" s="50"/>
      <c r="BX2330" s="54"/>
      <c r="BY2330" s="14"/>
      <c r="BZ2330" s="14"/>
      <c r="CA2330" s="14"/>
      <c r="CB2330" s="14"/>
      <c r="CC2330" s="14"/>
      <c r="CD2330" s="14"/>
      <c r="CE2330" s="14"/>
      <c r="CF2330" s="15"/>
      <c r="CG2330" s="14"/>
      <c r="CH2330" s="14"/>
      <c r="CI2330" s="50"/>
      <c r="CJ2330" s="54"/>
      <c r="CK2330" s="14"/>
      <c r="CL2330" s="14"/>
      <c r="CM2330" s="14"/>
      <c r="CN2330" s="14"/>
      <c r="CO2330" s="14"/>
      <c r="CP2330" s="14"/>
      <c r="CQ2330" s="14"/>
      <c r="CR2330" s="14"/>
      <c r="CS2330" s="14"/>
      <c r="CT2330" s="14"/>
      <c r="CU2330" s="16"/>
      <c r="CV2330" s="14"/>
      <c r="CW2330" s="50"/>
      <c r="CX2330" s="17"/>
    </row>
    <row r="2331" spans="4:102" x14ac:dyDescent="0.25">
      <c r="D2331" s="11"/>
      <c r="E2331" s="11"/>
      <c r="F2331" s="11"/>
      <c r="G2331" s="11"/>
      <c r="H2331" s="11"/>
      <c r="I2331" s="11"/>
      <c r="J2331" s="11"/>
      <c r="K2331" s="11"/>
      <c r="L2331" s="11"/>
      <c r="M2331" s="11"/>
      <c r="N2331" s="11"/>
      <c r="O2331" s="11"/>
      <c r="P2331" s="43"/>
      <c r="Q2331" s="11"/>
      <c r="R2331" s="11"/>
      <c r="S2331" s="11"/>
      <c r="T2331" s="11"/>
      <c r="U2331" s="11"/>
      <c r="V2331" s="11"/>
      <c r="W2331" s="11"/>
      <c r="X2331" s="12"/>
      <c r="Y2331" s="12"/>
      <c r="Z2331" s="12"/>
      <c r="AA2331" s="44"/>
      <c r="AB2331" s="45"/>
      <c r="AC2331" s="12"/>
      <c r="AD2331" s="12"/>
      <c r="AE2331" s="12"/>
      <c r="AF2331" s="12"/>
      <c r="AG2331" s="44"/>
      <c r="AH2331" s="45"/>
      <c r="AI2331" s="12"/>
      <c r="AJ2331" s="12"/>
      <c r="AK2331" s="12"/>
      <c r="AL2331" s="12"/>
      <c r="AM2331" s="44"/>
      <c r="AN2331" s="45"/>
      <c r="AO2331" s="12"/>
      <c r="AP2331" s="12"/>
      <c r="AQ2331" s="12"/>
      <c r="AR2331" s="12"/>
      <c r="AS2331" s="44"/>
      <c r="AT2331" s="45"/>
      <c r="AU2331" s="12"/>
      <c r="AV2331" s="12"/>
      <c r="AW2331" s="12"/>
      <c r="AX2331" s="12"/>
      <c r="AY2331" s="44"/>
      <c r="AZ2331" s="45"/>
      <c r="BA2331" s="12"/>
      <c r="BB2331" s="12"/>
      <c r="BC2331" s="12"/>
      <c r="BD2331" s="12"/>
      <c r="BE2331" s="44"/>
      <c r="BF2331" s="45"/>
      <c r="BG2331" s="12"/>
      <c r="BH2331" s="12"/>
      <c r="BI2331" s="12"/>
      <c r="BJ2331" s="12"/>
      <c r="BK2331" s="44"/>
      <c r="BL2331" s="45"/>
      <c r="BM2331" s="12"/>
      <c r="BN2331" s="12"/>
      <c r="BO2331" s="12"/>
      <c r="BP2331" s="12"/>
      <c r="BQ2331" s="48"/>
      <c r="BR2331" s="49"/>
      <c r="BS2331" s="13"/>
      <c r="BT2331" s="12"/>
      <c r="BV2331" s="14"/>
      <c r="BW2331" s="50"/>
      <c r="BX2331" s="54"/>
      <c r="BY2331" s="14"/>
      <c r="BZ2331" s="14"/>
      <c r="CA2331" s="14"/>
      <c r="CB2331" s="14"/>
      <c r="CC2331" s="14"/>
      <c r="CD2331" s="14"/>
      <c r="CE2331" s="14"/>
      <c r="CF2331" s="15"/>
      <c r="CG2331" s="14"/>
      <c r="CH2331" s="14"/>
      <c r="CI2331" s="50"/>
      <c r="CJ2331" s="54"/>
      <c r="CK2331" s="14"/>
      <c r="CL2331" s="14"/>
      <c r="CM2331" s="14"/>
      <c r="CN2331" s="14"/>
      <c r="CO2331" s="14"/>
      <c r="CP2331" s="14"/>
      <c r="CQ2331" s="14"/>
      <c r="CR2331" s="14"/>
      <c r="CS2331" s="14"/>
      <c r="CT2331" s="14"/>
      <c r="CU2331" s="16"/>
      <c r="CV2331" s="14"/>
      <c r="CW2331" s="50"/>
      <c r="CX2331" s="17"/>
    </row>
    <row r="2332" spans="4:102" x14ac:dyDescent="0.25">
      <c r="D2332" s="11"/>
      <c r="E2332" s="11"/>
      <c r="F2332" s="11"/>
      <c r="G2332" s="11"/>
      <c r="H2332" s="11"/>
      <c r="I2332" s="11"/>
      <c r="J2332" s="11"/>
      <c r="K2332" s="11"/>
      <c r="L2332" s="11"/>
      <c r="M2332" s="11"/>
      <c r="N2332" s="11"/>
      <c r="O2332" s="11"/>
      <c r="P2332" s="43"/>
      <c r="Q2332" s="11"/>
      <c r="R2332" s="11"/>
      <c r="S2332" s="11"/>
      <c r="T2332" s="11"/>
      <c r="U2332" s="11"/>
      <c r="V2332" s="11"/>
      <c r="W2332" s="11"/>
      <c r="X2332" s="12"/>
      <c r="Y2332" s="12"/>
      <c r="Z2332" s="12"/>
      <c r="AA2332" s="44"/>
      <c r="AB2332" s="45"/>
      <c r="AC2332" s="12"/>
      <c r="AD2332" s="12"/>
      <c r="AE2332" s="12"/>
      <c r="AF2332" s="12"/>
      <c r="AG2332" s="44"/>
      <c r="AH2332" s="45"/>
      <c r="AI2332" s="12"/>
      <c r="AJ2332" s="12"/>
      <c r="AK2332" s="12"/>
      <c r="AL2332" s="12"/>
      <c r="AM2332" s="44"/>
      <c r="AN2332" s="45"/>
      <c r="AO2332" s="12"/>
      <c r="AP2332" s="12"/>
      <c r="AQ2332" s="12"/>
      <c r="AR2332" s="12"/>
      <c r="AS2332" s="44"/>
      <c r="AT2332" s="45"/>
      <c r="AU2332" s="12"/>
      <c r="AV2332" s="12"/>
      <c r="AW2332" s="12"/>
      <c r="AX2332" s="12"/>
      <c r="AY2332" s="44"/>
      <c r="AZ2332" s="45"/>
      <c r="BA2332" s="12"/>
      <c r="BB2332" s="12"/>
      <c r="BC2332" s="12"/>
      <c r="BD2332" s="12"/>
      <c r="BE2332" s="44"/>
      <c r="BF2332" s="45"/>
      <c r="BG2332" s="12"/>
      <c r="BH2332" s="12"/>
      <c r="BI2332" s="12"/>
      <c r="BJ2332" s="12"/>
      <c r="BK2332" s="44"/>
      <c r="BL2332" s="45"/>
      <c r="BM2332" s="12"/>
      <c r="BN2332" s="12"/>
      <c r="BO2332" s="12"/>
      <c r="BP2332" s="12"/>
      <c r="BQ2332" s="48"/>
      <c r="BR2332" s="49"/>
      <c r="BS2332" s="13"/>
      <c r="BT2332" s="12"/>
      <c r="BV2332" s="14"/>
      <c r="BW2332" s="50"/>
      <c r="BX2332" s="54"/>
      <c r="BY2332" s="14"/>
      <c r="BZ2332" s="14"/>
      <c r="CA2332" s="14"/>
      <c r="CB2332" s="14"/>
      <c r="CC2332" s="14"/>
      <c r="CD2332" s="14"/>
      <c r="CE2332" s="14"/>
      <c r="CF2332" s="15"/>
      <c r="CG2332" s="14"/>
      <c r="CH2332" s="14"/>
      <c r="CI2332" s="50"/>
      <c r="CJ2332" s="54"/>
      <c r="CK2332" s="14"/>
      <c r="CL2332" s="14"/>
      <c r="CM2332" s="14"/>
      <c r="CN2332" s="14"/>
      <c r="CO2332" s="14"/>
      <c r="CP2332" s="14"/>
      <c r="CQ2332" s="14"/>
      <c r="CR2332" s="14"/>
      <c r="CS2332" s="14"/>
      <c r="CT2332" s="14"/>
      <c r="CU2332" s="16"/>
      <c r="CV2332" s="14"/>
      <c r="CW2332" s="50"/>
      <c r="CX2332" s="17"/>
    </row>
    <row r="2333" spans="4:102" x14ac:dyDescent="0.25">
      <c r="D2333" s="11"/>
      <c r="E2333" s="11"/>
      <c r="F2333" s="11"/>
      <c r="G2333" s="11"/>
      <c r="H2333" s="11"/>
      <c r="I2333" s="11"/>
      <c r="J2333" s="11"/>
      <c r="K2333" s="11"/>
      <c r="L2333" s="11"/>
      <c r="M2333" s="11"/>
      <c r="N2333" s="11"/>
      <c r="O2333" s="11"/>
      <c r="P2333" s="43"/>
      <c r="Q2333" s="11"/>
      <c r="R2333" s="11"/>
      <c r="S2333" s="11"/>
      <c r="T2333" s="11"/>
      <c r="U2333" s="11"/>
      <c r="V2333" s="11"/>
      <c r="W2333" s="11"/>
      <c r="X2333" s="12"/>
      <c r="Y2333" s="12"/>
      <c r="Z2333" s="12"/>
      <c r="AA2333" s="44"/>
      <c r="AB2333" s="45"/>
      <c r="AC2333" s="12"/>
      <c r="AD2333" s="12"/>
      <c r="AE2333" s="12"/>
      <c r="AF2333" s="12"/>
      <c r="AG2333" s="44"/>
      <c r="AH2333" s="45"/>
      <c r="AI2333" s="12"/>
      <c r="AJ2333" s="12"/>
      <c r="AK2333" s="12"/>
      <c r="AL2333" s="12"/>
      <c r="AM2333" s="44"/>
      <c r="AN2333" s="45"/>
      <c r="AO2333" s="12"/>
      <c r="AP2333" s="12"/>
      <c r="AQ2333" s="12"/>
      <c r="AR2333" s="12"/>
      <c r="AS2333" s="44"/>
      <c r="AT2333" s="45"/>
      <c r="AU2333" s="12"/>
      <c r="AV2333" s="12"/>
      <c r="AW2333" s="12"/>
      <c r="AX2333" s="12"/>
      <c r="AY2333" s="44"/>
      <c r="AZ2333" s="45"/>
      <c r="BA2333" s="12"/>
      <c r="BB2333" s="12"/>
      <c r="BC2333" s="12"/>
      <c r="BD2333" s="12"/>
      <c r="BE2333" s="44"/>
      <c r="BF2333" s="45"/>
      <c r="BG2333" s="12"/>
      <c r="BH2333" s="12"/>
      <c r="BI2333" s="12"/>
      <c r="BJ2333" s="12"/>
      <c r="BK2333" s="44"/>
      <c r="BL2333" s="45"/>
      <c r="BM2333" s="12"/>
      <c r="BN2333" s="12"/>
      <c r="BO2333" s="12"/>
      <c r="BP2333" s="12"/>
      <c r="BQ2333" s="48"/>
      <c r="BR2333" s="49"/>
      <c r="BS2333" s="13"/>
      <c r="BT2333" s="12"/>
      <c r="BV2333" s="14"/>
      <c r="BW2333" s="50"/>
      <c r="BX2333" s="54"/>
      <c r="BY2333" s="14"/>
      <c r="BZ2333" s="14"/>
      <c r="CA2333" s="14"/>
      <c r="CB2333" s="14"/>
      <c r="CC2333" s="14"/>
      <c r="CD2333" s="14"/>
      <c r="CE2333" s="14"/>
      <c r="CF2333" s="15"/>
      <c r="CG2333" s="14"/>
      <c r="CH2333" s="14"/>
      <c r="CI2333" s="50"/>
      <c r="CJ2333" s="54"/>
      <c r="CK2333" s="14"/>
      <c r="CL2333" s="14"/>
      <c r="CM2333" s="14"/>
      <c r="CN2333" s="14"/>
      <c r="CO2333" s="14"/>
      <c r="CP2333" s="14"/>
      <c r="CQ2333" s="14"/>
      <c r="CR2333" s="14"/>
      <c r="CS2333" s="14"/>
      <c r="CT2333" s="14"/>
      <c r="CU2333" s="16"/>
      <c r="CV2333" s="14"/>
      <c r="CW2333" s="50"/>
      <c r="CX2333" s="17"/>
    </row>
    <row r="2334" spans="4:102" x14ac:dyDescent="0.25">
      <c r="D2334" s="11"/>
      <c r="E2334" s="11"/>
      <c r="F2334" s="11"/>
      <c r="G2334" s="11"/>
      <c r="H2334" s="11"/>
      <c r="I2334" s="11"/>
      <c r="J2334" s="11"/>
      <c r="K2334" s="11"/>
      <c r="L2334" s="11"/>
      <c r="M2334" s="11"/>
      <c r="N2334" s="11"/>
      <c r="O2334" s="11"/>
      <c r="P2334" s="43"/>
      <c r="Q2334" s="11"/>
      <c r="R2334" s="11"/>
      <c r="S2334" s="11"/>
      <c r="T2334" s="11"/>
      <c r="U2334" s="11"/>
      <c r="V2334" s="11"/>
      <c r="W2334" s="11"/>
      <c r="X2334" s="12"/>
      <c r="Y2334" s="12"/>
      <c r="Z2334" s="12"/>
      <c r="AA2334" s="44"/>
      <c r="AB2334" s="45"/>
      <c r="AC2334" s="12"/>
      <c r="AD2334" s="12"/>
      <c r="AE2334" s="12"/>
      <c r="AF2334" s="12"/>
      <c r="AG2334" s="44"/>
      <c r="AH2334" s="45"/>
      <c r="AI2334" s="12"/>
      <c r="AJ2334" s="12"/>
      <c r="AK2334" s="12"/>
      <c r="AL2334" s="12"/>
      <c r="AM2334" s="44"/>
      <c r="AN2334" s="45"/>
      <c r="AO2334" s="12"/>
      <c r="AP2334" s="12"/>
      <c r="AQ2334" s="12"/>
      <c r="AR2334" s="12"/>
      <c r="AS2334" s="44"/>
      <c r="AT2334" s="45"/>
      <c r="AU2334" s="12"/>
      <c r="AV2334" s="12"/>
      <c r="AW2334" s="12"/>
      <c r="AX2334" s="12"/>
      <c r="AY2334" s="44"/>
      <c r="AZ2334" s="45"/>
      <c r="BA2334" s="12"/>
      <c r="BB2334" s="12"/>
      <c r="BC2334" s="12"/>
      <c r="BD2334" s="12"/>
      <c r="BE2334" s="44"/>
      <c r="BF2334" s="45"/>
      <c r="BG2334" s="12"/>
      <c r="BH2334" s="12"/>
      <c r="BI2334" s="12"/>
      <c r="BJ2334" s="12"/>
      <c r="BK2334" s="44"/>
      <c r="BL2334" s="45"/>
      <c r="BM2334" s="12"/>
      <c r="BN2334" s="12"/>
      <c r="BO2334" s="12"/>
      <c r="BP2334" s="12"/>
      <c r="BQ2334" s="48"/>
      <c r="BR2334" s="49"/>
      <c r="BS2334" s="13"/>
      <c r="BT2334" s="12"/>
      <c r="BV2334" s="14"/>
      <c r="BW2334" s="50"/>
      <c r="BX2334" s="54"/>
      <c r="BY2334" s="14"/>
      <c r="BZ2334" s="14"/>
      <c r="CA2334" s="14"/>
      <c r="CB2334" s="14"/>
      <c r="CC2334" s="14"/>
      <c r="CD2334" s="14"/>
      <c r="CE2334" s="14"/>
      <c r="CF2334" s="15"/>
      <c r="CG2334" s="14"/>
      <c r="CH2334" s="14"/>
      <c r="CI2334" s="50"/>
      <c r="CJ2334" s="54"/>
      <c r="CK2334" s="14"/>
      <c r="CL2334" s="14"/>
      <c r="CM2334" s="14"/>
      <c r="CN2334" s="14"/>
      <c r="CO2334" s="14"/>
      <c r="CP2334" s="14"/>
      <c r="CQ2334" s="14"/>
      <c r="CR2334" s="14"/>
      <c r="CS2334" s="14"/>
      <c r="CT2334" s="14"/>
      <c r="CU2334" s="16"/>
      <c r="CV2334" s="14"/>
      <c r="CW2334" s="50"/>
      <c r="CX2334" s="17"/>
    </row>
    <row r="2335" spans="4:102" x14ac:dyDescent="0.25">
      <c r="D2335" s="11"/>
      <c r="E2335" s="11"/>
      <c r="F2335" s="11"/>
      <c r="G2335" s="11"/>
      <c r="H2335" s="11"/>
      <c r="I2335" s="11"/>
      <c r="J2335" s="11"/>
      <c r="K2335" s="11"/>
      <c r="L2335" s="11"/>
      <c r="M2335" s="11"/>
      <c r="N2335" s="11"/>
      <c r="O2335" s="11"/>
      <c r="P2335" s="43"/>
      <c r="Q2335" s="11"/>
      <c r="R2335" s="11"/>
      <c r="S2335" s="11"/>
      <c r="T2335" s="11"/>
      <c r="U2335" s="11"/>
      <c r="V2335" s="11"/>
      <c r="W2335" s="11"/>
      <c r="X2335" s="12"/>
      <c r="Y2335" s="12"/>
      <c r="Z2335" s="12"/>
      <c r="AA2335" s="44"/>
      <c r="AB2335" s="45"/>
      <c r="AC2335" s="12"/>
      <c r="AD2335" s="12"/>
      <c r="AE2335" s="12"/>
      <c r="AF2335" s="12"/>
      <c r="AG2335" s="44"/>
      <c r="AH2335" s="45"/>
      <c r="AI2335" s="12"/>
      <c r="AJ2335" s="12"/>
      <c r="AK2335" s="12"/>
      <c r="AL2335" s="12"/>
      <c r="AM2335" s="44"/>
      <c r="AN2335" s="45"/>
      <c r="AO2335" s="12"/>
      <c r="AP2335" s="12"/>
      <c r="AQ2335" s="12"/>
      <c r="AR2335" s="12"/>
      <c r="AS2335" s="44"/>
      <c r="AT2335" s="45"/>
      <c r="AU2335" s="12"/>
      <c r="AV2335" s="12"/>
      <c r="AW2335" s="12"/>
      <c r="AX2335" s="12"/>
      <c r="AY2335" s="44"/>
      <c r="AZ2335" s="45"/>
      <c r="BA2335" s="12"/>
      <c r="BB2335" s="12"/>
      <c r="BC2335" s="12"/>
      <c r="BD2335" s="12"/>
      <c r="BE2335" s="44"/>
      <c r="BF2335" s="45"/>
      <c r="BG2335" s="12"/>
      <c r="BH2335" s="12"/>
      <c r="BI2335" s="12"/>
      <c r="BJ2335" s="12"/>
      <c r="BK2335" s="44"/>
      <c r="BL2335" s="45"/>
      <c r="BM2335" s="12"/>
      <c r="BN2335" s="12"/>
      <c r="BO2335" s="12"/>
      <c r="BP2335" s="12"/>
      <c r="BQ2335" s="48"/>
      <c r="BR2335" s="49"/>
      <c r="BS2335" s="13"/>
      <c r="BT2335" s="12"/>
      <c r="BV2335" s="14"/>
      <c r="BW2335" s="50"/>
      <c r="BX2335" s="54"/>
      <c r="BY2335" s="14"/>
      <c r="BZ2335" s="14"/>
      <c r="CA2335" s="14"/>
      <c r="CB2335" s="14"/>
      <c r="CC2335" s="14"/>
      <c r="CD2335" s="14"/>
      <c r="CE2335" s="14"/>
      <c r="CF2335" s="15"/>
      <c r="CG2335" s="14"/>
      <c r="CH2335" s="14"/>
      <c r="CI2335" s="50"/>
      <c r="CJ2335" s="54"/>
      <c r="CK2335" s="14"/>
      <c r="CL2335" s="14"/>
      <c r="CM2335" s="14"/>
      <c r="CN2335" s="14"/>
      <c r="CO2335" s="14"/>
      <c r="CP2335" s="14"/>
      <c r="CQ2335" s="14"/>
      <c r="CR2335" s="14"/>
      <c r="CS2335" s="14"/>
      <c r="CT2335" s="14"/>
      <c r="CU2335" s="16"/>
      <c r="CV2335" s="14"/>
      <c r="CW2335" s="50"/>
      <c r="CX2335" s="17"/>
    </row>
    <row r="2336" spans="4:102" x14ac:dyDescent="0.25">
      <c r="D2336" s="11"/>
      <c r="E2336" s="11"/>
      <c r="F2336" s="11"/>
      <c r="G2336" s="11"/>
      <c r="H2336" s="11"/>
      <c r="I2336" s="11"/>
      <c r="J2336" s="11"/>
      <c r="K2336" s="11"/>
      <c r="L2336" s="11"/>
      <c r="M2336" s="11"/>
      <c r="N2336" s="11"/>
      <c r="O2336" s="11"/>
      <c r="P2336" s="43"/>
      <c r="Q2336" s="11"/>
      <c r="R2336" s="11"/>
      <c r="S2336" s="11"/>
      <c r="T2336" s="11"/>
      <c r="U2336" s="11"/>
      <c r="V2336" s="11"/>
      <c r="W2336" s="11"/>
      <c r="X2336" s="12"/>
      <c r="Y2336" s="12"/>
      <c r="Z2336" s="12"/>
      <c r="AA2336" s="44"/>
      <c r="AB2336" s="45"/>
      <c r="AC2336" s="12"/>
      <c r="AD2336" s="12"/>
      <c r="AE2336" s="12"/>
      <c r="AF2336" s="12"/>
      <c r="AG2336" s="44"/>
      <c r="AH2336" s="45"/>
      <c r="AI2336" s="12"/>
      <c r="AJ2336" s="12"/>
      <c r="AK2336" s="12"/>
      <c r="AL2336" s="12"/>
      <c r="AM2336" s="44"/>
      <c r="AN2336" s="45"/>
      <c r="AO2336" s="12"/>
      <c r="AP2336" s="12"/>
      <c r="AQ2336" s="12"/>
      <c r="AR2336" s="12"/>
      <c r="AS2336" s="44"/>
      <c r="AT2336" s="45"/>
      <c r="AU2336" s="12"/>
      <c r="AV2336" s="12"/>
      <c r="AW2336" s="12"/>
      <c r="AX2336" s="12"/>
      <c r="AY2336" s="44"/>
      <c r="AZ2336" s="45"/>
      <c r="BA2336" s="12"/>
      <c r="BB2336" s="12"/>
      <c r="BC2336" s="12"/>
      <c r="BD2336" s="12"/>
      <c r="BE2336" s="44"/>
      <c r="BF2336" s="45"/>
      <c r="BG2336" s="12"/>
      <c r="BH2336" s="12"/>
      <c r="BI2336" s="12"/>
      <c r="BJ2336" s="12"/>
      <c r="BK2336" s="44"/>
      <c r="BL2336" s="45"/>
      <c r="BM2336" s="12"/>
      <c r="BN2336" s="12"/>
      <c r="BO2336" s="12"/>
      <c r="BP2336" s="12"/>
      <c r="BQ2336" s="48"/>
      <c r="BR2336" s="49"/>
      <c r="BS2336" s="13"/>
      <c r="BT2336" s="12"/>
      <c r="BV2336" s="14"/>
      <c r="BW2336" s="50"/>
      <c r="BX2336" s="54"/>
      <c r="BY2336" s="14"/>
      <c r="BZ2336" s="14"/>
      <c r="CA2336" s="14"/>
      <c r="CB2336" s="14"/>
      <c r="CC2336" s="14"/>
      <c r="CD2336" s="14"/>
      <c r="CE2336" s="14"/>
      <c r="CF2336" s="15"/>
      <c r="CG2336" s="14"/>
      <c r="CH2336" s="14"/>
      <c r="CI2336" s="50"/>
      <c r="CJ2336" s="54"/>
      <c r="CK2336" s="14"/>
      <c r="CL2336" s="14"/>
      <c r="CM2336" s="14"/>
      <c r="CN2336" s="14"/>
      <c r="CO2336" s="14"/>
      <c r="CP2336" s="14"/>
      <c r="CQ2336" s="14"/>
      <c r="CR2336" s="14"/>
      <c r="CS2336" s="14"/>
      <c r="CT2336" s="14"/>
      <c r="CU2336" s="16"/>
      <c r="CV2336" s="14"/>
      <c r="CW2336" s="50"/>
      <c r="CX2336" s="17"/>
    </row>
    <row r="2337" spans="4:102" x14ac:dyDescent="0.25">
      <c r="D2337" s="11"/>
      <c r="E2337" s="11"/>
      <c r="F2337" s="11"/>
      <c r="G2337" s="11"/>
      <c r="H2337" s="11"/>
      <c r="I2337" s="11"/>
      <c r="J2337" s="11"/>
      <c r="K2337" s="11"/>
      <c r="L2337" s="11"/>
      <c r="M2337" s="11"/>
      <c r="N2337" s="11"/>
      <c r="O2337" s="11"/>
      <c r="P2337" s="43"/>
      <c r="Q2337" s="11"/>
      <c r="R2337" s="11"/>
      <c r="S2337" s="11"/>
      <c r="T2337" s="11"/>
      <c r="U2337" s="11"/>
      <c r="V2337" s="11"/>
      <c r="W2337" s="11"/>
      <c r="X2337" s="12"/>
      <c r="Y2337" s="12"/>
      <c r="Z2337" s="12"/>
      <c r="AA2337" s="44"/>
      <c r="AB2337" s="45"/>
      <c r="AC2337" s="12"/>
      <c r="AD2337" s="12"/>
      <c r="AE2337" s="12"/>
      <c r="AF2337" s="12"/>
      <c r="AG2337" s="44"/>
      <c r="AH2337" s="45"/>
      <c r="AI2337" s="12"/>
      <c r="AJ2337" s="12"/>
      <c r="AK2337" s="12"/>
      <c r="AL2337" s="12"/>
      <c r="AM2337" s="44"/>
      <c r="AN2337" s="45"/>
      <c r="AO2337" s="12"/>
      <c r="AP2337" s="12"/>
      <c r="AQ2337" s="12"/>
      <c r="AR2337" s="12"/>
      <c r="AS2337" s="44"/>
      <c r="AT2337" s="45"/>
      <c r="AU2337" s="12"/>
      <c r="AV2337" s="12"/>
      <c r="AW2337" s="12"/>
      <c r="AX2337" s="12"/>
      <c r="AY2337" s="44"/>
      <c r="AZ2337" s="45"/>
      <c r="BA2337" s="12"/>
      <c r="BB2337" s="12"/>
      <c r="BC2337" s="12"/>
      <c r="BD2337" s="12"/>
      <c r="BE2337" s="44"/>
      <c r="BF2337" s="45"/>
      <c r="BG2337" s="12"/>
      <c r="BH2337" s="12"/>
      <c r="BI2337" s="12"/>
      <c r="BJ2337" s="12"/>
      <c r="BK2337" s="44"/>
      <c r="BL2337" s="45"/>
      <c r="BM2337" s="12"/>
      <c r="BN2337" s="12"/>
      <c r="BO2337" s="12"/>
      <c r="BP2337" s="12"/>
      <c r="BQ2337" s="48"/>
      <c r="BR2337" s="49"/>
      <c r="BS2337" s="13"/>
      <c r="BT2337" s="12"/>
      <c r="BV2337" s="14"/>
      <c r="BW2337" s="50"/>
      <c r="BX2337" s="54"/>
      <c r="BY2337" s="14"/>
      <c r="BZ2337" s="14"/>
      <c r="CA2337" s="14"/>
      <c r="CB2337" s="14"/>
      <c r="CC2337" s="14"/>
      <c r="CD2337" s="14"/>
      <c r="CE2337" s="14"/>
      <c r="CF2337" s="15"/>
      <c r="CG2337" s="14"/>
      <c r="CH2337" s="14"/>
      <c r="CI2337" s="50"/>
      <c r="CJ2337" s="54"/>
      <c r="CK2337" s="14"/>
      <c r="CL2337" s="14"/>
      <c r="CM2337" s="14"/>
      <c r="CN2337" s="14"/>
      <c r="CO2337" s="14"/>
      <c r="CP2337" s="14"/>
      <c r="CQ2337" s="14"/>
      <c r="CR2337" s="14"/>
      <c r="CS2337" s="14"/>
      <c r="CT2337" s="14"/>
      <c r="CU2337" s="16"/>
      <c r="CV2337" s="14"/>
      <c r="CW2337" s="50"/>
      <c r="CX2337" s="17"/>
    </row>
    <row r="2338" spans="4:102" x14ac:dyDescent="0.25">
      <c r="D2338" s="11"/>
      <c r="E2338" s="11"/>
      <c r="F2338" s="11"/>
      <c r="G2338" s="11"/>
      <c r="H2338" s="11"/>
      <c r="I2338" s="11"/>
      <c r="J2338" s="11"/>
      <c r="K2338" s="11"/>
      <c r="L2338" s="11"/>
      <c r="M2338" s="11"/>
      <c r="N2338" s="11"/>
      <c r="O2338" s="11"/>
      <c r="P2338" s="43"/>
      <c r="Q2338" s="11"/>
      <c r="R2338" s="11"/>
      <c r="S2338" s="11"/>
      <c r="T2338" s="11"/>
      <c r="U2338" s="11"/>
      <c r="V2338" s="11"/>
      <c r="W2338" s="11"/>
      <c r="X2338" s="12"/>
      <c r="Y2338" s="12"/>
      <c r="Z2338" s="12"/>
      <c r="AA2338" s="44"/>
      <c r="AB2338" s="45"/>
      <c r="AC2338" s="12"/>
      <c r="AD2338" s="12"/>
      <c r="AE2338" s="12"/>
      <c r="AF2338" s="12"/>
      <c r="AG2338" s="44"/>
      <c r="AH2338" s="45"/>
      <c r="AI2338" s="12"/>
      <c r="AJ2338" s="12"/>
      <c r="AK2338" s="12"/>
      <c r="AL2338" s="12"/>
      <c r="AM2338" s="44"/>
      <c r="AN2338" s="45"/>
      <c r="AO2338" s="12"/>
      <c r="AP2338" s="12"/>
      <c r="AQ2338" s="12"/>
      <c r="AR2338" s="12"/>
      <c r="AS2338" s="44"/>
      <c r="AT2338" s="45"/>
      <c r="AU2338" s="12"/>
      <c r="AV2338" s="12"/>
      <c r="AW2338" s="12"/>
      <c r="AX2338" s="12"/>
      <c r="AY2338" s="44"/>
      <c r="AZ2338" s="45"/>
      <c r="BA2338" s="12"/>
      <c r="BB2338" s="12"/>
      <c r="BC2338" s="12"/>
      <c r="BD2338" s="12"/>
      <c r="BE2338" s="44"/>
      <c r="BF2338" s="45"/>
      <c r="BG2338" s="12"/>
      <c r="BH2338" s="12"/>
      <c r="BI2338" s="12"/>
      <c r="BJ2338" s="12"/>
      <c r="BK2338" s="44"/>
      <c r="BL2338" s="45"/>
      <c r="BM2338" s="12"/>
      <c r="BN2338" s="12"/>
      <c r="BO2338" s="12"/>
      <c r="BP2338" s="12"/>
      <c r="BQ2338" s="48"/>
      <c r="BR2338" s="49"/>
      <c r="BS2338" s="13"/>
      <c r="BT2338" s="12"/>
      <c r="BV2338" s="14"/>
      <c r="BW2338" s="50"/>
      <c r="BX2338" s="54"/>
      <c r="BY2338" s="14"/>
      <c r="BZ2338" s="14"/>
      <c r="CA2338" s="14"/>
      <c r="CB2338" s="14"/>
      <c r="CC2338" s="14"/>
      <c r="CD2338" s="14"/>
      <c r="CE2338" s="14"/>
      <c r="CF2338" s="15"/>
      <c r="CG2338" s="14"/>
      <c r="CH2338" s="14"/>
      <c r="CI2338" s="50"/>
      <c r="CJ2338" s="54"/>
      <c r="CK2338" s="14"/>
      <c r="CL2338" s="14"/>
      <c r="CM2338" s="14"/>
      <c r="CN2338" s="14"/>
      <c r="CO2338" s="14"/>
      <c r="CP2338" s="14"/>
      <c r="CQ2338" s="14"/>
      <c r="CR2338" s="14"/>
      <c r="CS2338" s="14"/>
      <c r="CT2338" s="14"/>
      <c r="CU2338" s="16"/>
      <c r="CV2338" s="14"/>
      <c r="CW2338" s="50"/>
      <c r="CX2338" s="17"/>
    </row>
    <row r="2339" spans="4:102" x14ac:dyDescent="0.25">
      <c r="D2339" s="11"/>
      <c r="E2339" s="11"/>
      <c r="F2339" s="11"/>
      <c r="G2339" s="11"/>
      <c r="H2339" s="11"/>
      <c r="I2339" s="11"/>
      <c r="J2339" s="11"/>
      <c r="K2339" s="11"/>
      <c r="L2339" s="11"/>
      <c r="M2339" s="11"/>
      <c r="N2339" s="11"/>
      <c r="O2339" s="11"/>
      <c r="P2339" s="43"/>
      <c r="Q2339" s="11"/>
      <c r="R2339" s="11"/>
      <c r="S2339" s="11"/>
      <c r="T2339" s="11"/>
      <c r="U2339" s="11"/>
      <c r="V2339" s="11"/>
      <c r="W2339" s="11"/>
      <c r="X2339" s="12"/>
      <c r="Y2339" s="12"/>
      <c r="Z2339" s="12"/>
      <c r="AA2339" s="44"/>
      <c r="AB2339" s="45"/>
      <c r="AC2339" s="12"/>
      <c r="AD2339" s="12"/>
      <c r="AE2339" s="12"/>
      <c r="AF2339" s="12"/>
      <c r="AG2339" s="44"/>
      <c r="AH2339" s="45"/>
      <c r="AI2339" s="12"/>
      <c r="AJ2339" s="12"/>
      <c r="AK2339" s="12"/>
      <c r="AL2339" s="12"/>
      <c r="AM2339" s="44"/>
      <c r="AN2339" s="45"/>
      <c r="AO2339" s="12"/>
      <c r="AP2339" s="12"/>
      <c r="AQ2339" s="12"/>
      <c r="AR2339" s="12"/>
      <c r="AS2339" s="44"/>
      <c r="AT2339" s="45"/>
      <c r="AU2339" s="12"/>
      <c r="AV2339" s="12"/>
      <c r="AW2339" s="12"/>
      <c r="AX2339" s="12"/>
      <c r="AY2339" s="44"/>
      <c r="AZ2339" s="45"/>
      <c r="BA2339" s="12"/>
      <c r="BB2339" s="12"/>
      <c r="BC2339" s="12"/>
      <c r="BD2339" s="12"/>
      <c r="BE2339" s="44"/>
      <c r="BF2339" s="45"/>
      <c r="BG2339" s="12"/>
      <c r="BH2339" s="12"/>
      <c r="BI2339" s="12"/>
      <c r="BJ2339" s="12"/>
      <c r="BK2339" s="44"/>
      <c r="BL2339" s="45"/>
      <c r="BM2339" s="12"/>
      <c r="BN2339" s="12"/>
      <c r="BO2339" s="12"/>
      <c r="BP2339" s="12"/>
      <c r="BQ2339" s="48"/>
      <c r="BR2339" s="49"/>
      <c r="BS2339" s="13"/>
      <c r="BT2339" s="12"/>
      <c r="BV2339" s="14"/>
      <c r="BW2339" s="50"/>
      <c r="BX2339" s="54"/>
      <c r="BY2339" s="14"/>
      <c r="BZ2339" s="14"/>
      <c r="CA2339" s="14"/>
      <c r="CB2339" s="14"/>
      <c r="CC2339" s="14"/>
      <c r="CD2339" s="14"/>
      <c r="CE2339" s="14"/>
      <c r="CF2339" s="15"/>
      <c r="CG2339" s="14"/>
      <c r="CH2339" s="14"/>
      <c r="CI2339" s="50"/>
      <c r="CJ2339" s="54"/>
      <c r="CK2339" s="14"/>
      <c r="CL2339" s="14"/>
      <c r="CM2339" s="14"/>
      <c r="CN2339" s="14"/>
      <c r="CO2339" s="14"/>
      <c r="CP2339" s="14"/>
      <c r="CQ2339" s="14"/>
      <c r="CR2339" s="14"/>
      <c r="CS2339" s="14"/>
      <c r="CT2339" s="14"/>
      <c r="CU2339" s="16"/>
      <c r="CV2339" s="14"/>
      <c r="CW2339" s="50"/>
      <c r="CX2339" s="17"/>
    </row>
    <row r="2340" spans="4:102" x14ac:dyDescent="0.25">
      <c r="D2340" s="11"/>
      <c r="E2340" s="11"/>
      <c r="F2340" s="11"/>
      <c r="G2340" s="11"/>
      <c r="H2340" s="11"/>
      <c r="I2340" s="11"/>
      <c r="J2340" s="11"/>
      <c r="K2340" s="11"/>
      <c r="L2340" s="11"/>
      <c r="M2340" s="11"/>
      <c r="N2340" s="11"/>
      <c r="O2340" s="11"/>
      <c r="P2340" s="43"/>
      <c r="Q2340" s="11"/>
      <c r="R2340" s="11"/>
      <c r="S2340" s="11"/>
      <c r="T2340" s="11"/>
      <c r="U2340" s="11"/>
      <c r="V2340" s="11"/>
      <c r="W2340" s="11"/>
      <c r="X2340" s="12"/>
      <c r="Y2340" s="12"/>
      <c r="Z2340" s="12"/>
      <c r="AA2340" s="44"/>
      <c r="AB2340" s="45"/>
      <c r="AC2340" s="12"/>
      <c r="AD2340" s="12"/>
      <c r="AE2340" s="12"/>
      <c r="AF2340" s="12"/>
      <c r="AG2340" s="44"/>
      <c r="AH2340" s="45"/>
      <c r="AI2340" s="12"/>
      <c r="AJ2340" s="12"/>
      <c r="AK2340" s="12"/>
      <c r="AL2340" s="12"/>
      <c r="AM2340" s="44"/>
      <c r="AN2340" s="45"/>
      <c r="AO2340" s="12"/>
      <c r="AP2340" s="12"/>
      <c r="AQ2340" s="12"/>
      <c r="AR2340" s="12"/>
      <c r="AS2340" s="44"/>
      <c r="AT2340" s="45"/>
      <c r="AU2340" s="12"/>
      <c r="AV2340" s="12"/>
      <c r="AW2340" s="12"/>
      <c r="AX2340" s="12"/>
      <c r="AY2340" s="44"/>
      <c r="AZ2340" s="45"/>
      <c r="BA2340" s="12"/>
      <c r="BB2340" s="12"/>
      <c r="BC2340" s="12"/>
      <c r="BD2340" s="12"/>
      <c r="BE2340" s="44"/>
      <c r="BF2340" s="45"/>
      <c r="BG2340" s="12"/>
      <c r="BH2340" s="12"/>
      <c r="BI2340" s="12"/>
      <c r="BJ2340" s="12"/>
      <c r="BK2340" s="44"/>
      <c r="BL2340" s="45"/>
      <c r="BM2340" s="12"/>
      <c r="BN2340" s="12"/>
      <c r="BO2340" s="12"/>
      <c r="BP2340" s="12"/>
      <c r="BQ2340" s="48"/>
      <c r="BR2340" s="49"/>
      <c r="BS2340" s="13"/>
      <c r="BT2340" s="12"/>
      <c r="BV2340" s="14"/>
      <c r="BW2340" s="50"/>
      <c r="BX2340" s="54"/>
      <c r="BY2340" s="14"/>
      <c r="BZ2340" s="14"/>
      <c r="CA2340" s="14"/>
      <c r="CB2340" s="14"/>
      <c r="CC2340" s="14"/>
      <c r="CD2340" s="14"/>
      <c r="CE2340" s="14"/>
      <c r="CF2340" s="15"/>
      <c r="CG2340" s="14"/>
      <c r="CH2340" s="14"/>
      <c r="CI2340" s="50"/>
      <c r="CJ2340" s="54"/>
      <c r="CK2340" s="14"/>
      <c r="CL2340" s="14"/>
      <c r="CM2340" s="14"/>
      <c r="CN2340" s="14"/>
      <c r="CO2340" s="14"/>
      <c r="CP2340" s="14"/>
      <c r="CQ2340" s="14"/>
      <c r="CR2340" s="14"/>
      <c r="CS2340" s="14"/>
      <c r="CT2340" s="14"/>
      <c r="CU2340" s="16"/>
      <c r="CV2340" s="14"/>
      <c r="CW2340" s="50"/>
      <c r="CX2340" s="17"/>
    </row>
    <row r="2341" spans="4:102" x14ac:dyDescent="0.25">
      <c r="D2341" s="11"/>
      <c r="E2341" s="11"/>
      <c r="F2341" s="11"/>
      <c r="G2341" s="11"/>
      <c r="H2341" s="11"/>
      <c r="I2341" s="11"/>
      <c r="J2341" s="11"/>
      <c r="K2341" s="11"/>
      <c r="L2341" s="11"/>
      <c r="M2341" s="11"/>
      <c r="N2341" s="11"/>
      <c r="O2341" s="11"/>
      <c r="P2341" s="43"/>
      <c r="Q2341" s="11"/>
      <c r="R2341" s="11"/>
      <c r="S2341" s="11"/>
      <c r="T2341" s="11"/>
      <c r="U2341" s="11"/>
      <c r="V2341" s="11"/>
      <c r="W2341" s="11"/>
      <c r="X2341" s="12"/>
      <c r="Y2341" s="12"/>
      <c r="Z2341" s="12"/>
      <c r="AA2341" s="44"/>
      <c r="AB2341" s="45"/>
      <c r="AC2341" s="12"/>
      <c r="AD2341" s="12"/>
      <c r="AE2341" s="12"/>
      <c r="AF2341" s="12"/>
      <c r="AG2341" s="44"/>
      <c r="AH2341" s="45"/>
      <c r="AI2341" s="12"/>
      <c r="AJ2341" s="12"/>
      <c r="AK2341" s="12"/>
      <c r="AL2341" s="12"/>
      <c r="AM2341" s="44"/>
      <c r="AN2341" s="45"/>
      <c r="AO2341" s="12"/>
      <c r="AP2341" s="12"/>
      <c r="AQ2341" s="12"/>
      <c r="AR2341" s="12"/>
      <c r="AS2341" s="44"/>
      <c r="AT2341" s="45"/>
      <c r="AU2341" s="12"/>
      <c r="AV2341" s="12"/>
      <c r="AW2341" s="12"/>
      <c r="AX2341" s="12"/>
      <c r="AY2341" s="44"/>
      <c r="AZ2341" s="45"/>
      <c r="BA2341" s="12"/>
      <c r="BB2341" s="12"/>
      <c r="BC2341" s="12"/>
      <c r="BD2341" s="12"/>
      <c r="BE2341" s="44"/>
      <c r="BF2341" s="45"/>
      <c r="BG2341" s="12"/>
      <c r="BH2341" s="12"/>
      <c r="BI2341" s="12"/>
      <c r="BJ2341" s="12"/>
      <c r="BK2341" s="44"/>
      <c r="BL2341" s="45"/>
      <c r="BM2341" s="12"/>
      <c r="BN2341" s="12"/>
      <c r="BO2341" s="12"/>
      <c r="BP2341" s="12"/>
      <c r="BQ2341" s="48"/>
      <c r="BR2341" s="49"/>
      <c r="BS2341" s="13"/>
      <c r="BT2341" s="12"/>
      <c r="BV2341" s="14"/>
      <c r="BW2341" s="50"/>
      <c r="BX2341" s="54"/>
      <c r="BY2341" s="14"/>
      <c r="BZ2341" s="14"/>
      <c r="CA2341" s="14"/>
      <c r="CB2341" s="14"/>
      <c r="CC2341" s="14"/>
      <c r="CD2341" s="14"/>
      <c r="CE2341" s="14"/>
      <c r="CF2341" s="15"/>
      <c r="CG2341" s="14"/>
      <c r="CH2341" s="14"/>
      <c r="CI2341" s="50"/>
      <c r="CJ2341" s="54"/>
      <c r="CK2341" s="14"/>
      <c r="CL2341" s="14"/>
      <c r="CM2341" s="14"/>
      <c r="CN2341" s="14"/>
      <c r="CO2341" s="14"/>
      <c r="CP2341" s="14"/>
      <c r="CQ2341" s="14"/>
      <c r="CR2341" s="14"/>
      <c r="CS2341" s="14"/>
      <c r="CT2341" s="14"/>
      <c r="CU2341" s="16"/>
      <c r="CV2341" s="14"/>
      <c r="CW2341" s="50"/>
      <c r="CX2341" s="17"/>
    </row>
    <row r="2342" spans="4:102" x14ac:dyDescent="0.25">
      <c r="D2342" s="11"/>
      <c r="E2342" s="11"/>
      <c r="F2342" s="11"/>
      <c r="G2342" s="11"/>
      <c r="H2342" s="11"/>
      <c r="I2342" s="11"/>
      <c r="J2342" s="11"/>
      <c r="K2342" s="11"/>
      <c r="L2342" s="11"/>
      <c r="M2342" s="11"/>
      <c r="N2342" s="11"/>
      <c r="O2342" s="11"/>
      <c r="P2342" s="43"/>
      <c r="Q2342" s="11"/>
      <c r="R2342" s="11"/>
      <c r="S2342" s="11"/>
      <c r="T2342" s="11"/>
      <c r="U2342" s="11"/>
      <c r="V2342" s="11"/>
      <c r="W2342" s="11"/>
      <c r="X2342" s="12"/>
      <c r="Y2342" s="12"/>
      <c r="Z2342" s="12"/>
      <c r="AA2342" s="44"/>
      <c r="AB2342" s="45"/>
      <c r="AC2342" s="12"/>
      <c r="AD2342" s="12"/>
      <c r="AE2342" s="12"/>
      <c r="AF2342" s="12"/>
      <c r="AG2342" s="44"/>
      <c r="AH2342" s="45"/>
      <c r="AI2342" s="12"/>
      <c r="AJ2342" s="12"/>
      <c r="AK2342" s="12"/>
      <c r="AL2342" s="12"/>
      <c r="AM2342" s="44"/>
      <c r="AN2342" s="45"/>
      <c r="AO2342" s="12"/>
      <c r="AP2342" s="12"/>
      <c r="AQ2342" s="12"/>
      <c r="AR2342" s="12"/>
      <c r="AS2342" s="44"/>
      <c r="AT2342" s="45"/>
      <c r="AU2342" s="12"/>
      <c r="AV2342" s="12"/>
      <c r="AW2342" s="12"/>
      <c r="AX2342" s="12"/>
      <c r="AY2342" s="44"/>
      <c r="AZ2342" s="45"/>
      <c r="BA2342" s="12"/>
      <c r="BB2342" s="12"/>
      <c r="BC2342" s="12"/>
      <c r="BD2342" s="12"/>
      <c r="BE2342" s="44"/>
      <c r="BF2342" s="45"/>
      <c r="BG2342" s="12"/>
      <c r="BH2342" s="12"/>
      <c r="BI2342" s="12"/>
      <c r="BJ2342" s="12"/>
      <c r="BK2342" s="44"/>
      <c r="BL2342" s="45"/>
      <c r="BM2342" s="12"/>
      <c r="BN2342" s="12"/>
      <c r="BO2342" s="12"/>
      <c r="BP2342" s="12"/>
      <c r="BQ2342" s="48"/>
      <c r="BR2342" s="49"/>
      <c r="BS2342" s="13"/>
      <c r="BT2342" s="12"/>
      <c r="BV2342" s="14"/>
      <c r="BW2342" s="50"/>
      <c r="BX2342" s="54"/>
      <c r="BY2342" s="14"/>
      <c r="BZ2342" s="14"/>
      <c r="CA2342" s="14"/>
      <c r="CB2342" s="14"/>
      <c r="CC2342" s="14"/>
      <c r="CD2342" s="14"/>
      <c r="CE2342" s="14"/>
      <c r="CF2342" s="15"/>
      <c r="CG2342" s="14"/>
      <c r="CH2342" s="14"/>
      <c r="CI2342" s="50"/>
      <c r="CJ2342" s="54"/>
      <c r="CK2342" s="14"/>
      <c r="CL2342" s="14"/>
      <c r="CM2342" s="14"/>
      <c r="CN2342" s="14"/>
      <c r="CO2342" s="14"/>
      <c r="CP2342" s="14"/>
      <c r="CQ2342" s="14"/>
      <c r="CR2342" s="14"/>
      <c r="CS2342" s="14"/>
      <c r="CT2342" s="14"/>
      <c r="CU2342" s="16"/>
      <c r="CV2342" s="14"/>
      <c r="CW2342" s="50"/>
      <c r="CX2342" s="17"/>
    </row>
    <row r="2343" spans="4:102" x14ac:dyDescent="0.25">
      <c r="D2343" s="11"/>
      <c r="E2343" s="11"/>
      <c r="F2343" s="11"/>
      <c r="G2343" s="11"/>
      <c r="H2343" s="11"/>
      <c r="I2343" s="11"/>
      <c r="J2343" s="11"/>
      <c r="K2343" s="11"/>
      <c r="L2343" s="11"/>
      <c r="M2343" s="11"/>
      <c r="N2343" s="11"/>
      <c r="O2343" s="11"/>
      <c r="P2343" s="43"/>
      <c r="Q2343" s="11"/>
      <c r="R2343" s="11"/>
      <c r="S2343" s="11"/>
      <c r="T2343" s="11"/>
      <c r="U2343" s="11"/>
      <c r="V2343" s="11"/>
      <c r="W2343" s="11"/>
      <c r="X2343" s="12"/>
      <c r="Y2343" s="12"/>
      <c r="Z2343" s="12"/>
      <c r="AA2343" s="44"/>
      <c r="AB2343" s="45"/>
      <c r="AC2343" s="12"/>
      <c r="AD2343" s="12"/>
      <c r="AE2343" s="12"/>
      <c r="AF2343" s="12"/>
      <c r="AG2343" s="44"/>
      <c r="AH2343" s="45"/>
      <c r="AI2343" s="12"/>
      <c r="AJ2343" s="12"/>
      <c r="AK2343" s="12"/>
      <c r="AL2343" s="12"/>
      <c r="AM2343" s="44"/>
      <c r="AN2343" s="45"/>
      <c r="AO2343" s="12"/>
      <c r="AP2343" s="12"/>
      <c r="AQ2343" s="12"/>
      <c r="AR2343" s="12"/>
      <c r="AS2343" s="44"/>
      <c r="AT2343" s="45"/>
      <c r="AU2343" s="12"/>
      <c r="AV2343" s="12"/>
      <c r="AW2343" s="12"/>
      <c r="AX2343" s="12"/>
      <c r="AY2343" s="44"/>
      <c r="AZ2343" s="45"/>
      <c r="BA2343" s="12"/>
      <c r="BB2343" s="12"/>
      <c r="BC2343" s="12"/>
      <c r="BD2343" s="12"/>
      <c r="BE2343" s="44"/>
      <c r="BF2343" s="45"/>
      <c r="BG2343" s="12"/>
      <c r="BH2343" s="12"/>
      <c r="BI2343" s="12"/>
      <c r="BJ2343" s="12"/>
      <c r="BK2343" s="44"/>
      <c r="BL2343" s="45"/>
      <c r="BM2343" s="12"/>
      <c r="BN2343" s="12"/>
      <c r="BO2343" s="12"/>
      <c r="BP2343" s="12"/>
      <c r="BQ2343" s="48"/>
      <c r="BR2343" s="49"/>
      <c r="BS2343" s="13"/>
      <c r="BT2343" s="12"/>
      <c r="BV2343" s="14"/>
      <c r="BW2343" s="50"/>
      <c r="BX2343" s="54"/>
      <c r="BY2343" s="14"/>
      <c r="BZ2343" s="14"/>
      <c r="CA2343" s="14"/>
      <c r="CB2343" s="14"/>
      <c r="CC2343" s="14"/>
      <c r="CD2343" s="14"/>
      <c r="CE2343" s="14"/>
      <c r="CF2343" s="15"/>
      <c r="CG2343" s="14"/>
      <c r="CH2343" s="14"/>
      <c r="CI2343" s="50"/>
      <c r="CJ2343" s="54"/>
      <c r="CK2343" s="14"/>
      <c r="CL2343" s="14"/>
      <c r="CM2343" s="14"/>
      <c r="CN2343" s="14"/>
      <c r="CO2343" s="14"/>
      <c r="CP2343" s="14"/>
      <c r="CQ2343" s="14"/>
      <c r="CR2343" s="14"/>
      <c r="CS2343" s="14"/>
      <c r="CT2343" s="14"/>
      <c r="CU2343" s="16"/>
      <c r="CV2343" s="14"/>
      <c r="CW2343" s="50"/>
      <c r="CX2343" s="17"/>
    </row>
    <row r="2344" spans="4:102" x14ac:dyDescent="0.25">
      <c r="D2344" s="11"/>
      <c r="E2344" s="11"/>
      <c r="F2344" s="11"/>
      <c r="G2344" s="11"/>
      <c r="H2344" s="11"/>
      <c r="I2344" s="11"/>
      <c r="J2344" s="11"/>
      <c r="K2344" s="11"/>
      <c r="L2344" s="11"/>
      <c r="M2344" s="11"/>
      <c r="N2344" s="11"/>
      <c r="O2344" s="11"/>
      <c r="P2344" s="43"/>
      <c r="Q2344" s="11"/>
      <c r="R2344" s="11"/>
      <c r="S2344" s="11"/>
      <c r="T2344" s="11"/>
      <c r="U2344" s="11"/>
      <c r="V2344" s="11"/>
      <c r="W2344" s="11"/>
      <c r="X2344" s="12"/>
      <c r="Y2344" s="12"/>
      <c r="Z2344" s="12"/>
      <c r="AA2344" s="44"/>
      <c r="AB2344" s="45"/>
      <c r="AC2344" s="12"/>
      <c r="AD2344" s="12"/>
      <c r="AE2344" s="12"/>
      <c r="AF2344" s="12"/>
      <c r="AG2344" s="44"/>
      <c r="AH2344" s="45"/>
      <c r="AI2344" s="12"/>
      <c r="AJ2344" s="12"/>
      <c r="AK2344" s="12"/>
      <c r="AL2344" s="12"/>
      <c r="AM2344" s="44"/>
      <c r="AN2344" s="45"/>
      <c r="AO2344" s="12"/>
      <c r="AP2344" s="12"/>
      <c r="AQ2344" s="12"/>
      <c r="AR2344" s="12"/>
      <c r="AS2344" s="44"/>
      <c r="AT2344" s="45"/>
      <c r="AU2344" s="12"/>
      <c r="AV2344" s="12"/>
      <c r="AW2344" s="12"/>
      <c r="AX2344" s="12"/>
      <c r="AY2344" s="44"/>
      <c r="AZ2344" s="45"/>
      <c r="BA2344" s="12"/>
      <c r="BB2344" s="12"/>
      <c r="BC2344" s="12"/>
      <c r="BD2344" s="12"/>
      <c r="BE2344" s="44"/>
      <c r="BF2344" s="45"/>
      <c r="BG2344" s="12"/>
      <c r="BH2344" s="12"/>
      <c r="BI2344" s="12"/>
      <c r="BJ2344" s="12"/>
      <c r="BK2344" s="44"/>
      <c r="BL2344" s="45"/>
      <c r="BM2344" s="12"/>
      <c r="BN2344" s="12"/>
      <c r="BO2344" s="12"/>
      <c r="BP2344" s="12"/>
      <c r="BQ2344" s="48"/>
      <c r="BR2344" s="49"/>
      <c r="BS2344" s="13"/>
      <c r="BT2344" s="12"/>
      <c r="BV2344" s="14"/>
      <c r="BW2344" s="50"/>
      <c r="BX2344" s="54"/>
      <c r="BY2344" s="14"/>
      <c r="BZ2344" s="14"/>
      <c r="CA2344" s="14"/>
      <c r="CB2344" s="14"/>
      <c r="CC2344" s="14"/>
      <c r="CD2344" s="14"/>
      <c r="CE2344" s="14"/>
      <c r="CF2344" s="15"/>
      <c r="CG2344" s="14"/>
      <c r="CH2344" s="14"/>
      <c r="CI2344" s="50"/>
      <c r="CJ2344" s="54"/>
      <c r="CK2344" s="14"/>
      <c r="CL2344" s="14"/>
      <c r="CM2344" s="14"/>
      <c r="CN2344" s="14"/>
      <c r="CO2344" s="14"/>
      <c r="CP2344" s="14"/>
      <c r="CQ2344" s="14"/>
      <c r="CR2344" s="14"/>
      <c r="CS2344" s="14"/>
      <c r="CT2344" s="14"/>
      <c r="CU2344" s="16"/>
      <c r="CV2344" s="14"/>
      <c r="CW2344" s="50"/>
      <c r="CX2344" s="17"/>
    </row>
    <row r="2345" spans="4:102" x14ac:dyDescent="0.25">
      <c r="D2345" s="11"/>
      <c r="E2345" s="11"/>
      <c r="F2345" s="11"/>
      <c r="G2345" s="11"/>
      <c r="H2345" s="11"/>
      <c r="I2345" s="11"/>
      <c r="J2345" s="11"/>
      <c r="K2345" s="11"/>
      <c r="L2345" s="11"/>
      <c r="M2345" s="11"/>
      <c r="N2345" s="11"/>
      <c r="O2345" s="11"/>
      <c r="P2345" s="43"/>
      <c r="Q2345" s="11"/>
      <c r="R2345" s="11"/>
      <c r="S2345" s="11"/>
      <c r="T2345" s="11"/>
      <c r="U2345" s="11"/>
      <c r="V2345" s="11"/>
      <c r="W2345" s="11"/>
      <c r="X2345" s="12"/>
      <c r="Y2345" s="12"/>
      <c r="Z2345" s="12"/>
      <c r="AA2345" s="44"/>
      <c r="AB2345" s="45"/>
      <c r="AC2345" s="12"/>
      <c r="AD2345" s="12"/>
      <c r="AE2345" s="12"/>
      <c r="AF2345" s="12"/>
      <c r="AG2345" s="44"/>
      <c r="AH2345" s="45"/>
      <c r="AI2345" s="12"/>
      <c r="AJ2345" s="12"/>
      <c r="AK2345" s="12"/>
      <c r="AL2345" s="12"/>
      <c r="AM2345" s="44"/>
      <c r="AN2345" s="45"/>
      <c r="AO2345" s="12"/>
      <c r="AP2345" s="12"/>
      <c r="AQ2345" s="12"/>
      <c r="AR2345" s="12"/>
      <c r="AS2345" s="44"/>
      <c r="AT2345" s="45"/>
      <c r="AU2345" s="12"/>
      <c r="AV2345" s="12"/>
      <c r="AW2345" s="12"/>
      <c r="AX2345" s="12"/>
      <c r="AY2345" s="44"/>
      <c r="AZ2345" s="45"/>
      <c r="BA2345" s="12"/>
      <c r="BB2345" s="12"/>
      <c r="BC2345" s="12"/>
      <c r="BD2345" s="12"/>
      <c r="BE2345" s="44"/>
      <c r="BF2345" s="45"/>
      <c r="BG2345" s="12"/>
      <c r="BH2345" s="12"/>
      <c r="BI2345" s="12"/>
      <c r="BJ2345" s="12"/>
      <c r="BK2345" s="44"/>
      <c r="BL2345" s="45"/>
      <c r="BM2345" s="12"/>
      <c r="BN2345" s="12"/>
      <c r="BO2345" s="12"/>
      <c r="BP2345" s="12"/>
      <c r="BQ2345" s="48"/>
      <c r="BR2345" s="49"/>
      <c r="BS2345" s="13"/>
      <c r="BT2345" s="12"/>
      <c r="BV2345" s="14"/>
      <c r="BW2345" s="50"/>
      <c r="BX2345" s="54"/>
      <c r="BY2345" s="14"/>
      <c r="BZ2345" s="14"/>
      <c r="CA2345" s="14"/>
      <c r="CB2345" s="14"/>
      <c r="CC2345" s="14"/>
      <c r="CD2345" s="14"/>
      <c r="CE2345" s="14"/>
      <c r="CF2345" s="15"/>
      <c r="CG2345" s="14"/>
      <c r="CH2345" s="14"/>
      <c r="CI2345" s="50"/>
      <c r="CJ2345" s="54"/>
      <c r="CK2345" s="14"/>
      <c r="CL2345" s="14"/>
      <c r="CM2345" s="14"/>
      <c r="CN2345" s="14"/>
      <c r="CO2345" s="14"/>
      <c r="CP2345" s="14"/>
      <c r="CQ2345" s="14"/>
      <c r="CR2345" s="14"/>
      <c r="CS2345" s="14"/>
      <c r="CT2345" s="14"/>
      <c r="CU2345" s="16"/>
      <c r="CV2345" s="14"/>
      <c r="CW2345" s="50"/>
      <c r="CX2345" s="17"/>
    </row>
    <row r="2346" spans="4:102" x14ac:dyDescent="0.25">
      <c r="D2346" s="11"/>
      <c r="E2346" s="11"/>
      <c r="F2346" s="11"/>
      <c r="G2346" s="11"/>
      <c r="H2346" s="11"/>
      <c r="I2346" s="11"/>
      <c r="J2346" s="11"/>
      <c r="K2346" s="11"/>
      <c r="L2346" s="11"/>
      <c r="M2346" s="11"/>
      <c r="N2346" s="11"/>
      <c r="O2346" s="11"/>
      <c r="P2346" s="43"/>
      <c r="Q2346" s="11"/>
      <c r="R2346" s="11"/>
      <c r="S2346" s="11"/>
      <c r="T2346" s="11"/>
      <c r="U2346" s="11"/>
      <c r="V2346" s="11"/>
      <c r="W2346" s="11"/>
      <c r="X2346" s="12"/>
      <c r="Y2346" s="12"/>
      <c r="Z2346" s="12"/>
      <c r="AA2346" s="44"/>
      <c r="AB2346" s="45"/>
      <c r="AC2346" s="12"/>
      <c r="AD2346" s="12"/>
      <c r="AE2346" s="12"/>
      <c r="AF2346" s="12"/>
      <c r="AG2346" s="44"/>
      <c r="AH2346" s="45"/>
      <c r="AI2346" s="12"/>
      <c r="AJ2346" s="12"/>
      <c r="AK2346" s="12"/>
      <c r="AL2346" s="12"/>
      <c r="AM2346" s="44"/>
      <c r="AN2346" s="45"/>
      <c r="AO2346" s="12"/>
      <c r="AP2346" s="12"/>
      <c r="AQ2346" s="12"/>
      <c r="AR2346" s="12"/>
      <c r="AS2346" s="44"/>
      <c r="AT2346" s="45"/>
      <c r="AU2346" s="12"/>
      <c r="AV2346" s="12"/>
      <c r="AW2346" s="12"/>
      <c r="AX2346" s="12"/>
      <c r="AY2346" s="44"/>
      <c r="AZ2346" s="45"/>
      <c r="BA2346" s="12"/>
      <c r="BB2346" s="12"/>
      <c r="BC2346" s="12"/>
      <c r="BD2346" s="12"/>
      <c r="BE2346" s="44"/>
      <c r="BF2346" s="45"/>
      <c r="BG2346" s="12"/>
      <c r="BH2346" s="12"/>
      <c r="BI2346" s="12"/>
      <c r="BJ2346" s="12"/>
      <c r="BK2346" s="44"/>
      <c r="BL2346" s="45"/>
      <c r="BM2346" s="12"/>
      <c r="BN2346" s="12"/>
      <c r="BO2346" s="12"/>
      <c r="BP2346" s="12"/>
      <c r="BQ2346" s="48"/>
      <c r="BR2346" s="49"/>
      <c r="BS2346" s="13"/>
      <c r="BT2346" s="12"/>
      <c r="BV2346" s="14"/>
      <c r="BW2346" s="50"/>
      <c r="BX2346" s="54"/>
      <c r="BY2346" s="14"/>
      <c r="BZ2346" s="14"/>
      <c r="CA2346" s="14"/>
      <c r="CB2346" s="14"/>
      <c r="CC2346" s="14"/>
      <c r="CD2346" s="14"/>
      <c r="CE2346" s="14"/>
      <c r="CF2346" s="15"/>
      <c r="CG2346" s="14"/>
      <c r="CH2346" s="14"/>
      <c r="CI2346" s="50"/>
      <c r="CJ2346" s="54"/>
      <c r="CK2346" s="14"/>
      <c r="CL2346" s="14"/>
      <c r="CM2346" s="14"/>
      <c r="CN2346" s="14"/>
      <c r="CO2346" s="14"/>
      <c r="CP2346" s="14"/>
      <c r="CQ2346" s="14"/>
      <c r="CR2346" s="14"/>
      <c r="CS2346" s="14"/>
      <c r="CT2346" s="14"/>
      <c r="CU2346" s="16"/>
      <c r="CV2346" s="14"/>
      <c r="CW2346" s="50"/>
      <c r="CX2346" s="17"/>
    </row>
    <row r="2347" spans="4:102" x14ac:dyDescent="0.25">
      <c r="D2347" s="11"/>
      <c r="E2347" s="11"/>
      <c r="F2347" s="11"/>
      <c r="G2347" s="11"/>
      <c r="H2347" s="11"/>
      <c r="I2347" s="11"/>
      <c r="J2347" s="11"/>
      <c r="K2347" s="11"/>
      <c r="L2347" s="11"/>
      <c r="M2347" s="11"/>
      <c r="N2347" s="11"/>
      <c r="O2347" s="11"/>
      <c r="P2347" s="43"/>
      <c r="Q2347" s="11"/>
      <c r="R2347" s="11"/>
      <c r="S2347" s="11"/>
      <c r="T2347" s="11"/>
      <c r="U2347" s="11"/>
      <c r="V2347" s="11"/>
      <c r="W2347" s="11"/>
      <c r="X2347" s="12"/>
      <c r="Y2347" s="12"/>
      <c r="Z2347" s="12"/>
      <c r="AA2347" s="44"/>
      <c r="AB2347" s="45"/>
      <c r="AC2347" s="12"/>
      <c r="AD2347" s="12"/>
      <c r="AE2347" s="12"/>
      <c r="AF2347" s="12"/>
      <c r="AG2347" s="44"/>
      <c r="AH2347" s="45"/>
      <c r="AI2347" s="12"/>
      <c r="AJ2347" s="12"/>
      <c r="AK2347" s="12"/>
      <c r="AL2347" s="12"/>
      <c r="AM2347" s="44"/>
      <c r="AN2347" s="45"/>
      <c r="AO2347" s="12"/>
      <c r="AP2347" s="12"/>
      <c r="AQ2347" s="12"/>
      <c r="AR2347" s="12"/>
      <c r="AS2347" s="44"/>
      <c r="AT2347" s="45"/>
      <c r="AU2347" s="12"/>
      <c r="AV2347" s="12"/>
      <c r="AW2347" s="12"/>
      <c r="AX2347" s="12"/>
      <c r="AY2347" s="44"/>
      <c r="AZ2347" s="45"/>
      <c r="BA2347" s="12"/>
      <c r="BB2347" s="12"/>
      <c r="BC2347" s="12"/>
      <c r="BD2347" s="12"/>
      <c r="BE2347" s="44"/>
      <c r="BF2347" s="45"/>
      <c r="BG2347" s="12"/>
      <c r="BH2347" s="12"/>
      <c r="BI2347" s="12"/>
      <c r="BJ2347" s="12"/>
      <c r="BK2347" s="44"/>
      <c r="BL2347" s="45"/>
      <c r="BM2347" s="12"/>
      <c r="BN2347" s="12"/>
      <c r="BO2347" s="12"/>
      <c r="BP2347" s="12"/>
      <c r="BQ2347" s="48"/>
      <c r="BR2347" s="49"/>
      <c r="BS2347" s="13"/>
      <c r="BT2347" s="12"/>
      <c r="BV2347" s="14"/>
      <c r="BW2347" s="50"/>
      <c r="BX2347" s="54"/>
      <c r="BY2347" s="14"/>
      <c r="BZ2347" s="14"/>
      <c r="CA2347" s="14"/>
      <c r="CB2347" s="14"/>
      <c r="CC2347" s="14"/>
      <c r="CD2347" s="14"/>
      <c r="CE2347" s="14"/>
      <c r="CF2347" s="15"/>
      <c r="CG2347" s="14"/>
      <c r="CH2347" s="14"/>
      <c r="CI2347" s="50"/>
      <c r="CJ2347" s="54"/>
      <c r="CK2347" s="14"/>
      <c r="CL2347" s="14"/>
      <c r="CM2347" s="14"/>
      <c r="CN2347" s="14"/>
      <c r="CO2347" s="14"/>
      <c r="CP2347" s="14"/>
      <c r="CQ2347" s="14"/>
      <c r="CR2347" s="14"/>
      <c r="CS2347" s="14"/>
      <c r="CT2347" s="14"/>
      <c r="CU2347" s="16"/>
      <c r="CV2347" s="14"/>
      <c r="CW2347" s="50"/>
      <c r="CX2347" s="17"/>
    </row>
    <row r="2348" spans="4:102" x14ac:dyDescent="0.25">
      <c r="D2348" s="11"/>
      <c r="E2348" s="11"/>
      <c r="F2348" s="11"/>
      <c r="G2348" s="11"/>
      <c r="H2348" s="11"/>
      <c r="I2348" s="11"/>
      <c r="J2348" s="11"/>
      <c r="K2348" s="11"/>
      <c r="L2348" s="11"/>
      <c r="M2348" s="11"/>
      <c r="N2348" s="11"/>
      <c r="O2348" s="11"/>
      <c r="P2348" s="43"/>
      <c r="Q2348" s="11"/>
      <c r="R2348" s="11"/>
      <c r="S2348" s="11"/>
      <c r="T2348" s="11"/>
      <c r="U2348" s="11"/>
      <c r="V2348" s="11"/>
      <c r="W2348" s="11"/>
      <c r="X2348" s="12"/>
      <c r="Y2348" s="12"/>
      <c r="Z2348" s="12"/>
      <c r="AA2348" s="44"/>
      <c r="AB2348" s="45"/>
      <c r="AC2348" s="12"/>
      <c r="AD2348" s="12"/>
      <c r="AE2348" s="12"/>
      <c r="AF2348" s="12"/>
      <c r="AG2348" s="44"/>
      <c r="AH2348" s="45"/>
      <c r="AI2348" s="12"/>
      <c r="AJ2348" s="12"/>
      <c r="AK2348" s="12"/>
      <c r="AL2348" s="12"/>
      <c r="AM2348" s="44"/>
      <c r="AN2348" s="45"/>
      <c r="AO2348" s="12"/>
      <c r="AP2348" s="12"/>
      <c r="AQ2348" s="12"/>
      <c r="AR2348" s="12"/>
      <c r="AS2348" s="44"/>
      <c r="AT2348" s="45"/>
      <c r="AU2348" s="12"/>
      <c r="AV2348" s="12"/>
      <c r="AW2348" s="12"/>
      <c r="AX2348" s="12"/>
      <c r="AY2348" s="44"/>
      <c r="AZ2348" s="45"/>
      <c r="BA2348" s="12"/>
      <c r="BB2348" s="12"/>
      <c r="BC2348" s="12"/>
      <c r="BD2348" s="12"/>
      <c r="BE2348" s="44"/>
      <c r="BF2348" s="45"/>
      <c r="BG2348" s="12"/>
      <c r="BH2348" s="12"/>
      <c r="BI2348" s="12"/>
      <c r="BJ2348" s="12"/>
      <c r="BK2348" s="44"/>
      <c r="BL2348" s="45"/>
      <c r="BM2348" s="12"/>
      <c r="BN2348" s="12"/>
      <c r="BO2348" s="12"/>
      <c r="BP2348" s="12"/>
      <c r="BQ2348" s="48"/>
      <c r="BR2348" s="49"/>
      <c r="BS2348" s="13"/>
      <c r="BT2348" s="12"/>
      <c r="BV2348" s="14"/>
      <c r="BW2348" s="50"/>
      <c r="BX2348" s="54"/>
      <c r="BY2348" s="14"/>
      <c r="BZ2348" s="14"/>
      <c r="CA2348" s="14"/>
      <c r="CB2348" s="14"/>
      <c r="CC2348" s="14"/>
      <c r="CD2348" s="14"/>
      <c r="CE2348" s="14"/>
      <c r="CF2348" s="15"/>
      <c r="CG2348" s="14"/>
      <c r="CH2348" s="14"/>
      <c r="CI2348" s="50"/>
      <c r="CJ2348" s="54"/>
      <c r="CK2348" s="14"/>
      <c r="CL2348" s="14"/>
      <c r="CM2348" s="14"/>
      <c r="CN2348" s="14"/>
      <c r="CO2348" s="14"/>
      <c r="CP2348" s="14"/>
      <c r="CQ2348" s="14"/>
      <c r="CR2348" s="14"/>
      <c r="CS2348" s="14"/>
      <c r="CT2348" s="14"/>
      <c r="CU2348" s="16"/>
      <c r="CV2348" s="14"/>
      <c r="CW2348" s="50"/>
      <c r="CX2348" s="17"/>
    </row>
    <row r="2349" spans="4:102" x14ac:dyDescent="0.25">
      <c r="D2349" s="11"/>
      <c r="E2349" s="11"/>
      <c r="F2349" s="11"/>
      <c r="G2349" s="11"/>
      <c r="H2349" s="11"/>
      <c r="I2349" s="11"/>
      <c r="J2349" s="11"/>
      <c r="K2349" s="11"/>
      <c r="L2349" s="11"/>
      <c r="M2349" s="11"/>
      <c r="N2349" s="11"/>
      <c r="O2349" s="11"/>
      <c r="P2349" s="43"/>
      <c r="Q2349" s="11"/>
      <c r="R2349" s="11"/>
      <c r="S2349" s="11"/>
      <c r="T2349" s="11"/>
      <c r="U2349" s="11"/>
      <c r="V2349" s="11"/>
      <c r="W2349" s="11"/>
      <c r="X2349" s="12"/>
      <c r="Y2349" s="12"/>
      <c r="Z2349" s="12"/>
      <c r="AA2349" s="44"/>
      <c r="AB2349" s="45"/>
      <c r="AC2349" s="12"/>
      <c r="AD2349" s="12"/>
      <c r="AE2349" s="12"/>
      <c r="AF2349" s="12"/>
      <c r="AG2349" s="44"/>
      <c r="AH2349" s="45"/>
      <c r="AI2349" s="12"/>
      <c r="AJ2349" s="12"/>
      <c r="AK2349" s="12"/>
      <c r="AL2349" s="12"/>
      <c r="AM2349" s="44"/>
      <c r="AN2349" s="45"/>
      <c r="AO2349" s="12"/>
      <c r="AP2349" s="12"/>
      <c r="AQ2349" s="12"/>
      <c r="AR2349" s="12"/>
      <c r="AS2349" s="44"/>
      <c r="AT2349" s="45"/>
      <c r="AU2349" s="12"/>
      <c r="AV2349" s="12"/>
      <c r="AW2349" s="12"/>
      <c r="AX2349" s="12"/>
      <c r="AY2349" s="44"/>
      <c r="AZ2349" s="45"/>
      <c r="BA2349" s="12"/>
      <c r="BB2349" s="12"/>
      <c r="BC2349" s="12"/>
      <c r="BD2349" s="12"/>
      <c r="BE2349" s="44"/>
      <c r="BF2349" s="45"/>
      <c r="BG2349" s="12"/>
      <c r="BH2349" s="12"/>
      <c r="BI2349" s="12"/>
      <c r="BJ2349" s="12"/>
      <c r="BK2349" s="44"/>
      <c r="BL2349" s="45"/>
      <c r="BM2349" s="12"/>
      <c r="BN2349" s="12"/>
      <c r="BO2349" s="12"/>
      <c r="BP2349" s="12"/>
      <c r="BQ2349" s="48"/>
      <c r="BR2349" s="49"/>
      <c r="BS2349" s="13"/>
      <c r="BT2349" s="12"/>
      <c r="BV2349" s="14"/>
      <c r="BW2349" s="50"/>
      <c r="BX2349" s="54"/>
      <c r="BY2349" s="14"/>
      <c r="BZ2349" s="14"/>
      <c r="CA2349" s="14"/>
      <c r="CB2349" s="14"/>
      <c r="CC2349" s="14"/>
      <c r="CD2349" s="14"/>
      <c r="CE2349" s="14"/>
      <c r="CF2349" s="15"/>
      <c r="CG2349" s="14"/>
      <c r="CH2349" s="14"/>
      <c r="CI2349" s="50"/>
      <c r="CJ2349" s="54"/>
      <c r="CK2349" s="14"/>
      <c r="CL2349" s="14"/>
      <c r="CM2349" s="14"/>
      <c r="CN2349" s="14"/>
      <c r="CO2349" s="14"/>
      <c r="CP2349" s="14"/>
      <c r="CQ2349" s="14"/>
      <c r="CR2349" s="14"/>
      <c r="CS2349" s="14"/>
      <c r="CT2349" s="14"/>
      <c r="CU2349" s="16"/>
      <c r="CV2349" s="14"/>
      <c r="CW2349" s="50"/>
      <c r="CX2349" s="17"/>
    </row>
    <row r="2350" spans="4:102" x14ac:dyDescent="0.25">
      <c r="D2350" s="11"/>
      <c r="E2350" s="11"/>
      <c r="F2350" s="11"/>
      <c r="G2350" s="11"/>
      <c r="H2350" s="11"/>
      <c r="I2350" s="11"/>
      <c r="J2350" s="11"/>
      <c r="K2350" s="11"/>
      <c r="L2350" s="11"/>
      <c r="M2350" s="11"/>
      <c r="N2350" s="11"/>
      <c r="O2350" s="11"/>
      <c r="P2350" s="43"/>
      <c r="Q2350" s="11"/>
      <c r="R2350" s="11"/>
      <c r="S2350" s="11"/>
      <c r="T2350" s="11"/>
      <c r="U2350" s="11"/>
      <c r="V2350" s="11"/>
      <c r="W2350" s="11"/>
      <c r="X2350" s="12"/>
      <c r="Y2350" s="12"/>
      <c r="Z2350" s="12"/>
      <c r="AA2350" s="44"/>
      <c r="AB2350" s="45"/>
      <c r="AC2350" s="12"/>
      <c r="AD2350" s="12"/>
      <c r="AE2350" s="12"/>
      <c r="AF2350" s="12"/>
      <c r="AG2350" s="44"/>
      <c r="AH2350" s="45"/>
      <c r="AI2350" s="12"/>
      <c r="AJ2350" s="12"/>
      <c r="AK2350" s="12"/>
      <c r="AL2350" s="12"/>
      <c r="AM2350" s="44"/>
      <c r="AN2350" s="45"/>
      <c r="AO2350" s="12"/>
      <c r="AP2350" s="12"/>
      <c r="AQ2350" s="12"/>
      <c r="AR2350" s="12"/>
      <c r="AS2350" s="44"/>
      <c r="AT2350" s="45"/>
      <c r="AU2350" s="12"/>
      <c r="AV2350" s="12"/>
      <c r="AW2350" s="12"/>
      <c r="AX2350" s="12"/>
      <c r="AY2350" s="44"/>
      <c r="AZ2350" s="45"/>
      <c r="BA2350" s="12"/>
      <c r="BB2350" s="12"/>
      <c r="BC2350" s="12"/>
      <c r="BD2350" s="12"/>
      <c r="BE2350" s="44"/>
      <c r="BF2350" s="45"/>
      <c r="BG2350" s="12"/>
      <c r="BH2350" s="12"/>
      <c r="BI2350" s="12"/>
      <c r="BJ2350" s="12"/>
      <c r="BK2350" s="44"/>
      <c r="BL2350" s="45"/>
      <c r="BM2350" s="12"/>
      <c r="BN2350" s="12"/>
      <c r="BO2350" s="12"/>
      <c r="BP2350" s="12"/>
      <c r="BQ2350" s="48"/>
      <c r="BR2350" s="49"/>
      <c r="BS2350" s="13"/>
      <c r="BT2350" s="12"/>
      <c r="BV2350" s="14"/>
      <c r="BW2350" s="50"/>
      <c r="BX2350" s="54"/>
      <c r="BY2350" s="14"/>
      <c r="BZ2350" s="14"/>
      <c r="CA2350" s="14"/>
      <c r="CB2350" s="14"/>
      <c r="CC2350" s="14"/>
      <c r="CD2350" s="14"/>
      <c r="CE2350" s="14"/>
      <c r="CF2350" s="15"/>
      <c r="CG2350" s="14"/>
      <c r="CH2350" s="14"/>
      <c r="CI2350" s="50"/>
      <c r="CJ2350" s="54"/>
      <c r="CK2350" s="14"/>
      <c r="CL2350" s="14"/>
      <c r="CM2350" s="14"/>
      <c r="CN2350" s="14"/>
      <c r="CO2350" s="14"/>
      <c r="CP2350" s="14"/>
      <c r="CQ2350" s="14"/>
      <c r="CR2350" s="14"/>
      <c r="CS2350" s="14"/>
      <c r="CT2350" s="14"/>
      <c r="CU2350" s="16"/>
      <c r="CV2350" s="14"/>
      <c r="CW2350" s="50"/>
      <c r="CX2350" s="17"/>
    </row>
    <row r="2351" spans="4:102" x14ac:dyDescent="0.25">
      <c r="D2351" s="11"/>
      <c r="E2351" s="11"/>
      <c r="F2351" s="11"/>
      <c r="G2351" s="11"/>
      <c r="H2351" s="11"/>
      <c r="I2351" s="11"/>
      <c r="J2351" s="11"/>
      <c r="K2351" s="11"/>
      <c r="L2351" s="11"/>
      <c r="M2351" s="11"/>
      <c r="N2351" s="11"/>
      <c r="O2351" s="11"/>
      <c r="P2351" s="43"/>
      <c r="Q2351" s="11"/>
      <c r="R2351" s="11"/>
      <c r="S2351" s="11"/>
      <c r="T2351" s="11"/>
      <c r="U2351" s="11"/>
      <c r="V2351" s="11"/>
      <c r="W2351" s="11"/>
      <c r="X2351" s="12"/>
      <c r="Y2351" s="12"/>
      <c r="Z2351" s="12"/>
      <c r="AA2351" s="44"/>
      <c r="AB2351" s="45"/>
      <c r="AC2351" s="12"/>
      <c r="AD2351" s="12"/>
      <c r="AE2351" s="12"/>
      <c r="AF2351" s="12"/>
      <c r="AG2351" s="44"/>
      <c r="AH2351" s="45"/>
      <c r="AI2351" s="12"/>
      <c r="AJ2351" s="12"/>
      <c r="AK2351" s="12"/>
      <c r="AL2351" s="12"/>
      <c r="AM2351" s="44"/>
      <c r="AN2351" s="45"/>
      <c r="AO2351" s="12"/>
      <c r="AP2351" s="12"/>
      <c r="AQ2351" s="12"/>
      <c r="AR2351" s="12"/>
      <c r="AS2351" s="44"/>
      <c r="AT2351" s="45"/>
      <c r="AU2351" s="12"/>
      <c r="AV2351" s="12"/>
      <c r="AW2351" s="12"/>
      <c r="AX2351" s="12"/>
      <c r="AY2351" s="44"/>
      <c r="AZ2351" s="45"/>
      <c r="BA2351" s="12"/>
      <c r="BB2351" s="12"/>
      <c r="BC2351" s="12"/>
      <c r="BD2351" s="12"/>
      <c r="BE2351" s="44"/>
      <c r="BF2351" s="45"/>
      <c r="BG2351" s="12"/>
      <c r="BH2351" s="12"/>
      <c r="BI2351" s="12"/>
      <c r="BJ2351" s="12"/>
      <c r="BK2351" s="44"/>
      <c r="BL2351" s="45"/>
      <c r="BM2351" s="12"/>
      <c r="BN2351" s="12"/>
      <c r="BO2351" s="12"/>
      <c r="BP2351" s="12"/>
      <c r="BQ2351" s="48"/>
      <c r="BR2351" s="49"/>
      <c r="BS2351" s="13"/>
      <c r="BT2351" s="12"/>
      <c r="BV2351" s="14"/>
      <c r="BW2351" s="50"/>
      <c r="BX2351" s="54"/>
      <c r="BY2351" s="14"/>
      <c r="BZ2351" s="14"/>
      <c r="CA2351" s="14"/>
      <c r="CB2351" s="14"/>
      <c r="CC2351" s="14"/>
      <c r="CD2351" s="14"/>
      <c r="CE2351" s="14"/>
      <c r="CF2351" s="15"/>
      <c r="CG2351" s="14"/>
      <c r="CH2351" s="14"/>
      <c r="CI2351" s="50"/>
      <c r="CJ2351" s="54"/>
      <c r="CK2351" s="14"/>
      <c r="CL2351" s="14"/>
      <c r="CM2351" s="14"/>
      <c r="CN2351" s="14"/>
      <c r="CO2351" s="14"/>
      <c r="CP2351" s="14"/>
      <c r="CQ2351" s="14"/>
      <c r="CR2351" s="14"/>
      <c r="CS2351" s="14"/>
      <c r="CT2351" s="14"/>
      <c r="CU2351" s="16"/>
      <c r="CV2351" s="14"/>
      <c r="CW2351" s="50"/>
      <c r="CX2351" s="17"/>
    </row>
    <row r="2352" spans="4:102" x14ac:dyDescent="0.25">
      <c r="D2352" s="11"/>
      <c r="E2352" s="11"/>
      <c r="F2352" s="11"/>
      <c r="G2352" s="11"/>
      <c r="H2352" s="11"/>
      <c r="I2352" s="11"/>
      <c r="J2352" s="11"/>
      <c r="K2352" s="11"/>
      <c r="L2352" s="11"/>
      <c r="M2352" s="11"/>
      <c r="N2352" s="11"/>
      <c r="O2352" s="11"/>
      <c r="P2352" s="43"/>
      <c r="Q2352" s="11"/>
      <c r="R2352" s="11"/>
      <c r="S2352" s="11"/>
      <c r="T2352" s="11"/>
      <c r="U2352" s="11"/>
      <c r="V2352" s="11"/>
      <c r="W2352" s="11"/>
      <c r="X2352" s="12"/>
      <c r="Y2352" s="12"/>
      <c r="Z2352" s="12"/>
      <c r="AA2352" s="44"/>
      <c r="AB2352" s="45"/>
      <c r="AC2352" s="12"/>
      <c r="AD2352" s="12"/>
      <c r="AE2352" s="12"/>
      <c r="AF2352" s="12"/>
      <c r="AG2352" s="44"/>
      <c r="AH2352" s="45"/>
      <c r="AI2352" s="12"/>
      <c r="AJ2352" s="12"/>
      <c r="AK2352" s="12"/>
      <c r="AL2352" s="12"/>
      <c r="AM2352" s="44"/>
      <c r="AN2352" s="45"/>
      <c r="AO2352" s="12"/>
      <c r="AP2352" s="12"/>
      <c r="AQ2352" s="12"/>
      <c r="AR2352" s="12"/>
      <c r="AS2352" s="44"/>
      <c r="AT2352" s="45"/>
      <c r="AU2352" s="12"/>
      <c r="AV2352" s="12"/>
      <c r="AW2352" s="12"/>
      <c r="AX2352" s="12"/>
      <c r="AY2352" s="44"/>
      <c r="AZ2352" s="45"/>
      <c r="BA2352" s="12"/>
      <c r="BB2352" s="12"/>
      <c r="BC2352" s="12"/>
      <c r="BD2352" s="12"/>
      <c r="BE2352" s="44"/>
      <c r="BF2352" s="45"/>
      <c r="BG2352" s="12"/>
      <c r="BH2352" s="12"/>
      <c r="BI2352" s="12"/>
      <c r="BJ2352" s="12"/>
      <c r="BK2352" s="44"/>
      <c r="BL2352" s="45"/>
      <c r="BM2352" s="12"/>
      <c r="BN2352" s="12"/>
      <c r="BO2352" s="12"/>
      <c r="BP2352" s="12"/>
      <c r="BQ2352" s="48"/>
      <c r="BR2352" s="49"/>
      <c r="BS2352" s="13"/>
      <c r="BT2352" s="12"/>
      <c r="BV2352" s="14"/>
      <c r="BW2352" s="50"/>
      <c r="BX2352" s="54"/>
      <c r="BY2352" s="14"/>
      <c r="BZ2352" s="14"/>
      <c r="CA2352" s="14"/>
      <c r="CB2352" s="14"/>
      <c r="CC2352" s="14"/>
      <c r="CD2352" s="14"/>
      <c r="CE2352" s="14"/>
      <c r="CF2352" s="15"/>
      <c r="CG2352" s="14"/>
      <c r="CH2352" s="14"/>
      <c r="CI2352" s="50"/>
      <c r="CJ2352" s="54"/>
      <c r="CK2352" s="14"/>
      <c r="CL2352" s="14"/>
      <c r="CM2352" s="14"/>
      <c r="CN2352" s="14"/>
      <c r="CO2352" s="14"/>
      <c r="CP2352" s="14"/>
      <c r="CQ2352" s="14"/>
      <c r="CR2352" s="14"/>
      <c r="CS2352" s="14"/>
      <c r="CT2352" s="14"/>
      <c r="CU2352" s="16"/>
      <c r="CV2352" s="14"/>
      <c r="CW2352" s="50"/>
      <c r="CX2352" s="17"/>
    </row>
    <row r="2353" spans="4:102" x14ac:dyDescent="0.25">
      <c r="D2353" s="11"/>
      <c r="E2353" s="11"/>
      <c r="F2353" s="11"/>
      <c r="G2353" s="11"/>
      <c r="H2353" s="11"/>
      <c r="I2353" s="11"/>
      <c r="J2353" s="11"/>
      <c r="K2353" s="11"/>
      <c r="L2353" s="11"/>
      <c r="M2353" s="11"/>
      <c r="N2353" s="11"/>
      <c r="O2353" s="11"/>
      <c r="P2353" s="43"/>
      <c r="Q2353" s="11"/>
      <c r="R2353" s="11"/>
      <c r="S2353" s="11"/>
      <c r="T2353" s="11"/>
      <c r="U2353" s="11"/>
      <c r="V2353" s="11"/>
      <c r="W2353" s="11"/>
      <c r="X2353" s="12"/>
      <c r="Y2353" s="12"/>
      <c r="Z2353" s="12"/>
      <c r="AA2353" s="44"/>
      <c r="AB2353" s="45"/>
      <c r="AC2353" s="12"/>
      <c r="AD2353" s="12"/>
      <c r="AE2353" s="12"/>
      <c r="AF2353" s="12"/>
      <c r="AG2353" s="44"/>
      <c r="AH2353" s="45"/>
      <c r="AI2353" s="12"/>
      <c r="AJ2353" s="12"/>
      <c r="AK2353" s="12"/>
      <c r="AL2353" s="12"/>
      <c r="AM2353" s="44"/>
      <c r="AN2353" s="45"/>
      <c r="AO2353" s="12"/>
      <c r="AP2353" s="12"/>
      <c r="AQ2353" s="12"/>
      <c r="AR2353" s="12"/>
      <c r="AS2353" s="44"/>
      <c r="AT2353" s="45"/>
      <c r="AU2353" s="12"/>
      <c r="AV2353" s="12"/>
      <c r="AW2353" s="12"/>
      <c r="AX2353" s="12"/>
      <c r="AY2353" s="44"/>
      <c r="AZ2353" s="45"/>
      <c r="BA2353" s="12"/>
      <c r="BB2353" s="12"/>
      <c r="BC2353" s="12"/>
      <c r="BD2353" s="12"/>
      <c r="BE2353" s="44"/>
      <c r="BF2353" s="45"/>
      <c r="BG2353" s="12"/>
      <c r="BH2353" s="12"/>
      <c r="BI2353" s="12"/>
      <c r="BJ2353" s="12"/>
      <c r="BK2353" s="44"/>
      <c r="BL2353" s="45"/>
      <c r="BM2353" s="12"/>
      <c r="BN2353" s="12"/>
      <c r="BO2353" s="12"/>
      <c r="BP2353" s="12"/>
      <c r="BQ2353" s="48"/>
      <c r="BR2353" s="49"/>
      <c r="BS2353" s="13"/>
      <c r="BT2353" s="12"/>
      <c r="BV2353" s="14"/>
      <c r="BW2353" s="50"/>
      <c r="BX2353" s="54"/>
      <c r="BY2353" s="14"/>
      <c r="BZ2353" s="14"/>
      <c r="CA2353" s="14"/>
      <c r="CB2353" s="14"/>
      <c r="CC2353" s="14"/>
      <c r="CD2353" s="14"/>
      <c r="CE2353" s="14"/>
      <c r="CF2353" s="15"/>
      <c r="CG2353" s="14"/>
      <c r="CH2353" s="14"/>
      <c r="CI2353" s="50"/>
      <c r="CJ2353" s="54"/>
      <c r="CK2353" s="14"/>
      <c r="CL2353" s="14"/>
      <c r="CM2353" s="14"/>
      <c r="CN2353" s="14"/>
      <c r="CO2353" s="14"/>
      <c r="CP2353" s="14"/>
      <c r="CQ2353" s="14"/>
      <c r="CR2353" s="14"/>
      <c r="CS2353" s="14"/>
      <c r="CT2353" s="14"/>
      <c r="CU2353" s="16"/>
      <c r="CV2353" s="14"/>
      <c r="CW2353" s="50"/>
      <c r="CX2353" s="17"/>
    </row>
    <row r="2354" spans="4:102" x14ac:dyDescent="0.25">
      <c r="D2354" s="11"/>
      <c r="E2354" s="11"/>
      <c r="F2354" s="11"/>
      <c r="G2354" s="11"/>
      <c r="H2354" s="11"/>
      <c r="I2354" s="11"/>
      <c r="J2354" s="11"/>
      <c r="K2354" s="11"/>
      <c r="L2354" s="11"/>
      <c r="M2354" s="11"/>
      <c r="N2354" s="11"/>
      <c r="O2354" s="11"/>
      <c r="P2354" s="43"/>
      <c r="Q2354" s="11"/>
      <c r="R2354" s="11"/>
      <c r="S2354" s="11"/>
      <c r="T2354" s="11"/>
      <c r="U2354" s="11"/>
      <c r="V2354" s="11"/>
      <c r="W2354" s="11"/>
      <c r="X2354" s="12"/>
      <c r="Y2354" s="12"/>
      <c r="Z2354" s="12"/>
      <c r="AA2354" s="44"/>
      <c r="AB2354" s="45"/>
      <c r="AC2354" s="12"/>
      <c r="AD2354" s="12"/>
      <c r="AE2354" s="12"/>
      <c r="AF2354" s="12"/>
      <c r="AG2354" s="44"/>
      <c r="AH2354" s="45"/>
      <c r="AI2354" s="12"/>
      <c r="AJ2354" s="12"/>
      <c r="AK2354" s="12"/>
      <c r="AL2354" s="12"/>
      <c r="AM2354" s="44"/>
      <c r="AN2354" s="45"/>
      <c r="AO2354" s="12"/>
      <c r="AP2354" s="12"/>
      <c r="AQ2354" s="12"/>
      <c r="AR2354" s="12"/>
      <c r="AS2354" s="44"/>
      <c r="AT2354" s="45"/>
      <c r="AU2354" s="12"/>
      <c r="AV2354" s="12"/>
      <c r="AW2354" s="12"/>
      <c r="AX2354" s="12"/>
      <c r="AY2354" s="44"/>
      <c r="AZ2354" s="45"/>
      <c r="BA2354" s="12"/>
      <c r="BB2354" s="12"/>
      <c r="BC2354" s="12"/>
      <c r="BD2354" s="12"/>
      <c r="BE2354" s="44"/>
      <c r="BF2354" s="45"/>
      <c r="BG2354" s="12"/>
      <c r="BH2354" s="12"/>
      <c r="BI2354" s="12"/>
      <c r="BJ2354" s="12"/>
      <c r="BK2354" s="44"/>
      <c r="BL2354" s="45"/>
      <c r="BM2354" s="12"/>
      <c r="BN2354" s="12"/>
      <c r="BO2354" s="12"/>
      <c r="BP2354" s="12"/>
      <c r="BQ2354" s="48"/>
      <c r="BR2354" s="49"/>
      <c r="BS2354" s="13"/>
      <c r="BT2354" s="12"/>
      <c r="BV2354" s="14"/>
      <c r="BW2354" s="50"/>
      <c r="BX2354" s="54"/>
      <c r="BY2354" s="14"/>
      <c r="BZ2354" s="14"/>
      <c r="CA2354" s="14"/>
      <c r="CB2354" s="14"/>
      <c r="CC2354" s="14"/>
      <c r="CD2354" s="14"/>
      <c r="CE2354" s="14"/>
      <c r="CF2354" s="15"/>
      <c r="CG2354" s="14"/>
      <c r="CH2354" s="14"/>
      <c r="CI2354" s="50"/>
      <c r="CJ2354" s="54"/>
      <c r="CK2354" s="14"/>
      <c r="CL2354" s="14"/>
      <c r="CM2354" s="14"/>
      <c r="CN2354" s="14"/>
      <c r="CO2354" s="14"/>
      <c r="CP2354" s="14"/>
      <c r="CQ2354" s="14"/>
      <c r="CR2354" s="14"/>
      <c r="CS2354" s="14"/>
      <c r="CT2354" s="14"/>
      <c r="CU2354" s="16"/>
      <c r="CV2354" s="14"/>
      <c r="CW2354" s="50"/>
      <c r="CX2354" s="17"/>
    </row>
    <row r="2355" spans="4:102" x14ac:dyDescent="0.25">
      <c r="D2355" s="11"/>
      <c r="E2355" s="11"/>
      <c r="F2355" s="11"/>
      <c r="G2355" s="11"/>
      <c r="H2355" s="11"/>
      <c r="I2355" s="11"/>
      <c r="J2355" s="11"/>
      <c r="K2355" s="11"/>
      <c r="L2355" s="11"/>
      <c r="M2355" s="11"/>
      <c r="N2355" s="11"/>
      <c r="O2355" s="11"/>
      <c r="P2355" s="43"/>
      <c r="Q2355" s="11"/>
      <c r="R2355" s="11"/>
      <c r="S2355" s="11"/>
      <c r="T2355" s="11"/>
      <c r="U2355" s="11"/>
      <c r="V2355" s="11"/>
      <c r="W2355" s="11"/>
      <c r="X2355" s="12"/>
      <c r="Y2355" s="12"/>
      <c r="Z2355" s="12"/>
      <c r="AA2355" s="44"/>
      <c r="AB2355" s="45"/>
      <c r="AC2355" s="12"/>
      <c r="AD2355" s="12"/>
      <c r="AE2355" s="12"/>
      <c r="AF2355" s="12"/>
      <c r="AG2355" s="44"/>
      <c r="AH2355" s="45"/>
      <c r="AI2355" s="12"/>
      <c r="AJ2355" s="12"/>
      <c r="AK2355" s="12"/>
      <c r="AL2355" s="12"/>
      <c r="AM2355" s="44"/>
      <c r="AN2355" s="45"/>
      <c r="AO2355" s="12"/>
      <c r="AP2355" s="12"/>
      <c r="AQ2355" s="12"/>
      <c r="AR2355" s="12"/>
      <c r="AS2355" s="44"/>
      <c r="AT2355" s="45"/>
      <c r="AU2355" s="12"/>
      <c r="AV2355" s="12"/>
      <c r="AW2355" s="12"/>
      <c r="AX2355" s="12"/>
      <c r="AY2355" s="44"/>
      <c r="AZ2355" s="45"/>
      <c r="BA2355" s="12"/>
      <c r="BB2355" s="12"/>
      <c r="BC2355" s="12"/>
      <c r="BD2355" s="12"/>
      <c r="BE2355" s="44"/>
      <c r="BF2355" s="45"/>
      <c r="BG2355" s="12"/>
      <c r="BH2355" s="12"/>
      <c r="BI2355" s="12"/>
      <c r="BJ2355" s="12"/>
      <c r="BK2355" s="44"/>
      <c r="BL2355" s="45"/>
      <c r="BM2355" s="12"/>
      <c r="BN2355" s="12"/>
      <c r="BO2355" s="12"/>
      <c r="BP2355" s="12"/>
      <c r="BQ2355" s="48"/>
      <c r="BR2355" s="49"/>
      <c r="BS2355" s="13"/>
      <c r="BT2355" s="12"/>
      <c r="BV2355" s="14"/>
      <c r="BW2355" s="50"/>
      <c r="BX2355" s="54"/>
      <c r="BY2355" s="14"/>
      <c r="BZ2355" s="14"/>
      <c r="CA2355" s="14"/>
      <c r="CB2355" s="14"/>
      <c r="CC2355" s="14"/>
      <c r="CD2355" s="14"/>
      <c r="CE2355" s="14"/>
      <c r="CF2355" s="15"/>
      <c r="CG2355" s="14"/>
      <c r="CH2355" s="14"/>
      <c r="CI2355" s="50"/>
      <c r="CJ2355" s="54"/>
      <c r="CK2355" s="14"/>
      <c r="CL2355" s="14"/>
      <c r="CM2355" s="14"/>
      <c r="CN2355" s="14"/>
      <c r="CO2355" s="14"/>
      <c r="CP2355" s="14"/>
      <c r="CQ2355" s="14"/>
      <c r="CR2355" s="14"/>
      <c r="CS2355" s="14"/>
      <c r="CT2355" s="14"/>
      <c r="CU2355" s="16"/>
      <c r="CV2355" s="14"/>
      <c r="CW2355" s="50"/>
      <c r="CX2355" s="17"/>
    </row>
    <row r="2356" spans="4:102" x14ac:dyDescent="0.25">
      <c r="D2356" s="11"/>
      <c r="E2356" s="11"/>
      <c r="F2356" s="11"/>
      <c r="G2356" s="11"/>
      <c r="H2356" s="11"/>
      <c r="I2356" s="11"/>
      <c r="J2356" s="11"/>
      <c r="K2356" s="11"/>
      <c r="L2356" s="11"/>
      <c r="M2356" s="11"/>
      <c r="N2356" s="11"/>
      <c r="O2356" s="11"/>
      <c r="P2356" s="43"/>
      <c r="Q2356" s="11"/>
      <c r="R2356" s="11"/>
      <c r="S2356" s="11"/>
      <c r="T2356" s="11"/>
      <c r="U2356" s="11"/>
      <c r="V2356" s="11"/>
      <c r="W2356" s="11"/>
      <c r="X2356" s="12"/>
      <c r="Y2356" s="12"/>
      <c r="Z2356" s="12"/>
      <c r="AA2356" s="44"/>
      <c r="AB2356" s="45"/>
      <c r="AC2356" s="12"/>
      <c r="AD2356" s="12"/>
      <c r="AE2356" s="12"/>
      <c r="AF2356" s="12"/>
      <c r="AG2356" s="44"/>
      <c r="AH2356" s="45"/>
      <c r="AI2356" s="12"/>
      <c r="AJ2356" s="12"/>
      <c r="AK2356" s="12"/>
      <c r="AL2356" s="12"/>
      <c r="AM2356" s="44"/>
      <c r="AN2356" s="45"/>
      <c r="AO2356" s="12"/>
      <c r="AP2356" s="12"/>
      <c r="AQ2356" s="12"/>
      <c r="AR2356" s="12"/>
      <c r="AS2356" s="44"/>
      <c r="AT2356" s="45"/>
      <c r="AU2356" s="12"/>
      <c r="AV2356" s="12"/>
      <c r="AW2356" s="12"/>
      <c r="AX2356" s="12"/>
      <c r="AY2356" s="44"/>
      <c r="AZ2356" s="45"/>
      <c r="BA2356" s="12"/>
      <c r="BB2356" s="12"/>
      <c r="BC2356" s="12"/>
      <c r="BD2356" s="12"/>
      <c r="BE2356" s="44"/>
      <c r="BF2356" s="45"/>
      <c r="BG2356" s="12"/>
      <c r="BH2356" s="12"/>
      <c r="BI2356" s="12"/>
      <c r="BJ2356" s="12"/>
      <c r="BK2356" s="44"/>
      <c r="BL2356" s="45"/>
      <c r="BM2356" s="12"/>
      <c r="BN2356" s="12"/>
      <c r="BO2356" s="12"/>
      <c r="BP2356" s="12"/>
      <c r="BQ2356" s="48"/>
      <c r="BR2356" s="49"/>
      <c r="BS2356" s="13"/>
      <c r="BT2356" s="12"/>
      <c r="BV2356" s="14"/>
      <c r="BW2356" s="50"/>
      <c r="BX2356" s="54"/>
      <c r="BY2356" s="14"/>
      <c r="BZ2356" s="14"/>
      <c r="CA2356" s="14"/>
      <c r="CB2356" s="14"/>
      <c r="CC2356" s="14"/>
      <c r="CD2356" s="14"/>
      <c r="CE2356" s="14"/>
      <c r="CF2356" s="15"/>
      <c r="CG2356" s="14"/>
      <c r="CH2356" s="14"/>
      <c r="CI2356" s="50"/>
      <c r="CJ2356" s="54"/>
      <c r="CK2356" s="14"/>
      <c r="CL2356" s="14"/>
      <c r="CM2356" s="14"/>
      <c r="CN2356" s="14"/>
      <c r="CO2356" s="14"/>
      <c r="CP2356" s="14"/>
      <c r="CQ2356" s="14"/>
      <c r="CR2356" s="14"/>
      <c r="CS2356" s="14"/>
      <c r="CT2356" s="14"/>
      <c r="CU2356" s="16"/>
      <c r="CV2356" s="14"/>
      <c r="CW2356" s="50"/>
      <c r="CX2356" s="17"/>
    </row>
    <row r="2357" spans="4:102" x14ac:dyDescent="0.25">
      <c r="D2357" s="11"/>
      <c r="E2357" s="11"/>
      <c r="F2357" s="11"/>
      <c r="G2357" s="11"/>
      <c r="H2357" s="11"/>
      <c r="I2357" s="11"/>
      <c r="J2357" s="11"/>
      <c r="K2357" s="11"/>
      <c r="L2357" s="11"/>
      <c r="M2357" s="11"/>
      <c r="N2357" s="11"/>
      <c r="O2357" s="11"/>
      <c r="P2357" s="43"/>
      <c r="Q2357" s="11"/>
      <c r="R2357" s="11"/>
      <c r="S2357" s="11"/>
      <c r="T2357" s="11"/>
      <c r="U2357" s="11"/>
      <c r="V2357" s="11"/>
      <c r="W2357" s="11"/>
      <c r="X2357" s="12"/>
      <c r="Y2357" s="12"/>
      <c r="Z2357" s="12"/>
      <c r="AA2357" s="44"/>
      <c r="AB2357" s="45"/>
      <c r="AC2357" s="12"/>
      <c r="AD2357" s="12"/>
      <c r="AE2357" s="12"/>
      <c r="AF2357" s="12"/>
      <c r="AG2357" s="44"/>
      <c r="AH2357" s="45"/>
      <c r="AI2357" s="12"/>
      <c r="AJ2357" s="12"/>
      <c r="AK2357" s="12"/>
      <c r="AL2357" s="12"/>
      <c r="AM2357" s="44"/>
      <c r="AN2357" s="45"/>
      <c r="AO2357" s="12"/>
      <c r="AP2357" s="12"/>
      <c r="AQ2357" s="12"/>
      <c r="AR2357" s="12"/>
      <c r="AS2357" s="44"/>
      <c r="AT2357" s="45"/>
      <c r="AU2357" s="12"/>
      <c r="AV2357" s="12"/>
      <c r="AW2357" s="12"/>
      <c r="AX2357" s="12"/>
      <c r="AY2357" s="44"/>
      <c r="AZ2357" s="45"/>
      <c r="BA2357" s="12"/>
      <c r="BB2357" s="12"/>
      <c r="BC2357" s="12"/>
      <c r="BD2357" s="12"/>
      <c r="BE2357" s="44"/>
      <c r="BF2357" s="45"/>
      <c r="BG2357" s="12"/>
      <c r="BH2357" s="12"/>
      <c r="BI2357" s="12"/>
      <c r="BJ2357" s="12"/>
      <c r="BK2357" s="44"/>
      <c r="BL2357" s="45"/>
      <c r="BM2357" s="12"/>
      <c r="BN2357" s="12"/>
      <c r="BO2357" s="12"/>
      <c r="BP2357" s="12"/>
      <c r="BQ2357" s="48"/>
      <c r="BR2357" s="49"/>
      <c r="BS2357" s="13"/>
      <c r="BT2357" s="12"/>
      <c r="BV2357" s="14"/>
      <c r="BW2357" s="50"/>
      <c r="BX2357" s="54"/>
      <c r="BY2357" s="14"/>
      <c r="BZ2357" s="14"/>
      <c r="CA2357" s="14"/>
      <c r="CB2357" s="14"/>
      <c r="CC2357" s="14"/>
      <c r="CD2357" s="14"/>
      <c r="CE2357" s="14"/>
      <c r="CF2357" s="15"/>
      <c r="CG2357" s="14"/>
      <c r="CH2357" s="14"/>
      <c r="CI2357" s="50"/>
      <c r="CJ2357" s="54"/>
      <c r="CK2357" s="14"/>
      <c r="CL2357" s="14"/>
      <c r="CM2357" s="14"/>
      <c r="CN2357" s="14"/>
      <c r="CO2357" s="14"/>
      <c r="CP2357" s="14"/>
      <c r="CQ2357" s="14"/>
      <c r="CR2357" s="14"/>
      <c r="CS2357" s="14"/>
      <c r="CT2357" s="14"/>
      <c r="CU2357" s="16"/>
      <c r="CV2357" s="14"/>
      <c r="CW2357" s="50"/>
      <c r="CX2357" s="17"/>
    </row>
    <row r="2358" spans="4:102" x14ac:dyDescent="0.25">
      <c r="D2358" s="11"/>
      <c r="E2358" s="11"/>
      <c r="F2358" s="11"/>
      <c r="G2358" s="11"/>
      <c r="H2358" s="11"/>
      <c r="I2358" s="11"/>
      <c r="J2358" s="11"/>
      <c r="K2358" s="11"/>
      <c r="L2358" s="11"/>
      <c r="M2358" s="11"/>
      <c r="N2358" s="11"/>
      <c r="O2358" s="11"/>
      <c r="P2358" s="43"/>
      <c r="Q2358" s="11"/>
      <c r="R2358" s="11"/>
      <c r="S2358" s="11"/>
      <c r="T2358" s="11"/>
      <c r="U2358" s="11"/>
      <c r="V2358" s="11"/>
      <c r="W2358" s="11"/>
      <c r="X2358" s="12"/>
      <c r="Y2358" s="12"/>
      <c r="Z2358" s="12"/>
      <c r="AA2358" s="44"/>
      <c r="AB2358" s="45"/>
      <c r="AC2358" s="12"/>
      <c r="AD2358" s="12"/>
      <c r="AE2358" s="12"/>
      <c r="AF2358" s="12"/>
      <c r="AG2358" s="44"/>
      <c r="AH2358" s="45"/>
      <c r="AI2358" s="12"/>
      <c r="AJ2358" s="12"/>
      <c r="AK2358" s="12"/>
      <c r="AL2358" s="12"/>
      <c r="AM2358" s="44"/>
      <c r="AN2358" s="45"/>
      <c r="AO2358" s="12"/>
      <c r="AP2358" s="12"/>
      <c r="AQ2358" s="12"/>
      <c r="AR2358" s="12"/>
      <c r="AS2358" s="44"/>
      <c r="AT2358" s="45"/>
      <c r="AU2358" s="12"/>
      <c r="AV2358" s="12"/>
      <c r="AW2358" s="12"/>
      <c r="AX2358" s="12"/>
      <c r="AY2358" s="44"/>
      <c r="AZ2358" s="45"/>
      <c r="BA2358" s="12"/>
      <c r="BB2358" s="12"/>
      <c r="BC2358" s="12"/>
      <c r="BD2358" s="12"/>
      <c r="BE2358" s="44"/>
      <c r="BF2358" s="45"/>
      <c r="BG2358" s="12"/>
      <c r="BH2358" s="12"/>
      <c r="BI2358" s="12"/>
      <c r="BJ2358" s="12"/>
      <c r="BK2358" s="44"/>
      <c r="BL2358" s="45"/>
      <c r="BM2358" s="12"/>
      <c r="BN2358" s="12"/>
      <c r="BO2358" s="12"/>
      <c r="BP2358" s="12"/>
      <c r="BQ2358" s="48"/>
      <c r="BR2358" s="49"/>
      <c r="BS2358" s="13"/>
      <c r="BT2358" s="12"/>
      <c r="BV2358" s="14"/>
      <c r="BW2358" s="50"/>
      <c r="BX2358" s="54"/>
      <c r="BY2358" s="14"/>
      <c r="BZ2358" s="14"/>
      <c r="CA2358" s="14"/>
      <c r="CB2358" s="14"/>
      <c r="CC2358" s="14"/>
      <c r="CD2358" s="14"/>
      <c r="CE2358" s="14"/>
      <c r="CF2358" s="15"/>
      <c r="CG2358" s="14"/>
      <c r="CH2358" s="14"/>
      <c r="CI2358" s="50"/>
      <c r="CJ2358" s="54"/>
      <c r="CK2358" s="14"/>
      <c r="CL2358" s="14"/>
      <c r="CM2358" s="14"/>
      <c r="CN2358" s="14"/>
      <c r="CO2358" s="14"/>
      <c r="CP2358" s="14"/>
      <c r="CQ2358" s="14"/>
      <c r="CR2358" s="14"/>
      <c r="CS2358" s="14"/>
      <c r="CT2358" s="14"/>
      <c r="CU2358" s="16"/>
      <c r="CV2358" s="14"/>
      <c r="CW2358" s="50"/>
      <c r="CX2358" s="17"/>
    </row>
    <row r="2359" spans="4:102" x14ac:dyDescent="0.25">
      <c r="D2359" s="11"/>
      <c r="E2359" s="11"/>
      <c r="F2359" s="11"/>
      <c r="G2359" s="11"/>
      <c r="H2359" s="11"/>
      <c r="I2359" s="11"/>
      <c r="J2359" s="11"/>
      <c r="K2359" s="11"/>
      <c r="L2359" s="11"/>
      <c r="M2359" s="11"/>
      <c r="N2359" s="11"/>
      <c r="O2359" s="11"/>
      <c r="P2359" s="43"/>
      <c r="Q2359" s="11"/>
      <c r="R2359" s="11"/>
      <c r="S2359" s="11"/>
      <c r="T2359" s="11"/>
      <c r="U2359" s="11"/>
      <c r="V2359" s="11"/>
      <c r="W2359" s="11"/>
      <c r="X2359" s="12"/>
      <c r="Y2359" s="12"/>
      <c r="Z2359" s="12"/>
      <c r="AA2359" s="44"/>
      <c r="AB2359" s="45"/>
      <c r="AC2359" s="12"/>
      <c r="AD2359" s="12"/>
      <c r="AE2359" s="12"/>
      <c r="AF2359" s="12"/>
      <c r="AG2359" s="44"/>
      <c r="AH2359" s="45"/>
      <c r="AI2359" s="12"/>
      <c r="AJ2359" s="12"/>
      <c r="AK2359" s="12"/>
      <c r="AL2359" s="12"/>
      <c r="AM2359" s="44"/>
      <c r="AN2359" s="45"/>
      <c r="AO2359" s="12"/>
      <c r="AP2359" s="12"/>
      <c r="AQ2359" s="12"/>
      <c r="AR2359" s="12"/>
      <c r="AS2359" s="44"/>
      <c r="AT2359" s="45"/>
      <c r="AU2359" s="12"/>
      <c r="AV2359" s="12"/>
      <c r="AW2359" s="12"/>
      <c r="AX2359" s="12"/>
      <c r="AY2359" s="44"/>
      <c r="AZ2359" s="45"/>
      <c r="BA2359" s="12"/>
      <c r="BB2359" s="12"/>
      <c r="BC2359" s="12"/>
      <c r="BD2359" s="12"/>
      <c r="BE2359" s="44"/>
      <c r="BF2359" s="45"/>
      <c r="BG2359" s="12"/>
      <c r="BH2359" s="12"/>
      <c r="BI2359" s="12"/>
      <c r="BJ2359" s="12"/>
      <c r="BK2359" s="44"/>
      <c r="BL2359" s="45"/>
      <c r="BM2359" s="12"/>
      <c r="BN2359" s="12"/>
      <c r="BO2359" s="12"/>
      <c r="BP2359" s="12"/>
      <c r="BQ2359" s="48"/>
      <c r="BR2359" s="49"/>
      <c r="BS2359" s="13"/>
      <c r="BT2359" s="12"/>
      <c r="BV2359" s="14"/>
      <c r="BW2359" s="50"/>
      <c r="BX2359" s="54"/>
      <c r="BY2359" s="14"/>
      <c r="BZ2359" s="14"/>
      <c r="CA2359" s="14"/>
      <c r="CB2359" s="14"/>
      <c r="CC2359" s="14"/>
      <c r="CD2359" s="14"/>
      <c r="CE2359" s="14"/>
      <c r="CF2359" s="15"/>
      <c r="CG2359" s="14"/>
      <c r="CH2359" s="14"/>
      <c r="CI2359" s="50"/>
      <c r="CJ2359" s="54"/>
      <c r="CK2359" s="14"/>
      <c r="CL2359" s="14"/>
      <c r="CM2359" s="14"/>
      <c r="CN2359" s="14"/>
      <c r="CO2359" s="14"/>
      <c r="CP2359" s="14"/>
      <c r="CQ2359" s="14"/>
      <c r="CR2359" s="14"/>
      <c r="CS2359" s="14"/>
      <c r="CT2359" s="14"/>
      <c r="CU2359" s="16"/>
      <c r="CV2359" s="14"/>
      <c r="CW2359" s="50"/>
      <c r="CX2359" s="17"/>
    </row>
    <row r="2360" spans="4:102" x14ac:dyDescent="0.25">
      <c r="D2360" s="11"/>
      <c r="E2360" s="11"/>
      <c r="F2360" s="11"/>
      <c r="G2360" s="11"/>
      <c r="H2360" s="11"/>
      <c r="I2360" s="11"/>
      <c r="J2360" s="11"/>
      <c r="K2360" s="11"/>
      <c r="L2360" s="11"/>
      <c r="M2360" s="11"/>
      <c r="N2360" s="11"/>
      <c r="O2360" s="11"/>
      <c r="P2360" s="43"/>
      <c r="Q2360" s="11"/>
      <c r="R2360" s="11"/>
      <c r="S2360" s="11"/>
      <c r="T2360" s="11"/>
      <c r="U2360" s="11"/>
      <c r="V2360" s="11"/>
      <c r="W2360" s="11"/>
      <c r="X2360" s="12"/>
      <c r="Y2360" s="12"/>
      <c r="Z2360" s="12"/>
      <c r="AA2360" s="44"/>
      <c r="AB2360" s="45"/>
      <c r="AC2360" s="12"/>
      <c r="AD2360" s="12"/>
      <c r="AE2360" s="12"/>
      <c r="AF2360" s="12"/>
      <c r="AG2360" s="44"/>
      <c r="AH2360" s="45"/>
      <c r="AI2360" s="12"/>
      <c r="AJ2360" s="12"/>
      <c r="AK2360" s="12"/>
      <c r="AL2360" s="12"/>
      <c r="AM2360" s="44"/>
      <c r="AN2360" s="45"/>
      <c r="AO2360" s="12"/>
      <c r="AP2360" s="12"/>
      <c r="AQ2360" s="12"/>
      <c r="AR2360" s="12"/>
      <c r="AS2360" s="44"/>
      <c r="AT2360" s="45"/>
      <c r="AU2360" s="12"/>
      <c r="AV2360" s="12"/>
      <c r="AW2360" s="12"/>
      <c r="AX2360" s="12"/>
      <c r="AY2360" s="44"/>
      <c r="AZ2360" s="45"/>
      <c r="BA2360" s="12"/>
      <c r="BB2360" s="12"/>
      <c r="BC2360" s="12"/>
      <c r="BD2360" s="12"/>
      <c r="BE2360" s="44"/>
      <c r="BF2360" s="45"/>
      <c r="BG2360" s="12"/>
      <c r="BH2360" s="12"/>
      <c r="BI2360" s="12"/>
      <c r="BJ2360" s="12"/>
      <c r="BK2360" s="44"/>
      <c r="BL2360" s="45"/>
      <c r="BM2360" s="12"/>
      <c r="BN2360" s="12"/>
      <c r="BO2360" s="12"/>
      <c r="BP2360" s="12"/>
      <c r="BQ2360" s="48"/>
      <c r="BR2360" s="49"/>
      <c r="BS2360" s="13"/>
      <c r="BT2360" s="12"/>
      <c r="BV2360" s="14"/>
      <c r="BW2360" s="50"/>
      <c r="BX2360" s="54"/>
      <c r="BY2360" s="14"/>
      <c r="BZ2360" s="14"/>
      <c r="CA2360" s="14"/>
      <c r="CB2360" s="14"/>
      <c r="CC2360" s="14"/>
      <c r="CD2360" s="14"/>
      <c r="CE2360" s="14"/>
      <c r="CF2360" s="15"/>
      <c r="CG2360" s="14"/>
      <c r="CH2360" s="14"/>
      <c r="CI2360" s="50"/>
      <c r="CJ2360" s="54"/>
      <c r="CK2360" s="14"/>
      <c r="CL2360" s="14"/>
      <c r="CM2360" s="14"/>
      <c r="CN2360" s="14"/>
      <c r="CO2360" s="14"/>
      <c r="CP2360" s="14"/>
      <c r="CQ2360" s="14"/>
      <c r="CR2360" s="14"/>
      <c r="CS2360" s="14"/>
      <c r="CT2360" s="14"/>
      <c r="CU2360" s="16"/>
      <c r="CV2360" s="14"/>
      <c r="CW2360" s="50"/>
      <c r="CX2360" s="17"/>
    </row>
    <row r="2361" spans="4:102" x14ac:dyDescent="0.25">
      <c r="D2361" s="11"/>
      <c r="E2361" s="11"/>
      <c r="F2361" s="11"/>
      <c r="G2361" s="11"/>
      <c r="H2361" s="11"/>
      <c r="I2361" s="11"/>
      <c r="J2361" s="11"/>
      <c r="K2361" s="11"/>
      <c r="L2361" s="11"/>
      <c r="M2361" s="11"/>
      <c r="N2361" s="11"/>
      <c r="O2361" s="11"/>
      <c r="P2361" s="43"/>
      <c r="Q2361" s="11"/>
      <c r="R2361" s="11"/>
      <c r="S2361" s="11"/>
      <c r="T2361" s="11"/>
      <c r="U2361" s="11"/>
      <c r="V2361" s="11"/>
      <c r="W2361" s="11"/>
      <c r="X2361" s="12"/>
      <c r="Y2361" s="12"/>
      <c r="Z2361" s="12"/>
      <c r="AA2361" s="44"/>
      <c r="AB2361" s="45"/>
      <c r="AC2361" s="12"/>
      <c r="AD2361" s="12"/>
      <c r="AE2361" s="12"/>
      <c r="AF2361" s="12"/>
      <c r="AG2361" s="44"/>
      <c r="AH2361" s="45"/>
      <c r="AI2361" s="12"/>
      <c r="AJ2361" s="12"/>
      <c r="AK2361" s="12"/>
      <c r="AL2361" s="12"/>
      <c r="AM2361" s="44"/>
      <c r="AN2361" s="45"/>
      <c r="AO2361" s="12"/>
      <c r="AP2361" s="12"/>
      <c r="AQ2361" s="12"/>
      <c r="AR2361" s="12"/>
      <c r="AS2361" s="44"/>
      <c r="AT2361" s="45"/>
      <c r="AU2361" s="12"/>
      <c r="AV2361" s="12"/>
      <c r="AW2361" s="12"/>
      <c r="AX2361" s="12"/>
      <c r="AY2361" s="44"/>
      <c r="AZ2361" s="45"/>
      <c r="BA2361" s="12"/>
      <c r="BB2361" s="12"/>
      <c r="BC2361" s="12"/>
      <c r="BD2361" s="12"/>
      <c r="BE2361" s="44"/>
      <c r="BF2361" s="45"/>
      <c r="BG2361" s="12"/>
      <c r="BH2361" s="12"/>
      <c r="BI2361" s="12"/>
      <c r="BJ2361" s="12"/>
      <c r="BK2361" s="44"/>
      <c r="BL2361" s="45"/>
      <c r="BM2361" s="12"/>
      <c r="BN2361" s="12"/>
      <c r="BO2361" s="12"/>
      <c r="BP2361" s="12"/>
      <c r="BQ2361" s="48"/>
      <c r="BR2361" s="49"/>
      <c r="BS2361" s="13"/>
      <c r="BT2361" s="12"/>
      <c r="BV2361" s="14"/>
      <c r="BW2361" s="50"/>
      <c r="BX2361" s="54"/>
      <c r="BY2361" s="14"/>
      <c r="BZ2361" s="14"/>
      <c r="CA2361" s="14"/>
      <c r="CB2361" s="14"/>
      <c r="CC2361" s="14"/>
      <c r="CD2361" s="14"/>
      <c r="CE2361" s="14"/>
      <c r="CF2361" s="15"/>
      <c r="CG2361" s="14"/>
      <c r="CH2361" s="14"/>
      <c r="CI2361" s="50"/>
      <c r="CJ2361" s="54"/>
      <c r="CK2361" s="14"/>
      <c r="CL2361" s="14"/>
      <c r="CM2361" s="14"/>
      <c r="CN2361" s="14"/>
      <c r="CO2361" s="14"/>
      <c r="CP2361" s="14"/>
      <c r="CQ2361" s="14"/>
      <c r="CR2361" s="14"/>
      <c r="CS2361" s="14"/>
      <c r="CT2361" s="14"/>
      <c r="CU2361" s="16"/>
      <c r="CV2361" s="14"/>
      <c r="CW2361" s="50"/>
      <c r="CX2361" s="17"/>
    </row>
    <row r="2362" spans="4:102" x14ac:dyDescent="0.25">
      <c r="D2362" s="11"/>
      <c r="E2362" s="11"/>
      <c r="F2362" s="11"/>
      <c r="G2362" s="11"/>
      <c r="H2362" s="11"/>
      <c r="I2362" s="11"/>
      <c r="J2362" s="11"/>
      <c r="K2362" s="11"/>
      <c r="L2362" s="11"/>
      <c r="M2362" s="11"/>
      <c r="N2362" s="11"/>
      <c r="O2362" s="11"/>
      <c r="P2362" s="43"/>
      <c r="Q2362" s="11"/>
      <c r="R2362" s="11"/>
      <c r="S2362" s="11"/>
      <c r="T2362" s="11"/>
      <c r="U2362" s="11"/>
      <c r="V2362" s="11"/>
      <c r="W2362" s="11"/>
      <c r="X2362" s="12"/>
      <c r="Y2362" s="12"/>
      <c r="Z2362" s="12"/>
      <c r="AA2362" s="44"/>
      <c r="AB2362" s="45"/>
      <c r="AC2362" s="12"/>
      <c r="AD2362" s="12"/>
      <c r="AE2362" s="12"/>
      <c r="AF2362" s="12"/>
      <c r="AG2362" s="44"/>
      <c r="AH2362" s="45"/>
      <c r="AI2362" s="12"/>
      <c r="AJ2362" s="12"/>
      <c r="AK2362" s="12"/>
      <c r="AL2362" s="12"/>
      <c r="AM2362" s="44"/>
      <c r="AN2362" s="45"/>
      <c r="AO2362" s="12"/>
      <c r="AP2362" s="12"/>
      <c r="AQ2362" s="12"/>
      <c r="AR2362" s="12"/>
      <c r="AS2362" s="44"/>
      <c r="AT2362" s="45"/>
      <c r="AU2362" s="12"/>
      <c r="AV2362" s="12"/>
      <c r="AW2362" s="12"/>
      <c r="AX2362" s="12"/>
      <c r="AY2362" s="44"/>
      <c r="AZ2362" s="45"/>
      <c r="BA2362" s="12"/>
      <c r="BB2362" s="12"/>
      <c r="BC2362" s="12"/>
      <c r="BD2362" s="12"/>
      <c r="BE2362" s="44"/>
      <c r="BF2362" s="45"/>
      <c r="BG2362" s="12"/>
      <c r="BH2362" s="12"/>
      <c r="BI2362" s="12"/>
      <c r="BJ2362" s="12"/>
      <c r="BK2362" s="44"/>
      <c r="BL2362" s="45"/>
      <c r="BM2362" s="12"/>
      <c r="BN2362" s="12"/>
      <c r="BO2362" s="12"/>
      <c r="BP2362" s="12"/>
      <c r="BQ2362" s="48"/>
      <c r="BR2362" s="49"/>
      <c r="BS2362" s="13"/>
      <c r="BT2362" s="12"/>
      <c r="BV2362" s="14"/>
      <c r="BW2362" s="50"/>
      <c r="BX2362" s="54"/>
      <c r="BY2362" s="14"/>
      <c r="BZ2362" s="14"/>
      <c r="CA2362" s="14"/>
      <c r="CB2362" s="14"/>
      <c r="CC2362" s="14"/>
      <c r="CD2362" s="14"/>
      <c r="CE2362" s="14"/>
      <c r="CF2362" s="15"/>
      <c r="CG2362" s="14"/>
      <c r="CH2362" s="14"/>
      <c r="CI2362" s="50"/>
      <c r="CJ2362" s="54"/>
      <c r="CK2362" s="14"/>
      <c r="CL2362" s="14"/>
      <c r="CM2362" s="14"/>
      <c r="CN2362" s="14"/>
      <c r="CO2362" s="14"/>
      <c r="CP2362" s="14"/>
      <c r="CQ2362" s="14"/>
      <c r="CR2362" s="14"/>
      <c r="CS2362" s="14"/>
      <c r="CT2362" s="14"/>
      <c r="CU2362" s="16"/>
      <c r="CV2362" s="14"/>
      <c r="CW2362" s="50"/>
      <c r="CX2362" s="17"/>
    </row>
    <row r="2363" spans="4:102" x14ac:dyDescent="0.25">
      <c r="D2363" s="11"/>
      <c r="E2363" s="11"/>
      <c r="F2363" s="11"/>
      <c r="G2363" s="11"/>
      <c r="H2363" s="11"/>
      <c r="I2363" s="11"/>
      <c r="J2363" s="11"/>
      <c r="K2363" s="11"/>
      <c r="L2363" s="11"/>
      <c r="M2363" s="11"/>
      <c r="N2363" s="11"/>
      <c r="O2363" s="11"/>
      <c r="P2363" s="43"/>
      <c r="Q2363" s="11"/>
      <c r="R2363" s="11"/>
      <c r="S2363" s="11"/>
      <c r="T2363" s="11"/>
      <c r="U2363" s="11"/>
      <c r="V2363" s="11"/>
      <c r="W2363" s="11"/>
      <c r="X2363" s="12"/>
      <c r="Y2363" s="12"/>
      <c r="Z2363" s="12"/>
      <c r="AA2363" s="44"/>
      <c r="AB2363" s="45"/>
      <c r="AC2363" s="12"/>
      <c r="AD2363" s="12"/>
      <c r="AE2363" s="12"/>
      <c r="AF2363" s="12"/>
      <c r="AG2363" s="44"/>
      <c r="AH2363" s="45"/>
      <c r="AI2363" s="12"/>
      <c r="AJ2363" s="12"/>
      <c r="AK2363" s="12"/>
      <c r="AL2363" s="12"/>
      <c r="AM2363" s="44"/>
      <c r="AN2363" s="45"/>
      <c r="AO2363" s="12"/>
      <c r="AP2363" s="12"/>
      <c r="AQ2363" s="12"/>
      <c r="AR2363" s="12"/>
      <c r="AS2363" s="44"/>
      <c r="AT2363" s="45"/>
      <c r="AU2363" s="12"/>
      <c r="AV2363" s="12"/>
      <c r="AW2363" s="12"/>
      <c r="AX2363" s="12"/>
      <c r="AY2363" s="44"/>
      <c r="AZ2363" s="45"/>
      <c r="BA2363" s="12"/>
      <c r="BB2363" s="12"/>
      <c r="BC2363" s="12"/>
      <c r="BD2363" s="12"/>
      <c r="BE2363" s="44"/>
      <c r="BF2363" s="45"/>
      <c r="BG2363" s="12"/>
      <c r="BH2363" s="12"/>
      <c r="BI2363" s="12"/>
      <c r="BJ2363" s="12"/>
      <c r="BK2363" s="44"/>
      <c r="BL2363" s="45"/>
      <c r="BM2363" s="12"/>
      <c r="BN2363" s="12"/>
      <c r="BO2363" s="12"/>
      <c r="BP2363" s="12"/>
      <c r="BQ2363" s="48"/>
      <c r="BR2363" s="49"/>
      <c r="BS2363" s="13"/>
      <c r="BT2363" s="12"/>
      <c r="BV2363" s="14"/>
      <c r="BW2363" s="50"/>
      <c r="BX2363" s="54"/>
      <c r="BY2363" s="14"/>
      <c r="BZ2363" s="14"/>
      <c r="CA2363" s="14"/>
      <c r="CB2363" s="14"/>
      <c r="CC2363" s="14"/>
      <c r="CD2363" s="14"/>
      <c r="CE2363" s="14"/>
      <c r="CF2363" s="15"/>
      <c r="CG2363" s="14"/>
      <c r="CH2363" s="14"/>
      <c r="CI2363" s="50"/>
      <c r="CJ2363" s="54"/>
      <c r="CK2363" s="14"/>
      <c r="CL2363" s="14"/>
      <c r="CM2363" s="14"/>
      <c r="CN2363" s="14"/>
      <c r="CO2363" s="14"/>
      <c r="CP2363" s="14"/>
      <c r="CQ2363" s="14"/>
      <c r="CR2363" s="14"/>
      <c r="CS2363" s="14"/>
      <c r="CT2363" s="14"/>
      <c r="CU2363" s="16"/>
      <c r="CV2363" s="14"/>
      <c r="CW2363" s="50"/>
      <c r="CX2363" s="17"/>
    </row>
    <row r="2364" spans="4:102" x14ac:dyDescent="0.25">
      <c r="D2364" s="11"/>
      <c r="E2364" s="11"/>
      <c r="F2364" s="11"/>
      <c r="G2364" s="11"/>
      <c r="H2364" s="11"/>
      <c r="I2364" s="11"/>
      <c r="J2364" s="11"/>
      <c r="K2364" s="11"/>
      <c r="L2364" s="11"/>
      <c r="M2364" s="11"/>
      <c r="N2364" s="11"/>
      <c r="O2364" s="11"/>
      <c r="P2364" s="43"/>
      <c r="Q2364" s="11"/>
      <c r="R2364" s="11"/>
      <c r="S2364" s="11"/>
      <c r="T2364" s="11"/>
      <c r="U2364" s="11"/>
      <c r="V2364" s="11"/>
      <c r="W2364" s="11"/>
      <c r="X2364" s="12"/>
      <c r="Y2364" s="12"/>
      <c r="Z2364" s="12"/>
      <c r="AA2364" s="44"/>
      <c r="AB2364" s="45"/>
      <c r="AC2364" s="12"/>
      <c r="AD2364" s="12"/>
      <c r="AE2364" s="12"/>
      <c r="AF2364" s="12"/>
      <c r="AG2364" s="44"/>
      <c r="AH2364" s="45"/>
      <c r="AI2364" s="12"/>
      <c r="AJ2364" s="12"/>
      <c r="AK2364" s="12"/>
      <c r="AL2364" s="12"/>
      <c r="AM2364" s="44"/>
      <c r="AN2364" s="45"/>
      <c r="AO2364" s="12"/>
      <c r="AP2364" s="12"/>
      <c r="AQ2364" s="12"/>
      <c r="AR2364" s="12"/>
      <c r="AS2364" s="44"/>
      <c r="AT2364" s="45"/>
      <c r="AU2364" s="12"/>
      <c r="AV2364" s="12"/>
      <c r="AW2364" s="12"/>
      <c r="AX2364" s="12"/>
      <c r="AY2364" s="44"/>
      <c r="AZ2364" s="45"/>
      <c r="BA2364" s="12"/>
      <c r="BB2364" s="12"/>
      <c r="BC2364" s="12"/>
      <c r="BD2364" s="12"/>
      <c r="BE2364" s="44"/>
      <c r="BF2364" s="45"/>
      <c r="BG2364" s="12"/>
      <c r="BH2364" s="12"/>
      <c r="BI2364" s="12"/>
      <c r="BJ2364" s="12"/>
      <c r="BK2364" s="44"/>
      <c r="BL2364" s="45"/>
      <c r="BM2364" s="12"/>
      <c r="BN2364" s="12"/>
      <c r="BO2364" s="12"/>
      <c r="BP2364" s="12"/>
      <c r="BQ2364" s="48"/>
      <c r="BR2364" s="49"/>
      <c r="BS2364" s="13"/>
      <c r="BT2364" s="12"/>
      <c r="BV2364" s="14"/>
      <c r="BW2364" s="50"/>
      <c r="BX2364" s="54"/>
      <c r="BY2364" s="14"/>
      <c r="BZ2364" s="14"/>
      <c r="CA2364" s="14"/>
      <c r="CB2364" s="14"/>
      <c r="CC2364" s="14"/>
      <c r="CD2364" s="14"/>
      <c r="CE2364" s="14"/>
      <c r="CF2364" s="15"/>
      <c r="CG2364" s="14"/>
      <c r="CH2364" s="14"/>
      <c r="CI2364" s="50"/>
      <c r="CJ2364" s="54"/>
      <c r="CK2364" s="14"/>
      <c r="CL2364" s="14"/>
      <c r="CM2364" s="14"/>
      <c r="CN2364" s="14"/>
      <c r="CO2364" s="14"/>
      <c r="CP2364" s="14"/>
      <c r="CQ2364" s="14"/>
      <c r="CR2364" s="14"/>
      <c r="CS2364" s="14"/>
      <c r="CT2364" s="14"/>
      <c r="CU2364" s="16"/>
      <c r="CV2364" s="14"/>
      <c r="CW2364" s="50"/>
      <c r="CX2364" s="17"/>
    </row>
    <row r="2365" spans="4:102" x14ac:dyDescent="0.25">
      <c r="D2365" s="11"/>
      <c r="E2365" s="11"/>
      <c r="F2365" s="11"/>
      <c r="G2365" s="11"/>
      <c r="H2365" s="11"/>
      <c r="I2365" s="11"/>
      <c r="J2365" s="11"/>
      <c r="K2365" s="11"/>
      <c r="L2365" s="11"/>
      <c r="M2365" s="11"/>
      <c r="N2365" s="11"/>
      <c r="O2365" s="11"/>
      <c r="P2365" s="43"/>
      <c r="Q2365" s="11"/>
      <c r="R2365" s="11"/>
      <c r="S2365" s="11"/>
      <c r="T2365" s="11"/>
      <c r="U2365" s="11"/>
      <c r="V2365" s="11"/>
      <c r="W2365" s="11"/>
      <c r="X2365" s="12"/>
      <c r="Y2365" s="12"/>
      <c r="Z2365" s="12"/>
      <c r="AA2365" s="44"/>
      <c r="AB2365" s="45"/>
      <c r="AC2365" s="12"/>
      <c r="AD2365" s="12"/>
      <c r="AE2365" s="12"/>
      <c r="AF2365" s="12"/>
      <c r="AG2365" s="44"/>
      <c r="AH2365" s="45"/>
      <c r="AI2365" s="12"/>
      <c r="AJ2365" s="12"/>
      <c r="AK2365" s="12"/>
      <c r="AL2365" s="12"/>
      <c r="AM2365" s="44"/>
      <c r="AN2365" s="45"/>
      <c r="AO2365" s="12"/>
      <c r="AP2365" s="12"/>
      <c r="AQ2365" s="12"/>
      <c r="AR2365" s="12"/>
      <c r="AS2365" s="44"/>
      <c r="AT2365" s="45"/>
      <c r="AU2365" s="12"/>
      <c r="AV2365" s="12"/>
      <c r="AW2365" s="12"/>
      <c r="AX2365" s="12"/>
      <c r="AY2365" s="44"/>
      <c r="AZ2365" s="45"/>
      <c r="BA2365" s="12"/>
      <c r="BB2365" s="12"/>
      <c r="BC2365" s="12"/>
      <c r="BD2365" s="12"/>
      <c r="BE2365" s="44"/>
      <c r="BF2365" s="45"/>
      <c r="BG2365" s="12"/>
      <c r="BH2365" s="12"/>
      <c r="BI2365" s="12"/>
      <c r="BJ2365" s="12"/>
      <c r="BK2365" s="44"/>
      <c r="BL2365" s="45"/>
      <c r="BM2365" s="12"/>
      <c r="BN2365" s="12"/>
      <c r="BO2365" s="12"/>
      <c r="BP2365" s="12"/>
      <c r="BQ2365" s="48"/>
      <c r="BR2365" s="49"/>
      <c r="BS2365" s="13"/>
      <c r="BT2365" s="12"/>
      <c r="BV2365" s="14"/>
      <c r="BW2365" s="50"/>
      <c r="BX2365" s="54"/>
      <c r="BY2365" s="14"/>
      <c r="BZ2365" s="14"/>
      <c r="CA2365" s="14"/>
      <c r="CB2365" s="14"/>
      <c r="CC2365" s="14"/>
      <c r="CD2365" s="14"/>
      <c r="CE2365" s="14"/>
      <c r="CF2365" s="15"/>
      <c r="CG2365" s="14"/>
      <c r="CH2365" s="14"/>
      <c r="CI2365" s="50"/>
      <c r="CJ2365" s="54"/>
      <c r="CK2365" s="14"/>
      <c r="CL2365" s="14"/>
      <c r="CM2365" s="14"/>
      <c r="CN2365" s="14"/>
      <c r="CO2365" s="14"/>
      <c r="CP2365" s="14"/>
      <c r="CQ2365" s="14"/>
      <c r="CR2365" s="14"/>
      <c r="CS2365" s="14"/>
      <c r="CT2365" s="14"/>
      <c r="CU2365" s="16"/>
      <c r="CV2365" s="14"/>
      <c r="CW2365" s="50"/>
      <c r="CX2365" s="17"/>
    </row>
    <row r="2366" spans="4:102" x14ac:dyDescent="0.25">
      <c r="D2366" s="11"/>
      <c r="E2366" s="11"/>
      <c r="F2366" s="11"/>
      <c r="G2366" s="11"/>
      <c r="H2366" s="11"/>
      <c r="I2366" s="11"/>
      <c r="J2366" s="11"/>
      <c r="K2366" s="11"/>
      <c r="L2366" s="11"/>
      <c r="M2366" s="11"/>
      <c r="N2366" s="11"/>
      <c r="O2366" s="11"/>
      <c r="P2366" s="43"/>
      <c r="Q2366" s="11"/>
      <c r="R2366" s="11"/>
      <c r="S2366" s="11"/>
      <c r="T2366" s="11"/>
      <c r="U2366" s="11"/>
      <c r="V2366" s="11"/>
      <c r="W2366" s="11"/>
      <c r="X2366" s="12"/>
      <c r="Y2366" s="12"/>
      <c r="Z2366" s="12"/>
      <c r="AA2366" s="44"/>
      <c r="AB2366" s="45"/>
      <c r="AC2366" s="12"/>
      <c r="AD2366" s="12"/>
      <c r="AE2366" s="12"/>
      <c r="AF2366" s="12"/>
      <c r="AG2366" s="44"/>
      <c r="AH2366" s="45"/>
      <c r="AI2366" s="12"/>
      <c r="AJ2366" s="12"/>
      <c r="AK2366" s="12"/>
      <c r="AL2366" s="12"/>
      <c r="AM2366" s="44"/>
      <c r="AN2366" s="45"/>
      <c r="AO2366" s="12"/>
      <c r="AP2366" s="12"/>
      <c r="AQ2366" s="12"/>
      <c r="AR2366" s="12"/>
      <c r="AS2366" s="44"/>
      <c r="AT2366" s="45"/>
      <c r="AU2366" s="12"/>
      <c r="AV2366" s="12"/>
      <c r="AW2366" s="12"/>
      <c r="AX2366" s="12"/>
      <c r="AY2366" s="44"/>
      <c r="AZ2366" s="45"/>
      <c r="BA2366" s="12"/>
      <c r="BB2366" s="12"/>
      <c r="BC2366" s="12"/>
      <c r="BD2366" s="12"/>
      <c r="BE2366" s="44"/>
      <c r="BF2366" s="45"/>
      <c r="BG2366" s="12"/>
      <c r="BH2366" s="12"/>
      <c r="BI2366" s="12"/>
      <c r="BJ2366" s="12"/>
      <c r="BK2366" s="44"/>
      <c r="BL2366" s="45"/>
      <c r="BM2366" s="12"/>
      <c r="BN2366" s="12"/>
      <c r="BO2366" s="12"/>
      <c r="BP2366" s="12"/>
      <c r="BQ2366" s="48"/>
      <c r="BR2366" s="49"/>
      <c r="BS2366" s="13"/>
      <c r="BT2366" s="12"/>
      <c r="BV2366" s="14"/>
      <c r="BW2366" s="50"/>
      <c r="BX2366" s="54"/>
      <c r="BY2366" s="14"/>
      <c r="BZ2366" s="14"/>
      <c r="CA2366" s="14"/>
      <c r="CB2366" s="14"/>
      <c r="CC2366" s="14"/>
      <c r="CD2366" s="14"/>
      <c r="CE2366" s="14"/>
      <c r="CF2366" s="15"/>
      <c r="CG2366" s="14"/>
      <c r="CH2366" s="14"/>
      <c r="CI2366" s="50"/>
      <c r="CJ2366" s="54"/>
      <c r="CK2366" s="14"/>
      <c r="CL2366" s="14"/>
      <c r="CM2366" s="14"/>
      <c r="CN2366" s="14"/>
      <c r="CO2366" s="14"/>
      <c r="CP2366" s="14"/>
      <c r="CQ2366" s="14"/>
      <c r="CR2366" s="14"/>
      <c r="CS2366" s="14"/>
      <c r="CT2366" s="14"/>
      <c r="CU2366" s="16"/>
      <c r="CV2366" s="14"/>
      <c r="CW2366" s="50"/>
      <c r="CX2366" s="17"/>
    </row>
    <row r="2367" spans="4:102" x14ac:dyDescent="0.25">
      <c r="D2367" s="11"/>
      <c r="E2367" s="11"/>
      <c r="F2367" s="11"/>
      <c r="G2367" s="11"/>
      <c r="H2367" s="11"/>
      <c r="I2367" s="11"/>
      <c r="J2367" s="11"/>
      <c r="K2367" s="11"/>
      <c r="L2367" s="11"/>
      <c r="M2367" s="11"/>
      <c r="N2367" s="11"/>
      <c r="O2367" s="11"/>
      <c r="P2367" s="43"/>
      <c r="Q2367" s="11"/>
      <c r="R2367" s="11"/>
      <c r="S2367" s="11"/>
      <c r="T2367" s="11"/>
      <c r="U2367" s="11"/>
      <c r="V2367" s="11"/>
      <c r="W2367" s="11"/>
      <c r="X2367" s="12"/>
      <c r="Y2367" s="12"/>
      <c r="Z2367" s="12"/>
      <c r="AA2367" s="44"/>
      <c r="AB2367" s="45"/>
      <c r="AC2367" s="12"/>
      <c r="AD2367" s="12"/>
      <c r="AE2367" s="12"/>
      <c r="AF2367" s="12"/>
      <c r="AG2367" s="44"/>
      <c r="AH2367" s="45"/>
      <c r="AI2367" s="12"/>
      <c r="AJ2367" s="12"/>
      <c r="AK2367" s="12"/>
      <c r="AL2367" s="12"/>
      <c r="AM2367" s="44"/>
      <c r="AN2367" s="45"/>
      <c r="AO2367" s="12"/>
      <c r="AP2367" s="12"/>
      <c r="AQ2367" s="12"/>
      <c r="AR2367" s="12"/>
      <c r="AS2367" s="44"/>
      <c r="AT2367" s="45"/>
      <c r="AU2367" s="12"/>
      <c r="AV2367" s="12"/>
      <c r="AW2367" s="12"/>
      <c r="AX2367" s="12"/>
      <c r="AY2367" s="44"/>
      <c r="AZ2367" s="45"/>
      <c r="BA2367" s="12"/>
      <c r="BB2367" s="12"/>
      <c r="BC2367" s="12"/>
      <c r="BD2367" s="12"/>
      <c r="BE2367" s="44"/>
      <c r="BF2367" s="45"/>
      <c r="BG2367" s="12"/>
      <c r="BH2367" s="12"/>
      <c r="BI2367" s="12"/>
      <c r="BJ2367" s="12"/>
      <c r="BK2367" s="44"/>
      <c r="BL2367" s="45"/>
      <c r="BM2367" s="12"/>
      <c r="BN2367" s="12"/>
      <c r="BO2367" s="12"/>
      <c r="BP2367" s="12"/>
      <c r="BQ2367" s="48"/>
      <c r="BR2367" s="49"/>
      <c r="BS2367" s="13"/>
      <c r="BT2367" s="12"/>
      <c r="BV2367" s="14"/>
      <c r="BW2367" s="50"/>
      <c r="BX2367" s="54"/>
      <c r="BY2367" s="14"/>
      <c r="BZ2367" s="14"/>
      <c r="CA2367" s="14"/>
      <c r="CB2367" s="14"/>
      <c r="CC2367" s="14"/>
      <c r="CD2367" s="14"/>
      <c r="CE2367" s="14"/>
      <c r="CF2367" s="15"/>
      <c r="CG2367" s="14"/>
      <c r="CH2367" s="14"/>
      <c r="CI2367" s="50"/>
      <c r="CJ2367" s="54"/>
      <c r="CK2367" s="14"/>
      <c r="CL2367" s="14"/>
      <c r="CM2367" s="14"/>
      <c r="CN2367" s="14"/>
      <c r="CO2367" s="14"/>
      <c r="CP2367" s="14"/>
      <c r="CQ2367" s="14"/>
      <c r="CR2367" s="14"/>
      <c r="CS2367" s="14"/>
      <c r="CT2367" s="14"/>
      <c r="CU2367" s="16"/>
      <c r="CV2367" s="14"/>
      <c r="CW2367" s="50"/>
      <c r="CX2367" s="17"/>
    </row>
    <row r="2368" spans="4:102" x14ac:dyDescent="0.25">
      <c r="D2368" s="11"/>
      <c r="E2368" s="11"/>
      <c r="F2368" s="11"/>
      <c r="G2368" s="11"/>
      <c r="H2368" s="11"/>
      <c r="I2368" s="11"/>
      <c r="J2368" s="11"/>
      <c r="K2368" s="11"/>
      <c r="L2368" s="11"/>
      <c r="M2368" s="11"/>
      <c r="N2368" s="11"/>
      <c r="O2368" s="11"/>
      <c r="P2368" s="43"/>
      <c r="Q2368" s="11"/>
      <c r="R2368" s="11"/>
      <c r="S2368" s="11"/>
      <c r="T2368" s="11"/>
      <c r="U2368" s="11"/>
      <c r="V2368" s="11"/>
      <c r="W2368" s="11"/>
      <c r="X2368" s="12"/>
      <c r="Y2368" s="12"/>
      <c r="Z2368" s="12"/>
      <c r="AA2368" s="44"/>
      <c r="AB2368" s="45"/>
      <c r="AC2368" s="12"/>
      <c r="AD2368" s="12"/>
      <c r="AE2368" s="12"/>
      <c r="AF2368" s="12"/>
      <c r="AG2368" s="44"/>
      <c r="AH2368" s="45"/>
      <c r="AI2368" s="12"/>
      <c r="AJ2368" s="12"/>
      <c r="AK2368" s="12"/>
      <c r="AL2368" s="12"/>
      <c r="AM2368" s="44"/>
      <c r="AN2368" s="45"/>
      <c r="AO2368" s="12"/>
      <c r="AP2368" s="12"/>
      <c r="AQ2368" s="12"/>
      <c r="AR2368" s="12"/>
      <c r="AS2368" s="44"/>
      <c r="AT2368" s="45"/>
      <c r="AU2368" s="12"/>
      <c r="AV2368" s="12"/>
      <c r="AW2368" s="12"/>
      <c r="AX2368" s="12"/>
      <c r="AY2368" s="44"/>
      <c r="AZ2368" s="45"/>
      <c r="BA2368" s="12"/>
      <c r="BB2368" s="12"/>
      <c r="BC2368" s="12"/>
      <c r="BD2368" s="12"/>
      <c r="BE2368" s="44"/>
      <c r="BF2368" s="45"/>
      <c r="BG2368" s="12"/>
      <c r="BH2368" s="12"/>
      <c r="BI2368" s="12"/>
      <c r="BJ2368" s="12"/>
      <c r="BK2368" s="44"/>
      <c r="BL2368" s="45"/>
      <c r="BM2368" s="12"/>
      <c r="BN2368" s="12"/>
      <c r="BO2368" s="12"/>
      <c r="BP2368" s="12"/>
      <c r="BQ2368" s="48"/>
      <c r="BR2368" s="49"/>
      <c r="BS2368" s="13"/>
      <c r="BT2368" s="12"/>
      <c r="BV2368" s="14"/>
      <c r="BW2368" s="50"/>
      <c r="BX2368" s="54"/>
      <c r="BY2368" s="14"/>
      <c r="BZ2368" s="14"/>
      <c r="CA2368" s="14"/>
      <c r="CB2368" s="14"/>
      <c r="CC2368" s="14"/>
      <c r="CD2368" s="14"/>
      <c r="CE2368" s="14"/>
      <c r="CF2368" s="15"/>
      <c r="CG2368" s="14"/>
      <c r="CH2368" s="14"/>
      <c r="CI2368" s="50"/>
      <c r="CJ2368" s="54"/>
      <c r="CK2368" s="14"/>
      <c r="CL2368" s="14"/>
      <c r="CM2368" s="14"/>
      <c r="CN2368" s="14"/>
      <c r="CO2368" s="14"/>
      <c r="CP2368" s="14"/>
      <c r="CQ2368" s="14"/>
      <c r="CR2368" s="14"/>
      <c r="CS2368" s="14"/>
      <c r="CT2368" s="14"/>
      <c r="CU2368" s="16"/>
      <c r="CV2368" s="14"/>
      <c r="CW2368" s="50"/>
      <c r="CX2368" s="17"/>
    </row>
    <row r="2369" spans="4:102" x14ac:dyDescent="0.25">
      <c r="D2369" s="11"/>
      <c r="E2369" s="11"/>
      <c r="F2369" s="11"/>
      <c r="G2369" s="11"/>
      <c r="H2369" s="11"/>
      <c r="I2369" s="11"/>
      <c r="J2369" s="11"/>
      <c r="K2369" s="11"/>
      <c r="L2369" s="11"/>
      <c r="M2369" s="11"/>
      <c r="N2369" s="11"/>
      <c r="O2369" s="11"/>
      <c r="P2369" s="43"/>
      <c r="Q2369" s="11"/>
      <c r="R2369" s="11"/>
      <c r="S2369" s="11"/>
      <c r="T2369" s="11"/>
      <c r="U2369" s="11"/>
      <c r="V2369" s="11"/>
      <c r="W2369" s="11"/>
      <c r="X2369" s="12"/>
      <c r="Y2369" s="12"/>
      <c r="Z2369" s="12"/>
      <c r="AA2369" s="44"/>
      <c r="AB2369" s="45"/>
      <c r="AC2369" s="12"/>
      <c r="AD2369" s="12"/>
      <c r="AE2369" s="12"/>
      <c r="AF2369" s="12"/>
      <c r="AG2369" s="44"/>
      <c r="AH2369" s="45"/>
      <c r="AI2369" s="12"/>
      <c r="AJ2369" s="12"/>
      <c r="AK2369" s="12"/>
      <c r="AL2369" s="12"/>
      <c r="AM2369" s="44"/>
      <c r="AN2369" s="45"/>
      <c r="AO2369" s="12"/>
      <c r="AP2369" s="12"/>
      <c r="AQ2369" s="12"/>
      <c r="AR2369" s="12"/>
      <c r="AS2369" s="44"/>
      <c r="AT2369" s="45"/>
      <c r="AU2369" s="12"/>
      <c r="AV2369" s="12"/>
      <c r="AW2369" s="12"/>
      <c r="AX2369" s="12"/>
      <c r="AY2369" s="44"/>
      <c r="AZ2369" s="45"/>
      <c r="BA2369" s="12"/>
      <c r="BB2369" s="12"/>
      <c r="BC2369" s="12"/>
      <c r="BD2369" s="12"/>
      <c r="BE2369" s="44"/>
      <c r="BF2369" s="45"/>
      <c r="BG2369" s="12"/>
      <c r="BH2369" s="12"/>
      <c r="BI2369" s="12"/>
      <c r="BJ2369" s="12"/>
      <c r="BK2369" s="44"/>
      <c r="BL2369" s="45"/>
      <c r="BM2369" s="12"/>
      <c r="BN2369" s="12"/>
      <c r="BO2369" s="12"/>
      <c r="BP2369" s="12"/>
      <c r="BQ2369" s="48"/>
      <c r="BR2369" s="49"/>
      <c r="BS2369" s="13"/>
      <c r="BT2369" s="12"/>
      <c r="BV2369" s="14"/>
      <c r="BW2369" s="50"/>
      <c r="BX2369" s="54"/>
      <c r="BY2369" s="14"/>
      <c r="BZ2369" s="14"/>
      <c r="CA2369" s="14"/>
      <c r="CB2369" s="14"/>
      <c r="CC2369" s="14"/>
      <c r="CD2369" s="14"/>
      <c r="CE2369" s="14"/>
      <c r="CF2369" s="15"/>
      <c r="CG2369" s="14"/>
      <c r="CH2369" s="14"/>
      <c r="CI2369" s="50"/>
      <c r="CJ2369" s="54"/>
      <c r="CK2369" s="14"/>
      <c r="CL2369" s="14"/>
      <c r="CM2369" s="14"/>
      <c r="CN2369" s="14"/>
      <c r="CO2369" s="14"/>
      <c r="CP2369" s="14"/>
      <c r="CQ2369" s="14"/>
      <c r="CR2369" s="14"/>
      <c r="CS2369" s="14"/>
      <c r="CT2369" s="14"/>
      <c r="CU2369" s="16"/>
      <c r="CV2369" s="14"/>
      <c r="CW2369" s="50"/>
      <c r="CX2369" s="17"/>
    </row>
    <row r="2370" spans="4:102" x14ac:dyDescent="0.25">
      <c r="D2370" s="11"/>
      <c r="E2370" s="11"/>
      <c r="F2370" s="11"/>
      <c r="G2370" s="11"/>
      <c r="H2370" s="11"/>
      <c r="I2370" s="11"/>
      <c r="J2370" s="11"/>
      <c r="K2370" s="11"/>
      <c r="L2370" s="11"/>
      <c r="M2370" s="11"/>
      <c r="N2370" s="11"/>
      <c r="O2370" s="11"/>
      <c r="P2370" s="43"/>
      <c r="Q2370" s="11"/>
      <c r="R2370" s="11"/>
      <c r="S2370" s="11"/>
      <c r="T2370" s="11"/>
      <c r="U2370" s="11"/>
      <c r="V2370" s="11"/>
      <c r="W2370" s="11"/>
      <c r="X2370" s="12"/>
      <c r="Y2370" s="12"/>
      <c r="Z2370" s="12"/>
      <c r="AA2370" s="44"/>
      <c r="AB2370" s="45"/>
      <c r="AC2370" s="12"/>
      <c r="AD2370" s="12"/>
      <c r="AE2370" s="12"/>
      <c r="AF2370" s="12"/>
      <c r="AG2370" s="44"/>
      <c r="AH2370" s="45"/>
      <c r="AI2370" s="12"/>
      <c r="AJ2370" s="12"/>
      <c r="AK2370" s="12"/>
      <c r="AL2370" s="12"/>
      <c r="AM2370" s="44"/>
      <c r="AN2370" s="45"/>
      <c r="AO2370" s="12"/>
      <c r="AP2370" s="12"/>
      <c r="AQ2370" s="12"/>
      <c r="AR2370" s="12"/>
      <c r="AS2370" s="44"/>
      <c r="AT2370" s="45"/>
      <c r="AU2370" s="12"/>
      <c r="AV2370" s="12"/>
      <c r="AW2370" s="12"/>
      <c r="AX2370" s="12"/>
      <c r="AY2370" s="44"/>
      <c r="AZ2370" s="45"/>
      <c r="BA2370" s="12"/>
      <c r="BB2370" s="12"/>
      <c r="BC2370" s="12"/>
      <c r="BD2370" s="12"/>
      <c r="BE2370" s="44"/>
      <c r="BF2370" s="45"/>
      <c r="BG2370" s="12"/>
      <c r="BH2370" s="12"/>
      <c r="BI2370" s="12"/>
      <c r="BJ2370" s="12"/>
      <c r="BK2370" s="44"/>
      <c r="BL2370" s="45"/>
      <c r="BM2370" s="12"/>
      <c r="BN2370" s="12"/>
      <c r="BO2370" s="12"/>
      <c r="BP2370" s="12"/>
      <c r="BQ2370" s="48"/>
      <c r="BR2370" s="49"/>
      <c r="BS2370" s="13"/>
      <c r="BT2370" s="12"/>
      <c r="BV2370" s="14"/>
      <c r="BW2370" s="50"/>
      <c r="BX2370" s="54"/>
      <c r="BY2370" s="14"/>
      <c r="BZ2370" s="14"/>
      <c r="CA2370" s="14"/>
      <c r="CB2370" s="14"/>
      <c r="CC2370" s="14"/>
      <c r="CD2370" s="14"/>
      <c r="CE2370" s="14"/>
      <c r="CF2370" s="15"/>
      <c r="CG2370" s="14"/>
      <c r="CH2370" s="14"/>
      <c r="CI2370" s="50"/>
      <c r="CJ2370" s="54"/>
      <c r="CK2370" s="14"/>
      <c r="CL2370" s="14"/>
      <c r="CM2370" s="14"/>
      <c r="CN2370" s="14"/>
      <c r="CO2370" s="14"/>
      <c r="CP2370" s="14"/>
      <c r="CQ2370" s="14"/>
      <c r="CR2370" s="14"/>
      <c r="CS2370" s="14"/>
      <c r="CT2370" s="14"/>
      <c r="CU2370" s="16"/>
      <c r="CV2370" s="14"/>
      <c r="CW2370" s="50"/>
      <c r="CX2370" s="17"/>
    </row>
    <row r="2371" spans="4:102" x14ac:dyDescent="0.25">
      <c r="D2371" s="11"/>
      <c r="E2371" s="11"/>
      <c r="F2371" s="11"/>
      <c r="G2371" s="11"/>
      <c r="H2371" s="11"/>
      <c r="I2371" s="11"/>
      <c r="J2371" s="11"/>
      <c r="K2371" s="11"/>
      <c r="L2371" s="11"/>
      <c r="M2371" s="11"/>
      <c r="N2371" s="11"/>
      <c r="O2371" s="11"/>
      <c r="P2371" s="43"/>
      <c r="Q2371" s="11"/>
      <c r="R2371" s="11"/>
      <c r="S2371" s="11"/>
      <c r="T2371" s="11"/>
      <c r="U2371" s="11"/>
      <c r="V2371" s="11"/>
      <c r="W2371" s="11"/>
      <c r="X2371" s="12"/>
      <c r="Y2371" s="12"/>
      <c r="Z2371" s="12"/>
      <c r="AA2371" s="44"/>
      <c r="AB2371" s="45"/>
      <c r="AC2371" s="12"/>
      <c r="AD2371" s="12"/>
      <c r="AE2371" s="12"/>
      <c r="AF2371" s="12"/>
      <c r="AG2371" s="44"/>
      <c r="AH2371" s="45"/>
      <c r="AI2371" s="12"/>
      <c r="AJ2371" s="12"/>
      <c r="AK2371" s="12"/>
      <c r="AL2371" s="12"/>
      <c r="AM2371" s="44"/>
      <c r="AN2371" s="45"/>
      <c r="AO2371" s="12"/>
      <c r="AP2371" s="12"/>
      <c r="AQ2371" s="12"/>
      <c r="AR2371" s="12"/>
      <c r="AS2371" s="44"/>
      <c r="AT2371" s="45"/>
      <c r="AU2371" s="12"/>
      <c r="AV2371" s="12"/>
      <c r="AW2371" s="12"/>
      <c r="AX2371" s="12"/>
      <c r="AY2371" s="44"/>
      <c r="AZ2371" s="45"/>
      <c r="BA2371" s="12"/>
      <c r="BB2371" s="12"/>
      <c r="BC2371" s="12"/>
      <c r="BD2371" s="12"/>
      <c r="BE2371" s="44"/>
      <c r="BF2371" s="45"/>
      <c r="BG2371" s="12"/>
      <c r="BH2371" s="12"/>
      <c r="BI2371" s="12"/>
      <c r="BJ2371" s="12"/>
      <c r="BK2371" s="44"/>
      <c r="BL2371" s="45"/>
      <c r="BM2371" s="12"/>
      <c r="BN2371" s="12"/>
      <c r="BO2371" s="12"/>
      <c r="BP2371" s="12"/>
      <c r="BQ2371" s="48"/>
      <c r="BR2371" s="49"/>
      <c r="BS2371" s="13"/>
      <c r="BT2371" s="12"/>
      <c r="BV2371" s="14"/>
      <c r="BW2371" s="50"/>
      <c r="BX2371" s="54"/>
      <c r="BY2371" s="14"/>
      <c r="BZ2371" s="14"/>
      <c r="CA2371" s="14"/>
      <c r="CB2371" s="14"/>
      <c r="CC2371" s="14"/>
      <c r="CD2371" s="14"/>
      <c r="CE2371" s="14"/>
      <c r="CF2371" s="15"/>
      <c r="CG2371" s="14"/>
      <c r="CH2371" s="14"/>
      <c r="CI2371" s="50"/>
      <c r="CJ2371" s="54"/>
      <c r="CK2371" s="14"/>
      <c r="CL2371" s="14"/>
      <c r="CM2371" s="14"/>
      <c r="CN2371" s="14"/>
      <c r="CO2371" s="14"/>
      <c r="CP2371" s="14"/>
      <c r="CQ2371" s="14"/>
      <c r="CR2371" s="14"/>
      <c r="CS2371" s="14"/>
      <c r="CT2371" s="14"/>
      <c r="CU2371" s="16"/>
      <c r="CV2371" s="14"/>
      <c r="CW2371" s="50"/>
      <c r="CX2371" s="17"/>
    </row>
    <row r="2372" spans="4:102" x14ac:dyDescent="0.25">
      <c r="D2372" s="11"/>
      <c r="E2372" s="11"/>
      <c r="F2372" s="11"/>
      <c r="G2372" s="11"/>
      <c r="H2372" s="11"/>
      <c r="I2372" s="11"/>
      <c r="J2372" s="11"/>
      <c r="K2372" s="11"/>
      <c r="L2372" s="11"/>
      <c r="M2372" s="11"/>
      <c r="N2372" s="11"/>
      <c r="O2372" s="11"/>
      <c r="P2372" s="43"/>
      <c r="Q2372" s="11"/>
      <c r="R2372" s="11"/>
      <c r="S2372" s="11"/>
      <c r="T2372" s="11"/>
      <c r="U2372" s="11"/>
      <c r="V2372" s="11"/>
      <c r="W2372" s="11"/>
      <c r="X2372" s="12"/>
      <c r="Y2372" s="12"/>
      <c r="Z2372" s="12"/>
      <c r="AA2372" s="44"/>
      <c r="AB2372" s="45"/>
      <c r="AC2372" s="12"/>
      <c r="AD2372" s="12"/>
      <c r="AE2372" s="12"/>
      <c r="AF2372" s="12"/>
      <c r="AG2372" s="44"/>
      <c r="AH2372" s="45"/>
      <c r="AI2372" s="12"/>
      <c r="AJ2372" s="12"/>
      <c r="AK2372" s="12"/>
      <c r="AL2372" s="12"/>
      <c r="AM2372" s="44"/>
      <c r="AN2372" s="45"/>
      <c r="AO2372" s="12"/>
      <c r="AP2372" s="12"/>
      <c r="AQ2372" s="12"/>
      <c r="AR2372" s="12"/>
      <c r="AS2372" s="44"/>
      <c r="AT2372" s="45"/>
      <c r="AU2372" s="12"/>
      <c r="AV2372" s="12"/>
      <c r="AW2372" s="12"/>
      <c r="AX2372" s="12"/>
      <c r="AY2372" s="44"/>
      <c r="AZ2372" s="45"/>
      <c r="BA2372" s="12"/>
      <c r="BB2372" s="12"/>
      <c r="BC2372" s="12"/>
      <c r="BD2372" s="12"/>
      <c r="BE2372" s="44"/>
      <c r="BF2372" s="45"/>
      <c r="BG2372" s="12"/>
      <c r="BH2372" s="12"/>
      <c r="BI2372" s="12"/>
      <c r="BJ2372" s="12"/>
      <c r="BK2372" s="44"/>
      <c r="BL2372" s="45"/>
      <c r="BM2372" s="12"/>
      <c r="BN2372" s="12"/>
      <c r="BO2372" s="12"/>
      <c r="BP2372" s="12"/>
      <c r="BQ2372" s="48"/>
      <c r="BR2372" s="49"/>
      <c r="BS2372" s="13"/>
      <c r="BT2372" s="12"/>
      <c r="BV2372" s="14"/>
      <c r="BW2372" s="50"/>
      <c r="BX2372" s="54"/>
      <c r="BY2372" s="14"/>
      <c r="BZ2372" s="14"/>
      <c r="CA2372" s="14"/>
      <c r="CB2372" s="14"/>
      <c r="CC2372" s="14"/>
      <c r="CD2372" s="14"/>
      <c r="CE2372" s="14"/>
      <c r="CF2372" s="15"/>
      <c r="CG2372" s="14"/>
      <c r="CH2372" s="14"/>
      <c r="CI2372" s="50"/>
      <c r="CJ2372" s="54"/>
      <c r="CK2372" s="14"/>
      <c r="CL2372" s="14"/>
      <c r="CM2372" s="14"/>
      <c r="CN2372" s="14"/>
      <c r="CO2372" s="14"/>
      <c r="CP2372" s="14"/>
      <c r="CQ2372" s="14"/>
      <c r="CR2372" s="14"/>
      <c r="CS2372" s="14"/>
      <c r="CT2372" s="14"/>
      <c r="CU2372" s="16"/>
      <c r="CV2372" s="14"/>
      <c r="CW2372" s="50"/>
      <c r="CX2372" s="17"/>
    </row>
    <row r="2373" spans="4:102" x14ac:dyDescent="0.25">
      <c r="D2373" s="11"/>
      <c r="E2373" s="11"/>
      <c r="F2373" s="11"/>
      <c r="G2373" s="11"/>
      <c r="H2373" s="11"/>
      <c r="I2373" s="11"/>
      <c r="J2373" s="11"/>
      <c r="K2373" s="11"/>
      <c r="L2373" s="11"/>
      <c r="M2373" s="11"/>
      <c r="N2373" s="11"/>
      <c r="O2373" s="11"/>
      <c r="P2373" s="43"/>
      <c r="Q2373" s="11"/>
      <c r="R2373" s="11"/>
      <c r="S2373" s="11"/>
      <c r="T2373" s="11"/>
      <c r="U2373" s="11"/>
      <c r="V2373" s="11"/>
      <c r="W2373" s="11"/>
      <c r="X2373" s="12"/>
      <c r="Y2373" s="12"/>
      <c r="Z2373" s="12"/>
      <c r="AA2373" s="44"/>
      <c r="AB2373" s="45"/>
      <c r="AC2373" s="12"/>
      <c r="AD2373" s="12"/>
      <c r="AE2373" s="12"/>
      <c r="AF2373" s="12"/>
      <c r="AG2373" s="44"/>
      <c r="AH2373" s="45"/>
      <c r="AI2373" s="12"/>
      <c r="AJ2373" s="12"/>
      <c r="AK2373" s="12"/>
      <c r="AL2373" s="12"/>
      <c r="AM2373" s="44"/>
      <c r="AN2373" s="45"/>
      <c r="AO2373" s="12"/>
      <c r="AP2373" s="12"/>
      <c r="AQ2373" s="12"/>
      <c r="AR2373" s="12"/>
      <c r="AS2373" s="44"/>
      <c r="AT2373" s="45"/>
      <c r="AU2373" s="12"/>
      <c r="AV2373" s="12"/>
      <c r="AW2373" s="12"/>
      <c r="AX2373" s="12"/>
      <c r="AY2373" s="44"/>
      <c r="AZ2373" s="45"/>
      <c r="BA2373" s="12"/>
      <c r="BB2373" s="12"/>
      <c r="BC2373" s="12"/>
      <c r="BD2373" s="12"/>
      <c r="BE2373" s="44"/>
      <c r="BF2373" s="45"/>
      <c r="BG2373" s="12"/>
      <c r="BH2373" s="12"/>
      <c r="BI2373" s="12"/>
      <c r="BJ2373" s="12"/>
      <c r="BK2373" s="44"/>
      <c r="BL2373" s="45"/>
      <c r="BM2373" s="12"/>
      <c r="BN2373" s="12"/>
      <c r="BO2373" s="12"/>
      <c r="BP2373" s="12"/>
      <c r="BQ2373" s="48"/>
      <c r="BR2373" s="49"/>
      <c r="BS2373" s="13"/>
      <c r="BT2373" s="12"/>
      <c r="BV2373" s="14"/>
      <c r="BW2373" s="50"/>
      <c r="BX2373" s="54"/>
      <c r="BY2373" s="14"/>
      <c r="BZ2373" s="14"/>
      <c r="CA2373" s="14"/>
      <c r="CB2373" s="14"/>
      <c r="CC2373" s="14"/>
      <c r="CD2373" s="14"/>
      <c r="CE2373" s="14"/>
      <c r="CF2373" s="15"/>
      <c r="CG2373" s="14"/>
      <c r="CH2373" s="14"/>
      <c r="CI2373" s="50"/>
      <c r="CJ2373" s="54"/>
      <c r="CK2373" s="14"/>
      <c r="CL2373" s="14"/>
      <c r="CM2373" s="14"/>
      <c r="CN2373" s="14"/>
      <c r="CO2373" s="14"/>
      <c r="CP2373" s="14"/>
      <c r="CQ2373" s="14"/>
      <c r="CR2373" s="14"/>
      <c r="CS2373" s="14"/>
      <c r="CT2373" s="14"/>
      <c r="CU2373" s="16"/>
      <c r="CV2373" s="14"/>
      <c r="CW2373" s="50"/>
      <c r="CX2373" s="17"/>
    </row>
    <row r="2374" spans="4:102" x14ac:dyDescent="0.25">
      <c r="D2374" s="11"/>
      <c r="E2374" s="11"/>
      <c r="F2374" s="11"/>
      <c r="G2374" s="11"/>
      <c r="H2374" s="11"/>
      <c r="I2374" s="11"/>
      <c r="J2374" s="11"/>
      <c r="K2374" s="11"/>
      <c r="L2374" s="11"/>
      <c r="M2374" s="11"/>
      <c r="N2374" s="11"/>
      <c r="O2374" s="11"/>
      <c r="P2374" s="43"/>
      <c r="Q2374" s="11"/>
      <c r="R2374" s="11"/>
      <c r="S2374" s="11"/>
      <c r="T2374" s="11"/>
      <c r="U2374" s="11"/>
      <c r="V2374" s="11"/>
      <c r="W2374" s="11"/>
      <c r="X2374" s="12"/>
      <c r="Y2374" s="12"/>
      <c r="Z2374" s="12"/>
      <c r="AA2374" s="44"/>
      <c r="AB2374" s="45"/>
      <c r="AC2374" s="12"/>
      <c r="AD2374" s="12"/>
      <c r="AE2374" s="12"/>
      <c r="AF2374" s="12"/>
      <c r="AG2374" s="44"/>
      <c r="AH2374" s="45"/>
      <c r="AI2374" s="12"/>
      <c r="AJ2374" s="12"/>
      <c r="AK2374" s="12"/>
      <c r="AL2374" s="12"/>
      <c r="AM2374" s="44"/>
      <c r="AN2374" s="45"/>
      <c r="AO2374" s="12"/>
      <c r="AP2374" s="12"/>
      <c r="AQ2374" s="12"/>
      <c r="AR2374" s="12"/>
      <c r="AS2374" s="44"/>
      <c r="AT2374" s="45"/>
      <c r="AU2374" s="12"/>
      <c r="AV2374" s="12"/>
      <c r="AW2374" s="12"/>
      <c r="AX2374" s="12"/>
      <c r="AY2374" s="44"/>
      <c r="AZ2374" s="45"/>
      <c r="BA2374" s="12"/>
      <c r="BB2374" s="12"/>
      <c r="BC2374" s="12"/>
      <c r="BD2374" s="12"/>
      <c r="BE2374" s="44"/>
      <c r="BF2374" s="45"/>
      <c r="BG2374" s="12"/>
      <c r="BH2374" s="12"/>
      <c r="BI2374" s="12"/>
      <c r="BJ2374" s="12"/>
      <c r="BK2374" s="44"/>
      <c r="BL2374" s="45"/>
      <c r="BM2374" s="12"/>
      <c r="BN2374" s="12"/>
      <c r="BO2374" s="12"/>
      <c r="BP2374" s="12"/>
      <c r="BQ2374" s="48"/>
      <c r="BR2374" s="49"/>
      <c r="BS2374" s="13"/>
      <c r="BT2374" s="12"/>
      <c r="BV2374" s="14"/>
      <c r="BW2374" s="50"/>
      <c r="BX2374" s="54"/>
      <c r="BY2374" s="14"/>
      <c r="BZ2374" s="14"/>
      <c r="CA2374" s="14"/>
      <c r="CB2374" s="14"/>
      <c r="CC2374" s="14"/>
      <c r="CD2374" s="14"/>
      <c r="CE2374" s="14"/>
      <c r="CF2374" s="15"/>
      <c r="CG2374" s="14"/>
      <c r="CH2374" s="14"/>
      <c r="CI2374" s="50"/>
      <c r="CJ2374" s="54"/>
      <c r="CK2374" s="14"/>
      <c r="CL2374" s="14"/>
      <c r="CM2374" s="14"/>
      <c r="CN2374" s="14"/>
      <c r="CO2374" s="14"/>
      <c r="CP2374" s="14"/>
      <c r="CQ2374" s="14"/>
      <c r="CR2374" s="14"/>
      <c r="CS2374" s="14"/>
      <c r="CT2374" s="14"/>
      <c r="CU2374" s="16"/>
      <c r="CV2374" s="14"/>
      <c r="CW2374" s="50"/>
      <c r="CX2374" s="17"/>
    </row>
    <row r="2375" spans="4:102" x14ac:dyDescent="0.25">
      <c r="D2375" s="11"/>
      <c r="E2375" s="11"/>
      <c r="F2375" s="11"/>
      <c r="G2375" s="11"/>
      <c r="H2375" s="11"/>
      <c r="I2375" s="11"/>
      <c r="J2375" s="11"/>
      <c r="K2375" s="11"/>
      <c r="L2375" s="11"/>
      <c r="M2375" s="11"/>
      <c r="N2375" s="11"/>
      <c r="O2375" s="11"/>
      <c r="P2375" s="43"/>
      <c r="Q2375" s="11"/>
      <c r="R2375" s="11"/>
      <c r="S2375" s="11"/>
      <c r="T2375" s="11"/>
      <c r="U2375" s="11"/>
      <c r="V2375" s="11"/>
      <c r="W2375" s="11"/>
      <c r="X2375" s="12"/>
      <c r="Y2375" s="12"/>
      <c r="Z2375" s="12"/>
      <c r="AA2375" s="44"/>
      <c r="AB2375" s="45"/>
      <c r="AC2375" s="12"/>
      <c r="AD2375" s="12"/>
      <c r="AE2375" s="12"/>
      <c r="AF2375" s="12"/>
      <c r="AG2375" s="44"/>
      <c r="AH2375" s="45"/>
      <c r="AI2375" s="12"/>
      <c r="AJ2375" s="12"/>
      <c r="AK2375" s="12"/>
      <c r="AL2375" s="12"/>
      <c r="AM2375" s="44"/>
      <c r="AN2375" s="45"/>
      <c r="AO2375" s="12"/>
      <c r="AP2375" s="12"/>
      <c r="AQ2375" s="12"/>
      <c r="AR2375" s="12"/>
      <c r="AS2375" s="44"/>
      <c r="AT2375" s="45"/>
      <c r="AU2375" s="12"/>
      <c r="AV2375" s="12"/>
      <c r="AW2375" s="12"/>
      <c r="AX2375" s="12"/>
      <c r="AY2375" s="44"/>
      <c r="AZ2375" s="45"/>
      <c r="BA2375" s="12"/>
      <c r="BB2375" s="12"/>
      <c r="BC2375" s="12"/>
      <c r="BD2375" s="12"/>
      <c r="BE2375" s="44"/>
      <c r="BF2375" s="45"/>
      <c r="BG2375" s="12"/>
      <c r="BH2375" s="12"/>
      <c r="BI2375" s="12"/>
      <c r="BJ2375" s="12"/>
      <c r="BK2375" s="44"/>
      <c r="BL2375" s="45"/>
      <c r="BM2375" s="12"/>
      <c r="BN2375" s="12"/>
      <c r="BO2375" s="12"/>
      <c r="BP2375" s="12"/>
      <c r="BQ2375" s="48"/>
      <c r="BR2375" s="49"/>
      <c r="BS2375" s="13"/>
      <c r="BT2375" s="12"/>
      <c r="BV2375" s="14"/>
      <c r="BW2375" s="50"/>
      <c r="BX2375" s="54"/>
      <c r="BY2375" s="14"/>
      <c r="BZ2375" s="14"/>
      <c r="CA2375" s="14"/>
      <c r="CB2375" s="14"/>
      <c r="CC2375" s="14"/>
      <c r="CD2375" s="14"/>
      <c r="CE2375" s="14"/>
      <c r="CF2375" s="15"/>
      <c r="CG2375" s="14"/>
      <c r="CH2375" s="14"/>
      <c r="CI2375" s="50"/>
      <c r="CJ2375" s="54"/>
      <c r="CK2375" s="14"/>
      <c r="CL2375" s="14"/>
      <c r="CM2375" s="14"/>
      <c r="CN2375" s="14"/>
      <c r="CO2375" s="14"/>
      <c r="CP2375" s="14"/>
      <c r="CQ2375" s="14"/>
      <c r="CR2375" s="14"/>
      <c r="CS2375" s="14"/>
      <c r="CT2375" s="14"/>
      <c r="CU2375" s="16"/>
      <c r="CV2375" s="14"/>
      <c r="CW2375" s="50"/>
      <c r="CX2375" s="17"/>
    </row>
    <row r="2376" spans="4:102" x14ac:dyDescent="0.25">
      <c r="D2376" s="11"/>
      <c r="E2376" s="11"/>
      <c r="F2376" s="11"/>
      <c r="G2376" s="11"/>
      <c r="H2376" s="11"/>
      <c r="I2376" s="11"/>
      <c r="J2376" s="11"/>
      <c r="K2376" s="11"/>
      <c r="L2376" s="11"/>
      <c r="M2376" s="11"/>
      <c r="N2376" s="11"/>
      <c r="O2376" s="11"/>
      <c r="P2376" s="43"/>
      <c r="Q2376" s="11"/>
      <c r="R2376" s="11"/>
      <c r="S2376" s="11"/>
      <c r="T2376" s="11"/>
      <c r="U2376" s="11"/>
      <c r="V2376" s="11"/>
      <c r="W2376" s="11"/>
      <c r="X2376" s="12"/>
      <c r="Y2376" s="12"/>
      <c r="Z2376" s="12"/>
      <c r="AA2376" s="44"/>
      <c r="AB2376" s="45"/>
      <c r="AC2376" s="12"/>
      <c r="AD2376" s="12"/>
      <c r="AE2376" s="12"/>
      <c r="AF2376" s="12"/>
      <c r="AG2376" s="44"/>
      <c r="AH2376" s="45"/>
      <c r="AI2376" s="12"/>
      <c r="AJ2376" s="12"/>
      <c r="AK2376" s="12"/>
      <c r="AL2376" s="12"/>
      <c r="AM2376" s="44"/>
      <c r="AN2376" s="45"/>
      <c r="AO2376" s="12"/>
      <c r="AP2376" s="12"/>
      <c r="AQ2376" s="12"/>
      <c r="AR2376" s="12"/>
      <c r="AS2376" s="44"/>
      <c r="AT2376" s="45"/>
      <c r="AU2376" s="12"/>
      <c r="AV2376" s="12"/>
      <c r="AW2376" s="12"/>
      <c r="AX2376" s="12"/>
      <c r="AY2376" s="44"/>
      <c r="AZ2376" s="45"/>
      <c r="BA2376" s="12"/>
      <c r="BB2376" s="12"/>
      <c r="BC2376" s="12"/>
      <c r="BD2376" s="12"/>
      <c r="BE2376" s="44"/>
      <c r="BF2376" s="45"/>
      <c r="BG2376" s="12"/>
      <c r="BH2376" s="12"/>
      <c r="BI2376" s="12"/>
      <c r="BJ2376" s="12"/>
      <c r="BK2376" s="44"/>
      <c r="BL2376" s="45"/>
      <c r="BM2376" s="12"/>
      <c r="BN2376" s="12"/>
      <c r="BO2376" s="12"/>
      <c r="BP2376" s="12"/>
      <c r="BQ2376" s="48"/>
      <c r="BR2376" s="49"/>
      <c r="BS2376" s="13"/>
      <c r="BT2376" s="12"/>
      <c r="BV2376" s="14"/>
      <c r="BW2376" s="50"/>
      <c r="BX2376" s="54"/>
      <c r="BY2376" s="14"/>
      <c r="BZ2376" s="14"/>
      <c r="CA2376" s="14"/>
      <c r="CB2376" s="14"/>
      <c r="CC2376" s="14"/>
      <c r="CD2376" s="14"/>
      <c r="CE2376" s="14"/>
      <c r="CF2376" s="15"/>
      <c r="CG2376" s="14"/>
      <c r="CH2376" s="14"/>
      <c r="CI2376" s="50"/>
      <c r="CJ2376" s="54"/>
      <c r="CK2376" s="14"/>
      <c r="CL2376" s="14"/>
      <c r="CM2376" s="14"/>
      <c r="CN2376" s="14"/>
      <c r="CO2376" s="14"/>
      <c r="CP2376" s="14"/>
      <c r="CQ2376" s="14"/>
      <c r="CR2376" s="14"/>
      <c r="CS2376" s="14"/>
      <c r="CT2376" s="14"/>
      <c r="CU2376" s="16"/>
      <c r="CV2376" s="14"/>
      <c r="CW2376" s="50"/>
      <c r="CX2376" s="17"/>
    </row>
    <row r="2377" spans="4:102" x14ac:dyDescent="0.25">
      <c r="D2377" s="11"/>
      <c r="E2377" s="11"/>
      <c r="F2377" s="11"/>
      <c r="G2377" s="11"/>
      <c r="H2377" s="11"/>
      <c r="I2377" s="11"/>
      <c r="J2377" s="11"/>
      <c r="K2377" s="11"/>
      <c r="L2377" s="11"/>
      <c r="M2377" s="11"/>
      <c r="N2377" s="11"/>
      <c r="O2377" s="11"/>
      <c r="P2377" s="43"/>
      <c r="Q2377" s="11"/>
      <c r="R2377" s="11"/>
      <c r="S2377" s="11"/>
      <c r="T2377" s="11"/>
      <c r="U2377" s="11"/>
      <c r="V2377" s="11"/>
      <c r="W2377" s="11"/>
      <c r="X2377" s="12"/>
      <c r="Y2377" s="12"/>
      <c r="Z2377" s="12"/>
      <c r="AA2377" s="44"/>
      <c r="AB2377" s="45"/>
      <c r="AC2377" s="12"/>
      <c r="AD2377" s="12"/>
      <c r="AE2377" s="12"/>
      <c r="AF2377" s="12"/>
      <c r="AG2377" s="44"/>
      <c r="AH2377" s="45"/>
      <c r="AI2377" s="12"/>
      <c r="AJ2377" s="12"/>
      <c r="AK2377" s="12"/>
      <c r="AL2377" s="12"/>
      <c r="AM2377" s="44"/>
      <c r="AN2377" s="45"/>
      <c r="AO2377" s="12"/>
      <c r="AP2377" s="12"/>
      <c r="AQ2377" s="12"/>
      <c r="AR2377" s="12"/>
      <c r="AS2377" s="44"/>
      <c r="AT2377" s="45"/>
      <c r="AU2377" s="12"/>
      <c r="AV2377" s="12"/>
      <c r="AW2377" s="12"/>
      <c r="AX2377" s="12"/>
      <c r="AY2377" s="44"/>
      <c r="AZ2377" s="45"/>
      <c r="BA2377" s="12"/>
      <c r="BB2377" s="12"/>
      <c r="BC2377" s="12"/>
      <c r="BD2377" s="12"/>
      <c r="BE2377" s="44"/>
      <c r="BF2377" s="45"/>
      <c r="BG2377" s="12"/>
      <c r="BH2377" s="12"/>
      <c r="BI2377" s="12"/>
      <c r="BJ2377" s="12"/>
      <c r="BK2377" s="44"/>
      <c r="BL2377" s="45"/>
      <c r="BM2377" s="12"/>
      <c r="BN2377" s="12"/>
      <c r="BO2377" s="12"/>
      <c r="BP2377" s="12"/>
      <c r="BQ2377" s="48"/>
      <c r="BR2377" s="49"/>
      <c r="BS2377" s="13"/>
      <c r="BT2377" s="12"/>
      <c r="BV2377" s="14"/>
      <c r="BW2377" s="50"/>
      <c r="BX2377" s="54"/>
      <c r="BY2377" s="14"/>
      <c r="BZ2377" s="14"/>
      <c r="CA2377" s="14"/>
      <c r="CB2377" s="14"/>
      <c r="CC2377" s="14"/>
      <c r="CD2377" s="14"/>
      <c r="CE2377" s="14"/>
      <c r="CF2377" s="15"/>
      <c r="CG2377" s="14"/>
      <c r="CH2377" s="14"/>
      <c r="CI2377" s="50"/>
      <c r="CJ2377" s="54"/>
      <c r="CK2377" s="14"/>
      <c r="CL2377" s="14"/>
      <c r="CM2377" s="14"/>
      <c r="CN2377" s="14"/>
      <c r="CO2377" s="14"/>
      <c r="CP2377" s="14"/>
      <c r="CQ2377" s="14"/>
      <c r="CR2377" s="14"/>
      <c r="CS2377" s="14"/>
      <c r="CT2377" s="14"/>
      <c r="CU2377" s="16"/>
      <c r="CV2377" s="14"/>
      <c r="CW2377" s="50"/>
      <c r="CX2377" s="17"/>
    </row>
    <row r="2378" spans="4:102" x14ac:dyDescent="0.25">
      <c r="D2378" s="11"/>
      <c r="E2378" s="11"/>
      <c r="F2378" s="11"/>
      <c r="G2378" s="11"/>
      <c r="H2378" s="11"/>
      <c r="I2378" s="11"/>
      <c r="J2378" s="11"/>
      <c r="K2378" s="11"/>
      <c r="L2378" s="11"/>
      <c r="M2378" s="11"/>
      <c r="N2378" s="11"/>
      <c r="O2378" s="11"/>
      <c r="P2378" s="43"/>
      <c r="Q2378" s="11"/>
      <c r="R2378" s="11"/>
      <c r="S2378" s="11"/>
      <c r="T2378" s="11"/>
      <c r="U2378" s="11"/>
      <c r="V2378" s="11"/>
      <c r="W2378" s="11"/>
      <c r="X2378" s="12"/>
      <c r="Y2378" s="12"/>
      <c r="Z2378" s="12"/>
      <c r="AA2378" s="44"/>
      <c r="AB2378" s="45"/>
      <c r="AC2378" s="12"/>
      <c r="AD2378" s="12"/>
      <c r="AE2378" s="12"/>
      <c r="AF2378" s="12"/>
      <c r="AG2378" s="44"/>
      <c r="AH2378" s="45"/>
      <c r="AI2378" s="12"/>
      <c r="AJ2378" s="12"/>
      <c r="AK2378" s="12"/>
      <c r="AL2378" s="12"/>
      <c r="AM2378" s="44"/>
      <c r="AN2378" s="45"/>
      <c r="AO2378" s="12"/>
      <c r="AP2378" s="12"/>
      <c r="AQ2378" s="12"/>
      <c r="AR2378" s="12"/>
      <c r="AS2378" s="44"/>
      <c r="AT2378" s="45"/>
      <c r="AU2378" s="12"/>
      <c r="AV2378" s="12"/>
      <c r="AW2378" s="12"/>
      <c r="AX2378" s="12"/>
      <c r="AY2378" s="44"/>
      <c r="AZ2378" s="45"/>
      <c r="BA2378" s="12"/>
      <c r="BB2378" s="12"/>
      <c r="BC2378" s="12"/>
      <c r="BD2378" s="12"/>
      <c r="BE2378" s="44"/>
      <c r="BF2378" s="45"/>
      <c r="BG2378" s="12"/>
      <c r="BH2378" s="12"/>
      <c r="BI2378" s="12"/>
      <c r="BJ2378" s="12"/>
      <c r="BK2378" s="44"/>
      <c r="BL2378" s="45"/>
      <c r="BM2378" s="12"/>
      <c r="BN2378" s="12"/>
      <c r="BO2378" s="12"/>
      <c r="BP2378" s="12"/>
      <c r="BQ2378" s="48"/>
      <c r="BR2378" s="49"/>
      <c r="BS2378" s="13"/>
      <c r="BT2378" s="12"/>
      <c r="BV2378" s="14"/>
      <c r="BW2378" s="50"/>
      <c r="BX2378" s="54"/>
      <c r="BY2378" s="14"/>
      <c r="BZ2378" s="14"/>
      <c r="CA2378" s="14"/>
      <c r="CB2378" s="14"/>
      <c r="CC2378" s="14"/>
      <c r="CD2378" s="14"/>
      <c r="CE2378" s="14"/>
      <c r="CF2378" s="15"/>
      <c r="CG2378" s="14"/>
      <c r="CH2378" s="14"/>
      <c r="CI2378" s="50"/>
      <c r="CJ2378" s="54"/>
      <c r="CK2378" s="14"/>
      <c r="CL2378" s="14"/>
      <c r="CM2378" s="14"/>
      <c r="CN2378" s="14"/>
      <c r="CO2378" s="14"/>
      <c r="CP2378" s="14"/>
      <c r="CQ2378" s="14"/>
      <c r="CR2378" s="14"/>
      <c r="CS2378" s="14"/>
      <c r="CT2378" s="14"/>
      <c r="CU2378" s="16"/>
      <c r="CV2378" s="14"/>
      <c r="CW2378" s="50"/>
      <c r="CX2378" s="17"/>
    </row>
    <row r="2379" spans="4:102" x14ac:dyDescent="0.25">
      <c r="D2379" s="11"/>
      <c r="E2379" s="11"/>
      <c r="F2379" s="11"/>
      <c r="G2379" s="11"/>
      <c r="H2379" s="11"/>
      <c r="I2379" s="11"/>
      <c r="J2379" s="11"/>
      <c r="K2379" s="11"/>
      <c r="L2379" s="11"/>
      <c r="M2379" s="11"/>
      <c r="N2379" s="11"/>
      <c r="O2379" s="11"/>
      <c r="P2379" s="43"/>
      <c r="Q2379" s="11"/>
      <c r="R2379" s="11"/>
      <c r="S2379" s="11"/>
      <c r="T2379" s="11"/>
      <c r="U2379" s="11"/>
      <c r="V2379" s="11"/>
      <c r="W2379" s="11"/>
      <c r="X2379" s="12"/>
      <c r="Y2379" s="12"/>
      <c r="Z2379" s="12"/>
      <c r="AA2379" s="44"/>
      <c r="AB2379" s="45"/>
      <c r="AC2379" s="12"/>
      <c r="AD2379" s="12"/>
      <c r="AE2379" s="12"/>
      <c r="AF2379" s="12"/>
      <c r="AG2379" s="44"/>
      <c r="AH2379" s="45"/>
      <c r="AI2379" s="12"/>
      <c r="AJ2379" s="12"/>
      <c r="AK2379" s="12"/>
      <c r="AL2379" s="12"/>
      <c r="AM2379" s="44"/>
      <c r="AN2379" s="45"/>
      <c r="AO2379" s="12"/>
      <c r="AP2379" s="12"/>
      <c r="AQ2379" s="12"/>
      <c r="AR2379" s="12"/>
      <c r="AS2379" s="44"/>
      <c r="AT2379" s="45"/>
      <c r="AU2379" s="12"/>
      <c r="AV2379" s="12"/>
      <c r="AW2379" s="12"/>
      <c r="AX2379" s="12"/>
      <c r="AY2379" s="44"/>
      <c r="AZ2379" s="45"/>
      <c r="BA2379" s="12"/>
      <c r="BB2379" s="12"/>
      <c r="BC2379" s="12"/>
      <c r="BD2379" s="12"/>
      <c r="BE2379" s="44"/>
      <c r="BF2379" s="45"/>
      <c r="BG2379" s="12"/>
      <c r="BH2379" s="12"/>
      <c r="BI2379" s="12"/>
      <c r="BJ2379" s="12"/>
      <c r="BK2379" s="44"/>
      <c r="BL2379" s="45"/>
      <c r="BM2379" s="12"/>
      <c r="BN2379" s="12"/>
      <c r="BO2379" s="12"/>
      <c r="BP2379" s="12"/>
      <c r="BQ2379" s="48"/>
      <c r="BR2379" s="49"/>
      <c r="BS2379" s="13"/>
      <c r="BT2379" s="12"/>
      <c r="BV2379" s="14"/>
      <c r="BW2379" s="50"/>
      <c r="BX2379" s="54"/>
      <c r="BY2379" s="14"/>
      <c r="BZ2379" s="14"/>
      <c r="CA2379" s="14"/>
      <c r="CB2379" s="14"/>
      <c r="CC2379" s="14"/>
      <c r="CD2379" s="14"/>
      <c r="CE2379" s="14"/>
      <c r="CF2379" s="15"/>
      <c r="CG2379" s="14"/>
      <c r="CH2379" s="14"/>
      <c r="CI2379" s="50"/>
      <c r="CJ2379" s="54"/>
      <c r="CK2379" s="14"/>
      <c r="CL2379" s="14"/>
      <c r="CM2379" s="14"/>
      <c r="CN2379" s="14"/>
      <c r="CO2379" s="14"/>
      <c r="CP2379" s="14"/>
      <c r="CQ2379" s="14"/>
      <c r="CR2379" s="14"/>
      <c r="CS2379" s="14"/>
      <c r="CT2379" s="14"/>
      <c r="CU2379" s="16"/>
      <c r="CV2379" s="14"/>
      <c r="CW2379" s="50"/>
      <c r="CX2379" s="17"/>
    </row>
    <row r="2380" spans="4:102" x14ac:dyDescent="0.25">
      <c r="D2380" s="11"/>
      <c r="E2380" s="11"/>
      <c r="F2380" s="11"/>
      <c r="G2380" s="11"/>
      <c r="H2380" s="11"/>
      <c r="I2380" s="11"/>
      <c r="J2380" s="11"/>
      <c r="K2380" s="11"/>
      <c r="L2380" s="11"/>
      <c r="M2380" s="11"/>
      <c r="N2380" s="11"/>
      <c r="O2380" s="11"/>
      <c r="P2380" s="43"/>
      <c r="Q2380" s="11"/>
      <c r="R2380" s="11"/>
      <c r="S2380" s="11"/>
      <c r="T2380" s="11"/>
      <c r="U2380" s="11"/>
      <c r="V2380" s="11"/>
      <c r="W2380" s="11"/>
      <c r="X2380" s="12"/>
      <c r="Y2380" s="12"/>
      <c r="Z2380" s="12"/>
      <c r="AA2380" s="44"/>
      <c r="AB2380" s="45"/>
      <c r="AC2380" s="12"/>
      <c r="AD2380" s="12"/>
      <c r="AE2380" s="12"/>
      <c r="AF2380" s="12"/>
      <c r="AG2380" s="44"/>
      <c r="AH2380" s="45"/>
      <c r="AI2380" s="12"/>
      <c r="AJ2380" s="12"/>
      <c r="AK2380" s="12"/>
      <c r="AL2380" s="12"/>
      <c r="AM2380" s="44"/>
      <c r="AN2380" s="45"/>
      <c r="AO2380" s="12"/>
      <c r="AP2380" s="12"/>
      <c r="AQ2380" s="12"/>
      <c r="AR2380" s="12"/>
      <c r="AS2380" s="44"/>
      <c r="AT2380" s="45"/>
      <c r="AU2380" s="12"/>
      <c r="AV2380" s="12"/>
      <c r="AW2380" s="12"/>
      <c r="AX2380" s="12"/>
      <c r="AY2380" s="44"/>
      <c r="AZ2380" s="45"/>
      <c r="BA2380" s="12"/>
      <c r="BB2380" s="12"/>
      <c r="BC2380" s="12"/>
      <c r="BD2380" s="12"/>
      <c r="BE2380" s="44"/>
      <c r="BF2380" s="45"/>
      <c r="BG2380" s="12"/>
      <c r="BH2380" s="12"/>
      <c r="BI2380" s="12"/>
      <c r="BJ2380" s="12"/>
      <c r="BK2380" s="44"/>
      <c r="BL2380" s="45"/>
      <c r="BM2380" s="12"/>
      <c r="BN2380" s="12"/>
      <c r="BO2380" s="12"/>
      <c r="BP2380" s="12"/>
      <c r="BQ2380" s="48"/>
      <c r="BR2380" s="49"/>
      <c r="BS2380" s="13"/>
      <c r="BT2380" s="12"/>
      <c r="BV2380" s="14"/>
      <c r="BW2380" s="50"/>
      <c r="BX2380" s="54"/>
      <c r="BY2380" s="14"/>
      <c r="BZ2380" s="14"/>
      <c r="CA2380" s="14"/>
      <c r="CB2380" s="14"/>
      <c r="CC2380" s="14"/>
      <c r="CD2380" s="14"/>
      <c r="CE2380" s="14"/>
      <c r="CF2380" s="15"/>
      <c r="CG2380" s="14"/>
      <c r="CH2380" s="14"/>
      <c r="CI2380" s="50"/>
      <c r="CJ2380" s="54"/>
      <c r="CK2380" s="14"/>
      <c r="CL2380" s="14"/>
      <c r="CM2380" s="14"/>
      <c r="CN2380" s="14"/>
      <c r="CO2380" s="14"/>
      <c r="CP2380" s="14"/>
      <c r="CQ2380" s="14"/>
      <c r="CR2380" s="14"/>
      <c r="CS2380" s="14"/>
      <c r="CT2380" s="14"/>
      <c r="CU2380" s="16"/>
      <c r="CV2380" s="14"/>
      <c r="CW2380" s="50"/>
      <c r="CX2380" s="17"/>
    </row>
    <row r="2381" spans="4:102" x14ac:dyDescent="0.25">
      <c r="D2381" s="11"/>
      <c r="E2381" s="11"/>
      <c r="F2381" s="11"/>
      <c r="G2381" s="11"/>
      <c r="H2381" s="11"/>
      <c r="I2381" s="11"/>
      <c r="J2381" s="11"/>
      <c r="K2381" s="11"/>
      <c r="L2381" s="11"/>
      <c r="M2381" s="11"/>
      <c r="N2381" s="11"/>
      <c r="O2381" s="11"/>
      <c r="P2381" s="43"/>
      <c r="Q2381" s="11"/>
      <c r="R2381" s="11"/>
      <c r="S2381" s="11"/>
      <c r="T2381" s="11"/>
      <c r="U2381" s="11"/>
      <c r="V2381" s="11"/>
      <c r="W2381" s="11"/>
      <c r="X2381" s="12"/>
      <c r="Y2381" s="12"/>
      <c r="Z2381" s="12"/>
      <c r="AA2381" s="44"/>
      <c r="AB2381" s="45"/>
      <c r="AC2381" s="12"/>
      <c r="AD2381" s="12"/>
      <c r="AE2381" s="12"/>
      <c r="AF2381" s="12"/>
      <c r="AG2381" s="44"/>
      <c r="AH2381" s="45"/>
      <c r="AI2381" s="12"/>
      <c r="AJ2381" s="12"/>
      <c r="AK2381" s="12"/>
      <c r="AL2381" s="12"/>
      <c r="AM2381" s="44"/>
      <c r="AN2381" s="45"/>
      <c r="AO2381" s="12"/>
      <c r="AP2381" s="12"/>
      <c r="AQ2381" s="12"/>
      <c r="AR2381" s="12"/>
      <c r="AS2381" s="44"/>
      <c r="AT2381" s="45"/>
      <c r="AU2381" s="12"/>
      <c r="AV2381" s="12"/>
      <c r="AW2381" s="12"/>
      <c r="AX2381" s="12"/>
      <c r="AY2381" s="44"/>
      <c r="AZ2381" s="45"/>
      <c r="BA2381" s="12"/>
      <c r="BB2381" s="12"/>
      <c r="BC2381" s="12"/>
      <c r="BD2381" s="12"/>
      <c r="BE2381" s="44"/>
      <c r="BF2381" s="45"/>
      <c r="BG2381" s="12"/>
      <c r="BH2381" s="12"/>
      <c r="BI2381" s="12"/>
      <c r="BJ2381" s="12"/>
      <c r="BK2381" s="44"/>
      <c r="BL2381" s="45"/>
      <c r="BM2381" s="12"/>
      <c r="BN2381" s="12"/>
      <c r="BO2381" s="12"/>
      <c r="BP2381" s="12"/>
      <c r="BQ2381" s="48"/>
      <c r="BR2381" s="49"/>
      <c r="BS2381" s="13"/>
      <c r="BT2381" s="12"/>
      <c r="BV2381" s="14"/>
      <c r="BW2381" s="50"/>
      <c r="BX2381" s="54"/>
      <c r="BY2381" s="14"/>
      <c r="BZ2381" s="14"/>
      <c r="CA2381" s="14"/>
      <c r="CB2381" s="14"/>
      <c r="CC2381" s="14"/>
      <c r="CD2381" s="14"/>
      <c r="CE2381" s="14"/>
      <c r="CF2381" s="15"/>
      <c r="CG2381" s="14"/>
      <c r="CH2381" s="14"/>
      <c r="CI2381" s="50"/>
      <c r="CJ2381" s="54"/>
      <c r="CK2381" s="14"/>
      <c r="CL2381" s="14"/>
      <c r="CM2381" s="14"/>
      <c r="CN2381" s="14"/>
      <c r="CO2381" s="14"/>
      <c r="CP2381" s="14"/>
      <c r="CQ2381" s="14"/>
      <c r="CR2381" s="14"/>
      <c r="CS2381" s="14"/>
      <c r="CT2381" s="14"/>
      <c r="CU2381" s="16"/>
      <c r="CV2381" s="14"/>
      <c r="CW2381" s="50"/>
      <c r="CX2381" s="17"/>
    </row>
    <row r="2382" spans="4:102" x14ac:dyDescent="0.25">
      <c r="D2382" s="11"/>
      <c r="E2382" s="11"/>
      <c r="F2382" s="11"/>
      <c r="G2382" s="11"/>
      <c r="H2382" s="11"/>
      <c r="I2382" s="11"/>
      <c r="J2382" s="11"/>
      <c r="K2382" s="11"/>
      <c r="L2382" s="11"/>
      <c r="M2382" s="11"/>
      <c r="N2382" s="11"/>
      <c r="O2382" s="11"/>
      <c r="P2382" s="43"/>
      <c r="Q2382" s="11"/>
      <c r="R2382" s="11"/>
      <c r="S2382" s="11"/>
      <c r="T2382" s="11"/>
      <c r="U2382" s="11"/>
      <c r="V2382" s="11"/>
      <c r="W2382" s="11"/>
      <c r="X2382" s="12"/>
      <c r="Y2382" s="12"/>
      <c r="Z2382" s="12"/>
      <c r="AA2382" s="44"/>
      <c r="AB2382" s="45"/>
      <c r="AC2382" s="12"/>
      <c r="AD2382" s="12"/>
      <c r="AE2382" s="12"/>
      <c r="AF2382" s="12"/>
      <c r="AG2382" s="44"/>
      <c r="AH2382" s="45"/>
      <c r="AI2382" s="12"/>
      <c r="AJ2382" s="12"/>
      <c r="AK2382" s="12"/>
      <c r="AL2382" s="12"/>
      <c r="AM2382" s="44"/>
      <c r="AN2382" s="45"/>
      <c r="AO2382" s="12"/>
      <c r="AP2382" s="12"/>
      <c r="AQ2382" s="12"/>
      <c r="AR2382" s="12"/>
      <c r="AS2382" s="44"/>
      <c r="AT2382" s="45"/>
      <c r="AU2382" s="12"/>
      <c r="AV2382" s="12"/>
      <c r="AW2382" s="12"/>
      <c r="AX2382" s="12"/>
      <c r="AY2382" s="44"/>
      <c r="AZ2382" s="45"/>
      <c r="BA2382" s="12"/>
      <c r="BB2382" s="12"/>
      <c r="BC2382" s="12"/>
      <c r="BD2382" s="12"/>
      <c r="BE2382" s="44"/>
      <c r="BF2382" s="45"/>
      <c r="BG2382" s="12"/>
      <c r="BH2382" s="12"/>
      <c r="BI2382" s="12"/>
      <c r="BJ2382" s="12"/>
      <c r="BK2382" s="44"/>
      <c r="BL2382" s="45"/>
      <c r="BM2382" s="12"/>
      <c r="BN2382" s="12"/>
      <c r="BO2382" s="12"/>
      <c r="BP2382" s="12"/>
      <c r="BQ2382" s="48"/>
      <c r="BR2382" s="49"/>
      <c r="BS2382" s="13"/>
      <c r="BT2382" s="12"/>
      <c r="BV2382" s="14"/>
      <c r="BW2382" s="50"/>
      <c r="BX2382" s="54"/>
      <c r="BY2382" s="14"/>
      <c r="BZ2382" s="14"/>
      <c r="CA2382" s="14"/>
      <c r="CB2382" s="14"/>
      <c r="CC2382" s="14"/>
      <c r="CD2382" s="14"/>
      <c r="CE2382" s="14"/>
      <c r="CF2382" s="15"/>
      <c r="CG2382" s="14"/>
      <c r="CH2382" s="14"/>
      <c r="CI2382" s="50"/>
      <c r="CJ2382" s="54"/>
      <c r="CK2382" s="14"/>
      <c r="CL2382" s="14"/>
      <c r="CM2382" s="14"/>
      <c r="CN2382" s="14"/>
      <c r="CO2382" s="14"/>
      <c r="CP2382" s="14"/>
      <c r="CQ2382" s="14"/>
      <c r="CR2382" s="14"/>
      <c r="CS2382" s="14"/>
      <c r="CT2382" s="14"/>
      <c r="CU2382" s="16"/>
      <c r="CV2382" s="14"/>
      <c r="CW2382" s="50"/>
      <c r="CX2382" s="17"/>
    </row>
    <row r="2383" spans="4:102" x14ac:dyDescent="0.25">
      <c r="D2383" s="11"/>
      <c r="E2383" s="11"/>
      <c r="F2383" s="11"/>
      <c r="G2383" s="11"/>
      <c r="H2383" s="11"/>
      <c r="I2383" s="11"/>
      <c r="J2383" s="11"/>
      <c r="K2383" s="11"/>
      <c r="L2383" s="11"/>
      <c r="M2383" s="11"/>
      <c r="N2383" s="11"/>
      <c r="O2383" s="11"/>
      <c r="P2383" s="43"/>
      <c r="Q2383" s="11"/>
      <c r="R2383" s="11"/>
      <c r="S2383" s="11"/>
      <c r="T2383" s="11"/>
      <c r="U2383" s="11"/>
      <c r="V2383" s="11"/>
      <c r="W2383" s="11"/>
      <c r="X2383" s="12"/>
      <c r="Y2383" s="12"/>
      <c r="Z2383" s="12"/>
      <c r="AA2383" s="44"/>
      <c r="AB2383" s="45"/>
      <c r="AC2383" s="12"/>
      <c r="AD2383" s="12"/>
      <c r="AE2383" s="12"/>
      <c r="AF2383" s="12"/>
      <c r="AG2383" s="44"/>
      <c r="AH2383" s="45"/>
      <c r="AI2383" s="12"/>
      <c r="AJ2383" s="12"/>
      <c r="AK2383" s="12"/>
      <c r="AL2383" s="12"/>
      <c r="AM2383" s="44"/>
      <c r="AN2383" s="45"/>
      <c r="AO2383" s="12"/>
      <c r="AP2383" s="12"/>
      <c r="AQ2383" s="12"/>
      <c r="AR2383" s="12"/>
      <c r="AS2383" s="44"/>
      <c r="AT2383" s="45"/>
      <c r="AU2383" s="12"/>
      <c r="AV2383" s="12"/>
      <c r="AW2383" s="12"/>
      <c r="AX2383" s="12"/>
      <c r="AY2383" s="44"/>
      <c r="AZ2383" s="45"/>
      <c r="BA2383" s="12"/>
      <c r="BB2383" s="12"/>
      <c r="BC2383" s="12"/>
      <c r="BD2383" s="12"/>
      <c r="BE2383" s="44"/>
      <c r="BF2383" s="45"/>
      <c r="BG2383" s="12"/>
      <c r="BH2383" s="12"/>
      <c r="BI2383" s="12"/>
      <c r="BJ2383" s="12"/>
      <c r="BK2383" s="44"/>
      <c r="BL2383" s="45"/>
      <c r="BM2383" s="12"/>
      <c r="BN2383" s="12"/>
      <c r="BO2383" s="12"/>
      <c r="BP2383" s="12"/>
      <c r="BQ2383" s="48"/>
      <c r="BR2383" s="49"/>
      <c r="BS2383" s="13"/>
      <c r="BT2383" s="12"/>
      <c r="BV2383" s="14"/>
      <c r="BW2383" s="50"/>
      <c r="BX2383" s="54"/>
      <c r="BY2383" s="14"/>
      <c r="BZ2383" s="14"/>
      <c r="CA2383" s="14"/>
      <c r="CB2383" s="14"/>
      <c r="CC2383" s="14"/>
      <c r="CD2383" s="14"/>
      <c r="CE2383" s="14"/>
      <c r="CF2383" s="15"/>
      <c r="CG2383" s="14"/>
      <c r="CH2383" s="14"/>
      <c r="CI2383" s="50"/>
      <c r="CJ2383" s="54"/>
      <c r="CK2383" s="14"/>
      <c r="CL2383" s="14"/>
      <c r="CM2383" s="14"/>
      <c r="CN2383" s="14"/>
      <c r="CO2383" s="14"/>
      <c r="CP2383" s="14"/>
      <c r="CQ2383" s="14"/>
      <c r="CR2383" s="14"/>
      <c r="CS2383" s="14"/>
      <c r="CT2383" s="14"/>
      <c r="CU2383" s="16"/>
      <c r="CV2383" s="14"/>
      <c r="CW2383" s="50"/>
      <c r="CX2383" s="17"/>
    </row>
    <row r="2384" spans="4:102" x14ac:dyDescent="0.25">
      <c r="D2384" s="11"/>
      <c r="E2384" s="11"/>
      <c r="F2384" s="11"/>
      <c r="G2384" s="11"/>
      <c r="H2384" s="11"/>
      <c r="I2384" s="11"/>
      <c r="J2384" s="11"/>
      <c r="K2384" s="11"/>
      <c r="L2384" s="11"/>
      <c r="M2384" s="11"/>
      <c r="N2384" s="11"/>
      <c r="O2384" s="11"/>
      <c r="P2384" s="43"/>
      <c r="Q2384" s="11"/>
      <c r="R2384" s="11"/>
      <c r="S2384" s="11"/>
      <c r="T2384" s="11"/>
      <c r="U2384" s="11"/>
      <c r="V2384" s="11"/>
      <c r="W2384" s="11"/>
      <c r="X2384" s="12"/>
      <c r="Y2384" s="12"/>
      <c r="Z2384" s="12"/>
      <c r="AA2384" s="44"/>
      <c r="AB2384" s="45"/>
      <c r="AC2384" s="12"/>
      <c r="AD2384" s="12"/>
      <c r="AE2384" s="12"/>
      <c r="AF2384" s="12"/>
      <c r="AG2384" s="44"/>
      <c r="AH2384" s="45"/>
      <c r="AI2384" s="12"/>
      <c r="AJ2384" s="12"/>
      <c r="AK2384" s="12"/>
      <c r="AL2384" s="12"/>
      <c r="AM2384" s="44"/>
      <c r="AN2384" s="45"/>
      <c r="AO2384" s="12"/>
      <c r="AP2384" s="12"/>
      <c r="AQ2384" s="12"/>
      <c r="AR2384" s="12"/>
      <c r="AS2384" s="44"/>
      <c r="AT2384" s="45"/>
      <c r="AU2384" s="12"/>
      <c r="AV2384" s="12"/>
      <c r="AW2384" s="12"/>
      <c r="AX2384" s="12"/>
      <c r="AY2384" s="44"/>
      <c r="AZ2384" s="45"/>
      <c r="BA2384" s="12"/>
      <c r="BB2384" s="12"/>
      <c r="BC2384" s="12"/>
      <c r="BD2384" s="12"/>
      <c r="BE2384" s="44"/>
      <c r="BF2384" s="45"/>
      <c r="BG2384" s="12"/>
      <c r="BH2384" s="12"/>
      <c r="BI2384" s="12"/>
      <c r="BJ2384" s="12"/>
      <c r="BK2384" s="44"/>
      <c r="BL2384" s="45"/>
      <c r="BM2384" s="12"/>
      <c r="BN2384" s="12"/>
      <c r="BO2384" s="12"/>
      <c r="BP2384" s="12"/>
      <c r="BQ2384" s="48"/>
      <c r="BR2384" s="49"/>
      <c r="BS2384" s="13"/>
      <c r="BT2384" s="12"/>
      <c r="BV2384" s="14"/>
      <c r="BW2384" s="50"/>
      <c r="BX2384" s="54"/>
      <c r="BY2384" s="14"/>
      <c r="BZ2384" s="14"/>
      <c r="CA2384" s="14"/>
      <c r="CB2384" s="14"/>
      <c r="CC2384" s="14"/>
      <c r="CD2384" s="14"/>
      <c r="CE2384" s="14"/>
      <c r="CF2384" s="15"/>
      <c r="CG2384" s="14"/>
      <c r="CH2384" s="14"/>
      <c r="CI2384" s="50"/>
      <c r="CJ2384" s="54"/>
      <c r="CK2384" s="14"/>
      <c r="CL2384" s="14"/>
      <c r="CM2384" s="14"/>
      <c r="CN2384" s="14"/>
      <c r="CO2384" s="14"/>
      <c r="CP2384" s="14"/>
      <c r="CQ2384" s="14"/>
      <c r="CR2384" s="14"/>
      <c r="CS2384" s="14"/>
      <c r="CT2384" s="14"/>
      <c r="CU2384" s="16"/>
      <c r="CV2384" s="14"/>
      <c r="CW2384" s="50"/>
      <c r="CX2384" s="17"/>
    </row>
    <row r="2385" spans="4:102" x14ac:dyDescent="0.25">
      <c r="D2385" s="11"/>
      <c r="E2385" s="11"/>
      <c r="F2385" s="11"/>
      <c r="G2385" s="11"/>
      <c r="H2385" s="11"/>
      <c r="I2385" s="11"/>
      <c r="J2385" s="11"/>
      <c r="K2385" s="11"/>
      <c r="L2385" s="11"/>
      <c r="M2385" s="11"/>
      <c r="N2385" s="11"/>
      <c r="O2385" s="11"/>
      <c r="P2385" s="43"/>
      <c r="Q2385" s="11"/>
      <c r="R2385" s="11"/>
      <c r="S2385" s="11"/>
      <c r="T2385" s="11"/>
      <c r="U2385" s="11"/>
      <c r="V2385" s="11"/>
      <c r="W2385" s="11"/>
      <c r="X2385" s="12"/>
      <c r="Y2385" s="12"/>
      <c r="Z2385" s="12"/>
      <c r="AA2385" s="44"/>
      <c r="AB2385" s="45"/>
      <c r="AC2385" s="12"/>
      <c r="AD2385" s="12"/>
      <c r="AE2385" s="12"/>
      <c r="AF2385" s="12"/>
      <c r="AG2385" s="44"/>
      <c r="AH2385" s="45"/>
      <c r="AI2385" s="12"/>
      <c r="AJ2385" s="12"/>
      <c r="AK2385" s="12"/>
      <c r="AL2385" s="12"/>
      <c r="AM2385" s="44"/>
      <c r="AN2385" s="45"/>
      <c r="AO2385" s="12"/>
      <c r="AP2385" s="12"/>
      <c r="AQ2385" s="12"/>
      <c r="AR2385" s="12"/>
      <c r="AS2385" s="44"/>
      <c r="AT2385" s="45"/>
      <c r="AU2385" s="12"/>
      <c r="AV2385" s="12"/>
      <c r="AW2385" s="12"/>
      <c r="AX2385" s="12"/>
      <c r="AY2385" s="44"/>
      <c r="AZ2385" s="45"/>
      <c r="BA2385" s="12"/>
      <c r="BB2385" s="12"/>
      <c r="BC2385" s="12"/>
      <c r="BD2385" s="12"/>
      <c r="BE2385" s="44"/>
      <c r="BF2385" s="45"/>
      <c r="BG2385" s="12"/>
      <c r="BH2385" s="12"/>
      <c r="BI2385" s="12"/>
      <c r="BJ2385" s="12"/>
      <c r="BK2385" s="44"/>
      <c r="BL2385" s="45"/>
      <c r="BM2385" s="12"/>
      <c r="BN2385" s="12"/>
      <c r="BO2385" s="12"/>
      <c r="BP2385" s="12"/>
      <c r="BQ2385" s="48"/>
      <c r="BR2385" s="49"/>
      <c r="BS2385" s="13"/>
      <c r="BT2385" s="12"/>
      <c r="BV2385" s="14"/>
      <c r="BW2385" s="50"/>
      <c r="BX2385" s="54"/>
      <c r="BY2385" s="14"/>
      <c r="BZ2385" s="14"/>
      <c r="CA2385" s="14"/>
      <c r="CB2385" s="14"/>
      <c r="CC2385" s="14"/>
      <c r="CD2385" s="14"/>
      <c r="CE2385" s="14"/>
      <c r="CF2385" s="15"/>
      <c r="CG2385" s="14"/>
      <c r="CH2385" s="14"/>
      <c r="CI2385" s="50"/>
      <c r="CJ2385" s="54"/>
      <c r="CK2385" s="14"/>
      <c r="CL2385" s="14"/>
      <c r="CM2385" s="14"/>
      <c r="CN2385" s="14"/>
      <c r="CO2385" s="14"/>
      <c r="CP2385" s="14"/>
      <c r="CQ2385" s="14"/>
      <c r="CR2385" s="14"/>
      <c r="CS2385" s="14"/>
      <c r="CT2385" s="14"/>
      <c r="CU2385" s="16"/>
      <c r="CV2385" s="14"/>
      <c r="CW2385" s="50"/>
      <c r="CX2385" s="17"/>
    </row>
    <row r="2386" spans="4:102" x14ac:dyDescent="0.25">
      <c r="D2386" s="11"/>
      <c r="E2386" s="11"/>
      <c r="F2386" s="11"/>
      <c r="G2386" s="11"/>
      <c r="H2386" s="11"/>
      <c r="I2386" s="11"/>
      <c r="J2386" s="11"/>
      <c r="K2386" s="11"/>
      <c r="L2386" s="11"/>
      <c r="M2386" s="11"/>
      <c r="N2386" s="11"/>
      <c r="O2386" s="11"/>
      <c r="P2386" s="43"/>
      <c r="Q2386" s="11"/>
      <c r="R2386" s="11"/>
      <c r="S2386" s="11"/>
      <c r="T2386" s="11"/>
      <c r="U2386" s="11"/>
      <c r="V2386" s="11"/>
      <c r="W2386" s="11"/>
      <c r="X2386" s="12"/>
      <c r="Y2386" s="12"/>
      <c r="Z2386" s="12"/>
      <c r="AA2386" s="44"/>
      <c r="AB2386" s="45"/>
      <c r="AC2386" s="12"/>
      <c r="AD2386" s="12"/>
      <c r="AE2386" s="12"/>
      <c r="AF2386" s="12"/>
      <c r="AG2386" s="44"/>
      <c r="AH2386" s="45"/>
      <c r="AI2386" s="12"/>
      <c r="AJ2386" s="12"/>
      <c r="AK2386" s="12"/>
      <c r="AL2386" s="12"/>
      <c r="AM2386" s="44"/>
      <c r="AN2386" s="45"/>
      <c r="AO2386" s="12"/>
      <c r="AP2386" s="12"/>
      <c r="AQ2386" s="12"/>
      <c r="AR2386" s="12"/>
      <c r="AS2386" s="44"/>
      <c r="AT2386" s="45"/>
      <c r="AU2386" s="12"/>
      <c r="AV2386" s="12"/>
      <c r="AW2386" s="12"/>
      <c r="AX2386" s="12"/>
      <c r="AY2386" s="44"/>
      <c r="AZ2386" s="45"/>
      <c r="BA2386" s="12"/>
      <c r="BB2386" s="12"/>
      <c r="BC2386" s="12"/>
      <c r="BD2386" s="12"/>
      <c r="BE2386" s="44"/>
      <c r="BF2386" s="45"/>
      <c r="BG2386" s="12"/>
      <c r="BH2386" s="12"/>
      <c r="BI2386" s="12"/>
      <c r="BJ2386" s="12"/>
      <c r="BK2386" s="44"/>
      <c r="BL2386" s="45"/>
      <c r="BM2386" s="12"/>
      <c r="BN2386" s="12"/>
      <c r="BO2386" s="12"/>
      <c r="BP2386" s="12"/>
      <c r="BQ2386" s="48"/>
      <c r="BR2386" s="49"/>
      <c r="BS2386" s="13"/>
      <c r="BT2386" s="12"/>
      <c r="BV2386" s="14"/>
      <c r="BW2386" s="50"/>
      <c r="BX2386" s="54"/>
      <c r="BY2386" s="14"/>
      <c r="BZ2386" s="14"/>
      <c r="CA2386" s="14"/>
      <c r="CB2386" s="14"/>
      <c r="CC2386" s="14"/>
      <c r="CD2386" s="14"/>
      <c r="CE2386" s="14"/>
      <c r="CF2386" s="15"/>
      <c r="CG2386" s="14"/>
      <c r="CH2386" s="14"/>
      <c r="CI2386" s="50"/>
      <c r="CJ2386" s="54"/>
      <c r="CK2386" s="14"/>
      <c r="CL2386" s="14"/>
      <c r="CM2386" s="14"/>
      <c r="CN2386" s="14"/>
      <c r="CO2386" s="14"/>
      <c r="CP2386" s="14"/>
      <c r="CQ2386" s="14"/>
      <c r="CR2386" s="14"/>
      <c r="CS2386" s="14"/>
      <c r="CT2386" s="14"/>
      <c r="CU2386" s="16"/>
      <c r="CV2386" s="14"/>
      <c r="CW2386" s="50"/>
      <c r="CX2386" s="17"/>
    </row>
    <row r="2387" spans="4:102" x14ac:dyDescent="0.25">
      <c r="D2387" s="11"/>
      <c r="E2387" s="11"/>
      <c r="F2387" s="11"/>
      <c r="G2387" s="11"/>
      <c r="H2387" s="11"/>
      <c r="I2387" s="11"/>
      <c r="J2387" s="11"/>
      <c r="K2387" s="11"/>
      <c r="L2387" s="11"/>
      <c r="M2387" s="11"/>
      <c r="N2387" s="11"/>
      <c r="O2387" s="11"/>
      <c r="P2387" s="43"/>
      <c r="Q2387" s="11"/>
      <c r="R2387" s="11"/>
      <c r="S2387" s="11"/>
      <c r="T2387" s="11"/>
      <c r="U2387" s="11"/>
      <c r="V2387" s="11"/>
      <c r="W2387" s="11"/>
      <c r="X2387" s="12"/>
      <c r="Y2387" s="12"/>
      <c r="Z2387" s="12"/>
      <c r="AA2387" s="44"/>
      <c r="AB2387" s="45"/>
      <c r="AC2387" s="12"/>
      <c r="AD2387" s="12"/>
      <c r="AE2387" s="12"/>
      <c r="AF2387" s="12"/>
      <c r="AG2387" s="44"/>
      <c r="AH2387" s="45"/>
      <c r="AI2387" s="12"/>
      <c r="AJ2387" s="12"/>
      <c r="AK2387" s="12"/>
      <c r="AL2387" s="12"/>
      <c r="AM2387" s="44"/>
      <c r="AN2387" s="45"/>
      <c r="AO2387" s="12"/>
      <c r="AP2387" s="12"/>
      <c r="AQ2387" s="12"/>
      <c r="AR2387" s="12"/>
      <c r="AS2387" s="44"/>
      <c r="AT2387" s="45"/>
      <c r="AU2387" s="12"/>
      <c r="AV2387" s="12"/>
      <c r="AW2387" s="12"/>
      <c r="AX2387" s="12"/>
      <c r="AY2387" s="44"/>
      <c r="AZ2387" s="45"/>
      <c r="BA2387" s="12"/>
      <c r="BB2387" s="12"/>
      <c r="BC2387" s="12"/>
      <c r="BD2387" s="12"/>
      <c r="BE2387" s="44"/>
      <c r="BF2387" s="45"/>
      <c r="BG2387" s="12"/>
      <c r="BH2387" s="12"/>
      <c r="BI2387" s="12"/>
      <c r="BJ2387" s="12"/>
      <c r="BK2387" s="44"/>
      <c r="BL2387" s="45"/>
      <c r="BM2387" s="12"/>
      <c r="BN2387" s="12"/>
      <c r="BO2387" s="12"/>
      <c r="BP2387" s="12"/>
      <c r="BQ2387" s="48"/>
      <c r="BR2387" s="49"/>
      <c r="BS2387" s="13"/>
      <c r="BT2387" s="12"/>
      <c r="BV2387" s="14"/>
      <c r="BW2387" s="50"/>
      <c r="BX2387" s="54"/>
      <c r="BY2387" s="14"/>
      <c r="BZ2387" s="14"/>
      <c r="CA2387" s="14"/>
      <c r="CB2387" s="14"/>
      <c r="CC2387" s="14"/>
      <c r="CD2387" s="14"/>
      <c r="CE2387" s="14"/>
      <c r="CF2387" s="15"/>
      <c r="CG2387" s="14"/>
      <c r="CH2387" s="14"/>
      <c r="CI2387" s="50"/>
      <c r="CJ2387" s="54"/>
      <c r="CK2387" s="14"/>
      <c r="CL2387" s="14"/>
      <c r="CM2387" s="14"/>
      <c r="CN2387" s="14"/>
      <c r="CO2387" s="14"/>
      <c r="CP2387" s="14"/>
      <c r="CQ2387" s="14"/>
      <c r="CR2387" s="14"/>
      <c r="CS2387" s="14"/>
      <c r="CT2387" s="14"/>
      <c r="CU2387" s="16"/>
      <c r="CV2387" s="14"/>
      <c r="CW2387" s="50"/>
      <c r="CX2387" s="17"/>
    </row>
    <row r="2388" spans="4:102" x14ac:dyDescent="0.25">
      <c r="D2388" s="11"/>
      <c r="E2388" s="11"/>
      <c r="F2388" s="11"/>
      <c r="G2388" s="11"/>
      <c r="H2388" s="11"/>
      <c r="I2388" s="11"/>
      <c r="J2388" s="11"/>
      <c r="K2388" s="11"/>
      <c r="L2388" s="11"/>
      <c r="M2388" s="11"/>
      <c r="N2388" s="11"/>
      <c r="O2388" s="11"/>
      <c r="P2388" s="43"/>
      <c r="Q2388" s="11"/>
      <c r="R2388" s="11"/>
      <c r="S2388" s="11"/>
      <c r="T2388" s="11"/>
      <c r="U2388" s="11"/>
      <c r="V2388" s="11"/>
      <c r="W2388" s="11"/>
      <c r="X2388" s="12"/>
      <c r="Y2388" s="12"/>
      <c r="Z2388" s="12"/>
      <c r="AA2388" s="44"/>
      <c r="AB2388" s="45"/>
      <c r="AC2388" s="12"/>
      <c r="AD2388" s="12"/>
      <c r="AE2388" s="12"/>
      <c r="AF2388" s="12"/>
      <c r="AG2388" s="44"/>
      <c r="AH2388" s="45"/>
      <c r="AI2388" s="12"/>
      <c r="AJ2388" s="12"/>
      <c r="AK2388" s="12"/>
      <c r="AL2388" s="12"/>
      <c r="AM2388" s="44"/>
      <c r="AN2388" s="45"/>
      <c r="AO2388" s="12"/>
      <c r="AP2388" s="12"/>
      <c r="AQ2388" s="12"/>
      <c r="AR2388" s="12"/>
      <c r="AS2388" s="44"/>
      <c r="AT2388" s="45"/>
      <c r="AU2388" s="12"/>
      <c r="AV2388" s="12"/>
      <c r="AW2388" s="12"/>
      <c r="AX2388" s="12"/>
      <c r="AY2388" s="44"/>
      <c r="AZ2388" s="45"/>
      <c r="BA2388" s="12"/>
      <c r="BB2388" s="12"/>
      <c r="BC2388" s="12"/>
      <c r="BD2388" s="12"/>
      <c r="BE2388" s="44"/>
      <c r="BF2388" s="45"/>
      <c r="BG2388" s="12"/>
      <c r="BH2388" s="12"/>
      <c r="BI2388" s="12"/>
      <c r="BJ2388" s="12"/>
      <c r="BK2388" s="44"/>
      <c r="BL2388" s="45"/>
      <c r="BM2388" s="12"/>
      <c r="BN2388" s="12"/>
      <c r="BO2388" s="12"/>
      <c r="BP2388" s="12"/>
      <c r="BQ2388" s="48"/>
      <c r="BR2388" s="49"/>
      <c r="BS2388" s="13"/>
      <c r="BT2388" s="12"/>
      <c r="BV2388" s="14"/>
      <c r="BW2388" s="50"/>
      <c r="BX2388" s="54"/>
      <c r="BY2388" s="14"/>
      <c r="BZ2388" s="14"/>
      <c r="CA2388" s="14"/>
      <c r="CB2388" s="14"/>
      <c r="CC2388" s="14"/>
      <c r="CD2388" s="14"/>
      <c r="CE2388" s="14"/>
      <c r="CF2388" s="15"/>
      <c r="CG2388" s="14"/>
      <c r="CH2388" s="14"/>
      <c r="CI2388" s="50"/>
      <c r="CJ2388" s="54"/>
      <c r="CK2388" s="14"/>
      <c r="CL2388" s="14"/>
      <c r="CM2388" s="14"/>
      <c r="CN2388" s="14"/>
      <c r="CO2388" s="14"/>
      <c r="CP2388" s="14"/>
      <c r="CQ2388" s="14"/>
      <c r="CR2388" s="14"/>
      <c r="CS2388" s="14"/>
      <c r="CT2388" s="14"/>
      <c r="CU2388" s="16"/>
      <c r="CV2388" s="14"/>
      <c r="CW2388" s="50"/>
      <c r="CX2388" s="17"/>
    </row>
    <row r="2389" spans="4:102" x14ac:dyDescent="0.25">
      <c r="D2389" s="11"/>
      <c r="E2389" s="11"/>
      <c r="F2389" s="11"/>
      <c r="G2389" s="11"/>
      <c r="H2389" s="11"/>
      <c r="I2389" s="11"/>
      <c r="J2389" s="11"/>
      <c r="K2389" s="11"/>
      <c r="L2389" s="11"/>
      <c r="M2389" s="11"/>
      <c r="N2389" s="11"/>
      <c r="O2389" s="11"/>
      <c r="P2389" s="43"/>
      <c r="Q2389" s="11"/>
      <c r="R2389" s="11"/>
      <c r="S2389" s="11"/>
      <c r="T2389" s="11"/>
      <c r="U2389" s="11"/>
      <c r="V2389" s="11"/>
      <c r="W2389" s="11"/>
      <c r="X2389" s="12"/>
      <c r="Y2389" s="12"/>
      <c r="Z2389" s="12"/>
      <c r="AA2389" s="44"/>
      <c r="AB2389" s="45"/>
      <c r="AC2389" s="12"/>
      <c r="AD2389" s="12"/>
      <c r="AE2389" s="12"/>
      <c r="AF2389" s="12"/>
      <c r="AG2389" s="44"/>
      <c r="AH2389" s="45"/>
      <c r="AI2389" s="12"/>
      <c r="AJ2389" s="12"/>
      <c r="AK2389" s="12"/>
      <c r="AL2389" s="12"/>
      <c r="AM2389" s="44"/>
      <c r="AN2389" s="45"/>
      <c r="AO2389" s="12"/>
      <c r="AP2389" s="12"/>
      <c r="AQ2389" s="12"/>
      <c r="AR2389" s="12"/>
      <c r="AS2389" s="44"/>
      <c r="AT2389" s="45"/>
      <c r="AU2389" s="12"/>
      <c r="AV2389" s="12"/>
      <c r="AW2389" s="12"/>
      <c r="AX2389" s="12"/>
      <c r="AY2389" s="44"/>
      <c r="AZ2389" s="45"/>
      <c r="BA2389" s="12"/>
      <c r="BB2389" s="12"/>
      <c r="BC2389" s="12"/>
      <c r="BD2389" s="12"/>
      <c r="BE2389" s="44"/>
      <c r="BF2389" s="45"/>
      <c r="BG2389" s="12"/>
      <c r="BH2389" s="12"/>
      <c r="BI2389" s="12"/>
      <c r="BJ2389" s="12"/>
      <c r="BK2389" s="44"/>
      <c r="BL2389" s="45"/>
      <c r="BM2389" s="12"/>
      <c r="BN2389" s="12"/>
      <c r="BO2389" s="12"/>
      <c r="BP2389" s="12"/>
      <c r="BQ2389" s="48"/>
      <c r="BR2389" s="49"/>
      <c r="BS2389" s="13"/>
      <c r="BT2389" s="12"/>
      <c r="BV2389" s="14"/>
      <c r="BW2389" s="50"/>
      <c r="BX2389" s="54"/>
      <c r="BY2389" s="14"/>
      <c r="BZ2389" s="14"/>
      <c r="CA2389" s="14"/>
      <c r="CB2389" s="14"/>
      <c r="CC2389" s="14"/>
      <c r="CD2389" s="14"/>
      <c r="CE2389" s="14"/>
      <c r="CF2389" s="15"/>
      <c r="CG2389" s="14"/>
      <c r="CH2389" s="14"/>
      <c r="CI2389" s="50"/>
      <c r="CJ2389" s="54"/>
      <c r="CK2389" s="14"/>
      <c r="CL2389" s="14"/>
      <c r="CM2389" s="14"/>
      <c r="CN2389" s="14"/>
      <c r="CO2389" s="14"/>
      <c r="CP2389" s="14"/>
      <c r="CQ2389" s="14"/>
      <c r="CR2389" s="14"/>
      <c r="CS2389" s="14"/>
      <c r="CT2389" s="14"/>
      <c r="CU2389" s="16"/>
      <c r="CV2389" s="14"/>
      <c r="CW2389" s="50"/>
      <c r="CX2389" s="17"/>
    </row>
    <row r="2390" spans="4:102" x14ac:dyDescent="0.25">
      <c r="D2390" s="11"/>
      <c r="E2390" s="11"/>
      <c r="F2390" s="11"/>
      <c r="G2390" s="11"/>
      <c r="H2390" s="11"/>
      <c r="I2390" s="11"/>
      <c r="J2390" s="11"/>
      <c r="K2390" s="11"/>
      <c r="L2390" s="11"/>
      <c r="M2390" s="11"/>
      <c r="N2390" s="11"/>
      <c r="O2390" s="11"/>
      <c r="P2390" s="43"/>
      <c r="Q2390" s="11"/>
      <c r="R2390" s="11"/>
      <c r="S2390" s="11"/>
      <c r="T2390" s="11"/>
      <c r="U2390" s="11"/>
      <c r="V2390" s="11"/>
      <c r="W2390" s="11"/>
      <c r="X2390" s="12"/>
      <c r="Y2390" s="12"/>
      <c r="Z2390" s="12"/>
      <c r="AA2390" s="44"/>
      <c r="AB2390" s="45"/>
      <c r="AC2390" s="12"/>
      <c r="AD2390" s="12"/>
      <c r="AE2390" s="12"/>
      <c r="AF2390" s="12"/>
      <c r="AG2390" s="44"/>
      <c r="AH2390" s="45"/>
      <c r="AI2390" s="12"/>
      <c r="AJ2390" s="12"/>
      <c r="AK2390" s="12"/>
      <c r="AL2390" s="12"/>
      <c r="AM2390" s="44"/>
      <c r="AN2390" s="45"/>
      <c r="AO2390" s="12"/>
      <c r="AP2390" s="12"/>
      <c r="AQ2390" s="12"/>
      <c r="AR2390" s="12"/>
      <c r="AS2390" s="44"/>
      <c r="AT2390" s="45"/>
      <c r="AU2390" s="12"/>
      <c r="AV2390" s="12"/>
      <c r="AW2390" s="12"/>
      <c r="AX2390" s="12"/>
      <c r="AY2390" s="44"/>
      <c r="AZ2390" s="45"/>
      <c r="BA2390" s="12"/>
      <c r="BB2390" s="12"/>
      <c r="BC2390" s="12"/>
      <c r="BD2390" s="12"/>
      <c r="BE2390" s="44"/>
      <c r="BF2390" s="45"/>
      <c r="BG2390" s="12"/>
      <c r="BH2390" s="12"/>
      <c r="BI2390" s="12"/>
      <c r="BJ2390" s="12"/>
      <c r="BK2390" s="44"/>
      <c r="BL2390" s="45"/>
      <c r="BM2390" s="12"/>
      <c r="BN2390" s="12"/>
      <c r="BO2390" s="12"/>
      <c r="BP2390" s="12"/>
      <c r="BQ2390" s="48"/>
      <c r="BR2390" s="49"/>
      <c r="BS2390" s="13"/>
      <c r="BT2390" s="12"/>
      <c r="BV2390" s="14"/>
      <c r="BW2390" s="50"/>
      <c r="BX2390" s="54"/>
      <c r="BY2390" s="14"/>
      <c r="BZ2390" s="14"/>
      <c r="CA2390" s="14"/>
      <c r="CB2390" s="14"/>
      <c r="CC2390" s="14"/>
      <c r="CD2390" s="14"/>
      <c r="CE2390" s="14"/>
      <c r="CF2390" s="15"/>
      <c r="CG2390" s="14"/>
      <c r="CH2390" s="14"/>
      <c r="CI2390" s="50"/>
      <c r="CJ2390" s="54"/>
      <c r="CK2390" s="14"/>
      <c r="CL2390" s="14"/>
      <c r="CM2390" s="14"/>
      <c r="CN2390" s="14"/>
      <c r="CO2390" s="14"/>
      <c r="CP2390" s="14"/>
      <c r="CQ2390" s="14"/>
      <c r="CR2390" s="14"/>
      <c r="CS2390" s="14"/>
      <c r="CT2390" s="14"/>
      <c r="CU2390" s="16"/>
      <c r="CV2390" s="14"/>
      <c r="CW2390" s="50"/>
      <c r="CX2390" s="17"/>
    </row>
    <row r="2391" spans="4:102" x14ac:dyDescent="0.25">
      <c r="D2391" s="11"/>
      <c r="E2391" s="11"/>
      <c r="F2391" s="11"/>
      <c r="G2391" s="11"/>
      <c r="H2391" s="11"/>
      <c r="I2391" s="11"/>
      <c r="J2391" s="11"/>
      <c r="K2391" s="11"/>
      <c r="L2391" s="11"/>
      <c r="M2391" s="11"/>
      <c r="N2391" s="11"/>
      <c r="O2391" s="11"/>
      <c r="P2391" s="43"/>
      <c r="Q2391" s="11"/>
      <c r="R2391" s="11"/>
      <c r="S2391" s="11"/>
      <c r="T2391" s="11"/>
      <c r="U2391" s="11"/>
      <c r="V2391" s="11"/>
      <c r="W2391" s="11"/>
      <c r="X2391" s="12"/>
      <c r="Y2391" s="12"/>
      <c r="Z2391" s="12"/>
      <c r="AA2391" s="44"/>
      <c r="AB2391" s="45"/>
      <c r="AC2391" s="12"/>
      <c r="AD2391" s="12"/>
      <c r="AE2391" s="12"/>
      <c r="AF2391" s="12"/>
      <c r="AG2391" s="44"/>
      <c r="AH2391" s="45"/>
      <c r="AI2391" s="12"/>
      <c r="AJ2391" s="12"/>
      <c r="AK2391" s="12"/>
      <c r="AL2391" s="12"/>
      <c r="AM2391" s="44"/>
      <c r="AN2391" s="45"/>
      <c r="AO2391" s="12"/>
      <c r="AP2391" s="12"/>
      <c r="AQ2391" s="12"/>
      <c r="AR2391" s="12"/>
      <c r="AS2391" s="44"/>
      <c r="AT2391" s="45"/>
      <c r="AU2391" s="12"/>
      <c r="AV2391" s="12"/>
      <c r="AW2391" s="12"/>
      <c r="AX2391" s="12"/>
      <c r="AY2391" s="44"/>
      <c r="AZ2391" s="45"/>
      <c r="BA2391" s="12"/>
      <c r="BB2391" s="12"/>
      <c r="BC2391" s="12"/>
      <c r="BD2391" s="12"/>
      <c r="BE2391" s="44"/>
      <c r="BF2391" s="45"/>
      <c r="BG2391" s="12"/>
      <c r="BH2391" s="12"/>
      <c r="BI2391" s="12"/>
      <c r="BJ2391" s="12"/>
      <c r="BK2391" s="44"/>
      <c r="BL2391" s="45"/>
      <c r="BM2391" s="12"/>
      <c r="BN2391" s="12"/>
      <c r="BO2391" s="12"/>
      <c r="BP2391" s="12"/>
      <c r="BQ2391" s="48"/>
      <c r="BR2391" s="49"/>
      <c r="BS2391" s="13"/>
      <c r="BT2391" s="12"/>
      <c r="BV2391" s="14"/>
      <c r="BW2391" s="50"/>
      <c r="BX2391" s="54"/>
      <c r="BY2391" s="14"/>
      <c r="BZ2391" s="14"/>
      <c r="CA2391" s="14"/>
      <c r="CB2391" s="14"/>
      <c r="CC2391" s="14"/>
      <c r="CD2391" s="14"/>
      <c r="CE2391" s="14"/>
      <c r="CF2391" s="15"/>
      <c r="CG2391" s="14"/>
      <c r="CH2391" s="14"/>
      <c r="CI2391" s="50"/>
      <c r="CJ2391" s="54"/>
      <c r="CK2391" s="14"/>
      <c r="CL2391" s="14"/>
      <c r="CM2391" s="14"/>
      <c r="CN2391" s="14"/>
      <c r="CO2391" s="14"/>
      <c r="CP2391" s="14"/>
      <c r="CQ2391" s="14"/>
      <c r="CR2391" s="14"/>
      <c r="CS2391" s="14"/>
      <c r="CT2391" s="14"/>
      <c r="CU2391" s="16"/>
      <c r="CV2391" s="14"/>
      <c r="CW2391" s="50"/>
      <c r="CX2391" s="17"/>
    </row>
    <row r="2392" spans="4:102" x14ac:dyDescent="0.25">
      <c r="D2392" s="11"/>
      <c r="E2392" s="11"/>
      <c r="F2392" s="11"/>
      <c r="G2392" s="11"/>
      <c r="H2392" s="11"/>
      <c r="I2392" s="11"/>
      <c r="J2392" s="11"/>
      <c r="K2392" s="11"/>
      <c r="L2392" s="11"/>
      <c r="M2392" s="11"/>
      <c r="N2392" s="11"/>
      <c r="O2392" s="11"/>
      <c r="P2392" s="43"/>
      <c r="Q2392" s="11"/>
      <c r="R2392" s="11"/>
      <c r="S2392" s="11"/>
      <c r="T2392" s="11"/>
      <c r="U2392" s="11"/>
      <c r="V2392" s="11"/>
      <c r="W2392" s="11"/>
      <c r="X2392" s="12"/>
      <c r="Y2392" s="12"/>
      <c r="Z2392" s="12"/>
      <c r="AA2392" s="44"/>
      <c r="AB2392" s="45"/>
      <c r="AC2392" s="12"/>
      <c r="AD2392" s="12"/>
      <c r="AE2392" s="12"/>
      <c r="AF2392" s="12"/>
      <c r="AG2392" s="44"/>
      <c r="AH2392" s="45"/>
      <c r="AI2392" s="12"/>
      <c r="AJ2392" s="12"/>
      <c r="AK2392" s="12"/>
      <c r="AL2392" s="12"/>
      <c r="AM2392" s="44"/>
      <c r="AN2392" s="45"/>
      <c r="AO2392" s="12"/>
      <c r="AP2392" s="12"/>
      <c r="AQ2392" s="12"/>
      <c r="AR2392" s="12"/>
      <c r="AS2392" s="44"/>
      <c r="AT2392" s="45"/>
      <c r="AU2392" s="12"/>
      <c r="AV2392" s="12"/>
      <c r="AW2392" s="12"/>
      <c r="AX2392" s="12"/>
      <c r="AY2392" s="44"/>
      <c r="AZ2392" s="45"/>
      <c r="BA2392" s="12"/>
      <c r="BB2392" s="12"/>
      <c r="BC2392" s="12"/>
      <c r="BD2392" s="12"/>
      <c r="BE2392" s="44"/>
      <c r="BF2392" s="45"/>
      <c r="BG2392" s="12"/>
      <c r="BH2392" s="12"/>
      <c r="BI2392" s="12"/>
      <c r="BJ2392" s="12"/>
      <c r="BK2392" s="44"/>
      <c r="BL2392" s="45"/>
      <c r="BM2392" s="12"/>
      <c r="BN2392" s="12"/>
      <c r="BO2392" s="12"/>
      <c r="BP2392" s="12"/>
      <c r="BQ2392" s="48"/>
      <c r="BR2392" s="49"/>
      <c r="BS2392" s="13"/>
      <c r="BT2392" s="12"/>
      <c r="BV2392" s="14"/>
      <c r="BW2392" s="50"/>
      <c r="BX2392" s="54"/>
      <c r="BY2392" s="14"/>
      <c r="BZ2392" s="14"/>
      <c r="CA2392" s="14"/>
      <c r="CB2392" s="14"/>
      <c r="CC2392" s="14"/>
      <c r="CD2392" s="14"/>
      <c r="CE2392" s="14"/>
      <c r="CF2392" s="15"/>
      <c r="CG2392" s="14"/>
      <c r="CH2392" s="14"/>
      <c r="CI2392" s="50"/>
      <c r="CJ2392" s="54"/>
      <c r="CK2392" s="14"/>
      <c r="CL2392" s="14"/>
      <c r="CM2392" s="14"/>
      <c r="CN2392" s="14"/>
      <c r="CO2392" s="14"/>
      <c r="CP2392" s="14"/>
      <c r="CQ2392" s="14"/>
      <c r="CR2392" s="14"/>
      <c r="CS2392" s="14"/>
      <c r="CT2392" s="14"/>
      <c r="CU2392" s="16"/>
      <c r="CV2392" s="14"/>
      <c r="CW2392" s="50"/>
      <c r="CX2392" s="17"/>
    </row>
    <row r="2393" spans="4:102" x14ac:dyDescent="0.25">
      <c r="D2393" s="11"/>
      <c r="E2393" s="11"/>
      <c r="F2393" s="11"/>
      <c r="G2393" s="11"/>
      <c r="H2393" s="11"/>
      <c r="I2393" s="11"/>
      <c r="J2393" s="11"/>
      <c r="K2393" s="11"/>
      <c r="L2393" s="11"/>
      <c r="M2393" s="11"/>
      <c r="N2393" s="11"/>
      <c r="O2393" s="11"/>
      <c r="P2393" s="43"/>
      <c r="Q2393" s="11"/>
      <c r="R2393" s="11"/>
      <c r="S2393" s="11"/>
      <c r="T2393" s="11"/>
      <c r="U2393" s="11"/>
      <c r="V2393" s="11"/>
      <c r="W2393" s="11"/>
      <c r="X2393" s="12"/>
      <c r="Y2393" s="12"/>
      <c r="Z2393" s="12"/>
      <c r="AA2393" s="44"/>
      <c r="AB2393" s="45"/>
      <c r="AC2393" s="12"/>
      <c r="AD2393" s="12"/>
      <c r="AE2393" s="12"/>
      <c r="AF2393" s="12"/>
      <c r="AG2393" s="44"/>
      <c r="AH2393" s="45"/>
      <c r="AI2393" s="12"/>
      <c r="AJ2393" s="12"/>
      <c r="AK2393" s="12"/>
      <c r="AL2393" s="12"/>
      <c r="AM2393" s="44"/>
      <c r="AN2393" s="45"/>
      <c r="AO2393" s="12"/>
      <c r="AP2393" s="12"/>
      <c r="AQ2393" s="12"/>
      <c r="AR2393" s="12"/>
      <c r="AS2393" s="44"/>
      <c r="AT2393" s="45"/>
      <c r="AU2393" s="12"/>
      <c r="AV2393" s="12"/>
      <c r="AW2393" s="12"/>
      <c r="AX2393" s="12"/>
      <c r="AY2393" s="44"/>
      <c r="AZ2393" s="45"/>
      <c r="BA2393" s="12"/>
      <c r="BB2393" s="12"/>
      <c r="BC2393" s="12"/>
      <c r="BD2393" s="12"/>
      <c r="BE2393" s="44"/>
      <c r="BF2393" s="45"/>
      <c r="BG2393" s="12"/>
      <c r="BH2393" s="12"/>
      <c r="BI2393" s="12"/>
      <c r="BJ2393" s="12"/>
      <c r="BK2393" s="44"/>
      <c r="BL2393" s="45"/>
      <c r="BM2393" s="12"/>
      <c r="BN2393" s="12"/>
      <c r="BO2393" s="12"/>
      <c r="BP2393" s="12"/>
      <c r="BQ2393" s="48"/>
      <c r="BR2393" s="49"/>
      <c r="BS2393" s="13"/>
      <c r="BT2393" s="12"/>
      <c r="BV2393" s="14"/>
      <c r="BW2393" s="50"/>
      <c r="BX2393" s="54"/>
      <c r="BY2393" s="14"/>
      <c r="BZ2393" s="14"/>
      <c r="CA2393" s="14"/>
      <c r="CB2393" s="14"/>
      <c r="CC2393" s="14"/>
      <c r="CD2393" s="14"/>
      <c r="CE2393" s="14"/>
      <c r="CF2393" s="15"/>
      <c r="CG2393" s="14"/>
      <c r="CH2393" s="14"/>
      <c r="CI2393" s="50"/>
      <c r="CJ2393" s="54"/>
      <c r="CK2393" s="14"/>
      <c r="CL2393" s="14"/>
      <c r="CM2393" s="14"/>
      <c r="CN2393" s="14"/>
      <c r="CO2393" s="14"/>
      <c r="CP2393" s="14"/>
      <c r="CQ2393" s="14"/>
      <c r="CR2393" s="14"/>
      <c r="CS2393" s="14"/>
      <c r="CT2393" s="14"/>
      <c r="CU2393" s="16"/>
      <c r="CV2393" s="14"/>
      <c r="CW2393" s="50"/>
      <c r="CX2393" s="17"/>
    </row>
    <row r="2394" spans="4:102" x14ac:dyDescent="0.25">
      <c r="D2394" s="11"/>
      <c r="E2394" s="11"/>
      <c r="F2394" s="11"/>
      <c r="G2394" s="11"/>
      <c r="H2394" s="11"/>
      <c r="I2394" s="11"/>
      <c r="J2394" s="11"/>
      <c r="K2394" s="11"/>
      <c r="L2394" s="11"/>
      <c r="M2394" s="11"/>
      <c r="N2394" s="11"/>
      <c r="O2394" s="11"/>
      <c r="P2394" s="43"/>
      <c r="Q2394" s="11"/>
      <c r="R2394" s="11"/>
      <c r="S2394" s="11"/>
      <c r="T2394" s="11"/>
      <c r="U2394" s="11"/>
      <c r="V2394" s="11"/>
      <c r="W2394" s="11"/>
      <c r="X2394" s="12"/>
      <c r="Y2394" s="12"/>
      <c r="Z2394" s="12"/>
      <c r="AA2394" s="44"/>
      <c r="AB2394" s="45"/>
      <c r="AC2394" s="12"/>
      <c r="AD2394" s="12"/>
      <c r="AE2394" s="12"/>
      <c r="AF2394" s="12"/>
      <c r="AG2394" s="44"/>
      <c r="AH2394" s="45"/>
      <c r="AI2394" s="12"/>
      <c r="AJ2394" s="12"/>
      <c r="AK2394" s="12"/>
      <c r="AL2394" s="12"/>
      <c r="AM2394" s="44"/>
      <c r="AN2394" s="45"/>
      <c r="AO2394" s="12"/>
      <c r="AP2394" s="12"/>
      <c r="AQ2394" s="12"/>
      <c r="AR2394" s="12"/>
      <c r="AS2394" s="44"/>
      <c r="AT2394" s="45"/>
      <c r="AU2394" s="12"/>
      <c r="AV2394" s="12"/>
      <c r="AW2394" s="12"/>
      <c r="AX2394" s="12"/>
      <c r="AY2394" s="44"/>
      <c r="AZ2394" s="45"/>
      <c r="BA2394" s="12"/>
      <c r="BB2394" s="12"/>
      <c r="BC2394" s="12"/>
      <c r="BD2394" s="12"/>
      <c r="BE2394" s="44"/>
      <c r="BF2394" s="45"/>
      <c r="BG2394" s="12"/>
      <c r="BH2394" s="12"/>
      <c r="BI2394" s="12"/>
      <c r="BJ2394" s="12"/>
      <c r="BK2394" s="44"/>
      <c r="BL2394" s="45"/>
      <c r="BM2394" s="12"/>
      <c r="BN2394" s="12"/>
      <c r="BO2394" s="12"/>
      <c r="BP2394" s="12"/>
      <c r="BQ2394" s="48"/>
      <c r="BR2394" s="49"/>
      <c r="BS2394" s="13"/>
      <c r="BT2394" s="12"/>
      <c r="BV2394" s="14"/>
      <c r="BW2394" s="50"/>
      <c r="BX2394" s="54"/>
      <c r="BY2394" s="14"/>
      <c r="BZ2394" s="14"/>
      <c r="CA2394" s="14"/>
      <c r="CB2394" s="14"/>
      <c r="CC2394" s="14"/>
      <c r="CD2394" s="14"/>
      <c r="CE2394" s="14"/>
      <c r="CF2394" s="15"/>
      <c r="CG2394" s="14"/>
      <c r="CH2394" s="14"/>
      <c r="CI2394" s="50"/>
      <c r="CJ2394" s="54"/>
      <c r="CK2394" s="14"/>
      <c r="CL2394" s="14"/>
      <c r="CM2394" s="14"/>
      <c r="CN2394" s="14"/>
      <c r="CO2394" s="14"/>
      <c r="CP2394" s="14"/>
      <c r="CQ2394" s="14"/>
      <c r="CR2394" s="14"/>
      <c r="CS2394" s="14"/>
      <c r="CT2394" s="14"/>
      <c r="CU2394" s="16"/>
      <c r="CV2394" s="14"/>
      <c r="CW2394" s="50"/>
      <c r="CX2394" s="17"/>
    </row>
    <row r="2395" spans="4:102" x14ac:dyDescent="0.25">
      <c r="D2395" s="11"/>
      <c r="E2395" s="11"/>
      <c r="F2395" s="11"/>
      <c r="G2395" s="11"/>
      <c r="H2395" s="11"/>
      <c r="I2395" s="11"/>
      <c r="J2395" s="11"/>
      <c r="K2395" s="11"/>
      <c r="L2395" s="11"/>
      <c r="M2395" s="11"/>
      <c r="N2395" s="11"/>
      <c r="O2395" s="11"/>
      <c r="P2395" s="43"/>
      <c r="Q2395" s="11"/>
      <c r="R2395" s="11"/>
      <c r="S2395" s="11"/>
      <c r="T2395" s="11"/>
      <c r="U2395" s="11"/>
      <c r="V2395" s="11"/>
      <c r="W2395" s="11"/>
      <c r="X2395" s="12"/>
      <c r="Y2395" s="12"/>
      <c r="Z2395" s="12"/>
      <c r="AA2395" s="44"/>
      <c r="AB2395" s="45"/>
      <c r="AC2395" s="12"/>
      <c r="AD2395" s="12"/>
      <c r="AE2395" s="12"/>
      <c r="AF2395" s="12"/>
      <c r="AG2395" s="44"/>
      <c r="AH2395" s="45"/>
      <c r="AI2395" s="12"/>
      <c r="AJ2395" s="12"/>
      <c r="AK2395" s="12"/>
      <c r="AL2395" s="12"/>
      <c r="AM2395" s="44"/>
      <c r="AN2395" s="45"/>
      <c r="AO2395" s="12"/>
      <c r="AP2395" s="12"/>
      <c r="AQ2395" s="12"/>
      <c r="AR2395" s="12"/>
      <c r="AS2395" s="44"/>
      <c r="AT2395" s="45"/>
      <c r="AU2395" s="12"/>
      <c r="AV2395" s="12"/>
      <c r="AW2395" s="12"/>
      <c r="AX2395" s="12"/>
      <c r="AY2395" s="44"/>
      <c r="AZ2395" s="45"/>
      <c r="BA2395" s="12"/>
      <c r="BB2395" s="12"/>
      <c r="BC2395" s="12"/>
      <c r="BD2395" s="12"/>
      <c r="BE2395" s="44"/>
      <c r="BF2395" s="45"/>
      <c r="BG2395" s="12"/>
      <c r="BH2395" s="12"/>
      <c r="BI2395" s="12"/>
      <c r="BJ2395" s="12"/>
      <c r="BK2395" s="44"/>
      <c r="BL2395" s="45"/>
      <c r="BM2395" s="12"/>
      <c r="BN2395" s="12"/>
      <c r="BO2395" s="12"/>
      <c r="BP2395" s="12"/>
      <c r="BQ2395" s="48"/>
      <c r="BR2395" s="49"/>
      <c r="BS2395" s="13"/>
      <c r="BT2395" s="12"/>
      <c r="BV2395" s="14"/>
      <c r="BW2395" s="50"/>
      <c r="BX2395" s="54"/>
      <c r="BY2395" s="14"/>
      <c r="BZ2395" s="14"/>
      <c r="CA2395" s="14"/>
      <c r="CB2395" s="14"/>
      <c r="CC2395" s="14"/>
      <c r="CD2395" s="14"/>
      <c r="CE2395" s="14"/>
      <c r="CF2395" s="15"/>
      <c r="CG2395" s="14"/>
      <c r="CH2395" s="14"/>
      <c r="CI2395" s="50"/>
      <c r="CJ2395" s="54"/>
      <c r="CK2395" s="14"/>
      <c r="CL2395" s="14"/>
      <c r="CM2395" s="14"/>
      <c r="CN2395" s="14"/>
      <c r="CO2395" s="14"/>
      <c r="CP2395" s="14"/>
      <c r="CQ2395" s="14"/>
      <c r="CR2395" s="14"/>
      <c r="CS2395" s="14"/>
      <c r="CT2395" s="14"/>
      <c r="CU2395" s="16"/>
      <c r="CV2395" s="14"/>
      <c r="CW2395" s="50"/>
      <c r="CX2395" s="17"/>
    </row>
    <row r="2396" spans="4:102" x14ac:dyDescent="0.25">
      <c r="D2396" s="11"/>
      <c r="E2396" s="11"/>
      <c r="F2396" s="11"/>
      <c r="G2396" s="11"/>
      <c r="H2396" s="11"/>
      <c r="I2396" s="11"/>
      <c r="J2396" s="11"/>
      <c r="K2396" s="11"/>
      <c r="L2396" s="11"/>
      <c r="M2396" s="11"/>
      <c r="N2396" s="11"/>
      <c r="O2396" s="11"/>
      <c r="P2396" s="43"/>
      <c r="Q2396" s="11"/>
      <c r="R2396" s="11"/>
      <c r="S2396" s="11"/>
      <c r="T2396" s="11"/>
      <c r="U2396" s="11"/>
      <c r="V2396" s="11"/>
      <c r="W2396" s="11"/>
      <c r="X2396" s="12"/>
      <c r="Y2396" s="12"/>
      <c r="Z2396" s="12"/>
      <c r="AA2396" s="44"/>
      <c r="AB2396" s="45"/>
      <c r="AC2396" s="12"/>
      <c r="AD2396" s="12"/>
      <c r="AE2396" s="12"/>
      <c r="AF2396" s="12"/>
      <c r="AG2396" s="44"/>
      <c r="AH2396" s="45"/>
      <c r="AI2396" s="12"/>
      <c r="AJ2396" s="12"/>
      <c r="AK2396" s="12"/>
      <c r="AL2396" s="12"/>
      <c r="AM2396" s="44"/>
      <c r="AN2396" s="45"/>
      <c r="AO2396" s="12"/>
      <c r="AP2396" s="12"/>
      <c r="AQ2396" s="12"/>
      <c r="AR2396" s="12"/>
      <c r="AS2396" s="44"/>
      <c r="AT2396" s="45"/>
      <c r="AU2396" s="12"/>
      <c r="AV2396" s="12"/>
      <c r="AW2396" s="12"/>
      <c r="AX2396" s="12"/>
      <c r="AY2396" s="44"/>
      <c r="AZ2396" s="45"/>
      <c r="BA2396" s="12"/>
      <c r="BB2396" s="12"/>
      <c r="BC2396" s="12"/>
      <c r="BD2396" s="12"/>
      <c r="BE2396" s="44"/>
      <c r="BF2396" s="45"/>
      <c r="BG2396" s="12"/>
      <c r="BH2396" s="12"/>
      <c r="BI2396" s="12"/>
      <c r="BJ2396" s="12"/>
      <c r="BK2396" s="44"/>
      <c r="BL2396" s="45"/>
      <c r="BM2396" s="12"/>
      <c r="BN2396" s="12"/>
      <c r="BO2396" s="12"/>
      <c r="BP2396" s="12"/>
      <c r="BQ2396" s="48"/>
      <c r="BR2396" s="49"/>
      <c r="BS2396" s="13"/>
      <c r="BT2396" s="12"/>
      <c r="BV2396" s="14"/>
      <c r="BW2396" s="50"/>
      <c r="BX2396" s="54"/>
      <c r="BY2396" s="14"/>
      <c r="BZ2396" s="14"/>
      <c r="CA2396" s="14"/>
      <c r="CB2396" s="14"/>
      <c r="CC2396" s="14"/>
      <c r="CD2396" s="14"/>
      <c r="CE2396" s="14"/>
      <c r="CF2396" s="15"/>
      <c r="CG2396" s="14"/>
      <c r="CH2396" s="14"/>
      <c r="CI2396" s="50"/>
      <c r="CJ2396" s="54"/>
      <c r="CK2396" s="14"/>
      <c r="CL2396" s="14"/>
      <c r="CM2396" s="14"/>
      <c r="CN2396" s="14"/>
      <c r="CO2396" s="14"/>
      <c r="CP2396" s="14"/>
      <c r="CQ2396" s="14"/>
      <c r="CR2396" s="14"/>
      <c r="CS2396" s="14"/>
      <c r="CT2396" s="14"/>
      <c r="CU2396" s="16"/>
      <c r="CV2396" s="14"/>
      <c r="CW2396" s="50"/>
      <c r="CX2396" s="17"/>
    </row>
    <row r="2397" spans="4:102" x14ac:dyDescent="0.25">
      <c r="D2397" s="11"/>
      <c r="E2397" s="11"/>
      <c r="F2397" s="11"/>
      <c r="G2397" s="11"/>
      <c r="H2397" s="11"/>
      <c r="I2397" s="11"/>
      <c r="J2397" s="11"/>
      <c r="K2397" s="11"/>
      <c r="L2397" s="11"/>
      <c r="M2397" s="11"/>
      <c r="N2397" s="11"/>
      <c r="O2397" s="11"/>
      <c r="P2397" s="43"/>
      <c r="Q2397" s="11"/>
      <c r="R2397" s="11"/>
      <c r="S2397" s="11"/>
      <c r="T2397" s="11"/>
      <c r="U2397" s="11"/>
      <c r="V2397" s="11"/>
      <c r="W2397" s="11"/>
      <c r="X2397" s="12"/>
      <c r="Y2397" s="12"/>
      <c r="Z2397" s="12"/>
      <c r="AA2397" s="44"/>
      <c r="AB2397" s="45"/>
      <c r="AC2397" s="12"/>
      <c r="AD2397" s="12"/>
      <c r="AE2397" s="12"/>
      <c r="AF2397" s="12"/>
      <c r="AG2397" s="44"/>
      <c r="AH2397" s="45"/>
      <c r="AI2397" s="12"/>
      <c r="AJ2397" s="12"/>
      <c r="AK2397" s="12"/>
      <c r="AL2397" s="12"/>
      <c r="AM2397" s="44"/>
      <c r="AN2397" s="45"/>
      <c r="AO2397" s="12"/>
      <c r="AP2397" s="12"/>
      <c r="AQ2397" s="12"/>
      <c r="AR2397" s="12"/>
      <c r="AS2397" s="44"/>
      <c r="AT2397" s="45"/>
      <c r="AU2397" s="12"/>
      <c r="AV2397" s="12"/>
      <c r="AW2397" s="12"/>
      <c r="AX2397" s="12"/>
      <c r="AY2397" s="44"/>
      <c r="AZ2397" s="45"/>
      <c r="BA2397" s="12"/>
      <c r="BB2397" s="12"/>
      <c r="BC2397" s="12"/>
      <c r="BD2397" s="12"/>
      <c r="BE2397" s="44"/>
      <c r="BF2397" s="45"/>
      <c r="BG2397" s="12"/>
      <c r="BH2397" s="12"/>
      <c r="BI2397" s="12"/>
      <c r="BJ2397" s="12"/>
      <c r="BK2397" s="44"/>
      <c r="BL2397" s="45"/>
      <c r="BM2397" s="12"/>
      <c r="BN2397" s="12"/>
      <c r="BO2397" s="12"/>
      <c r="BP2397" s="12"/>
      <c r="BQ2397" s="48"/>
      <c r="BR2397" s="49"/>
      <c r="BS2397" s="13"/>
      <c r="BT2397" s="12"/>
      <c r="BV2397" s="14"/>
      <c r="BW2397" s="50"/>
      <c r="BX2397" s="54"/>
      <c r="BY2397" s="14"/>
      <c r="BZ2397" s="14"/>
      <c r="CA2397" s="14"/>
      <c r="CB2397" s="14"/>
      <c r="CC2397" s="14"/>
      <c r="CD2397" s="14"/>
      <c r="CE2397" s="14"/>
      <c r="CF2397" s="15"/>
      <c r="CG2397" s="14"/>
      <c r="CH2397" s="14"/>
      <c r="CI2397" s="50"/>
      <c r="CJ2397" s="54"/>
      <c r="CK2397" s="14"/>
      <c r="CL2397" s="14"/>
      <c r="CM2397" s="14"/>
      <c r="CN2397" s="14"/>
      <c r="CO2397" s="14"/>
      <c r="CP2397" s="14"/>
      <c r="CQ2397" s="14"/>
      <c r="CR2397" s="14"/>
      <c r="CS2397" s="14"/>
      <c r="CT2397" s="14"/>
      <c r="CU2397" s="16"/>
      <c r="CV2397" s="14"/>
      <c r="CW2397" s="50"/>
      <c r="CX2397" s="17"/>
    </row>
    <row r="2398" spans="4:102" x14ac:dyDescent="0.25">
      <c r="D2398" s="11"/>
      <c r="E2398" s="11"/>
      <c r="F2398" s="11"/>
      <c r="G2398" s="11"/>
      <c r="H2398" s="11"/>
      <c r="I2398" s="11"/>
      <c r="J2398" s="11"/>
      <c r="K2398" s="11"/>
      <c r="L2398" s="11"/>
      <c r="M2398" s="11"/>
      <c r="N2398" s="11"/>
      <c r="O2398" s="11"/>
      <c r="P2398" s="43"/>
      <c r="Q2398" s="11"/>
      <c r="R2398" s="11"/>
      <c r="S2398" s="11"/>
      <c r="T2398" s="11"/>
      <c r="U2398" s="11"/>
      <c r="V2398" s="11"/>
      <c r="W2398" s="11"/>
      <c r="X2398" s="12"/>
      <c r="Y2398" s="12"/>
      <c r="Z2398" s="12"/>
      <c r="AA2398" s="44"/>
      <c r="AB2398" s="45"/>
      <c r="AC2398" s="12"/>
      <c r="AD2398" s="12"/>
      <c r="AE2398" s="12"/>
      <c r="AF2398" s="12"/>
      <c r="AG2398" s="44"/>
      <c r="AH2398" s="45"/>
      <c r="AI2398" s="12"/>
      <c r="AJ2398" s="12"/>
      <c r="AK2398" s="12"/>
      <c r="AL2398" s="12"/>
      <c r="AM2398" s="44"/>
      <c r="AN2398" s="45"/>
      <c r="AO2398" s="12"/>
      <c r="AP2398" s="12"/>
      <c r="AQ2398" s="12"/>
      <c r="AR2398" s="12"/>
      <c r="AS2398" s="44"/>
      <c r="AT2398" s="45"/>
      <c r="AU2398" s="12"/>
      <c r="AV2398" s="12"/>
      <c r="AW2398" s="12"/>
      <c r="AX2398" s="12"/>
      <c r="AY2398" s="44"/>
      <c r="AZ2398" s="45"/>
      <c r="BA2398" s="12"/>
      <c r="BB2398" s="12"/>
      <c r="BC2398" s="12"/>
      <c r="BD2398" s="12"/>
      <c r="BE2398" s="44"/>
      <c r="BF2398" s="45"/>
      <c r="BG2398" s="12"/>
      <c r="BH2398" s="12"/>
      <c r="BI2398" s="12"/>
      <c r="BJ2398" s="12"/>
      <c r="BK2398" s="44"/>
      <c r="BL2398" s="45"/>
      <c r="BM2398" s="12"/>
      <c r="BN2398" s="12"/>
      <c r="BO2398" s="12"/>
      <c r="BP2398" s="12"/>
      <c r="BQ2398" s="48"/>
      <c r="BR2398" s="49"/>
      <c r="BS2398" s="13"/>
      <c r="BT2398" s="12"/>
      <c r="BV2398" s="14"/>
      <c r="BW2398" s="50"/>
      <c r="BX2398" s="54"/>
      <c r="BY2398" s="14"/>
      <c r="BZ2398" s="14"/>
      <c r="CA2398" s="14"/>
      <c r="CB2398" s="14"/>
      <c r="CC2398" s="14"/>
      <c r="CD2398" s="14"/>
      <c r="CE2398" s="14"/>
      <c r="CF2398" s="15"/>
      <c r="CG2398" s="14"/>
      <c r="CH2398" s="14"/>
      <c r="CI2398" s="50"/>
      <c r="CJ2398" s="54"/>
      <c r="CK2398" s="14"/>
      <c r="CL2398" s="14"/>
      <c r="CM2398" s="14"/>
      <c r="CN2398" s="14"/>
      <c r="CO2398" s="14"/>
      <c r="CP2398" s="14"/>
      <c r="CQ2398" s="14"/>
      <c r="CR2398" s="14"/>
      <c r="CS2398" s="14"/>
      <c r="CT2398" s="14"/>
      <c r="CU2398" s="16"/>
      <c r="CV2398" s="14"/>
      <c r="CW2398" s="50"/>
      <c r="CX2398" s="17"/>
    </row>
    <row r="2399" spans="4:102" x14ac:dyDescent="0.25">
      <c r="D2399" s="11"/>
      <c r="E2399" s="11"/>
      <c r="F2399" s="11"/>
      <c r="G2399" s="11"/>
      <c r="H2399" s="11"/>
      <c r="I2399" s="11"/>
      <c r="J2399" s="11"/>
      <c r="K2399" s="11"/>
      <c r="L2399" s="11"/>
      <c r="M2399" s="11"/>
      <c r="N2399" s="11"/>
      <c r="O2399" s="11"/>
      <c r="P2399" s="43"/>
      <c r="Q2399" s="11"/>
      <c r="R2399" s="11"/>
      <c r="S2399" s="11"/>
      <c r="T2399" s="11"/>
      <c r="U2399" s="11"/>
      <c r="V2399" s="11"/>
      <c r="W2399" s="11"/>
      <c r="X2399" s="12"/>
      <c r="Y2399" s="12"/>
      <c r="Z2399" s="12"/>
      <c r="AA2399" s="44"/>
      <c r="AB2399" s="45"/>
      <c r="AC2399" s="12"/>
      <c r="AD2399" s="12"/>
      <c r="AE2399" s="12"/>
      <c r="AF2399" s="12"/>
      <c r="AG2399" s="44"/>
      <c r="AH2399" s="45"/>
      <c r="AI2399" s="12"/>
      <c r="AJ2399" s="12"/>
      <c r="AK2399" s="12"/>
      <c r="AL2399" s="12"/>
      <c r="AM2399" s="44"/>
      <c r="AN2399" s="45"/>
      <c r="AO2399" s="12"/>
      <c r="AP2399" s="12"/>
      <c r="AQ2399" s="12"/>
      <c r="AR2399" s="12"/>
      <c r="AS2399" s="44"/>
      <c r="AT2399" s="45"/>
      <c r="AU2399" s="12"/>
      <c r="AV2399" s="12"/>
      <c r="AW2399" s="12"/>
      <c r="AX2399" s="12"/>
      <c r="AY2399" s="44"/>
      <c r="AZ2399" s="45"/>
      <c r="BA2399" s="12"/>
      <c r="BB2399" s="12"/>
      <c r="BC2399" s="12"/>
      <c r="BD2399" s="12"/>
      <c r="BE2399" s="44"/>
      <c r="BF2399" s="45"/>
      <c r="BG2399" s="12"/>
      <c r="BH2399" s="12"/>
      <c r="BI2399" s="12"/>
      <c r="BJ2399" s="12"/>
      <c r="BK2399" s="44"/>
      <c r="BL2399" s="45"/>
      <c r="BM2399" s="12"/>
      <c r="BN2399" s="12"/>
      <c r="BO2399" s="12"/>
      <c r="BP2399" s="12"/>
      <c r="BQ2399" s="48"/>
      <c r="BR2399" s="49"/>
      <c r="BS2399" s="13"/>
      <c r="BT2399" s="12"/>
      <c r="BV2399" s="14"/>
      <c r="BW2399" s="50"/>
      <c r="BX2399" s="54"/>
      <c r="BY2399" s="14"/>
      <c r="BZ2399" s="14"/>
      <c r="CA2399" s="14"/>
      <c r="CB2399" s="14"/>
      <c r="CC2399" s="14"/>
      <c r="CD2399" s="14"/>
      <c r="CE2399" s="14"/>
      <c r="CF2399" s="15"/>
      <c r="CG2399" s="14"/>
      <c r="CH2399" s="14"/>
      <c r="CI2399" s="50"/>
      <c r="CJ2399" s="54"/>
      <c r="CK2399" s="14"/>
      <c r="CL2399" s="14"/>
      <c r="CM2399" s="14"/>
      <c r="CN2399" s="14"/>
      <c r="CO2399" s="14"/>
      <c r="CP2399" s="14"/>
      <c r="CQ2399" s="14"/>
      <c r="CR2399" s="14"/>
      <c r="CS2399" s="14"/>
      <c r="CT2399" s="14"/>
      <c r="CU2399" s="16"/>
      <c r="CV2399" s="14"/>
      <c r="CW2399" s="50"/>
      <c r="CX2399" s="17"/>
    </row>
    <row r="2400" spans="4:102" x14ac:dyDescent="0.25">
      <c r="D2400" s="11"/>
      <c r="E2400" s="11"/>
      <c r="F2400" s="11"/>
      <c r="G2400" s="11"/>
      <c r="H2400" s="11"/>
      <c r="I2400" s="11"/>
      <c r="J2400" s="11"/>
      <c r="K2400" s="11"/>
      <c r="L2400" s="11"/>
      <c r="M2400" s="11"/>
      <c r="N2400" s="11"/>
      <c r="O2400" s="11"/>
      <c r="P2400" s="43"/>
      <c r="Q2400" s="11"/>
      <c r="R2400" s="11"/>
      <c r="S2400" s="11"/>
      <c r="T2400" s="11"/>
      <c r="U2400" s="11"/>
      <c r="V2400" s="11"/>
      <c r="W2400" s="11"/>
      <c r="X2400" s="12"/>
      <c r="Y2400" s="12"/>
      <c r="Z2400" s="12"/>
      <c r="AA2400" s="44"/>
      <c r="AB2400" s="45"/>
      <c r="AC2400" s="12"/>
      <c r="AD2400" s="12"/>
      <c r="AE2400" s="12"/>
      <c r="AF2400" s="12"/>
      <c r="AG2400" s="44"/>
      <c r="AH2400" s="45"/>
      <c r="AI2400" s="12"/>
      <c r="AJ2400" s="12"/>
      <c r="AK2400" s="12"/>
      <c r="AL2400" s="12"/>
      <c r="AM2400" s="44"/>
      <c r="AN2400" s="45"/>
      <c r="AO2400" s="12"/>
      <c r="AP2400" s="12"/>
      <c r="AQ2400" s="12"/>
      <c r="AR2400" s="12"/>
      <c r="AS2400" s="44"/>
      <c r="AT2400" s="45"/>
      <c r="AU2400" s="12"/>
      <c r="AV2400" s="12"/>
      <c r="AW2400" s="12"/>
      <c r="AX2400" s="12"/>
      <c r="AY2400" s="44"/>
      <c r="AZ2400" s="45"/>
      <c r="BA2400" s="12"/>
      <c r="BB2400" s="12"/>
      <c r="BC2400" s="12"/>
      <c r="BD2400" s="12"/>
      <c r="BE2400" s="44"/>
      <c r="BF2400" s="45"/>
      <c r="BG2400" s="12"/>
      <c r="BH2400" s="12"/>
      <c r="BI2400" s="12"/>
      <c r="BJ2400" s="12"/>
      <c r="BK2400" s="44"/>
      <c r="BL2400" s="45"/>
      <c r="BM2400" s="12"/>
      <c r="BN2400" s="12"/>
      <c r="BO2400" s="12"/>
      <c r="BP2400" s="12"/>
      <c r="BQ2400" s="48"/>
      <c r="BR2400" s="49"/>
      <c r="BS2400" s="13"/>
      <c r="BT2400" s="12"/>
      <c r="BV2400" s="14"/>
      <c r="BW2400" s="50"/>
      <c r="BX2400" s="54"/>
      <c r="BY2400" s="14"/>
      <c r="BZ2400" s="14"/>
      <c r="CA2400" s="14"/>
      <c r="CB2400" s="14"/>
      <c r="CC2400" s="14"/>
      <c r="CD2400" s="14"/>
      <c r="CE2400" s="14"/>
      <c r="CF2400" s="15"/>
      <c r="CG2400" s="14"/>
      <c r="CH2400" s="14"/>
      <c r="CI2400" s="50"/>
      <c r="CJ2400" s="54"/>
      <c r="CK2400" s="14"/>
      <c r="CL2400" s="14"/>
      <c r="CM2400" s="14"/>
      <c r="CN2400" s="14"/>
      <c r="CO2400" s="14"/>
      <c r="CP2400" s="14"/>
      <c r="CQ2400" s="14"/>
      <c r="CR2400" s="14"/>
      <c r="CS2400" s="14"/>
      <c r="CT2400" s="14"/>
      <c r="CU2400" s="16"/>
      <c r="CV2400" s="14"/>
      <c r="CW2400" s="50"/>
      <c r="CX2400" s="17"/>
    </row>
    <row r="2401" spans="4:102" x14ac:dyDescent="0.25">
      <c r="D2401" s="11"/>
      <c r="E2401" s="11"/>
      <c r="F2401" s="11"/>
      <c r="G2401" s="11"/>
      <c r="H2401" s="11"/>
      <c r="I2401" s="11"/>
      <c r="J2401" s="11"/>
      <c r="K2401" s="11"/>
      <c r="L2401" s="11"/>
      <c r="M2401" s="11"/>
      <c r="N2401" s="11"/>
      <c r="O2401" s="11"/>
      <c r="P2401" s="43"/>
      <c r="Q2401" s="11"/>
      <c r="R2401" s="11"/>
      <c r="S2401" s="11"/>
      <c r="T2401" s="11"/>
      <c r="U2401" s="11"/>
      <c r="V2401" s="11"/>
      <c r="W2401" s="11"/>
      <c r="X2401" s="12"/>
      <c r="Y2401" s="12"/>
      <c r="Z2401" s="12"/>
      <c r="AA2401" s="44"/>
      <c r="AB2401" s="45"/>
      <c r="AC2401" s="12"/>
      <c r="AD2401" s="12"/>
      <c r="AE2401" s="12"/>
      <c r="AF2401" s="12"/>
      <c r="AG2401" s="44"/>
      <c r="AH2401" s="45"/>
      <c r="AI2401" s="12"/>
      <c r="AJ2401" s="12"/>
      <c r="AK2401" s="12"/>
      <c r="AL2401" s="12"/>
      <c r="AM2401" s="44"/>
      <c r="AN2401" s="45"/>
      <c r="AO2401" s="12"/>
      <c r="AP2401" s="12"/>
      <c r="AQ2401" s="12"/>
      <c r="AR2401" s="12"/>
      <c r="AS2401" s="44"/>
      <c r="AT2401" s="45"/>
      <c r="AU2401" s="12"/>
      <c r="AV2401" s="12"/>
      <c r="AW2401" s="12"/>
      <c r="AX2401" s="12"/>
      <c r="AY2401" s="44"/>
      <c r="AZ2401" s="45"/>
      <c r="BA2401" s="12"/>
      <c r="BB2401" s="12"/>
      <c r="BC2401" s="12"/>
      <c r="BD2401" s="12"/>
      <c r="BE2401" s="44"/>
      <c r="BF2401" s="45"/>
      <c r="BG2401" s="12"/>
      <c r="BH2401" s="12"/>
      <c r="BI2401" s="12"/>
      <c r="BJ2401" s="12"/>
      <c r="BK2401" s="44"/>
      <c r="BL2401" s="45"/>
      <c r="BM2401" s="12"/>
      <c r="BN2401" s="12"/>
      <c r="BO2401" s="12"/>
      <c r="BP2401" s="12"/>
      <c r="BQ2401" s="48"/>
      <c r="BR2401" s="49"/>
      <c r="BS2401" s="13"/>
      <c r="BT2401" s="12"/>
      <c r="BV2401" s="14"/>
      <c r="BW2401" s="50"/>
      <c r="BX2401" s="54"/>
      <c r="BY2401" s="14"/>
      <c r="BZ2401" s="14"/>
      <c r="CA2401" s="14"/>
      <c r="CB2401" s="14"/>
      <c r="CC2401" s="14"/>
      <c r="CD2401" s="14"/>
      <c r="CE2401" s="14"/>
      <c r="CF2401" s="15"/>
      <c r="CG2401" s="14"/>
      <c r="CH2401" s="14"/>
      <c r="CI2401" s="50"/>
      <c r="CJ2401" s="54"/>
      <c r="CK2401" s="14"/>
      <c r="CL2401" s="14"/>
      <c r="CM2401" s="14"/>
      <c r="CN2401" s="14"/>
      <c r="CO2401" s="14"/>
      <c r="CP2401" s="14"/>
      <c r="CQ2401" s="14"/>
      <c r="CR2401" s="14"/>
      <c r="CS2401" s="14"/>
      <c r="CT2401" s="14"/>
      <c r="CU2401" s="16"/>
      <c r="CV2401" s="14"/>
      <c r="CW2401" s="50"/>
      <c r="CX2401" s="17"/>
    </row>
    <row r="2402" spans="4:102" x14ac:dyDescent="0.25">
      <c r="D2402" s="11"/>
      <c r="E2402" s="11"/>
      <c r="F2402" s="11"/>
      <c r="G2402" s="11"/>
      <c r="H2402" s="11"/>
      <c r="I2402" s="11"/>
      <c r="J2402" s="11"/>
      <c r="K2402" s="11"/>
      <c r="L2402" s="11"/>
      <c r="M2402" s="11"/>
      <c r="N2402" s="11"/>
      <c r="O2402" s="11"/>
      <c r="P2402" s="43"/>
      <c r="Q2402" s="11"/>
      <c r="R2402" s="11"/>
      <c r="S2402" s="11"/>
      <c r="T2402" s="11"/>
      <c r="U2402" s="11"/>
      <c r="V2402" s="11"/>
      <c r="W2402" s="11"/>
      <c r="X2402" s="12"/>
      <c r="Y2402" s="12"/>
      <c r="Z2402" s="12"/>
      <c r="AA2402" s="44"/>
      <c r="AB2402" s="45"/>
      <c r="AC2402" s="12"/>
      <c r="AD2402" s="12"/>
      <c r="AE2402" s="12"/>
      <c r="AF2402" s="12"/>
      <c r="AG2402" s="44"/>
      <c r="AH2402" s="45"/>
      <c r="AI2402" s="12"/>
      <c r="AJ2402" s="12"/>
      <c r="AK2402" s="12"/>
      <c r="AL2402" s="12"/>
      <c r="AM2402" s="44"/>
      <c r="AN2402" s="45"/>
      <c r="AO2402" s="12"/>
      <c r="AP2402" s="12"/>
      <c r="AQ2402" s="12"/>
      <c r="AR2402" s="12"/>
      <c r="AS2402" s="44"/>
      <c r="AT2402" s="45"/>
      <c r="AU2402" s="12"/>
      <c r="AV2402" s="12"/>
      <c r="AW2402" s="12"/>
      <c r="AX2402" s="12"/>
      <c r="AY2402" s="44"/>
      <c r="AZ2402" s="45"/>
      <c r="BA2402" s="12"/>
      <c r="BB2402" s="12"/>
      <c r="BC2402" s="12"/>
      <c r="BD2402" s="12"/>
      <c r="BE2402" s="44"/>
      <c r="BF2402" s="45"/>
      <c r="BG2402" s="12"/>
      <c r="BH2402" s="12"/>
      <c r="BI2402" s="12"/>
      <c r="BJ2402" s="12"/>
      <c r="BK2402" s="44"/>
      <c r="BL2402" s="45"/>
      <c r="BM2402" s="12"/>
      <c r="BN2402" s="12"/>
      <c r="BO2402" s="12"/>
      <c r="BP2402" s="12"/>
      <c r="BQ2402" s="48"/>
      <c r="BR2402" s="49"/>
      <c r="BS2402" s="13"/>
      <c r="BT2402" s="12"/>
      <c r="BV2402" s="14"/>
      <c r="BW2402" s="50"/>
      <c r="BX2402" s="54"/>
      <c r="BY2402" s="14"/>
      <c r="BZ2402" s="14"/>
      <c r="CA2402" s="14"/>
      <c r="CB2402" s="14"/>
      <c r="CC2402" s="14"/>
      <c r="CD2402" s="14"/>
      <c r="CE2402" s="14"/>
      <c r="CF2402" s="15"/>
      <c r="CG2402" s="14"/>
      <c r="CH2402" s="14"/>
      <c r="CI2402" s="50"/>
      <c r="CJ2402" s="54"/>
      <c r="CK2402" s="14"/>
      <c r="CL2402" s="14"/>
      <c r="CM2402" s="14"/>
      <c r="CN2402" s="14"/>
      <c r="CO2402" s="14"/>
      <c r="CP2402" s="14"/>
      <c r="CQ2402" s="14"/>
      <c r="CR2402" s="14"/>
      <c r="CS2402" s="14"/>
      <c r="CT2402" s="14"/>
      <c r="CU2402" s="16"/>
      <c r="CV2402" s="14"/>
      <c r="CW2402" s="50"/>
      <c r="CX2402" s="17"/>
    </row>
    <row r="2403" spans="4:102" x14ac:dyDescent="0.25">
      <c r="D2403" s="11"/>
      <c r="E2403" s="11"/>
      <c r="F2403" s="11"/>
      <c r="G2403" s="11"/>
      <c r="H2403" s="11"/>
      <c r="I2403" s="11"/>
      <c r="J2403" s="11"/>
      <c r="K2403" s="11"/>
      <c r="L2403" s="11"/>
      <c r="M2403" s="11"/>
      <c r="N2403" s="11"/>
      <c r="O2403" s="11"/>
      <c r="P2403" s="43"/>
      <c r="Q2403" s="11"/>
      <c r="R2403" s="11"/>
      <c r="S2403" s="11"/>
      <c r="T2403" s="11"/>
      <c r="U2403" s="11"/>
      <c r="V2403" s="11"/>
      <c r="W2403" s="11"/>
      <c r="X2403" s="12"/>
      <c r="Y2403" s="12"/>
      <c r="Z2403" s="12"/>
      <c r="AA2403" s="44"/>
      <c r="AB2403" s="45"/>
      <c r="AC2403" s="12"/>
      <c r="AD2403" s="12"/>
      <c r="AE2403" s="12"/>
      <c r="AF2403" s="12"/>
      <c r="AG2403" s="44"/>
      <c r="AH2403" s="45"/>
      <c r="AI2403" s="12"/>
      <c r="AJ2403" s="12"/>
      <c r="AK2403" s="12"/>
      <c r="AL2403" s="12"/>
      <c r="AM2403" s="44"/>
      <c r="AN2403" s="45"/>
      <c r="AO2403" s="12"/>
      <c r="AP2403" s="12"/>
      <c r="AQ2403" s="12"/>
      <c r="AR2403" s="12"/>
      <c r="AS2403" s="44"/>
      <c r="AT2403" s="45"/>
      <c r="AU2403" s="12"/>
      <c r="AV2403" s="12"/>
      <c r="AW2403" s="12"/>
      <c r="AX2403" s="12"/>
      <c r="AY2403" s="44"/>
      <c r="AZ2403" s="45"/>
      <c r="BA2403" s="12"/>
      <c r="BB2403" s="12"/>
      <c r="BC2403" s="12"/>
      <c r="BD2403" s="12"/>
      <c r="BE2403" s="44"/>
      <c r="BF2403" s="45"/>
      <c r="BG2403" s="12"/>
      <c r="BH2403" s="12"/>
      <c r="BI2403" s="12"/>
      <c r="BJ2403" s="12"/>
      <c r="BK2403" s="44"/>
      <c r="BL2403" s="45"/>
      <c r="BM2403" s="12"/>
      <c r="BN2403" s="12"/>
      <c r="BO2403" s="12"/>
      <c r="BP2403" s="12"/>
      <c r="BQ2403" s="48"/>
      <c r="BR2403" s="49"/>
      <c r="BS2403" s="13"/>
      <c r="BT2403" s="12"/>
      <c r="BV2403" s="14"/>
      <c r="BW2403" s="50"/>
      <c r="BX2403" s="54"/>
      <c r="BY2403" s="14"/>
      <c r="BZ2403" s="14"/>
      <c r="CA2403" s="14"/>
      <c r="CB2403" s="14"/>
      <c r="CC2403" s="14"/>
      <c r="CD2403" s="14"/>
      <c r="CE2403" s="14"/>
      <c r="CF2403" s="15"/>
      <c r="CG2403" s="14"/>
      <c r="CH2403" s="14"/>
      <c r="CI2403" s="50"/>
      <c r="CJ2403" s="54"/>
      <c r="CK2403" s="14"/>
      <c r="CL2403" s="14"/>
      <c r="CM2403" s="14"/>
      <c r="CN2403" s="14"/>
      <c r="CO2403" s="14"/>
      <c r="CP2403" s="14"/>
      <c r="CQ2403" s="14"/>
      <c r="CR2403" s="14"/>
      <c r="CS2403" s="14"/>
      <c r="CT2403" s="14"/>
      <c r="CU2403" s="16"/>
      <c r="CV2403" s="14"/>
      <c r="CW2403" s="50"/>
      <c r="CX2403" s="17"/>
    </row>
    <row r="2404" spans="4:102" x14ac:dyDescent="0.25">
      <c r="D2404" s="11"/>
      <c r="E2404" s="11"/>
      <c r="F2404" s="11"/>
      <c r="G2404" s="11"/>
      <c r="H2404" s="11"/>
      <c r="I2404" s="11"/>
      <c r="J2404" s="11"/>
      <c r="K2404" s="11"/>
      <c r="L2404" s="11"/>
      <c r="M2404" s="11"/>
      <c r="N2404" s="11"/>
      <c r="O2404" s="11"/>
      <c r="P2404" s="43"/>
      <c r="Q2404" s="11"/>
      <c r="R2404" s="11"/>
      <c r="S2404" s="11"/>
      <c r="T2404" s="11"/>
      <c r="U2404" s="11"/>
      <c r="V2404" s="11"/>
      <c r="W2404" s="11"/>
      <c r="X2404" s="12"/>
      <c r="Y2404" s="12"/>
      <c r="Z2404" s="12"/>
      <c r="AA2404" s="44"/>
      <c r="AB2404" s="45"/>
      <c r="AC2404" s="12"/>
      <c r="AD2404" s="12"/>
      <c r="AE2404" s="12"/>
      <c r="AF2404" s="12"/>
      <c r="AG2404" s="44"/>
      <c r="AH2404" s="45"/>
      <c r="AI2404" s="12"/>
      <c r="AJ2404" s="12"/>
      <c r="AK2404" s="12"/>
      <c r="AL2404" s="12"/>
      <c r="AM2404" s="44"/>
      <c r="AN2404" s="45"/>
      <c r="AO2404" s="12"/>
      <c r="AP2404" s="12"/>
      <c r="AQ2404" s="12"/>
      <c r="AR2404" s="12"/>
      <c r="AS2404" s="44"/>
      <c r="AT2404" s="45"/>
      <c r="AU2404" s="12"/>
      <c r="AV2404" s="12"/>
      <c r="AW2404" s="12"/>
      <c r="AX2404" s="12"/>
      <c r="AY2404" s="44"/>
      <c r="AZ2404" s="45"/>
      <c r="BA2404" s="12"/>
      <c r="BB2404" s="12"/>
      <c r="BC2404" s="12"/>
      <c r="BD2404" s="12"/>
      <c r="BE2404" s="44"/>
      <c r="BF2404" s="45"/>
      <c r="BG2404" s="12"/>
      <c r="BH2404" s="12"/>
      <c r="BI2404" s="12"/>
      <c r="BJ2404" s="12"/>
      <c r="BK2404" s="44"/>
      <c r="BL2404" s="45"/>
      <c r="BM2404" s="12"/>
      <c r="BN2404" s="12"/>
      <c r="BO2404" s="12"/>
      <c r="BP2404" s="12"/>
      <c r="BQ2404" s="48"/>
      <c r="BR2404" s="49"/>
      <c r="BS2404" s="13"/>
      <c r="BT2404" s="12"/>
      <c r="BV2404" s="14"/>
      <c r="BW2404" s="50"/>
      <c r="BX2404" s="54"/>
      <c r="BY2404" s="14"/>
      <c r="BZ2404" s="14"/>
      <c r="CA2404" s="14"/>
      <c r="CB2404" s="14"/>
      <c r="CC2404" s="14"/>
      <c r="CD2404" s="14"/>
      <c r="CE2404" s="14"/>
      <c r="CF2404" s="15"/>
      <c r="CG2404" s="14"/>
      <c r="CH2404" s="14"/>
      <c r="CI2404" s="50"/>
      <c r="CJ2404" s="54"/>
      <c r="CK2404" s="14"/>
      <c r="CL2404" s="14"/>
      <c r="CM2404" s="14"/>
      <c r="CN2404" s="14"/>
      <c r="CO2404" s="14"/>
      <c r="CP2404" s="14"/>
      <c r="CQ2404" s="14"/>
      <c r="CR2404" s="14"/>
      <c r="CS2404" s="14"/>
      <c r="CT2404" s="14"/>
      <c r="CU2404" s="16"/>
      <c r="CV2404" s="14"/>
      <c r="CW2404" s="50"/>
      <c r="CX2404" s="17"/>
    </row>
    <row r="2405" spans="4:102" x14ac:dyDescent="0.25">
      <c r="D2405" s="11"/>
      <c r="E2405" s="11"/>
      <c r="F2405" s="11"/>
      <c r="G2405" s="11"/>
      <c r="H2405" s="11"/>
      <c r="I2405" s="11"/>
      <c r="J2405" s="11"/>
      <c r="K2405" s="11"/>
      <c r="L2405" s="11"/>
      <c r="M2405" s="11"/>
      <c r="N2405" s="11"/>
      <c r="O2405" s="11"/>
      <c r="P2405" s="43"/>
      <c r="Q2405" s="11"/>
      <c r="R2405" s="11"/>
      <c r="S2405" s="11"/>
      <c r="T2405" s="11"/>
      <c r="U2405" s="11"/>
      <c r="V2405" s="11"/>
      <c r="W2405" s="11"/>
      <c r="X2405" s="12"/>
      <c r="Y2405" s="12"/>
      <c r="Z2405" s="12"/>
      <c r="AA2405" s="44"/>
      <c r="AB2405" s="45"/>
      <c r="AC2405" s="12"/>
      <c r="AD2405" s="12"/>
      <c r="AE2405" s="12"/>
      <c r="AF2405" s="12"/>
      <c r="AG2405" s="44"/>
      <c r="AH2405" s="45"/>
      <c r="AI2405" s="12"/>
      <c r="AJ2405" s="12"/>
      <c r="AK2405" s="12"/>
      <c r="AL2405" s="12"/>
      <c r="AM2405" s="44"/>
      <c r="AN2405" s="45"/>
      <c r="AO2405" s="12"/>
      <c r="AP2405" s="12"/>
      <c r="AQ2405" s="12"/>
      <c r="AR2405" s="12"/>
      <c r="AS2405" s="44"/>
      <c r="AT2405" s="45"/>
      <c r="AU2405" s="12"/>
      <c r="AV2405" s="12"/>
      <c r="AW2405" s="12"/>
      <c r="AX2405" s="12"/>
      <c r="AY2405" s="44"/>
      <c r="AZ2405" s="45"/>
      <c r="BA2405" s="12"/>
      <c r="BB2405" s="12"/>
      <c r="BC2405" s="12"/>
      <c r="BD2405" s="12"/>
      <c r="BE2405" s="44"/>
      <c r="BF2405" s="45"/>
      <c r="BG2405" s="12"/>
      <c r="BH2405" s="12"/>
      <c r="BI2405" s="12"/>
      <c r="BJ2405" s="12"/>
      <c r="BK2405" s="44"/>
      <c r="BL2405" s="45"/>
      <c r="BM2405" s="12"/>
      <c r="BN2405" s="12"/>
      <c r="BO2405" s="12"/>
      <c r="BP2405" s="12"/>
      <c r="BQ2405" s="48"/>
      <c r="BR2405" s="49"/>
      <c r="BS2405" s="13"/>
      <c r="BT2405" s="12"/>
      <c r="BV2405" s="14"/>
      <c r="BW2405" s="50"/>
      <c r="BX2405" s="54"/>
      <c r="BY2405" s="14"/>
      <c r="BZ2405" s="14"/>
      <c r="CA2405" s="14"/>
      <c r="CB2405" s="14"/>
      <c r="CC2405" s="14"/>
      <c r="CD2405" s="14"/>
      <c r="CE2405" s="14"/>
      <c r="CF2405" s="15"/>
      <c r="CG2405" s="14"/>
      <c r="CH2405" s="14"/>
      <c r="CI2405" s="50"/>
      <c r="CJ2405" s="54"/>
      <c r="CK2405" s="14"/>
      <c r="CL2405" s="14"/>
      <c r="CM2405" s="14"/>
      <c r="CN2405" s="14"/>
      <c r="CO2405" s="14"/>
      <c r="CP2405" s="14"/>
      <c r="CQ2405" s="14"/>
      <c r="CR2405" s="14"/>
      <c r="CS2405" s="14"/>
      <c r="CT2405" s="14"/>
      <c r="CU2405" s="16"/>
      <c r="CV2405" s="14"/>
      <c r="CW2405" s="50"/>
      <c r="CX2405" s="17"/>
    </row>
    <row r="2406" spans="4:102" x14ac:dyDescent="0.25">
      <c r="D2406" s="11"/>
      <c r="E2406" s="11"/>
      <c r="F2406" s="11"/>
      <c r="G2406" s="11"/>
      <c r="H2406" s="11"/>
      <c r="I2406" s="11"/>
      <c r="J2406" s="11"/>
      <c r="K2406" s="11"/>
      <c r="L2406" s="11"/>
      <c r="M2406" s="11"/>
      <c r="N2406" s="11"/>
      <c r="O2406" s="11"/>
      <c r="P2406" s="43"/>
      <c r="Q2406" s="11"/>
      <c r="R2406" s="11"/>
      <c r="S2406" s="11"/>
      <c r="T2406" s="11"/>
      <c r="U2406" s="11"/>
      <c r="V2406" s="11"/>
      <c r="W2406" s="11"/>
      <c r="X2406" s="12"/>
      <c r="Y2406" s="12"/>
      <c r="Z2406" s="12"/>
      <c r="AA2406" s="44"/>
      <c r="AB2406" s="45"/>
      <c r="AC2406" s="12"/>
      <c r="AD2406" s="12"/>
      <c r="AE2406" s="12"/>
      <c r="AF2406" s="12"/>
      <c r="AG2406" s="44"/>
      <c r="AH2406" s="45"/>
      <c r="AI2406" s="12"/>
      <c r="AJ2406" s="12"/>
      <c r="AK2406" s="12"/>
      <c r="AL2406" s="12"/>
      <c r="AM2406" s="44"/>
      <c r="AN2406" s="45"/>
      <c r="AO2406" s="12"/>
      <c r="AP2406" s="12"/>
      <c r="AQ2406" s="12"/>
      <c r="AR2406" s="12"/>
      <c r="AS2406" s="44"/>
      <c r="AT2406" s="45"/>
      <c r="AU2406" s="12"/>
      <c r="AV2406" s="12"/>
      <c r="AW2406" s="12"/>
      <c r="AX2406" s="12"/>
      <c r="AY2406" s="44"/>
      <c r="AZ2406" s="45"/>
      <c r="BA2406" s="12"/>
      <c r="BB2406" s="12"/>
      <c r="BC2406" s="12"/>
      <c r="BD2406" s="12"/>
      <c r="BE2406" s="44"/>
      <c r="BF2406" s="45"/>
      <c r="BG2406" s="12"/>
      <c r="BH2406" s="12"/>
      <c r="BI2406" s="12"/>
      <c r="BJ2406" s="12"/>
      <c r="BK2406" s="44"/>
      <c r="BL2406" s="45"/>
      <c r="BM2406" s="12"/>
      <c r="BN2406" s="12"/>
      <c r="BO2406" s="12"/>
      <c r="BP2406" s="12"/>
      <c r="BQ2406" s="48"/>
      <c r="BR2406" s="49"/>
      <c r="BS2406" s="13"/>
      <c r="BT2406" s="12"/>
      <c r="BV2406" s="14"/>
      <c r="BW2406" s="50"/>
      <c r="BX2406" s="54"/>
      <c r="BY2406" s="14"/>
      <c r="BZ2406" s="14"/>
      <c r="CA2406" s="14"/>
      <c r="CB2406" s="14"/>
      <c r="CC2406" s="14"/>
      <c r="CD2406" s="14"/>
      <c r="CE2406" s="14"/>
      <c r="CF2406" s="15"/>
      <c r="CG2406" s="14"/>
      <c r="CH2406" s="14"/>
      <c r="CI2406" s="50"/>
      <c r="CJ2406" s="54"/>
      <c r="CK2406" s="14"/>
      <c r="CL2406" s="14"/>
      <c r="CM2406" s="14"/>
      <c r="CN2406" s="14"/>
      <c r="CO2406" s="14"/>
      <c r="CP2406" s="14"/>
      <c r="CQ2406" s="14"/>
      <c r="CR2406" s="14"/>
      <c r="CS2406" s="14"/>
      <c r="CT2406" s="14"/>
      <c r="CU2406" s="16"/>
      <c r="CV2406" s="14"/>
      <c r="CW2406" s="50"/>
      <c r="CX2406" s="17"/>
    </row>
    <row r="2407" spans="4:102" x14ac:dyDescent="0.25">
      <c r="D2407" s="11"/>
      <c r="E2407" s="11"/>
      <c r="F2407" s="11"/>
      <c r="G2407" s="11"/>
      <c r="H2407" s="11"/>
      <c r="I2407" s="11"/>
      <c r="J2407" s="11"/>
      <c r="K2407" s="11"/>
      <c r="L2407" s="11"/>
      <c r="M2407" s="11"/>
      <c r="N2407" s="11"/>
      <c r="O2407" s="11"/>
      <c r="P2407" s="43"/>
      <c r="Q2407" s="11"/>
      <c r="R2407" s="11"/>
      <c r="S2407" s="11"/>
      <c r="T2407" s="11"/>
      <c r="U2407" s="11"/>
      <c r="V2407" s="11"/>
      <c r="W2407" s="11"/>
      <c r="X2407" s="12"/>
      <c r="Y2407" s="12"/>
      <c r="Z2407" s="12"/>
      <c r="AA2407" s="44"/>
      <c r="AB2407" s="45"/>
      <c r="AC2407" s="12"/>
      <c r="AD2407" s="12"/>
      <c r="AE2407" s="12"/>
      <c r="AF2407" s="12"/>
      <c r="AG2407" s="44"/>
      <c r="AH2407" s="45"/>
      <c r="AI2407" s="12"/>
      <c r="AJ2407" s="12"/>
      <c r="AK2407" s="12"/>
      <c r="AL2407" s="12"/>
      <c r="AM2407" s="44"/>
      <c r="AN2407" s="45"/>
      <c r="AO2407" s="12"/>
      <c r="AP2407" s="12"/>
      <c r="AQ2407" s="12"/>
      <c r="AR2407" s="12"/>
      <c r="AS2407" s="44"/>
      <c r="AT2407" s="45"/>
      <c r="AU2407" s="12"/>
      <c r="AV2407" s="12"/>
      <c r="AW2407" s="12"/>
      <c r="AX2407" s="12"/>
      <c r="AY2407" s="44"/>
      <c r="AZ2407" s="45"/>
      <c r="BA2407" s="12"/>
      <c r="BB2407" s="12"/>
      <c r="BC2407" s="12"/>
      <c r="BD2407" s="12"/>
      <c r="BE2407" s="44"/>
      <c r="BF2407" s="45"/>
      <c r="BG2407" s="12"/>
      <c r="BH2407" s="12"/>
      <c r="BI2407" s="12"/>
      <c r="BJ2407" s="12"/>
      <c r="BK2407" s="44"/>
      <c r="BL2407" s="45"/>
      <c r="BM2407" s="12"/>
      <c r="BN2407" s="12"/>
      <c r="BO2407" s="12"/>
      <c r="BP2407" s="12"/>
      <c r="BQ2407" s="48"/>
      <c r="BR2407" s="49"/>
      <c r="BS2407" s="13"/>
      <c r="BT2407" s="12"/>
      <c r="BV2407" s="14"/>
      <c r="BW2407" s="50"/>
      <c r="BX2407" s="54"/>
      <c r="BY2407" s="14"/>
      <c r="BZ2407" s="14"/>
      <c r="CA2407" s="14"/>
      <c r="CB2407" s="14"/>
      <c r="CC2407" s="14"/>
      <c r="CD2407" s="14"/>
      <c r="CE2407" s="14"/>
      <c r="CF2407" s="15"/>
      <c r="CG2407" s="14"/>
      <c r="CH2407" s="14"/>
      <c r="CI2407" s="50"/>
      <c r="CJ2407" s="54"/>
      <c r="CK2407" s="14"/>
      <c r="CL2407" s="14"/>
      <c r="CM2407" s="14"/>
      <c r="CN2407" s="14"/>
      <c r="CO2407" s="14"/>
      <c r="CP2407" s="14"/>
      <c r="CQ2407" s="14"/>
      <c r="CR2407" s="14"/>
      <c r="CS2407" s="14"/>
      <c r="CT2407" s="14"/>
      <c r="CU2407" s="16"/>
      <c r="CV2407" s="14"/>
      <c r="CW2407" s="50"/>
      <c r="CX2407" s="17"/>
    </row>
    <row r="2408" spans="4:102" x14ac:dyDescent="0.25">
      <c r="D2408" s="11"/>
      <c r="E2408" s="11"/>
      <c r="F2408" s="11"/>
      <c r="G2408" s="11"/>
      <c r="H2408" s="11"/>
      <c r="I2408" s="11"/>
      <c r="J2408" s="11"/>
      <c r="K2408" s="11"/>
      <c r="L2408" s="11"/>
      <c r="M2408" s="11"/>
      <c r="N2408" s="11"/>
      <c r="O2408" s="11"/>
      <c r="P2408" s="43"/>
      <c r="Q2408" s="11"/>
      <c r="R2408" s="11"/>
      <c r="S2408" s="11"/>
      <c r="T2408" s="11"/>
      <c r="U2408" s="11"/>
      <c r="V2408" s="11"/>
      <c r="W2408" s="11"/>
      <c r="X2408" s="12"/>
      <c r="Y2408" s="12"/>
      <c r="Z2408" s="12"/>
      <c r="AA2408" s="44"/>
      <c r="AB2408" s="45"/>
      <c r="AC2408" s="12"/>
      <c r="AD2408" s="12"/>
      <c r="AE2408" s="12"/>
      <c r="AF2408" s="12"/>
      <c r="AG2408" s="44"/>
      <c r="AH2408" s="45"/>
      <c r="AI2408" s="12"/>
      <c r="AJ2408" s="12"/>
      <c r="AK2408" s="12"/>
      <c r="AL2408" s="12"/>
      <c r="AM2408" s="44"/>
      <c r="AN2408" s="45"/>
      <c r="AO2408" s="12"/>
      <c r="AP2408" s="12"/>
      <c r="AQ2408" s="12"/>
      <c r="AR2408" s="12"/>
      <c r="AS2408" s="44"/>
      <c r="AT2408" s="45"/>
      <c r="AU2408" s="12"/>
      <c r="AV2408" s="12"/>
      <c r="AW2408" s="12"/>
      <c r="AX2408" s="12"/>
      <c r="AY2408" s="44"/>
      <c r="AZ2408" s="45"/>
      <c r="BA2408" s="12"/>
      <c r="BB2408" s="12"/>
      <c r="BC2408" s="12"/>
      <c r="BD2408" s="12"/>
      <c r="BE2408" s="44"/>
      <c r="BF2408" s="45"/>
      <c r="BG2408" s="12"/>
      <c r="BH2408" s="12"/>
      <c r="BI2408" s="12"/>
      <c r="BJ2408" s="12"/>
      <c r="BK2408" s="44"/>
      <c r="BL2408" s="45"/>
      <c r="BM2408" s="12"/>
      <c r="BN2408" s="12"/>
      <c r="BO2408" s="12"/>
      <c r="BP2408" s="12"/>
      <c r="BQ2408" s="48"/>
      <c r="BR2408" s="49"/>
      <c r="BS2408" s="13"/>
      <c r="BT2408" s="12"/>
      <c r="BV2408" s="14"/>
      <c r="BW2408" s="50"/>
      <c r="BX2408" s="54"/>
      <c r="BY2408" s="14"/>
      <c r="BZ2408" s="14"/>
      <c r="CA2408" s="14"/>
      <c r="CB2408" s="14"/>
      <c r="CC2408" s="14"/>
      <c r="CD2408" s="14"/>
      <c r="CE2408" s="14"/>
      <c r="CF2408" s="15"/>
      <c r="CG2408" s="14"/>
      <c r="CH2408" s="14"/>
      <c r="CI2408" s="50"/>
      <c r="CJ2408" s="54"/>
      <c r="CK2408" s="14"/>
      <c r="CL2408" s="14"/>
      <c r="CM2408" s="14"/>
      <c r="CN2408" s="14"/>
      <c r="CO2408" s="14"/>
      <c r="CP2408" s="14"/>
      <c r="CQ2408" s="14"/>
      <c r="CR2408" s="14"/>
      <c r="CS2408" s="14"/>
      <c r="CT2408" s="14"/>
      <c r="CU2408" s="16"/>
      <c r="CV2408" s="14"/>
      <c r="CW2408" s="50"/>
      <c r="CX2408" s="17"/>
    </row>
    <row r="2409" spans="4:102" x14ac:dyDescent="0.25">
      <c r="D2409" s="11"/>
      <c r="E2409" s="11"/>
      <c r="F2409" s="11"/>
      <c r="G2409" s="11"/>
      <c r="H2409" s="11"/>
      <c r="I2409" s="11"/>
      <c r="J2409" s="11"/>
      <c r="K2409" s="11"/>
      <c r="L2409" s="11"/>
      <c r="M2409" s="11"/>
      <c r="N2409" s="11"/>
      <c r="O2409" s="11"/>
      <c r="P2409" s="43"/>
      <c r="Q2409" s="11"/>
      <c r="R2409" s="11"/>
      <c r="S2409" s="11"/>
      <c r="T2409" s="11"/>
      <c r="U2409" s="11"/>
      <c r="V2409" s="11"/>
      <c r="W2409" s="11"/>
      <c r="X2409" s="12"/>
      <c r="Y2409" s="12"/>
      <c r="Z2409" s="12"/>
      <c r="AA2409" s="44"/>
      <c r="AB2409" s="45"/>
      <c r="AC2409" s="12"/>
      <c r="AD2409" s="12"/>
      <c r="AE2409" s="12"/>
      <c r="AF2409" s="12"/>
      <c r="AG2409" s="44"/>
      <c r="AH2409" s="45"/>
      <c r="AI2409" s="12"/>
      <c r="AJ2409" s="12"/>
      <c r="AK2409" s="12"/>
      <c r="AL2409" s="12"/>
      <c r="AM2409" s="44"/>
      <c r="AN2409" s="45"/>
      <c r="AO2409" s="12"/>
      <c r="AP2409" s="12"/>
      <c r="AQ2409" s="12"/>
      <c r="AR2409" s="12"/>
      <c r="AS2409" s="44"/>
      <c r="AT2409" s="45"/>
      <c r="AU2409" s="12"/>
      <c r="AV2409" s="12"/>
      <c r="AW2409" s="12"/>
      <c r="AX2409" s="12"/>
      <c r="AY2409" s="44"/>
      <c r="AZ2409" s="45"/>
      <c r="BA2409" s="12"/>
      <c r="BB2409" s="12"/>
      <c r="BC2409" s="12"/>
      <c r="BD2409" s="12"/>
      <c r="BE2409" s="44"/>
      <c r="BF2409" s="45"/>
      <c r="BG2409" s="12"/>
      <c r="BH2409" s="12"/>
      <c r="BI2409" s="12"/>
      <c r="BJ2409" s="12"/>
      <c r="BK2409" s="44"/>
      <c r="BL2409" s="45"/>
      <c r="BM2409" s="12"/>
      <c r="BN2409" s="12"/>
      <c r="BO2409" s="12"/>
      <c r="BP2409" s="12"/>
      <c r="BQ2409" s="48"/>
      <c r="BR2409" s="49"/>
      <c r="BS2409" s="13"/>
      <c r="BT2409" s="12"/>
      <c r="BV2409" s="14"/>
      <c r="BW2409" s="50"/>
      <c r="BX2409" s="54"/>
      <c r="BY2409" s="14"/>
      <c r="BZ2409" s="14"/>
      <c r="CA2409" s="14"/>
      <c r="CB2409" s="14"/>
      <c r="CC2409" s="14"/>
      <c r="CD2409" s="14"/>
      <c r="CE2409" s="14"/>
      <c r="CF2409" s="15"/>
      <c r="CG2409" s="14"/>
      <c r="CH2409" s="14"/>
      <c r="CI2409" s="50"/>
      <c r="CJ2409" s="54"/>
      <c r="CK2409" s="14"/>
      <c r="CL2409" s="14"/>
      <c r="CM2409" s="14"/>
      <c r="CN2409" s="14"/>
      <c r="CO2409" s="14"/>
      <c r="CP2409" s="14"/>
      <c r="CQ2409" s="14"/>
      <c r="CR2409" s="14"/>
      <c r="CS2409" s="14"/>
      <c r="CT2409" s="14"/>
      <c r="CU2409" s="16"/>
      <c r="CV2409" s="14"/>
      <c r="CW2409" s="50"/>
      <c r="CX2409" s="17"/>
    </row>
    <row r="2410" spans="4:102" x14ac:dyDescent="0.25">
      <c r="D2410" s="11"/>
      <c r="E2410" s="11"/>
      <c r="F2410" s="11"/>
      <c r="G2410" s="11"/>
      <c r="H2410" s="11"/>
      <c r="I2410" s="11"/>
      <c r="J2410" s="11"/>
      <c r="K2410" s="11"/>
      <c r="L2410" s="11"/>
      <c r="M2410" s="11"/>
      <c r="N2410" s="11"/>
      <c r="O2410" s="11"/>
      <c r="P2410" s="43"/>
      <c r="Q2410" s="11"/>
      <c r="R2410" s="11"/>
      <c r="S2410" s="11"/>
      <c r="T2410" s="11"/>
      <c r="U2410" s="11"/>
      <c r="V2410" s="11"/>
      <c r="W2410" s="11"/>
      <c r="X2410" s="12"/>
      <c r="Y2410" s="12"/>
      <c r="Z2410" s="12"/>
      <c r="AA2410" s="44"/>
      <c r="AB2410" s="45"/>
      <c r="AC2410" s="12"/>
      <c r="AD2410" s="12"/>
      <c r="AE2410" s="12"/>
      <c r="AF2410" s="12"/>
      <c r="AG2410" s="44"/>
      <c r="AH2410" s="45"/>
      <c r="AI2410" s="12"/>
      <c r="AJ2410" s="12"/>
      <c r="AK2410" s="12"/>
      <c r="AL2410" s="12"/>
      <c r="AM2410" s="44"/>
      <c r="AN2410" s="45"/>
      <c r="AO2410" s="12"/>
      <c r="AP2410" s="12"/>
      <c r="AQ2410" s="12"/>
      <c r="AR2410" s="12"/>
      <c r="AS2410" s="44"/>
      <c r="AT2410" s="45"/>
      <c r="AU2410" s="12"/>
      <c r="AV2410" s="12"/>
      <c r="AW2410" s="12"/>
      <c r="AX2410" s="12"/>
      <c r="AY2410" s="44"/>
      <c r="AZ2410" s="45"/>
      <c r="BA2410" s="12"/>
      <c r="BB2410" s="12"/>
      <c r="BC2410" s="12"/>
      <c r="BD2410" s="12"/>
      <c r="BE2410" s="44"/>
      <c r="BF2410" s="45"/>
      <c r="BG2410" s="12"/>
      <c r="BH2410" s="12"/>
      <c r="BI2410" s="12"/>
      <c r="BJ2410" s="12"/>
      <c r="BK2410" s="44"/>
      <c r="BL2410" s="45"/>
      <c r="BM2410" s="12"/>
      <c r="BN2410" s="12"/>
      <c r="BO2410" s="12"/>
      <c r="BP2410" s="12"/>
      <c r="BQ2410" s="48"/>
      <c r="BR2410" s="49"/>
      <c r="BS2410" s="13"/>
      <c r="BT2410" s="12"/>
      <c r="BV2410" s="14"/>
      <c r="BW2410" s="50"/>
      <c r="BX2410" s="54"/>
      <c r="BY2410" s="14"/>
      <c r="BZ2410" s="14"/>
      <c r="CA2410" s="14"/>
      <c r="CB2410" s="14"/>
      <c r="CC2410" s="14"/>
      <c r="CD2410" s="14"/>
      <c r="CE2410" s="14"/>
      <c r="CF2410" s="15"/>
      <c r="CG2410" s="14"/>
      <c r="CH2410" s="14"/>
      <c r="CI2410" s="50"/>
      <c r="CJ2410" s="54"/>
      <c r="CK2410" s="14"/>
      <c r="CL2410" s="14"/>
      <c r="CM2410" s="14"/>
      <c r="CN2410" s="14"/>
      <c r="CO2410" s="14"/>
      <c r="CP2410" s="14"/>
      <c r="CQ2410" s="14"/>
      <c r="CR2410" s="14"/>
      <c r="CS2410" s="14"/>
      <c r="CT2410" s="14"/>
      <c r="CU2410" s="16"/>
      <c r="CV2410" s="14"/>
      <c r="CW2410" s="50"/>
      <c r="CX2410" s="17"/>
    </row>
    <row r="2411" spans="4:102" x14ac:dyDescent="0.25">
      <c r="D2411" s="11"/>
      <c r="E2411" s="11"/>
      <c r="F2411" s="11"/>
      <c r="G2411" s="11"/>
      <c r="H2411" s="11"/>
      <c r="I2411" s="11"/>
      <c r="J2411" s="11"/>
      <c r="K2411" s="11"/>
      <c r="L2411" s="11"/>
      <c r="M2411" s="11"/>
      <c r="N2411" s="11"/>
      <c r="O2411" s="11"/>
      <c r="P2411" s="43"/>
      <c r="Q2411" s="11"/>
      <c r="R2411" s="11"/>
      <c r="S2411" s="11"/>
      <c r="T2411" s="11"/>
      <c r="U2411" s="11"/>
      <c r="V2411" s="11"/>
      <c r="W2411" s="11"/>
      <c r="X2411" s="12"/>
      <c r="Y2411" s="12"/>
      <c r="Z2411" s="12"/>
      <c r="AA2411" s="44"/>
      <c r="AB2411" s="45"/>
      <c r="AC2411" s="12"/>
      <c r="AD2411" s="12"/>
      <c r="AE2411" s="12"/>
      <c r="AF2411" s="12"/>
      <c r="AG2411" s="44"/>
      <c r="AH2411" s="45"/>
      <c r="AI2411" s="12"/>
      <c r="AJ2411" s="12"/>
      <c r="AK2411" s="12"/>
      <c r="AL2411" s="12"/>
      <c r="AM2411" s="44"/>
      <c r="AN2411" s="45"/>
      <c r="AO2411" s="12"/>
      <c r="AP2411" s="12"/>
      <c r="AQ2411" s="12"/>
      <c r="AR2411" s="12"/>
      <c r="AS2411" s="44"/>
      <c r="AT2411" s="45"/>
      <c r="AU2411" s="12"/>
      <c r="AV2411" s="12"/>
      <c r="AW2411" s="12"/>
      <c r="AX2411" s="12"/>
      <c r="AY2411" s="44"/>
      <c r="AZ2411" s="45"/>
      <c r="BA2411" s="12"/>
      <c r="BB2411" s="12"/>
      <c r="BC2411" s="12"/>
      <c r="BD2411" s="12"/>
      <c r="BE2411" s="44"/>
      <c r="BF2411" s="45"/>
      <c r="BG2411" s="12"/>
      <c r="BH2411" s="12"/>
      <c r="BI2411" s="12"/>
      <c r="BJ2411" s="12"/>
      <c r="BK2411" s="44"/>
      <c r="BL2411" s="45"/>
      <c r="BM2411" s="12"/>
      <c r="BN2411" s="12"/>
      <c r="BO2411" s="12"/>
      <c r="BP2411" s="12"/>
      <c r="BQ2411" s="48"/>
      <c r="BR2411" s="49"/>
      <c r="BS2411" s="13"/>
      <c r="BT2411" s="12"/>
      <c r="BV2411" s="14"/>
      <c r="BW2411" s="50"/>
      <c r="BX2411" s="54"/>
      <c r="BY2411" s="14"/>
      <c r="BZ2411" s="14"/>
      <c r="CA2411" s="14"/>
      <c r="CB2411" s="14"/>
      <c r="CC2411" s="14"/>
      <c r="CD2411" s="14"/>
      <c r="CE2411" s="14"/>
      <c r="CF2411" s="15"/>
      <c r="CG2411" s="14"/>
      <c r="CH2411" s="14"/>
      <c r="CI2411" s="50"/>
      <c r="CJ2411" s="54"/>
      <c r="CK2411" s="14"/>
      <c r="CL2411" s="14"/>
      <c r="CM2411" s="14"/>
      <c r="CN2411" s="14"/>
      <c r="CO2411" s="14"/>
      <c r="CP2411" s="14"/>
      <c r="CQ2411" s="14"/>
      <c r="CR2411" s="14"/>
      <c r="CS2411" s="14"/>
      <c r="CT2411" s="14"/>
      <c r="CU2411" s="16"/>
      <c r="CV2411" s="14"/>
      <c r="CW2411" s="50"/>
      <c r="CX2411" s="17"/>
    </row>
    <row r="2412" spans="4:102" x14ac:dyDescent="0.25">
      <c r="D2412" s="11"/>
      <c r="E2412" s="11"/>
      <c r="F2412" s="11"/>
      <c r="G2412" s="11"/>
      <c r="H2412" s="11"/>
      <c r="I2412" s="11"/>
      <c r="J2412" s="11"/>
      <c r="K2412" s="11"/>
      <c r="L2412" s="11"/>
      <c r="M2412" s="11"/>
      <c r="N2412" s="11"/>
      <c r="O2412" s="11"/>
      <c r="P2412" s="43"/>
      <c r="Q2412" s="11"/>
      <c r="R2412" s="11"/>
      <c r="S2412" s="11"/>
      <c r="T2412" s="11"/>
      <c r="U2412" s="11"/>
      <c r="V2412" s="11"/>
      <c r="W2412" s="11"/>
      <c r="X2412" s="12"/>
      <c r="Y2412" s="12"/>
      <c r="Z2412" s="12"/>
      <c r="AA2412" s="44"/>
      <c r="AB2412" s="45"/>
      <c r="AC2412" s="12"/>
      <c r="AD2412" s="12"/>
      <c r="AE2412" s="12"/>
      <c r="AF2412" s="12"/>
      <c r="AG2412" s="44"/>
      <c r="AH2412" s="45"/>
      <c r="AI2412" s="12"/>
      <c r="AJ2412" s="12"/>
      <c r="AK2412" s="12"/>
      <c r="AL2412" s="12"/>
      <c r="AM2412" s="44"/>
      <c r="AN2412" s="45"/>
      <c r="AO2412" s="12"/>
      <c r="AP2412" s="12"/>
      <c r="AQ2412" s="12"/>
      <c r="AR2412" s="12"/>
      <c r="AS2412" s="44"/>
      <c r="AT2412" s="45"/>
      <c r="AU2412" s="12"/>
      <c r="AV2412" s="12"/>
      <c r="AW2412" s="12"/>
      <c r="AX2412" s="12"/>
      <c r="AY2412" s="44"/>
      <c r="AZ2412" s="45"/>
      <c r="BA2412" s="12"/>
      <c r="BB2412" s="12"/>
      <c r="BC2412" s="12"/>
      <c r="BD2412" s="12"/>
      <c r="BE2412" s="44"/>
      <c r="BF2412" s="45"/>
      <c r="BG2412" s="12"/>
      <c r="BH2412" s="12"/>
      <c r="BI2412" s="12"/>
      <c r="BJ2412" s="12"/>
      <c r="BK2412" s="44"/>
      <c r="BL2412" s="45"/>
      <c r="BM2412" s="12"/>
      <c r="BN2412" s="12"/>
      <c r="BO2412" s="12"/>
      <c r="BP2412" s="12"/>
      <c r="BQ2412" s="48"/>
      <c r="BR2412" s="49"/>
      <c r="BS2412" s="13"/>
      <c r="BT2412" s="12"/>
      <c r="BV2412" s="14"/>
      <c r="BW2412" s="50"/>
      <c r="BX2412" s="54"/>
      <c r="BY2412" s="14"/>
      <c r="BZ2412" s="14"/>
      <c r="CA2412" s="14"/>
      <c r="CB2412" s="14"/>
      <c r="CC2412" s="14"/>
      <c r="CD2412" s="14"/>
      <c r="CE2412" s="14"/>
      <c r="CF2412" s="15"/>
      <c r="CG2412" s="14"/>
      <c r="CH2412" s="14"/>
      <c r="CI2412" s="50"/>
      <c r="CJ2412" s="54"/>
      <c r="CK2412" s="14"/>
      <c r="CL2412" s="14"/>
      <c r="CM2412" s="14"/>
      <c r="CN2412" s="14"/>
      <c r="CO2412" s="14"/>
      <c r="CP2412" s="14"/>
      <c r="CQ2412" s="14"/>
      <c r="CR2412" s="14"/>
      <c r="CS2412" s="14"/>
      <c r="CT2412" s="14"/>
      <c r="CU2412" s="16"/>
      <c r="CV2412" s="14"/>
      <c r="CW2412" s="50"/>
      <c r="CX2412" s="17"/>
    </row>
    <row r="2413" spans="4:102" x14ac:dyDescent="0.25">
      <c r="D2413" s="11"/>
      <c r="E2413" s="11"/>
      <c r="F2413" s="11"/>
      <c r="G2413" s="11"/>
      <c r="H2413" s="11"/>
      <c r="I2413" s="11"/>
      <c r="J2413" s="11"/>
      <c r="K2413" s="11"/>
      <c r="L2413" s="11"/>
      <c r="M2413" s="11"/>
      <c r="N2413" s="11"/>
      <c r="O2413" s="11"/>
      <c r="P2413" s="43"/>
      <c r="Q2413" s="11"/>
      <c r="R2413" s="11"/>
      <c r="S2413" s="11"/>
      <c r="T2413" s="11"/>
      <c r="U2413" s="11"/>
      <c r="V2413" s="11"/>
      <c r="W2413" s="11"/>
      <c r="X2413" s="12"/>
      <c r="Y2413" s="12"/>
      <c r="Z2413" s="12"/>
      <c r="AA2413" s="44"/>
      <c r="AB2413" s="45"/>
      <c r="AC2413" s="12"/>
      <c r="AD2413" s="12"/>
      <c r="AE2413" s="12"/>
      <c r="AF2413" s="12"/>
      <c r="AG2413" s="44"/>
      <c r="AH2413" s="45"/>
      <c r="AI2413" s="12"/>
      <c r="AJ2413" s="12"/>
      <c r="AK2413" s="12"/>
      <c r="AL2413" s="12"/>
      <c r="AM2413" s="44"/>
      <c r="AN2413" s="45"/>
      <c r="AO2413" s="12"/>
      <c r="AP2413" s="12"/>
      <c r="AQ2413" s="12"/>
      <c r="AR2413" s="12"/>
      <c r="AS2413" s="44"/>
      <c r="AT2413" s="45"/>
      <c r="AU2413" s="12"/>
      <c r="AV2413" s="12"/>
      <c r="AW2413" s="12"/>
      <c r="AX2413" s="12"/>
      <c r="AY2413" s="44"/>
      <c r="AZ2413" s="45"/>
      <c r="BA2413" s="12"/>
      <c r="BB2413" s="12"/>
      <c r="BC2413" s="12"/>
      <c r="BD2413" s="12"/>
      <c r="BE2413" s="44"/>
      <c r="BF2413" s="45"/>
      <c r="BG2413" s="12"/>
      <c r="BH2413" s="12"/>
      <c r="BI2413" s="12"/>
      <c r="BJ2413" s="12"/>
      <c r="BK2413" s="44"/>
      <c r="BL2413" s="45"/>
      <c r="BM2413" s="12"/>
      <c r="BN2413" s="12"/>
      <c r="BO2413" s="12"/>
      <c r="BP2413" s="12"/>
      <c r="BQ2413" s="48"/>
      <c r="BR2413" s="49"/>
      <c r="BS2413" s="13"/>
      <c r="BT2413" s="12"/>
      <c r="BV2413" s="14"/>
      <c r="BW2413" s="50"/>
      <c r="BX2413" s="54"/>
      <c r="BY2413" s="14"/>
      <c r="BZ2413" s="14"/>
      <c r="CA2413" s="14"/>
      <c r="CB2413" s="14"/>
      <c r="CC2413" s="14"/>
      <c r="CD2413" s="14"/>
      <c r="CE2413" s="14"/>
      <c r="CF2413" s="15"/>
      <c r="CG2413" s="14"/>
      <c r="CH2413" s="14"/>
      <c r="CI2413" s="50"/>
      <c r="CJ2413" s="54"/>
      <c r="CK2413" s="14"/>
      <c r="CL2413" s="14"/>
      <c r="CM2413" s="14"/>
      <c r="CN2413" s="14"/>
      <c r="CO2413" s="14"/>
      <c r="CP2413" s="14"/>
      <c r="CQ2413" s="14"/>
      <c r="CR2413" s="14"/>
      <c r="CS2413" s="14"/>
      <c r="CT2413" s="14"/>
      <c r="CU2413" s="16"/>
      <c r="CV2413" s="14"/>
      <c r="CW2413" s="50"/>
      <c r="CX2413" s="17"/>
    </row>
    <row r="2414" spans="4:102" x14ac:dyDescent="0.25">
      <c r="D2414" s="11"/>
      <c r="E2414" s="11"/>
      <c r="F2414" s="11"/>
      <c r="G2414" s="11"/>
      <c r="H2414" s="11"/>
      <c r="I2414" s="11"/>
      <c r="J2414" s="11"/>
      <c r="K2414" s="11"/>
      <c r="L2414" s="11"/>
      <c r="M2414" s="11"/>
      <c r="N2414" s="11"/>
      <c r="O2414" s="11"/>
      <c r="P2414" s="43"/>
      <c r="Q2414" s="11"/>
      <c r="R2414" s="11"/>
      <c r="S2414" s="11"/>
      <c r="T2414" s="11"/>
      <c r="U2414" s="11"/>
      <c r="V2414" s="11"/>
      <c r="W2414" s="11"/>
      <c r="X2414" s="12"/>
      <c r="Y2414" s="12"/>
      <c r="Z2414" s="12"/>
      <c r="AA2414" s="44"/>
      <c r="AB2414" s="45"/>
      <c r="AC2414" s="12"/>
      <c r="AD2414" s="12"/>
      <c r="AE2414" s="12"/>
      <c r="AF2414" s="12"/>
      <c r="AG2414" s="44"/>
      <c r="AH2414" s="45"/>
      <c r="AI2414" s="12"/>
      <c r="AJ2414" s="12"/>
      <c r="AK2414" s="12"/>
      <c r="AL2414" s="12"/>
      <c r="AM2414" s="44"/>
      <c r="AN2414" s="45"/>
      <c r="AO2414" s="12"/>
      <c r="AP2414" s="12"/>
      <c r="AQ2414" s="12"/>
      <c r="AR2414" s="12"/>
      <c r="AS2414" s="44"/>
      <c r="AT2414" s="45"/>
      <c r="AU2414" s="12"/>
      <c r="AV2414" s="12"/>
      <c r="AW2414" s="12"/>
      <c r="AX2414" s="12"/>
      <c r="AY2414" s="44"/>
      <c r="AZ2414" s="45"/>
      <c r="BA2414" s="12"/>
      <c r="BB2414" s="12"/>
      <c r="BC2414" s="12"/>
      <c r="BD2414" s="12"/>
      <c r="BE2414" s="44"/>
      <c r="BF2414" s="45"/>
      <c r="BG2414" s="12"/>
      <c r="BH2414" s="12"/>
      <c r="BI2414" s="12"/>
      <c r="BJ2414" s="12"/>
      <c r="BK2414" s="44"/>
      <c r="BL2414" s="45"/>
      <c r="BM2414" s="12"/>
      <c r="BN2414" s="12"/>
      <c r="BO2414" s="12"/>
      <c r="BP2414" s="12"/>
      <c r="BQ2414" s="48"/>
      <c r="BR2414" s="49"/>
      <c r="BS2414" s="13"/>
      <c r="BT2414" s="12"/>
      <c r="BV2414" s="14"/>
      <c r="BW2414" s="50"/>
      <c r="BX2414" s="54"/>
      <c r="BY2414" s="14"/>
      <c r="BZ2414" s="14"/>
      <c r="CA2414" s="14"/>
      <c r="CB2414" s="14"/>
      <c r="CC2414" s="14"/>
      <c r="CD2414" s="14"/>
      <c r="CE2414" s="14"/>
      <c r="CF2414" s="15"/>
      <c r="CG2414" s="14"/>
      <c r="CH2414" s="14"/>
      <c r="CI2414" s="50"/>
      <c r="CJ2414" s="54"/>
      <c r="CK2414" s="14"/>
      <c r="CL2414" s="14"/>
      <c r="CM2414" s="14"/>
      <c r="CN2414" s="14"/>
      <c r="CO2414" s="14"/>
      <c r="CP2414" s="14"/>
      <c r="CQ2414" s="14"/>
      <c r="CR2414" s="14"/>
      <c r="CS2414" s="14"/>
      <c r="CT2414" s="14"/>
      <c r="CU2414" s="16"/>
      <c r="CV2414" s="14"/>
      <c r="CW2414" s="50"/>
      <c r="CX2414" s="17"/>
    </row>
    <row r="2415" spans="4:102" x14ac:dyDescent="0.25">
      <c r="D2415" s="11"/>
      <c r="E2415" s="11"/>
      <c r="F2415" s="11"/>
      <c r="G2415" s="11"/>
      <c r="H2415" s="11"/>
      <c r="I2415" s="11"/>
      <c r="J2415" s="11"/>
      <c r="K2415" s="11"/>
      <c r="L2415" s="11"/>
      <c r="M2415" s="11"/>
      <c r="N2415" s="11"/>
      <c r="O2415" s="11"/>
      <c r="P2415" s="43"/>
      <c r="Q2415" s="11"/>
      <c r="R2415" s="11"/>
      <c r="S2415" s="11"/>
      <c r="T2415" s="11"/>
      <c r="U2415" s="11"/>
      <c r="V2415" s="11"/>
      <c r="W2415" s="11"/>
      <c r="X2415" s="12"/>
      <c r="Y2415" s="12"/>
      <c r="Z2415" s="12"/>
      <c r="AA2415" s="44"/>
      <c r="AB2415" s="45"/>
      <c r="AC2415" s="12"/>
      <c r="AD2415" s="12"/>
      <c r="AE2415" s="12"/>
      <c r="AF2415" s="12"/>
      <c r="AG2415" s="44"/>
      <c r="AH2415" s="45"/>
      <c r="AI2415" s="12"/>
      <c r="AJ2415" s="12"/>
      <c r="AK2415" s="12"/>
      <c r="AL2415" s="12"/>
      <c r="AM2415" s="44"/>
      <c r="AN2415" s="45"/>
      <c r="AO2415" s="12"/>
      <c r="AP2415" s="12"/>
      <c r="AQ2415" s="12"/>
      <c r="AR2415" s="12"/>
      <c r="AS2415" s="44"/>
      <c r="AT2415" s="45"/>
      <c r="AU2415" s="12"/>
      <c r="AV2415" s="12"/>
      <c r="AW2415" s="12"/>
      <c r="AX2415" s="12"/>
      <c r="AY2415" s="44"/>
      <c r="AZ2415" s="45"/>
      <c r="BA2415" s="12"/>
      <c r="BB2415" s="12"/>
      <c r="BC2415" s="12"/>
      <c r="BD2415" s="12"/>
      <c r="BE2415" s="44"/>
      <c r="BF2415" s="45"/>
      <c r="BG2415" s="12"/>
      <c r="BH2415" s="12"/>
      <c r="BI2415" s="12"/>
      <c r="BJ2415" s="12"/>
      <c r="BK2415" s="44"/>
      <c r="BL2415" s="45"/>
      <c r="BM2415" s="12"/>
      <c r="BN2415" s="12"/>
      <c r="BO2415" s="12"/>
      <c r="BP2415" s="12"/>
      <c r="BQ2415" s="48"/>
      <c r="BR2415" s="49"/>
      <c r="BS2415" s="13"/>
      <c r="BT2415" s="12"/>
      <c r="BV2415" s="14"/>
      <c r="BW2415" s="50"/>
      <c r="BX2415" s="54"/>
      <c r="BY2415" s="14"/>
      <c r="BZ2415" s="14"/>
      <c r="CA2415" s="14"/>
      <c r="CB2415" s="14"/>
      <c r="CC2415" s="14"/>
      <c r="CD2415" s="14"/>
      <c r="CE2415" s="14"/>
      <c r="CF2415" s="15"/>
      <c r="CG2415" s="14"/>
      <c r="CH2415" s="14"/>
      <c r="CI2415" s="50"/>
      <c r="CJ2415" s="54"/>
      <c r="CK2415" s="14"/>
      <c r="CL2415" s="14"/>
      <c r="CM2415" s="14"/>
      <c r="CN2415" s="14"/>
      <c r="CO2415" s="14"/>
      <c r="CP2415" s="14"/>
      <c r="CQ2415" s="14"/>
      <c r="CR2415" s="14"/>
      <c r="CS2415" s="14"/>
      <c r="CT2415" s="14"/>
      <c r="CU2415" s="16"/>
      <c r="CV2415" s="14"/>
      <c r="CW2415" s="50"/>
      <c r="CX2415" s="17"/>
    </row>
    <row r="2416" spans="4:102" x14ac:dyDescent="0.25">
      <c r="D2416" s="11"/>
      <c r="E2416" s="11"/>
      <c r="F2416" s="11"/>
      <c r="G2416" s="11"/>
      <c r="H2416" s="11"/>
      <c r="I2416" s="11"/>
      <c r="J2416" s="11"/>
      <c r="K2416" s="11"/>
      <c r="L2416" s="11"/>
      <c r="M2416" s="11"/>
      <c r="N2416" s="11"/>
      <c r="O2416" s="11"/>
      <c r="P2416" s="43"/>
      <c r="Q2416" s="11"/>
      <c r="R2416" s="11"/>
      <c r="S2416" s="11"/>
      <c r="T2416" s="11"/>
      <c r="U2416" s="11"/>
      <c r="V2416" s="11"/>
      <c r="W2416" s="11"/>
      <c r="X2416" s="12"/>
      <c r="Y2416" s="12"/>
      <c r="Z2416" s="12"/>
      <c r="AA2416" s="44"/>
      <c r="AB2416" s="45"/>
      <c r="AC2416" s="12"/>
      <c r="AD2416" s="12"/>
      <c r="AE2416" s="12"/>
      <c r="AF2416" s="12"/>
      <c r="AG2416" s="44"/>
      <c r="AH2416" s="45"/>
      <c r="AI2416" s="12"/>
      <c r="AJ2416" s="12"/>
      <c r="AK2416" s="12"/>
      <c r="AL2416" s="12"/>
      <c r="AM2416" s="44"/>
      <c r="AN2416" s="45"/>
      <c r="AO2416" s="12"/>
      <c r="AP2416" s="12"/>
      <c r="AQ2416" s="12"/>
      <c r="AR2416" s="12"/>
      <c r="AS2416" s="44"/>
      <c r="AT2416" s="45"/>
      <c r="AU2416" s="12"/>
      <c r="AV2416" s="12"/>
      <c r="AW2416" s="12"/>
      <c r="AX2416" s="12"/>
      <c r="AY2416" s="44"/>
      <c r="AZ2416" s="45"/>
      <c r="BA2416" s="12"/>
      <c r="BB2416" s="12"/>
      <c r="BC2416" s="12"/>
      <c r="BD2416" s="12"/>
      <c r="BE2416" s="44"/>
      <c r="BF2416" s="45"/>
      <c r="BG2416" s="12"/>
      <c r="BH2416" s="12"/>
      <c r="BI2416" s="12"/>
      <c r="BJ2416" s="12"/>
      <c r="BK2416" s="44"/>
      <c r="BL2416" s="45"/>
      <c r="BM2416" s="12"/>
      <c r="BN2416" s="12"/>
      <c r="BO2416" s="12"/>
      <c r="BP2416" s="12"/>
      <c r="BQ2416" s="48"/>
      <c r="BR2416" s="49"/>
      <c r="BS2416" s="13"/>
      <c r="BT2416" s="12"/>
      <c r="BV2416" s="14"/>
      <c r="BW2416" s="50"/>
      <c r="BX2416" s="54"/>
      <c r="BY2416" s="14"/>
      <c r="BZ2416" s="14"/>
      <c r="CA2416" s="14"/>
      <c r="CB2416" s="14"/>
      <c r="CC2416" s="14"/>
      <c r="CD2416" s="14"/>
      <c r="CE2416" s="14"/>
      <c r="CF2416" s="15"/>
      <c r="CG2416" s="14"/>
      <c r="CH2416" s="14"/>
      <c r="CI2416" s="50"/>
      <c r="CJ2416" s="54"/>
      <c r="CK2416" s="14"/>
      <c r="CL2416" s="14"/>
      <c r="CM2416" s="14"/>
      <c r="CN2416" s="14"/>
      <c r="CO2416" s="14"/>
      <c r="CP2416" s="14"/>
      <c r="CQ2416" s="14"/>
      <c r="CR2416" s="14"/>
      <c r="CS2416" s="14"/>
      <c r="CT2416" s="14"/>
      <c r="CU2416" s="16"/>
      <c r="CV2416" s="14"/>
      <c r="CW2416" s="50"/>
      <c r="CX2416" s="17"/>
    </row>
    <row r="2417" spans="4:102" x14ac:dyDescent="0.25">
      <c r="D2417" s="11"/>
      <c r="E2417" s="11"/>
      <c r="F2417" s="11"/>
      <c r="G2417" s="11"/>
      <c r="H2417" s="11"/>
      <c r="I2417" s="11"/>
      <c r="J2417" s="11"/>
      <c r="K2417" s="11"/>
      <c r="L2417" s="11"/>
      <c r="M2417" s="11"/>
      <c r="N2417" s="11"/>
      <c r="O2417" s="11"/>
      <c r="P2417" s="43"/>
      <c r="Q2417" s="11"/>
      <c r="R2417" s="11"/>
      <c r="S2417" s="11"/>
      <c r="T2417" s="11"/>
      <c r="U2417" s="11"/>
      <c r="V2417" s="11"/>
      <c r="W2417" s="11"/>
      <c r="X2417" s="12"/>
      <c r="Y2417" s="12"/>
      <c r="Z2417" s="12"/>
      <c r="AA2417" s="44"/>
      <c r="AB2417" s="45"/>
      <c r="AC2417" s="12"/>
      <c r="AD2417" s="12"/>
      <c r="AE2417" s="12"/>
      <c r="AF2417" s="12"/>
      <c r="AG2417" s="44"/>
      <c r="AH2417" s="45"/>
      <c r="AI2417" s="12"/>
      <c r="AJ2417" s="12"/>
      <c r="AK2417" s="12"/>
      <c r="AL2417" s="12"/>
      <c r="AM2417" s="44"/>
      <c r="AN2417" s="45"/>
      <c r="AO2417" s="12"/>
      <c r="AP2417" s="12"/>
      <c r="AQ2417" s="12"/>
      <c r="AR2417" s="12"/>
      <c r="AS2417" s="44"/>
      <c r="AT2417" s="45"/>
      <c r="AU2417" s="12"/>
      <c r="AV2417" s="12"/>
      <c r="AW2417" s="12"/>
      <c r="AX2417" s="12"/>
      <c r="AY2417" s="44"/>
      <c r="AZ2417" s="45"/>
      <c r="BA2417" s="12"/>
      <c r="BB2417" s="12"/>
      <c r="BC2417" s="12"/>
      <c r="BD2417" s="12"/>
      <c r="BE2417" s="44"/>
      <c r="BF2417" s="45"/>
      <c r="BG2417" s="12"/>
      <c r="BH2417" s="12"/>
      <c r="BI2417" s="12"/>
      <c r="BJ2417" s="12"/>
      <c r="BK2417" s="44"/>
      <c r="BL2417" s="45"/>
      <c r="BM2417" s="12"/>
      <c r="BN2417" s="12"/>
      <c r="BO2417" s="12"/>
      <c r="BP2417" s="12"/>
      <c r="BQ2417" s="48"/>
      <c r="BR2417" s="49"/>
      <c r="BS2417" s="13"/>
      <c r="BT2417" s="12"/>
      <c r="BV2417" s="14"/>
      <c r="BW2417" s="50"/>
      <c r="BX2417" s="54"/>
      <c r="BY2417" s="14"/>
      <c r="BZ2417" s="14"/>
      <c r="CA2417" s="14"/>
      <c r="CB2417" s="14"/>
      <c r="CC2417" s="14"/>
      <c r="CD2417" s="14"/>
      <c r="CE2417" s="14"/>
      <c r="CF2417" s="15"/>
      <c r="CG2417" s="14"/>
      <c r="CH2417" s="14"/>
      <c r="CI2417" s="50"/>
      <c r="CJ2417" s="54"/>
      <c r="CK2417" s="14"/>
      <c r="CL2417" s="14"/>
      <c r="CM2417" s="14"/>
      <c r="CN2417" s="14"/>
      <c r="CO2417" s="14"/>
      <c r="CP2417" s="14"/>
      <c r="CQ2417" s="14"/>
      <c r="CR2417" s="14"/>
      <c r="CS2417" s="14"/>
      <c r="CT2417" s="14"/>
      <c r="CU2417" s="16"/>
      <c r="CV2417" s="14"/>
      <c r="CW2417" s="50"/>
      <c r="CX2417" s="17"/>
    </row>
    <row r="2418" spans="4:102" x14ac:dyDescent="0.25">
      <c r="D2418" s="11"/>
      <c r="E2418" s="11"/>
      <c r="F2418" s="11"/>
      <c r="G2418" s="11"/>
      <c r="H2418" s="11"/>
      <c r="I2418" s="11"/>
      <c r="J2418" s="11"/>
      <c r="K2418" s="11"/>
      <c r="L2418" s="11"/>
      <c r="M2418" s="11"/>
      <c r="N2418" s="11"/>
      <c r="O2418" s="11"/>
      <c r="P2418" s="43"/>
      <c r="Q2418" s="11"/>
      <c r="R2418" s="11"/>
      <c r="S2418" s="11"/>
      <c r="T2418" s="11"/>
      <c r="U2418" s="11"/>
      <c r="V2418" s="11"/>
      <c r="W2418" s="11"/>
      <c r="X2418" s="12"/>
      <c r="Y2418" s="12"/>
      <c r="Z2418" s="12"/>
      <c r="AA2418" s="44"/>
      <c r="AB2418" s="45"/>
      <c r="AC2418" s="12"/>
      <c r="AD2418" s="12"/>
      <c r="AE2418" s="12"/>
      <c r="AF2418" s="12"/>
      <c r="AG2418" s="44"/>
      <c r="AH2418" s="45"/>
      <c r="AI2418" s="12"/>
      <c r="AJ2418" s="12"/>
      <c r="AK2418" s="12"/>
      <c r="AL2418" s="12"/>
      <c r="AM2418" s="44"/>
      <c r="AN2418" s="45"/>
      <c r="AO2418" s="12"/>
      <c r="AP2418" s="12"/>
      <c r="AQ2418" s="12"/>
      <c r="AR2418" s="12"/>
      <c r="AS2418" s="44"/>
      <c r="AT2418" s="45"/>
      <c r="AU2418" s="12"/>
      <c r="AV2418" s="12"/>
      <c r="AW2418" s="12"/>
      <c r="AX2418" s="12"/>
      <c r="AY2418" s="44"/>
      <c r="AZ2418" s="45"/>
      <c r="BA2418" s="12"/>
      <c r="BB2418" s="12"/>
      <c r="BC2418" s="12"/>
      <c r="BD2418" s="12"/>
      <c r="BE2418" s="44"/>
      <c r="BF2418" s="45"/>
      <c r="BG2418" s="12"/>
      <c r="BH2418" s="12"/>
      <c r="BI2418" s="12"/>
      <c r="BJ2418" s="12"/>
      <c r="BK2418" s="44"/>
      <c r="BL2418" s="45"/>
      <c r="BM2418" s="12"/>
      <c r="BN2418" s="12"/>
      <c r="BO2418" s="12"/>
      <c r="BP2418" s="12"/>
      <c r="BQ2418" s="48"/>
      <c r="BR2418" s="49"/>
      <c r="BS2418" s="13"/>
      <c r="BT2418" s="12"/>
      <c r="BV2418" s="14"/>
      <c r="BW2418" s="50"/>
      <c r="BX2418" s="54"/>
      <c r="BY2418" s="14"/>
      <c r="BZ2418" s="14"/>
      <c r="CA2418" s="14"/>
      <c r="CB2418" s="14"/>
      <c r="CC2418" s="14"/>
      <c r="CD2418" s="14"/>
      <c r="CE2418" s="14"/>
      <c r="CF2418" s="15"/>
      <c r="CG2418" s="14"/>
      <c r="CH2418" s="14"/>
      <c r="CI2418" s="50"/>
      <c r="CJ2418" s="54"/>
      <c r="CK2418" s="14"/>
      <c r="CL2418" s="14"/>
      <c r="CM2418" s="14"/>
      <c r="CN2418" s="14"/>
      <c r="CO2418" s="14"/>
      <c r="CP2418" s="14"/>
      <c r="CQ2418" s="14"/>
      <c r="CR2418" s="14"/>
      <c r="CS2418" s="14"/>
      <c r="CT2418" s="14"/>
      <c r="CU2418" s="16"/>
      <c r="CV2418" s="14"/>
      <c r="CW2418" s="50"/>
      <c r="CX2418" s="17"/>
    </row>
    <row r="2419" spans="4:102" x14ac:dyDescent="0.25">
      <c r="D2419" s="11"/>
      <c r="E2419" s="11"/>
      <c r="F2419" s="11"/>
      <c r="G2419" s="11"/>
      <c r="H2419" s="11"/>
      <c r="I2419" s="11"/>
      <c r="J2419" s="11"/>
      <c r="K2419" s="11"/>
      <c r="L2419" s="11"/>
      <c r="M2419" s="11"/>
      <c r="N2419" s="11"/>
      <c r="O2419" s="11"/>
      <c r="P2419" s="43"/>
      <c r="Q2419" s="11"/>
      <c r="R2419" s="11"/>
      <c r="S2419" s="11"/>
      <c r="T2419" s="11"/>
      <c r="U2419" s="11"/>
      <c r="V2419" s="11"/>
      <c r="W2419" s="11"/>
      <c r="X2419" s="12"/>
      <c r="Y2419" s="12"/>
      <c r="Z2419" s="12"/>
      <c r="AA2419" s="44"/>
      <c r="AB2419" s="45"/>
      <c r="AC2419" s="12"/>
      <c r="AD2419" s="12"/>
      <c r="AE2419" s="12"/>
      <c r="AF2419" s="12"/>
      <c r="AG2419" s="44"/>
      <c r="AH2419" s="45"/>
      <c r="AI2419" s="12"/>
      <c r="AJ2419" s="12"/>
      <c r="AK2419" s="12"/>
      <c r="AL2419" s="12"/>
      <c r="AM2419" s="44"/>
      <c r="AN2419" s="45"/>
      <c r="AO2419" s="12"/>
      <c r="AP2419" s="12"/>
      <c r="AQ2419" s="12"/>
      <c r="AR2419" s="12"/>
      <c r="AS2419" s="44"/>
      <c r="AT2419" s="45"/>
      <c r="AU2419" s="12"/>
      <c r="AV2419" s="12"/>
      <c r="AW2419" s="12"/>
      <c r="AX2419" s="12"/>
      <c r="AY2419" s="44"/>
      <c r="AZ2419" s="45"/>
      <c r="BA2419" s="12"/>
      <c r="BB2419" s="12"/>
      <c r="BC2419" s="12"/>
      <c r="BD2419" s="12"/>
      <c r="BE2419" s="44"/>
      <c r="BF2419" s="45"/>
      <c r="BG2419" s="12"/>
      <c r="BH2419" s="12"/>
      <c r="BI2419" s="12"/>
      <c r="BJ2419" s="12"/>
      <c r="BK2419" s="44"/>
      <c r="BL2419" s="45"/>
      <c r="BM2419" s="12"/>
      <c r="BN2419" s="12"/>
      <c r="BO2419" s="12"/>
      <c r="BP2419" s="12"/>
      <c r="BQ2419" s="48"/>
      <c r="BR2419" s="49"/>
      <c r="BS2419" s="13"/>
      <c r="BT2419" s="12"/>
      <c r="BV2419" s="14"/>
      <c r="BW2419" s="50"/>
      <c r="BX2419" s="54"/>
      <c r="BY2419" s="14"/>
      <c r="BZ2419" s="14"/>
      <c r="CA2419" s="14"/>
      <c r="CB2419" s="14"/>
      <c r="CC2419" s="14"/>
      <c r="CD2419" s="14"/>
      <c r="CE2419" s="14"/>
      <c r="CF2419" s="15"/>
      <c r="CG2419" s="14"/>
      <c r="CH2419" s="14"/>
      <c r="CI2419" s="50"/>
      <c r="CJ2419" s="54"/>
      <c r="CK2419" s="14"/>
      <c r="CL2419" s="14"/>
      <c r="CM2419" s="14"/>
      <c r="CN2419" s="14"/>
      <c r="CO2419" s="14"/>
      <c r="CP2419" s="14"/>
      <c r="CQ2419" s="14"/>
      <c r="CR2419" s="14"/>
      <c r="CS2419" s="14"/>
      <c r="CT2419" s="14"/>
      <c r="CU2419" s="16"/>
      <c r="CV2419" s="14"/>
      <c r="CW2419" s="50"/>
      <c r="CX2419" s="17"/>
    </row>
    <row r="2420" spans="4:102" x14ac:dyDescent="0.25">
      <c r="D2420" s="11"/>
      <c r="E2420" s="11"/>
      <c r="F2420" s="11"/>
      <c r="G2420" s="11"/>
      <c r="H2420" s="11"/>
      <c r="I2420" s="11"/>
      <c r="J2420" s="11"/>
      <c r="K2420" s="11"/>
      <c r="L2420" s="11"/>
      <c r="M2420" s="11"/>
      <c r="N2420" s="11"/>
      <c r="O2420" s="11"/>
      <c r="P2420" s="43"/>
      <c r="Q2420" s="11"/>
      <c r="R2420" s="11"/>
      <c r="S2420" s="11"/>
      <c r="T2420" s="11"/>
      <c r="U2420" s="11"/>
      <c r="V2420" s="11"/>
      <c r="W2420" s="11"/>
      <c r="X2420" s="12"/>
      <c r="Y2420" s="12"/>
      <c r="Z2420" s="12"/>
      <c r="AA2420" s="44"/>
      <c r="AB2420" s="45"/>
      <c r="AC2420" s="12"/>
      <c r="AD2420" s="12"/>
      <c r="AE2420" s="12"/>
      <c r="AF2420" s="12"/>
      <c r="AG2420" s="44"/>
      <c r="AH2420" s="45"/>
      <c r="AI2420" s="12"/>
      <c r="AJ2420" s="12"/>
      <c r="AK2420" s="12"/>
      <c r="AL2420" s="12"/>
      <c r="AM2420" s="44"/>
      <c r="AN2420" s="45"/>
      <c r="AO2420" s="12"/>
      <c r="AP2420" s="12"/>
      <c r="AQ2420" s="12"/>
      <c r="AR2420" s="12"/>
      <c r="AS2420" s="44"/>
      <c r="AT2420" s="45"/>
      <c r="AU2420" s="12"/>
      <c r="AV2420" s="12"/>
      <c r="AW2420" s="12"/>
      <c r="AX2420" s="12"/>
      <c r="AY2420" s="44"/>
      <c r="AZ2420" s="45"/>
      <c r="BA2420" s="12"/>
      <c r="BB2420" s="12"/>
      <c r="BC2420" s="12"/>
      <c r="BD2420" s="12"/>
      <c r="BE2420" s="44"/>
      <c r="BF2420" s="45"/>
      <c r="BG2420" s="12"/>
      <c r="BH2420" s="12"/>
      <c r="BI2420" s="12"/>
      <c r="BJ2420" s="12"/>
      <c r="BK2420" s="44"/>
      <c r="BL2420" s="45"/>
      <c r="BM2420" s="12"/>
      <c r="BN2420" s="12"/>
      <c r="BO2420" s="12"/>
      <c r="BP2420" s="12"/>
      <c r="BQ2420" s="48"/>
      <c r="BR2420" s="49"/>
      <c r="BS2420" s="13"/>
      <c r="BT2420" s="12"/>
      <c r="BV2420" s="14"/>
      <c r="BW2420" s="50"/>
      <c r="BX2420" s="54"/>
      <c r="BY2420" s="14"/>
      <c r="BZ2420" s="14"/>
      <c r="CA2420" s="14"/>
      <c r="CB2420" s="14"/>
      <c r="CC2420" s="14"/>
      <c r="CD2420" s="14"/>
      <c r="CE2420" s="14"/>
      <c r="CF2420" s="15"/>
      <c r="CG2420" s="14"/>
      <c r="CH2420" s="14"/>
      <c r="CI2420" s="50"/>
      <c r="CJ2420" s="54"/>
      <c r="CK2420" s="14"/>
      <c r="CL2420" s="14"/>
      <c r="CM2420" s="14"/>
      <c r="CN2420" s="14"/>
      <c r="CO2420" s="14"/>
      <c r="CP2420" s="14"/>
      <c r="CQ2420" s="14"/>
      <c r="CR2420" s="14"/>
      <c r="CS2420" s="14"/>
      <c r="CT2420" s="14"/>
      <c r="CU2420" s="16"/>
      <c r="CV2420" s="14"/>
      <c r="CW2420" s="50"/>
      <c r="CX2420" s="17"/>
    </row>
    <row r="2421" spans="4:102" x14ac:dyDescent="0.25">
      <c r="D2421" s="11"/>
      <c r="E2421" s="11"/>
      <c r="F2421" s="11"/>
      <c r="G2421" s="11"/>
      <c r="H2421" s="11"/>
      <c r="I2421" s="11"/>
      <c r="J2421" s="11"/>
      <c r="K2421" s="11"/>
      <c r="L2421" s="11"/>
      <c r="M2421" s="11"/>
      <c r="N2421" s="11"/>
      <c r="O2421" s="11"/>
      <c r="P2421" s="43"/>
      <c r="Q2421" s="11"/>
      <c r="R2421" s="11"/>
      <c r="S2421" s="11"/>
      <c r="T2421" s="11"/>
      <c r="U2421" s="11"/>
      <c r="V2421" s="11"/>
      <c r="W2421" s="11"/>
      <c r="X2421" s="12"/>
      <c r="Y2421" s="12"/>
      <c r="Z2421" s="12"/>
      <c r="AA2421" s="44"/>
      <c r="AB2421" s="45"/>
      <c r="AC2421" s="12"/>
      <c r="AD2421" s="12"/>
      <c r="AE2421" s="12"/>
      <c r="AF2421" s="12"/>
      <c r="AG2421" s="44"/>
      <c r="AH2421" s="45"/>
      <c r="AI2421" s="12"/>
      <c r="AJ2421" s="12"/>
      <c r="AK2421" s="12"/>
      <c r="AL2421" s="12"/>
      <c r="AM2421" s="44"/>
      <c r="AN2421" s="45"/>
      <c r="AO2421" s="12"/>
      <c r="AP2421" s="12"/>
      <c r="AQ2421" s="12"/>
      <c r="AR2421" s="12"/>
      <c r="AS2421" s="44"/>
      <c r="AT2421" s="45"/>
      <c r="AU2421" s="12"/>
      <c r="AV2421" s="12"/>
      <c r="AW2421" s="12"/>
      <c r="AX2421" s="12"/>
      <c r="AY2421" s="44"/>
      <c r="AZ2421" s="45"/>
      <c r="BA2421" s="12"/>
      <c r="BB2421" s="12"/>
      <c r="BC2421" s="12"/>
      <c r="BD2421" s="12"/>
      <c r="BE2421" s="44"/>
      <c r="BF2421" s="45"/>
      <c r="BG2421" s="12"/>
      <c r="BH2421" s="12"/>
      <c r="BI2421" s="12"/>
      <c r="BJ2421" s="12"/>
      <c r="BK2421" s="44"/>
      <c r="BL2421" s="45"/>
      <c r="BM2421" s="12"/>
      <c r="BN2421" s="12"/>
      <c r="BO2421" s="12"/>
      <c r="BP2421" s="12"/>
      <c r="BQ2421" s="48"/>
      <c r="BR2421" s="49"/>
      <c r="BS2421" s="13"/>
      <c r="BT2421" s="12"/>
      <c r="BV2421" s="14"/>
      <c r="BW2421" s="50"/>
      <c r="BX2421" s="54"/>
      <c r="BY2421" s="14"/>
      <c r="BZ2421" s="14"/>
      <c r="CA2421" s="14"/>
      <c r="CB2421" s="14"/>
      <c r="CC2421" s="14"/>
      <c r="CD2421" s="14"/>
      <c r="CE2421" s="14"/>
      <c r="CF2421" s="15"/>
      <c r="CG2421" s="14"/>
      <c r="CH2421" s="14"/>
      <c r="CI2421" s="50"/>
      <c r="CJ2421" s="54"/>
      <c r="CK2421" s="14"/>
      <c r="CL2421" s="14"/>
      <c r="CM2421" s="14"/>
      <c r="CN2421" s="14"/>
      <c r="CO2421" s="14"/>
      <c r="CP2421" s="14"/>
      <c r="CQ2421" s="14"/>
      <c r="CR2421" s="14"/>
      <c r="CS2421" s="14"/>
      <c r="CT2421" s="14"/>
      <c r="CU2421" s="16"/>
      <c r="CV2421" s="14"/>
      <c r="CW2421" s="50"/>
      <c r="CX2421" s="17"/>
    </row>
    <row r="2422" spans="4:102" x14ac:dyDescent="0.25">
      <c r="D2422" s="11"/>
      <c r="E2422" s="11"/>
      <c r="F2422" s="11"/>
      <c r="G2422" s="11"/>
      <c r="H2422" s="11"/>
      <c r="I2422" s="11"/>
      <c r="J2422" s="11"/>
      <c r="K2422" s="11"/>
      <c r="L2422" s="11"/>
      <c r="M2422" s="11"/>
      <c r="N2422" s="11"/>
      <c r="O2422" s="11"/>
      <c r="P2422" s="43"/>
      <c r="Q2422" s="11"/>
      <c r="R2422" s="11"/>
      <c r="S2422" s="11"/>
      <c r="T2422" s="11"/>
      <c r="U2422" s="11"/>
      <c r="V2422" s="11"/>
      <c r="W2422" s="11"/>
      <c r="X2422" s="12"/>
      <c r="Y2422" s="12"/>
      <c r="Z2422" s="12"/>
      <c r="AA2422" s="44"/>
      <c r="AB2422" s="45"/>
      <c r="AC2422" s="12"/>
      <c r="AD2422" s="12"/>
      <c r="AE2422" s="12"/>
      <c r="AF2422" s="12"/>
      <c r="AG2422" s="44"/>
      <c r="AH2422" s="45"/>
      <c r="AI2422" s="12"/>
      <c r="AJ2422" s="12"/>
      <c r="AK2422" s="12"/>
      <c r="AL2422" s="12"/>
      <c r="AM2422" s="44"/>
      <c r="AN2422" s="45"/>
      <c r="AO2422" s="12"/>
      <c r="AP2422" s="12"/>
      <c r="AQ2422" s="12"/>
      <c r="AR2422" s="12"/>
      <c r="AS2422" s="44"/>
      <c r="AT2422" s="45"/>
      <c r="AU2422" s="12"/>
      <c r="AV2422" s="12"/>
      <c r="AW2422" s="12"/>
      <c r="AX2422" s="12"/>
      <c r="AY2422" s="44"/>
      <c r="AZ2422" s="45"/>
      <c r="BA2422" s="12"/>
      <c r="BB2422" s="12"/>
      <c r="BC2422" s="12"/>
      <c r="BD2422" s="12"/>
      <c r="BE2422" s="44"/>
      <c r="BF2422" s="45"/>
      <c r="BG2422" s="12"/>
      <c r="BH2422" s="12"/>
      <c r="BI2422" s="12"/>
      <c r="BJ2422" s="12"/>
      <c r="BK2422" s="44"/>
      <c r="BL2422" s="45"/>
      <c r="BM2422" s="12"/>
      <c r="BN2422" s="12"/>
      <c r="BO2422" s="12"/>
      <c r="BP2422" s="12"/>
      <c r="BQ2422" s="48"/>
      <c r="BR2422" s="49"/>
      <c r="BS2422" s="13"/>
      <c r="BT2422" s="12"/>
      <c r="BV2422" s="14"/>
      <c r="BW2422" s="50"/>
      <c r="BX2422" s="54"/>
      <c r="BY2422" s="14"/>
      <c r="BZ2422" s="14"/>
      <c r="CA2422" s="14"/>
      <c r="CB2422" s="14"/>
      <c r="CC2422" s="14"/>
      <c r="CD2422" s="14"/>
      <c r="CE2422" s="14"/>
      <c r="CF2422" s="15"/>
      <c r="CG2422" s="14"/>
      <c r="CH2422" s="14"/>
      <c r="CI2422" s="50"/>
      <c r="CJ2422" s="54"/>
      <c r="CK2422" s="14"/>
      <c r="CL2422" s="14"/>
      <c r="CM2422" s="14"/>
      <c r="CN2422" s="14"/>
      <c r="CO2422" s="14"/>
      <c r="CP2422" s="14"/>
      <c r="CQ2422" s="14"/>
      <c r="CR2422" s="14"/>
      <c r="CS2422" s="14"/>
      <c r="CT2422" s="14"/>
      <c r="CU2422" s="16"/>
      <c r="CV2422" s="14"/>
      <c r="CW2422" s="50"/>
      <c r="CX2422" s="17"/>
    </row>
    <row r="2423" spans="4:102" x14ac:dyDescent="0.25">
      <c r="D2423" s="11"/>
      <c r="E2423" s="11"/>
      <c r="F2423" s="11"/>
      <c r="G2423" s="11"/>
      <c r="H2423" s="11"/>
      <c r="I2423" s="11"/>
      <c r="J2423" s="11"/>
      <c r="K2423" s="11"/>
      <c r="L2423" s="11"/>
      <c r="M2423" s="11"/>
      <c r="N2423" s="11"/>
      <c r="O2423" s="11"/>
      <c r="P2423" s="43"/>
      <c r="Q2423" s="11"/>
      <c r="R2423" s="11"/>
      <c r="S2423" s="11"/>
      <c r="T2423" s="11"/>
      <c r="U2423" s="11"/>
      <c r="V2423" s="11"/>
      <c r="W2423" s="11"/>
      <c r="X2423" s="12"/>
      <c r="Y2423" s="12"/>
      <c r="Z2423" s="12"/>
      <c r="AA2423" s="44"/>
      <c r="AB2423" s="45"/>
      <c r="AC2423" s="12"/>
      <c r="AD2423" s="12"/>
      <c r="AE2423" s="12"/>
      <c r="AF2423" s="12"/>
      <c r="AG2423" s="44"/>
      <c r="AH2423" s="45"/>
      <c r="AI2423" s="12"/>
      <c r="AJ2423" s="12"/>
      <c r="AK2423" s="12"/>
      <c r="AL2423" s="12"/>
      <c r="AM2423" s="44"/>
      <c r="AN2423" s="45"/>
      <c r="AO2423" s="12"/>
      <c r="AP2423" s="12"/>
      <c r="AQ2423" s="12"/>
      <c r="AR2423" s="12"/>
      <c r="AS2423" s="44"/>
      <c r="AT2423" s="45"/>
      <c r="AU2423" s="12"/>
      <c r="AV2423" s="12"/>
      <c r="AW2423" s="12"/>
      <c r="AX2423" s="12"/>
      <c r="AY2423" s="44"/>
      <c r="AZ2423" s="45"/>
      <c r="BA2423" s="12"/>
      <c r="BB2423" s="12"/>
      <c r="BC2423" s="12"/>
      <c r="BD2423" s="12"/>
      <c r="BE2423" s="44"/>
      <c r="BF2423" s="45"/>
      <c r="BG2423" s="12"/>
      <c r="BH2423" s="12"/>
      <c r="BI2423" s="12"/>
      <c r="BJ2423" s="12"/>
      <c r="BK2423" s="44"/>
      <c r="BL2423" s="45"/>
      <c r="BM2423" s="12"/>
      <c r="BN2423" s="12"/>
      <c r="BO2423" s="12"/>
      <c r="BP2423" s="12"/>
      <c r="BQ2423" s="48"/>
      <c r="BR2423" s="49"/>
      <c r="BS2423" s="13"/>
      <c r="BT2423" s="12"/>
      <c r="BV2423" s="14"/>
      <c r="BW2423" s="50"/>
      <c r="BX2423" s="54"/>
      <c r="BY2423" s="14"/>
      <c r="BZ2423" s="14"/>
      <c r="CA2423" s="14"/>
      <c r="CB2423" s="14"/>
      <c r="CC2423" s="14"/>
      <c r="CD2423" s="14"/>
      <c r="CE2423" s="14"/>
      <c r="CF2423" s="15"/>
      <c r="CG2423" s="14"/>
      <c r="CH2423" s="14"/>
      <c r="CI2423" s="50"/>
      <c r="CJ2423" s="54"/>
      <c r="CK2423" s="14"/>
      <c r="CL2423" s="14"/>
      <c r="CM2423" s="14"/>
      <c r="CN2423" s="14"/>
      <c r="CO2423" s="14"/>
      <c r="CP2423" s="14"/>
      <c r="CQ2423" s="14"/>
      <c r="CR2423" s="14"/>
      <c r="CS2423" s="14"/>
      <c r="CT2423" s="14"/>
      <c r="CU2423" s="16"/>
      <c r="CV2423" s="14"/>
      <c r="CW2423" s="50"/>
      <c r="CX2423" s="17"/>
    </row>
    <row r="2424" spans="4:102" x14ac:dyDescent="0.25">
      <c r="D2424" s="11"/>
      <c r="E2424" s="11"/>
      <c r="F2424" s="11"/>
      <c r="G2424" s="11"/>
      <c r="H2424" s="11"/>
      <c r="I2424" s="11"/>
      <c r="J2424" s="11"/>
      <c r="K2424" s="11"/>
      <c r="L2424" s="11"/>
      <c r="M2424" s="11"/>
      <c r="N2424" s="11"/>
      <c r="O2424" s="11"/>
      <c r="P2424" s="43"/>
      <c r="Q2424" s="11"/>
      <c r="R2424" s="11"/>
      <c r="S2424" s="11"/>
      <c r="T2424" s="11"/>
      <c r="U2424" s="11"/>
      <c r="V2424" s="11"/>
      <c r="W2424" s="11"/>
      <c r="X2424" s="12"/>
      <c r="Y2424" s="12"/>
      <c r="Z2424" s="12"/>
      <c r="AA2424" s="44"/>
      <c r="AB2424" s="45"/>
      <c r="AC2424" s="12"/>
      <c r="AD2424" s="12"/>
      <c r="AE2424" s="12"/>
      <c r="AF2424" s="12"/>
      <c r="AG2424" s="44"/>
      <c r="AH2424" s="45"/>
      <c r="AI2424" s="12"/>
      <c r="AJ2424" s="12"/>
      <c r="AK2424" s="12"/>
      <c r="AL2424" s="12"/>
      <c r="AM2424" s="44"/>
      <c r="AN2424" s="45"/>
      <c r="AO2424" s="12"/>
      <c r="AP2424" s="12"/>
      <c r="AQ2424" s="12"/>
      <c r="AR2424" s="12"/>
      <c r="AS2424" s="44"/>
      <c r="AT2424" s="45"/>
      <c r="AU2424" s="12"/>
      <c r="AV2424" s="12"/>
      <c r="AW2424" s="12"/>
      <c r="AX2424" s="12"/>
      <c r="AY2424" s="44"/>
      <c r="AZ2424" s="45"/>
      <c r="BA2424" s="12"/>
      <c r="BB2424" s="12"/>
      <c r="BC2424" s="12"/>
      <c r="BD2424" s="12"/>
      <c r="BE2424" s="44"/>
      <c r="BF2424" s="45"/>
      <c r="BG2424" s="12"/>
      <c r="BH2424" s="12"/>
      <c r="BI2424" s="12"/>
      <c r="BJ2424" s="12"/>
      <c r="BK2424" s="44"/>
      <c r="BL2424" s="45"/>
      <c r="BM2424" s="12"/>
      <c r="BN2424" s="12"/>
      <c r="BO2424" s="12"/>
      <c r="BP2424" s="12"/>
      <c r="BQ2424" s="48"/>
      <c r="BR2424" s="49"/>
      <c r="BS2424" s="13"/>
      <c r="BT2424" s="12"/>
      <c r="BV2424" s="14"/>
      <c r="BW2424" s="50"/>
      <c r="BX2424" s="54"/>
      <c r="BY2424" s="14"/>
      <c r="BZ2424" s="14"/>
      <c r="CA2424" s="14"/>
      <c r="CB2424" s="14"/>
      <c r="CC2424" s="14"/>
      <c r="CD2424" s="14"/>
      <c r="CE2424" s="14"/>
      <c r="CF2424" s="15"/>
      <c r="CG2424" s="14"/>
      <c r="CH2424" s="14"/>
      <c r="CI2424" s="50"/>
      <c r="CJ2424" s="54"/>
      <c r="CK2424" s="14"/>
      <c r="CL2424" s="14"/>
      <c r="CM2424" s="14"/>
      <c r="CN2424" s="14"/>
      <c r="CO2424" s="14"/>
      <c r="CP2424" s="14"/>
      <c r="CQ2424" s="14"/>
      <c r="CR2424" s="14"/>
      <c r="CS2424" s="14"/>
      <c r="CT2424" s="14"/>
      <c r="CU2424" s="16"/>
      <c r="CV2424" s="14"/>
      <c r="CW2424" s="50"/>
      <c r="CX2424" s="17"/>
    </row>
    <row r="2425" spans="4:102" x14ac:dyDescent="0.25">
      <c r="D2425" s="11"/>
      <c r="E2425" s="11"/>
      <c r="F2425" s="11"/>
      <c r="G2425" s="11"/>
      <c r="H2425" s="11"/>
      <c r="I2425" s="11"/>
      <c r="J2425" s="11"/>
      <c r="K2425" s="11"/>
      <c r="L2425" s="11"/>
      <c r="M2425" s="11"/>
      <c r="N2425" s="11"/>
      <c r="O2425" s="11"/>
      <c r="P2425" s="43"/>
      <c r="Q2425" s="11"/>
      <c r="R2425" s="11"/>
      <c r="S2425" s="11"/>
      <c r="T2425" s="11"/>
      <c r="U2425" s="11"/>
      <c r="V2425" s="11"/>
      <c r="W2425" s="11"/>
      <c r="X2425" s="12"/>
      <c r="Y2425" s="12"/>
      <c r="Z2425" s="12"/>
      <c r="AA2425" s="44"/>
      <c r="AB2425" s="45"/>
      <c r="AC2425" s="12"/>
      <c r="AD2425" s="12"/>
      <c r="AE2425" s="12"/>
      <c r="AF2425" s="12"/>
      <c r="AG2425" s="44"/>
      <c r="AH2425" s="45"/>
      <c r="AI2425" s="12"/>
      <c r="AJ2425" s="12"/>
      <c r="AK2425" s="12"/>
      <c r="AL2425" s="12"/>
      <c r="AM2425" s="44"/>
      <c r="AN2425" s="45"/>
      <c r="AO2425" s="12"/>
      <c r="AP2425" s="12"/>
      <c r="AQ2425" s="12"/>
      <c r="AR2425" s="12"/>
      <c r="AS2425" s="44"/>
      <c r="AT2425" s="45"/>
      <c r="AU2425" s="12"/>
      <c r="AV2425" s="12"/>
      <c r="AW2425" s="12"/>
      <c r="AX2425" s="12"/>
      <c r="AY2425" s="44"/>
      <c r="AZ2425" s="45"/>
      <c r="BA2425" s="12"/>
      <c r="BB2425" s="12"/>
      <c r="BC2425" s="12"/>
      <c r="BD2425" s="12"/>
      <c r="BE2425" s="44"/>
      <c r="BF2425" s="45"/>
      <c r="BG2425" s="12"/>
      <c r="BH2425" s="12"/>
      <c r="BI2425" s="12"/>
      <c r="BJ2425" s="12"/>
      <c r="BK2425" s="44"/>
      <c r="BL2425" s="45"/>
      <c r="BM2425" s="12"/>
      <c r="BN2425" s="12"/>
      <c r="BO2425" s="12"/>
      <c r="BP2425" s="12"/>
      <c r="BQ2425" s="48"/>
      <c r="BR2425" s="49"/>
      <c r="BS2425" s="13"/>
      <c r="BT2425" s="12"/>
      <c r="BV2425" s="14"/>
      <c r="BW2425" s="50"/>
      <c r="BX2425" s="54"/>
      <c r="BY2425" s="14"/>
      <c r="BZ2425" s="14"/>
      <c r="CA2425" s="14"/>
      <c r="CB2425" s="14"/>
      <c r="CC2425" s="14"/>
      <c r="CD2425" s="14"/>
      <c r="CE2425" s="14"/>
      <c r="CF2425" s="15"/>
      <c r="CG2425" s="14"/>
      <c r="CH2425" s="14"/>
      <c r="CI2425" s="50"/>
      <c r="CJ2425" s="54"/>
      <c r="CK2425" s="14"/>
      <c r="CL2425" s="14"/>
      <c r="CM2425" s="14"/>
      <c r="CN2425" s="14"/>
      <c r="CO2425" s="14"/>
      <c r="CP2425" s="14"/>
      <c r="CQ2425" s="14"/>
      <c r="CR2425" s="14"/>
      <c r="CS2425" s="14"/>
      <c r="CT2425" s="14"/>
      <c r="CU2425" s="16"/>
      <c r="CV2425" s="14"/>
      <c r="CW2425" s="50"/>
      <c r="CX2425" s="17"/>
    </row>
    <row r="2426" spans="4:102" x14ac:dyDescent="0.25">
      <c r="D2426" s="11"/>
      <c r="E2426" s="11"/>
      <c r="F2426" s="11"/>
      <c r="G2426" s="11"/>
      <c r="H2426" s="11"/>
      <c r="I2426" s="11"/>
      <c r="J2426" s="11"/>
      <c r="K2426" s="11"/>
      <c r="L2426" s="11"/>
      <c r="M2426" s="11"/>
      <c r="N2426" s="11"/>
      <c r="O2426" s="11"/>
      <c r="P2426" s="43"/>
      <c r="Q2426" s="11"/>
      <c r="R2426" s="11"/>
      <c r="S2426" s="11"/>
      <c r="T2426" s="11"/>
      <c r="U2426" s="11"/>
      <c r="V2426" s="11"/>
      <c r="W2426" s="11"/>
      <c r="X2426" s="12"/>
      <c r="Y2426" s="12"/>
      <c r="Z2426" s="12"/>
      <c r="AA2426" s="44"/>
      <c r="AB2426" s="45"/>
      <c r="AC2426" s="12"/>
      <c r="AD2426" s="12"/>
      <c r="AE2426" s="12"/>
      <c r="AF2426" s="12"/>
      <c r="AG2426" s="44"/>
      <c r="AH2426" s="45"/>
      <c r="AI2426" s="12"/>
      <c r="AJ2426" s="12"/>
      <c r="AK2426" s="12"/>
      <c r="AL2426" s="12"/>
      <c r="AM2426" s="44"/>
      <c r="AN2426" s="45"/>
      <c r="AO2426" s="12"/>
      <c r="AP2426" s="12"/>
      <c r="AQ2426" s="12"/>
      <c r="AR2426" s="12"/>
      <c r="AS2426" s="44"/>
      <c r="AT2426" s="45"/>
      <c r="AU2426" s="12"/>
      <c r="AV2426" s="12"/>
      <c r="AW2426" s="12"/>
      <c r="AX2426" s="12"/>
      <c r="AY2426" s="44"/>
      <c r="AZ2426" s="45"/>
      <c r="BA2426" s="12"/>
      <c r="BB2426" s="12"/>
      <c r="BC2426" s="12"/>
      <c r="BD2426" s="12"/>
      <c r="BE2426" s="44"/>
      <c r="BF2426" s="45"/>
      <c r="BG2426" s="12"/>
      <c r="BH2426" s="12"/>
      <c r="BI2426" s="12"/>
      <c r="BJ2426" s="12"/>
      <c r="BK2426" s="44"/>
      <c r="BL2426" s="45"/>
      <c r="BM2426" s="12"/>
      <c r="BN2426" s="12"/>
      <c r="BO2426" s="12"/>
      <c r="BP2426" s="12"/>
      <c r="BQ2426" s="48"/>
      <c r="BR2426" s="49"/>
      <c r="BS2426" s="13"/>
      <c r="BT2426" s="12"/>
      <c r="BV2426" s="14"/>
      <c r="BW2426" s="50"/>
      <c r="BX2426" s="54"/>
      <c r="BY2426" s="14"/>
      <c r="BZ2426" s="14"/>
      <c r="CA2426" s="14"/>
      <c r="CB2426" s="14"/>
      <c r="CC2426" s="14"/>
      <c r="CD2426" s="14"/>
      <c r="CE2426" s="14"/>
      <c r="CF2426" s="15"/>
      <c r="CG2426" s="14"/>
      <c r="CH2426" s="14"/>
      <c r="CI2426" s="50"/>
      <c r="CJ2426" s="54"/>
      <c r="CK2426" s="14"/>
      <c r="CL2426" s="14"/>
      <c r="CM2426" s="14"/>
      <c r="CN2426" s="14"/>
      <c r="CO2426" s="14"/>
      <c r="CP2426" s="14"/>
      <c r="CQ2426" s="14"/>
      <c r="CR2426" s="14"/>
      <c r="CS2426" s="14"/>
      <c r="CT2426" s="14"/>
      <c r="CU2426" s="16"/>
      <c r="CV2426" s="14"/>
      <c r="CW2426" s="50"/>
      <c r="CX2426" s="17"/>
    </row>
    <row r="2427" spans="4:102" x14ac:dyDescent="0.25">
      <c r="D2427" s="11"/>
      <c r="E2427" s="11"/>
      <c r="F2427" s="11"/>
      <c r="G2427" s="11"/>
      <c r="H2427" s="11"/>
      <c r="I2427" s="11"/>
      <c r="J2427" s="11"/>
      <c r="K2427" s="11"/>
      <c r="L2427" s="11"/>
      <c r="M2427" s="11"/>
      <c r="N2427" s="11"/>
      <c r="O2427" s="11"/>
      <c r="P2427" s="43"/>
      <c r="Q2427" s="11"/>
      <c r="R2427" s="11"/>
      <c r="S2427" s="11"/>
      <c r="T2427" s="11"/>
      <c r="U2427" s="11"/>
      <c r="V2427" s="11"/>
      <c r="W2427" s="11"/>
      <c r="X2427" s="12"/>
      <c r="Y2427" s="12"/>
      <c r="Z2427" s="12"/>
      <c r="AA2427" s="44"/>
      <c r="AB2427" s="45"/>
      <c r="AC2427" s="12"/>
      <c r="AD2427" s="12"/>
      <c r="AE2427" s="12"/>
      <c r="AF2427" s="12"/>
      <c r="AG2427" s="44"/>
      <c r="AH2427" s="45"/>
      <c r="AI2427" s="12"/>
      <c r="AJ2427" s="12"/>
      <c r="AK2427" s="12"/>
      <c r="AL2427" s="12"/>
      <c r="AM2427" s="44"/>
      <c r="AN2427" s="45"/>
      <c r="AO2427" s="12"/>
      <c r="AP2427" s="12"/>
      <c r="AQ2427" s="12"/>
      <c r="AR2427" s="12"/>
      <c r="AS2427" s="44"/>
      <c r="AT2427" s="45"/>
      <c r="AU2427" s="12"/>
      <c r="AV2427" s="12"/>
      <c r="AW2427" s="12"/>
      <c r="AX2427" s="12"/>
      <c r="AY2427" s="44"/>
      <c r="AZ2427" s="45"/>
      <c r="BA2427" s="12"/>
      <c r="BB2427" s="12"/>
      <c r="BC2427" s="12"/>
      <c r="BD2427" s="12"/>
      <c r="BE2427" s="44"/>
      <c r="BF2427" s="45"/>
      <c r="BG2427" s="12"/>
      <c r="BH2427" s="12"/>
      <c r="BI2427" s="12"/>
      <c r="BJ2427" s="12"/>
      <c r="BK2427" s="44"/>
      <c r="BL2427" s="45"/>
      <c r="BM2427" s="12"/>
      <c r="BN2427" s="12"/>
      <c r="BO2427" s="12"/>
      <c r="BP2427" s="12"/>
      <c r="BQ2427" s="48"/>
      <c r="BR2427" s="49"/>
      <c r="BS2427" s="13"/>
      <c r="BT2427" s="12"/>
      <c r="BV2427" s="14"/>
      <c r="BW2427" s="50"/>
      <c r="BX2427" s="54"/>
      <c r="BY2427" s="14"/>
      <c r="BZ2427" s="14"/>
      <c r="CA2427" s="14"/>
      <c r="CB2427" s="14"/>
      <c r="CC2427" s="14"/>
      <c r="CD2427" s="14"/>
      <c r="CE2427" s="14"/>
      <c r="CF2427" s="15"/>
      <c r="CG2427" s="14"/>
      <c r="CH2427" s="14"/>
      <c r="CI2427" s="50"/>
      <c r="CJ2427" s="54"/>
      <c r="CK2427" s="14"/>
      <c r="CL2427" s="14"/>
      <c r="CM2427" s="14"/>
      <c r="CN2427" s="14"/>
      <c r="CO2427" s="14"/>
      <c r="CP2427" s="14"/>
      <c r="CQ2427" s="14"/>
      <c r="CR2427" s="14"/>
      <c r="CS2427" s="14"/>
      <c r="CT2427" s="14"/>
      <c r="CU2427" s="16"/>
      <c r="CV2427" s="14"/>
      <c r="CW2427" s="50"/>
      <c r="CX2427" s="17"/>
    </row>
    <row r="2428" spans="4:102" x14ac:dyDescent="0.25">
      <c r="D2428" s="11"/>
      <c r="E2428" s="11"/>
      <c r="F2428" s="11"/>
      <c r="G2428" s="11"/>
      <c r="H2428" s="11"/>
      <c r="I2428" s="11"/>
      <c r="J2428" s="11"/>
      <c r="K2428" s="11"/>
      <c r="L2428" s="11"/>
      <c r="M2428" s="11"/>
      <c r="N2428" s="11"/>
      <c r="O2428" s="11"/>
      <c r="P2428" s="43"/>
      <c r="Q2428" s="11"/>
      <c r="R2428" s="11"/>
      <c r="S2428" s="11"/>
      <c r="T2428" s="11"/>
      <c r="U2428" s="11"/>
      <c r="V2428" s="11"/>
      <c r="W2428" s="11"/>
      <c r="X2428" s="12"/>
      <c r="Y2428" s="12"/>
      <c r="Z2428" s="12"/>
      <c r="AA2428" s="44"/>
      <c r="AB2428" s="45"/>
      <c r="AC2428" s="12"/>
      <c r="AD2428" s="12"/>
      <c r="AE2428" s="12"/>
      <c r="AF2428" s="12"/>
      <c r="AG2428" s="44"/>
      <c r="AH2428" s="45"/>
      <c r="AI2428" s="12"/>
      <c r="AJ2428" s="12"/>
      <c r="AK2428" s="12"/>
      <c r="AL2428" s="12"/>
      <c r="AM2428" s="44"/>
      <c r="AN2428" s="45"/>
      <c r="AO2428" s="12"/>
      <c r="AP2428" s="12"/>
      <c r="AQ2428" s="12"/>
      <c r="AR2428" s="12"/>
      <c r="AS2428" s="44"/>
      <c r="AT2428" s="45"/>
      <c r="AU2428" s="12"/>
      <c r="AV2428" s="12"/>
      <c r="AW2428" s="12"/>
      <c r="AX2428" s="12"/>
      <c r="AY2428" s="44"/>
      <c r="AZ2428" s="45"/>
      <c r="BA2428" s="12"/>
      <c r="BB2428" s="12"/>
      <c r="BC2428" s="12"/>
      <c r="BD2428" s="12"/>
      <c r="BE2428" s="44"/>
      <c r="BF2428" s="45"/>
      <c r="BG2428" s="12"/>
      <c r="BH2428" s="12"/>
      <c r="BI2428" s="12"/>
      <c r="BJ2428" s="12"/>
      <c r="BK2428" s="44"/>
      <c r="BL2428" s="45"/>
      <c r="BM2428" s="12"/>
      <c r="BN2428" s="12"/>
      <c r="BO2428" s="12"/>
      <c r="BP2428" s="12"/>
      <c r="BQ2428" s="48"/>
      <c r="BR2428" s="49"/>
      <c r="BS2428" s="13"/>
      <c r="BT2428" s="12"/>
      <c r="BV2428" s="14"/>
      <c r="BW2428" s="50"/>
      <c r="BX2428" s="54"/>
      <c r="BY2428" s="14"/>
      <c r="BZ2428" s="14"/>
      <c r="CA2428" s="14"/>
      <c r="CB2428" s="14"/>
      <c r="CC2428" s="14"/>
      <c r="CD2428" s="14"/>
      <c r="CE2428" s="14"/>
      <c r="CF2428" s="15"/>
      <c r="CG2428" s="14"/>
      <c r="CH2428" s="14"/>
      <c r="CI2428" s="50"/>
      <c r="CJ2428" s="54"/>
      <c r="CK2428" s="14"/>
      <c r="CL2428" s="14"/>
      <c r="CM2428" s="14"/>
      <c r="CN2428" s="14"/>
      <c r="CO2428" s="14"/>
      <c r="CP2428" s="14"/>
      <c r="CQ2428" s="14"/>
      <c r="CR2428" s="14"/>
      <c r="CS2428" s="14"/>
      <c r="CT2428" s="14"/>
      <c r="CU2428" s="16"/>
      <c r="CV2428" s="14"/>
      <c r="CW2428" s="50"/>
      <c r="CX2428" s="17"/>
    </row>
    <row r="2429" spans="4:102" x14ac:dyDescent="0.25">
      <c r="D2429" s="11"/>
      <c r="E2429" s="11"/>
      <c r="F2429" s="11"/>
      <c r="G2429" s="11"/>
      <c r="H2429" s="11"/>
      <c r="I2429" s="11"/>
      <c r="J2429" s="11"/>
      <c r="K2429" s="11"/>
      <c r="L2429" s="11"/>
      <c r="M2429" s="11"/>
      <c r="N2429" s="11"/>
      <c r="O2429" s="11"/>
      <c r="P2429" s="43"/>
      <c r="Q2429" s="11"/>
      <c r="R2429" s="11"/>
      <c r="S2429" s="11"/>
      <c r="T2429" s="11"/>
      <c r="U2429" s="11"/>
      <c r="V2429" s="11"/>
      <c r="W2429" s="11"/>
      <c r="X2429" s="12"/>
      <c r="Y2429" s="12"/>
      <c r="Z2429" s="12"/>
      <c r="AA2429" s="44"/>
      <c r="AB2429" s="45"/>
      <c r="AC2429" s="12"/>
      <c r="AD2429" s="12"/>
      <c r="AE2429" s="12"/>
      <c r="AF2429" s="12"/>
      <c r="AG2429" s="44"/>
      <c r="AH2429" s="45"/>
      <c r="AI2429" s="12"/>
      <c r="AJ2429" s="12"/>
      <c r="AK2429" s="12"/>
      <c r="AL2429" s="12"/>
      <c r="AM2429" s="44"/>
      <c r="AN2429" s="45"/>
      <c r="AO2429" s="12"/>
      <c r="AP2429" s="12"/>
      <c r="AQ2429" s="12"/>
      <c r="AR2429" s="12"/>
      <c r="AS2429" s="44"/>
      <c r="AT2429" s="45"/>
      <c r="AU2429" s="12"/>
      <c r="AV2429" s="12"/>
      <c r="AW2429" s="12"/>
      <c r="AX2429" s="12"/>
      <c r="AY2429" s="44"/>
      <c r="AZ2429" s="45"/>
      <c r="BA2429" s="12"/>
      <c r="BB2429" s="12"/>
      <c r="BC2429" s="12"/>
      <c r="BD2429" s="12"/>
      <c r="BE2429" s="44"/>
      <c r="BF2429" s="45"/>
      <c r="BG2429" s="12"/>
      <c r="BH2429" s="12"/>
      <c r="BI2429" s="12"/>
      <c r="BJ2429" s="12"/>
      <c r="BK2429" s="44"/>
      <c r="BL2429" s="45"/>
      <c r="BM2429" s="12"/>
      <c r="BN2429" s="12"/>
      <c r="BO2429" s="12"/>
      <c r="BP2429" s="12"/>
      <c r="BQ2429" s="48"/>
      <c r="BR2429" s="49"/>
      <c r="BS2429" s="13"/>
      <c r="BT2429" s="12"/>
      <c r="BV2429" s="14"/>
      <c r="BW2429" s="50"/>
      <c r="BX2429" s="54"/>
      <c r="BY2429" s="14"/>
      <c r="BZ2429" s="14"/>
      <c r="CA2429" s="14"/>
      <c r="CB2429" s="14"/>
      <c r="CC2429" s="14"/>
      <c r="CD2429" s="14"/>
      <c r="CE2429" s="14"/>
      <c r="CF2429" s="15"/>
      <c r="CG2429" s="14"/>
      <c r="CH2429" s="14"/>
      <c r="CI2429" s="50"/>
      <c r="CJ2429" s="54"/>
      <c r="CK2429" s="14"/>
      <c r="CL2429" s="14"/>
      <c r="CM2429" s="14"/>
      <c r="CN2429" s="14"/>
      <c r="CO2429" s="14"/>
      <c r="CP2429" s="14"/>
      <c r="CQ2429" s="14"/>
      <c r="CR2429" s="14"/>
      <c r="CS2429" s="14"/>
      <c r="CT2429" s="14"/>
      <c r="CU2429" s="16"/>
      <c r="CV2429" s="14"/>
      <c r="CW2429" s="50"/>
      <c r="CX2429" s="17"/>
    </row>
    <row r="2430" spans="4:102" x14ac:dyDescent="0.25">
      <c r="D2430" s="11"/>
      <c r="E2430" s="11"/>
      <c r="F2430" s="11"/>
      <c r="G2430" s="11"/>
      <c r="H2430" s="11"/>
      <c r="I2430" s="11"/>
      <c r="J2430" s="11"/>
      <c r="K2430" s="11"/>
      <c r="L2430" s="11"/>
      <c r="M2430" s="11"/>
      <c r="N2430" s="11"/>
      <c r="O2430" s="11"/>
      <c r="P2430" s="43"/>
      <c r="Q2430" s="11"/>
      <c r="R2430" s="11"/>
      <c r="S2430" s="11"/>
      <c r="T2430" s="11"/>
      <c r="U2430" s="11"/>
      <c r="V2430" s="11"/>
      <c r="W2430" s="11"/>
      <c r="X2430" s="12"/>
      <c r="Y2430" s="12"/>
      <c r="Z2430" s="12"/>
      <c r="AA2430" s="44"/>
      <c r="AB2430" s="45"/>
      <c r="AC2430" s="12"/>
      <c r="AD2430" s="12"/>
      <c r="AE2430" s="12"/>
      <c r="AF2430" s="12"/>
      <c r="AG2430" s="44"/>
      <c r="AH2430" s="45"/>
      <c r="AI2430" s="12"/>
      <c r="AJ2430" s="12"/>
      <c r="AK2430" s="12"/>
      <c r="AL2430" s="12"/>
      <c r="AM2430" s="44"/>
      <c r="AN2430" s="45"/>
      <c r="AO2430" s="12"/>
      <c r="AP2430" s="12"/>
      <c r="AQ2430" s="12"/>
      <c r="AR2430" s="12"/>
      <c r="AS2430" s="44"/>
      <c r="AT2430" s="45"/>
      <c r="AU2430" s="12"/>
      <c r="AV2430" s="12"/>
      <c r="AW2430" s="12"/>
      <c r="AX2430" s="12"/>
      <c r="AY2430" s="44"/>
      <c r="AZ2430" s="45"/>
      <c r="BA2430" s="12"/>
      <c r="BB2430" s="12"/>
      <c r="BC2430" s="12"/>
      <c r="BD2430" s="12"/>
      <c r="BE2430" s="44"/>
      <c r="BF2430" s="45"/>
      <c r="BG2430" s="12"/>
      <c r="BH2430" s="12"/>
      <c r="BI2430" s="12"/>
      <c r="BJ2430" s="12"/>
      <c r="BK2430" s="44"/>
      <c r="BL2430" s="45"/>
      <c r="BM2430" s="12"/>
      <c r="BN2430" s="12"/>
      <c r="BO2430" s="12"/>
      <c r="BP2430" s="12"/>
      <c r="BQ2430" s="48"/>
      <c r="BR2430" s="49"/>
      <c r="BS2430" s="13"/>
      <c r="BT2430" s="12"/>
      <c r="BV2430" s="14"/>
      <c r="BW2430" s="50"/>
      <c r="BX2430" s="54"/>
      <c r="BY2430" s="14"/>
      <c r="BZ2430" s="14"/>
      <c r="CA2430" s="14"/>
      <c r="CB2430" s="14"/>
      <c r="CC2430" s="14"/>
      <c r="CD2430" s="14"/>
      <c r="CE2430" s="14"/>
      <c r="CF2430" s="15"/>
      <c r="CG2430" s="14"/>
      <c r="CH2430" s="14"/>
      <c r="CI2430" s="50"/>
      <c r="CJ2430" s="54"/>
      <c r="CK2430" s="14"/>
      <c r="CL2430" s="14"/>
      <c r="CM2430" s="14"/>
      <c r="CN2430" s="14"/>
      <c r="CO2430" s="14"/>
      <c r="CP2430" s="14"/>
      <c r="CQ2430" s="14"/>
      <c r="CR2430" s="14"/>
      <c r="CS2430" s="14"/>
      <c r="CT2430" s="14"/>
      <c r="CU2430" s="16"/>
      <c r="CV2430" s="14"/>
      <c r="CW2430" s="50"/>
      <c r="CX2430" s="17"/>
    </row>
    <row r="2431" spans="4:102" x14ac:dyDescent="0.25">
      <c r="D2431" s="11"/>
      <c r="E2431" s="11"/>
      <c r="F2431" s="11"/>
      <c r="G2431" s="11"/>
      <c r="H2431" s="11"/>
      <c r="I2431" s="11"/>
      <c r="J2431" s="11"/>
      <c r="K2431" s="11"/>
      <c r="L2431" s="11"/>
      <c r="M2431" s="11"/>
      <c r="N2431" s="11"/>
      <c r="O2431" s="11"/>
      <c r="P2431" s="43"/>
      <c r="Q2431" s="11"/>
      <c r="R2431" s="11"/>
      <c r="S2431" s="11"/>
      <c r="T2431" s="11"/>
      <c r="U2431" s="11"/>
      <c r="V2431" s="11"/>
      <c r="W2431" s="11"/>
      <c r="X2431" s="12"/>
      <c r="Y2431" s="12"/>
      <c r="Z2431" s="12"/>
      <c r="AA2431" s="44"/>
      <c r="AB2431" s="45"/>
      <c r="AC2431" s="12"/>
      <c r="AD2431" s="12"/>
      <c r="AE2431" s="12"/>
      <c r="AF2431" s="12"/>
      <c r="AG2431" s="44"/>
      <c r="AH2431" s="45"/>
      <c r="AI2431" s="12"/>
      <c r="AJ2431" s="12"/>
      <c r="AK2431" s="12"/>
      <c r="AL2431" s="12"/>
      <c r="AM2431" s="44"/>
      <c r="AN2431" s="45"/>
      <c r="AO2431" s="12"/>
      <c r="AP2431" s="12"/>
      <c r="AQ2431" s="12"/>
      <c r="AR2431" s="12"/>
      <c r="AS2431" s="44"/>
      <c r="AT2431" s="45"/>
      <c r="AU2431" s="12"/>
      <c r="AV2431" s="12"/>
      <c r="AW2431" s="12"/>
      <c r="AX2431" s="12"/>
      <c r="AY2431" s="44"/>
      <c r="AZ2431" s="45"/>
      <c r="BA2431" s="12"/>
      <c r="BB2431" s="12"/>
      <c r="BC2431" s="12"/>
      <c r="BD2431" s="12"/>
      <c r="BE2431" s="44"/>
      <c r="BF2431" s="45"/>
      <c r="BG2431" s="12"/>
      <c r="BH2431" s="12"/>
      <c r="BI2431" s="12"/>
      <c r="BJ2431" s="12"/>
      <c r="BK2431" s="44"/>
      <c r="BL2431" s="45"/>
      <c r="BM2431" s="12"/>
      <c r="BN2431" s="12"/>
      <c r="BO2431" s="12"/>
      <c r="BP2431" s="12"/>
      <c r="BQ2431" s="48"/>
      <c r="BR2431" s="49"/>
      <c r="BS2431" s="13"/>
      <c r="BT2431" s="12"/>
      <c r="BV2431" s="14"/>
      <c r="BW2431" s="50"/>
      <c r="BX2431" s="54"/>
      <c r="BY2431" s="14"/>
      <c r="BZ2431" s="14"/>
      <c r="CA2431" s="14"/>
      <c r="CB2431" s="14"/>
      <c r="CC2431" s="14"/>
      <c r="CD2431" s="14"/>
      <c r="CE2431" s="14"/>
      <c r="CF2431" s="15"/>
      <c r="CG2431" s="14"/>
      <c r="CH2431" s="14"/>
      <c r="CI2431" s="50"/>
      <c r="CJ2431" s="54"/>
      <c r="CK2431" s="14"/>
      <c r="CL2431" s="14"/>
      <c r="CM2431" s="14"/>
      <c r="CN2431" s="14"/>
      <c r="CO2431" s="14"/>
      <c r="CP2431" s="14"/>
      <c r="CQ2431" s="14"/>
      <c r="CR2431" s="14"/>
      <c r="CS2431" s="14"/>
      <c r="CT2431" s="14"/>
      <c r="CU2431" s="16"/>
      <c r="CV2431" s="14"/>
      <c r="CW2431" s="50"/>
      <c r="CX2431" s="17"/>
    </row>
    <row r="2432" spans="4:102" x14ac:dyDescent="0.25">
      <c r="D2432" s="11"/>
      <c r="E2432" s="11"/>
      <c r="F2432" s="11"/>
      <c r="G2432" s="11"/>
      <c r="H2432" s="11"/>
      <c r="I2432" s="11"/>
      <c r="J2432" s="11"/>
      <c r="K2432" s="11"/>
      <c r="L2432" s="11"/>
      <c r="M2432" s="11"/>
      <c r="N2432" s="11"/>
      <c r="O2432" s="11"/>
      <c r="P2432" s="43"/>
      <c r="Q2432" s="11"/>
      <c r="R2432" s="11"/>
      <c r="S2432" s="11"/>
      <c r="T2432" s="11"/>
      <c r="U2432" s="11"/>
      <c r="V2432" s="11"/>
      <c r="W2432" s="11"/>
      <c r="X2432" s="12"/>
      <c r="Y2432" s="12"/>
      <c r="Z2432" s="12"/>
      <c r="AA2432" s="44"/>
      <c r="AB2432" s="45"/>
      <c r="AC2432" s="12"/>
      <c r="AD2432" s="12"/>
      <c r="AE2432" s="12"/>
      <c r="AF2432" s="12"/>
      <c r="AG2432" s="44"/>
      <c r="AH2432" s="45"/>
      <c r="AI2432" s="12"/>
      <c r="AJ2432" s="12"/>
      <c r="AK2432" s="12"/>
      <c r="AL2432" s="12"/>
      <c r="AM2432" s="44"/>
      <c r="AN2432" s="45"/>
      <c r="AO2432" s="12"/>
      <c r="AP2432" s="12"/>
      <c r="AQ2432" s="12"/>
      <c r="AR2432" s="12"/>
      <c r="AS2432" s="44"/>
      <c r="AT2432" s="45"/>
      <c r="AU2432" s="12"/>
      <c r="AV2432" s="12"/>
      <c r="AW2432" s="12"/>
      <c r="AX2432" s="12"/>
      <c r="AY2432" s="44"/>
      <c r="AZ2432" s="45"/>
      <c r="BA2432" s="12"/>
      <c r="BB2432" s="12"/>
      <c r="BC2432" s="12"/>
      <c r="BD2432" s="12"/>
      <c r="BE2432" s="44"/>
      <c r="BF2432" s="45"/>
      <c r="BG2432" s="12"/>
      <c r="BH2432" s="12"/>
      <c r="BI2432" s="12"/>
      <c r="BJ2432" s="12"/>
      <c r="BK2432" s="44"/>
      <c r="BL2432" s="45"/>
      <c r="BM2432" s="12"/>
      <c r="BN2432" s="12"/>
      <c r="BO2432" s="12"/>
      <c r="BP2432" s="12"/>
      <c r="BQ2432" s="48"/>
      <c r="BR2432" s="49"/>
      <c r="BS2432" s="13"/>
      <c r="BT2432" s="12"/>
      <c r="BV2432" s="14"/>
      <c r="BW2432" s="50"/>
      <c r="BX2432" s="54"/>
      <c r="BY2432" s="14"/>
      <c r="BZ2432" s="14"/>
      <c r="CA2432" s="14"/>
      <c r="CB2432" s="14"/>
      <c r="CC2432" s="14"/>
      <c r="CD2432" s="14"/>
      <c r="CE2432" s="14"/>
      <c r="CF2432" s="15"/>
      <c r="CG2432" s="14"/>
      <c r="CH2432" s="14"/>
      <c r="CI2432" s="50"/>
      <c r="CJ2432" s="54"/>
      <c r="CK2432" s="14"/>
      <c r="CL2432" s="14"/>
      <c r="CM2432" s="14"/>
      <c r="CN2432" s="14"/>
      <c r="CO2432" s="14"/>
      <c r="CP2432" s="14"/>
      <c r="CQ2432" s="14"/>
      <c r="CR2432" s="14"/>
      <c r="CS2432" s="14"/>
      <c r="CT2432" s="14"/>
      <c r="CU2432" s="16"/>
      <c r="CV2432" s="14"/>
      <c r="CW2432" s="50"/>
      <c r="CX2432" s="17"/>
    </row>
    <row r="2433" spans="4:102" x14ac:dyDescent="0.25">
      <c r="D2433" s="11"/>
      <c r="E2433" s="11"/>
      <c r="F2433" s="11"/>
      <c r="G2433" s="11"/>
      <c r="H2433" s="11"/>
      <c r="I2433" s="11"/>
      <c r="J2433" s="11"/>
      <c r="K2433" s="11"/>
      <c r="L2433" s="11"/>
      <c r="M2433" s="11"/>
      <c r="N2433" s="11"/>
      <c r="O2433" s="11"/>
      <c r="P2433" s="43"/>
      <c r="Q2433" s="11"/>
      <c r="R2433" s="11"/>
      <c r="S2433" s="11"/>
      <c r="T2433" s="11"/>
      <c r="U2433" s="11"/>
      <c r="V2433" s="11"/>
      <c r="W2433" s="11"/>
      <c r="X2433" s="12"/>
      <c r="Y2433" s="12"/>
      <c r="Z2433" s="12"/>
      <c r="AA2433" s="44"/>
      <c r="AB2433" s="45"/>
      <c r="AC2433" s="12"/>
      <c r="AD2433" s="12"/>
      <c r="AE2433" s="12"/>
      <c r="AF2433" s="12"/>
      <c r="AG2433" s="44"/>
      <c r="AH2433" s="45"/>
      <c r="AI2433" s="12"/>
      <c r="AJ2433" s="12"/>
      <c r="AK2433" s="12"/>
      <c r="AL2433" s="12"/>
      <c r="AM2433" s="44"/>
      <c r="AN2433" s="45"/>
      <c r="AO2433" s="12"/>
      <c r="AP2433" s="12"/>
      <c r="AQ2433" s="12"/>
      <c r="AR2433" s="12"/>
      <c r="AS2433" s="44"/>
      <c r="AT2433" s="45"/>
      <c r="AU2433" s="12"/>
      <c r="AV2433" s="12"/>
      <c r="AW2433" s="12"/>
      <c r="AX2433" s="12"/>
      <c r="AY2433" s="44"/>
      <c r="AZ2433" s="45"/>
      <c r="BA2433" s="12"/>
      <c r="BB2433" s="12"/>
      <c r="BC2433" s="12"/>
      <c r="BD2433" s="12"/>
      <c r="BE2433" s="44"/>
      <c r="BF2433" s="45"/>
      <c r="BG2433" s="12"/>
      <c r="BH2433" s="12"/>
      <c r="BI2433" s="12"/>
      <c r="BJ2433" s="12"/>
      <c r="BK2433" s="44"/>
      <c r="BL2433" s="45"/>
      <c r="BM2433" s="12"/>
      <c r="BN2433" s="12"/>
      <c r="BO2433" s="12"/>
      <c r="BP2433" s="12"/>
      <c r="BQ2433" s="48"/>
      <c r="BR2433" s="49"/>
      <c r="BS2433" s="13"/>
      <c r="BT2433" s="12"/>
      <c r="BV2433" s="14"/>
      <c r="BW2433" s="50"/>
      <c r="BX2433" s="54"/>
      <c r="BY2433" s="14"/>
      <c r="BZ2433" s="14"/>
      <c r="CA2433" s="14"/>
      <c r="CB2433" s="14"/>
      <c r="CC2433" s="14"/>
      <c r="CD2433" s="14"/>
      <c r="CE2433" s="14"/>
      <c r="CF2433" s="15"/>
      <c r="CG2433" s="14"/>
      <c r="CH2433" s="14"/>
      <c r="CI2433" s="50"/>
      <c r="CJ2433" s="54"/>
      <c r="CK2433" s="14"/>
      <c r="CL2433" s="14"/>
      <c r="CM2433" s="14"/>
      <c r="CN2433" s="14"/>
      <c r="CO2433" s="14"/>
      <c r="CP2433" s="14"/>
      <c r="CQ2433" s="14"/>
      <c r="CR2433" s="14"/>
      <c r="CS2433" s="14"/>
      <c r="CT2433" s="14"/>
      <c r="CU2433" s="16"/>
      <c r="CV2433" s="14"/>
      <c r="CW2433" s="50"/>
      <c r="CX2433" s="17"/>
    </row>
    <row r="2434" spans="4:102" x14ac:dyDescent="0.25">
      <c r="D2434" s="11"/>
      <c r="E2434" s="11"/>
      <c r="F2434" s="11"/>
      <c r="G2434" s="11"/>
      <c r="H2434" s="11"/>
      <c r="I2434" s="11"/>
      <c r="J2434" s="11"/>
      <c r="K2434" s="11"/>
      <c r="L2434" s="11"/>
      <c r="M2434" s="11"/>
      <c r="N2434" s="11"/>
      <c r="O2434" s="11"/>
      <c r="P2434" s="43"/>
      <c r="Q2434" s="11"/>
      <c r="R2434" s="11"/>
      <c r="S2434" s="11"/>
      <c r="T2434" s="11"/>
      <c r="U2434" s="11"/>
      <c r="V2434" s="11"/>
      <c r="W2434" s="11"/>
      <c r="X2434" s="12"/>
      <c r="Y2434" s="12"/>
      <c r="Z2434" s="12"/>
      <c r="AA2434" s="44"/>
      <c r="AB2434" s="45"/>
      <c r="AC2434" s="12"/>
      <c r="AD2434" s="12"/>
      <c r="AE2434" s="12"/>
      <c r="AF2434" s="12"/>
      <c r="AG2434" s="44"/>
      <c r="AH2434" s="45"/>
      <c r="AI2434" s="12"/>
      <c r="AJ2434" s="12"/>
      <c r="AK2434" s="12"/>
      <c r="AL2434" s="12"/>
      <c r="AM2434" s="44"/>
      <c r="AN2434" s="45"/>
      <c r="AO2434" s="12"/>
      <c r="AP2434" s="12"/>
      <c r="AQ2434" s="12"/>
      <c r="AR2434" s="12"/>
      <c r="AS2434" s="44"/>
      <c r="AT2434" s="45"/>
      <c r="AU2434" s="12"/>
      <c r="AV2434" s="12"/>
      <c r="AW2434" s="12"/>
      <c r="AX2434" s="12"/>
      <c r="AY2434" s="44"/>
      <c r="AZ2434" s="45"/>
      <c r="BA2434" s="12"/>
      <c r="BB2434" s="12"/>
      <c r="BC2434" s="12"/>
      <c r="BD2434" s="12"/>
      <c r="BE2434" s="44"/>
      <c r="BF2434" s="45"/>
      <c r="BG2434" s="12"/>
      <c r="BH2434" s="12"/>
      <c r="BI2434" s="12"/>
      <c r="BJ2434" s="12"/>
      <c r="BK2434" s="44"/>
      <c r="BL2434" s="45"/>
      <c r="BM2434" s="12"/>
      <c r="BN2434" s="12"/>
      <c r="BO2434" s="12"/>
      <c r="BP2434" s="12"/>
      <c r="BQ2434" s="48"/>
      <c r="BR2434" s="49"/>
      <c r="BS2434" s="13"/>
      <c r="BT2434" s="12"/>
      <c r="BV2434" s="14"/>
      <c r="BW2434" s="50"/>
      <c r="BX2434" s="54"/>
      <c r="BY2434" s="14"/>
      <c r="BZ2434" s="14"/>
      <c r="CA2434" s="14"/>
      <c r="CB2434" s="14"/>
      <c r="CC2434" s="14"/>
      <c r="CD2434" s="14"/>
      <c r="CE2434" s="14"/>
      <c r="CF2434" s="15"/>
      <c r="CG2434" s="14"/>
      <c r="CH2434" s="14"/>
      <c r="CI2434" s="50"/>
      <c r="CJ2434" s="54"/>
      <c r="CK2434" s="14"/>
      <c r="CL2434" s="14"/>
      <c r="CM2434" s="14"/>
      <c r="CN2434" s="14"/>
      <c r="CO2434" s="14"/>
      <c r="CP2434" s="14"/>
      <c r="CQ2434" s="14"/>
      <c r="CR2434" s="14"/>
      <c r="CS2434" s="14"/>
      <c r="CT2434" s="14"/>
      <c r="CU2434" s="16"/>
      <c r="CV2434" s="14"/>
      <c r="CW2434" s="50"/>
      <c r="CX2434" s="17"/>
    </row>
    <row r="2435" spans="4:102" x14ac:dyDescent="0.25">
      <c r="D2435" s="11"/>
      <c r="E2435" s="11"/>
      <c r="F2435" s="11"/>
      <c r="G2435" s="11"/>
      <c r="H2435" s="11"/>
      <c r="I2435" s="11"/>
      <c r="J2435" s="11"/>
      <c r="K2435" s="11"/>
      <c r="L2435" s="11"/>
      <c r="M2435" s="11"/>
      <c r="N2435" s="11"/>
      <c r="O2435" s="11"/>
      <c r="P2435" s="43"/>
      <c r="Q2435" s="11"/>
      <c r="R2435" s="11"/>
      <c r="S2435" s="11"/>
      <c r="T2435" s="11"/>
      <c r="U2435" s="11"/>
      <c r="V2435" s="11"/>
      <c r="W2435" s="11"/>
      <c r="X2435" s="12"/>
      <c r="Y2435" s="12"/>
      <c r="Z2435" s="12"/>
      <c r="AA2435" s="44"/>
      <c r="AB2435" s="45"/>
      <c r="AC2435" s="12"/>
      <c r="AD2435" s="12"/>
      <c r="AE2435" s="12"/>
      <c r="AF2435" s="12"/>
      <c r="AG2435" s="44"/>
      <c r="AH2435" s="45"/>
      <c r="AI2435" s="12"/>
      <c r="AJ2435" s="12"/>
      <c r="AK2435" s="12"/>
      <c r="AL2435" s="12"/>
      <c r="AM2435" s="44"/>
      <c r="AN2435" s="45"/>
      <c r="AO2435" s="12"/>
      <c r="AP2435" s="12"/>
      <c r="AQ2435" s="12"/>
      <c r="AR2435" s="12"/>
      <c r="AS2435" s="44"/>
      <c r="AT2435" s="45"/>
      <c r="AU2435" s="12"/>
      <c r="AV2435" s="12"/>
      <c r="AW2435" s="12"/>
      <c r="AX2435" s="12"/>
      <c r="AY2435" s="44"/>
      <c r="AZ2435" s="45"/>
      <c r="BA2435" s="12"/>
      <c r="BB2435" s="12"/>
      <c r="BC2435" s="12"/>
      <c r="BD2435" s="12"/>
      <c r="BE2435" s="44"/>
      <c r="BF2435" s="45"/>
      <c r="BG2435" s="12"/>
      <c r="BH2435" s="12"/>
      <c r="BI2435" s="12"/>
      <c r="BJ2435" s="12"/>
      <c r="BK2435" s="44"/>
      <c r="BL2435" s="45"/>
      <c r="BM2435" s="12"/>
      <c r="BN2435" s="12"/>
      <c r="BO2435" s="12"/>
      <c r="BP2435" s="12"/>
      <c r="BQ2435" s="48"/>
      <c r="BR2435" s="49"/>
      <c r="BS2435" s="13"/>
      <c r="BT2435" s="12"/>
      <c r="BV2435" s="14"/>
      <c r="BW2435" s="50"/>
      <c r="BX2435" s="54"/>
      <c r="BY2435" s="14"/>
      <c r="BZ2435" s="14"/>
      <c r="CA2435" s="14"/>
      <c r="CB2435" s="14"/>
      <c r="CC2435" s="14"/>
      <c r="CD2435" s="14"/>
      <c r="CE2435" s="14"/>
      <c r="CF2435" s="15"/>
      <c r="CG2435" s="14"/>
      <c r="CH2435" s="14"/>
      <c r="CI2435" s="50"/>
      <c r="CJ2435" s="54"/>
      <c r="CK2435" s="14"/>
      <c r="CL2435" s="14"/>
      <c r="CM2435" s="14"/>
      <c r="CN2435" s="14"/>
      <c r="CO2435" s="14"/>
      <c r="CP2435" s="14"/>
      <c r="CQ2435" s="14"/>
      <c r="CR2435" s="14"/>
      <c r="CS2435" s="14"/>
      <c r="CT2435" s="14"/>
      <c r="CU2435" s="16"/>
      <c r="CV2435" s="14"/>
      <c r="CW2435" s="50"/>
      <c r="CX2435" s="17"/>
    </row>
    <row r="2436" spans="4:102" x14ac:dyDescent="0.25">
      <c r="D2436" s="11"/>
      <c r="E2436" s="11"/>
      <c r="F2436" s="11"/>
      <c r="G2436" s="11"/>
      <c r="H2436" s="11"/>
      <c r="I2436" s="11"/>
      <c r="J2436" s="11"/>
      <c r="K2436" s="11"/>
      <c r="L2436" s="11"/>
      <c r="M2436" s="11"/>
      <c r="N2436" s="11"/>
      <c r="O2436" s="11"/>
      <c r="P2436" s="43"/>
      <c r="Q2436" s="11"/>
      <c r="R2436" s="11"/>
      <c r="S2436" s="11"/>
      <c r="T2436" s="11"/>
      <c r="U2436" s="11"/>
      <c r="V2436" s="11"/>
      <c r="W2436" s="11"/>
      <c r="X2436" s="12"/>
      <c r="Y2436" s="12"/>
      <c r="Z2436" s="12"/>
      <c r="AA2436" s="44"/>
      <c r="AB2436" s="45"/>
      <c r="AC2436" s="12"/>
      <c r="AD2436" s="12"/>
      <c r="AE2436" s="12"/>
      <c r="AF2436" s="12"/>
      <c r="AG2436" s="44"/>
      <c r="AH2436" s="45"/>
      <c r="AI2436" s="12"/>
      <c r="AJ2436" s="12"/>
      <c r="AK2436" s="12"/>
      <c r="AL2436" s="12"/>
      <c r="AM2436" s="44"/>
      <c r="AN2436" s="45"/>
      <c r="AO2436" s="12"/>
      <c r="AP2436" s="12"/>
      <c r="AQ2436" s="12"/>
      <c r="AR2436" s="12"/>
      <c r="AS2436" s="44"/>
      <c r="AT2436" s="45"/>
      <c r="AU2436" s="12"/>
      <c r="AV2436" s="12"/>
      <c r="AW2436" s="12"/>
      <c r="AX2436" s="12"/>
      <c r="AY2436" s="44"/>
      <c r="AZ2436" s="45"/>
      <c r="BA2436" s="12"/>
      <c r="BB2436" s="12"/>
      <c r="BC2436" s="12"/>
      <c r="BD2436" s="12"/>
      <c r="BE2436" s="44"/>
      <c r="BF2436" s="45"/>
      <c r="BG2436" s="12"/>
      <c r="BH2436" s="12"/>
      <c r="BI2436" s="12"/>
      <c r="BJ2436" s="12"/>
      <c r="BK2436" s="44"/>
      <c r="BL2436" s="45"/>
      <c r="BM2436" s="12"/>
      <c r="BN2436" s="12"/>
      <c r="BO2436" s="12"/>
      <c r="BP2436" s="12"/>
      <c r="BQ2436" s="48"/>
      <c r="BR2436" s="49"/>
      <c r="BS2436" s="13"/>
      <c r="BT2436" s="12"/>
      <c r="BV2436" s="14"/>
      <c r="BW2436" s="50"/>
      <c r="BX2436" s="54"/>
      <c r="BY2436" s="14"/>
      <c r="BZ2436" s="14"/>
      <c r="CA2436" s="14"/>
      <c r="CB2436" s="14"/>
      <c r="CC2436" s="14"/>
      <c r="CD2436" s="14"/>
      <c r="CE2436" s="14"/>
      <c r="CF2436" s="15"/>
      <c r="CG2436" s="14"/>
      <c r="CH2436" s="14"/>
      <c r="CI2436" s="50"/>
      <c r="CJ2436" s="54"/>
      <c r="CK2436" s="14"/>
      <c r="CL2436" s="14"/>
      <c r="CM2436" s="14"/>
      <c r="CN2436" s="14"/>
      <c r="CO2436" s="14"/>
      <c r="CP2436" s="14"/>
      <c r="CQ2436" s="14"/>
      <c r="CR2436" s="14"/>
      <c r="CS2436" s="14"/>
      <c r="CT2436" s="14"/>
      <c r="CU2436" s="16"/>
      <c r="CV2436" s="14"/>
      <c r="CW2436" s="50"/>
      <c r="CX2436" s="17"/>
    </row>
    <row r="2437" spans="4:102" x14ac:dyDescent="0.25">
      <c r="D2437" s="11"/>
      <c r="E2437" s="11"/>
      <c r="F2437" s="11"/>
      <c r="G2437" s="11"/>
      <c r="H2437" s="11"/>
      <c r="I2437" s="11"/>
      <c r="J2437" s="11"/>
      <c r="K2437" s="11"/>
      <c r="L2437" s="11"/>
      <c r="M2437" s="11"/>
      <c r="N2437" s="11"/>
      <c r="O2437" s="11"/>
      <c r="P2437" s="43"/>
      <c r="Q2437" s="11"/>
      <c r="R2437" s="11"/>
      <c r="S2437" s="11"/>
      <c r="T2437" s="11"/>
      <c r="U2437" s="11"/>
      <c r="V2437" s="11"/>
      <c r="W2437" s="11"/>
      <c r="X2437" s="12"/>
      <c r="Y2437" s="12"/>
      <c r="Z2437" s="12"/>
      <c r="AA2437" s="44"/>
      <c r="AB2437" s="45"/>
      <c r="AC2437" s="12"/>
      <c r="AD2437" s="12"/>
      <c r="AE2437" s="12"/>
      <c r="AF2437" s="12"/>
      <c r="AG2437" s="44"/>
      <c r="AH2437" s="45"/>
      <c r="AI2437" s="12"/>
      <c r="AJ2437" s="12"/>
      <c r="AK2437" s="12"/>
      <c r="AL2437" s="12"/>
      <c r="AM2437" s="44"/>
      <c r="AN2437" s="45"/>
      <c r="AO2437" s="12"/>
      <c r="AP2437" s="12"/>
      <c r="AQ2437" s="12"/>
      <c r="AR2437" s="12"/>
      <c r="AS2437" s="44"/>
      <c r="AT2437" s="45"/>
      <c r="AU2437" s="12"/>
      <c r="AV2437" s="12"/>
      <c r="AW2437" s="12"/>
      <c r="AX2437" s="12"/>
      <c r="AY2437" s="44"/>
      <c r="AZ2437" s="45"/>
      <c r="BA2437" s="12"/>
      <c r="BB2437" s="12"/>
      <c r="BC2437" s="12"/>
      <c r="BD2437" s="12"/>
      <c r="BE2437" s="44"/>
      <c r="BF2437" s="45"/>
      <c r="BG2437" s="12"/>
      <c r="BH2437" s="12"/>
      <c r="BI2437" s="12"/>
      <c r="BJ2437" s="12"/>
      <c r="BK2437" s="44"/>
      <c r="BL2437" s="45"/>
      <c r="BM2437" s="12"/>
      <c r="BN2437" s="12"/>
      <c r="BO2437" s="12"/>
      <c r="BP2437" s="12"/>
      <c r="BQ2437" s="48"/>
      <c r="BR2437" s="49"/>
      <c r="BS2437" s="13"/>
      <c r="BT2437" s="12"/>
      <c r="BV2437" s="14"/>
      <c r="BW2437" s="50"/>
      <c r="BX2437" s="54"/>
      <c r="BY2437" s="14"/>
      <c r="BZ2437" s="14"/>
      <c r="CA2437" s="14"/>
      <c r="CB2437" s="14"/>
      <c r="CC2437" s="14"/>
      <c r="CD2437" s="14"/>
      <c r="CE2437" s="14"/>
      <c r="CF2437" s="15"/>
      <c r="CG2437" s="14"/>
      <c r="CH2437" s="14"/>
      <c r="CI2437" s="50"/>
      <c r="CJ2437" s="54"/>
      <c r="CK2437" s="14"/>
      <c r="CL2437" s="14"/>
      <c r="CM2437" s="14"/>
      <c r="CN2437" s="14"/>
      <c r="CO2437" s="14"/>
      <c r="CP2437" s="14"/>
      <c r="CQ2437" s="14"/>
      <c r="CR2437" s="14"/>
      <c r="CS2437" s="14"/>
      <c r="CT2437" s="14"/>
      <c r="CU2437" s="16"/>
      <c r="CV2437" s="14"/>
      <c r="CW2437" s="50"/>
      <c r="CX2437" s="17"/>
    </row>
    <row r="2438" spans="4:102" x14ac:dyDescent="0.25">
      <c r="D2438" s="11"/>
      <c r="E2438" s="11"/>
      <c r="F2438" s="11"/>
      <c r="G2438" s="11"/>
      <c r="H2438" s="11"/>
      <c r="I2438" s="11"/>
      <c r="J2438" s="11"/>
      <c r="K2438" s="11"/>
      <c r="L2438" s="11"/>
      <c r="M2438" s="11"/>
      <c r="N2438" s="11"/>
      <c r="O2438" s="11"/>
      <c r="P2438" s="43"/>
      <c r="Q2438" s="11"/>
      <c r="R2438" s="11"/>
      <c r="S2438" s="11"/>
      <c r="T2438" s="11"/>
      <c r="U2438" s="11"/>
      <c r="V2438" s="11"/>
      <c r="W2438" s="11"/>
      <c r="X2438" s="12"/>
      <c r="Y2438" s="12"/>
      <c r="Z2438" s="12"/>
      <c r="AA2438" s="44"/>
      <c r="AB2438" s="45"/>
      <c r="AC2438" s="12"/>
      <c r="AD2438" s="12"/>
      <c r="AE2438" s="12"/>
      <c r="AF2438" s="12"/>
      <c r="AG2438" s="44"/>
      <c r="AH2438" s="45"/>
      <c r="AI2438" s="12"/>
      <c r="AJ2438" s="12"/>
      <c r="AK2438" s="12"/>
      <c r="AL2438" s="12"/>
      <c r="AM2438" s="44"/>
      <c r="AN2438" s="45"/>
      <c r="AO2438" s="12"/>
      <c r="AP2438" s="12"/>
      <c r="AQ2438" s="12"/>
      <c r="AR2438" s="12"/>
      <c r="AS2438" s="44"/>
      <c r="AT2438" s="45"/>
      <c r="AU2438" s="12"/>
      <c r="AV2438" s="12"/>
      <c r="AW2438" s="12"/>
      <c r="AX2438" s="12"/>
      <c r="AY2438" s="44"/>
      <c r="AZ2438" s="45"/>
      <c r="BA2438" s="12"/>
      <c r="BB2438" s="12"/>
      <c r="BC2438" s="12"/>
      <c r="BD2438" s="12"/>
      <c r="BE2438" s="44"/>
      <c r="BF2438" s="45"/>
      <c r="BG2438" s="12"/>
      <c r="BH2438" s="12"/>
      <c r="BI2438" s="12"/>
      <c r="BJ2438" s="12"/>
      <c r="BK2438" s="44"/>
      <c r="BL2438" s="45"/>
      <c r="BM2438" s="12"/>
      <c r="BN2438" s="12"/>
      <c r="BO2438" s="12"/>
      <c r="BP2438" s="12"/>
      <c r="BQ2438" s="48"/>
      <c r="BR2438" s="49"/>
      <c r="BS2438" s="13"/>
      <c r="BT2438" s="12"/>
      <c r="BV2438" s="14"/>
      <c r="BW2438" s="50"/>
      <c r="BX2438" s="54"/>
      <c r="BY2438" s="14"/>
      <c r="BZ2438" s="14"/>
      <c r="CA2438" s="14"/>
      <c r="CB2438" s="14"/>
      <c r="CC2438" s="14"/>
      <c r="CD2438" s="14"/>
      <c r="CE2438" s="14"/>
      <c r="CF2438" s="15"/>
      <c r="CG2438" s="14"/>
      <c r="CH2438" s="14"/>
      <c r="CI2438" s="50"/>
      <c r="CJ2438" s="54"/>
      <c r="CK2438" s="14"/>
      <c r="CL2438" s="14"/>
      <c r="CM2438" s="14"/>
      <c r="CN2438" s="14"/>
      <c r="CO2438" s="14"/>
      <c r="CP2438" s="14"/>
      <c r="CQ2438" s="14"/>
      <c r="CR2438" s="14"/>
      <c r="CS2438" s="14"/>
      <c r="CT2438" s="14"/>
      <c r="CU2438" s="16"/>
      <c r="CV2438" s="14"/>
      <c r="CW2438" s="50"/>
      <c r="CX2438" s="17"/>
    </row>
    <row r="2439" spans="4:102" x14ac:dyDescent="0.25">
      <c r="D2439" s="11"/>
      <c r="E2439" s="11"/>
      <c r="F2439" s="11"/>
      <c r="G2439" s="11"/>
      <c r="H2439" s="11"/>
      <c r="I2439" s="11"/>
      <c r="J2439" s="11"/>
      <c r="K2439" s="11"/>
      <c r="L2439" s="11"/>
      <c r="M2439" s="11"/>
      <c r="N2439" s="11"/>
      <c r="O2439" s="11"/>
      <c r="P2439" s="43"/>
      <c r="Q2439" s="11"/>
      <c r="R2439" s="11"/>
      <c r="S2439" s="11"/>
      <c r="T2439" s="11"/>
      <c r="U2439" s="11"/>
      <c r="V2439" s="11"/>
      <c r="W2439" s="11"/>
      <c r="X2439" s="12"/>
      <c r="Y2439" s="12"/>
      <c r="Z2439" s="12"/>
      <c r="AA2439" s="44"/>
      <c r="AB2439" s="45"/>
      <c r="AC2439" s="12"/>
      <c r="AD2439" s="12"/>
      <c r="AE2439" s="12"/>
      <c r="AF2439" s="12"/>
      <c r="AG2439" s="44"/>
      <c r="AH2439" s="45"/>
      <c r="AI2439" s="12"/>
      <c r="AJ2439" s="12"/>
      <c r="AK2439" s="12"/>
      <c r="AL2439" s="12"/>
      <c r="AM2439" s="44"/>
      <c r="AN2439" s="45"/>
      <c r="AO2439" s="12"/>
      <c r="AP2439" s="12"/>
      <c r="AQ2439" s="12"/>
      <c r="AR2439" s="12"/>
      <c r="AS2439" s="44"/>
      <c r="AT2439" s="45"/>
      <c r="AU2439" s="12"/>
      <c r="AV2439" s="12"/>
      <c r="AW2439" s="12"/>
      <c r="AX2439" s="12"/>
      <c r="AY2439" s="44"/>
      <c r="AZ2439" s="45"/>
      <c r="BA2439" s="12"/>
      <c r="BB2439" s="12"/>
      <c r="BC2439" s="12"/>
      <c r="BD2439" s="12"/>
      <c r="BE2439" s="44"/>
      <c r="BF2439" s="45"/>
      <c r="BG2439" s="12"/>
      <c r="BH2439" s="12"/>
      <c r="BI2439" s="12"/>
      <c r="BJ2439" s="12"/>
      <c r="BK2439" s="44"/>
      <c r="BL2439" s="45"/>
      <c r="BM2439" s="12"/>
      <c r="BN2439" s="12"/>
      <c r="BO2439" s="12"/>
      <c r="BP2439" s="12"/>
      <c r="BQ2439" s="48"/>
      <c r="BR2439" s="49"/>
      <c r="BS2439" s="13"/>
      <c r="BT2439" s="12"/>
      <c r="BV2439" s="14"/>
      <c r="BW2439" s="50"/>
      <c r="BX2439" s="54"/>
      <c r="BY2439" s="14"/>
      <c r="BZ2439" s="14"/>
      <c r="CA2439" s="14"/>
      <c r="CB2439" s="14"/>
      <c r="CC2439" s="14"/>
      <c r="CD2439" s="14"/>
      <c r="CE2439" s="14"/>
      <c r="CF2439" s="15"/>
      <c r="CG2439" s="14"/>
      <c r="CH2439" s="14"/>
      <c r="CI2439" s="50"/>
      <c r="CJ2439" s="54"/>
      <c r="CK2439" s="14"/>
      <c r="CL2439" s="14"/>
      <c r="CM2439" s="14"/>
      <c r="CN2439" s="14"/>
      <c r="CO2439" s="14"/>
      <c r="CP2439" s="14"/>
      <c r="CQ2439" s="14"/>
      <c r="CR2439" s="14"/>
      <c r="CS2439" s="14"/>
      <c r="CT2439" s="14"/>
      <c r="CU2439" s="16"/>
      <c r="CV2439" s="14"/>
      <c r="CW2439" s="50"/>
      <c r="CX2439" s="17"/>
    </row>
    <row r="2440" spans="4:102" x14ac:dyDescent="0.25">
      <c r="D2440" s="11"/>
      <c r="E2440" s="11"/>
      <c r="F2440" s="11"/>
      <c r="G2440" s="11"/>
      <c r="H2440" s="11"/>
      <c r="I2440" s="11"/>
      <c r="J2440" s="11"/>
      <c r="K2440" s="11"/>
      <c r="L2440" s="11"/>
      <c r="M2440" s="11"/>
      <c r="N2440" s="11"/>
      <c r="O2440" s="11"/>
      <c r="P2440" s="43"/>
      <c r="Q2440" s="11"/>
      <c r="R2440" s="11"/>
      <c r="S2440" s="11"/>
      <c r="T2440" s="11"/>
      <c r="U2440" s="11"/>
      <c r="V2440" s="11"/>
      <c r="W2440" s="11"/>
      <c r="X2440" s="12"/>
      <c r="Y2440" s="12"/>
      <c r="Z2440" s="12"/>
      <c r="AA2440" s="44"/>
      <c r="AB2440" s="45"/>
      <c r="AC2440" s="12"/>
      <c r="AD2440" s="12"/>
      <c r="AE2440" s="12"/>
      <c r="AF2440" s="12"/>
      <c r="AG2440" s="44"/>
      <c r="AH2440" s="45"/>
      <c r="AI2440" s="12"/>
      <c r="AJ2440" s="12"/>
      <c r="AK2440" s="12"/>
      <c r="AL2440" s="12"/>
      <c r="AM2440" s="44"/>
      <c r="AN2440" s="45"/>
      <c r="AO2440" s="12"/>
      <c r="AP2440" s="12"/>
      <c r="AQ2440" s="12"/>
      <c r="AR2440" s="12"/>
      <c r="AS2440" s="44"/>
      <c r="AT2440" s="45"/>
      <c r="AU2440" s="12"/>
      <c r="AV2440" s="12"/>
      <c r="AW2440" s="12"/>
      <c r="AX2440" s="12"/>
      <c r="AY2440" s="44"/>
      <c r="AZ2440" s="45"/>
      <c r="BA2440" s="12"/>
      <c r="BB2440" s="12"/>
      <c r="BC2440" s="12"/>
      <c r="BD2440" s="12"/>
      <c r="BE2440" s="44"/>
      <c r="BF2440" s="45"/>
      <c r="BG2440" s="12"/>
      <c r="BH2440" s="12"/>
      <c r="BI2440" s="12"/>
      <c r="BJ2440" s="12"/>
      <c r="BK2440" s="44"/>
      <c r="BL2440" s="45"/>
      <c r="BM2440" s="12"/>
      <c r="BN2440" s="12"/>
      <c r="BO2440" s="12"/>
      <c r="BP2440" s="12"/>
      <c r="BQ2440" s="48"/>
      <c r="BR2440" s="49"/>
      <c r="BS2440" s="13"/>
      <c r="BT2440" s="12"/>
      <c r="BV2440" s="14"/>
      <c r="BW2440" s="50"/>
      <c r="BX2440" s="54"/>
      <c r="BY2440" s="14"/>
      <c r="BZ2440" s="14"/>
      <c r="CA2440" s="14"/>
      <c r="CB2440" s="14"/>
      <c r="CC2440" s="14"/>
      <c r="CD2440" s="14"/>
      <c r="CE2440" s="14"/>
      <c r="CF2440" s="15"/>
      <c r="CG2440" s="14"/>
      <c r="CH2440" s="14"/>
      <c r="CI2440" s="50"/>
      <c r="CJ2440" s="54"/>
      <c r="CK2440" s="14"/>
      <c r="CL2440" s="14"/>
      <c r="CM2440" s="14"/>
      <c r="CN2440" s="14"/>
      <c r="CO2440" s="14"/>
      <c r="CP2440" s="14"/>
      <c r="CQ2440" s="14"/>
      <c r="CR2440" s="14"/>
      <c r="CS2440" s="14"/>
      <c r="CT2440" s="14"/>
      <c r="CU2440" s="16"/>
      <c r="CV2440" s="14"/>
      <c r="CW2440" s="50"/>
      <c r="CX2440" s="17"/>
    </row>
    <row r="2441" spans="4:102" x14ac:dyDescent="0.25">
      <c r="D2441" s="11"/>
      <c r="E2441" s="11"/>
      <c r="F2441" s="11"/>
      <c r="G2441" s="11"/>
      <c r="H2441" s="11"/>
      <c r="I2441" s="11"/>
      <c r="J2441" s="11"/>
      <c r="K2441" s="11"/>
      <c r="L2441" s="11"/>
      <c r="M2441" s="11"/>
      <c r="N2441" s="11"/>
      <c r="O2441" s="11"/>
      <c r="P2441" s="43"/>
      <c r="Q2441" s="11"/>
      <c r="R2441" s="11"/>
      <c r="S2441" s="11"/>
      <c r="T2441" s="11"/>
      <c r="U2441" s="11"/>
      <c r="V2441" s="11"/>
      <c r="W2441" s="11"/>
      <c r="X2441" s="12"/>
      <c r="Y2441" s="12"/>
      <c r="Z2441" s="12"/>
      <c r="AA2441" s="44"/>
      <c r="AB2441" s="45"/>
      <c r="AC2441" s="12"/>
      <c r="AD2441" s="12"/>
      <c r="AE2441" s="12"/>
      <c r="AF2441" s="12"/>
      <c r="AG2441" s="44"/>
      <c r="AH2441" s="45"/>
      <c r="AI2441" s="12"/>
      <c r="AJ2441" s="12"/>
      <c r="AK2441" s="12"/>
      <c r="AL2441" s="12"/>
      <c r="AM2441" s="44"/>
      <c r="AN2441" s="45"/>
      <c r="AO2441" s="12"/>
      <c r="AP2441" s="12"/>
      <c r="AQ2441" s="12"/>
      <c r="AR2441" s="12"/>
      <c r="AS2441" s="44"/>
      <c r="AT2441" s="45"/>
      <c r="AU2441" s="12"/>
      <c r="AV2441" s="12"/>
      <c r="AW2441" s="12"/>
      <c r="AX2441" s="12"/>
      <c r="AY2441" s="44"/>
      <c r="AZ2441" s="45"/>
      <c r="BA2441" s="12"/>
      <c r="BB2441" s="12"/>
      <c r="BC2441" s="12"/>
      <c r="BD2441" s="12"/>
      <c r="BE2441" s="44"/>
      <c r="BF2441" s="45"/>
      <c r="BG2441" s="12"/>
      <c r="BH2441" s="12"/>
      <c r="BI2441" s="12"/>
      <c r="BJ2441" s="12"/>
      <c r="BK2441" s="44"/>
      <c r="BL2441" s="45"/>
      <c r="BM2441" s="12"/>
      <c r="BN2441" s="12"/>
      <c r="BO2441" s="12"/>
      <c r="BP2441" s="12"/>
      <c r="BQ2441" s="48"/>
      <c r="BR2441" s="49"/>
      <c r="BS2441" s="13"/>
      <c r="BT2441" s="12"/>
      <c r="BV2441" s="14"/>
      <c r="BW2441" s="50"/>
      <c r="BX2441" s="54"/>
      <c r="BY2441" s="14"/>
      <c r="BZ2441" s="14"/>
      <c r="CA2441" s="14"/>
      <c r="CB2441" s="14"/>
      <c r="CC2441" s="14"/>
      <c r="CD2441" s="14"/>
      <c r="CE2441" s="14"/>
      <c r="CF2441" s="15"/>
      <c r="CG2441" s="14"/>
      <c r="CH2441" s="14"/>
      <c r="CI2441" s="50"/>
      <c r="CJ2441" s="54"/>
      <c r="CK2441" s="14"/>
      <c r="CL2441" s="14"/>
      <c r="CM2441" s="14"/>
      <c r="CN2441" s="14"/>
      <c r="CO2441" s="14"/>
      <c r="CP2441" s="14"/>
      <c r="CQ2441" s="14"/>
      <c r="CR2441" s="14"/>
      <c r="CS2441" s="14"/>
      <c r="CT2441" s="14"/>
      <c r="CU2441" s="16"/>
      <c r="CV2441" s="14"/>
      <c r="CW2441" s="50"/>
      <c r="CX2441" s="17"/>
    </row>
    <row r="2442" spans="4:102" x14ac:dyDescent="0.25">
      <c r="D2442" s="11"/>
      <c r="E2442" s="11"/>
      <c r="F2442" s="11"/>
      <c r="G2442" s="11"/>
      <c r="H2442" s="11"/>
      <c r="I2442" s="11"/>
      <c r="J2442" s="11"/>
      <c r="K2442" s="11"/>
      <c r="L2442" s="11"/>
      <c r="M2442" s="11"/>
      <c r="N2442" s="11"/>
      <c r="O2442" s="11"/>
      <c r="P2442" s="43"/>
      <c r="Q2442" s="11"/>
      <c r="R2442" s="11"/>
      <c r="S2442" s="11"/>
      <c r="T2442" s="11"/>
      <c r="U2442" s="11"/>
      <c r="V2442" s="11"/>
      <c r="W2442" s="11"/>
      <c r="X2442" s="12"/>
      <c r="Y2442" s="12"/>
      <c r="Z2442" s="12"/>
      <c r="AA2442" s="44"/>
      <c r="AB2442" s="45"/>
      <c r="AC2442" s="12"/>
      <c r="AD2442" s="12"/>
      <c r="AE2442" s="12"/>
      <c r="AF2442" s="12"/>
      <c r="AG2442" s="44"/>
      <c r="AH2442" s="45"/>
      <c r="AI2442" s="12"/>
      <c r="AJ2442" s="12"/>
      <c r="AK2442" s="12"/>
      <c r="AL2442" s="12"/>
      <c r="AM2442" s="44"/>
      <c r="AN2442" s="45"/>
      <c r="AO2442" s="12"/>
      <c r="AP2442" s="12"/>
      <c r="AQ2442" s="12"/>
      <c r="AR2442" s="12"/>
      <c r="AS2442" s="44"/>
      <c r="AT2442" s="45"/>
      <c r="AU2442" s="12"/>
      <c r="AV2442" s="12"/>
      <c r="AW2442" s="12"/>
      <c r="AX2442" s="12"/>
      <c r="AY2442" s="44"/>
      <c r="AZ2442" s="45"/>
      <c r="BA2442" s="12"/>
      <c r="BB2442" s="12"/>
      <c r="BC2442" s="12"/>
      <c r="BD2442" s="12"/>
      <c r="BE2442" s="44"/>
      <c r="BF2442" s="45"/>
      <c r="BG2442" s="12"/>
      <c r="BH2442" s="12"/>
      <c r="BI2442" s="12"/>
      <c r="BJ2442" s="12"/>
      <c r="BK2442" s="44"/>
      <c r="BL2442" s="45"/>
      <c r="BM2442" s="12"/>
      <c r="BN2442" s="12"/>
      <c r="BO2442" s="12"/>
      <c r="BP2442" s="12"/>
      <c r="BQ2442" s="48"/>
      <c r="BR2442" s="49"/>
      <c r="BS2442" s="13"/>
      <c r="BT2442" s="12"/>
      <c r="BV2442" s="14"/>
      <c r="BW2442" s="50"/>
      <c r="BX2442" s="54"/>
      <c r="BY2442" s="14"/>
      <c r="BZ2442" s="14"/>
      <c r="CA2442" s="14"/>
      <c r="CB2442" s="14"/>
      <c r="CC2442" s="14"/>
      <c r="CD2442" s="14"/>
      <c r="CE2442" s="14"/>
      <c r="CF2442" s="15"/>
      <c r="CG2442" s="14"/>
      <c r="CH2442" s="14"/>
      <c r="CI2442" s="50"/>
      <c r="CJ2442" s="54"/>
      <c r="CK2442" s="14"/>
      <c r="CL2442" s="14"/>
      <c r="CM2442" s="14"/>
      <c r="CN2442" s="14"/>
      <c r="CO2442" s="14"/>
      <c r="CP2442" s="14"/>
      <c r="CQ2442" s="14"/>
      <c r="CR2442" s="14"/>
      <c r="CS2442" s="14"/>
      <c r="CT2442" s="14"/>
      <c r="CU2442" s="16"/>
      <c r="CV2442" s="14"/>
      <c r="CW2442" s="50"/>
      <c r="CX2442" s="17"/>
    </row>
    <row r="2443" spans="4:102" x14ac:dyDescent="0.25">
      <c r="D2443" s="11"/>
      <c r="E2443" s="11"/>
      <c r="F2443" s="11"/>
      <c r="G2443" s="11"/>
      <c r="H2443" s="11"/>
      <c r="I2443" s="11"/>
      <c r="J2443" s="11"/>
      <c r="K2443" s="11"/>
      <c r="L2443" s="11"/>
      <c r="M2443" s="11"/>
      <c r="N2443" s="11"/>
      <c r="O2443" s="11"/>
      <c r="P2443" s="43"/>
      <c r="Q2443" s="11"/>
      <c r="R2443" s="11"/>
      <c r="S2443" s="11"/>
      <c r="T2443" s="11"/>
      <c r="U2443" s="11"/>
      <c r="V2443" s="11"/>
      <c r="W2443" s="11"/>
      <c r="X2443" s="12"/>
      <c r="Y2443" s="12"/>
      <c r="Z2443" s="12"/>
      <c r="AA2443" s="44"/>
      <c r="AB2443" s="45"/>
      <c r="AC2443" s="12"/>
      <c r="AD2443" s="12"/>
      <c r="AE2443" s="12"/>
      <c r="AF2443" s="12"/>
      <c r="AG2443" s="44"/>
      <c r="AH2443" s="45"/>
      <c r="AI2443" s="12"/>
      <c r="AJ2443" s="12"/>
      <c r="AK2443" s="12"/>
      <c r="AL2443" s="12"/>
      <c r="AM2443" s="44"/>
      <c r="AN2443" s="45"/>
      <c r="AO2443" s="12"/>
      <c r="AP2443" s="12"/>
      <c r="AQ2443" s="12"/>
      <c r="AR2443" s="12"/>
      <c r="AS2443" s="44"/>
      <c r="AT2443" s="45"/>
      <c r="AU2443" s="12"/>
      <c r="AV2443" s="12"/>
      <c r="AW2443" s="12"/>
      <c r="AX2443" s="12"/>
      <c r="AY2443" s="44"/>
      <c r="AZ2443" s="45"/>
      <c r="BA2443" s="12"/>
      <c r="BB2443" s="12"/>
      <c r="BC2443" s="12"/>
      <c r="BD2443" s="12"/>
      <c r="BE2443" s="44"/>
      <c r="BF2443" s="45"/>
      <c r="BG2443" s="12"/>
      <c r="BH2443" s="12"/>
      <c r="BI2443" s="12"/>
      <c r="BJ2443" s="12"/>
      <c r="BK2443" s="44"/>
      <c r="BL2443" s="45"/>
      <c r="BM2443" s="12"/>
      <c r="BN2443" s="12"/>
      <c r="BO2443" s="12"/>
      <c r="BP2443" s="12"/>
      <c r="BQ2443" s="48"/>
      <c r="BR2443" s="49"/>
      <c r="BS2443" s="13"/>
      <c r="BT2443" s="12"/>
      <c r="BV2443" s="14"/>
      <c r="BW2443" s="50"/>
      <c r="BX2443" s="54"/>
      <c r="BY2443" s="14"/>
      <c r="BZ2443" s="14"/>
      <c r="CA2443" s="14"/>
      <c r="CB2443" s="14"/>
      <c r="CC2443" s="14"/>
      <c r="CD2443" s="14"/>
      <c r="CE2443" s="14"/>
      <c r="CF2443" s="15"/>
      <c r="CG2443" s="14"/>
      <c r="CH2443" s="14"/>
      <c r="CI2443" s="50"/>
      <c r="CJ2443" s="54"/>
      <c r="CK2443" s="14"/>
      <c r="CL2443" s="14"/>
      <c r="CM2443" s="14"/>
      <c r="CN2443" s="14"/>
      <c r="CO2443" s="14"/>
      <c r="CP2443" s="14"/>
      <c r="CQ2443" s="14"/>
      <c r="CR2443" s="14"/>
      <c r="CS2443" s="14"/>
      <c r="CT2443" s="14"/>
      <c r="CU2443" s="16"/>
      <c r="CV2443" s="14"/>
      <c r="CW2443" s="50"/>
      <c r="CX2443" s="17"/>
    </row>
    <row r="2444" spans="4:102" x14ac:dyDescent="0.25">
      <c r="D2444" s="11"/>
      <c r="E2444" s="11"/>
      <c r="F2444" s="11"/>
      <c r="G2444" s="11"/>
      <c r="H2444" s="11"/>
      <c r="I2444" s="11"/>
      <c r="J2444" s="11"/>
      <c r="K2444" s="11"/>
      <c r="L2444" s="11"/>
      <c r="M2444" s="11"/>
      <c r="N2444" s="11"/>
      <c r="O2444" s="11"/>
      <c r="P2444" s="43"/>
      <c r="Q2444" s="11"/>
      <c r="R2444" s="11"/>
      <c r="S2444" s="11"/>
      <c r="T2444" s="11"/>
      <c r="U2444" s="11"/>
      <c r="V2444" s="11"/>
      <c r="W2444" s="11"/>
      <c r="X2444" s="12"/>
      <c r="Y2444" s="12"/>
      <c r="Z2444" s="12"/>
      <c r="AA2444" s="44"/>
      <c r="AB2444" s="45"/>
      <c r="AC2444" s="12"/>
      <c r="AD2444" s="12"/>
      <c r="AE2444" s="12"/>
      <c r="AF2444" s="12"/>
      <c r="AG2444" s="44"/>
      <c r="AH2444" s="45"/>
      <c r="AI2444" s="12"/>
      <c r="AJ2444" s="12"/>
      <c r="AK2444" s="12"/>
      <c r="AL2444" s="12"/>
      <c r="AM2444" s="44"/>
      <c r="AN2444" s="45"/>
      <c r="AO2444" s="12"/>
      <c r="AP2444" s="12"/>
      <c r="AQ2444" s="12"/>
      <c r="AR2444" s="12"/>
      <c r="AS2444" s="44"/>
      <c r="AT2444" s="45"/>
      <c r="AU2444" s="12"/>
      <c r="AV2444" s="12"/>
      <c r="AW2444" s="12"/>
      <c r="AX2444" s="12"/>
      <c r="AY2444" s="44"/>
      <c r="AZ2444" s="45"/>
      <c r="BA2444" s="12"/>
      <c r="BB2444" s="12"/>
      <c r="BC2444" s="12"/>
      <c r="BD2444" s="12"/>
      <c r="BE2444" s="44"/>
      <c r="BF2444" s="45"/>
      <c r="BG2444" s="12"/>
      <c r="BH2444" s="12"/>
      <c r="BI2444" s="12"/>
      <c r="BJ2444" s="12"/>
      <c r="BK2444" s="44"/>
      <c r="BL2444" s="45"/>
      <c r="BM2444" s="12"/>
      <c r="BN2444" s="12"/>
      <c r="BO2444" s="12"/>
      <c r="BP2444" s="12"/>
      <c r="BQ2444" s="48"/>
      <c r="BR2444" s="49"/>
      <c r="BS2444" s="13"/>
      <c r="BT2444" s="12"/>
      <c r="BV2444" s="14"/>
      <c r="BW2444" s="50"/>
      <c r="BX2444" s="54"/>
      <c r="BY2444" s="14"/>
      <c r="BZ2444" s="14"/>
      <c r="CA2444" s="14"/>
      <c r="CB2444" s="14"/>
      <c r="CC2444" s="14"/>
      <c r="CD2444" s="14"/>
      <c r="CE2444" s="14"/>
      <c r="CF2444" s="15"/>
      <c r="CG2444" s="14"/>
      <c r="CH2444" s="14"/>
      <c r="CI2444" s="50"/>
      <c r="CJ2444" s="54"/>
      <c r="CK2444" s="14"/>
      <c r="CL2444" s="14"/>
      <c r="CM2444" s="14"/>
      <c r="CN2444" s="14"/>
      <c r="CO2444" s="14"/>
      <c r="CP2444" s="14"/>
      <c r="CQ2444" s="14"/>
      <c r="CR2444" s="14"/>
      <c r="CS2444" s="14"/>
      <c r="CT2444" s="14"/>
      <c r="CU2444" s="16"/>
      <c r="CV2444" s="14"/>
      <c r="CW2444" s="50"/>
      <c r="CX2444" s="17"/>
    </row>
    <row r="2445" spans="4:102" x14ac:dyDescent="0.25">
      <c r="D2445" s="11"/>
      <c r="E2445" s="11"/>
      <c r="F2445" s="11"/>
      <c r="G2445" s="11"/>
      <c r="H2445" s="11"/>
      <c r="I2445" s="11"/>
      <c r="J2445" s="11"/>
      <c r="K2445" s="11"/>
      <c r="L2445" s="11"/>
      <c r="M2445" s="11"/>
      <c r="N2445" s="11"/>
      <c r="O2445" s="11"/>
      <c r="P2445" s="43"/>
      <c r="Q2445" s="11"/>
      <c r="R2445" s="11"/>
      <c r="S2445" s="11"/>
      <c r="T2445" s="11"/>
      <c r="U2445" s="11"/>
      <c r="V2445" s="11"/>
      <c r="W2445" s="11"/>
      <c r="X2445" s="12"/>
      <c r="Y2445" s="12"/>
      <c r="Z2445" s="12"/>
      <c r="AA2445" s="44"/>
      <c r="AB2445" s="45"/>
      <c r="AC2445" s="12"/>
      <c r="AD2445" s="12"/>
      <c r="AE2445" s="12"/>
      <c r="AF2445" s="12"/>
      <c r="AG2445" s="44"/>
      <c r="AH2445" s="45"/>
      <c r="AI2445" s="12"/>
      <c r="AJ2445" s="12"/>
      <c r="AK2445" s="12"/>
      <c r="AL2445" s="12"/>
      <c r="AM2445" s="44"/>
      <c r="AN2445" s="45"/>
      <c r="AO2445" s="12"/>
      <c r="AP2445" s="12"/>
      <c r="AQ2445" s="12"/>
      <c r="AR2445" s="12"/>
      <c r="AS2445" s="44"/>
      <c r="AT2445" s="45"/>
      <c r="AU2445" s="12"/>
      <c r="AV2445" s="12"/>
      <c r="AW2445" s="12"/>
      <c r="AX2445" s="12"/>
      <c r="AY2445" s="44"/>
      <c r="AZ2445" s="45"/>
      <c r="BA2445" s="12"/>
      <c r="BB2445" s="12"/>
      <c r="BC2445" s="12"/>
      <c r="BD2445" s="12"/>
      <c r="BE2445" s="44"/>
      <c r="BF2445" s="45"/>
      <c r="BG2445" s="12"/>
      <c r="BH2445" s="12"/>
      <c r="BI2445" s="12"/>
      <c r="BJ2445" s="12"/>
      <c r="BK2445" s="44"/>
      <c r="BL2445" s="45"/>
      <c r="BM2445" s="12"/>
      <c r="BN2445" s="12"/>
      <c r="BO2445" s="12"/>
      <c r="BP2445" s="12"/>
      <c r="BQ2445" s="48"/>
      <c r="BR2445" s="49"/>
      <c r="BS2445" s="13"/>
      <c r="BT2445" s="12"/>
      <c r="BV2445" s="14"/>
      <c r="BW2445" s="50"/>
      <c r="BX2445" s="54"/>
      <c r="BY2445" s="14"/>
      <c r="BZ2445" s="14"/>
      <c r="CA2445" s="14"/>
      <c r="CB2445" s="14"/>
      <c r="CC2445" s="14"/>
      <c r="CD2445" s="14"/>
      <c r="CE2445" s="14"/>
      <c r="CF2445" s="15"/>
      <c r="CG2445" s="14"/>
      <c r="CH2445" s="14"/>
      <c r="CI2445" s="50"/>
      <c r="CJ2445" s="54"/>
      <c r="CK2445" s="14"/>
      <c r="CL2445" s="14"/>
      <c r="CM2445" s="14"/>
      <c r="CN2445" s="14"/>
      <c r="CO2445" s="14"/>
      <c r="CP2445" s="14"/>
      <c r="CQ2445" s="14"/>
      <c r="CR2445" s="14"/>
      <c r="CS2445" s="14"/>
      <c r="CT2445" s="14"/>
      <c r="CU2445" s="16"/>
      <c r="CV2445" s="14"/>
      <c r="CW2445" s="50"/>
      <c r="CX2445" s="17"/>
    </row>
    <row r="2446" spans="4:102" x14ac:dyDescent="0.25">
      <c r="D2446" s="11"/>
      <c r="E2446" s="11"/>
      <c r="F2446" s="11"/>
      <c r="G2446" s="11"/>
      <c r="H2446" s="11"/>
      <c r="I2446" s="11"/>
      <c r="J2446" s="11"/>
      <c r="K2446" s="11"/>
      <c r="L2446" s="11"/>
      <c r="M2446" s="11"/>
      <c r="N2446" s="11"/>
      <c r="O2446" s="11"/>
      <c r="P2446" s="43"/>
      <c r="Q2446" s="11"/>
      <c r="R2446" s="11"/>
      <c r="S2446" s="11"/>
      <c r="T2446" s="11"/>
      <c r="U2446" s="11"/>
      <c r="V2446" s="11"/>
      <c r="W2446" s="11"/>
      <c r="X2446" s="12"/>
      <c r="Y2446" s="12"/>
      <c r="Z2446" s="12"/>
      <c r="AA2446" s="44"/>
      <c r="AB2446" s="45"/>
      <c r="AC2446" s="12"/>
      <c r="AD2446" s="12"/>
      <c r="AE2446" s="12"/>
      <c r="AF2446" s="12"/>
      <c r="AG2446" s="44"/>
      <c r="AH2446" s="45"/>
      <c r="AI2446" s="12"/>
      <c r="AJ2446" s="12"/>
      <c r="AK2446" s="12"/>
      <c r="AL2446" s="12"/>
      <c r="AM2446" s="44"/>
      <c r="AN2446" s="45"/>
      <c r="AO2446" s="12"/>
      <c r="AP2446" s="12"/>
      <c r="AQ2446" s="12"/>
      <c r="AR2446" s="12"/>
      <c r="AS2446" s="44"/>
      <c r="AT2446" s="45"/>
      <c r="AU2446" s="12"/>
      <c r="AV2446" s="12"/>
      <c r="AW2446" s="12"/>
      <c r="AX2446" s="12"/>
      <c r="AY2446" s="44"/>
      <c r="AZ2446" s="45"/>
      <c r="BA2446" s="12"/>
      <c r="BB2446" s="12"/>
      <c r="BC2446" s="12"/>
      <c r="BD2446" s="12"/>
      <c r="BE2446" s="44"/>
      <c r="BF2446" s="45"/>
      <c r="BG2446" s="12"/>
      <c r="BH2446" s="12"/>
      <c r="BI2446" s="12"/>
      <c r="BJ2446" s="12"/>
      <c r="BK2446" s="44"/>
      <c r="BL2446" s="45"/>
      <c r="BM2446" s="12"/>
      <c r="BN2446" s="12"/>
      <c r="BO2446" s="12"/>
      <c r="BP2446" s="12"/>
      <c r="BQ2446" s="48"/>
      <c r="BR2446" s="49"/>
      <c r="BS2446" s="13"/>
      <c r="BT2446" s="12"/>
      <c r="BV2446" s="14"/>
      <c r="BW2446" s="50"/>
      <c r="BX2446" s="54"/>
      <c r="BY2446" s="14"/>
      <c r="BZ2446" s="14"/>
      <c r="CA2446" s="14"/>
      <c r="CB2446" s="14"/>
      <c r="CC2446" s="14"/>
      <c r="CD2446" s="14"/>
      <c r="CE2446" s="14"/>
      <c r="CF2446" s="15"/>
      <c r="CG2446" s="14"/>
      <c r="CH2446" s="14"/>
      <c r="CI2446" s="50"/>
      <c r="CJ2446" s="54"/>
      <c r="CK2446" s="14"/>
      <c r="CL2446" s="14"/>
      <c r="CM2446" s="14"/>
      <c r="CN2446" s="14"/>
      <c r="CO2446" s="14"/>
      <c r="CP2446" s="14"/>
      <c r="CQ2446" s="14"/>
      <c r="CR2446" s="14"/>
      <c r="CS2446" s="14"/>
      <c r="CT2446" s="14"/>
      <c r="CU2446" s="16"/>
      <c r="CV2446" s="14"/>
      <c r="CW2446" s="50"/>
      <c r="CX2446" s="17"/>
    </row>
    <row r="2447" spans="4:102" x14ac:dyDescent="0.25">
      <c r="D2447" s="11"/>
      <c r="E2447" s="11"/>
      <c r="F2447" s="11"/>
      <c r="G2447" s="11"/>
      <c r="H2447" s="11"/>
      <c r="I2447" s="11"/>
      <c r="J2447" s="11"/>
      <c r="K2447" s="11"/>
      <c r="L2447" s="11"/>
      <c r="M2447" s="11"/>
      <c r="N2447" s="11"/>
      <c r="O2447" s="11"/>
      <c r="P2447" s="43"/>
      <c r="Q2447" s="11"/>
      <c r="R2447" s="11"/>
      <c r="S2447" s="11"/>
      <c r="T2447" s="11"/>
      <c r="U2447" s="11"/>
      <c r="V2447" s="11"/>
      <c r="W2447" s="11"/>
      <c r="X2447" s="12"/>
      <c r="Y2447" s="12"/>
      <c r="Z2447" s="12"/>
      <c r="AA2447" s="44"/>
      <c r="AB2447" s="45"/>
      <c r="AC2447" s="12"/>
      <c r="AD2447" s="12"/>
      <c r="AE2447" s="12"/>
      <c r="AF2447" s="12"/>
      <c r="AG2447" s="44"/>
      <c r="AH2447" s="45"/>
      <c r="AI2447" s="12"/>
      <c r="AJ2447" s="12"/>
      <c r="AK2447" s="12"/>
      <c r="AL2447" s="12"/>
      <c r="AM2447" s="44"/>
      <c r="AN2447" s="45"/>
      <c r="AO2447" s="12"/>
      <c r="AP2447" s="12"/>
      <c r="AQ2447" s="12"/>
      <c r="AR2447" s="12"/>
      <c r="AS2447" s="44"/>
      <c r="AT2447" s="45"/>
      <c r="AU2447" s="12"/>
      <c r="AV2447" s="12"/>
      <c r="AW2447" s="12"/>
      <c r="AX2447" s="12"/>
      <c r="AY2447" s="44"/>
      <c r="AZ2447" s="45"/>
      <c r="BA2447" s="12"/>
      <c r="BB2447" s="12"/>
      <c r="BC2447" s="12"/>
      <c r="BD2447" s="12"/>
      <c r="BE2447" s="44"/>
      <c r="BF2447" s="45"/>
      <c r="BG2447" s="12"/>
      <c r="BH2447" s="12"/>
      <c r="BI2447" s="12"/>
      <c r="BJ2447" s="12"/>
      <c r="BK2447" s="44"/>
      <c r="BL2447" s="45"/>
      <c r="BM2447" s="12"/>
      <c r="BN2447" s="12"/>
      <c r="BO2447" s="12"/>
      <c r="BP2447" s="12"/>
      <c r="BQ2447" s="48"/>
      <c r="BR2447" s="49"/>
      <c r="BS2447" s="13"/>
      <c r="BT2447" s="12"/>
      <c r="BV2447" s="14"/>
      <c r="BW2447" s="50"/>
      <c r="BX2447" s="54"/>
      <c r="BY2447" s="14"/>
      <c r="BZ2447" s="14"/>
      <c r="CA2447" s="14"/>
      <c r="CB2447" s="14"/>
      <c r="CC2447" s="14"/>
      <c r="CD2447" s="14"/>
      <c r="CE2447" s="14"/>
      <c r="CF2447" s="15"/>
      <c r="CG2447" s="14"/>
      <c r="CH2447" s="14"/>
      <c r="CI2447" s="50"/>
      <c r="CJ2447" s="54"/>
      <c r="CK2447" s="14"/>
      <c r="CL2447" s="14"/>
      <c r="CM2447" s="14"/>
      <c r="CN2447" s="14"/>
      <c r="CO2447" s="14"/>
      <c r="CP2447" s="14"/>
      <c r="CQ2447" s="14"/>
      <c r="CR2447" s="14"/>
      <c r="CS2447" s="14"/>
      <c r="CT2447" s="14"/>
      <c r="CU2447" s="16"/>
      <c r="CV2447" s="14"/>
      <c r="CW2447" s="50"/>
      <c r="CX2447" s="17"/>
    </row>
    <row r="2448" spans="4:102" x14ac:dyDescent="0.25">
      <c r="D2448" s="11"/>
      <c r="E2448" s="11"/>
      <c r="F2448" s="11"/>
      <c r="G2448" s="11"/>
      <c r="H2448" s="11"/>
      <c r="I2448" s="11"/>
      <c r="J2448" s="11"/>
      <c r="K2448" s="11"/>
      <c r="L2448" s="11"/>
      <c r="M2448" s="11"/>
      <c r="N2448" s="11"/>
      <c r="O2448" s="11"/>
      <c r="P2448" s="43"/>
      <c r="Q2448" s="11"/>
      <c r="R2448" s="11"/>
      <c r="S2448" s="11"/>
      <c r="T2448" s="11"/>
      <c r="U2448" s="11"/>
      <c r="V2448" s="11"/>
      <c r="W2448" s="11"/>
      <c r="X2448" s="12"/>
      <c r="Y2448" s="12"/>
      <c r="Z2448" s="12"/>
      <c r="AA2448" s="44"/>
      <c r="AB2448" s="45"/>
      <c r="AC2448" s="12"/>
      <c r="AD2448" s="12"/>
      <c r="AE2448" s="12"/>
      <c r="AF2448" s="12"/>
      <c r="AG2448" s="44"/>
      <c r="AH2448" s="45"/>
      <c r="AI2448" s="12"/>
      <c r="AJ2448" s="12"/>
      <c r="AK2448" s="12"/>
      <c r="AL2448" s="12"/>
      <c r="AM2448" s="44"/>
      <c r="AN2448" s="45"/>
      <c r="AO2448" s="12"/>
      <c r="AP2448" s="12"/>
      <c r="AQ2448" s="12"/>
      <c r="AR2448" s="12"/>
      <c r="AS2448" s="44"/>
      <c r="AT2448" s="45"/>
      <c r="AU2448" s="12"/>
      <c r="AV2448" s="12"/>
      <c r="AW2448" s="12"/>
      <c r="AX2448" s="12"/>
      <c r="AY2448" s="44"/>
      <c r="AZ2448" s="45"/>
      <c r="BA2448" s="12"/>
      <c r="BB2448" s="12"/>
      <c r="BC2448" s="12"/>
      <c r="BD2448" s="12"/>
      <c r="BE2448" s="44"/>
      <c r="BF2448" s="45"/>
      <c r="BG2448" s="12"/>
      <c r="BH2448" s="12"/>
      <c r="BI2448" s="12"/>
      <c r="BJ2448" s="12"/>
      <c r="BK2448" s="44"/>
      <c r="BL2448" s="45"/>
      <c r="BM2448" s="12"/>
      <c r="BN2448" s="12"/>
      <c r="BO2448" s="12"/>
      <c r="BP2448" s="12"/>
      <c r="BQ2448" s="48"/>
      <c r="BR2448" s="49"/>
      <c r="BS2448" s="13"/>
      <c r="BT2448" s="12"/>
      <c r="BV2448" s="14"/>
      <c r="BW2448" s="50"/>
      <c r="BX2448" s="54"/>
      <c r="BY2448" s="14"/>
      <c r="BZ2448" s="14"/>
      <c r="CA2448" s="14"/>
      <c r="CB2448" s="14"/>
      <c r="CC2448" s="14"/>
      <c r="CD2448" s="14"/>
      <c r="CE2448" s="14"/>
      <c r="CF2448" s="15"/>
      <c r="CG2448" s="14"/>
      <c r="CH2448" s="14"/>
      <c r="CI2448" s="50"/>
      <c r="CJ2448" s="54"/>
      <c r="CK2448" s="14"/>
      <c r="CL2448" s="14"/>
      <c r="CM2448" s="14"/>
      <c r="CN2448" s="14"/>
      <c r="CO2448" s="14"/>
      <c r="CP2448" s="14"/>
      <c r="CQ2448" s="14"/>
      <c r="CR2448" s="14"/>
      <c r="CS2448" s="14"/>
      <c r="CT2448" s="14"/>
      <c r="CU2448" s="16"/>
      <c r="CV2448" s="14"/>
      <c r="CW2448" s="50"/>
      <c r="CX2448" s="17"/>
    </row>
    <row r="2449" spans="4:102" x14ac:dyDescent="0.25">
      <c r="D2449" s="11"/>
      <c r="E2449" s="11"/>
      <c r="F2449" s="11"/>
      <c r="G2449" s="11"/>
      <c r="H2449" s="11"/>
      <c r="I2449" s="11"/>
      <c r="J2449" s="11"/>
      <c r="K2449" s="11"/>
      <c r="L2449" s="11"/>
      <c r="M2449" s="11"/>
      <c r="N2449" s="11"/>
      <c r="O2449" s="11"/>
      <c r="P2449" s="43"/>
      <c r="Q2449" s="11"/>
      <c r="R2449" s="11"/>
      <c r="S2449" s="11"/>
      <c r="T2449" s="11"/>
      <c r="U2449" s="11"/>
      <c r="V2449" s="11"/>
      <c r="W2449" s="11"/>
      <c r="X2449" s="12"/>
      <c r="Y2449" s="12"/>
      <c r="Z2449" s="12"/>
      <c r="AA2449" s="44"/>
      <c r="AB2449" s="45"/>
      <c r="AC2449" s="12"/>
      <c r="AD2449" s="12"/>
      <c r="AE2449" s="12"/>
      <c r="AF2449" s="12"/>
      <c r="AG2449" s="44"/>
      <c r="AH2449" s="45"/>
      <c r="AI2449" s="12"/>
      <c r="AJ2449" s="12"/>
      <c r="AK2449" s="12"/>
      <c r="AL2449" s="12"/>
      <c r="AM2449" s="44"/>
      <c r="AN2449" s="45"/>
      <c r="AO2449" s="12"/>
      <c r="AP2449" s="12"/>
      <c r="AQ2449" s="12"/>
      <c r="AR2449" s="12"/>
      <c r="AS2449" s="44"/>
      <c r="AT2449" s="45"/>
      <c r="AU2449" s="12"/>
      <c r="AV2449" s="12"/>
      <c r="AW2449" s="12"/>
      <c r="AX2449" s="12"/>
      <c r="AY2449" s="44"/>
      <c r="AZ2449" s="45"/>
      <c r="BA2449" s="12"/>
      <c r="BB2449" s="12"/>
      <c r="BC2449" s="12"/>
      <c r="BD2449" s="12"/>
      <c r="BE2449" s="44"/>
      <c r="BF2449" s="45"/>
      <c r="BG2449" s="12"/>
      <c r="BH2449" s="12"/>
      <c r="BI2449" s="12"/>
      <c r="BJ2449" s="12"/>
      <c r="BK2449" s="44"/>
      <c r="BL2449" s="45"/>
      <c r="BM2449" s="12"/>
      <c r="BN2449" s="12"/>
      <c r="BO2449" s="12"/>
      <c r="BP2449" s="12"/>
      <c r="BQ2449" s="48"/>
      <c r="BR2449" s="49"/>
      <c r="BS2449" s="13"/>
      <c r="BT2449" s="12"/>
      <c r="BV2449" s="14"/>
      <c r="BW2449" s="50"/>
      <c r="BX2449" s="54"/>
      <c r="BY2449" s="14"/>
      <c r="BZ2449" s="14"/>
      <c r="CA2449" s="14"/>
      <c r="CB2449" s="14"/>
      <c r="CC2449" s="14"/>
      <c r="CD2449" s="14"/>
      <c r="CE2449" s="14"/>
      <c r="CF2449" s="15"/>
      <c r="CG2449" s="14"/>
      <c r="CH2449" s="14"/>
      <c r="CI2449" s="50"/>
      <c r="CJ2449" s="54"/>
      <c r="CK2449" s="14"/>
      <c r="CL2449" s="14"/>
      <c r="CM2449" s="14"/>
      <c r="CN2449" s="14"/>
      <c r="CO2449" s="14"/>
      <c r="CP2449" s="14"/>
      <c r="CQ2449" s="14"/>
      <c r="CR2449" s="14"/>
      <c r="CS2449" s="14"/>
      <c r="CT2449" s="14"/>
      <c r="CU2449" s="16"/>
      <c r="CV2449" s="14"/>
      <c r="CW2449" s="50"/>
      <c r="CX2449" s="17"/>
    </row>
    <row r="2450" spans="4:102" x14ac:dyDescent="0.25">
      <c r="D2450" s="11"/>
      <c r="E2450" s="11"/>
      <c r="F2450" s="11"/>
      <c r="G2450" s="11"/>
      <c r="H2450" s="11"/>
      <c r="I2450" s="11"/>
      <c r="J2450" s="11"/>
      <c r="K2450" s="11"/>
      <c r="L2450" s="11"/>
      <c r="M2450" s="11"/>
      <c r="N2450" s="11"/>
      <c r="O2450" s="11"/>
      <c r="P2450" s="43"/>
      <c r="Q2450" s="11"/>
      <c r="R2450" s="11"/>
      <c r="S2450" s="11"/>
      <c r="T2450" s="11"/>
      <c r="U2450" s="11"/>
      <c r="V2450" s="11"/>
      <c r="W2450" s="11"/>
      <c r="X2450" s="12"/>
      <c r="Y2450" s="12"/>
      <c r="Z2450" s="12"/>
      <c r="AA2450" s="44"/>
      <c r="AB2450" s="45"/>
      <c r="AC2450" s="12"/>
      <c r="AD2450" s="12"/>
      <c r="AE2450" s="12"/>
      <c r="AF2450" s="12"/>
      <c r="AG2450" s="44"/>
      <c r="AH2450" s="45"/>
      <c r="AI2450" s="12"/>
      <c r="AJ2450" s="12"/>
      <c r="AK2450" s="12"/>
      <c r="AL2450" s="12"/>
      <c r="AM2450" s="44"/>
      <c r="AN2450" s="45"/>
      <c r="AO2450" s="12"/>
      <c r="AP2450" s="12"/>
      <c r="AQ2450" s="12"/>
      <c r="AR2450" s="12"/>
      <c r="AS2450" s="44"/>
      <c r="AT2450" s="45"/>
      <c r="AU2450" s="12"/>
      <c r="AV2450" s="12"/>
      <c r="AW2450" s="12"/>
      <c r="AX2450" s="12"/>
      <c r="AY2450" s="44"/>
      <c r="AZ2450" s="45"/>
      <c r="BA2450" s="12"/>
      <c r="BB2450" s="12"/>
      <c r="BC2450" s="12"/>
      <c r="BD2450" s="12"/>
      <c r="BE2450" s="44"/>
      <c r="BF2450" s="45"/>
      <c r="BG2450" s="12"/>
      <c r="BH2450" s="12"/>
      <c r="BI2450" s="12"/>
      <c r="BJ2450" s="12"/>
      <c r="BK2450" s="44"/>
      <c r="BL2450" s="45"/>
      <c r="BM2450" s="12"/>
      <c r="BN2450" s="12"/>
      <c r="BO2450" s="12"/>
      <c r="BP2450" s="12"/>
      <c r="BQ2450" s="48"/>
      <c r="BR2450" s="49"/>
      <c r="BS2450" s="13"/>
      <c r="BT2450" s="12"/>
      <c r="BV2450" s="14"/>
      <c r="BW2450" s="50"/>
      <c r="BX2450" s="54"/>
      <c r="BY2450" s="14"/>
      <c r="BZ2450" s="14"/>
      <c r="CA2450" s="14"/>
      <c r="CB2450" s="14"/>
      <c r="CC2450" s="14"/>
      <c r="CD2450" s="14"/>
      <c r="CE2450" s="14"/>
      <c r="CF2450" s="15"/>
      <c r="CG2450" s="14"/>
      <c r="CH2450" s="14"/>
      <c r="CI2450" s="50"/>
      <c r="CJ2450" s="54"/>
      <c r="CK2450" s="14"/>
      <c r="CL2450" s="14"/>
      <c r="CM2450" s="14"/>
      <c r="CN2450" s="14"/>
      <c r="CO2450" s="14"/>
      <c r="CP2450" s="14"/>
      <c r="CQ2450" s="14"/>
      <c r="CR2450" s="14"/>
      <c r="CS2450" s="14"/>
      <c r="CT2450" s="14"/>
      <c r="CU2450" s="16"/>
      <c r="CV2450" s="14"/>
      <c r="CW2450" s="50"/>
      <c r="CX2450" s="17"/>
    </row>
    <row r="2451" spans="4:102" x14ac:dyDescent="0.25">
      <c r="D2451" s="11"/>
      <c r="E2451" s="11"/>
      <c r="F2451" s="11"/>
      <c r="G2451" s="11"/>
      <c r="H2451" s="11"/>
      <c r="I2451" s="11"/>
      <c r="J2451" s="11"/>
      <c r="K2451" s="11"/>
      <c r="L2451" s="11"/>
      <c r="M2451" s="11"/>
      <c r="N2451" s="11"/>
      <c r="O2451" s="11"/>
      <c r="P2451" s="43"/>
      <c r="Q2451" s="11"/>
      <c r="R2451" s="11"/>
      <c r="S2451" s="11"/>
      <c r="T2451" s="11"/>
      <c r="U2451" s="11"/>
      <c r="V2451" s="11"/>
      <c r="W2451" s="11"/>
      <c r="X2451" s="12"/>
      <c r="Y2451" s="12"/>
      <c r="Z2451" s="12"/>
      <c r="AA2451" s="44"/>
      <c r="AB2451" s="45"/>
      <c r="AC2451" s="12"/>
      <c r="AD2451" s="12"/>
      <c r="AE2451" s="12"/>
      <c r="AF2451" s="12"/>
      <c r="AG2451" s="44"/>
      <c r="AH2451" s="45"/>
      <c r="AI2451" s="12"/>
      <c r="AJ2451" s="12"/>
      <c r="AK2451" s="12"/>
      <c r="AL2451" s="12"/>
      <c r="AM2451" s="44"/>
      <c r="AN2451" s="45"/>
      <c r="AO2451" s="12"/>
      <c r="AP2451" s="12"/>
      <c r="AQ2451" s="12"/>
      <c r="AR2451" s="12"/>
      <c r="AS2451" s="44"/>
      <c r="AT2451" s="45"/>
      <c r="AU2451" s="12"/>
      <c r="AV2451" s="12"/>
      <c r="AW2451" s="12"/>
      <c r="AX2451" s="12"/>
      <c r="AY2451" s="44"/>
      <c r="AZ2451" s="45"/>
      <c r="BA2451" s="12"/>
      <c r="BB2451" s="12"/>
      <c r="BC2451" s="12"/>
      <c r="BD2451" s="12"/>
      <c r="BE2451" s="44"/>
      <c r="BF2451" s="45"/>
      <c r="BG2451" s="12"/>
      <c r="BH2451" s="12"/>
      <c r="BI2451" s="12"/>
      <c r="BJ2451" s="12"/>
      <c r="BK2451" s="44"/>
      <c r="BL2451" s="45"/>
      <c r="BM2451" s="12"/>
      <c r="BN2451" s="12"/>
      <c r="BO2451" s="12"/>
      <c r="BP2451" s="12"/>
      <c r="BQ2451" s="48"/>
      <c r="BR2451" s="49"/>
      <c r="BS2451" s="13"/>
      <c r="BT2451" s="12"/>
      <c r="BV2451" s="14"/>
      <c r="BW2451" s="50"/>
      <c r="BX2451" s="54"/>
      <c r="BY2451" s="14"/>
      <c r="BZ2451" s="14"/>
      <c r="CA2451" s="14"/>
      <c r="CB2451" s="14"/>
      <c r="CC2451" s="14"/>
      <c r="CD2451" s="14"/>
      <c r="CE2451" s="14"/>
      <c r="CF2451" s="15"/>
      <c r="CG2451" s="14"/>
      <c r="CH2451" s="14"/>
      <c r="CI2451" s="50"/>
      <c r="CJ2451" s="54"/>
      <c r="CK2451" s="14"/>
      <c r="CL2451" s="14"/>
      <c r="CM2451" s="14"/>
      <c r="CN2451" s="14"/>
      <c r="CO2451" s="14"/>
      <c r="CP2451" s="14"/>
      <c r="CQ2451" s="14"/>
      <c r="CR2451" s="14"/>
      <c r="CS2451" s="14"/>
      <c r="CT2451" s="14"/>
      <c r="CU2451" s="16"/>
      <c r="CV2451" s="14"/>
      <c r="CW2451" s="50"/>
      <c r="CX2451" s="17"/>
    </row>
    <row r="2452" spans="4:102" x14ac:dyDescent="0.25">
      <c r="D2452" s="11"/>
      <c r="E2452" s="11"/>
      <c r="F2452" s="11"/>
      <c r="G2452" s="11"/>
      <c r="H2452" s="11"/>
      <c r="I2452" s="11"/>
      <c r="J2452" s="11"/>
      <c r="K2452" s="11"/>
      <c r="L2452" s="11"/>
      <c r="M2452" s="11"/>
      <c r="N2452" s="11"/>
      <c r="O2452" s="11"/>
      <c r="P2452" s="43"/>
      <c r="Q2452" s="11"/>
      <c r="R2452" s="11"/>
      <c r="S2452" s="11"/>
      <c r="T2452" s="11"/>
      <c r="U2452" s="11"/>
      <c r="V2452" s="11"/>
      <c r="W2452" s="11"/>
      <c r="X2452" s="12"/>
      <c r="Y2452" s="12"/>
      <c r="Z2452" s="12"/>
      <c r="AA2452" s="44"/>
      <c r="AB2452" s="45"/>
      <c r="AC2452" s="12"/>
      <c r="AD2452" s="12"/>
      <c r="AE2452" s="12"/>
      <c r="AF2452" s="12"/>
      <c r="AG2452" s="44"/>
      <c r="AH2452" s="45"/>
      <c r="AI2452" s="12"/>
      <c r="AJ2452" s="12"/>
      <c r="AK2452" s="12"/>
      <c r="AL2452" s="12"/>
      <c r="AM2452" s="44"/>
      <c r="AN2452" s="45"/>
      <c r="AO2452" s="12"/>
      <c r="AP2452" s="12"/>
      <c r="AQ2452" s="12"/>
      <c r="AR2452" s="12"/>
      <c r="AS2452" s="44"/>
      <c r="AT2452" s="45"/>
      <c r="AU2452" s="12"/>
      <c r="AV2452" s="12"/>
      <c r="AW2452" s="12"/>
      <c r="AX2452" s="12"/>
      <c r="AY2452" s="44"/>
      <c r="AZ2452" s="45"/>
      <c r="BA2452" s="12"/>
      <c r="BB2452" s="12"/>
      <c r="BC2452" s="12"/>
      <c r="BD2452" s="12"/>
      <c r="BE2452" s="44"/>
      <c r="BF2452" s="45"/>
      <c r="BG2452" s="12"/>
      <c r="BH2452" s="12"/>
      <c r="BI2452" s="12"/>
      <c r="BJ2452" s="12"/>
      <c r="BK2452" s="44"/>
      <c r="BL2452" s="45"/>
      <c r="BM2452" s="12"/>
      <c r="BN2452" s="12"/>
      <c r="BO2452" s="12"/>
      <c r="BP2452" s="12"/>
      <c r="BQ2452" s="48"/>
      <c r="BR2452" s="49"/>
      <c r="BS2452" s="13"/>
      <c r="BT2452" s="12"/>
      <c r="BV2452" s="14"/>
      <c r="BW2452" s="50"/>
      <c r="BX2452" s="54"/>
      <c r="BY2452" s="14"/>
      <c r="BZ2452" s="14"/>
      <c r="CA2452" s="14"/>
      <c r="CB2452" s="14"/>
      <c r="CC2452" s="14"/>
      <c r="CD2452" s="14"/>
      <c r="CE2452" s="14"/>
      <c r="CF2452" s="15"/>
      <c r="CG2452" s="14"/>
      <c r="CH2452" s="14"/>
      <c r="CI2452" s="50"/>
      <c r="CJ2452" s="54"/>
      <c r="CK2452" s="14"/>
      <c r="CL2452" s="14"/>
      <c r="CM2452" s="14"/>
      <c r="CN2452" s="14"/>
      <c r="CO2452" s="14"/>
      <c r="CP2452" s="14"/>
      <c r="CQ2452" s="14"/>
      <c r="CR2452" s="14"/>
      <c r="CS2452" s="14"/>
      <c r="CT2452" s="14"/>
      <c r="CU2452" s="16"/>
      <c r="CV2452" s="14"/>
      <c r="CW2452" s="50"/>
      <c r="CX2452" s="17"/>
    </row>
    <row r="2453" spans="4:102" x14ac:dyDescent="0.25">
      <c r="D2453" s="11"/>
      <c r="E2453" s="11"/>
      <c r="F2453" s="11"/>
      <c r="G2453" s="11"/>
      <c r="H2453" s="11"/>
      <c r="I2453" s="11"/>
      <c r="J2453" s="11"/>
      <c r="K2453" s="11"/>
      <c r="L2453" s="11"/>
      <c r="M2453" s="11"/>
      <c r="N2453" s="11"/>
      <c r="O2453" s="11"/>
      <c r="P2453" s="43"/>
      <c r="Q2453" s="11"/>
      <c r="R2453" s="11"/>
      <c r="S2453" s="11"/>
      <c r="T2453" s="11"/>
      <c r="U2453" s="11"/>
      <c r="V2453" s="11"/>
      <c r="W2453" s="11"/>
      <c r="X2453" s="12"/>
      <c r="Y2453" s="12"/>
      <c r="Z2453" s="12"/>
      <c r="AA2453" s="44"/>
      <c r="AB2453" s="45"/>
      <c r="AC2453" s="12"/>
      <c r="AD2453" s="12"/>
      <c r="AE2453" s="12"/>
      <c r="AF2453" s="12"/>
      <c r="AG2453" s="44"/>
      <c r="AH2453" s="45"/>
      <c r="AI2453" s="12"/>
      <c r="AJ2453" s="12"/>
      <c r="AK2453" s="12"/>
      <c r="AL2453" s="12"/>
      <c r="AM2453" s="44"/>
      <c r="AN2453" s="45"/>
      <c r="AO2453" s="12"/>
      <c r="AP2453" s="12"/>
      <c r="AQ2453" s="12"/>
      <c r="AR2453" s="12"/>
      <c r="AS2453" s="44"/>
      <c r="AT2453" s="45"/>
      <c r="AU2453" s="12"/>
      <c r="AV2453" s="12"/>
      <c r="AW2453" s="12"/>
      <c r="AX2453" s="12"/>
      <c r="AY2453" s="44"/>
      <c r="AZ2453" s="45"/>
      <c r="BA2453" s="12"/>
      <c r="BB2453" s="12"/>
      <c r="BC2453" s="12"/>
      <c r="BD2453" s="12"/>
      <c r="BE2453" s="44"/>
      <c r="BF2453" s="45"/>
      <c r="BG2453" s="12"/>
      <c r="BH2453" s="12"/>
      <c r="BI2453" s="12"/>
      <c r="BJ2453" s="12"/>
      <c r="BK2453" s="44"/>
      <c r="BL2453" s="45"/>
      <c r="BM2453" s="12"/>
      <c r="BN2453" s="12"/>
      <c r="BO2453" s="12"/>
      <c r="BP2453" s="12"/>
      <c r="BQ2453" s="48"/>
      <c r="BR2453" s="49"/>
      <c r="BS2453" s="13"/>
      <c r="BT2453" s="12"/>
      <c r="BV2453" s="14"/>
      <c r="BW2453" s="50"/>
      <c r="BX2453" s="54"/>
      <c r="BY2453" s="14"/>
      <c r="BZ2453" s="14"/>
      <c r="CA2453" s="14"/>
      <c r="CB2453" s="14"/>
      <c r="CC2453" s="14"/>
      <c r="CD2453" s="14"/>
      <c r="CE2453" s="14"/>
      <c r="CF2453" s="15"/>
      <c r="CG2453" s="14"/>
      <c r="CH2453" s="14"/>
      <c r="CI2453" s="50"/>
      <c r="CJ2453" s="54"/>
      <c r="CK2453" s="14"/>
      <c r="CL2453" s="14"/>
      <c r="CM2453" s="14"/>
      <c r="CN2453" s="14"/>
      <c r="CO2453" s="14"/>
      <c r="CP2453" s="14"/>
      <c r="CQ2453" s="14"/>
      <c r="CR2453" s="14"/>
      <c r="CS2453" s="14"/>
      <c r="CT2453" s="14"/>
      <c r="CU2453" s="16"/>
      <c r="CV2453" s="14"/>
      <c r="CW2453" s="50"/>
      <c r="CX2453" s="17"/>
    </row>
    <row r="2454" spans="4:102" x14ac:dyDescent="0.25">
      <c r="D2454" s="11"/>
      <c r="E2454" s="11"/>
      <c r="F2454" s="11"/>
      <c r="G2454" s="11"/>
      <c r="H2454" s="11"/>
      <c r="I2454" s="11"/>
      <c r="J2454" s="11"/>
      <c r="K2454" s="11"/>
      <c r="L2454" s="11"/>
      <c r="M2454" s="11"/>
      <c r="N2454" s="11"/>
      <c r="O2454" s="11"/>
      <c r="P2454" s="43"/>
      <c r="Q2454" s="11"/>
      <c r="R2454" s="11"/>
      <c r="S2454" s="11"/>
      <c r="T2454" s="11"/>
      <c r="U2454" s="11"/>
      <c r="V2454" s="11"/>
      <c r="W2454" s="11"/>
      <c r="X2454" s="12"/>
      <c r="Y2454" s="12"/>
      <c r="Z2454" s="12"/>
      <c r="AA2454" s="44"/>
      <c r="AB2454" s="45"/>
      <c r="AC2454" s="12"/>
      <c r="AD2454" s="12"/>
      <c r="AE2454" s="12"/>
      <c r="AF2454" s="12"/>
      <c r="AG2454" s="44"/>
      <c r="AH2454" s="45"/>
      <c r="AI2454" s="12"/>
      <c r="AJ2454" s="12"/>
      <c r="AK2454" s="12"/>
      <c r="AL2454" s="12"/>
      <c r="AM2454" s="44"/>
      <c r="AN2454" s="45"/>
      <c r="AO2454" s="12"/>
      <c r="AP2454" s="12"/>
      <c r="AQ2454" s="12"/>
      <c r="AR2454" s="12"/>
      <c r="AS2454" s="44"/>
      <c r="AT2454" s="45"/>
      <c r="AU2454" s="12"/>
      <c r="AV2454" s="12"/>
      <c r="AW2454" s="12"/>
      <c r="AX2454" s="12"/>
      <c r="AY2454" s="44"/>
      <c r="AZ2454" s="45"/>
      <c r="BA2454" s="12"/>
      <c r="BB2454" s="12"/>
      <c r="BC2454" s="12"/>
      <c r="BD2454" s="12"/>
      <c r="BE2454" s="44"/>
      <c r="BF2454" s="45"/>
      <c r="BG2454" s="12"/>
      <c r="BH2454" s="12"/>
      <c r="BI2454" s="12"/>
      <c r="BJ2454" s="12"/>
      <c r="BK2454" s="44"/>
      <c r="BL2454" s="45"/>
      <c r="BM2454" s="12"/>
      <c r="BN2454" s="12"/>
      <c r="BO2454" s="12"/>
      <c r="BP2454" s="12"/>
      <c r="BQ2454" s="48"/>
      <c r="BR2454" s="49"/>
      <c r="BS2454" s="13"/>
      <c r="BT2454" s="12"/>
      <c r="BV2454" s="14"/>
      <c r="BW2454" s="50"/>
      <c r="BX2454" s="54"/>
      <c r="BY2454" s="14"/>
      <c r="BZ2454" s="14"/>
      <c r="CA2454" s="14"/>
      <c r="CB2454" s="14"/>
      <c r="CC2454" s="14"/>
      <c r="CD2454" s="14"/>
      <c r="CE2454" s="14"/>
      <c r="CF2454" s="15"/>
      <c r="CG2454" s="14"/>
      <c r="CH2454" s="14"/>
      <c r="CI2454" s="50"/>
      <c r="CJ2454" s="54"/>
      <c r="CK2454" s="14"/>
      <c r="CL2454" s="14"/>
      <c r="CM2454" s="14"/>
      <c r="CN2454" s="14"/>
      <c r="CO2454" s="14"/>
      <c r="CP2454" s="14"/>
      <c r="CQ2454" s="14"/>
      <c r="CR2454" s="14"/>
      <c r="CS2454" s="14"/>
      <c r="CT2454" s="14"/>
      <c r="CU2454" s="16"/>
      <c r="CV2454" s="14"/>
      <c r="CW2454" s="50"/>
      <c r="CX2454" s="17"/>
    </row>
    <row r="2455" spans="4:102" x14ac:dyDescent="0.25">
      <c r="D2455" s="11"/>
      <c r="E2455" s="11"/>
      <c r="F2455" s="11"/>
      <c r="G2455" s="11"/>
      <c r="H2455" s="11"/>
      <c r="I2455" s="11"/>
      <c r="J2455" s="11"/>
      <c r="K2455" s="11"/>
      <c r="L2455" s="11"/>
      <c r="M2455" s="11"/>
      <c r="N2455" s="11"/>
      <c r="O2455" s="11"/>
      <c r="P2455" s="43"/>
      <c r="Q2455" s="11"/>
      <c r="R2455" s="11"/>
      <c r="S2455" s="11"/>
      <c r="T2455" s="11"/>
      <c r="U2455" s="11"/>
      <c r="V2455" s="11"/>
      <c r="W2455" s="11"/>
      <c r="X2455" s="12"/>
      <c r="Y2455" s="12"/>
      <c r="Z2455" s="12"/>
      <c r="AA2455" s="44"/>
      <c r="AB2455" s="45"/>
      <c r="AC2455" s="12"/>
      <c r="AD2455" s="12"/>
      <c r="AE2455" s="12"/>
      <c r="AF2455" s="12"/>
      <c r="AG2455" s="44"/>
      <c r="AH2455" s="45"/>
      <c r="AI2455" s="12"/>
      <c r="AJ2455" s="12"/>
      <c r="AK2455" s="12"/>
      <c r="AL2455" s="12"/>
      <c r="AM2455" s="44"/>
      <c r="AN2455" s="45"/>
      <c r="AO2455" s="12"/>
      <c r="AP2455" s="12"/>
      <c r="AQ2455" s="12"/>
      <c r="AR2455" s="12"/>
      <c r="AS2455" s="44"/>
      <c r="AT2455" s="45"/>
      <c r="AU2455" s="12"/>
      <c r="AV2455" s="12"/>
      <c r="AW2455" s="12"/>
      <c r="AX2455" s="12"/>
      <c r="AY2455" s="44"/>
      <c r="AZ2455" s="45"/>
      <c r="BA2455" s="12"/>
      <c r="BB2455" s="12"/>
      <c r="BC2455" s="12"/>
      <c r="BD2455" s="12"/>
      <c r="BE2455" s="44"/>
      <c r="BF2455" s="45"/>
      <c r="BG2455" s="12"/>
      <c r="BH2455" s="12"/>
      <c r="BI2455" s="12"/>
      <c r="BJ2455" s="12"/>
      <c r="BK2455" s="44"/>
      <c r="BL2455" s="45"/>
      <c r="BM2455" s="12"/>
      <c r="BN2455" s="12"/>
      <c r="BO2455" s="12"/>
      <c r="BP2455" s="12"/>
      <c r="BQ2455" s="48"/>
      <c r="BR2455" s="49"/>
      <c r="BS2455" s="13"/>
      <c r="BT2455" s="12"/>
      <c r="BV2455" s="14"/>
      <c r="BW2455" s="50"/>
      <c r="BX2455" s="54"/>
      <c r="BY2455" s="14"/>
      <c r="BZ2455" s="14"/>
      <c r="CA2455" s="14"/>
      <c r="CB2455" s="14"/>
      <c r="CC2455" s="14"/>
      <c r="CD2455" s="14"/>
      <c r="CE2455" s="14"/>
      <c r="CF2455" s="15"/>
      <c r="CG2455" s="14"/>
      <c r="CH2455" s="14"/>
      <c r="CI2455" s="50"/>
      <c r="CJ2455" s="54"/>
      <c r="CK2455" s="14"/>
      <c r="CL2455" s="14"/>
      <c r="CM2455" s="14"/>
      <c r="CN2455" s="14"/>
      <c r="CO2455" s="14"/>
      <c r="CP2455" s="14"/>
      <c r="CQ2455" s="14"/>
      <c r="CR2455" s="14"/>
      <c r="CS2455" s="14"/>
      <c r="CT2455" s="14"/>
      <c r="CU2455" s="16"/>
      <c r="CV2455" s="14"/>
      <c r="CW2455" s="50"/>
      <c r="CX2455" s="17"/>
    </row>
    <row r="2456" spans="4:102" x14ac:dyDescent="0.25">
      <c r="D2456" s="11"/>
      <c r="E2456" s="11"/>
      <c r="F2456" s="11"/>
      <c r="G2456" s="11"/>
      <c r="H2456" s="11"/>
      <c r="I2456" s="11"/>
      <c r="J2456" s="11"/>
      <c r="K2456" s="11"/>
      <c r="L2456" s="11"/>
      <c r="M2456" s="11"/>
      <c r="N2456" s="11"/>
      <c r="O2456" s="11"/>
      <c r="P2456" s="43"/>
      <c r="Q2456" s="11"/>
      <c r="R2456" s="11"/>
      <c r="S2456" s="11"/>
      <c r="T2456" s="11"/>
      <c r="U2456" s="11"/>
      <c r="V2456" s="11"/>
      <c r="W2456" s="11"/>
      <c r="X2456" s="12"/>
      <c r="Y2456" s="12"/>
      <c r="Z2456" s="12"/>
      <c r="AA2456" s="44"/>
      <c r="AB2456" s="45"/>
      <c r="AC2456" s="12"/>
      <c r="AD2456" s="12"/>
      <c r="AE2456" s="12"/>
      <c r="AF2456" s="12"/>
      <c r="AG2456" s="44"/>
      <c r="AH2456" s="45"/>
      <c r="AI2456" s="12"/>
      <c r="AJ2456" s="12"/>
      <c r="AK2456" s="12"/>
      <c r="AL2456" s="12"/>
      <c r="AM2456" s="44"/>
      <c r="AN2456" s="45"/>
      <c r="AO2456" s="12"/>
      <c r="AP2456" s="12"/>
      <c r="AQ2456" s="12"/>
      <c r="AR2456" s="12"/>
      <c r="AS2456" s="44"/>
      <c r="AT2456" s="45"/>
      <c r="AU2456" s="12"/>
      <c r="AV2456" s="12"/>
      <c r="AW2456" s="12"/>
      <c r="AX2456" s="12"/>
      <c r="AY2456" s="44"/>
      <c r="AZ2456" s="45"/>
      <c r="BA2456" s="12"/>
      <c r="BB2456" s="12"/>
      <c r="BC2456" s="12"/>
      <c r="BD2456" s="12"/>
      <c r="BE2456" s="44"/>
      <c r="BF2456" s="45"/>
      <c r="BG2456" s="12"/>
      <c r="BH2456" s="12"/>
      <c r="BI2456" s="12"/>
      <c r="BJ2456" s="12"/>
      <c r="BK2456" s="44"/>
      <c r="BL2456" s="45"/>
      <c r="BM2456" s="12"/>
      <c r="BN2456" s="12"/>
      <c r="BO2456" s="12"/>
      <c r="BP2456" s="12"/>
      <c r="BQ2456" s="48"/>
      <c r="BR2456" s="49"/>
      <c r="BS2456" s="13"/>
      <c r="BT2456" s="12"/>
      <c r="BV2456" s="14"/>
      <c r="BW2456" s="50"/>
      <c r="BX2456" s="54"/>
      <c r="BY2456" s="14"/>
      <c r="BZ2456" s="14"/>
      <c r="CA2456" s="14"/>
      <c r="CB2456" s="14"/>
      <c r="CC2456" s="14"/>
      <c r="CD2456" s="14"/>
      <c r="CE2456" s="14"/>
      <c r="CF2456" s="15"/>
      <c r="CG2456" s="14"/>
      <c r="CH2456" s="14"/>
      <c r="CI2456" s="50"/>
      <c r="CJ2456" s="54"/>
      <c r="CK2456" s="14"/>
      <c r="CL2456" s="14"/>
      <c r="CM2456" s="14"/>
      <c r="CN2456" s="14"/>
      <c r="CO2456" s="14"/>
      <c r="CP2456" s="14"/>
      <c r="CQ2456" s="14"/>
      <c r="CR2456" s="14"/>
      <c r="CS2456" s="14"/>
      <c r="CT2456" s="14"/>
      <c r="CU2456" s="16"/>
      <c r="CV2456" s="14"/>
      <c r="CW2456" s="50"/>
      <c r="CX2456" s="17"/>
    </row>
    <row r="2457" spans="4:102" x14ac:dyDescent="0.25">
      <c r="D2457" s="11"/>
      <c r="E2457" s="11"/>
      <c r="F2457" s="11"/>
      <c r="G2457" s="11"/>
      <c r="H2457" s="11"/>
      <c r="I2457" s="11"/>
      <c r="J2457" s="11"/>
      <c r="K2457" s="11"/>
      <c r="L2457" s="11"/>
      <c r="M2457" s="11"/>
      <c r="N2457" s="11"/>
      <c r="O2457" s="11"/>
      <c r="P2457" s="43"/>
      <c r="Q2457" s="11"/>
      <c r="R2457" s="11"/>
      <c r="S2457" s="11"/>
      <c r="T2457" s="11"/>
      <c r="U2457" s="11"/>
      <c r="V2457" s="11"/>
      <c r="W2457" s="11"/>
      <c r="X2457" s="12"/>
      <c r="Y2457" s="12"/>
      <c r="Z2457" s="12"/>
      <c r="AA2457" s="44"/>
      <c r="AB2457" s="45"/>
      <c r="AC2457" s="12"/>
      <c r="AD2457" s="12"/>
      <c r="AE2457" s="12"/>
      <c r="AF2457" s="12"/>
      <c r="AG2457" s="44"/>
      <c r="AH2457" s="45"/>
      <c r="AI2457" s="12"/>
      <c r="AJ2457" s="12"/>
      <c r="AK2457" s="12"/>
      <c r="AL2457" s="12"/>
      <c r="AM2457" s="44"/>
      <c r="AN2457" s="45"/>
      <c r="AO2457" s="12"/>
      <c r="AP2457" s="12"/>
      <c r="AQ2457" s="12"/>
      <c r="AR2457" s="12"/>
      <c r="AS2457" s="44"/>
      <c r="AT2457" s="45"/>
      <c r="AU2457" s="12"/>
      <c r="AV2457" s="12"/>
      <c r="AW2457" s="12"/>
      <c r="AX2457" s="12"/>
      <c r="AY2457" s="44"/>
      <c r="AZ2457" s="45"/>
      <c r="BA2457" s="12"/>
      <c r="BB2457" s="12"/>
      <c r="BC2457" s="12"/>
      <c r="BD2457" s="12"/>
      <c r="BE2457" s="44"/>
      <c r="BF2457" s="45"/>
      <c r="BG2457" s="12"/>
      <c r="BH2457" s="12"/>
      <c r="BI2457" s="12"/>
      <c r="BJ2457" s="12"/>
      <c r="BK2457" s="44"/>
      <c r="BL2457" s="45"/>
      <c r="BM2457" s="12"/>
      <c r="BN2457" s="12"/>
      <c r="BO2457" s="12"/>
      <c r="BP2457" s="12"/>
      <c r="BQ2457" s="48"/>
      <c r="BR2457" s="49"/>
      <c r="BS2457" s="13"/>
      <c r="BT2457" s="12"/>
      <c r="BV2457" s="14"/>
      <c r="BW2457" s="50"/>
      <c r="BX2457" s="54"/>
      <c r="BY2457" s="14"/>
      <c r="BZ2457" s="14"/>
      <c r="CA2457" s="14"/>
      <c r="CB2457" s="14"/>
      <c r="CC2457" s="14"/>
      <c r="CD2457" s="14"/>
      <c r="CE2457" s="14"/>
      <c r="CF2457" s="15"/>
      <c r="CG2457" s="14"/>
      <c r="CH2457" s="14"/>
      <c r="CI2457" s="50"/>
      <c r="CJ2457" s="54"/>
      <c r="CK2457" s="14"/>
      <c r="CL2457" s="14"/>
      <c r="CM2457" s="14"/>
      <c r="CN2457" s="14"/>
      <c r="CO2457" s="14"/>
      <c r="CP2457" s="14"/>
      <c r="CQ2457" s="14"/>
      <c r="CR2457" s="14"/>
      <c r="CS2457" s="14"/>
      <c r="CT2457" s="14"/>
      <c r="CU2457" s="16"/>
      <c r="CV2457" s="14"/>
      <c r="CW2457" s="50"/>
      <c r="CX2457" s="17"/>
    </row>
    <row r="2458" spans="4:102" x14ac:dyDescent="0.25">
      <c r="D2458" s="11"/>
      <c r="E2458" s="11"/>
      <c r="F2458" s="11"/>
      <c r="G2458" s="11"/>
      <c r="H2458" s="11"/>
      <c r="I2458" s="11"/>
      <c r="J2458" s="11"/>
      <c r="K2458" s="11"/>
      <c r="L2458" s="11"/>
      <c r="M2458" s="11"/>
      <c r="N2458" s="11"/>
      <c r="O2458" s="11"/>
      <c r="P2458" s="43"/>
      <c r="Q2458" s="11"/>
      <c r="R2458" s="11"/>
      <c r="S2458" s="11"/>
      <c r="T2458" s="11"/>
      <c r="U2458" s="11"/>
      <c r="V2458" s="11"/>
      <c r="W2458" s="11"/>
      <c r="X2458" s="12"/>
      <c r="Y2458" s="12"/>
      <c r="Z2458" s="12"/>
      <c r="AA2458" s="44"/>
      <c r="AB2458" s="45"/>
      <c r="AC2458" s="12"/>
      <c r="AD2458" s="12"/>
      <c r="AE2458" s="12"/>
      <c r="AF2458" s="12"/>
      <c r="AG2458" s="44"/>
      <c r="AH2458" s="45"/>
      <c r="AI2458" s="12"/>
      <c r="AJ2458" s="12"/>
      <c r="AK2458" s="12"/>
      <c r="AL2458" s="12"/>
      <c r="AM2458" s="44"/>
      <c r="AN2458" s="45"/>
      <c r="AO2458" s="12"/>
      <c r="AP2458" s="12"/>
      <c r="AQ2458" s="12"/>
      <c r="AR2458" s="12"/>
      <c r="AS2458" s="44"/>
      <c r="AT2458" s="45"/>
      <c r="AU2458" s="12"/>
      <c r="AV2458" s="12"/>
      <c r="AW2458" s="12"/>
      <c r="AX2458" s="12"/>
      <c r="AY2458" s="44"/>
      <c r="AZ2458" s="45"/>
      <c r="BA2458" s="12"/>
      <c r="BB2458" s="12"/>
      <c r="BC2458" s="12"/>
      <c r="BD2458" s="12"/>
      <c r="BE2458" s="44"/>
      <c r="BF2458" s="45"/>
      <c r="BG2458" s="12"/>
      <c r="BH2458" s="12"/>
      <c r="BI2458" s="12"/>
      <c r="BJ2458" s="12"/>
      <c r="BK2458" s="44"/>
      <c r="BL2458" s="45"/>
      <c r="BM2458" s="12"/>
      <c r="BN2458" s="12"/>
      <c r="BO2458" s="12"/>
      <c r="BP2458" s="12"/>
      <c r="BQ2458" s="48"/>
      <c r="BR2458" s="49"/>
      <c r="BS2458" s="13"/>
      <c r="BT2458" s="12"/>
      <c r="BV2458" s="14"/>
      <c r="BW2458" s="50"/>
      <c r="BX2458" s="54"/>
      <c r="BY2458" s="14"/>
      <c r="BZ2458" s="14"/>
      <c r="CA2458" s="14"/>
      <c r="CB2458" s="14"/>
      <c r="CC2458" s="14"/>
      <c r="CD2458" s="14"/>
      <c r="CE2458" s="14"/>
      <c r="CF2458" s="15"/>
      <c r="CG2458" s="14"/>
      <c r="CH2458" s="14"/>
      <c r="CI2458" s="50"/>
      <c r="CJ2458" s="54"/>
      <c r="CK2458" s="14"/>
      <c r="CL2458" s="14"/>
      <c r="CM2458" s="14"/>
      <c r="CN2458" s="14"/>
      <c r="CO2458" s="14"/>
      <c r="CP2458" s="14"/>
      <c r="CQ2458" s="14"/>
      <c r="CR2458" s="14"/>
      <c r="CS2458" s="14"/>
      <c r="CT2458" s="14"/>
      <c r="CU2458" s="16"/>
      <c r="CV2458" s="14"/>
      <c r="CW2458" s="50"/>
      <c r="CX2458" s="17"/>
    </row>
    <row r="2459" spans="4:102" x14ac:dyDescent="0.25">
      <c r="D2459" s="11"/>
      <c r="E2459" s="11"/>
      <c r="F2459" s="11"/>
      <c r="G2459" s="11"/>
      <c r="H2459" s="11"/>
      <c r="I2459" s="11"/>
      <c r="J2459" s="11"/>
      <c r="K2459" s="11"/>
      <c r="L2459" s="11"/>
      <c r="M2459" s="11"/>
      <c r="N2459" s="11"/>
      <c r="O2459" s="11"/>
      <c r="P2459" s="43"/>
      <c r="Q2459" s="11"/>
      <c r="R2459" s="11"/>
      <c r="S2459" s="11"/>
      <c r="T2459" s="11"/>
      <c r="U2459" s="11"/>
      <c r="V2459" s="11"/>
      <c r="W2459" s="11"/>
      <c r="X2459" s="12"/>
      <c r="Y2459" s="12"/>
      <c r="Z2459" s="12"/>
      <c r="AA2459" s="44"/>
      <c r="AB2459" s="45"/>
      <c r="AC2459" s="12"/>
      <c r="AD2459" s="12"/>
      <c r="AE2459" s="12"/>
      <c r="AF2459" s="12"/>
      <c r="AG2459" s="44"/>
      <c r="AH2459" s="45"/>
      <c r="AI2459" s="12"/>
      <c r="AJ2459" s="12"/>
      <c r="AK2459" s="12"/>
      <c r="AL2459" s="12"/>
      <c r="AM2459" s="44"/>
      <c r="AN2459" s="45"/>
      <c r="AO2459" s="12"/>
      <c r="AP2459" s="12"/>
      <c r="AQ2459" s="12"/>
      <c r="AR2459" s="12"/>
      <c r="AS2459" s="44"/>
      <c r="AT2459" s="45"/>
      <c r="AU2459" s="12"/>
      <c r="AV2459" s="12"/>
      <c r="AW2459" s="12"/>
      <c r="AX2459" s="12"/>
      <c r="AY2459" s="44"/>
      <c r="AZ2459" s="45"/>
      <c r="BA2459" s="12"/>
      <c r="BB2459" s="12"/>
      <c r="BC2459" s="12"/>
      <c r="BD2459" s="12"/>
      <c r="BE2459" s="44"/>
      <c r="BF2459" s="45"/>
      <c r="BG2459" s="12"/>
      <c r="BH2459" s="12"/>
      <c r="BI2459" s="12"/>
      <c r="BJ2459" s="12"/>
      <c r="BK2459" s="44"/>
      <c r="BL2459" s="45"/>
      <c r="BM2459" s="12"/>
      <c r="BN2459" s="12"/>
      <c r="BO2459" s="12"/>
      <c r="BP2459" s="12"/>
      <c r="BQ2459" s="48"/>
      <c r="BR2459" s="49"/>
      <c r="BS2459" s="13"/>
      <c r="BT2459" s="12"/>
      <c r="BV2459" s="14"/>
      <c r="BW2459" s="50"/>
      <c r="BX2459" s="54"/>
      <c r="BY2459" s="14"/>
      <c r="BZ2459" s="14"/>
      <c r="CA2459" s="14"/>
      <c r="CB2459" s="14"/>
      <c r="CC2459" s="14"/>
      <c r="CD2459" s="14"/>
      <c r="CE2459" s="14"/>
      <c r="CF2459" s="15"/>
      <c r="CG2459" s="14"/>
      <c r="CH2459" s="14"/>
      <c r="CI2459" s="50"/>
      <c r="CJ2459" s="54"/>
      <c r="CK2459" s="14"/>
      <c r="CL2459" s="14"/>
      <c r="CM2459" s="14"/>
      <c r="CN2459" s="14"/>
      <c r="CO2459" s="14"/>
      <c r="CP2459" s="14"/>
      <c r="CQ2459" s="14"/>
      <c r="CR2459" s="14"/>
      <c r="CS2459" s="14"/>
      <c r="CT2459" s="14"/>
      <c r="CU2459" s="16"/>
      <c r="CV2459" s="14"/>
      <c r="CW2459" s="50"/>
      <c r="CX2459" s="17"/>
    </row>
    <row r="2460" spans="4:102" x14ac:dyDescent="0.25">
      <c r="D2460" s="11"/>
      <c r="E2460" s="11"/>
      <c r="F2460" s="11"/>
      <c r="G2460" s="11"/>
      <c r="H2460" s="11"/>
      <c r="I2460" s="11"/>
      <c r="J2460" s="11"/>
      <c r="K2460" s="11"/>
      <c r="L2460" s="11"/>
      <c r="M2460" s="11"/>
      <c r="N2460" s="11"/>
      <c r="O2460" s="11"/>
      <c r="P2460" s="43"/>
      <c r="Q2460" s="11"/>
      <c r="R2460" s="11"/>
      <c r="S2460" s="11"/>
      <c r="T2460" s="11"/>
      <c r="U2460" s="11"/>
      <c r="V2460" s="11"/>
      <c r="W2460" s="11"/>
      <c r="X2460" s="12"/>
      <c r="Y2460" s="12"/>
      <c r="Z2460" s="12"/>
      <c r="AA2460" s="44"/>
      <c r="AB2460" s="45"/>
      <c r="AC2460" s="12"/>
      <c r="AD2460" s="12"/>
      <c r="AE2460" s="12"/>
      <c r="AF2460" s="12"/>
      <c r="AG2460" s="44"/>
      <c r="AH2460" s="45"/>
      <c r="AI2460" s="12"/>
      <c r="AJ2460" s="12"/>
      <c r="AK2460" s="12"/>
      <c r="AL2460" s="12"/>
      <c r="AM2460" s="44"/>
      <c r="AN2460" s="45"/>
      <c r="AO2460" s="12"/>
      <c r="AP2460" s="12"/>
      <c r="AQ2460" s="12"/>
      <c r="AR2460" s="12"/>
      <c r="AS2460" s="44"/>
      <c r="AT2460" s="45"/>
      <c r="AU2460" s="12"/>
      <c r="AV2460" s="12"/>
      <c r="AW2460" s="12"/>
      <c r="AX2460" s="12"/>
      <c r="AY2460" s="44"/>
      <c r="AZ2460" s="45"/>
      <c r="BA2460" s="12"/>
      <c r="BB2460" s="12"/>
      <c r="BC2460" s="12"/>
      <c r="BD2460" s="12"/>
      <c r="BE2460" s="44"/>
      <c r="BF2460" s="45"/>
      <c r="BG2460" s="12"/>
      <c r="BH2460" s="12"/>
      <c r="BI2460" s="12"/>
      <c r="BJ2460" s="12"/>
      <c r="BK2460" s="44"/>
      <c r="BL2460" s="45"/>
      <c r="BM2460" s="12"/>
      <c r="BN2460" s="12"/>
      <c r="BO2460" s="12"/>
      <c r="BP2460" s="12"/>
      <c r="BQ2460" s="48"/>
      <c r="BR2460" s="49"/>
      <c r="BS2460" s="13"/>
      <c r="BT2460" s="12"/>
      <c r="BV2460" s="14"/>
      <c r="BW2460" s="50"/>
      <c r="BX2460" s="54"/>
      <c r="BY2460" s="14"/>
      <c r="BZ2460" s="14"/>
      <c r="CA2460" s="14"/>
      <c r="CB2460" s="14"/>
      <c r="CC2460" s="14"/>
      <c r="CD2460" s="14"/>
      <c r="CE2460" s="14"/>
      <c r="CF2460" s="15"/>
      <c r="CG2460" s="14"/>
      <c r="CH2460" s="14"/>
      <c r="CI2460" s="50"/>
      <c r="CJ2460" s="54"/>
      <c r="CK2460" s="14"/>
      <c r="CL2460" s="14"/>
      <c r="CM2460" s="14"/>
      <c r="CN2460" s="14"/>
      <c r="CO2460" s="14"/>
      <c r="CP2460" s="14"/>
      <c r="CQ2460" s="14"/>
      <c r="CR2460" s="14"/>
      <c r="CS2460" s="14"/>
      <c r="CT2460" s="14"/>
      <c r="CU2460" s="16"/>
      <c r="CV2460" s="14"/>
      <c r="CW2460" s="50"/>
      <c r="CX2460" s="17"/>
    </row>
    <row r="2461" spans="4:102" x14ac:dyDescent="0.25">
      <c r="D2461" s="11"/>
      <c r="E2461" s="11"/>
      <c r="F2461" s="11"/>
      <c r="G2461" s="11"/>
      <c r="H2461" s="11"/>
      <c r="I2461" s="11"/>
      <c r="J2461" s="11"/>
      <c r="K2461" s="11"/>
      <c r="L2461" s="11"/>
      <c r="M2461" s="11"/>
      <c r="N2461" s="11"/>
      <c r="O2461" s="11"/>
      <c r="P2461" s="43"/>
      <c r="Q2461" s="11"/>
      <c r="R2461" s="11"/>
      <c r="S2461" s="11"/>
      <c r="T2461" s="11"/>
      <c r="U2461" s="11"/>
      <c r="V2461" s="11"/>
      <c r="W2461" s="11"/>
      <c r="X2461" s="12"/>
      <c r="Y2461" s="12"/>
      <c r="Z2461" s="12"/>
      <c r="AA2461" s="44"/>
      <c r="AB2461" s="45"/>
      <c r="AC2461" s="12"/>
      <c r="AD2461" s="12"/>
      <c r="AE2461" s="12"/>
      <c r="AF2461" s="12"/>
      <c r="AG2461" s="44"/>
      <c r="AH2461" s="45"/>
      <c r="AI2461" s="12"/>
      <c r="AJ2461" s="12"/>
      <c r="AK2461" s="12"/>
      <c r="AL2461" s="12"/>
      <c r="AM2461" s="44"/>
      <c r="AN2461" s="45"/>
      <c r="AO2461" s="12"/>
      <c r="AP2461" s="12"/>
      <c r="AQ2461" s="12"/>
      <c r="AR2461" s="12"/>
      <c r="AS2461" s="44"/>
      <c r="AT2461" s="45"/>
      <c r="AU2461" s="12"/>
      <c r="AV2461" s="12"/>
      <c r="AW2461" s="12"/>
      <c r="AX2461" s="12"/>
      <c r="AY2461" s="44"/>
      <c r="AZ2461" s="45"/>
      <c r="BA2461" s="12"/>
      <c r="BB2461" s="12"/>
      <c r="BC2461" s="12"/>
      <c r="BD2461" s="12"/>
      <c r="BE2461" s="44"/>
      <c r="BF2461" s="45"/>
      <c r="BG2461" s="12"/>
      <c r="BH2461" s="12"/>
      <c r="BI2461" s="12"/>
      <c r="BJ2461" s="12"/>
      <c r="BK2461" s="44"/>
      <c r="BL2461" s="45"/>
      <c r="BM2461" s="12"/>
      <c r="BN2461" s="12"/>
      <c r="BO2461" s="12"/>
      <c r="BP2461" s="12"/>
      <c r="BQ2461" s="48"/>
      <c r="BR2461" s="49"/>
      <c r="BS2461" s="13"/>
      <c r="BT2461" s="12"/>
      <c r="BV2461" s="14"/>
      <c r="BW2461" s="50"/>
      <c r="BX2461" s="54"/>
      <c r="BY2461" s="14"/>
      <c r="BZ2461" s="14"/>
      <c r="CA2461" s="14"/>
      <c r="CB2461" s="14"/>
      <c r="CC2461" s="14"/>
      <c r="CD2461" s="14"/>
      <c r="CE2461" s="14"/>
      <c r="CF2461" s="15"/>
      <c r="CG2461" s="14"/>
      <c r="CH2461" s="14"/>
      <c r="CI2461" s="50"/>
      <c r="CJ2461" s="54"/>
      <c r="CK2461" s="14"/>
      <c r="CL2461" s="14"/>
      <c r="CM2461" s="14"/>
      <c r="CN2461" s="14"/>
      <c r="CO2461" s="14"/>
      <c r="CP2461" s="14"/>
      <c r="CQ2461" s="14"/>
      <c r="CR2461" s="14"/>
      <c r="CS2461" s="14"/>
      <c r="CT2461" s="14"/>
      <c r="CU2461" s="16"/>
      <c r="CV2461" s="14"/>
      <c r="CW2461" s="50"/>
      <c r="CX2461" s="17"/>
    </row>
    <row r="2462" spans="4:102" x14ac:dyDescent="0.25">
      <c r="D2462" s="11"/>
      <c r="E2462" s="11"/>
      <c r="F2462" s="11"/>
      <c r="G2462" s="11"/>
      <c r="H2462" s="11"/>
      <c r="I2462" s="11"/>
      <c r="J2462" s="11"/>
      <c r="K2462" s="11"/>
      <c r="L2462" s="11"/>
      <c r="M2462" s="11"/>
      <c r="N2462" s="11"/>
      <c r="O2462" s="11"/>
      <c r="P2462" s="43"/>
      <c r="Q2462" s="11"/>
      <c r="R2462" s="11"/>
      <c r="S2462" s="11"/>
      <c r="T2462" s="11"/>
      <c r="U2462" s="11"/>
      <c r="V2462" s="11"/>
      <c r="W2462" s="11"/>
      <c r="X2462" s="12"/>
      <c r="Y2462" s="12"/>
      <c r="Z2462" s="12"/>
      <c r="AA2462" s="44"/>
      <c r="AB2462" s="45"/>
      <c r="AC2462" s="12"/>
      <c r="AD2462" s="12"/>
      <c r="AE2462" s="12"/>
      <c r="AF2462" s="12"/>
      <c r="AG2462" s="44"/>
      <c r="AH2462" s="45"/>
      <c r="AI2462" s="12"/>
      <c r="AJ2462" s="12"/>
      <c r="AK2462" s="12"/>
      <c r="AL2462" s="12"/>
      <c r="AM2462" s="44"/>
      <c r="AN2462" s="45"/>
      <c r="AO2462" s="12"/>
      <c r="AP2462" s="12"/>
      <c r="AQ2462" s="12"/>
      <c r="AR2462" s="12"/>
      <c r="AS2462" s="44"/>
      <c r="AT2462" s="45"/>
      <c r="AU2462" s="12"/>
      <c r="AV2462" s="12"/>
      <c r="AW2462" s="12"/>
      <c r="AX2462" s="12"/>
      <c r="AY2462" s="44"/>
      <c r="AZ2462" s="45"/>
      <c r="BA2462" s="12"/>
      <c r="BB2462" s="12"/>
      <c r="BC2462" s="12"/>
      <c r="BD2462" s="12"/>
      <c r="BE2462" s="44"/>
      <c r="BF2462" s="45"/>
      <c r="BG2462" s="12"/>
      <c r="BH2462" s="12"/>
      <c r="BI2462" s="12"/>
      <c r="BJ2462" s="12"/>
      <c r="BK2462" s="44"/>
      <c r="BL2462" s="45"/>
      <c r="BM2462" s="12"/>
      <c r="BN2462" s="12"/>
      <c r="BO2462" s="12"/>
      <c r="BP2462" s="12"/>
      <c r="BQ2462" s="48"/>
      <c r="BR2462" s="49"/>
      <c r="BS2462" s="13"/>
      <c r="BT2462" s="12"/>
      <c r="BV2462" s="14"/>
      <c r="BW2462" s="50"/>
      <c r="BX2462" s="54"/>
      <c r="BY2462" s="14"/>
      <c r="BZ2462" s="14"/>
      <c r="CA2462" s="14"/>
      <c r="CB2462" s="14"/>
      <c r="CC2462" s="14"/>
      <c r="CD2462" s="14"/>
      <c r="CE2462" s="14"/>
      <c r="CF2462" s="15"/>
      <c r="CG2462" s="14"/>
      <c r="CH2462" s="14"/>
      <c r="CI2462" s="50"/>
      <c r="CJ2462" s="54"/>
      <c r="CK2462" s="14"/>
      <c r="CL2462" s="14"/>
      <c r="CM2462" s="14"/>
      <c r="CN2462" s="14"/>
      <c r="CO2462" s="14"/>
      <c r="CP2462" s="14"/>
      <c r="CQ2462" s="14"/>
      <c r="CR2462" s="14"/>
      <c r="CS2462" s="14"/>
      <c r="CT2462" s="14"/>
      <c r="CU2462" s="16"/>
      <c r="CV2462" s="14"/>
      <c r="CW2462" s="50"/>
      <c r="CX2462" s="17"/>
    </row>
    <row r="2463" spans="4:102" x14ac:dyDescent="0.25">
      <c r="D2463" s="11"/>
      <c r="E2463" s="11"/>
      <c r="F2463" s="11"/>
      <c r="G2463" s="11"/>
      <c r="H2463" s="11"/>
      <c r="I2463" s="11"/>
      <c r="J2463" s="11"/>
      <c r="K2463" s="11"/>
      <c r="L2463" s="11"/>
      <c r="M2463" s="11"/>
      <c r="N2463" s="11"/>
      <c r="O2463" s="11"/>
      <c r="P2463" s="43"/>
      <c r="Q2463" s="11"/>
      <c r="R2463" s="11"/>
      <c r="S2463" s="11"/>
      <c r="T2463" s="11"/>
      <c r="U2463" s="11"/>
      <c r="V2463" s="11"/>
      <c r="W2463" s="11"/>
      <c r="X2463" s="12"/>
      <c r="Y2463" s="12"/>
      <c r="Z2463" s="12"/>
      <c r="AA2463" s="44"/>
      <c r="AB2463" s="45"/>
      <c r="AC2463" s="12"/>
      <c r="AD2463" s="12"/>
      <c r="AE2463" s="12"/>
      <c r="AF2463" s="12"/>
      <c r="AG2463" s="44"/>
      <c r="AH2463" s="45"/>
      <c r="AI2463" s="12"/>
      <c r="AJ2463" s="12"/>
      <c r="AK2463" s="12"/>
      <c r="AL2463" s="12"/>
      <c r="AM2463" s="44"/>
      <c r="AN2463" s="45"/>
      <c r="AO2463" s="12"/>
      <c r="AP2463" s="12"/>
      <c r="AQ2463" s="12"/>
      <c r="AR2463" s="12"/>
      <c r="AS2463" s="44"/>
      <c r="AT2463" s="45"/>
      <c r="AU2463" s="12"/>
      <c r="AV2463" s="12"/>
      <c r="AW2463" s="12"/>
      <c r="AX2463" s="12"/>
      <c r="AY2463" s="44"/>
      <c r="AZ2463" s="45"/>
      <c r="BA2463" s="12"/>
      <c r="BB2463" s="12"/>
      <c r="BC2463" s="12"/>
      <c r="BD2463" s="12"/>
      <c r="BE2463" s="44"/>
      <c r="BF2463" s="45"/>
      <c r="BG2463" s="12"/>
      <c r="BH2463" s="12"/>
      <c r="BI2463" s="12"/>
      <c r="BJ2463" s="12"/>
      <c r="BK2463" s="44"/>
      <c r="BL2463" s="45"/>
      <c r="BM2463" s="12"/>
      <c r="BN2463" s="12"/>
      <c r="BO2463" s="12"/>
      <c r="BP2463" s="12"/>
      <c r="BQ2463" s="48"/>
      <c r="BR2463" s="49"/>
      <c r="BS2463" s="13"/>
      <c r="BT2463" s="12"/>
      <c r="BV2463" s="14"/>
      <c r="BW2463" s="50"/>
      <c r="BX2463" s="54"/>
      <c r="BY2463" s="14"/>
      <c r="BZ2463" s="14"/>
      <c r="CA2463" s="14"/>
      <c r="CB2463" s="14"/>
      <c r="CC2463" s="14"/>
      <c r="CD2463" s="14"/>
      <c r="CE2463" s="14"/>
      <c r="CF2463" s="15"/>
      <c r="CG2463" s="14"/>
      <c r="CH2463" s="14"/>
      <c r="CI2463" s="50"/>
      <c r="CJ2463" s="54"/>
      <c r="CK2463" s="14"/>
      <c r="CL2463" s="14"/>
      <c r="CM2463" s="14"/>
      <c r="CN2463" s="14"/>
      <c r="CO2463" s="14"/>
      <c r="CP2463" s="14"/>
      <c r="CQ2463" s="14"/>
      <c r="CR2463" s="14"/>
      <c r="CS2463" s="14"/>
      <c r="CT2463" s="14"/>
      <c r="CU2463" s="16"/>
      <c r="CV2463" s="14"/>
      <c r="CW2463" s="50"/>
      <c r="CX2463" s="17"/>
    </row>
    <row r="2464" spans="4:102" x14ac:dyDescent="0.25">
      <c r="D2464" s="11"/>
      <c r="E2464" s="11"/>
      <c r="F2464" s="11"/>
      <c r="G2464" s="11"/>
      <c r="H2464" s="11"/>
      <c r="I2464" s="11"/>
      <c r="J2464" s="11"/>
      <c r="K2464" s="11"/>
      <c r="L2464" s="11"/>
      <c r="M2464" s="11"/>
      <c r="N2464" s="11"/>
      <c r="O2464" s="11"/>
      <c r="P2464" s="43"/>
      <c r="Q2464" s="11"/>
      <c r="R2464" s="11"/>
      <c r="S2464" s="11"/>
      <c r="T2464" s="11"/>
      <c r="U2464" s="11"/>
      <c r="V2464" s="11"/>
      <c r="W2464" s="11"/>
      <c r="X2464" s="12"/>
      <c r="Y2464" s="12"/>
      <c r="Z2464" s="12"/>
      <c r="AA2464" s="44"/>
      <c r="AB2464" s="45"/>
      <c r="AC2464" s="12"/>
      <c r="AD2464" s="12"/>
      <c r="AE2464" s="12"/>
      <c r="AF2464" s="12"/>
      <c r="AG2464" s="44"/>
      <c r="AH2464" s="45"/>
      <c r="AI2464" s="12"/>
      <c r="AJ2464" s="12"/>
      <c r="AK2464" s="12"/>
      <c r="AL2464" s="12"/>
      <c r="AM2464" s="44"/>
      <c r="AN2464" s="45"/>
      <c r="AO2464" s="12"/>
      <c r="AP2464" s="12"/>
      <c r="AQ2464" s="12"/>
      <c r="AR2464" s="12"/>
      <c r="AS2464" s="44"/>
      <c r="AT2464" s="45"/>
      <c r="AU2464" s="12"/>
      <c r="AV2464" s="12"/>
      <c r="AW2464" s="12"/>
      <c r="AX2464" s="12"/>
      <c r="AY2464" s="44"/>
      <c r="AZ2464" s="45"/>
      <c r="BA2464" s="12"/>
      <c r="BB2464" s="12"/>
      <c r="BC2464" s="12"/>
      <c r="BD2464" s="12"/>
      <c r="BE2464" s="44"/>
      <c r="BF2464" s="45"/>
      <c r="BG2464" s="12"/>
      <c r="BH2464" s="12"/>
      <c r="BI2464" s="12"/>
      <c r="BJ2464" s="12"/>
      <c r="BK2464" s="44"/>
      <c r="BL2464" s="45"/>
      <c r="BM2464" s="12"/>
      <c r="BN2464" s="12"/>
      <c r="BO2464" s="12"/>
      <c r="BP2464" s="12"/>
      <c r="BQ2464" s="48"/>
      <c r="BR2464" s="49"/>
      <c r="BS2464" s="13"/>
      <c r="BT2464" s="12"/>
      <c r="BV2464" s="14"/>
      <c r="BW2464" s="50"/>
      <c r="BX2464" s="54"/>
      <c r="BY2464" s="14"/>
      <c r="BZ2464" s="14"/>
      <c r="CA2464" s="14"/>
      <c r="CB2464" s="14"/>
      <c r="CC2464" s="14"/>
      <c r="CD2464" s="14"/>
      <c r="CE2464" s="14"/>
      <c r="CF2464" s="15"/>
      <c r="CG2464" s="14"/>
      <c r="CH2464" s="14"/>
      <c r="CI2464" s="50"/>
      <c r="CJ2464" s="54"/>
      <c r="CK2464" s="14"/>
      <c r="CL2464" s="14"/>
      <c r="CM2464" s="14"/>
      <c r="CN2464" s="14"/>
      <c r="CO2464" s="14"/>
      <c r="CP2464" s="14"/>
      <c r="CQ2464" s="14"/>
      <c r="CR2464" s="14"/>
      <c r="CS2464" s="14"/>
      <c r="CT2464" s="14"/>
      <c r="CU2464" s="16"/>
      <c r="CV2464" s="14"/>
      <c r="CW2464" s="50"/>
      <c r="CX2464" s="17"/>
    </row>
    <row r="2465" spans="4:102" x14ac:dyDescent="0.25">
      <c r="D2465" s="11"/>
      <c r="E2465" s="11"/>
      <c r="F2465" s="11"/>
      <c r="G2465" s="11"/>
      <c r="H2465" s="11"/>
      <c r="I2465" s="11"/>
      <c r="J2465" s="11"/>
      <c r="K2465" s="11"/>
      <c r="L2465" s="11"/>
      <c r="M2465" s="11"/>
      <c r="N2465" s="11"/>
      <c r="O2465" s="11"/>
      <c r="P2465" s="43"/>
      <c r="Q2465" s="11"/>
      <c r="R2465" s="11"/>
      <c r="S2465" s="11"/>
      <c r="T2465" s="11"/>
      <c r="U2465" s="11"/>
      <c r="V2465" s="11"/>
      <c r="W2465" s="11"/>
      <c r="X2465" s="12"/>
      <c r="Y2465" s="12"/>
      <c r="Z2465" s="12"/>
      <c r="AA2465" s="44"/>
      <c r="AB2465" s="45"/>
      <c r="AC2465" s="12"/>
      <c r="AD2465" s="12"/>
      <c r="AE2465" s="12"/>
      <c r="AF2465" s="12"/>
      <c r="AG2465" s="44"/>
      <c r="AH2465" s="45"/>
      <c r="AI2465" s="12"/>
      <c r="AJ2465" s="12"/>
      <c r="AK2465" s="12"/>
      <c r="AL2465" s="12"/>
      <c r="AM2465" s="44"/>
      <c r="AN2465" s="45"/>
      <c r="AO2465" s="12"/>
      <c r="AP2465" s="12"/>
      <c r="AQ2465" s="12"/>
      <c r="AR2465" s="12"/>
      <c r="AS2465" s="44"/>
      <c r="AT2465" s="45"/>
      <c r="AU2465" s="12"/>
      <c r="AV2465" s="12"/>
      <c r="AW2465" s="12"/>
      <c r="AX2465" s="12"/>
      <c r="AY2465" s="44"/>
      <c r="AZ2465" s="45"/>
      <c r="BA2465" s="12"/>
      <c r="BB2465" s="12"/>
      <c r="BC2465" s="12"/>
      <c r="BD2465" s="12"/>
      <c r="BE2465" s="44"/>
      <c r="BF2465" s="45"/>
      <c r="BG2465" s="12"/>
      <c r="BH2465" s="12"/>
      <c r="BI2465" s="12"/>
      <c r="BJ2465" s="12"/>
      <c r="BK2465" s="44"/>
      <c r="BL2465" s="45"/>
      <c r="BM2465" s="12"/>
      <c r="BN2465" s="12"/>
      <c r="BO2465" s="12"/>
      <c r="BP2465" s="12"/>
      <c r="BQ2465" s="48"/>
      <c r="BR2465" s="49"/>
      <c r="BS2465" s="13"/>
      <c r="BT2465" s="12"/>
      <c r="BV2465" s="14"/>
      <c r="BW2465" s="50"/>
      <c r="BX2465" s="54"/>
      <c r="BY2465" s="14"/>
      <c r="BZ2465" s="14"/>
      <c r="CA2465" s="14"/>
      <c r="CB2465" s="14"/>
      <c r="CC2465" s="14"/>
      <c r="CD2465" s="14"/>
      <c r="CE2465" s="14"/>
      <c r="CF2465" s="15"/>
      <c r="CG2465" s="14"/>
      <c r="CH2465" s="14"/>
      <c r="CI2465" s="50"/>
      <c r="CJ2465" s="54"/>
      <c r="CK2465" s="14"/>
      <c r="CL2465" s="14"/>
      <c r="CM2465" s="14"/>
      <c r="CN2465" s="14"/>
      <c r="CO2465" s="14"/>
      <c r="CP2465" s="14"/>
      <c r="CQ2465" s="14"/>
      <c r="CR2465" s="14"/>
      <c r="CS2465" s="14"/>
      <c r="CT2465" s="14"/>
      <c r="CU2465" s="16"/>
      <c r="CV2465" s="14"/>
      <c r="CW2465" s="50"/>
      <c r="CX2465" s="17"/>
    </row>
    <row r="2466" spans="4:102" x14ac:dyDescent="0.25">
      <c r="D2466" s="11"/>
      <c r="E2466" s="11"/>
      <c r="F2466" s="11"/>
      <c r="G2466" s="11"/>
      <c r="H2466" s="11"/>
      <c r="I2466" s="11"/>
      <c r="J2466" s="11"/>
      <c r="K2466" s="11"/>
      <c r="L2466" s="11"/>
      <c r="M2466" s="11"/>
      <c r="N2466" s="11"/>
      <c r="O2466" s="11"/>
      <c r="P2466" s="43"/>
      <c r="Q2466" s="11"/>
      <c r="R2466" s="11"/>
      <c r="S2466" s="11"/>
      <c r="T2466" s="11"/>
      <c r="U2466" s="11"/>
      <c r="V2466" s="11"/>
      <c r="W2466" s="11"/>
      <c r="X2466" s="12"/>
      <c r="Y2466" s="12"/>
      <c r="Z2466" s="12"/>
      <c r="AA2466" s="44"/>
      <c r="AB2466" s="45"/>
      <c r="AC2466" s="12"/>
      <c r="AD2466" s="12"/>
      <c r="AE2466" s="12"/>
      <c r="AF2466" s="12"/>
      <c r="AG2466" s="44"/>
      <c r="AH2466" s="45"/>
      <c r="AI2466" s="12"/>
      <c r="AJ2466" s="12"/>
      <c r="AK2466" s="12"/>
      <c r="AL2466" s="12"/>
      <c r="AM2466" s="44"/>
      <c r="AN2466" s="45"/>
      <c r="AO2466" s="12"/>
      <c r="AP2466" s="12"/>
      <c r="AQ2466" s="12"/>
      <c r="AR2466" s="12"/>
      <c r="AS2466" s="44"/>
      <c r="AT2466" s="45"/>
      <c r="AU2466" s="12"/>
      <c r="AV2466" s="12"/>
      <c r="AW2466" s="12"/>
      <c r="AX2466" s="12"/>
      <c r="AY2466" s="44"/>
      <c r="AZ2466" s="45"/>
      <c r="BA2466" s="12"/>
      <c r="BB2466" s="12"/>
      <c r="BC2466" s="12"/>
      <c r="BD2466" s="12"/>
      <c r="BE2466" s="44"/>
      <c r="BF2466" s="45"/>
      <c r="BG2466" s="12"/>
      <c r="BH2466" s="12"/>
      <c r="BI2466" s="12"/>
      <c r="BJ2466" s="12"/>
      <c r="BK2466" s="44"/>
      <c r="BL2466" s="45"/>
      <c r="BM2466" s="12"/>
      <c r="BN2466" s="12"/>
      <c r="BO2466" s="12"/>
      <c r="BP2466" s="12"/>
      <c r="BQ2466" s="48"/>
      <c r="BR2466" s="49"/>
      <c r="BS2466" s="13"/>
      <c r="BT2466" s="12"/>
      <c r="BV2466" s="14"/>
      <c r="BW2466" s="50"/>
      <c r="BX2466" s="54"/>
      <c r="BY2466" s="14"/>
      <c r="BZ2466" s="14"/>
      <c r="CA2466" s="14"/>
      <c r="CB2466" s="14"/>
      <c r="CC2466" s="14"/>
      <c r="CD2466" s="14"/>
      <c r="CE2466" s="14"/>
      <c r="CF2466" s="15"/>
      <c r="CG2466" s="14"/>
      <c r="CH2466" s="14"/>
      <c r="CI2466" s="50"/>
      <c r="CJ2466" s="54"/>
      <c r="CK2466" s="14"/>
      <c r="CL2466" s="14"/>
      <c r="CM2466" s="14"/>
      <c r="CN2466" s="14"/>
      <c r="CO2466" s="14"/>
      <c r="CP2466" s="14"/>
      <c r="CQ2466" s="14"/>
      <c r="CR2466" s="14"/>
      <c r="CS2466" s="14"/>
      <c r="CT2466" s="14"/>
      <c r="CU2466" s="16"/>
      <c r="CV2466" s="14"/>
      <c r="CW2466" s="50"/>
      <c r="CX2466" s="17"/>
    </row>
    <row r="2467" spans="4:102" x14ac:dyDescent="0.25">
      <c r="D2467" s="11"/>
      <c r="E2467" s="11"/>
      <c r="F2467" s="11"/>
      <c r="G2467" s="11"/>
      <c r="H2467" s="11"/>
      <c r="I2467" s="11"/>
      <c r="J2467" s="11"/>
      <c r="K2467" s="11"/>
      <c r="L2467" s="11"/>
      <c r="M2467" s="11"/>
      <c r="N2467" s="11"/>
      <c r="O2467" s="11"/>
      <c r="P2467" s="43"/>
      <c r="Q2467" s="11"/>
      <c r="R2467" s="11"/>
      <c r="S2467" s="11"/>
      <c r="T2467" s="11"/>
      <c r="U2467" s="11"/>
      <c r="V2467" s="11"/>
      <c r="W2467" s="11"/>
      <c r="X2467" s="12"/>
      <c r="Y2467" s="12"/>
      <c r="Z2467" s="12"/>
      <c r="AA2467" s="44"/>
      <c r="AB2467" s="45"/>
      <c r="AC2467" s="12"/>
      <c r="AD2467" s="12"/>
      <c r="AE2467" s="12"/>
      <c r="AF2467" s="12"/>
      <c r="AG2467" s="44"/>
      <c r="AH2467" s="45"/>
      <c r="AI2467" s="12"/>
      <c r="AJ2467" s="12"/>
      <c r="AK2467" s="12"/>
      <c r="AL2467" s="12"/>
      <c r="AM2467" s="44"/>
      <c r="AN2467" s="45"/>
      <c r="AO2467" s="12"/>
      <c r="AP2467" s="12"/>
      <c r="AQ2467" s="12"/>
      <c r="AR2467" s="12"/>
      <c r="AS2467" s="44"/>
      <c r="AT2467" s="45"/>
      <c r="AU2467" s="12"/>
      <c r="AV2467" s="12"/>
      <c r="AW2467" s="12"/>
      <c r="AX2467" s="12"/>
      <c r="AY2467" s="44"/>
      <c r="AZ2467" s="45"/>
      <c r="BA2467" s="12"/>
      <c r="BB2467" s="12"/>
      <c r="BC2467" s="12"/>
      <c r="BD2467" s="12"/>
      <c r="BE2467" s="44"/>
      <c r="BF2467" s="45"/>
      <c r="BG2467" s="12"/>
      <c r="BH2467" s="12"/>
      <c r="BI2467" s="12"/>
      <c r="BJ2467" s="12"/>
      <c r="BK2467" s="44"/>
      <c r="BL2467" s="45"/>
      <c r="BM2467" s="12"/>
      <c r="BN2467" s="12"/>
      <c r="BO2467" s="12"/>
      <c r="BP2467" s="12"/>
      <c r="BQ2467" s="48"/>
      <c r="BR2467" s="49"/>
      <c r="BS2467" s="13"/>
      <c r="BT2467" s="12"/>
      <c r="BV2467" s="14"/>
      <c r="BW2467" s="50"/>
      <c r="BX2467" s="54"/>
      <c r="BY2467" s="14"/>
      <c r="BZ2467" s="14"/>
      <c r="CA2467" s="14"/>
      <c r="CB2467" s="14"/>
      <c r="CC2467" s="14"/>
      <c r="CD2467" s="14"/>
      <c r="CE2467" s="14"/>
      <c r="CF2467" s="15"/>
      <c r="CG2467" s="14"/>
      <c r="CH2467" s="14"/>
      <c r="CI2467" s="50"/>
      <c r="CJ2467" s="54"/>
      <c r="CK2467" s="14"/>
      <c r="CL2467" s="14"/>
      <c r="CM2467" s="14"/>
      <c r="CN2467" s="14"/>
      <c r="CO2467" s="14"/>
      <c r="CP2467" s="14"/>
      <c r="CQ2467" s="14"/>
      <c r="CR2467" s="14"/>
      <c r="CS2467" s="14"/>
      <c r="CT2467" s="14"/>
      <c r="CU2467" s="16"/>
      <c r="CV2467" s="14"/>
      <c r="CW2467" s="50"/>
      <c r="CX2467" s="17"/>
    </row>
    <row r="2468" spans="4:102" x14ac:dyDescent="0.25">
      <c r="D2468" s="11"/>
      <c r="E2468" s="11"/>
      <c r="F2468" s="11"/>
      <c r="G2468" s="11"/>
      <c r="H2468" s="11"/>
      <c r="I2468" s="11"/>
      <c r="J2468" s="11"/>
      <c r="K2468" s="11"/>
      <c r="L2468" s="11"/>
      <c r="M2468" s="11"/>
      <c r="N2468" s="11"/>
      <c r="O2468" s="11"/>
      <c r="P2468" s="43"/>
      <c r="Q2468" s="11"/>
      <c r="R2468" s="11"/>
      <c r="S2468" s="11"/>
      <c r="T2468" s="11"/>
      <c r="U2468" s="11"/>
      <c r="V2468" s="11"/>
      <c r="W2468" s="11"/>
      <c r="X2468" s="12"/>
      <c r="Y2468" s="12"/>
      <c r="Z2468" s="12"/>
      <c r="AA2468" s="44"/>
      <c r="AB2468" s="45"/>
      <c r="AC2468" s="12"/>
      <c r="AD2468" s="12"/>
      <c r="AE2468" s="12"/>
      <c r="AF2468" s="12"/>
      <c r="AG2468" s="44"/>
      <c r="AH2468" s="45"/>
      <c r="AI2468" s="12"/>
      <c r="AJ2468" s="12"/>
      <c r="AK2468" s="12"/>
      <c r="AL2468" s="12"/>
      <c r="AM2468" s="44"/>
      <c r="AN2468" s="45"/>
      <c r="AO2468" s="12"/>
      <c r="AP2468" s="12"/>
      <c r="AQ2468" s="12"/>
      <c r="AR2468" s="12"/>
      <c r="AS2468" s="44"/>
      <c r="AT2468" s="45"/>
      <c r="AU2468" s="12"/>
      <c r="AV2468" s="12"/>
      <c r="AW2468" s="12"/>
      <c r="AX2468" s="12"/>
      <c r="AY2468" s="44"/>
      <c r="AZ2468" s="45"/>
      <c r="BA2468" s="12"/>
      <c r="BB2468" s="12"/>
      <c r="BC2468" s="12"/>
      <c r="BD2468" s="12"/>
      <c r="BE2468" s="44"/>
      <c r="BF2468" s="45"/>
      <c r="BG2468" s="12"/>
      <c r="BH2468" s="12"/>
      <c r="BI2468" s="12"/>
      <c r="BJ2468" s="12"/>
      <c r="BK2468" s="44"/>
      <c r="BL2468" s="45"/>
      <c r="BM2468" s="12"/>
      <c r="BN2468" s="12"/>
      <c r="BO2468" s="12"/>
      <c r="BP2468" s="12"/>
      <c r="BQ2468" s="48"/>
      <c r="BR2468" s="49"/>
      <c r="BS2468" s="13"/>
      <c r="BT2468" s="12"/>
      <c r="BV2468" s="14"/>
      <c r="BW2468" s="50"/>
      <c r="BX2468" s="54"/>
      <c r="BY2468" s="14"/>
      <c r="BZ2468" s="14"/>
      <c r="CA2468" s="14"/>
      <c r="CB2468" s="14"/>
      <c r="CC2468" s="14"/>
      <c r="CD2468" s="14"/>
      <c r="CE2468" s="14"/>
      <c r="CF2468" s="15"/>
      <c r="CG2468" s="14"/>
      <c r="CH2468" s="14"/>
      <c r="CI2468" s="50"/>
      <c r="CJ2468" s="54"/>
      <c r="CK2468" s="14"/>
      <c r="CL2468" s="14"/>
      <c r="CM2468" s="14"/>
      <c r="CN2468" s="14"/>
      <c r="CO2468" s="14"/>
      <c r="CP2468" s="14"/>
      <c r="CQ2468" s="14"/>
      <c r="CR2468" s="14"/>
      <c r="CS2468" s="14"/>
      <c r="CT2468" s="14"/>
      <c r="CU2468" s="16"/>
      <c r="CV2468" s="14"/>
      <c r="CW2468" s="50"/>
      <c r="CX2468" s="17"/>
    </row>
    <row r="2469" spans="4:102" x14ac:dyDescent="0.25">
      <c r="D2469" s="11"/>
      <c r="E2469" s="11"/>
      <c r="F2469" s="11"/>
      <c r="G2469" s="11"/>
      <c r="H2469" s="11"/>
      <c r="I2469" s="11"/>
      <c r="J2469" s="11"/>
      <c r="K2469" s="11"/>
      <c r="L2469" s="11"/>
      <c r="M2469" s="11"/>
      <c r="N2469" s="11"/>
      <c r="O2469" s="11"/>
      <c r="P2469" s="43"/>
      <c r="Q2469" s="11"/>
      <c r="R2469" s="11"/>
      <c r="S2469" s="11"/>
      <c r="T2469" s="11"/>
      <c r="U2469" s="11"/>
      <c r="V2469" s="11"/>
      <c r="W2469" s="11"/>
      <c r="X2469" s="12"/>
      <c r="Y2469" s="12"/>
      <c r="Z2469" s="12"/>
      <c r="AA2469" s="44"/>
      <c r="AB2469" s="45"/>
      <c r="AC2469" s="12"/>
      <c r="AD2469" s="12"/>
      <c r="AE2469" s="12"/>
      <c r="AF2469" s="12"/>
      <c r="AG2469" s="44"/>
      <c r="AH2469" s="45"/>
      <c r="AI2469" s="12"/>
      <c r="AJ2469" s="12"/>
      <c r="AK2469" s="12"/>
      <c r="AL2469" s="12"/>
      <c r="AM2469" s="44"/>
      <c r="AN2469" s="45"/>
      <c r="AO2469" s="12"/>
      <c r="AP2469" s="12"/>
      <c r="AQ2469" s="12"/>
      <c r="AR2469" s="12"/>
      <c r="AS2469" s="44"/>
      <c r="AT2469" s="45"/>
      <c r="AU2469" s="12"/>
      <c r="AV2469" s="12"/>
      <c r="AW2469" s="12"/>
      <c r="AX2469" s="12"/>
      <c r="AY2469" s="44"/>
      <c r="AZ2469" s="45"/>
      <c r="BA2469" s="12"/>
      <c r="BB2469" s="12"/>
      <c r="BC2469" s="12"/>
      <c r="BD2469" s="12"/>
      <c r="BE2469" s="44"/>
      <c r="BF2469" s="45"/>
      <c r="BG2469" s="12"/>
      <c r="BH2469" s="12"/>
      <c r="BI2469" s="12"/>
      <c r="BJ2469" s="12"/>
      <c r="BK2469" s="44"/>
      <c r="BL2469" s="45"/>
      <c r="BM2469" s="12"/>
      <c r="BN2469" s="12"/>
      <c r="BO2469" s="12"/>
      <c r="BP2469" s="12"/>
      <c r="BQ2469" s="48"/>
      <c r="BR2469" s="49"/>
      <c r="BS2469" s="13"/>
      <c r="BT2469" s="12"/>
      <c r="BV2469" s="14"/>
      <c r="BW2469" s="50"/>
      <c r="BX2469" s="54"/>
      <c r="BY2469" s="14"/>
      <c r="BZ2469" s="14"/>
      <c r="CA2469" s="14"/>
      <c r="CB2469" s="14"/>
      <c r="CC2469" s="14"/>
      <c r="CD2469" s="14"/>
      <c r="CE2469" s="14"/>
      <c r="CF2469" s="15"/>
      <c r="CG2469" s="14"/>
      <c r="CH2469" s="14"/>
      <c r="CI2469" s="50"/>
      <c r="CJ2469" s="54"/>
      <c r="CK2469" s="14"/>
      <c r="CL2469" s="14"/>
      <c r="CM2469" s="14"/>
      <c r="CN2469" s="14"/>
      <c r="CO2469" s="14"/>
      <c r="CP2469" s="14"/>
      <c r="CQ2469" s="14"/>
      <c r="CR2469" s="14"/>
      <c r="CS2469" s="14"/>
      <c r="CT2469" s="14"/>
      <c r="CU2469" s="16"/>
      <c r="CV2469" s="14"/>
      <c r="CW2469" s="50"/>
      <c r="CX2469" s="17"/>
    </row>
    <row r="2470" spans="4:102" x14ac:dyDescent="0.25">
      <c r="D2470" s="11"/>
      <c r="E2470" s="11"/>
      <c r="F2470" s="11"/>
      <c r="G2470" s="11"/>
      <c r="H2470" s="11"/>
      <c r="I2470" s="11"/>
      <c r="J2470" s="11"/>
      <c r="K2470" s="11"/>
      <c r="L2470" s="11"/>
      <c r="M2470" s="11"/>
      <c r="N2470" s="11"/>
      <c r="O2470" s="11"/>
      <c r="P2470" s="43"/>
      <c r="Q2470" s="11"/>
      <c r="R2470" s="11"/>
      <c r="S2470" s="11"/>
      <c r="T2470" s="11"/>
      <c r="U2470" s="11"/>
      <c r="V2470" s="11"/>
      <c r="W2470" s="11"/>
      <c r="X2470" s="12"/>
      <c r="Y2470" s="12"/>
      <c r="Z2470" s="12"/>
      <c r="AA2470" s="44"/>
      <c r="AB2470" s="45"/>
      <c r="AC2470" s="12"/>
      <c r="AD2470" s="12"/>
      <c r="AE2470" s="12"/>
      <c r="AF2470" s="12"/>
      <c r="AG2470" s="44"/>
      <c r="AH2470" s="45"/>
      <c r="AI2470" s="12"/>
      <c r="AJ2470" s="12"/>
      <c r="AK2470" s="12"/>
      <c r="AL2470" s="12"/>
      <c r="AM2470" s="44"/>
      <c r="AN2470" s="45"/>
      <c r="AO2470" s="12"/>
      <c r="AP2470" s="12"/>
      <c r="AQ2470" s="12"/>
      <c r="AR2470" s="12"/>
      <c r="AS2470" s="44"/>
      <c r="AT2470" s="45"/>
      <c r="AU2470" s="12"/>
      <c r="AV2470" s="12"/>
      <c r="AW2470" s="12"/>
      <c r="AX2470" s="12"/>
      <c r="AY2470" s="44"/>
      <c r="AZ2470" s="45"/>
      <c r="BA2470" s="12"/>
      <c r="BB2470" s="12"/>
      <c r="BC2470" s="12"/>
      <c r="BD2470" s="12"/>
      <c r="BE2470" s="44"/>
      <c r="BF2470" s="45"/>
      <c r="BG2470" s="12"/>
      <c r="BH2470" s="12"/>
      <c r="BI2470" s="12"/>
      <c r="BJ2470" s="12"/>
      <c r="BK2470" s="44"/>
      <c r="BL2470" s="45"/>
      <c r="BM2470" s="12"/>
      <c r="BN2470" s="12"/>
      <c r="BO2470" s="12"/>
      <c r="BP2470" s="12"/>
      <c r="BQ2470" s="48"/>
      <c r="BR2470" s="49"/>
      <c r="BS2470" s="13"/>
      <c r="BT2470" s="12"/>
      <c r="BV2470" s="14"/>
      <c r="BW2470" s="50"/>
      <c r="BX2470" s="54"/>
      <c r="BY2470" s="14"/>
      <c r="BZ2470" s="14"/>
      <c r="CA2470" s="14"/>
      <c r="CB2470" s="14"/>
      <c r="CC2470" s="14"/>
      <c r="CD2470" s="14"/>
      <c r="CE2470" s="14"/>
      <c r="CF2470" s="15"/>
      <c r="CG2470" s="14"/>
      <c r="CH2470" s="14"/>
      <c r="CI2470" s="50"/>
      <c r="CJ2470" s="54"/>
      <c r="CK2470" s="14"/>
      <c r="CL2470" s="14"/>
      <c r="CM2470" s="14"/>
      <c r="CN2470" s="14"/>
      <c r="CO2470" s="14"/>
      <c r="CP2470" s="14"/>
      <c r="CQ2470" s="14"/>
      <c r="CR2470" s="14"/>
      <c r="CS2470" s="14"/>
      <c r="CT2470" s="14"/>
      <c r="CU2470" s="16"/>
      <c r="CV2470" s="14"/>
      <c r="CW2470" s="50"/>
      <c r="CX2470" s="17"/>
    </row>
    <row r="2471" spans="4:102" x14ac:dyDescent="0.25">
      <c r="D2471" s="11"/>
      <c r="E2471" s="11"/>
      <c r="F2471" s="11"/>
      <c r="G2471" s="11"/>
      <c r="H2471" s="11"/>
      <c r="I2471" s="11"/>
      <c r="J2471" s="11"/>
      <c r="K2471" s="11"/>
      <c r="L2471" s="11"/>
      <c r="M2471" s="11"/>
      <c r="N2471" s="11"/>
      <c r="O2471" s="11"/>
      <c r="P2471" s="43"/>
      <c r="Q2471" s="11"/>
      <c r="R2471" s="11"/>
      <c r="S2471" s="11"/>
      <c r="T2471" s="11"/>
      <c r="U2471" s="11"/>
      <c r="V2471" s="11"/>
      <c r="W2471" s="11"/>
      <c r="X2471" s="12"/>
      <c r="Y2471" s="12"/>
      <c r="Z2471" s="12"/>
      <c r="AA2471" s="44"/>
      <c r="AB2471" s="45"/>
      <c r="AC2471" s="12"/>
      <c r="AD2471" s="12"/>
      <c r="AE2471" s="12"/>
      <c r="AF2471" s="12"/>
      <c r="AG2471" s="44"/>
      <c r="AH2471" s="45"/>
      <c r="AI2471" s="12"/>
      <c r="AJ2471" s="12"/>
      <c r="AK2471" s="12"/>
      <c r="AL2471" s="12"/>
      <c r="AM2471" s="44"/>
      <c r="AN2471" s="45"/>
      <c r="AO2471" s="12"/>
      <c r="AP2471" s="12"/>
      <c r="AQ2471" s="12"/>
      <c r="AR2471" s="12"/>
      <c r="AS2471" s="44"/>
      <c r="AT2471" s="45"/>
      <c r="AU2471" s="12"/>
      <c r="AV2471" s="12"/>
      <c r="AW2471" s="12"/>
      <c r="AX2471" s="12"/>
      <c r="AY2471" s="44"/>
      <c r="AZ2471" s="45"/>
      <c r="BA2471" s="12"/>
      <c r="BB2471" s="12"/>
      <c r="BC2471" s="12"/>
      <c r="BD2471" s="12"/>
      <c r="BE2471" s="44"/>
      <c r="BF2471" s="45"/>
      <c r="BG2471" s="12"/>
      <c r="BH2471" s="12"/>
      <c r="BI2471" s="12"/>
      <c r="BJ2471" s="12"/>
      <c r="BK2471" s="44"/>
      <c r="BL2471" s="45"/>
      <c r="BM2471" s="12"/>
      <c r="BN2471" s="12"/>
      <c r="BO2471" s="12"/>
      <c r="BP2471" s="12"/>
      <c r="BQ2471" s="48"/>
      <c r="BR2471" s="49"/>
      <c r="BS2471" s="13"/>
      <c r="BT2471" s="12"/>
      <c r="BV2471" s="14"/>
      <c r="BW2471" s="50"/>
      <c r="BX2471" s="54"/>
      <c r="BY2471" s="14"/>
      <c r="BZ2471" s="14"/>
      <c r="CA2471" s="14"/>
      <c r="CB2471" s="14"/>
      <c r="CC2471" s="14"/>
      <c r="CD2471" s="14"/>
      <c r="CE2471" s="14"/>
      <c r="CF2471" s="15"/>
      <c r="CG2471" s="14"/>
      <c r="CH2471" s="14"/>
      <c r="CI2471" s="50"/>
      <c r="CJ2471" s="54"/>
      <c r="CK2471" s="14"/>
      <c r="CL2471" s="14"/>
      <c r="CM2471" s="14"/>
      <c r="CN2471" s="14"/>
      <c r="CO2471" s="14"/>
      <c r="CP2471" s="14"/>
      <c r="CQ2471" s="14"/>
      <c r="CR2471" s="14"/>
      <c r="CS2471" s="14"/>
      <c r="CT2471" s="14"/>
      <c r="CU2471" s="16"/>
      <c r="CV2471" s="14"/>
      <c r="CW2471" s="50"/>
      <c r="CX2471" s="17"/>
    </row>
    <row r="2472" spans="4:102" x14ac:dyDescent="0.25">
      <c r="D2472" s="11"/>
      <c r="E2472" s="11"/>
      <c r="F2472" s="11"/>
      <c r="G2472" s="11"/>
      <c r="H2472" s="11"/>
      <c r="I2472" s="11"/>
      <c r="J2472" s="11"/>
      <c r="K2472" s="11"/>
      <c r="L2472" s="11"/>
      <c r="M2472" s="11"/>
      <c r="N2472" s="11"/>
      <c r="O2472" s="11"/>
      <c r="P2472" s="43"/>
      <c r="Q2472" s="11"/>
      <c r="R2472" s="11"/>
      <c r="S2472" s="11"/>
      <c r="T2472" s="11"/>
      <c r="U2472" s="11"/>
      <c r="V2472" s="11"/>
      <c r="W2472" s="11"/>
      <c r="X2472" s="12"/>
      <c r="Y2472" s="12"/>
      <c r="Z2472" s="12"/>
      <c r="AA2472" s="44"/>
      <c r="AB2472" s="45"/>
      <c r="AC2472" s="12"/>
      <c r="AD2472" s="12"/>
      <c r="AE2472" s="12"/>
      <c r="AF2472" s="12"/>
      <c r="AG2472" s="44"/>
      <c r="AH2472" s="45"/>
      <c r="AI2472" s="12"/>
      <c r="AJ2472" s="12"/>
      <c r="AK2472" s="12"/>
      <c r="AL2472" s="12"/>
      <c r="AM2472" s="44"/>
      <c r="AN2472" s="45"/>
      <c r="AO2472" s="12"/>
      <c r="AP2472" s="12"/>
      <c r="AQ2472" s="12"/>
      <c r="AR2472" s="12"/>
      <c r="AS2472" s="44"/>
      <c r="AT2472" s="45"/>
      <c r="AU2472" s="12"/>
      <c r="AV2472" s="12"/>
      <c r="AW2472" s="12"/>
      <c r="AX2472" s="12"/>
      <c r="AY2472" s="44"/>
      <c r="AZ2472" s="45"/>
      <c r="BA2472" s="12"/>
      <c r="BB2472" s="12"/>
      <c r="BC2472" s="12"/>
      <c r="BD2472" s="12"/>
      <c r="BE2472" s="44"/>
      <c r="BF2472" s="45"/>
      <c r="BG2472" s="12"/>
      <c r="BH2472" s="12"/>
      <c r="BI2472" s="12"/>
      <c r="BJ2472" s="12"/>
      <c r="BK2472" s="44"/>
      <c r="BL2472" s="45"/>
      <c r="BM2472" s="12"/>
      <c r="BN2472" s="12"/>
      <c r="BO2472" s="12"/>
      <c r="BP2472" s="12"/>
      <c r="BQ2472" s="48"/>
      <c r="BR2472" s="49"/>
      <c r="BS2472" s="13"/>
      <c r="BT2472" s="12"/>
      <c r="BV2472" s="14"/>
      <c r="BW2472" s="50"/>
      <c r="BX2472" s="54"/>
      <c r="BY2472" s="14"/>
      <c r="BZ2472" s="14"/>
      <c r="CA2472" s="14"/>
      <c r="CB2472" s="14"/>
      <c r="CC2472" s="14"/>
      <c r="CD2472" s="14"/>
      <c r="CE2472" s="14"/>
      <c r="CF2472" s="15"/>
      <c r="CG2472" s="14"/>
      <c r="CH2472" s="14"/>
      <c r="CI2472" s="50"/>
      <c r="CJ2472" s="54"/>
      <c r="CK2472" s="14"/>
      <c r="CL2472" s="14"/>
      <c r="CM2472" s="14"/>
      <c r="CN2472" s="14"/>
      <c r="CO2472" s="14"/>
      <c r="CP2472" s="14"/>
      <c r="CQ2472" s="14"/>
      <c r="CR2472" s="14"/>
      <c r="CS2472" s="14"/>
      <c r="CT2472" s="14"/>
      <c r="CU2472" s="16"/>
      <c r="CV2472" s="14"/>
      <c r="CW2472" s="50"/>
      <c r="CX2472" s="17"/>
    </row>
    <row r="2473" spans="4:102" x14ac:dyDescent="0.25">
      <c r="D2473" s="11"/>
      <c r="E2473" s="11"/>
      <c r="F2473" s="11"/>
      <c r="G2473" s="11"/>
      <c r="H2473" s="11"/>
      <c r="I2473" s="11"/>
      <c r="J2473" s="11"/>
      <c r="K2473" s="11"/>
      <c r="L2473" s="11"/>
      <c r="M2473" s="11"/>
      <c r="N2473" s="11"/>
      <c r="O2473" s="11"/>
      <c r="P2473" s="43"/>
      <c r="Q2473" s="11"/>
      <c r="R2473" s="11"/>
      <c r="S2473" s="11"/>
      <c r="T2473" s="11"/>
      <c r="U2473" s="11"/>
      <c r="V2473" s="11"/>
      <c r="W2473" s="11"/>
      <c r="X2473" s="12"/>
      <c r="Y2473" s="12"/>
      <c r="Z2473" s="12"/>
      <c r="AA2473" s="44"/>
      <c r="AB2473" s="45"/>
      <c r="AC2473" s="12"/>
      <c r="AD2473" s="12"/>
      <c r="AE2473" s="12"/>
      <c r="AF2473" s="12"/>
      <c r="AG2473" s="44"/>
      <c r="AH2473" s="45"/>
      <c r="AI2473" s="12"/>
      <c r="AJ2473" s="12"/>
      <c r="AK2473" s="12"/>
      <c r="AL2473" s="12"/>
      <c r="AM2473" s="44"/>
      <c r="AN2473" s="45"/>
      <c r="AO2473" s="12"/>
      <c r="AP2473" s="12"/>
      <c r="AQ2473" s="12"/>
      <c r="AR2473" s="12"/>
      <c r="AS2473" s="44"/>
      <c r="AT2473" s="45"/>
      <c r="AU2473" s="12"/>
      <c r="AV2473" s="12"/>
      <c r="AW2473" s="12"/>
      <c r="AX2473" s="12"/>
      <c r="AY2473" s="44"/>
      <c r="AZ2473" s="45"/>
      <c r="BA2473" s="12"/>
      <c r="BB2473" s="12"/>
      <c r="BC2473" s="12"/>
      <c r="BD2473" s="12"/>
      <c r="BE2473" s="44"/>
      <c r="BF2473" s="45"/>
      <c r="BG2473" s="12"/>
      <c r="BH2473" s="12"/>
      <c r="BI2473" s="12"/>
      <c r="BJ2473" s="12"/>
      <c r="BK2473" s="44"/>
      <c r="BL2473" s="45"/>
      <c r="BM2473" s="12"/>
      <c r="BN2473" s="12"/>
      <c r="BO2473" s="12"/>
      <c r="BP2473" s="12"/>
      <c r="BQ2473" s="48"/>
      <c r="BR2473" s="49"/>
      <c r="BS2473" s="13"/>
      <c r="BT2473" s="12"/>
      <c r="BV2473" s="14"/>
      <c r="BW2473" s="50"/>
      <c r="BX2473" s="54"/>
      <c r="BY2473" s="14"/>
      <c r="BZ2473" s="14"/>
      <c r="CA2473" s="14"/>
      <c r="CB2473" s="14"/>
      <c r="CC2473" s="14"/>
      <c r="CD2473" s="14"/>
      <c r="CE2473" s="14"/>
      <c r="CF2473" s="15"/>
      <c r="CG2473" s="14"/>
      <c r="CH2473" s="14"/>
      <c r="CI2473" s="50"/>
      <c r="CJ2473" s="54"/>
      <c r="CK2473" s="14"/>
      <c r="CL2473" s="14"/>
      <c r="CM2473" s="14"/>
      <c r="CN2473" s="14"/>
      <c r="CO2473" s="14"/>
      <c r="CP2473" s="14"/>
      <c r="CQ2473" s="14"/>
      <c r="CR2473" s="14"/>
      <c r="CS2473" s="14"/>
      <c r="CT2473" s="14"/>
      <c r="CU2473" s="16"/>
      <c r="CV2473" s="14"/>
      <c r="CW2473" s="50"/>
      <c r="CX2473" s="17"/>
    </row>
    <row r="2474" spans="4:102" x14ac:dyDescent="0.25">
      <c r="D2474" s="11"/>
      <c r="E2474" s="11"/>
      <c r="F2474" s="11"/>
      <c r="G2474" s="11"/>
      <c r="H2474" s="11"/>
      <c r="I2474" s="11"/>
      <c r="J2474" s="11"/>
      <c r="K2474" s="11"/>
      <c r="L2474" s="11"/>
      <c r="M2474" s="11"/>
      <c r="N2474" s="11"/>
      <c r="O2474" s="11"/>
      <c r="P2474" s="43"/>
      <c r="Q2474" s="11"/>
      <c r="R2474" s="11"/>
      <c r="S2474" s="11"/>
      <c r="T2474" s="11"/>
      <c r="U2474" s="11"/>
      <c r="V2474" s="11"/>
      <c r="W2474" s="11"/>
      <c r="X2474" s="12"/>
      <c r="Y2474" s="12"/>
      <c r="Z2474" s="12"/>
      <c r="AA2474" s="44"/>
      <c r="AB2474" s="45"/>
      <c r="AC2474" s="12"/>
      <c r="AD2474" s="12"/>
      <c r="AE2474" s="12"/>
      <c r="AF2474" s="12"/>
      <c r="AG2474" s="44"/>
      <c r="AH2474" s="45"/>
      <c r="AI2474" s="12"/>
      <c r="AJ2474" s="12"/>
      <c r="AK2474" s="12"/>
      <c r="AL2474" s="12"/>
      <c r="AM2474" s="44"/>
      <c r="AN2474" s="45"/>
      <c r="AO2474" s="12"/>
      <c r="AP2474" s="12"/>
      <c r="AQ2474" s="12"/>
      <c r="AR2474" s="12"/>
      <c r="AS2474" s="44"/>
      <c r="AT2474" s="45"/>
      <c r="AU2474" s="12"/>
      <c r="AV2474" s="12"/>
      <c r="AW2474" s="12"/>
      <c r="AX2474" s="12"/>
      <c r="AY2474" s="44"/>
      <c r="AZ2474" s="45"/>
      <c r="BA2474" s="12"/>
      <c r="BB2474" s="12"/>
      <c r="BC2474" s="12"/>
      <c r="BD2474" s="12"/>
      <c r="BE2474" s="44"/>
      <c r="BF2474" s="45"/>
      <c r="BG2474" s="12"/>
      <c r="BH2474" s="12"/>
      <c r="BI2474" s="12"/>
      <c r="BJ2474" s="12"/>
      <c r="BK2474" s="44"/>
      <c r="BL2474" s="45"/>
      <c r="BM2474" s="12"/>
      <c r="BN2474" s="12"/>
      <c r="BO2474" s="12"/>
      <c r="BP2474" s="12"/>
      <c r="BQ2474" s="48"/>
      <c r="BR2474" s="49"/>
      <c r="BS2474" s="13"/>
      <c r="BT2474" s="12"/>
      <c r="BV2474" s="14"/>
      <c r="BW2474" s="50"/>
      <c r="BX2474" s="54"/>
      <c r="BY2474" s="14"/>
      <c r="BZ2474" s="14"/>
      <c r="CA2474" s="14"/>
      <c r="CB2474" s="14"/>
      <c r="CC2474" s="14"/>
      <c r="CD2474" s="14"/>
      <c r="CE2474" s="14"/>
      <c r="CF2474" s="15"/>
      <c r="CG2474" s="14"/>
      <c r="CH2474" s="14"/>
      <c r="CI2474" s="50"/>
      <c r="CJ2474" s="54"/>
      <c r="CK2474" s="14"/>
      <c r="CL2474" s="14"/>
      <c r="CM2474" s="14"/>
      <c r="CN2474" s="14"/>
      <c r="CO2474" s="14"/>
      <c r="CP2474" s="14"/>
      <c r="CQ2474" s="14"/>
      <c r="CR2474" s="14"/>
      <c r="CS2474" s="14"/>
      <c r="CT2474" s="14"/>
      <c r="CU2474" s="16"/>
      <c r="CV2474" s="14"/>
      <c r="CW2474" s="50"/>
      <c r="CX2474" s="17"/>
    </row>
    <row r="2475" spans="4:102" x14ac:dyDescent="0.25">
      <c r="D2475" s="11"/>
      <c r="E2475" s="11"/>
      <c r="F2475" s="11"/>
      <c r="G2475" s="11"/>
      <c r="H2475" s="11"/>
      <c r="I2475" s="11"/>
      <c r="J2475" s="11"/>
      <c r="K2475" s="11"/>
      <c r="L2475" s="11"/>
      <c r="M2475" s="11"/>
      <c r="N2475" s="11"/>
      <c r="O2475" s="11"/>
      <c r="P2475" s="43"/>
      <c r="Q2475" s="11"/>
      <c r="R2475" s="11"/>
      <c r="S2475" s="11"/>
      <c r="T2475" s="11"/>
      <c r="U2475" s="11"/>
      <c r="V2475" s="11"/>
      <c r="W2475" s="11"/>
      <c r="X2475" s="12"/>
      <c r="Y2475" s="12"/>
      <c r="Z2475" s="12"/>
      <c r="AA2475" s="44"/>
      <c r="AB2475" s="45"/>
      <c r="AC2475" s="12"/>
      <c r="AD2475" s="12"/>
      <c r="AE2475" s="12"/>
      <c r="AF2475" s="12"/>
      <c r="AG2475" s="44"/>
      <c r="AH2475" s="45"/>
      <c r="AI2475" s="12"/>
      <c r="AJ2475" s="12"/>
      <c r="AK2475" s="12"/>
      <c r="AL2475" s="12"/>
      <c r="AM2475" s="44"/>
      <c r="AN2475" s="45"/>
      <c r="AO2475" s="12"/>
      <c r="AP2475" s="12"/>
      <c r="AQ2475" s="12"/>
      <c r="AR2475" s="12"/>
      <c r="AS2475" s="44"/>
      <c r="AT2475" s="45"/>
      <c r="AU2475" s="12"/>
      <c r="AV2475" s="12"/>
      <c r="AW2475" s="12"/>
      <c r="AX2475" s="12"/>
      <c r="AY2475" s="44"/>
      <c r="AZ2475" s="45"/>
      <c r="BA2475" s="12"/>
      <c r="BB2475" s="12"/>
      <c r="BC2475" s="12"/>
      <c r="BD2475" s="12"/>
      <c r="BE2475" s="44"/>
      <c r="BF2475" s="45"/>
      <c r="BG2475" s="12"/>
      <c r="BH2475" s="12"/>
      <c r="BI2475" s="12"/>
      <c r="BJ2475" s="12"/>
      <c r="BK2475" s="44"/>
      <c r="BL2475" s="45"/>
      <c r="BM2475" s="12"/>
      <c r="BN2475" s="12"/>
      <c r="BO2475" s="12"/>
      <c r="BP2475" s="12"/>
      <c r="BQ2475" s="48"/>
      <c r="BR2475" s="49"/>
      <c r="BS2475" s="13"/>
      <c r="BT2475" s="12"/>
      <c r="BV2475" s="14"/>
      <c r="BW2475" s="50"/>
      <c r="BX2475" s="54"/>
      <c r="BY2475" s="14"/>
      <c r="BZ2475" s="14"/>
      <c r="CA2475" s="14"/>
      <c r="CB2475" s="14"/>
      <c r="CC2475" s="14"/>
      <c r="CD2475" s="14"/>
      <c r="CE2475" s="14"/>
      <c r="CF2475" s="15"/>
      <c r="CG2475" s="14"/>
      <c r="CH2475" s="14"/>
      <c r="CI2475" s="50"/>
      <c r="CJ2475" s="54"/>
      <c r="CK2475" s="14"/>
      <c r="CL2475" s="14"/>
      <c r="CM2475" s="14"/>
      <c r="CN2475" s="14"/>
      <c r="CO2475" s="14"/>
      <c r="CP2475" s="14"/>
      <c r="CQ2475" s="14"/>
      <c r="CR2475" s="14"/>
      <c r="CS2475" s="14"/>
      <c r="CT2475" s="14"/>
      <c r="CU2475" s="16"/>
      <c r="CV2475" s="14"/>
      <c r="CW2475" s="50"/>
      <c r="CX2475" s="17"/>
    </row>
    <row r="2476" spans="4:102" x14ac:dyDescent="0.25">
      <c r="D2476" s="11"/>
      <c r="E2476" s="11"/>
      <c r="F2476" s="11"/>
      <c r="G2476" s="11"/>
      <c r="H2476" s="11"/>
      <c r="I2476" s="11"/>
      <c r="J2476" s="11"/>
      <c r="K2476" s="11"/>
      <c r="L2476" s="11"/>
      <c r="M2476" s="11"/>
      <c r="N2476" s="11"/>
      <c r="O2476" s="11"/>
      <c r="P2476" s="43"/>
      <c r="Q2476" s="11"/>
      <c r="R2476" s="11"/>
      <c r="S2476" s="11"/>
      <c r="T2476" s="11"/>
      <c r="U2476" s="11"/>
      <c r="V2476" s="11"/>
      <c r="W2476" s="11"/>
      <c r="X2476" s="12"/>
      <c r="Y2476" s="12"/>
      <c r="Z2476" s="12"/>
      <c r="AA2476" s="44"/>
      <c r="AB2476" s="45"/>
      <c r="AC2476" s="12"/>
      <c r="AD2476" s="12"/>
      <c r="AE2476" s="12"/>
      <c r="AF2476" s="12"/>
      <c r="AG2476" s="44"/>
      <c r="AH2476" s="45"/>
      <c r="AI2476" s="12"/>
      <c r="AJ2476" s="12"/>
      <c r="AK2476" s="12"/>
      <c r="AL2476" s="12"/>
      <c r="AM2476" s="44"/>
      <c r="AN2476" s="45"/>
      <c r="AO2476" s="12"/>
      <c r="AP2476" s="12"/>
      <c r="AQ2476" s="12"/>
      <c r="AR2476" s="12"/>
      <c r="AS2476" s="44"/>
      <c r="AT2476" s="45"/>
      <c r="AU2476" s="12"/>
      <c r="AV2476" s="12"/>
      <c r="AW2476" s="12"/>
      <c r="AX2476" s="12"/>
      <c r="AY2476" s="44"/>
      <c r="AZ2476" s="45"/>
      <c r="BA2476" s="12"/>
      <c r="BB2476" s="12"/>
      <c r="BC2476" s="12"/>
      <c r="BD2476" s="12"/>
      <c r="BE2476" s="44"/>
      <c r="BF2476" s="45"/>
      <c r="BG2476" s="12"/>
      <c r="BH2476" s="12"/>
      <c r="BI2476" s="12"/>
      <c r="BJ2476" s="12"/>
      <c r="BK2476" s="44"/>
      <c r="BL2476" s="45"/>
      <c r="BM2476" s="12"/>
      <c r="BN2476" s="12"/>
      <c r="BO2476" s="12"/>
      <c r="BP2476" s="12"/>
      <c r="BQ2476" s="48"/>
      <c r="BR2476" s="49"/>
      <c r="BS2476" s="13"/>
      <c r="BT2476" s="12"/>
      <c r="BV2476" s="14"/>
      <c r="BW2476" s="50"/>
      <c r="BX2476" s="54"/>
      <c r="BY2476" s="14"/>
      <c r="BZ2476" s="14"/>
      <c r="CA2476" s="14"/>
      <c r="CB2476" s="14"/>
      <c r="CC2476" s="14"/>
      <c r="CD2476" s="14"/>
      <c r="CE2476" s="14"/>
      <c r="CF2476" s="15"/>
      <c r="CG2476" s="14"/>
      <c r="CH2476" s="14"/>
      <c r="CI2476" s="50"/>
      <c r="CJ2476" s="54"/>
      <c r="CK2476" s="14"/>
      <c r="CL2476" s="14"/>
      <c r="CM2476" s="14"/>
      <c r="CN2476" s="14"/>
      <c r="CO2476" s="14"/>
      <c r="CP2476" s="14"/>
      <c r="CQ2476" s="14"/>
      <c r="CR2476" s="14"/>
      <c r="CS2476" s="14"/>
      <c r="CT2476" s="14"/>
      <c r="CU2476" s="16"/>
      <c r="CV2476" s="14"/>
      <c r="CW2476" s="50"/>
      <c r="CX2476" s="17"/>
    </row>
    <row r="2477" spans="4:102" x14ac:dyDescent="0.25">
      <c r="D2477" s="11"/>
      <c r="E2477" s="11"/>
      <c r="F2477" s="11"/>
      <c r="G2477" s="11"/>
      <c r="H2477" s="11"/>
      <c r="I2477" s="11"/>
      <c r="J2477" s="11"/>
      <c r="K2477" s="11"/>
      <c r="L2477" s="11"/>
      <c r="M2477" s="11"/>
      <c r="N2477" s="11"/>
      <c r="O2477" s="11"/>
      <c r="P2477" s="43"/>
      <c r="Q2477" s="11"/>
      <c r="R2477" s="11"/>
      <c r="S2477" s="11"/>
      <c r="T2477" s="11"/>
      <c r="U2477" s="11"/>
      <c r="V2477" s="11"/>
      <c r="W2477" s="11"/>
      <c r="X2477" s="12"/>
      <c r="Y2477" s="12"/>
      <c r="Z2477" s="12"/>
      <c r="AA2477" s="44"/>
      <c r="AB2477" s="45"/>
      <c r="AC2477" s="12"/>
      <c r="AD2477" s="12"/>
      <c r="AE2477" s="12"/>
      <c r="AF2477" s="12"/>
      <c r="AG2477" s="44"/>
      <c r="AH2477" s="45"/>
      <c r="AI2477" s="12"/>
      <c r="AJ2477" s="12"/>
      <c r="AK2477" s="12"/>
      <c r="AL2477" s="12"/>
      <c r="AM2477" s="44"/>
      <c r="AN2477" s="45"/>
      <c r="AO2477" s="12"/>
      <c r="AP2477" s="12"/>
      <c r="AQ2477" s="12"/>
      <c r="AR2477" s="12"/>
      <c r="AS2477" s="44"/>
      <c r="AT2477" s="45"/>
      <c r="AU2477" s="12"/>
      <c r="AV2477" s="12"/>
      <c r="AW2477" s="12"/>
      <c r="AX2477" s="12"/>
      <c r="AY2477" s="44"/>
      <c r="AZ2477" s="45"/>
      <c r="BA2477" s="12"/>
      <c r="BB2477" s="12"/>
      <c r="BC2477" s="12"/>
      <c r="BD2477" s="12"/>
      <c r="BE2477" s="44"/>
      <c r="BF2477" s="45"/>
      <c r="BG2477" s="12"/>
      <c r="BH2477" s="12"/>
      <c r="BI2477" s="12"/>
      <c r="BJ2477" s="12"/>
      <c r="BK2477" s="44"/>
      <c r="BL2477" s="45"/>
      <c r="BM2477" s="12"/>
      <c r="BN2477" s="12"/>
      <c r="BO2477" s="12"/>
      <c r="BP2477" s="12"/>
      <c r="BQ2477" s="48"/>
      <c r="BR2477" s="49"/>
      <c r="BS2477" s="13"/>
      <c r="BT2477" s="12"/>
      <c r="BV2477" s="14"/>
      <c r="BW2477" s="50"/>
      <c r="BX2477" s="54"/>
      <c r="BY2477" s="14"/>
      <c r="BZ2477" s="14"/>
      <c r="CA2477" s="14"/>
      <c r="CB2477" s="14"/>
      <c r="CC2477" s="14"/>
      <c r="CD2477" s="14"/>
      <c r="CE2477" s="14"/>
      <c r="CF2477" s="15"/>
      <c r="CG2477" s="14"/>
      <c r="CH2477" s="14"/>
      <c r="CI2477" s="50"/>
      <c r="CJ2477" s="54"/>
      <c r="CK2477" s="14"/>
      <c r="CL2477" s="14"/>
      <c r="CM2477" s="14"/>
      <c r="CN2477" s="14"/>
      <c r="CO2477" s="14"/>
      <c r="CP2477" s="14"/>
      <c r="CQ2477" s="14"/>
      <c r="CR2477" s="14"/>
      <c r="CS2477" s="14"/>
      <c r="CT2477" s="14"/>
      <c r="CU2477" s="16"/>
      <c r="CV2477" s="14"/>
      <c r="CW2477" s="50"/>
      <c r="CX2477" s="17"/>
    </row>
    <row r="2478" spans="4:102" x14ac:dyDescent="0.25">
      <c r="D2478" s="11"/>
      <c r="E2478" s="11"/>
      <c r="F2478" s="11"/>
      <c r="G2478" s="11"/>
      <c r="H2478" s="11"/>
      <c r="I2478" s="11"/>
      <c r="J2478" s="11"/>
      <c r="K2478" s="11"/>
      <c r="L2478" s="11"/>
      <c r="M2478" s="11"/>
      <c r="N2478" s="11"/>
      <c r="O2478" s="11"/>
      <c r="P2478" s="43"/>
      <c r="Q2478" s="11"/>
      <c r="R2478" s="11"/>
      <c r="S2478" s="11"/>
      <c r="T2478" s="11"/>
      <c r="U2478" s="11"/>
      <c r="V2478" s="11"/>
      <c r="W2478" s="11"/>
      <c r="X2478" s="12"/>
      <c r="Y2478" s="12"/>
      <c r="Z2478" s="12"/>
      <c r="AA2478" s="44"/>
      <c r="AB2478" s="45"/>
      <c r="AC2478" s="12"/>
      <c r="AD2478" s="12"/>
      <c r="AE2478" s="12"/>
      <c r="AF2478" s="12"/>
      <c r="AG2478" s="44"/>
      <c r="AH2478" s="45"/>
      <c r="AI2478" s="12"/>
      <c r="AJ2478" s="12"/>
      <c r="AK2478" s="12"/>
      <c r="AL2478" s="12"/>
      <c r="AM2478" s="44"/>
      <c r="AN2478" s="45"/>
      <c r="AO2478" s="12"/>
      <c r="AP2478" s="12"/>
      <c r="AQ2478" s="12"/>
      <c r="AR2478" s="12"/>
      <c r="AS2478" s="44"/>
      <c r="AT2478" s="45"/>
      <c r="AU2478" s="12"/>
      <c r="AV2478" s="12"/>
      <c r="AW2478" s="12"/>
      <c r="AX2478" s="12"/>
      <c r="AY2478" s="44"/>
      <c r="AZ2478" s="45"/>
      <c r="BA2478" s="12"/>
      <c r="BB2478" s="12"/>
      <c r="BC2478" s="12"/>
      <c r="BD2478" s="12"/>
      <c r="BE2478" s="44"/>
      <c r="BF2478" s="45"/>
      <c r="BG2478" s="12"/>
      <c r="BH2478" s="12"/>
      <c r="BI2478" s="12"/>
      <c r="BJ2478" s="12"/>
      <c r="BK2478" s="44"/>
      <c r="BL2478" s="45"/>
      <c r="BM2478" s="12"/>
      <c r="BN2478" s="12"/>
      <c r="BO2478" s="12"/>
      <c r="BP2478" s="12"/>
      <c r="BQ2478" s="48"/>
      <c r="BR2478" s="49"/>
      <c r="BS2478" s="13"/>
      <c r="BT2478" s="12"/>
      <c r="BV2478" s="14"/>
      <c r="BW2478" s="50"/>
      <c r="BX2478" s="54"/>
      <c r="BY2478" s="14"/>
      <c r="BZ2478" s="14"/>
      <c r="CA2478" s="14"/>
      <c r="CB2478" s="14"/>
      <c r="CC2478" s="14"/>
      <c r="CD2478" s="14"/>
      <c r="CE2478" s="14"/>
      <c r="CF2478" s="15"/>
      <c r="CG2478" s="14"/>
      <c r="CH2478" s="14"/>
      <c r="CI2478" s="50"/>
      <c r="CJ2478" s="54"/>
      <c r="CK2478" s="14"/>
      <c r="CL2478" s="14"/>
      <c r="CM2478" s="14"/>
      <c r="CN2478" s="14"/>
      <c r="CO2478" s="14"/>
      <c r="CP2478" s="14"/>
      <c r="CQ2478" s="14"/>
      <c r="CR2478" s="14"/>
      <c r="CS2478" s="14"/>
      <c r="CT2478" s="14"/>
      <c r="CU2478" s="16"/>
      <c r="CV2478" s="14"/>
      <c r="CW2478" s="50"/>
      <c r="CX2478" s="17"/>
    </row>
    <row r="2479" spans="4:102" x14ac:dyDescent="0.25">
      <c r="D2479" s="11"/>
      <c r="E2479" s="11"/>
      <c r="F2479" s="11"/>
      <c r="G2479" s="11"/>
      <c r="H2479" s="11"/>
      <c r="I2479" s="11"/>
      <c r="J2479" s="11"/>
      <c r="K2479" s="11"/>
      <c r="L2479" s="11"/>
      <c r="M2479" s="11"/>
      <c r="N2479" s="11"/>
      <c r="O2479" s="11"/>
      <c r="P2479" s="43"/>
      <c r="Q2479" s="11"/>
      <c r="R2479" s="11"/>
      <c r="S2479" s="11"/>
      <c r="T2479" s="11"/>
      <c r="U2479" s="11"/>
      <c r="V2479" s="11"/>
      <c r="W2479" s="11"/>
      <c r="X2479" s="12"/>
      <c r="Y2479" s="12"/>
      <c r="Z2479" s="12"/>
      <c r="AA2479" s="44"/>
      <c r="AB2479" s="45"/>
      <c r="AC2479" s="12"/>
      <c r="AD2479" s="12"/>
      <c r="AE2479" s="12"/>
      <c r="AF2479" s="12"/>
      <c r="AG2479" s="44"/>
      <c r="AH2479" s="45"/>
      <c r="AI2479" s="12"/>
      <c r="AJ2479" s="12"/>
      <c r="AK2479" s="12"/>
      <c r="AL2479" s="12"/>
      <c r="AM2479" s="44"/>
      <c r="AN2479" s="45"/>
      <c r="AO2479" s="12"/>
      <c r="AP2479" s="12"/>
      <c r="AQ2479" s="12"/>
      <c r="AR2479" s="12"/>
      <c r="AS2479" s="44"/>
      <c r="AT2479" s="45"/>
      <c r="AU2479" s="12"/>
      <c r="AV2479" s="12"/>
      <c r="AW2479" s="12"/>
      <c r="AX2479" s="12"/>
      <c r="AY2479" s="44"/>
      <c r="AZ2479" s="45"/>
      <c r="BA2479" s="12"/>
      <c r="BB2479" s="12"/>
      <c r="BC2479" s="12"/>
      <c r="BD2479" s="12"/>
      <c r="BE2479" s="44"/>
      <c r="BF2479" s="45"/>
      <c r="BG2479" s="12"/>
      <c r="BH2479" s="12"/>
      <c r="BI2479" s="12"/>
      <c r="BJ2479" s="12"/>
      <c r="BK2479" s="44"/>
      <c r="BL2479" s="45"/>
      <c r="BM2479" s="12"/>
      <c r="BN2479" s="12"/>
      <c r="BO2479" s="12"/>
      <c r="BP2479" s="12"/>
      <c r="BQ2479" s="48"/>
      <c r="BR2479" s="49"/>
      <c r="BS2479" s="13"/>
      <c r="BT2479" s="12"/>
      <c r="BV2479" s="14"/>
      <c r="BW2479" s="50"/>
      <c r="BX2479" s="54"/>
      <c r="BY2479" s="14"/>
      <c r="BZ2479" s="14"/>
      <c r="CA2479" s="14"/>
      <c r="CB2479" s="14"/>
      <c r="CC2479" s="14"/>
      <c r="CD2479" s="14"/>
      <c r="CE2479" s="14"/>
      <c r="CF2479" s="15"/>
      <c r="CG2479" s="14"/>
      <c r="CH2479" s="14"/>
      <c r="CI2479" s="50"/>
      <c r="CJ2479" s="54"/>
      <c r="CK2479" s="14"/>
      <c r="CL2479" s="14"/>
      <c r="CM2479" s="14"/>
      <c r="CN2479" s="14"/>
      <c r="CO2479" s="14"/>
      <c r="CP2479" s="14"/>
      <c r="CQ2479" s="14"/>
      <c r="CR2479" s="14"/>
      <c r="CS2479" s="14"/>
      <c r="CT2479" s="14"/>
      <c r="CU2479" s="16"/>
      <c r="CV2479" s="14"/>
      <c r="CW2479" s="50"/>
      <c r="CX2479" s="17"/>
    </row>
    <row r="2480" spans="4:102" x14ac:dyDescent="0.25">
      <c r="D2480" s="11"/>
      <c r="E2480" s="11"/>
      <c r="F2480" s="11"/>
      <c r="G2480" s="11"/>
      <c r="H2480" s="11"/>
      <c r="I2480" s="11"/>
      <c r="J2480" s="11"/>
      <c r="K2480" s="11"/>
      <c r="L2480" s="11"/>
      <c r="M2480" s="11"/>
      <c r="N2480" s="11"/>
      <c r="O2480" s="11"/>
      <c r="P2480" s="43"/>
      <c r="Q2480" s="11"/>
      <c r="R2480" s="11"/>
      <c r="S2480" s="11"/>
      <c r="T2480" s="11"/>
      <c r="U2480" s="11"/>
      <c r="V2480" s="11"/>
      <c r="W2480" s="11"/>
      <c r="X2480" s="12"/>
      <c r="Y2480" s="12"/>
      <c r="Z2480" s="12"/>
      <c r="AA2480" s="44"/>
      <c r="AB2480" s="45"/>
      <c r="AC2480" s="12"/>
      <c r="AD2480" s="12"/>
      <c r="AE2480" s="12"/>
      <c r="AF2480" s="12"/>
      <c r="AG2480" s="44"/>
      <c r="AH2480" s="45"/>
      <c r="AI2480" s="12"/>
      <c r="AJ2480" s="12"/>
      <c r="AK2480" s="12"/>
      <c r="AL2480" s="12"/>
      <c r="AM2480" s="44"/>
      <c r="AN2480" s="45"/>
      <c r="AO2480" s="12"/>
      <c r="AP2480" s="12"/>
      <c r="AQ2480" s="12"/>
      <c r="AR2480" s="12"/>
      <c r="AS2480" s="44"/>
      <c r="AT2480" s="45"/>
      <c r="AU2480" s="12"/>
      <c r="AV2480" s="12"/>
      <c r="AW2480" s="12"/>
      <c r="AX2480" s="12"/>
      <c r="AY2480" s="44"/>
      <c r="AZ2480" s="45"/>
      <c r="BA2480" s="12"/>
      <c r="BB2480" s="12"/>
      <c r="BC2480" s="12"/>
      <c r="BD2480" s="12"/>
      <c r="BE2480" s="44"/>
      <c r="BF2480" s="45"/>
      <c r="BG2480" s="12"/>
      <c r="BH2480" s="12"/>
      <c r="BI2480" s="12"/>
      <c r="BJ2480" s="12"/>
      <c r="BK2480" s="44"/>
      <c r="BL2480" s="45"/>
      <c r="BM2480" s="12"/>
      <c r="BN2480" s="12"/>
      <c r="BO2480" s="12"/>
      <c r="BP2480" s="12"/>
      <c r="BQ2480" s="48"/>
      <c r="BR2480" s="49"/>
      <c r="BS2480" s="13"/>
      <c r="BT2480" s="12"/>
      <c r="BV2480" s="14"/>
      <c r="BW2480" s="50"/>
      <c r="BX2480" s="54"/>
      <c r="BY2480" s="14"/>
      <c r="BZ2480" s="14"/>
      <c r="CA2480" s="14"/>
      <c r="CB2480" s="14"/>
      <c r="CC2480" s="14"/>
      <c r="CD2480" s="14"/>
      <c r="CE2480" s="14"/>
      <c r="CF2480" s="15"/>
      <c r="CG2480" s="14"/>
      <c r="CH2480" s="14"/>
      <c r="CI2480" s="50"/>
      <c r="CJ2480" s="54"/>
      <c r="CK2480" s="14"/>
      <c r="CL2480" s="14"/>
      <c r="CM2480" s="14"/>
      <c r="CN2480" s="14"/>
      <c r="CO2480" s="14"/>
      <c r="CP2480" s="14"/>
      <c r="CQ2480" s="14"/>
      <c r="CR2480" s="14"/>
      <c r="CS2480" s="14"/>
      <c r="CT2480" s="14"/>
      <c r="CU2480" s="16"/>
      <c r="CV2480" s="14"/>
      <c r="CW2480" s="50"/>
      <c r="CX2480" s="17"/>
    </row>
    <row r="2481" spans="4:102" x14ac:dyDescent="0.25">
      <c r="D2481" s="11"/>
      <c r="E2481" s="11"/>
      <c r="F2481" s="11"/>
      <c r="G2481" s="11"/>
      <c r="H2481" s="11"/>
      <c r="I2481" s="11"/>
      <c r="J2481" s="11"/>
      <c r="K2481" s="11"/>
      <c r="L2481" s="11"/>
      <c r="M2481" s="11"/>
      <c r="N2481" s="11"/>
      <c r="O2481" s="11"/>
      <c r="P2481" s="43"/>
      <c r="Q2481" s="11"/>
      <c r="R2481" s="11"/>
      <c r="S2481" s="11"/>
      <c r="T2481" s="11"/>
      <c r="U2481" s="11"/>
      <c r="V2481" s="11"/>
      <c r="W2481" s="11"/>
      <c r="X2481" s="12"/>
      <c r="Y2481" s="12"/>
      <c r="Z2481" s="12"/>
      <c r="AA2481" s="44"/>
      <c r="AB2481" s="45"/>
      <c r="AC2481" s="12"/>
      <c r="AD2481" s="12"/>
      <c r="AE2481" s="12"/>
      <c r="AF2481" s="12"/>
      <c r="AG2481" s="44"/>
      <c r="AH2481" s="45"/>
      <c r="AI2481" s="12"/>
      <c r="AJ2481" s="12"/>
      <c r="AK2481" s="12"/>
      <c r="AL2481" s="12"/>
      <c r="AM2481" s="44"/>
      <c r="AN2481" s="45"/>
      <c r="AO2481" s="12"/>
      <c r="AP2481" s="12"/>
      <c r="AQ2481" s="12"/>
      <c r="AR2481" s="12"/>
      <c r="AS2481" s="44"/>
      <c r="AT2481" s="45"/>
      <c r="AU2481" s="12"/>
      <c r="AV2481" s="12"/>
      <c r="AW2481" s="12"/>
      <c r="AX2481" s="12"/>
      <c r="AY2481" s="44"/>
      <c r="AZ2481" s="45"/>
      <c r="BA2481" s="12"/>
      <c r="BB2481" s="12"/>
      <c r="BC2481" s="12"/>
      <c r="BD2481" s="12"/>
      <c r="BE2481" s="44"/>
      <c r="BF2481" s="45"/>
      <c r="BG2481" s="12"/>
      <c r="BH2481" s="12"/>
      <c r="BI2481" s="12"/>
      <c r="BJ2481" s="12"/>
      <c r="BK2481" s="44"/>
      <c r="BL2481" s="45"/>
      <c r="BM2481" s="12"/>
      <c r="BN2481" s="12"/>
      <c r="BO2481" s="12"/>
      <c r="BP2481" s="12"/>
      <c r="BQ2481" s="48"/>
      <c r="BR2481" s="49"/>
      <c r="BS2481" s="13"/>
      <c r="BT2481" s="12"/>
      <c r="BV2481" s="14"/>
      <c r="BW2481" s="50"/>
      <c r="BX2481" s="54"/>
      <c r="BY2481" s="14"/>
      <c r="BZ2481" s="14"/>
      <c r="CA2481" s="14"/>
      <c r="CB2481" s="14"/>
      <c r="CC2481" s="14"/>
      <c r="CD2481" s="14"/>
      <c r="CE2481" s="14"/>
      <c r="CF2481" s="15"/>
      <c r="CG2481" s="14"/>
      <c r="CH2481" s="14"/>
      <c r="CI2481" s="50"/>
      <c r="CJ2481" s="54"/>
      <c r="CK2481" s="14"/>
      <c r="CL2481" s="14"/>
      <c r="CM2481" s="14"/>
      <c r="CN2481" s="14"/>
      <c r="CO2481" s="14"/>
      <c r="CP2481" s="14"/>
      <c r="CQ2481" s="14"/>
      <c r="CR2481" s="14"/>
      <c r="CS2481" s="14"/>
      <c r="CT2481" s="14"/>
      <c r="CU2481" s="16"/>
      <c r="CV2481" s="14"/>
      <c r="CW2481" s="50"/>
      <c r="CX2481" s="17"/>
    </row>
    <row r="2482" spans="4:102" x14ac:dyDescent="0.25">
      <c r="D2482" s="11"/>
      <c r="E2482" s="11"/>
      <c r="F2482" s="11"/>
      <c r="G2482" s="11"/>
      <c r="H2482" s="11"/>
      <c r="I2482" s="11"/>
      <c r="J2482" s="11"/>
      <c r="K2482" s="11"/>
      <c r="L2482" s="11"/>
      <c r="M2482" s="11"/>
      <c r="N2482" s="11"/>
      <c r="O2482" s="11"/>
      <c r="P2482" s="43"/>
      <c r="Q2482" s="11"/>
      <c r="R2482" s="11"/>
      <c r="S2482" s="11"/>
      <c r="T2482" s="11"/>
      <c r="U2482" s="11"/>
      <c r="V2482" s="11"/>
      <c r="W2482" s="11"/>
      <c r="X2482" s="12"/>
      <c r="Y2482" s="12"/>
      <c r="Z2482" s="12"/>
      <c r="AA2482" s="44"/>
      <c r="AB2482" s="45"/>
      <c r="AC2482" s="12"/>
      <c r="AD2482" s="12"/>
      <c r="AE2482" s="12"/>
      <c r="AF2482" s="12"/>
      <c r="AG2482" s="44"/>
      <c r="AH2482" s="45"/>
      <c r="AI2482" s="12"/>
      <c r="AJ2482" s="12"/>
      <c r="AK2482" s="12"/>
      <c r="AL2482" s="12"/>
      <c r="AM2482" s="44"/>
      <c r="AN2482" s="45"/>
      <c r="AO2482" s="12"/>
      <c r="AP2482" s="12"/>
      <c r="AQ2482" s="12"/>
      <c r="AR2482" s="12"/>
      <c r="AS2482" s="44"/>
      <c r="AT2482" s="45"/>
      <c r="AU2482" s="12"/>
      <c r="AV2482" s="12"/>
      <c r="AW2482" s="12"/>
      <c r="AX2482" s="12"/>
      <c r="AY2482" s="44"/>
      <c r="AZ2482" s="45"/>
      <c r="BA2482" s="12"/>
      <c r="BB2482" s="12"/>
      <c r="BC2482" s="12"/>
      <c r="BD2482" s="12"/>
      <c r="BE2482" s="44"/>
      <c r="BF2482" s="45"/>
      <c r="BG2482" s="12"/>
      <c r="BH2482" s="12"/>
      <c r="BI2482" s="12"/>
      <c r="BJ2482" s="12"/>
      <c r="BK2482" s="44"/>
      <c r="BL2482" s="45"/>
      <c r="BM2482" s="12"/>
      <c r="BN2482" s="12"/>
      <c r="BO2482" s="12"/>
      <c r="BP2482" s="12"/>
      <c r="BQ2482" s="48"/>
      <c r="BR2482" s="49"/>
      <c r="BS2482" s="13"/>
      <c r="BT2482" s="12"/>
      <c r="BV2482" s="14"/>
      <c r="BW2482" s="50"/>
      <c r="BX2482" s="54"/>
      <c r="BY2482" s="14"/>
      <c r="BZ2482" s="14"/>
      <c r="CA2482" s="14"/>
      <c r="CB2482" s="14"/>
      <c r="CC2482" s="14"/>
      <c r="CD2482" s="14"/>
      <c r="CE2482" s="14"/>
      <c r="CF2482" s="15"/>
      <c r="CG2482" s="14"/>
      <c r="CH2482" s="14"/>
      <c r="CI2482" s="50"/>
      <c r="CJ2482" s="54"/>
      <c r="CK2482" s="14"/>
      <c r="CL2482" s="14"/>
      <c r="CM2482" s="14"/>
      <c r="CN2482" s="14"/>
      <c r="CO2482" s="14"/>
      <c r="CP2482" s="14"/>
      <c r="CQ2482" s="14"/>
      <c r="CR2482" s="14"/>
      <c r="CS2482" s="14"/>
      <c r="CT2482" s="14"/>
      <c r="CU2482" s="16"/>
      <c r="CV2482" s="14"/>
      <c r="CW2482" s="50"/>
      <c r="CX2482" s="17"/>
    </row>
    <row r="2483" spans="4:102" x14ac:dyDescent="0.25">
      <c r="D2483" s="11"/>
      <c r="E2483" s="11"/>
      <c r="F2483" s="11"/>
      <c r="G2483" s="11"/>
      <c r="H2483" s="11"/>
      <c r="I2483" s="11"/>
      <c r="J2483" s="11"/>
      <c r="K2483" s="11"/>
      <c r="L2483" s="11"/>
      <c r="M2483" s="11"/>
      <c r="N2483" s="11"/>
      <c r="O2483" s="11"/>
      <c r="P2483" s="43"/>
      <c r="Q2483" s="11"/>
      <c r="R2483" s="11"/>
      <c r="S2483" s="11"/>
      <c r="T2483" s="11"/>
      <c r="U2483" s="11"/>
      <c r="V2483" s="11"/>
      <c r="W2483" s="11"/>
      <c r="X2483" s="12"/>
      <c r="Y2483" s="12"/>
      <c r="Z2483" s="12"/>
      <c r="AA2483" s="44"/>
      <c r="AB2483" s="45"/>
      <c r="AC2483" s="12"/>
      <c r="AD2483" s="12"/>
      <c r="AE2483" s="12"/>
      <c r="AF2483" s="12"/>
      <c r="AG2483" s="44"/>
      <c r="AH2483" s="45"/>
      <c r="AI2483" s="12"/>
      <c r="AJ2483" s="12"/>
      <c r="AK2483" s="12"/>
      <c r="AL2483" s="12"/>
      <c r="AM2483" s="44"/>
      <c r="AN2483" s="45"/>
      <c r="AO2483" s="12"/>
      <c r="AP2483" s="12"/>
      <c r="AQ2483" s="12"/>
      <c r="AR2483" s="12"/>
      <c r="AS2483" s="44"/>
      <c r="AT2483" s="45"/>
      <c r="AU2483" s="12"/>
      <c r="AV2483" s="12"/>
      <c r="AW2483" s="12"/>
      <c r="AX2483" s="12"/>
      <c r="AY2483" s="44"/>
      <c r="AZ2483" s="45"/>
      <c r="BA2483" s="12"/>
      <c r="BB2483" s="12"/>
      <c r="BC2483" s="12"/>
      <c r="BD2483" s="12"/>
      <c r="BE2483" s="44"/>
      <c r="BF2483" s="45"/>
      <c r="BG2483" s="12"/>
      <c r="BH2483" s="12"/>
      <c r="BI2483" s="12"/>
      <c r="BJ2483" s="12"/>
      <c r="BK2483" s="44"/>
      <c r="BL2483" s="45"/>
      <c r="BM2483" s="12"/>
      <c r="BN2483" s="12"/>
      <c r="BO2483" s="12"/>
      <c r="BP2483" s="12"/>
      <c r="BQ2483" s="48"/>
      <c r="BR2483" s="49"/>
      <c r="BS2483" s="13"/>
      <c r="BT2483" s="12"/>
      <c r="BV2483" s="14"/>
      <c r="BW2483" s="50"/>
      <c r="BX2483" s="54"/>
      <c r="BY2483" s="14"/>
      <c r="BZ2483" s="14"/>
      <c r="CA2483" s="14"/>
      <c r="CB2483" s="14"/>
      <c r="CC2483" s="14"/>
      <c r="CD2483" s="14"/>
      <c r="CE2483" s="14"/>
      <c r="CF2483" s="15"/>
      <c r="CG2483" s="14"/>
      <c r="CH2483" s="14"/>
      <c r="CI2483" s="50"/>
      <c r="CJ2483" s="54"/>
      <c r="CK2483" s="14"/>
      <c r="CL2483" s="14"/>
      <c r="CM2483" s="14"/>
      <c r="CN2483" s="14"/>
      <c r="CO2483" s="14"/>
      <c r="CP2483" s="14"/>
      <c r="CQ2483" s="14"/>
      <c r="CR2483" s="14"/>
      <c r="CS2483" s="14"/>
      <c r="CT2483" s="14"/>
      <c r="CU2483" s="16"/>
      <c r="CV2483" s="14"/>
      <c r="CW2483" s="50"/>
      <c r="CX2483" s="17"/>
    </row>
    <row r="2484" spans="4:102" x14ac:dyDescent="0.25">
      <c r="D2484" s="11"/>
      <c r="E2484" s="11"/>
      <c r="F2484" s="11"/>
      <c r="G2484" s="11"/>
      <c r="H2484" s="11"/>
      <c r="I2484" s="11"/>
      <c r="J2484" s="11"/>
      <c r="K2484" s="11"/>
      <c r="L2484" s="11"/>
      <c r="M2484" s="11"/>
      <c r="N2484" s="11"/>
      <c r="O2484" s="11"/>
      <c r="P2484" s="43"/>
      <c r="Q2484" s="11"/>
      <c r="R2484" s="11"/>
      <c r="S2484" s="11"/>
      <c r="T2484" s="11"/>
      <c r="U2484" s="11"/>
      <c r="V2484" s="11"/>
      <c r="W2484" s="11"/>
      <c r="X2484" s="12"/>
      <c r="Y2484" s="12"/>
      <c r="Z2484" s="12"/>
      <c r="AA2484" s="44"/>
      <c r="AB2484" s="45"/>
      <c r="AC2484" s="12"/>
      <c r="AD2484" s="12"/>
      <c r="AE2484" s="12"/>
      <c r="AF2484" s="12"/>
      <c r="AG2484" s="44"/>
      <c r="AH2484" s="45"/>
      <c r="AI2484" s="12"/>
      <c r="AJ2484" s="12"/>
      <c r="AK2484" s="12"/>
      <c r="AL2484" s="12"/>
      <c r="AM2484" s="44"/>
      <c r="AN2484" s="45"/>
      <c r="AO2484" s="12"/>
      <c r="AP2484" s="12"/>
      <c r="AQ2484" s="12"/>
      <c r="AR2484" s="12"/>
      <c r="AS2484" s="44"/>
      <c r="AT2484" s="45"/>
      <c r="AU2484" s="12"/>
      <c r="AV2484" s="12"/>
      <c r="AW2484" s="12"/>
      <c r="AX2484" s="12"/>
      <c r="AY2484" s="44"/>
      <c r="AZ2484" s="45"/>
      <c r="BA2484" s="12"/>
      <c r="BB2484" s="12"/>
      <c r="BC2484" s="12"/>
      <c r="BD2484" s="12"/>
      <c r="BE2484" s="44"/>
      <c r="BF2484" s="45"/>
      <c r="BG2484" s="12"/>
      <c r="BH2484" s="12"/>
      <c r="BI2484" s="12"/>
      <c r="BJ2484" s="12"/>
      <c r="BK2484" s="44"/>
      <c r="BL2484" s="45"/>
      <c r="BM2484" s="12"/>
      <c r="BN2484" s="12"/>
      <c r="BO2484" s="12"/>
      <c r="BP2484" s="12"/>
      <c r="BQ2484" s="48"/>
      <c r="BR2484" s="49"/>
      <c r="BS2484" s="13"/>
      <c r="BT2484" s="12"/>
      <c r="BV2484" s="14"/>
      <c r="BW2484" s="50"/>
      <c r="BX2484" s="54"/>
      <c r="BY2484" s="14"/>
      <c r="BZ2484" s="14"/>
      <c r="CA2484" s="14"/>
      <c r="CB2484" s="14"/>
      <c r="CC2484" s="14"/>
      <c r="CD2484" s="14"/>
      <c r="CE2484" s="14"/>
      <c r="CF2484" s="15"/>
      <c r="CG2484" s="14"/>
      <c r="CH2484" s="14"/>
      <c r="CI2484" s="50"/>
      <c r="CJ2484" s="54"/>
      <c r="CK2484" s="14"/>
      <c r="CL2484" s="14"/>
      <c r="CM2484" s="14"/>
      <c r="CN2484" s="14"/>
      <c r="CO2484" s="14"/>
      <c r="CP2484" s="14"/>
      <c r="CQ2484" s="14"/>
      <c r="CR2484" s="14"/>
      <c r="CS2484" s="14"/>
      <c r="CT2484" s="14"/>
      <c r="CU2484" s="16"/>
      <c r="CV2484" s="14"/>
      <c r="CW2484" s="50"/>
      <c r="CX2484" s="17"/>
    </row>
    <row r="2485" spans="4:102" x14ac:dyDescent="0.25">
      <c r="D2485" s="11"/>
      <c r="E2485" s="11"/>
      <c r="F2485" s="11"/>
      <c r="G2485" s="11"/>
      <c r="H2485" s="11"/>
      <c r="I2485" s="11"/>
      <c r="J2485" s="11"/>
      <c r="K2485" s="11"/>
      <c r="L2485" s="11"/>
      <c r="M2485" s="11"/>
      <c r="N2485" s="11"/>
      <c r="O2485" s="11"/>
      <c r="P2485" s="43"/>
      <c r="Q2485" s="11"/>
      <c r="R2485" s="11"/>
      <c r="S2485" s="11"/>
      <c r="T2485" s="11"/>
      <c r="U2485" s="11"/>
      <c r="V2485" s="11"/>
      <c r="W2485" s="11"/>
      <c r="X2485" s="12"/>
      <c r="Y2485" s="12"/>
      <c r="Z2485" s="12"/>
      <c r="AA2485" s="44"/>
      <c r="AB2485" s="45"/>
      <c r="AC2485" s="12"/>
      <c r="AD2485" s="12"/>
      <c r="AE2485" s="12"/>
      <c r="AF2485" s="12"/>
      <c r="AG2485" s="44"/>
      <c r="AH2485" s="45"/>
      <c r="AI2485" s="12"/>
      <c r="AJ2485" s="12"/>
      <c r="AK2485" s="12"/>
      <c r="AL2485" s="12"/>
      <c r="AM2485" s="44"/>
      <c r="AN2485" s="45"/>
      <c r="AO2485" s="12"/>
      <c r="AP2485" s="12"/>
      <c r="AQ2485" s="12"/>
      <c r="AR2485" s="12"/>
      <c r="AS2485" s="44"/>
      <c r="AT2485" s="45"/>
      <c r="AU2485" s="12"/>
      <c r="AV2485" s="12"/>
      <c r="AW2485" s="12"/>
      <c r="AX2485" s="12"/>
      <c r="AY2485" s="44"/>
      <c r="AZ2485" s="45"/>
      <c r="BA2485" s="12"/>
      <c r="BB2485" s="12"/>
      <c r="BC2485" s="12"/>
      <c r="BD2485" s="12"/>
      <c r="BE2485" s="44"/>
      <c r="BF2485" s="45"/>
      <c r="BG2485" s="12"/>
      <c r="BH2485" s="12"/>
      <c r="BI2485" s="12"/>
      <c r="BJ2485" s="12"/>
      <c r="BK2485" s="44"/>
      <c r="BL2485" s="45"/>
      <c r="BM2485" s="12"/>
      <c r="BN2485" s="12"/>
      <c r="BO2485" s="12"/>
      <c r="BP2485" s="12"/>
      <c r="BQ2485" s="48"/>
      <c r="BR2485" s="49"/>
      <c r="BS2485" s="13"/>
      <c r="BT2485" s="12"/>
      <c r="BV2485" s="14"/>
      <c r="BW2485" s="50"/>
      <c r="BX2485" s="54"/>
      <c r="BY2485" s="14"/>
      <c r="BZ2485" s="14"/>
      <c r="CA2485" s="14"/>
      <c r="CB2485" s="14"/>
      <c r="CC2485" s="14"/>
      <c r="CD2485" s="14"/>
      <c r="CE2485" s="14"/>
      <c r="CF2485" s="15"/>
      <c r="CG2485" s="14"/>
      <c r="CH2485" s="14"/>
      <c r="CI2485" s="50"/>
      <c r="CJ2485" s="54"/>
      <c r="CK2485" s="14"/>
      <c r="CL2485" s="14"/>
      <c r="CM2485" s="14"/>
      <c r="CN2485" s="14"/>
      <c r="CO2485" s="14"/>
      <c r="CP2485" s="14"/>
      <c r="CQ2485" s="14"/>
      <c r="CR2485" s="14"/>
      <c r="CS2485" s="14"/>
      <c r="CT2485" s="14"/>
      <c r="CU2485" s="16"/>
      <c r="CV2485" s="14"/>
      <c r="CW2485" s="50"/>
      <c r="CX2485" s="17"/>
    </row>
    <row r="2486" spans="4:102" x14ac:dyDescent="0.25">
      <c r="D2486" s="11"/>
      <c r="E2486" s="11"/>
      <c r="F2486" s="11"/>
      <c r="G2486" s="11"/>
      <c r="H2486" s="11"/>
      <c r="I2486" s="11"/>
      <c r="J2486" s="11"/>
      <c r="K2486" s="11"/>
      <c r="L2486" s="11"/>
      <c r="M2486" s="11"/>
      <c r="N2486" s="11"/>
      <c r="O2486" s="11"/>
      <c r="P2486" s="43"/>
      <c r="Q2486" s="11"/>
      <c r="R2486" s="11"/>
      <c r="S2486" s="11"/>
      <c r="T2486" s="11"/>
      <c r="U2486" s="11"/>
      <c r="V2486" s="11"/>
      <c r="W2486" s="11"/>
      <c r="X2486" s="12"/>
      <c r="Y2486" s="12"/>
      <c r="Z2486" s="12"/>
      <c r="AA2486" s="44"/>
      <c r="AB2486" s="45"/>
      <c r="AC2486" s="12"/>
      <c r="AD2486" s="12"/>
      <c r="AE2486" s="12"/>
      <c r="AF2486" s="12"/>
      <c r="AG2486" s="44"/>
      <c r="AH2486" s="45"/>
      <c r="AI2486" s="12"/>
      <c r="AJ2486" s="12"/>
      <c r="AK2486" s="12"/>
      <c r="AL2486" s="12"/>
      <c r="AM2486" s="44"/>
      <c r="AN2486" s="45"/>
      <c r="AO2486" s="12"/>
      <c r="AP2486" s="12"/>
      <c r="AQ2486" s="12"/>
      <c r="AR2486" s="12"/>
      <c r="AS2486" s="44"/>
      <c r="AT2486" s="45"/>
      <c r="AU2486" s="12"/>
      <c r="AV2486" s="12"/>
      <c r="AW2486" s="12"/>
      <c r="AX2486" s="12"/>
      <c r="AY2486" s="44"/>
      <c r="AZ2486" s="45"/>
      <c r="BA2486" s="12"/>
      <c r="BB2486" s="12"/>
      <c r="BC2486" s="12"/>
      <c r="BD2486" s="12"/>
      <c r="BE2486" s="44"/>
      <c r="BF2486" s="45"/>
      <c r="BG2486" s="12"/>
      <c r="BH2486" s="12"/>
      <c r="BI2486" s="12"/>
      <c r="BJ2486" s="12"/>
      <c r="BK2486" s="44"/>
      <c r="BL2486" s="45"/>
      <c r="BM2486" s="12"/>
      <c r="BN2486" s="12"/>
      <c r="BO2486" s="12"/>
      <c r="BP2486" s="12"/>
      <c r="BQ2486" s="48"/>
      <c r="BR2486" s="49"/>
      <c r="BS2486" s="13"/>
      <c r="BT2486" s="12"/>
      <c r="BV2486" s="14"/>
      <c r="BW2486" s="50"/>
      <c r="BX2486" s="54"/>
      <c r="BY2486" s="14"/>
      <c r="BZ2486" s="14"/>
      <c r="CA2486" s="14"/>
      <c r="CB2486" s="14"/>
      <c r="CC2486" s="14"/>
      <c r="CD2486" s="14"/>
      <c r="CE2486" s="14"/>
      <c r="CF2486" s="15"/>
      <c r="CG2486" s="14"/>
      <c r="CH2486" s="14"/>
      <c r="CI2486" s="50"/>
      <c r="CJ2486" s="54"/>
      <c r="CK2486" s="14"/>
      <c r="CL2486" s="14"/>
      <c r="CM2486" s="14"/>
      <c r="CN2486" s="14"/>
      <c r="CO2486" s="14"/>
      <c r="CP2486" s="14"/>
      <c r="CQ2486" s="14"/>
      <c r="CR2486" s="14"/>
      <c r="CS2486" s="14"/>
      <c r="CT2486" s="14"/>
      <c r="CU2486" s="16"/>
      <c r="CV2486" s="14"/>
      <c r="CW2486" s="50"/>
      <c r="CX2486" s="17"/>
    </row>
    <row r="2487" spans="4:102" x14ac:dyDescent="0.25">
      <c r="D2487" s="11"/>
      <c r="E2487" s="11"/>
      <c r="F2487" s="11"/>
      <c r="G2487" s="11"/>
      <c r="H2487" s="11"/>
      <c r="I2487" s="11"/>
      <c r="J2487" s="11"/>
      <c r="K2487" s="11"/>
      <c r="L2487" s="11"/>
      <c r="M2487" s="11"/>
      <c r="N2487" s="11"/>
      <c r="O2487" s="11"/>
      <c r="P2487" s="43"/>
      <c r="Q2487" s="11"/>
      <c r="R2487" s="11"/>
      <c r="S2487" s="11"/>
      <c r="T2487" s="11"/>
      <c r="U2487" s="11"/>
      <c r="V2487" s="11"/>
      <c r="W2487" s="11"/>
      <c r="X2487" s="12"/>
      <c r="Y2487" s="12"/>
      <c r="Z2487" s="12"/>
      <c r="AA2487" s="44"/>
      <c r="AB2487" s="45"/>
      <c r="AC2487" s="12"/>
      <c r="AD2487" s="12"/>
      <c r="AE2487" s="12"/>
      <c r="AF2487" s="12"/>
      <c r="AG2487" s="44"/>
      <c r="AH2487" s="45"/>
      <c r="AI2487" s="12"/>
      <c r="AJ2487" s="12"/>
      <c r="AK2487" s="12"/>
      <c r="AL2487" s="12"/>
      <c r="AM2487" s="44"/>
      <c r="AN2487" s="45"/>
      <c r="AO2487" s="12"/>
      <c r="AP2487" s="12"/>
      <c r="AQ2487" s="12"/>
      <c r="AR2487" s="12"/>
      <c r="AS2487" s="44"/>
      <c r="AT2487" s="45"/>
      <c r="AU2487" s="12"/>
      <c r="AV2487" s="12"/>
      <c r="AW2487" s="12"/>
      <c r="AX2487" s="12"/>
      <c r="AY2487" s="44"/>
      <c r="AZ2487" s="45"/>
      <c r="BA2487" s="12"/>
      <c r="BB2487" s="12"/>
      <c r="BC2487" s="12"/>
      <c r="BD2487" s="12"/>
      <c r="BE2487" s="44"/>
      <c r="BF2487" s="45"/>
      <c r="BG2487" s="12"/>
      <c r="BH2487" s="12"/>
      <c r="BI2487" s="12"/>
      <c r="BJ2487" s="12"/>
      <c r="BK2487" s="44"/>
      <c r="BL2487" s="45"/>
      <c r="BM2487" s="12"/>
      <c r="BN2487" s="12"/>
      <c r="BO2487" s="12"/>
      <c r="BP2487" s="12"/>
      <c r="BQ2487" s="48"/>
      <c r="BR2487" s="49"/>
      <c r="BS2487" s="13"/>
      <c r="BT2487" s="12"/>
      <c r="BV2487" s="14"/>
      <c r="BW2487" s="50"/>
      <c r="BX2487" s="54"/>
      <c r="BY2487" s="14"/>
      <c r="BZ2487" s="14"/>
      <c r="CA2487" s="14"/>
      <c r="CB2487" s="14"/>
      <c r="CC2487" s="14"/>
      <c r="CD2487" s="14"/>
      <c r="CE2487" s="14"/>
      <c r="CF2487" s="15"/>
      <c r="CG2487" s="14"/>
      <c r="CH2487" s="14"/>
      <c r="CI2487" s="50"/>
      <c r="CJ2487" s="54"/>
      <c r="CK2487" s="14"/>
      <c r="CL2487" s="14"/>
      <c r="CM2487" s="14"/>
      <c r="CN2487" s="14"/>
      <c r="CO2487" s="14"/>
      <c r="CP2487" s="14"/>
      <c r="CQ2487" s="14"/>
      <c r="CR2487" s="14"/>
      <c r="CS2487" s="14"/>
      <c r="CT2487" s="14"/>
      <c r="CU2487" s="16"/>
      <c r="CV2487" s="14"/>
      <c r="CW2487" s="50"/>
      <c r="CX2487" s="17"/>
    </row>
    <row r="2488" spans="4:102" x14ac:dyDescent="0.25">
      <c r="D2488" s="11"/>
      <c r="E2488" s="11"/>
      <c r="F2488" s="11"/>
      <c r="G2488" s="11"/>
      <c r="H2488" s="11"/>
      <c r="I2488" s="11"/>
      <c r="J2488" s="11"/>
      <c r="K2488" s="11"/>
      <c r="L2488" s="11"/>
      <c r="M2488" s="11"/>
      <c r="N2488" s="11"/>
      <c r="O2488" s="11"/>
      <c r="P2488" s="43"/>
      <c r="Q2488" s="11"/>
      <c r="R2488" s="11"/>
      <c r="S2488" s="11"/>
      <c r="T2488" s="11"/>
      <c r="U2488" s="11"/>
      <c r="V2488" s="11"/>
      <c r="W2488" s="11"/>
      <c r="X2488" s="12"/>
      <c r="Y2488" s="12"/>
      <c r="Z2488" s="12"/>
      <c r="AA2488" s="44"/>
      <c r="AB2488" s="45"/>
      <c r="AC2488" s="12"/>
      <c r="AD2488" s="12"/>
      <c r="AE2488" s="12"/>
      <c r="AF2488" s="12"/>
      <c r="AG2488" s="44"/>
      <c r="AH2488" s="45"/>
      <c r="AI2488" s="12"/>
      <c r="AJ2488" s="12"/>
      <c r="AK2488" s="12"/>
      <c r="AL2488" s="12"/>
      <c r="AM2488" s="44"/>
      <c r="AN2488" s="45"/>
      <c r="AO2488" s="12"/>
      <c r="AP2488" s="12"/>
      <c r="AQ2488" s="12"/>
      <c r="AR2488" s="12"/>
      <c r="AS2488" s="44"/>
      <c r="AT2488" s="45"/>
      <c r="AU2488" s="12"/>
      <c r="AV2488" s="12"/>
      <c r="AW2488" s="12"/>
      <c r="AX2488" s="12"/>
      <c r="AY2488" s="44"/>
      <c r="AZ2488" s="45"/>
      <c r="BA2488" s="12"/>
      <c r="BB2488" s="12"/>
      <c r="BC2488" s="12"/>
      <c r="BD2488" s="12"/>
      <c r="BE2488" s="44"/>
      <c r="BF2488" s="45"/>
      <c r="BG2488" s="12"/>
      <c r="BH2488" s="12"/>
      <c r="BI2488" s="12"/>
      <c r="BJ2488" s="12"/>
      <c r="BK2488" s="44"/>
      <c r="BL2488" s="45"/>
      <c r="BM2488" s="12"/>
      <c r="BN2488" s="12"/>
      <c r="BO2488" s="12"/>
      <c r="BP2488" s="12"/>
      <c r="BQ2488" s="48"/>
      <c r="BR2488" s="49"/>
      <c r="BS2488" s="13"/>
      <c r="BT2488" s="12"/>
      <c r="BV2488" s="14"/>
      <c r="BW2488" s="50"/>
      <c r="BX2488" s="54"/>
      <c r="BY2488" s="14"/>
      <c r="BZ2488" s="14"/>
      <c r="CA2488" s="14"/>
      <c r="CB2488" s="14"/>
      <c r="CC2488" s="14"/>
      <c r="CD2488" s="14"/>
      <c r="CE2488" s="14"/>
      <c r="CF2488" s="15"/>
      <c r="CG2488" s="14"/>
      <c r="CH2488" s="14"/>
      <c r="CI2488" s="50"/>
      <c r="CJ2488" s="54"/>
      <c r="CK2488" s="14"/>
      <c r="CL2488" s="14"/>
      <c r="CM2488" s="14"/>
      <c r="CN2488" s="14"/>
      <c r="CO2488" s="14"/>
      <c r="CP2488" s="14"/>
      <c r="CQ2488" s="14"/>
      <c r="CR2488" s="14"/>
      <c r="CS2488" s="14"/>
      <c r="CT2488" s="14"/>
      <c r="CU2488" s="16"/>
      <c r="CV2488" s="14"/>
      <c r="CW2488" s="50"/>
      <c r="CX2488" s="17"/>
    </row>
    <row r="2489" spans="4:102" x14ac:dyDescent="0.25">
      <c r="D2489" s="11"/>
      <c r="E2489" s="11"/>
      <c r="F2489" s="11"/>
      <c r="G2489" s="11"/>
      <c r="H2489" s="11"/>
      <c r="I2489" s="11"/>
      <c r="J2489" s="11"/>
      <c r="K2489" s="11"/>
      <c r="L2489" s="11"/>
      <c r="M2489" s="11"/>
      <c r="N2489" s="11"/>
      <c r="O2489" s="11"/>
      <c r="P2489" s="43"/>
      <c r="Q2489" s="11"/>
      <c r="R2489" s="11"/>
      <c r="S2489" s="11"/>
      <c r="T2489" s="11"/>
      <c r="U2489" s="11"/>
      <c r="V2489" s="11"/>
      <c r="W2489" s="11"/>
      <c r="X2489" s="12"/>
      <c r="Y2489" s="12"/>
      <c r="Z2489" s="12"/>
      <c r="AA2489" s="44"/>
      <c r="AB2489" s="45"/>
      <c r="AC2489" s="12"/>
      <c r="AD2489" s="12"/>
      <c r="AE2489" s="12"/>
      <c r="AF2489" s="12"/>
      <c r="AG2489" s="44"/>
      <c r="AH2489" s="45"/>
      <c r="AI2489" s="12"/>
      <c r="AJ2489" s="12"/>
      <c r="AK2489" s="12"/>
      <c r="AL2489" s="12"/>
      <c r="AM2489" s="44"/>
      <c r="AN2489" s="45"/>
      <c r="AO2489" s="12"/>
      <c r="AP2489" s="12"/>
      <c r="AQ2489" s="12"/>
      <c r="AR2489" s="12"/>
      <c r="AS2489" s="44"/>
      <c r="AT2489" s="45"/>
      <c r="AU2489" s="12"/>
      <c r="AV2489" s="12"/>
      <c r="AW2489" s="12"/>
      <c r="AX2489" s="12"/>
      <c r="AY2489" s="44"/>
      <c r="AZ2489" s="45"/>
      <c r="BA2489" s="12"/>
      <c r="BB2489" s="12"/>
      <c r="BC2489" s="12"/>
      <c r="BD2489" s="12"/>
      <c r="BE2489" s="44"/>
      <c r="BF2489" s="45"/>
      <c r="BG2489" s="12"/>
      <c r="BH2489" s="12"/>
      <c r="BI2489" s="12"/>
      <c r="BJ2489" s="12"/>
      <c r="BK2489" s="44"/>
      <c r="BL2489" s="45"/>
      <c r="BM2489" s="12"/>
      <c r="BN2489" s="12"/>
      <c r="BO2489" s="12"/>
      <c r="BP2489" s="12"/>
      <c r="BQ2489" s="48"/>
      <c r="BR2489" s="49"/>
      <c r="BS2489" s="13"/>
      <c r="BT2489" s="12"/>
      <c r="BV2489" s="14"/>
      <c r="BW2489" s="50"/>
      <c r="BX2489" s="54"/>
      <c r="BY2489" s="14"/>
      <c r="BZ2489" s="14"/>
      <c r="CA2489" s="14"/>
      <c r="CB2489" s="14"/>
      <c r="CC2489" s="14"/>
      <c r="CD2489" s="14"/>
      <c r="CE2489" s="14"/>
      <c r="CF2489" s="15"/>
      <c r="CG2489" s="14"/>
      <c r="CH2489" s="14"/>
      <c r="CI2489" s="50"/>
      <c r="CJ2489" s="54"/>
      <c r="CK2489" s="14"/>
      <c r="CL2489" s="14"/>
      <c r="CM2489" s="14"/>
      <c r="CN2489" s="14"/>
      <c r="CO2489" s="14"/>
      <c r="CP2489" s="14"/>
      <c r="CQ2489" s="14"/>
      <c r="CR2489" s="14"/>
      <c r="CS2489" s="14"/>
      <c r="CT2489" s="14"/>
      <c r="CU2489" s="16"/>
      <c r="CV2489" s="14"/>
      <c r="CW2489" s="50"/>
      <c r="CX2489" s="17"/>
    </row>
    <row r="2490" spans="4:102" x14ac:dyDescent="0.25">
      <c r="D2490" s="11"/>
      <c r="E2490" s="11"/>
      <c r="F2490" s="11"/>
      <c r="G2490" s="11"/>
      <c r="H2490" s="11"/>
      <c r="I2490" s="11"/>
      <c r="J2490" s="11"/>
      <c r="K2490" s="11"/>
      <c r="L2490" s="11"/>
      <c r="M2490" s="11"/>
      <c r="N2490" s="11"/>
      <c r="O2490" s="11"/>
      <c r="P2490" s="43"/>
      <c r="Q2490" s="11"/>
      <c r="R2490" s="11"/>
      <c r="S2490" s="11"/>
      <c r="T2490" s="11"/>
      <c r="U2490" s="11"/>
      <c r="V2490" s="11"/>
      <c r="W2490" s="11"/>
      <c r="X2490" s="12"/>
      <c r="Y2490" s="12"/>
      <c r="Z2490" s="12"/>
      <c r="AA2490" s="44"/>
      <c r="AB2490" s="45"/>
      <c r="AC2490" s="12"/>
      <c r="AD2490" s="12"/>
      <c r="AE2490" s="12"/>
      <c r="AF2490" s="12"/>
      <c r="AG2490" s="44"/>
      <c r="AH2490" s="45"/>
      <c r="AI2490" s="12"/>
      <c r="AJ2490" s="12"/>
      <c r="AK2490" s="12"/>
      <c r="AL2490" s="12"/>
      <c r="AM2490" s="44"/>
      <c r="AN2490" s="45"/>
      <c r="AO2490" s="12"/>
      <c r="AP2490" s="12"/>
      <c r="AQ2490" s="12"/>
      <c r="AR2490" s="12"/>
      <c r="AS2490" s="44"/>
      <c r="AT2490" s="45"/>
      <c r="AU2490" s="12"/>
      <c r="AV2490" s="12"/>
      <c r="AW2490" s="12"/>
      <c r="AX2490" s="12"/>
      <c r="AY2490" s="44"/>
      <c r="AZ2490" s="45"/>
      <c r="BA2490" s="12"/>
      <c r="BB2490" s="12"/>
      <c r="BC2490" s="12"/>
      <c r="BD2490" s="12"/>
      <c r="BE2490" s="44"/>
      <c r="BF2490" s="45"/>
      <c r="BG2490" s="12"/>
      <c r="BH2490" s="12"/>
      <c r="BI2490" s="12"/>
      <c r="BJ2490" s="12"/>
      <c r="BK2490" s="44"/>
      <c r="BL2490" s="45"/>
      <c r="BM2490" s="12"/>
      <c r="BN2490" s="12"/>
      <c r="BO2490" s="12"/>
      <c r="BP2490" s="12"/>
      <c r="BQ2490" s="48"/>
      <c r="BR2490" s="49"/>
      <c r="BS2490" s="13"/>
      <c r="BT2490" s="12"/>
      <c r="BV2490" s="14"/>
      <c r="BW2490" s="50"/>
      <c r="BX2490" s="54"/>
      <c r="BY2490" s="14"/>
      <c r="BZ2490" s="14"/>
      <c r="CA2490" s="14"/>
      <c r="CB2490" s="14"/>
      <c r="CC2490" s="14"/>
      <c r="CD2490" s="14"/>
      <c r="CE2490" s="14"/>
      <c r="CF2490" s="15"/>
      <c r="CG2490" s="14"/>
      <c r="CH2490" s="14"/>
      <c r="CI2490" s="50"/>
      <c r="CJ2490" s="54"/>
      <c r="CK2490" s="14"/>
      <c r="CL2490" s="14"/>
      <c r="CM2490" s="14"/>
      <c r="CN2490" s="14"/>
      <c r="CO2490" s="14"/>
      <c r="CP2490" s="14"/>
      <c r="CQ2490" s="14"/>
      <c r="CR2490" s="14"/>
      <c r="CS2490" s="14"/>
      <c r="CT2490" s="14"/>
      <c r="CU2490" s="16"/>
      <c r="CV2490" s="14"/>
      <c r="CW2490" s="50"/>
      <c r="CX2490" s="17"/>
    </row>
    <row r="2491" spans="4:102" x14ac:dyDescent="0.25">
      <c r="D2491" s="11"/>
      <c r="E2491" s="11"/>
      <c r="F2491" s="11"/>
      <c r="G2491" s="11"/>
      <c r="H2491" s="11"/>
      <c r="I2491" s="11"/>
      <c r="J2491" s="11"/>
      <c r="K2491" s="11"/>
      <c r="L2491" s="11"/>
      <c r="M2491" s="11"/>
      <c r="N2491" s="11"/>
      <c r="O2491" s="11"/>
      <c r="P2491" s="43"/>
      <c r="Q2491" s="11"/>
      <c r="R2491" s="11"/>
      <c r="S2491" s="11"/>
      <c r="T2491" s="11"/>
      <c r="U2491" s="11"/>
      <c r="V2491" s="11"/>
      <c r="W2491" s="11"/>
      <c r="X2491" s="12"/>
      <c r="Y2491" s="12"/>
      <c r="Z2491" s="12"/>
      <c r="AA2491" s="44"/>
      <c r="AB2491" s="45"/>
      <c r="AC2491" s="12"/>
      <c r="AD2491" s="12"/>
      <c r="AE2491" s="12"/>
      <c r="AF2491" s="12"/>
      <c r="AG2491" s="44"/>
      <c r="AH2491" s="45"/>
      <c r="AI2491" s="12"/>
      <c r="AJ2491" s="12"/>
      <c r="AK2491" s="12"/>
      <c r="AL2491" s="12"/>
      <c r="AM2491" s="44"/>
      <c r="AN2491" s="45"/>
      <c r="AO2491" s="12"/>
      <c r="AP2491" s="12"/>
      <c r="AQ2491" s="12"/>
      <c r="AR2491" s="12"/>
      <c r="AS2491" s="44"/>
      <c r="AT2491" s="45"/>
      <c r="AU2491" s="12"/>
      <c r="AV2491" s="12"/>
      <c r="AW2491" s="12"/>
      <c r="AX2491" s="12"/>
      <c r="AY2491" s="44"/>
      <c r="AZ2491" s="45"/>
      <c r="BA2491" s="12"/>
      <c r="BB2491" s="12"/>
      <c r="BC2491" s="12"/>
      <c r="BD2491" s="12"/>
      <c r="BE2491" s="44"/>
      <c r="BF2491" s="45"/>
      <c r="BG2491" s="12"/>
      <c r="BH2491" s="12"/>
      <c r="BI2491" s="12"/>
      <c r="BJ2491" s="12"/>
      <c r="BK2491" s="44"/>
      <c r="BL2491" s="45"/>
      <c r="BM2491" s="12"/>
      <c r="BN2491" s="12"/>
      <c r="BO2491" s="12"/>
      <c r="BP2491" s="12"/>
      <c r="BQ2491" s="48"/>
      <c r="BR2491" s="49"/>
      <c r="BS2491" s="13"/>
      <c r="BT2491" s="12"/>
      <c r="BV2491" s="14"/>
      <c r="BW2491" s="50"/>
      <c r="BX2491" s="54"/>
      <c r="BY2491" s="14"/>
      <c r="BZ2491" s="14"/>
      <c r="CA2491" s="14"/>
      <c r="CB2491" s="14"/>
      <c r="CC2491" s="14"/>
      <c r="CD2491" s="14"/>
      <c r="CE2491" s="14"/>
      <c r="CF2491" s="15"/>
      <c r="CG2491" s="14"/>
      <c r="CH2491" s="14"/>
      <c r="CI2491" s="50"/>
      <c r="CJ2491" s="54"/>
      <c r="CK2491" s="14"/>
      <c r="CL2491" s="14"/>
      <c r="CM2491" s="14"/>
      <c r="CN2491" s="14"/>
      <c r="CO2491" s="14"/>
      <c r="CP2491" s="14"/>
      <c r="CQ2491" s="14"/>
      <c r="CR2491" s="14"/>
      <c r="CS2491" s="14"/>
      <c r="CT2491" s="14"/>
      <c r="CU2491" s="16"/>
      <c r="CV2491" s="14"/>
      <c r="CW2491" s="50"/>
      <c r="CX2491" s="17"/>
    </row>
    <row r="2492" spans="4:102" x14ac:dyDescent="0.25">
      <c r="D2492" s="11"/>
      <c r="E2492" s="11"/>
      <c r="F2492" s="11"/>
      <c r="G2492" s="11"/>
      <c r="H2492" s="11"/>
      <c r="I2492" s="11"/>
      <c r="J2492" s="11"/>
      <c r="K2492" s="11"/>
      <c r="L2492" s="11"/>
      <c r="M2492" s="11"/>
      <c r="N2492" s="11"/>
      <c r="O2492" s="11"/>
      <c r="P2492" s="43"/>
      <c r="Q2492" s="11"/>
      <c r="R2492" s="11"/>
      <c r="S2492" s="11"/>
      <c r="T2492" s="11"/>
      <c r="U2492" s="11"/>
      <c r="V2492" s="11"/>
      <c r="W2492" s="11"/>
      <c r="X2492" s="12"/>
      <c r="Y2492" s="12"/>
      <c r="Z2492" s="12"/>
      <c r="AA2492" s="44"/>
      <c r="AB2492" s="45"/>
      <c r="AC2492" s="12"/>
      <c r="AD2492" s="12"/>
      <c r="AE2492" s="12"/>
      <c r="AF2492" s="12"/>
      <c r="AG2492" s="44"/>
      <c r="AH2492" s="45"/>
      <c r="AI2492" s="12"/>
      <c r="AJ2492" s="12"/>
      <c r="AK2492" s="12"/>
      <c r="AL2492" s="12"/>
      <c r="AM2492" s="44"/>
      <c r="AN2492" s="45"/>
      <c r="AO2492" s="12"/>
      <c r="AP2492" s="12"/>
      <c r="AQ2492" s="12"/>
      <c r="AR2492" s="12"/>
      <c r="AS2492" s="44"/>
      <c r="AT2492" s="45"/>
      <c r="AU2492" s="12"/>
      <c r="AV2492" s="12"/>
      <c r="AW2492" s="12"/>
      <c r="AX2492" s="12"/>
      <c r="AY2492" s="44"/>
      <c r="AZ2492" s="45"/>
      <c r="BA2492" s="12"/>
      <c r="BB2492" s="12"/>
      <c r="BC2492" s="12"/>
      <c r="BD2492" s="12"/>
      <c r="BE2492" s="44"/>
      <c r="BF2492" s="45"/>
      <c r="BG2492" s="12"/>
      <c r="BH2492" s="12"/>
      <c r="BI2492" s="12"/>
      <c r="BJ2492" s="12"/>
      <c r="BK2492" s="44"/>
      <c r="BL2492" s="45"/>
      <c r="BM2492" s="12"/>
      <c r="BN2492" s="12"/>
      <c r="BO2492" s="12"/>
      <c r="BP2492" s="12"/>
      <c r="BQ2492" s="48"/>
      <c r="BR2492" s="49"/>
      <c r="BS2492" s="13"/>
      <c r="BT2492" s="12"/>
      <c r="BV2492" s="14"/>
      <c r="BW2492" s="50"/>
      <c r="BX2492" s="54"/>
      <c r="BY2492" s="14"/>
      <c r="BZ2492" s="14"/>
      <c r="CA2492" s="14"/>
      <c r="CB2492" s="14"/>
      <c r="CC2492" s="14"/>
      <c r="CD2492" s="14"/>
      <c r="CE2492" s="14"/>
      <c r="CF2492" s="15"/>
      <c r="CG2492" s="14"/>
      <c r="CH2492" s="14"/>
      <c r="CI2492" s="50"/>
      <c r="CJ2492" s="54"/>
      <c r="CK2492" s="14"/>
      <c r="CL2492" s="14"/>
      <c r="CM2492" s="14"/>
      <c r="CN2492" s="14"/>
      <c r="CO2492" s="14"/>
      <c r="CP2492" s="14"/>
      <c r="CQ2492" s="14"/>
      <c r="CR2492" s="14"/>
      <c r="CS2492" s="14"/>
      <c r="CT2492" s="14"/>
      <c r="CU2492" s="16"/>
      <c r="CV2492" s="14"/>
      <c r="CW2492" s="50"/>
      <c r="CX2492" s="17"/>
    </row>
    <row r="2493" spans="4:102" x14ac:dyDescent="0.25">
      <c r="D2493" s="11"/>
      <c r="E2493" s="11"/>
      <c r="F2493" s="11"/>
      <c r="G2493" s="11"/>
      <c r="H2493" s="11"/>
      <c r="I2493" s="11"/>
      <c r="J2493" s="11"/>
      <c r="K2493" s="11"/>
      <c r="L2493" s="11"/>
      <c r="M2493" s="11"/>
      <c r="N2493" s="11"/>
      <c r="O2493" s="11"/>
      <c r="P2493" s="43"/>
      <c r="Q2493" s="11"/>
      <c r="R2493" s="11"/>
      <c r="S2493" s="11"/>
      <c r="T2493" s="11"/>
      <c r="U2493" s="11"/>
      <c r="V2493" s="11"/>
      <c r="W2493" s="11"/>
      <c r="X2493" s="12"/>
      <c r="Y2493" s="12"/>
      <c r="Z2493" s="12"/>
      <c r="AA2493" s="44"/>
      <c r="AB2493" s="45"/>
      <c r="AC2493" s="12"/>
      <c r="AD2493" s="12"/>
      <c r="AE2493" s="12"/>
      <c r="AF2493" s="12"/>
      <c r="AG2493" s="44"/>
      <c r="AH2493" s="45"/>
      <c r="AI2493" s="12"/>
      <c r="AJ2493" s="12"/>
      <c r="AK2493" s="12"/>
      <c r="AL2493" s="12"/>
      <c r="AM2493" s="44"/>
      <c r="AN2493" s="45"/>
      <c r="AO2493" s="12"/>
      <c r="AP2493" s="12"/>
      <c r="AQ2493" s="12"/>
      <c r="AR2493" s="12"/>
      <c r="AS2493" s="44"/>
      <c r="AT2493" s="45"/>
      <c r="AU2493" s="12"/>
      <c r="AV2493" s="12"/>
      <c r="AW2493" s="12"/>
      <c r="AX2493" s="12"/>
      <c r="AY2493" s="44"/>
      <c r="AZ2493" s="45"/>
      <c r="BA2493" s="12"/>
      <c r="BB2493" s="12"/>
      <c r="BC2493" s="12"/>
      <c r="BD2493" s="12"/>
      <c r="BE2493" s="44"/>
      <c r="BF2493" s="45"/>
      <c r="BG2493" s="12"/>
      <c r="BH2493" s="12"/>
      <c r="BI2493" s="12"/>
      <c r="BJ2493" s="12"/>
      <c r="BK2493" s="44"/>
      <c r="BL2493" s="45"/>
      <c r="BM2493" s="12"/>
      <c r="BN2493" s="12"/>
      <c r="BO2493" s="12"/>
      <c r="BP2493" s="12"/>
      <c r="BQ2493" s="48"/>
      <c r="BR2493" s="49"/>
      <c r="BS2493" s="13"/>
      <c r="BT2493" s="12"/>
      <c r="BV2493" s="14"/>
      <c r="BW2493" s="50"/>
      <c r="BX2493" s="54"/>
      <c r="BY2493" s="14"/>
      <c r="BZ2493" s="14"/>
      <c r="CA2493" s="14"/>
      <c r="CB2493" s="14"/>
      <c r="CC2493" s="14"/>
      <c r="CD2493" s="14"/>
      <c r="CE2493" s="14"/>
      <c r="CF2493" s="15"/>
      <c r="CG2493" s="14"/>
      <c r="CH2493" s="14"/>
      <c r="CI2493" s="50"/>
      <c r="CJ2493" s="54"/>
      <c r="CK2493" s="14"/>
      <c r="CL2493" s="14"/>
      <c r="CM2493" s="14"/>
      <c r="CN2493" s="14"/>
      <c r="CO2493" s="14"/>
      <c r="CP2493" s="14"/>
      <c r="CQ2493" s="14"/>
      <c r="CR2493" s="14"/>
      <c r="CS2493" s="14"/>
      <c r="CT2493" s="14"/>
      <c r="CU2493" s="16"/>
      <c r="CV2493" s="14"/>
      <c r="CW2493" s="50"/>
      <c r="CX2493" s="17"/>
    </row>
    <row r="2494" spans="4:102" x14ac:dyDescent="0.25">
      <c r="D2494" s="11"/>
      <c r="E2494" s="11"/>
      <c r="F2494" s="11"/>
      <c r="G2494" s="11"/>
      <c r="H2494" s="11"/>
      <c r="I2494" s="11"/>
      <c r="J2494" s="11"/>
      <c r="K2494" s="11"/>
      <c r="L2494" s="11"/>
      <c r="M2494" s="11"/>
      <c r="N2494" s="11"/>
      <c r="O2494" s="11"/>
      <c r="P2494" s="43"/>
      <c r="Q2494" s="11"/>
      <c r="R2494" s="11"/>
      <c r="S2494" s="11"/>
      <c r="T2494" s="11"/>
      <c r="U2494" s="11"/>
      <c r="V2494" s="11"/>
      <c r="W2494" s="11"/>
      <c r="X2494" s="12"/>
      <c r="Y2494" s="12"/>
      <c r="Z2494" s="12"/>
      <c r="AA2494" s="44"/>
      <c r="AB2494" s="45"/>
      <c r="AC2494" s="12"/>
      <c r="AD2494" s="12"/>
      <c r="AE2494" s="12"/>
      <c r="AF2494" s="12"/>
      <c r="AG2494" s="44"/>
      <c r="AH2494" s="45"/>
      <c r="AI2494" s="12"/>
      <c r="AJ2494" s="12"/>
      <c r="AK2494" s="12"/>
      <c r="AL2494" s="12"/>
      <c r="AM2494" s="44"/>
      <c r="AN2494" s="45"/>
      <c r="AO2494" s="12"/>
      <c r="AP2494" s="12"/>
      <c r="AQ2494" s="12"/>
      <c r="AR2494" s="12"/>
      <c r="AS2494" s="44"/>
      <c r="AT2494" s="45"/>
      <c r="AU2494" s="12"/>
      <c r="AV2494" s="12"/>
      <c r="AW2494" s="12"/>
      <c r="AX2494" s="12"/>
      <c r="AY2494" s="44"/>
      <c r="AZ2494" s="45"/>
      <c r="BA2494" s="12"/>
      <c r="BB2494" s="12"/>
      <c r="BC2494" s="12"/>
      <c r="BD2494" s="12"/>
      <c r="BE2494" s="44"/>
      <c r="BF2494" s="45"/>
      <c r="BG2494" s="12"/>
      <c r="BH2494" s="12"/>
      <c r="BI2494" s="12"/>
      <c r="BJ2494" s="12"/>
      <c r="BK2494" s="44"/>
      <c r="BL2494" s="45"/>
      <c r="BM2494" s="12"/>
      <c r="BN2494" s="12"/>
      <c r="BO2494" s="12"/>
      <c r="BP2494" s="12"/>
      <c r="BQ2494" s="48"/>
      <c r="BR2494" s="49"/>
      <c r="BS2494" s="13"/>
      <c r="BT2494" s="12"/>
      <c r="BV2494" s="14"/>
      <c r="BW2494" s="50"/>
      <c r="BX2494" s="54"/>
      <c r="BY2494" s="14"/>
      <c r="BZ2494" s="14"/>
      <c r="CA2494" s="14"/>
      <c r="CB2494" s="14"/>
      <c r="CC2494" s="14"/>
      <c r="CD2494" s="14"/>
      <c r="CE2494" s="14"/>
      <c r="CF2494" s="15"/>
      <c r="CG2494" s="14"/>
      <c r="CH2494" s="14"/>
      <c r="CI2494" s="50"/>
      <c r="CJ2494" s="54"/>
      <c r="CK2494" s="14"/>
      <c r="CL2494" s="14"/>
      <c r="CM2494" s="14"/>
      <c r="CN2494" s="14"/>
      <c r="CO2494" s="14"/>
      <c r="CP2494" s="14"/>
      <c r="CQ2494" s="14"/>
      <c r="CR2494" s="14"/>
      <c r="CS2494" s="14"/>
      <c r="CT2494" s="14"/>
      <c r="CU2494" s="16"/>
      <c r="CV2494" s="14"/>
      <c r="CW2494" s="50"/>
      <c r="CX2494" s="17"/>
    </row>
    <row r="2495" spans="4:102" x14ac:dyDescent="0.25">
      <c r="D2495" s="11"/>
      <c r="E2495" s="11"/>
      <c r="F2495" s="11"/>
      <c r="G2495" s="11"/>
      <c r="H2495" s="11"/>
      <c r="I2495" s="11"/>
      <c r="J2495" s="11"/>
      <c r="K2495" s="11"/>
      <c r="L2495" s="11"/>
      <c r="M2495" s="11"/>
      <c r="N2495" s="11"/>
      <c r="O2495" s="11"/>
      <c r="P2495" s="43"/>
      <c r="Q2495" s="11"/>
      <c r="R2495" s="11"/>
      <c r="S2495" s="11"/>
      <c r="T2495" s="11"/>
      <c r="U2495" s="11"/>
      <c r="V2495" s="11"/>
      <c r="W2495" s="11"/>
      <c r="X2495" s="12"/>
      <c r="Y2495" s="12"/>
      <c r="Z2495" s="12"/>
      <c r="AA2495" s="44"/>
      <c r="AB2495" s="45"/>
      <c r="AC2495" s="12"/>
      <c r="AD2495" s="12"/>
      <c r="AE2495" s="12"/>
      <c r="AF2495" s="12"/>
      <c r="AG2495" s="44"/>
      <c r="AH2495" s="45"/>
      <c r="AI2495" s="12"/>
      <c r="AJ2495" s="12"/>
      <c r="AK2495" s="12"/>
      <c r="AL2495" s="12"/>
      <c r="AM2495" s="44"/>
      <c r="AN2495" s="45"/>
      <c r="AO2495" s="12"/>
      <c r="AP2495" s="12"/>
      <c r="AQ2495" s="12"/>
      <c r="AR2495" s="12"/>
      <c r="AS2495" s="44"/>
      <c r="AT2495" s="45"/>
      <c r="AU2495" s="12"/>
      <c r="AV2495" s="12"/>
      <c r="AW2495" s="12"/>
      <c r="AX2495" s="12"/>
      <c r="AY2495" s="44"/>
      <c r="AZ2495" s="45"/>
      <c r="BA2495" s="12"/>
      <c r="BB2495" s="12"/>
      <c r="BC2495" s="12"/>
      <c r="BD2495" s="12"/>
      <c r="BE2495" s="44"/>
      <c r="BF2495" s="45"/>
      <c r="BG2495" s="12"/>
      <c r="BH2495" s="12"/>
      <c r="BI2495" s="12"/>
      <c r="BJ2495" s="12"/>
      <c r="BK2495" s="44"/>
      <c r="BL2495" s="45"/>
      <c r="BM2495" s="12"/>
      <c r="BN2495" s="12"/>
      <c r="BO2495" s="12"/>
      <c r="BP2495" s="12"/>
      <c r="BQ2495" s="48"/>
      <c r="BR2495" s="49"/>
      <c r="BS2495" s="13"/>
      <c r="BT2495" s="12"/>
      <c r="BV2495" s="14"/>
      <c r="BW2495" s="50"/>
      <c r="BX2495" s="54"/>
      <c r="BY2495" s="14"/>
      <c r="BZ2495" s="14"/>
      <c r="CA2495" s="14"/>
      <c r="CB2495" s="14"/>
      <c r="CC2495" s="14"/>
      <c r="CD2495" s="14"/>
      <c r="CE2495" s="14"/>
      <c r="CF2495" s="15"/>
      <c r="CG2495" s="14"/>
      <c r="CH2495" s="14"/>
      <c r="CI2495" s="50"/>
      <c r="CJ2495" s="54"/>
      <c r="CK2495" s="14"/>
      <c r="CL2495" s="14"/>
      <c r="CM2495" s="14"/>
      <c r="CN2495" s="14"/>
      <c r="CO2495" s="14"/>
      <c r="CP2495" s="14"/>
      <c r="CQ2495" s="14"/>
      <c r="CR2495" s="14"/>
      <c r="CS2495" s="14"/>
      <c r="CT2495" s="14"/>
      <c r="CU2495" s="16"/>
      <c r="CV2495" s="14"/>
      <c r="CW2495" s="50"/>
      <c r="CX2495" s="17"/>
    </row>
    <row r="2496" spans="4:102" x14ac:dyDescent="0.25">
      <c r="D2496" s="11"/>
      <c r="E2496" s="11"/>
      <c r="F2496" s="11"/>
      <c r="G2496" s="11"/>
      <c r="H2496" s="11"/>
      <c r="I2496" s="11"/>
      <c r="J2496" s="11"/>
      <c r="K2496" s="11"/>
      <c r="L2496" s="11"/>
      <c r="M2496" s="11"/>
      <c r="N2496" s="11"/>
      <c r="O2496" s="11"/>
      <c r="P2496" s="43"/>
      <c r="Q2496" s="11"/>
      <c r="R2496" s="11"/>
      <c r="S2496" s="11"/>
      <c r="T2496" s="11"/>
      <c r="U2496" s="11"/>
      <c r="V2496" s="11"/>
      <c r="W2496" s="11"/>
      <c r="X2496" s="12"/>
      <c r="Y2496" s="12"/>
      <c r="Z2496" s="12"/>
      <c r="AA2496" s="44"/>
      <c r="AB2496" s="45"/>
      <c r="AC2496" s="12"/>
      <c r="AD2496" s="12"/>
      <c r="AE2496" s="12"/>
      <c r="AF2496" s="12"/>
      <c r="AG2496" s="44"/>
      <c r="AH2496" s="45"/>
      <c r="AI2496" s="12"/>
      <c r="AJ2496" s="12"/>
      <c r="AK2496" s="12"/>
      <c r="AL2496" s="12"/>
      <c r="AM2496" s="44"/>
      <c r="AN2496" s="45"/>
      <c r="AO2496" s="12"/>
      <c r="AP2496" s="12"/>
      <c r="AQ2496" s="12"/>
      <c r="AR2496" s="12"/>
      <c r="AS2496" s="44"/>
      <c r="AT2496" s="45"/>
      <c r="AU2496" s="12"/>
      <c r="AV2496" s="12"/>
      <c r="AW2496" s="12"/>
      <c r="AX2496" s="12"/>
      <c r="AY2496" s="44"/>
      <c r="AZ2496" s="45"/>
      <c r="BA2496" s="12"/>
      <c r="BB2496" s="12"/>
      <c r="BC2496" s="12"/>
      <c r="BD2496" s="12"/>
      <c r="BE2496" s="44"/>
      <c r="BF2496" s="45"/>
      <c r="BG2496" s="12"/>
      <c r="BH2496" s="12"/>
      <c r="BI2496" s="12"/>
      <c r="BJ2496" s="12"/>
      <c r="BK2496" s="44"/>
      <c r="BL2496" s="45"/>
      <c r="BM2496" s="12"/>
      <c r="BN2496" s="12"/>
      <c r="BO2496" s="12"/>
      <c r="BP2496" s="12"/>
      <c r="BQ2496" s="48"/>
      <c r="BR2496" s="49"/>
      <c r="BS2496" s="13"/>
      <c r="BT2496" s="12"/>
      <c r="BV2496" s="14"/>
      <c r="BW2496" s="50"/>
      <c r="BX2496" s="54"/>
      <c r="BY2496" s="14"/>
      <c r="BZ2496" s="14"/>
      <c r="CA2496" s="14"/>
      <c r="CB2496" s="14"/>
      <c r="CC2496" s="14"/>
      <c r="CD2496" s="14"/>
      <c r="CE2496" s="14"/>
      <c r="CF2496" s="15"/>
      <c r="CG2496" s="14"/>
      <c r="CH2496" s="14"/>
      <c r="CI2496" s="50"/>
      <c r="CJ2496" s="54"/>
      <c r="CK2496" s="14"/>
      <c r="CL2496" s="14"/>
      <c r="CM2496" s="14"/>
      <c r="CN2496" s="14"/>
      <c r="CO2496" s="14"/>
      <c r="CP2496" s="14"/>
      <c r="CQ2496" s="14"/>
      <c r="CR2496" s="14"/>
      <c r="CS2496" s="14"/>
      <c r="CT2496" s="14"/>
      <c r="CU2496" s="16"/>
      <c r="CV2496" s="14"/>
      <c r="CW2496" s="50"/>
      <c r="CX2496" s="17"/>
    </row>
    <row r="2497" spans="4:102" x14ac:dyDescent="0.25">
      <c r="D2497" s="11"/>
      <c r="E2497" s="11"/>
      <c r="F2497" s="11"/>
      <c r="G2497" s="11"/>
      <c r="H2497" s="11"/>
      <c r="I2497" s="11"/>
      <c r="J2497" s="11"/>
      <c r="K2497" s="11"/>
      <c r="L2497" s="11"/>
      <c r="M2497" s="11"/>
      <c r="N2497" s="11"/>
      <c r="O2497" s="11"/>
      <c r="P2497" s="43"/>
      <c r="Q2497" s="11"/>
      <c r="R2497" s="11"/>
      <c r="S2497" s="11"/>
      <c r="T2497" s="11"/>
      <c r="U2497" s="11"/>
      <c r="V2497" s="11"/>
      <c r="W2497" s="11"/>
      <c r="X2497" s="12"/>
      <c r="Y2497" s="12"/>
      <c r="Z2497" s="12"/>
      <c r="AA2497" s="44"/>
      <c r="AB2497" s="45"/>
      <c r="AC2497" s="12"/>
      <c r="AD2497" s="12"/>
      <c r="AE2497" s="12"/>
      <c r="AF2497" s="12"/>
      <c r="AG2497" s="44"/>
      <c r="AH2497" s="45"/>
      <c r="AI2497" s="12"/>
      <c r="AJ2497" s="12"/>
      <c r="AK2497" s="12"/>
      <c r="AL2497" s="12"/>
      <c r="AM2497" s="44"/>
      <c r="AN2497" s="45"/>
      <c r="AO2497" s="12"/>
      <c r="AP2497" s="12"/>
      <c r="AQ2497" s="12"/>
      <c r="AR2497" s="12"/>
      <c r="AS2497" s="44"/>
      <c r="AT2497" s="45"/>
      <c r="AU2497" s="12"/>
      <c r="AV2497" s="12"/>
      <c r="AW2497" s="12"/>
      <c r="AX2497" s="12"/>
      <c r="AY2497" s="44"/>
      <c r="AZ2497" s="45"/>
      <c r="BA2497" s="12"/>
      <c r="BB2497" s="12"/>
      <c r="BC2497" s="12"/>
      <c r="BD2497" s="12"/>
      <c r="BE2497" s="44"/>
      <c r="BF2497" s="45"/>
      <c r="BG2497" s="12"/>
      <c r="BH2497" s="12"/>
      <c r="BI2497" s="12"/>
      <c r="BJ2497" s="12"/>
      <c r="BK2497" s="44"/>
      <c r="BL2497" s="45"/>
      <c r="BM2497" s="12"/>
      <c r="BN2497" s="12"/>
      <c r="BO2497" s="12"/>
      <c r="BP2497" s="12"/>
      <c r="BQ2497" s="48"/>
      <c r="BR2497" s="49"/>
      <c r="BS2497" s="13"/>
      <c r="BT2497" s="12"/>
      <c r="BV2497" s="14"/>
      <c r="BW2497" s="50"/>
      <c r="BX2497" s="54"/>
      <c r="BY2497" s="14"/>
      <c r="BZ2497" s="14"/>
      <c r="CA2497" s="14"/>
      <c r="CB2497" s="14"/>
      <c r="CC2497" s="14"/>
      <c r="CD2497" s="14"/>
      <c r="CE2497" s="14"/>
      <c r="CF2497" s="15"/>
      <c r="CG2497" s="14"/>
      <c r="CH2497" s="14"/>
      <c r="CI2497" s="50"/>
      <c r="CJ2497" s="54"/>
      <c r="CK2497" s="14"/>
      <c r="CL2497" s="14"/>
      <c r="CM2497" s="14"/>
      <c r="CN2497" s="14"/>
      <c r="CO2497" s="14"/>
      <c r="CP2497" s="14"/>
      <c r="CQ2497" s="14"/>
      <c r="CR2497" s="14"/>
      <c r="CS2497" s="14"/>
      <c r="CT2497" s="14"/>
      <c r="CU2497" s="16"/>
      <c r="CV2497" s="14"/>
      <c r="CW2497" s="50"/>
      <c r="CX2497" s="17"/>
    </row>
    <row r="2498" spans="4:102" x14ac:dyDescent="0.25">
      <c r="D2498" s="11"/>
      <c r="E2498" s="11"/>
      <c r="F2498" s="11"/>
      <c r="G2498" s="11"/>
      <c r="H2498" s="11"/>
      <c r="I2498" s="11"/>
      <c r="J2498" s="11"/>
      <c r="K2498" s="11"/>
      <c r="L2498" s="11"/>
      <c r="M2498" s="11"/>
      <c r="N2498" s="11"/>
      <c r="O2498" s="11"/>
      <c r="P2498" s="43"/>
      <c r="Q2498" s="11"/>
      <c r="R2498" s="11"/>
      <c r="S2498" s="11"/>
      <c r="T2498" s="11"/>
      <c r="U2498" s="11"/>
      <c r="V2498" s="11"/>
      <c r="W2498" s="11"/>
      <c r="X2498" s="12"/>
      <c r="Y2498" s="12"/>
      <c r="Z2498" s="12"/>
      <c r="AA2498" s="44"/>
      <c r="AB2498" s="45"/>
      <c r="AC2498" s="12"/>
      <c r="AD2498" s="12"/>
      <c r="AE2498" s="12"/>
      <c r="AF2498" s="12"/>
      <c r="AG2498" s="44"/>
      <c r="AH2498" s="45"/>
      <c r="AI2498" s="12"/>
      <c r="AJ2498" s="12"/>
      <c r="AK2498" s="12"/>
      <c r="AL2498" s="12"/>
      <c r="AM2498" s="44"/>
      <c r="AN2498" s="45"/>
      <c r="AO2498" s="12"/>
      <c r="AP2498" s="12"/>
      <c r="AQ2498" s="12"/>
      <c r="AR2498" s="12"/>
      <c r="AS2498" s="44"/>
      <c r="AT2498" s="45"/>
      <c r="AU2498" s="12"/>
      <c r="AV2498" s="12"/>
      <c r="AW2498" s="12"/>
      <c r="AX2498" s="12"/>
      <c r="AY2498" s="44"/>
      <c r="AZ2498" s="45"/>
      <c r="BA2498" s="12"/>
      <c r="BB2498" s="12"/>
      <c r="BC2498" s="12"/>
      <c r="BD2498" s="12"/>
      <c r="BE2498" s="44"/>
      <c r="BF2498" s="45"/>
      <c r="BG2498" s="12"/>
      <c r="BH2498" s="12"/>
      <c r="BI2498" s="12"/>
      <c r="BJ2498" s="12"/>
      <c r="BK2498" s="44"/>
      <c r="BL2498" s="45"/>
      <c r="BM2498" s="12"/>
      <c r="BN2498" s="12"/>
      <c r="BO2498" s="12"/>
      <c r="BP2498" s="12"/>
      <c r="BQ2498" s="48"/>
      <c r="BR2498" s="49"/>
      <c r="BS2498" s="13"/>
      <c r="BT2498" s="12"/>
      <c r="BV2498" s="14"/>
      <c r="BW2498" s="50"/>
      <c r="BX2498" s="54"/>
      <c r="BY2498" s="14"/>
      <c r="BZ2498" s="14"/>
      <c r="CA2498" s="14"/>
      <c r="CB2498" s="14"/>
      <c r="CC2498" s="14"/>
      <c r="CD2498" s="14"/>
      <c r="CE2498" s="14"/>
      <c r="CF2498" s="15"/>
      <c r="CG2498" s="14"/>
      <c r="CH2498" s="14"/>
      <c r="CI2498" s="50"/>
      <c r="CJ2498" s="54"/>
      <c r="CK2498" s="14"/>
      <c r="CL2498" s="14"/>
      <c r="CM2498" s="14"/>
      <c r="CN2498" s="14"/>
      <c r="CO2498" s="14"/>
      <c r="CP2498" s="14"/>
      <c r="CQ2498" s="14"/>
      <c r="CR2498" s="14"/>
      <c r="CS2498" s="14"/>
      <c r="CT2498" s="14"/>
      <c r="CU2498" s="16"/>
      <c r="CV2498" s="14"/>
      <c r="CW2498" s="50"/>
      <c r="CX2498" s="17"/>
    </row>
    <row r="2499" spans="4:102" x14ac:dyDescent="0.25">
      <c r="D2499" s="11"/>
      <c r="E2499" s="11"/>
      <c r="F2499" s="11"/>
      <c r="G2499" s="11"/>
      <c r="H2499" s="11"/>
      <c r="I2499" s="11"/>
      <c r="J2499" s="11"/>
      <c r="K2499" s="11"/>
      <c r="L2499" s="11"/>
      <c r="M2499" s="11"/>
      <c r="N2499" s="11"/>
      <c r="O2499" s="11"/>
      <c r="P2499" s="43"/>
      <c r="Q2499" s="11"/>
      <c r="R2499" s="11"/>
      <c r="S2499" s="11"/>
      <c r="T2499" s="11"/>
      <c r="U2499" s="11"/>
      <c r="V2499" s="11"/>
      <c r="W2499" s="11"/>
      <c r="X2499" s="12"/>
      <c r="Y2499" s="12"/>
      <c r="Z2499" s="12"/>
      <c r="AA2499" s="44"/>
      <c r="AB2499" s="45"/>
      <c r="AC2499" s="12"/>
      <c r="AD2499" s="12"/>
      <c r="AE2499" s="12"/>
      <c r="AF2499" s="12"/>
      <c r="AG2499" s="44"/>
      <c r="AH2499" s="45"/>
      <c r="AI2499" s="12"/>
      <c r="AJ2499" s="12"/>
      <c r="AK2499" s="12"/>
      <c r="AL2499" s="12"/>
      <c r="AM2499" s="44"/>
      <c r="AN2499" s="45"/>
      <c r="AO2499" s="12"/>
      <c r="AP2499" s="12"/>
      <c r="AQ2499" s="12"/>
      <c r="AR2499" s="12"/>
      <c r="AS2499" s="44"/>
      <c r="AT2499" s="45"/>
      <c r="AU2499" s="12"/>
      <c r="AV2499" s="12"/>
      <c r="AW2499" s="12"/>
      <c r="AX2499" s="12"/>
      <c r="AY2499" s="44"/>
      <c r="AZ2499" s="45"/>
      <c r="BA2499" s="12"/>
      <c r="BB2499" s="12"/>
      <c r="BC2499" s="12"/>
      <c r="BD2499" s="12"/>
      <c r="BE2499" s="44"/>
      <c r="BF2499" s="45"/>
      <c r="BG2499" s="12"/>
      <c r="BH2499" s="12"/>
      <c r="BI2499" s="12"/>
      <c r="BJ2499" s="12"/>
      <c r="BK2499" s="44"/>
      <c r="BL2499" s="45"/>
      <c r="BM2499" s="12"/>
      <c r="BN2499" s="12"/>
      <c r="BO2499" s="12"/>
      <c r="BP2499" s="12"/>
      <c r="BQ2499" s="48"/>
      <c r="BR2499" s="49"/>
      <c r="BS2499" s="13"/>
      <c r="BT2499" s="12"/>
      <c r="BV2499" s="14"/>
      <c r="BW2499" s="50"/>
      <c r="BX2499" s="54"/>
      <c r="BY2499" s="14"/>
      <c r="BZ2499" s="14"/>
      <c r="CA2499" s="14"/>
      <c r="CB2499" s="14"/>
      <c r="CC2499" s="14"/>
      <c r="CD2499" s="14"/>
      <c r="CE2499" s="14"/>
      <c r="CF2499" s="15"/>
      <c r="CG2499" s="14"/>
      <c r="CH2499" s="14"/>
      <c r="CI2499" s="50"/>
      <c r="CJ2499" s="54"/>
      <c r="CK2499" s="14"/>
      <c r="CL2499" s="14"/>
      <c r="CM2499" s="14"/>
      <c r="CN2499" s="14"/>
      <c r="CO2499" s="14"/>
      <c r="CP2499" s="14"/>
      <c r="CQ2499" s="14"/>
      <c r="CR2499" s="14"/>
      <c r="CS2499" s="14"/>
      <c r="CT2499" s="14"/>
      <c r="CU2499" s="16"/>
      <c r="CV2499" s="14"/>
      <c r="CW2499" s="50"/>
      <c r="CX2499" s="17"/>
    </row>
    <row r="2500" spans="4:102" x14ac:dyDescent="0.25">
      <c r="D2500" s="11"/>
      <c r="E2500" s="11"/>
      <c r="F2500" s="11"/>
      <c r="G2500" s="11"/>
      <c r="H2500" s="11"/>
      <c r="I2500" s="11"/>
      <c r="J2500" s="11"/>
      <c r="K2500" s="11"/>
      <c r="L2500" s="11"/>
      <c r="M2500" s="11"/>
      <c r="N2500" s="11"/>
      <c r="O2500" s="11"/>
      <c r="P2500" s="43"/>
      <c r="Q2500" s="11"/>
      <c r="R2500" s="11"/>
      <c r="S2500" s="11"/>
      <c r="T2500" s="11"/>
      <c r="U2500" s="11"/>
      <c r="V2500" s="11"/>
      <c r="W2500" s="11"/>
      <c r="X2500" s="12"/>
      <c r="Y2500" s="12"/>
      <c r="Z2500" s="12"/>
      <c r="AA2500" s="44"/>
      <c r="AB2500" s="45"/>
      <c r="AC2500" s="12"/>
      <c r="AD2500" s="12"/>
      <c r="AE2500" s="12"/>
      <c r="AF2500" s="12"/>
      <c r="AG2500" s="44"/>
      <c r="AH2500" s="45"/>
      <c r="AI2500" s="12"/>
      <c r="AJ2500" s="12"/>
      <c r="AK2500" s="12"/>
      <c r="AL2500" s="12"/>
      <c r="AM2500" s="44"/>
      <c r="AN2500" s="45"/>
      <c r="AO2500" s="12"/>
      <c r="AP2500" s="12"/>
      <c r="AQ2500" s="12"/>
      <c r="AR2500" s="12"/>
      <c r="AS2500" s="44"/>
      <c r="AT2500" s="45"/>
      <c r="AU2500" s="12"/>
      <c r="AV2500" s="12"/>
      <c r="AW2500" s="12"/>
      <c r="AX2500" s="12"/>
      <c r="AY2500" s="44"/>
      <c r="AZ2500" s="45"/>
      <c r="BA2500" s="12"/>
      <c r="BB2500" s="12"/>
      <c r="BC2500" s="12"/>
      <c r="BD2500" s="12"/>
      <c r="BE2500" s="44"/>
      <c r="BF2500" s="45"/>
      <c r="BG2500" s="12"/>
      <c r="BH2500" s="12"/>
      <c r="BI2500" s="12"/>
      <c r="BJ2500" s="12"/>
      <c r="BK2500" s="44"/>
      <c r="BL2500" s="45"/>
      <c r="BM2500" s="12"/>
      <c r="BN2500" s="12"/>
      <c r="BO2500" s="12"/>
      <c r="BP2500" s="12"/>
      <c r="BQ2500" s="48"/>
      <c r="BR2500" s="49"/>
      <c r="BS2500" s="13"/>
      <c r="BT2500" s="12"/>
      <c r="BV2500" s="14"/>
      <c r="BW2500" s="50"/>
      <c r="BX2500" s="54"/>
      <c r="BY2500" s="14"/>
      <c r="BZ2500" s="14"/>
      <c r="CA2500" s="14"/>
      <c r="CB2500" s="14"/>
      <c r="CC2500" s="14"/>
      <c r="CD2500" s="14"/>
      <c r="CE2500" s="14"/>
      <c r="CF2500" s="15"/>
      <c r="CG2500" s="14"/>
      <c r="CH2500" s="14"/>
      <c r="CI2500" s="50"/>
      <c r="CJ2500" s="54"/>
      <c r="CK2500" s="14"/>
      <c r="CL2500" s="14"/>
      <c r="CM2500" s="14"/>
      <c r="CN2500" s="14"/>
      <c r="CO2500" s="14"/>
      <c r="CP2500" s="14"/>
      <c r="CQ2500" s="14"/>
      <c r="CR2500" s="14"/>
      <c r="CS2500" s="14"/>
      <c r="CT2500" s="14"/>
      <c r="CU2500" s="16"/>
      <c r="CV2500" s="14"/>
      <c r="CW2500" s="50"/>
      <c r="CX2500" s="17"/>
    </row>
    <row r="2501" spans="4:102" x14ac:dyDescent="0.25">
      <c r="D2501" s="11"/>
      <c r="E2501" s="11"/>
      <c r="F2501" s="11"/>
      <c r="G2501" s="11"/>
      <c r="H2501" s="11"/>
      <c r="I2501" s="11"/>
      <c r="J2501" s="11"/>
      <c r="K2501" s="11"/>
      <c r="L2501" s="11"/>
      <c r="M2501" s="11"/>
      <c r="N2501" s="11"/>
      <c r="O2501" s="11"/>
      <c r="P2501" s="43"/>
      <c r="Q2501" s="11"/>
      <c r="R2501" s="11"/>
      <c r="S2501" s="11"/>
      <c r="T2501" s="11"/>
      <c r="U2501" s="11"/>
      <c r="V2501" s="11"/>
      <c r="W2501" s="11"/>
      <c r="X2501" s="12"/>
      <c r="Y2501" s="12"/>
      <c r="Z2501" s="12"/>
      <c r="AA2501" s="44"/>
      <c r="AB2501" s="45"/>
      <c r="AC2501" s="12"/>
      <c r="AD2501" s="12"/>
      <c r="AE2501" s="12"/>
      <c r="AF2501" s="12"/>
      <c r="AG2501" s="44"/>
      <c r="AH2501" s="45"/>
      <c r="AI2501" s="12"/>
      <c r="AJ2501" s="12"/>
      <c r="AK2501" s="12"/>
      <c r="AL2501" s="12"/>
      <c r="AM2501" s="44"/>
      <c r="AN2501" s="45"/>
      <c r="AO2501" s="12"/>
      <c r="AP2501" s="12"/>
      <c r="AQ2501" s="12"/>
      <c r="AR2501" s="12"/>
      <c r="AS2501" s="44"/>
      <c r="AT2501" s="45"/>
      <c r="AU2501" s="12"/>
      <c r="AV2501" s="12"/>
      <c r="AW2501" s="12"/>
      <c r="AX2501" s="12"/>
      <c r="AY2501" s="44"/>
      <c r="AZ2501" s="45"/>
      <c r="BA2501" s="12"/>
      <c r="BB2501" s="12"/>
      <c r="BC2501" s="12"/>
      <c r="BD2501" s="12"/>
      <c r="BE2501" s="44"/>
      <c r="BF2501" s="45"/>
      <c r="BG2501" s="12"/>
      <c r="BH2501" s="12"/>
      <c r="BI2501" s="12"/>
      <c r="BJ2501" s="12"/>
      <c r="BK2501" s="44"/>
      <c r="BL2501" s="45"/>
      <c r="BM2501" s="12"/>
      <c r="BN2501" s="12"/>
      <c r="BO2501" s="12"/>
      <c r="BP2501" s="12"/>
      <c r="BQ2501" s="48"/>
      <c r="BR2501" s="49"/>
      <c r="BS2501" s="13"/>
      <c r="BT2501" s="12"/>
      <c r="BV2501" s="14"/>
      <c r="BW2501" s="50"/>
      <c r="BX2501" s="54"/>
      <c r="BY2501" s="14"/>
      <c r="BZ2501" s="14"/>
      <c r="CA2501" s="14"/>
      <c r="CB2501" s="14"/>
      <c r="CC2501" s="14"/>
      <c r="CD2501" s="14"/>
      <c r="CE2501" s="14"/>
      <c r="CF2501" s="15"/>
      <c r="CG2501" s="14"/>
      <c r="CH2501" s="14"/>
      <c r="CI2501" s="50"/>
      <c r="CJ2501" s="54"/>
      <c r="CK2501" s="14"/>
      <c r="CL2501" s="14"/>
      <c r="CM2501" s="14"/>
      <c r="CN2501" s="14"/>
      <c r="CO2501" s="14"/>
      <c r="CP2501" s="14"/>
      <c r="CQ2501" s="14"/>
      <c r="CR2501" s="14"/>
      <c r="CS2501" s="14"/>
      <c r="CT2501" s="14"/>
      <c r="CU2501" s="16"/>
      <c r="CV2501" s="14"/>
      <c r="CW2501" s="50"/>
      <c r="CX2501" s="17"/>
    </row>
    <row r="2502" spans="4:102" x14ac:dyDescent="0.25">
      <c r="D2502" s="11"/>
      <c r="E2502" s="11"/>
      <c r="F2502" s="11"/>
      <c r="G2502" s="11"/>
      <c r="H2502" s="11"/>
      <c r="I2502" s="11"/>
      <c r="J2502" s="11"/>
      <c r="K2502" s="11"/>
      <c r="L2502" s="11"/>
      <c r="M2502" s="11"/>
      <c r="N2502" s="11"/>
      <c r="O2502" s="11"/>
      <c r="P2502" s="43"/>
      <c r="Q2502" s="11"/>
      <c r="R2502" s="11"/>
      <c r="S2502" s="11"/>
      <c r="T2502" s="11"/>
      <c r="U2502" s="11"/>
      <c r="V2502" s="11"/>
      <c r="W2502" s="11"/>
      <c r="X2502" s="12"/>
      <c r="Y2502" s="12"/>
      <c r="Z2502" s="12"/>
      <c r="AA2502" s="44"/>
      <c r="AB2502" s="45"/>
      <c r="AC2502" s="12"/>
      <c r="AD2502" s="12"/>
      <c r="AE2502" s="12"/>
      <c r="AF2502" s="12"/>
      <c r="AG2502" s="44"/>
      <c r="AH2502" s="45"/>
      <c r="AI2502" s="12"/>
      <c r="AJ2502" s="12"/>
      <c r="AK2502" s="12"/>
      <c r="AL2502" s="12"/>
      <c r="AM2502" s="44"/>
      <c r="AN2502" s="45"/>
      <c r="AO2502" s="12"/>
      <c r="AP2502" s="12"/>
      <c r="AQ2502" s="12"/>
      <c r="AR2502" s="12"/>
      <c r="AS2502" s="44"/>
      <c r="AT2502" s="45"/>
      <c r="AU2502" s="12"/>
      <c r="AV2502" s="12"/>
      <c r="AW2502" s="12"/>
      <c r="AX2502" s="12"/>
      <c r="AY2502" s="44"/>
      <c r="AZ2502" s="45"/>
      <c r="BA2502" s="12"/>
      <c r="BB2502" s="12"/>
      <c r="BC2502" s="12"/>
      <c r="BD2502" s="12"/>
      <c r="BE2502" s="44"/>
      <c r="BF2502" s="45"/>
      <c r="BG2502" s="12"/>
      <c r="BH2502" s="12"/>
      <c r="BI2502" s="12"/>
      <c r="BJ2502" s="12"/>
      <c r="BK2502" s="44"/>
      <c r="BL2502" s="45"/>
      <c r="BM2502" s="12"/>
      <c r="BN2502" s="12"/>
      <c r="BO2502" s="12"/>
      <c r="BP2502" s="12"/>
      <c r="BQ2502" s="48"/>
      <c r="BR2502" s="49"/>
      <c r="BS2502" s="13"/>
      <c r="BT2502" s="12"/>
      <c r="BV2502" s="14"/>
      <c r="BW2502" s="50"/>
      <c r="BX2502" s="54"/>
      <c r="BY2502" s="14"/>
      <c r="BZ2502" s="14"/>
      <c r="CA2502" s="14"/>
      <c r="CB2502" s="14"/>
      <c r="CC2502" s="14"/>
      <c r="CD2502" s="14"/>
      <c r="CE2502" s="14"/>
      <c r="CF2502" s="15"/>
      <c r="CG2502" s="14"/>
      <c r="CH2502" s="14"/>
      <c r="CI2502" s="50"/>
      <c r="CJ2502" s="54"/>
      <c r="CK2502" s="14"/>
      <c r="CL2502" s="14"/>
      <c r="CM2502" s="14"/>
      <c r="CN2502" s="14"/>
      <c r="CO2502" s="14"/>
      <c r="CP2502" s="14"/>
      <c r="CQ2502" s="14"/>
      <c r="CR2502" s="14"/>
      <c r="CS2502" s="14"/>
      <c r="CT2502" s="14"/>
      <c r="CU2502" s="16"/>
      <c r="CV2502" s="14"/>
      <c r="CW2502" s="50"/>
      <c r="CX2502" s="17"/>
    </row>
    <row r="2503" spans="4:102" x14ac:dyDescent="0.25">
      <c r="D2503" s="11"/>
      <c r="E2503" s="11"/>
      <c r="F2503" s="11"/>
      <c r="G2503" s="11"/>
      <c r="H2503" s="11"/>
      <c r="I2503" s="11"/>
      <c r="J2503" s="11"/>
      <c r="K2503" s="11"/>
      <c r="L2503" s="11"/>
      <c r="M2503" s="11"/>
      <c r="N2503" s="11"/>
      <c r="O2503" s="11"/>
      <c r="P2503" s="43"/>
      <c r="Q2503" s="11"/>
      <c r="R2503" s="11"/>
      <c r="S2503" s="11"/>
      <c r="T2503" s="11"/>
      <c r="U2503" s="11"/>
      <c r="V2503" s="11"/>
      <c r="W2503" s="11"/>
      <c r="X2503" s="12"/>
      <c r="Y2503" s="12"/>
      <c r="Z2503" s="12"/>
      <c r="AA2503" s="44"/>
      <c r="AB2503" s="45"/>
      <c r="AC2503" s="12"/>
      <c r="AD2503" s="12"/>
      <c r="AE2503" s="12"/>
      <c r="AF2503" s="12"/>
      <c r="AG2503" s="44"/>
      <c r="AH2503" s="45"/>
      <c r="AI2503" s="12"/>
      <c r="AJ2503" s="12"/>
      <c r="AK2503" s="12"/>
      <c r="AL2503" s="12"/>
      <c r="AM2503" s="44"/>
      <c r="AN2503" s="45"/>
      <c r="AO2503" s="12"/>
      <c r="AP2503" s="12"/>
      <c r="AQ2503" s="12"/>
      <c r="AR2503" s="12"/>
      <c r="AS2503" s="44"/>
      <c r="AT2503" s="45"/>
      <c r="AU2503" s="12"/>
      <c r="AV2503" s="12"/>
      <c r="AW2503" s="12"/>
      <c r="AX2503" s="12"/>
      <c r="AY2503" s="44"/>
      <c r="AZ2503" s="45"/>
      <c r="BA2503" s="12"/>
      <c r="BB2503" s="12"/>
      <c r="BC2503" s="12"/>
      <c r="BD2503" s="12"/>
      <c r="BE2503" s="44"/>
      <c r="BF2503" s="45"/>
      <c r="BG2503" s="12"/>
      <c r="BH2503" s="12"/>
      <c r="BI2503" s="12"/>
      <c r="BJ2503" s="12"/>
      <c r="BK2503" s="44"/>
      <c r="BL2503" s="45"/>
      <c r="BM2503" s="12"/>
      <c r="BN2503" s="12"/>
      <c r="BO2503" s="12"/>
      <c r="BP2503" s="12"/>
      <c r="BQ2503" s="48"/>
      <c r="BR2503" s="49"/>
      <c r="BS2503" s="13"/>
      <c r="BT2503" s="12"/>
      <c r="BV2503" s="14"/>
      <c r="BW2503" s="50"/>
      <c r="BX2503" s="54"/>
      <c r="BY2503" s="14"/>
      <c r="BZ2503" s="14"/>
      <c r="CA2503" s="14"/>
      <c r="CB2503" s="14"/>
      <c r="CC2503" s="14"/>
      <c r="CD2503" s="14"/>
      <c r="CE2503" s="14"/>
      <c r="CF2503" s="15"/>
      <c r="CG2503" s="14"/>
      <c r="CH2503" s="14"/>
      <c r="CI2503" s="50"/>
      <c r="CJ2503" s="54"/>
      <c r="CK2503" s="14"/>
      <c r="CL2503" s="14"/>
      <c r="CM2503" s="14"/>
      <c r="CN2503" s="14"/>
      <c r="CO2503" s="14"/>
      <c r="CP2503" s="14"/>
      <c r="CQ2503" s="14"/>
      <c r="CR2503" s="14"/>
      <c r="CS2503" s="14"/>
      <c r="CT2503" s="14"/>
      <c r="CU2503" s="16"/>
      <c r="CV2503" s="14"/>
      <c r="CW2503" s="50"/>
      <c r="CX2503" s="17"/>
    </row>
    <row r="2504" spans="4:102" x14ac:dyDescent="0.25">
      <c r="D2504" s="11"/>
      <c r="E2504" s="11"/>
      <c r="F2504" s="11"/>
      <c r="G2504" s="11"/>
      <c r="H2504" s="11"/>
      <c r="I2504" s="11"/>
      <c r="J2504" s="11"/>
      <c r="K2504" s="11"/>
      <c r="L2504" s="11"/>
      <c r="M2504" s="11"/>
      <c r="N2504" s="11"/>
      <c r="O2504" s="11"/>
      <c r="P2504" s="43"/>
      <c r="Q2504" s="11"/>
      <c r="R2504" s="11"/>
      <c r="S2504" s="11"/>
      <c r="T2504" s="11"/>
      <c r="U2504" s="11"/>
      <c r="V2504" s="11"/>
      <c r="W2504" s="11"/>
      <c r="X2504" s="12"/>
      <c r="Y2504" s="12"/>
      <c r="Z2504" s="12"/>
      <c r="AA2504" s="44"/>
      <c r="AB2504" s="45"/>
      <c r="AC2504" s="12"/>
      <c r="AD2504" s="12"/>
      <c r="AE2504" s="12"/>
      <c r="AF2504" s="12"/>
      <c r="AG2504" s="44"/>
      <c r="AH2504" s="45"/>
      <c r="AI2504" s="12"/>
      <c r="AJ2504" s="12"/>
      <c r="AK2504" s="12"/>
      <c r="AL2504" s="12"/>
      <c r="AM2504" s="44"/>
      <c r="AN2504" s="45"/>
      <c r="AO2504" s="12"/>
      <c r="AP2504" s="12"/>
      <c r="AQ2504" s="12"/>
      <c r="AR2504" s="12"/>
      <c r="AS2504" s="44"/>
      <c r="AT2504" s="45"/>
      <c r="AU2504" s="12"/>
      <c r="AV2504" s="12"/>
      <c r="AW2504" s="12"/>
      <c r="AX2504" s="12"/>
      <c r="AY2504" s="44"/>
      <c r="AZ2504" s="45"/>
      <c r="BA2504" s="12"/>
      <c r="BB2504" s="12"/>
      <c r="BC2504" s="12"/>
      <c r="BD2504" s="12"/>
      <c r="BE2504" s="44"/>
      <c r="BF2504" s="45"/>
      <c r="BG2504" s="12"/>
      <c r="BH2504" s="12"/>
      <c r="BI2504" s="12"/>
      <c r="BJ2504" s="12"/>
      <c r="BK2504" s="44"/>
      <c r="BL2504" s="45"/>
      <c r="BM2504" s="12"/>
      <c r="BN2504" s="12"/>
      <c r="BO2504" s="12"/>
      <c r="BP2504" s="12"/>
      <c r="BQ2504" s="48"/>
      <c r="BR2504" s="49"/>
      <c r="BS2504" s="13"/>
      <c r="BT2504" s="12"/>
      <c r="BV2504" s="14"/>
      <c r="BW2504" s="50"/>
      <c r="BX2504" s="54"/>
      <c r="BY2504" s="14"/>
      <c r="BZ2504" s="14"/>
      <c r="CA2504" s="14"/>
      <c r="CB2504" s="14"/>
      <c r="CC2504" s="14"/>
      <c r="CD2504" s="14"/>
      <c r="CE2504" s="14"/>
      <c r="CF2504" s="15"/>
      <c r="CG2504" s="14"/>
      <c r="CH2504" s="14"/>
      <c r="CI2504" s="50"/>
      <c r="CJ2504" s="54"/>
      <c r="CK2504" s="14"/>
      <c r="CL2504" s="14"/>
      <c r="CM2504" s="14"/>
      <c r="CN2504" s="14"/>
      <c r="CO2504" s="14"/>
      <c r="CP2504" s="14"/>
      <c r="CQ2504" s="14"/>
      <c r="CR2504" s="14"/>
      <c r="CS2504" s="14"/>
      <c r="CT2504" s="14"/>
      <c r="CU2504" s="16"/>
      <c r="CV2504" s="14"/>
      <c r="CW2504" s="50"/>
      <c r="CX2504" s="17"/>
    </row>
    <row r="2505" spans="4:102" x14ac:dyDescent="0.25">
      <c r="D2505" s="11"/>
      <c r="E2505" s="11"/>
      <c r="F2505" s="11"/>
      <c r="G2505" s="11"/>
      <c r="H2505" s="11"/>
      <c r="I2505" s="11"/>
      <c r="J2505" s="11"/>
      <c r="K2505" s="11"/>
      <c r="L2505" s="11"/>
      <c r="M2505" s="11"/>
      <c r="N2505" s="11"/>
      <c r="O2505" s="11"/>
      <c r="P2505" s="43"/>
      <c r="Q2505" s="11"/>
      <c r="R2505" s="11"/>
      <c r="S2505" s="11"/>
      <c r="T2505" s="11"/>
      <c r="U2505" s="11"/>
      <c r="V2505" s="11"/>
      <c r="W2505" s="11"/>
      <c r="X2505" s="12"/>
      <c r="Y2505" s="12"/>
      <c r="Z2505" s="12"/>
      <c r="AA2505" s="44"/>
      <c r="AB2505" s="45"/>
      <c r="AC2505" s="12"/>
      <c r="AD2505" s="12"/>
      <c r="AE2505" s="12"/>
      <c r="AF2505" s="12"/>
      <c r="AG2505" s="44"/>
      <c r="AH2505" s="45"/>
      <c r="AI2505" s="12"/>
      <c r="AJ2505" s="12"/>
      <c r="AK2505" s="12"/>
      <c r="AL2505" s="12"/>
      <c r="AM2505" s="44"/>
      <c r="AN2505" s="45"/>
      <c r="AO2505" s="12"/>
      <c r="AP2505" s="12"/>
      <c r="AQ2505" s="12"/>
      <c r="AR2505" s="12"/>
      <c r="AS2505" s="44"/>
      <c r="AT2505" s="45"/>
      <c r="AU2505" s="12"/>
      <c r="AV2505" s="12"/>
      <c r="AW2505" s="12"/>
      <c r="AX2505" s="12"/>
      <c r="AY2505" s="44"/>
      <c r="AZ2505" s="45"/>
      <c r="BA2505" s="12"/>
      <c r="BB2505" s="12"/>
      <c r="BC2505" s="12"/>
      <c r="BD2505" s="12"/>
      <c r="BE2505" s="44"/>
      <c r="BF2505" s="45"/>
      <c r="BG2505" s="12"/>
      <c r="BH2505" s="12"/>
      <c r="BI2505" s="12"/>
      <c r="BJ2505" s="12"/>
      <c r="BK2505" s="44"/>
      <c r="BL2505" s="45"/>
      <c r="BM2505" s="12"/>
      <c r="BN2505" s="12"/>
      <c r="BO2505" s="12"/>
      <c r="BP2505" s="12"/>
      <c r="BQ2505" s="48"/>
      <c r="BR2505" s="49"/>
      <c r="BS2505" s="13"/>
      <c r="BT2505" s="12"/>
      <c r="BV2505" s="14"/>
      <c r="BW2505" s="50"/>
      <c r="BX2505" s="54"/>
      <c r="BY2505" s="14"/>
      <c r="BZ2505" s="14"/>
      <c r="CA2505" s="14"/>
      <c r="CB2505" s="14"/>
      <c r="CC2505" s="14"/>
      <c r="CD2505" s="14"/>
      <c r="CE2505" s="14"/>
      <c r="CF2505" s="15"/>
      <c r="CG2505" s="14"/>
      <c r="CH2505" s="14"/>
      <c r="CI2505" s="50"/>
      <c r="CJ2505" s="54"/>
      <c r="CK2505" s="14"/>
      <c r="CL2505" s="14"/>
      <c r="CM2505" s="14"/>
      <c r="CN2505" s="14"/>
      <c r="CO2505" s="14"/>
      <c r="CP2505" s="14"/>
      <c r="CQ2505" s="14"/>
      <c r="CR2505" s="14"/>
      <c r="CS2505" s="14"/>
      <c r="CT2505" s="14"/>
      <c r="CU2505" s="16"/>
      <c r="CV2505" s="14"/>
      <c r="CW2505" s="50"/>
      <c r="CX2505" s="17"/>
    </row>
    <row r="2506" spans="4:102" x14ac:dyDescent="0.25">
      <c r="D2506" s="11"/>
      <c r="E2506" s="11"/>
      <c r="F2506" s="11"/>
      <c r="G2506" s="11"/>
      <c r="H2506" s="11"/>
      <c r="I2506" s="11"/>
      <c r="J2506" s="11"/>
      <c r="K2506" s="11"/>
      <c r="L2506" s="11"/>
      <c r="M2506" s="11"/>
      <c r="N2506" s="11"/>
      <c r="O2506" s="11"/>
      <c r="P2506" s="43"/>
      <c r="Q2506" s="11"/>
      <c r="R2506" s="11"/>
      <c r="S2506" s="11"/>
      <c r="T2506" s="11"/>
      <c r="U2506" s="11"/>
      <c r="V2506" s="11"/>
      <c r="W2506" s="11"/>
      <c r="X2506" s="12"/>
      <c r="Y2506" s="12"/>
      <c r="Z2506" s="12"/>
      <c r="AA2506" s="44"/>
      <c r="AB2506" s="45"/>
      <c r="AC2506" s="12"/>
      <c r="AD2506" s="12"/>
      <c r="AE2506" s="12"/>
      <c r="AF2506" s="12"/>
      <c r="AG2506" s="44"/>
      <c r="AH2506" s="45"/>
      <c r="AI2506" s="12"/>
      <c r="AJ2506" s="12"/>
      <c r="AK2506" s="12"/>
      <c r="AL2506" s="12"/>
      <c r="AM2506" s="44"/>
      <c r="AN2506" s="45"/>
      <c r="AO2506" s="12"/>
      <c r="AP2506" s="12"/>
      <c r="AQ2506" s="12"/>
      <c r="AR2506" s="12"/>
      <c r="AS2506" s="44"/>
      <c r="AT2506" s="45"/>
      <c r="AU2506" s="12"/>
      <c r="AV2506" s="12"/>
      <c r="AW2506" s="12"/>
      <c r="AX2506" s="12"/>
      <c r="AY2506" s="44"/>
      <c r="AZ2506" s="45"/>
      <c r="BA2506" s="12"/>
      <c r="BB2506" s="12"/>
      <c r="BC2506" s="12"/>
      <c r="BD2506" s="12"/>
      <c r="BE2506" s="44"/>
      <c r="BF2506" s="45"/>
      <c r="BG2506" s="12"/>
      <c r="BH2506" s="12"/>
      <c r="BI2506" s="12"/>
      <c r="BJ2506" s="12"/>
      <c r="BK2506" s="44"/>
      <c r="BL2506" s="45"/>
      <c r="BM2506" s="12"/>
      <c r="BN2506" s="12"/>
      <c r="BO2506" s="12"/>
      <c r="BP2506" s="12"/>
      <c r="BQ2506" s="48"/>
      <c r="BR2506" s="49"/>
      <c r="BS2506" s="13"/>
      <c r="BT2506" s="12"/>
      <c r="BV2506" s="14"/>
      <c r="BW2506" s="50"/>
      <c r="BX2506" s="54"/>
      <c r="BY2506" s="14"/>
      <c r="BZ2506" s="14"/>
      <c r="CA2506" s="14"/>
      <c r="CB2506" s="14"/>
      <c r="CC2506" s="14"/>
      <c r="CD2506" s="14"/>
      <c r="CE2506" s="14"/>
      <c r="CF2506" s="15"/>
      <c r="CG2506" s="14"/>
      <c r="CH2506" s="14"/>
      <c r="CI2506" s="50"/>
      <c r="CJ2506" s="54"/>
      <c r="CK2506" s="14"/>
      <c r="CL2506" s="14"/>
      <c r="CM2506" s="14"/>
      <c r="CN2506" s="14"/>
      <c r="CO2506" s="14"/>
      <c r="CP2506" s="14"/>
      <c r="CQ2506" s="14"/>
      <c r="CR2506" s="14"/>
      <c r="CS2506" s="14"/>
      <c r="CT2506" s="14"/>
      <c r="CU2506" s="16"/>
      <c r="CV2506" s="14"/>
      <c r="CW2506" s="50"/>
      <c r="CX2506" s="17"/>
    </row>
    <row r="2507" spans="4:102" x14ac:dyDescent="0.25">
      <c r="D2507" s="11"/>
      <c r="E2507" s="11"/>
      <c r="F2507" s="11"/>
      <c r="G2507" s="11"/>
      <c r="H2507" s="11"/>
      <c r="I2507" s="11"/>
      <c r="J2507" s="11"/>
      <c r="K2507" s="11"/>
      <c r="L2507" s="11"/>
      <c r="M2507" s="11"/>
      <c r="N2507" s="11"/>
      <c r="O2507" s="11"/>
      <c r="P2507" s="43"/>
      <c r="Q2507" s="11"/>
      <c r="R2507" s="11"/>
      <c r="S2507" s="11"/>
      <c r="T2507" s="11"/>
      <c r="U2507" s="11"/>
      <c r="V2507" s="11"/>
      <c r="W2507" s="11"/>
      <c r="X2507" s="12"/>
      <c r="Y2507" s="12"/>
      <c r="Z2507" s="12"/>
      <c r="AA2507" s="44"/>
      <c r="AB2507" s="45"/>
      <c r="AC2507" s="12"/>
      <c r="AD2507" s="12"/>
      <c r="AE2507" s="12"/>
      <c r="AF2507" s="12"/>
      <c r="AG2507" s="44"/>
      <c r="AH2507" s="45"/>
      <c r="AI2507" s="12"/>
      <c r="AJ2507" s="12"/>
      <c r="AK2507" s="12"/>
      <c r="AL2507" s="12"/>
      <c r="AM2507" s="44"/>
      <c r="AN2507" s="45"/>
      <c r="AO2507" s="12"/>
      <c r="AP2507" s="12"/>
      <c r="AQ2507" s="12"/>
      <c r="AR2507" s="12"/>
      <c r="AS2507" s="44"/>
      <c r="AT2507" s="45"/>
      <c r="AU2507" s="12"/>
      <c r="AV2507" s="12"/>
      <c r="AW2507" s="12"/>
      <c r="AX2507" s="12"/>
      <c r="AY2507" s="44"/>
      <c r="AZ2507" s="45"/>
      <c r="BA2507" s="12"/>
      <c r="BB2507" s="12"/>
      <c r="BC2507" s="12"/>
      <c r="BD2507" s="12"/>
      <c r="BE2507" s="44"/>
      <c r="BF2507" s="45"/>
      <c r="BG2507" s="12"/>
      <c r="BH2507" s="12"/>
      <c r="BI2507" s="12"/>
      <c r="BJ2507" s="12"/>
      <c r="BK2507" s="44"/>
      <c r="BL2507" s="45"/>
      <c r="BM2507" s="12"/>
      <c r="BN2507" s="12"/>
      <c r="BO2507" s="12"/>
      <c r="BP2507" s="12"/>
      <c r="BQ2507" s="48"/>
      <c r="BR2507" s="49"/>
      <c r="BS2507" s="13"/>
      <c r="BT2507" s="12"/>
      <c r="BV2507" s="14"/>
      <c r="BW2507" s="50"/>
      <c r="BX2507" s="54"/>
      <c r="BY2507" s="14"/>
      <c r="BZ2507" s="14"/>
      <c r="CA2507" s="14"/>
      <c r="CB2507" s="14"/>
      <c r="CC2507" s="14"/>
      <c r="CD2507" s="14"/>
      <c r="CE2507" s="14"/>
      <c r="CF2507" s="15"/>
      <c r="CG2507" s="14"/>
      <c r="CH2507" s="14"/>
      <c r="CI2507" s="50"/>
      <c r="CJ2507" s="54"/>
      <c r="CK2507" s="14"/>
      <c r="CL2507" s="14"/>
      <c r="CM2507" s="14"/>
      <c r="CN2507" s="14"/>
      <c r="CO2507" s="14"/>
      <c r="CP2507" s="14"/>
      <c r="CQ2507" s="14"/>
      <c r="CR2507" s="14"/>
      <c r="CS2507" s="14"/>
      <c r="CT2507" s="14"/>
      <c r="CU2507" s="16"/>
      <c r="CV2507" s="14"/>
      <c r="CW2507" s="50"/>
      <c r="CX2507" s="17"/>
    </row>
    <row r="2508" spans="4:102" x14ac:dyDescent="0.25">
      <c r="D2508" s="11"/>
      <c r="E2508" s="11"/>
      <c r="F2508" s="11"/>
      <c r="G2508" s="11"/>
      <c r="H2508" s="11"/>
      <c r="I2508" s="11"/>
      <c r="J2508" s="11"/>
      <c r="K2508" s="11"/>
      <c r="L2508" s="11"/>
      <c r="M2508" s="11"/>
      <c r="N2508" s="11"/>
      <c r="O2508" s="11"/>
      <c r="P2508" s="43"/>
      <c r="Q2508" s="11"/>
      <c r="R2508" s="11"/>
      <c r="S2508" s="11"/>
      <c r="T2508" s="11"/>
      <c r="U2508" s="11"/>
      <c r="V2508" s="11"/>
      <c r="W2508" s="11"/>
      <c r="X2508" s="12"/>
      <c r="Y2508" s="12"/>
      <c r="Z2508" s="12"/>
      <c r="AA2508" s="44"/>
      <c r="AB2508" s="45"/>
      <c r="AC2508" s="12"/>
      <c r="AD2508" s="12"/>
      <c r="AE2508" s="12"/>
      <c r="AF2508" s="12"/>
      <c r="AG2508" s="44"/>
      <c r="AH2508" s="45"/>
      <c r="AI2508" s="12"/>
      <c r="AJ2508" s="12"/>
      <c r="AK2508" s="12"/>
      <c r="AL2508" s="12"/>
      <c r="AM2508" s="44"/>
      <c r="AN2508" s="45"/>
      <c r="AO2508" s="12"/>
      <c r="AP2508" s="12"/>
      <c r="AQ2508" s="12"/>
      <c r="AR2508" s="12"/>
      <c r="AS2508" s="44"/>
      <c r="AT2508" s="45"/>
      <c r="AU2508" s="12"/>
      <c r="AV2508" s="12"/>
      <c r="AW2508" s="12"/>
      <c r="AX2508" s="12"/>
      <c r="AY2508" s="44"/>
      <c r="AZ2508" s="45"/>
      <c r="BA2508" s="12"/>
      <c r="BB2508" s="12"/>
      <c r="BC2508" s="12"/>
      <c r="BD2508" s="12"/>
      <c r="BE2508" s="44"/>
      <c r="BF2508" s="45"/>
      <c r="BG2508" s="12"/>
      <c r="BH2508" s="12"/>
      <c r="BI2508" s="12"/>
      <c r="BJ2508" s="12"/>
      <c r="BK2508" s="44"/>
      <c r="BL2508" s="45"/>
      <c r="BM2508" s="12"/>
      <c r="BN2508" s="12"/>
      <c r="BO2508" s="12"/>
      <c r="BP2508" s="12"/>
      <c r="BQ2508" s="48"/>
      <c r="BR2508" s="49"/>
      <c r="BS2508" s="13"/>
      <c r="BT2508" s="12"/>
      <c r="BV2508" s="14"/>
      <c r="BW2508" s="50"/>
      <c r="BX2508" s="54"/>
      <c r="BY2508" s="14"/>
      <c r="BZ2508" s="14"/>
      <c r="CA2508" s="14"/>
      <c r="CB2508" s="14"/>
      <c r="CC2508" s="14"/>
      <c r="CD2508" s="14"/>
      <c r="CE2508" s="14"/>
      <c r="CF2508" s="15"/>
      <c r="CG2508" s="14"/>
      <c r="CH2508" s="14"/>
      <c r="CI2508" s="50"/>
      <c r="CJ2508" s="54"/>
      <c r="CK2508" s="14"/>
      <c r="CL2508" s="14"/>
      <c r="CM2508" s="14"/>
      <c r="CN2508" s="14"/>
      <c r="CO2508" s="14"/>
      <c r="CP2508" s="14"/>
      <c r="CQ2508" s="14"/>
      <c r="CR2508" s="14"/>
      <c r="CS2508" s="14"/>
      <c r="CT2508" s="14"/>
      <c r="CU2508" s="16"/>
      <c r="CV2508" s="14"/>
      <c r="CW2508" s="50"/>
      <c r="CX2508" s="17"/>
    </row>
    <row r="2509" spans="4:102" x14ac:dyDescent="0.25">
      <c r="D2509" s="11"/>
      <c r="E2509" s="11"/>
      <c r="F2509" s="11"/>
      <c r="G2509" s="11"/>
      <c r="H2509" s="11"/>
      <c r="I2509" s="11"/>
      <c r="J2509" s="11"/>
      <c r="K2509" s="11"/>
      <c r="L2509" s="11"/>
      <c r="M2509" s="11"/>
      <c r="N2509" s="11"/>
      <c r="O2509" s="11"/>
      <c r="P2509" s="43"/>
      <c r="Q2509" s="11"/>
      <c r="R2509" s="11"/>
      <c r="S2509" s="11"/>
      <c r="T2509" s="11"/>
      <c r="U2509" s="11"/>
      <c r="V2509" s="11"/>
      <c r="W2509" s="11"/>
      <c r="X2509" s="12"/>
      <c r="Y2509" s="12"/>
      <c r="Z2509" s="12"/>
      <c r="AA2509" s="44"/>
      <c r="AB2509" s="45"/>
      <c r="AC2509" s="12"/>
      <c r="AD2509" s="12"/>
      <c r="AE2509" s="12"/>
      <c r="AF2509" s="12"/>
      <c r="AG2509" s="44"/>
      <c r="AH2509" s="45"/>
      <c r="AI2509" s="12"/>
      <c r="AJ2509" s="12"/>
      <c r="AK2509" s="12"/>
      <c r="AL2509" s="12"/>
      <c r="AM2509" s="44"/>
      <c r="AN2509" s="45"/>
      <c r="AO2509" s="12"/>
      <c r="AP2509" s="12"/>
      <c r="AQ2509" s="12"/>
      <c r="AR2509" s="12"/>
      <c r="AS2509" s="44"/>
      <c r="AT2509" s="45"/>
      <c r="AU2509" s="12"/>
      <c r="AV2509" s="12"/>
      <c r="AW2509" s="12"/>
      <c r="AX2509" s="12"/>
      <c r="AY2509" s="44"/>
      <c r="AZ2509" s="45"/>
      <c r="BA2509" s="12"/>
      <c r="BB2509" s="12"/>
      <c r="BC2509" s="12"/>
      <c r="BD2509" s="12"/>
      <c r="BE2509" s="44"/>
      <c r="BF2509" s="45"/>
      <c r="BG2509" s="12"/>
      <c r="BH2509" s="12"/>
      <c r="BI2509" s="12"/>
      <c r="BJ2509" s="12"/>
      <c r="BK2509" s="44"/>
      <c r="BL2509" s="45"/>
      <c r="BM2509" s="12"/>
      <c r="BN2509" s="12"/>
      <c r="BO2509" s="12"/>
      <c r="BP2509" s="12"/>
      <c r="BQ2509" s="48"/>
      <c r="BR2509" s="49"/>
      <c r="BS2509" s="13"/>
      <c r="BT2509" s="12"/>
      <c r="BV2509" s="14"/>
      <c r="BW2509" s="50"/>
      <c r="BX2509" s="54"/>
      <c r="BY2509" s="14"/>
      <c r="BZ2509" s="14"/>
      <c r="CA2509" s="14"/>
      <c r="CB2509" s="14"/>
      <c r="CC2509" s="14"/>
      <c r="CD2509" s="14"/>
      <c r="CE2509" s="14"/>
      <c r="CF2509" s="15"/>
      <c r="CG2509" s="14"/>
      <c r="CH2509" s="14"/>
      <c r="CI2509" s="50"/>
      <c r="CJ2509" s="54"/>
      <c r="CK2509" s="14"/>
      <c r="CL2509" s="14"/>
      <c r="CM2509" s="14"/>
      <c r="CN2509" s="14"/>
      <c r="CO2509" s="14"/>
      <c r="CP2509" s="14"/>
      <c r="CQ2509" s="14"/>
      <c r="CR2509" s="14"/>
      <c r="CS2509" s="14"/>
      <c r="CT2509" s="14"/>
      <c r="CU2509" s="16"/>
      <c r="CV2509" s="14"/>
      <c r="CW2509" s="50"/>
      <c r="CX2509" s="17"/>
    </row>
    <row r="2510" spans="4:102" x14ac:dyDescent="0.25">
      <c r="D2510" s="11"/>
      <c r="E2510" s="11"/>
      <c r="F2510" s="11"/>
      <c r="G2510" s="11"/>
      <c r="H2510" s="11"/>
      <c r="I2510" s="11"/>
      <c r="J2510" s="11"/>
      <c r="K2510" s="11"/>
      <c r="L2510" s="11"/>
      <c r="M2510" s="11"/>
      <c r="N2510" s="11"/>
      <c r="O2510" s="11"/>
      <c r="P2510" s="43"/>
      <c r="Q2510" s="11"/>
      <c r="R2510" s="11"/>
      <c r="S2510" s="11"/>
      <c r="T2510" s="11"/>
      <c r="U2510" s="11"/>
      <c r="V2510" s="11"/>
      <c r="W2510" s="11"/>
      <c r="X2510" s="12"/>
      <c r="Y2510" s="12"/>
      <c r="Z2510" s="12"/>
      <c r="AA2510" s="44"/>
      <c r="AB2510" s="45"/>
      <c r="AC2510" s="12"/>
      <c r="AD2510" s="12"/>
      <c r="AE2510" s="12"/>
      <c r="AF2510" s="12"/>
      <c r="AG2510" s="44"/>
      <c r="AH2510" s="45"/>
      <c r="AI2510" s="12"/>
      <c r="AJ2510" s="12"/>
      <c r="AK2510" s="12"/>
      <c r="AL2510" s="12"/>
      <c r="AM2510" s="44"/>
      <c r="AN2510" s="45"/>
      <c r="AO2510" s="12"/>
      <c r="AP2510" s="12"/>
      <c r="AQ2510" s="12"/>
      <c r="AR2510" s="12"/>
      <c r="AS2510" s="44"/>
      <c r="AT2510" s="45"/>
      <c r="AU2510" s="12"/>
      <c r="AV2510" s="12"/>
      <c r="AW2510" s="12"/>
      <c r="AX2510" s="12"/>
      <c r="AY2510" s="44"/>
      <c r="AZ2510" s="45"/>
      <c r="BA2510" s="12"/>
      <c r="BB2510" s="12"/>
      <c r="BC2510" s="12"/>
      <c r="BD2510" s="12"/>
      <c r="BE2510" s="44"/>
      <c r="BF2510" s="45"/>
      <c r="BG2510" s="12"/>
      <c r="BH2510" s="12"/>
      <c r="BI2510" s="12"/>
      <c r="BJ2510" s="12"/>
      <c r="BK2510" s="44"/>
      <c r="BL2510" s="45"/>
      <c r="BM2510" s="12"/>
      <c r="BN2510" s="12"/>
      <c r="BO2510" s="12"/>
      <c r="BP2510" s="12"/>
      <c r="BQ2510" s="48"/>
      <c r="BR2510" s="49"/>
      <c r="BS2510" s="13"/>
      <c r="BT2510" s="12"/>
      <c r="BV2510" s="14"/>
      <c r="BW2510" s="50"/>
      <c r="BX2510" s="54"/>
      <c r="BY2510" s="14"/>
      <c r="BZ2510" s="14"/>
      <c r="CA2510" s="14"/>
      <c r="CB2510" s="14"/>
      <c r="CC2510" s="14"/>
      <c r="CD2510" s="14"/>
      <c r="CE2510" s="14"/>
      <c r="CF2510" s="15"/>
      <c r="CG2510" s="14"/>
      <c r="CH2510" s="14"/>
      <c r="CI2510" s="50"/>
      <c r="CJ2510" s="54"/>
      <c r="CK2510" s="14"/>
      <c r="CL2510" s="14"/>
      <c r="CM2510" s="14"/>
      <c r="CN2510" s="14"/>
      <c r="CO2510" s="14"/>
      <c r="CP2510" s="14"/>
      <c r="CQ2510" s="14"/>
      <c r="CR2510" s="14"/>
      <c r="CS2510" s="14"/>
      <c r="CT2510" s="14"/>
      <c r="CU2510" s="16"/>
      <c r="CV2510" s="14"/>
      <c r="CW2510" s="50"/>
      <c r="CX2510" s="17"/>
    </row>
    <row r="2511" spans="4:102" x14ac:dyDescent="0.25">
      <c r="D2511" s="11"/>
      <c r="E2511" s="11"/>
      <c r="F2511" s="11"/>
      <c r="G2511" s="11"/>
      <c r="H2511" s="11"/>
      <c r="I2511" s="11"/>
      <c r="J2511" s="11"/>
      <c r="K2511" s="11"/>
      <c r="L2511" s="11"/>
      <c r="M2511" s="11"/>
      <c r="N2511" s="11"/>
      <c r="O2511" s="11"/>
      <c r="P2511" s="43"/>
      <c r="Q2511" s="11"/>
      <c r="R2511" s="11"/>
      <c r="S2511" s="11"/>
      <c r="T2511" s="11"/>
      <c r="U2511" s="11"/>
      <c r="V2511" s="11"/>
      <c r="W2511" s="11"/>
      <c r="X2511" s="12"/>
      <c r="Y2511" s="12"/>
      <c r="Z2511" s="12"/>
      <c r="AA2511" s="44"/>
      <c r="AB2511" s="45"/>
      <c r="AC2511" s="12"/>
      <c r="AD2511" s="12"/>
      <c r="AE2511" s="12"/>
      <c r="AF2511" s="12"/>
      <c r="AG2511" s="44"/>
      <c r="AH2511" s="45"/>
      <c r="AI2511" s="12"/>
      <c r="AJ2511" s="12"/>
      <c r="AK2511" s="12"/>
      <c r="AL2511" s="12"/>
      <c r="AM2511" s="44"/>
      <c r="AN2511" s="45"/>
      <c r="AO2511" s="12"/>
      <c r="AP2511" s="12"/>
      <c r="AQ2511" s="12"/>
      <c r="AR2511" s="12"/>
      <c r="AS2511" s="44"/>
      <c r="AT2511" s="45"/>
      <c r="AU2511" s="12"/>
      <c r="AV2511" s="12"/>
      <c r="AW2511" s="12"/>
      <c r="AX2511" s="12"/>
      <c r="AY2511" s="44"/>
      <c r="AZ2511" s="45"/>
      <c r="BA2511" s="12"/>
      <c r="BB2511" s="12"/>
      <c r="BC2511" s="12"/>
      <c r="BD2511" s="12"/>
      <c r="BE2511" s="44"/>
      <c r="BF2511" s="45"/>
      <c r="BG2511" s="12"/>
      <c r="BH2511" s="12"/>
      <c r="BI2511" s="12"/>
      <c r="BJ2511" s="12"/>
      <c r="BK2511" s="44"/>
      <c r="BL2511" s="45"/>
      <c r="BM2511" s="12"/>
      <c r="BN2511" s="12"/>
      <c r="BO2511" s="12"/>
      <c r="BP2511" s="12"/>
      <c r="BQ2511" s="48"/>
      <c r="BR2511" s="49"/>
      <c r="BS2511" s="13"/>
      <c r="BT2511" s="12"/>
      <c r="BV2511" s="14"/>
      <c r="BW2511" s="50"/>
      <c r="BX2511" s="54"/>
      <c r="BY2511" s="14"/>
      <c r="BZ2511" s="14"/>
      <c r="CA2511" s="14"/>
      <c r="CB2511" s="14"/>
      <c r="CC2511" s="14"/>
      <c r="CD2511" s="14"/>
      <c r="CE2511" s="14"/>
      <c r="CF2511" s="15"/>
      <c r="CG2511" s="14"/>
      <c r="CH2511" s="14"/>
      <c r="CI2511" s="50"/>
      <c r="CJ2511" s="54"/>
      <c r="CK2511" s="14"/>
      <c r="CL2511" s="14"/>
      <c r="CM2511" s="14"/>
      <c r="CN2511" s="14"/>
      <c r="CO2511" s="14"/>
      <c r="CP2511" s="14"/>
      <c r="CQ2511" s="14"/>
      <c r="CR2511" s="14"/>
      <c r="CS2511" s="14"/>
      <c r="CT2511" s="14"/>
      <c r="CU2511" s="16"/>
      <c r="CV2511" s="14"/>
      <c r="CW2511" s="50"/>
      <c r="CX2511" s="17"/>
    </row>
    <row r="2512" spans="4:102" x14ac:dyDescent="0.25">
      <c r="D2512" s="11"/>
      <c r="E2512" s="11"/>
      <c r="F2512" s="11"/>
      <c r="G2512" s="11"/>
      <c r="H2512" s="11"/>
      <c r="I2512" s="11"/>
      <c r="J2512" s="11"/>
      <c r="K2512" s="11"/>
      <c r="L2512" s="11"/>
      <c r="M2512" s="11"/>
      <c r="N2512" s="11"/>
      <c r="O2512" s="11"/>
      <c r="P2512" s="43"/>
      <c r="Q2512" s="11"/>
      <c r="R2512" s="11"/>
      <c r="S2512" s="11"/>
      <c r="T2512" s="11"/>
      <c r="U2512" s="11"/>
      <c r="V2512" s="11"/>
      <c r="W2512" s="11"/>
      <c r="X2512" s="12"/>
      <c r="Y2512" s="12"/>
      <c r="Z2512" s="12"/>
      <c r="AA2512" s="44"/>
      <c r="AB2512" s="45"/>
      <c r="AC2512" s="12"/>
      <c r="AD2512" s="12"/>
      <c r="AE2512" s="12"/>
      <c r="AF2512" s="12"/>
      <c r="AG2512" s="44"/>
      <c r="AH2512" s="45"/>
      <c r="AI2512" s="12"/>
      <c r="AJ2512" s="12"/>
      <c r="AK2512" s="12"/>
      <c r="AL2512" s="12"/>
      <c r="AM2512" s="44"/>
      <c r="AN2512" s="45"/>
      <c r="AO2512" s="12"/>
      <c r="AP2512" s="12"/>
      <c r="AQ2512" s="12"/>
      <c r="AR2512" s="12"/>
      <c r="AS2512" s="44"/>
      <c r="AT2512" s="45"/>
      <c r="AU2512" s="12"/>
      <c r="AV2512" s="12"/>
      <c r="AW2512" s="12"/>
      <c r="AX2512" s="12"/>
      <c r="AY2512" s="44"/>
      <c r="AZ2512" s="45"/>
      <c r="BA2512" s="12"/>
      <c r="BB2512" s="12"/>
      <c r="BC2512" s="12"/>
      <c r="BD2512" s="12"/>
      <c r="BE2512" s="44"/>
      <c r="BF2512" s="45"/>
      <c r="BG2512" s="12"/>
      <c r="BH2512" s="12"/>
      <c r="BI2512" s="12"/>
      <c r="BJ2512" s="12"/>
      <c r="BK2512" s="44"/>
      <c r="BL2512" s="45"/>
      <c r="BM2512" s="12"/>
      <c r="BN2512" s="12"/>
      <c r="BO2512" s="12"/>
      <c r="BP2512" s="12"/>
      <c r="BQ2512" s="48"/>
      <c r="BR2512" s="49"/>
      <c r="BS2512" s="13"/>
      <c r="BT2512" s="12"/>
      <c r="BV2512" s="14"/>
      <c r="BW2512" s="50"/>
      <c r="BX2512" s="54"/>
      <c r="BY2512" s="14"/>
      <c r="BZ2512" s="14"/>
      <c r="CA2512" s="14"/>
      <c r="CB2512" s="14"/>
      <c r="CC2512" s="14"/>
      <c r="CD2512" s="14"/>
      <c r="CE2512" s="14"/>
      <c r="CF2512" s="15"/>
      <c r="CG2512" s="14"/>
      <c r="CH2512" s="14"/>
      <c r="CI2512" s="50"/>
      <c r="CJ2512" s="54"/>
      <c r="CK2512" s="14"/>
      <c r="CL2512" s="14"/>
      <c r="CM2512" s="14"/>
      <c r="CN2512" s="14"/>
      <c r="CO2512" s="14"/>
      <c r="CP2512" s="14"/>
      <c r="CQ2512" s="14"/>
      <c r="CR2512" s="14"/>
      <c r="CS2512" s="14"/>
      <c r="CT2512" s="14"/>
      <c r="CU2512" s="16"/>
      <c r="CV2512" s="14"/>
      <c r="CW2512" s="50"/>
      <c r="CX2512" s="17"/>
    </row>
    <row r="2513" spans="4:102" x14ac:dyDescent="0.25">
      <c r="D2513" s="11"/>
      <c r="E2513" s="11"/>
      <c r="F2513" s="11"/>
      <c r="G2513" s="11"/>
      <c r="H2513" s="11"/>
      <c r="I2513" s="11"/>
      <c r="J2513" s="11"/>
      <c r="K2513" s="11"/>
      <c r="L2513" s="11"/>
      <c r="M2513" s="11"/>
      <c r="N2513" s="11"/>
      <c r="O2513" s="11"/>
      <c r="P2513" s="43"/>
      <c r="Q2513" s="11"/>
      <c r="R2513" s="11"/>
      <c r="S2513" s="11"/>
      <c r="T2513" s="11"/>
      <c r="U2513" s="11"/>
      <c r="V2513" s="11"/>
      <c r="W2513" s="11"/>
      <c r="X2513" s="12"/>
      <c r="Y2513" s="12"/>
      <c r="Z2513" s="12"/>
      <c r="AA2513" s="44"/>
      <c r="AB2513" s="45"/>
      <c r="AC2513" s="12"/>
      <c r="AD2513" s="12"/>
      <c r="AE2513" s="12"/>
      <c r="AF2513" s="12"/>
      <c r="AG2513" s="44"/>
      <c r="AH2513" s="45"/>
      <c r="AI2513" s="12"/>
      <c r="AJ2513" s="12"/>
      <c r="AK2513" s="12"/>
      <c r="AL2513" s="12"/>
      <c r="AM2513" s="44"/>
      <c r="AN2513" s="45"/>
      <c r="AO2513" s="12"/>
      <c r="AP2513" s="12"/>
      <c r="AQ2513" s="12"/>
      <c r="AR2513" s="12"/>
      <c r="AS2513" s="44"/>
      <c r="AT2513" s="45"/>
      <c r="AU2513" s="12"/>
      <c r="AV2513" s="12"/>
      <c r="AW2513" s="12"/>
      <c r="AX2513" s="12"/>
      <c r="AY2513" s="44"/>
      <c r="AZ2513" s="45"/>
      <c r="BA2513" s="12"/>
      <c r="BB2513" s="12"/>
      <c r="BC2513" s="12"/>
      <c r="BD2513" s="12"/>
      <c r="BE2513" s="44"/>
      <c r="BF2513" s="45"/>
      <c r="BG2513" s="12"/>
      <c r="BH2513" s="12"/>
      <c r="BI2513" s="12"/>
      <c r="BJ2513" s="12"/>
      <c r="BK2513" s="44"/>
      <c r="BL2513" s="45"/>
      <c r="BM2513" s="12"/>
      <c r="BN2513" s="12"/>
      <c r="BO2513" s="12"/>
      <c r="BP2513" s="12"/>
      <c r="BQ2513" s="48"/>
      <c r="BR2513" s="49"/>
      <c r="BS2513" s="13"/>
      <c r="BT2513" s="12"/>
      <c r="BV2513" s="14"/>
      <c r="BW2513" s="50"/>
      <c r="BX2513" s="54"/>
      <c r="BY2513" s="14"/>
      <c r="BZ2513" s="14"/>
      <c r="CA2513" s="14"/>
      <c r="CB2513" s="14"/>
      <c r="CC2513" s="14"/>
      <c r="CD2513" s="14"/>
      <c r="CE2513" s="14"/>
      <c r="CF2513" s="15"/>
      <c r="CG2513" s="14"/>
      <c r="CH2513" s="14"/>
      <c r="CI2513" s="50"/>
      <c r="CJ2513" s="54"/>
      <c r="CK2513" s="14"/>
      <c r="CL2513" s="14"/>
      <c r="CM2513" s="14"/>
      <c r="CN2513" s="14"/>
      <c r="CO2513" s="14"/>
      <c r="CP2513" s="14"/>
      <c r="CQ2513" s="14"/>
      <c r="CR2513" s="14"/>
      <c r="CS2513" s="14"/>
      <c r="CT2513" s="14"/>
      <c r="CU2513" s="16"/>
      <c r="CV2513" s="14"/>
      <c r="CW2513" s="50"/>
      <c r="CX2513" s="17"/>
    </row>
    <row r="2514" spans="4:102" x14ac:dyDescent="0.25">
      <c r="D2514" s="11"/>
      <c r="E2514" s="11"/>
      <c r="F2514" s="11"/>
      <c r="G2514" s="11"/>
      <c r="H2514" s="11"/>
      <c r="I2514" s="11"/>
      <c r="J2514" s="11"/>
      <c r="K2514" s="11"/>
      <c r="L2514" s="11"/>
      <c r="M2514" s="11"/>
      <c r="N2514" s="11"/>
      <c r="O2514" s="11"/>
      <c r="P2514" s="43"/>
      <c r="Q2514" s="11"/>
      <c r="R2514" s="11"/>
      <c r="S2514" s="11"/>
      <c r="T2514" s="11"/>
      <c r="U2514" s="11"/>
      <c r="V2514" s="11"/>
      <c r="W2514" s="11"/>
      <c r="X2514" s="12"/>
      <c r="Y2514" s="12"/>
      <c r="Z2514" s="12"/>
      <c r="AA2514" s="44"/>
      <c r="AB2514" s="45"/>
      <c r="AC2514" s="12"/>
      <c r="AD2514" s="12"/>
      <c r="AE2514" s="12"/>
      <c r="AF2514" s="12"/>
      <c r="AG2514" s="44"/>
      <c r="AH2514" s="45"/>
      <c r="AI2514" s="12"/>
      <c r="AJ2514" s="12"/>
      <c r="AK2514" s="12"/>
      <c r="AL2514" s="12"/>
      <c r="AM2514" s="44"/>
      <c r="AN2514" s="45"/>
      <c r="AO2514" s="12"/>
      <c r="AP2514" s="12"/>
      <c r="AQ2514" s="12"/>
      <c r="AR2514" s="12"/>
      <c r="AS2514" s="44"/>
      <c r="AT2514" s="45"/>
      <c r="AU2514" s="12"/>
      <c r="AV2514" s="12"/>
      <c r="AW2514" s="12"/>
      <c r="AX2514" s="12"/>
      <c r="AY2514" s="44"/>
      <c r="AZ2514" s="45"/>
      <c r="BA2514" s="12"/>
      <c r="BB2514" s="12"/>
      <c r="BC2514" s="12"/>
      <c r="BD2514" s="12"/>
      <c r="BE2514" s="44"/>
      <c r="BF2514" s="45"/>
      <c r="BG2514" s="12"/>
      <c r="BH2514" s="12"/>
      <c r="BI2514" s="12"/>
      <c r="BJ2514" s="12"/>
      <c r="BK2514" s="44"/>
      <c r="BL2514" s="45"/>
      <c r="BM2514" s="12"/>
      <c r="BN2514" s="12"/>
      <c r="BO2514" s="12"/>
      <c r="BP2514" s="12"/>
      <c r="BQ2514" s="48"/>
      <c r="BR2514" s="49"/>
      <c r="BS2514" s="13"/>
      <c r="BT2514" s="12"/>
      <c r="BV2514" s="14"/>
      <c r="BW2514" s="50"/>
      <c r="BX2514" s="54"/>
      <c r="BY2514" s="14"/>
      <c r="BZ2514" s="14"/>
      <c r="CA2514" s="14"/>
      <c r="CB2514" s="14"/>
      <c r="CC2514" s="14"/>
      <c r="CD2514" s="14"/>
      <c r="CE2514" s="14"/>
      <c r="CF2514" s="15"/>
      <c r="CG2514" s="14"/>
      <c r="CH2514" s="14"/>
      <c r="CI2514" s="50"/>
      <c r="CJ2514" s="54"/>
      <c r="CK2514" s="14"/>
      <c r="CL2514" s="14"/>
      <c r="CM2514" s="14"/>
      <c r="CN2514" s="14"/>
      <c r="CO2514" s="14"/>
      <c r="CP2514" s="14"/>
      <c r="CQ2514" s="14"/>
      <c r="CR2514" s="14"/>
      <c r="CS2514" s="14"/>
      <c r="CT2514" s="14"/>
      <c r="CU2514" s="16"/>
      <c r="CV2514" s="14"/>
      <c r="CW2514" s="50"/>
      <c r="CX2514" s="17"/>
    </row>
    <row r="2515" spans="4:102" x14ac:dyDescent="0.25">
      <c r="D2515" s="11"/>
      <c r="E2515" s="11"/>
      <c r="F2515" s="11"/>
      <c r="G2515" s="11"/>
      <c r="H2515" s="11"/>
      <c r="I2515" s="11"/>
      <c r="J2515" s="11"/>
      <c r="K2515" s="11"/>
      <c r="L2515" s="11"/>
      <c r="M2515" s="11"/>
      <c r="N2515" s="11"/>
      <c r="O2515" s="11"/>
      <c r="P2515" s="43"/>
      <c r="Q2515" s="11"/>
      <c r="R2515" s="11"/>
      <c r="S2515" s="11"/>
      <c r="T2515" s="11"/>
      <c r="U2515" s="11"/>
      <c r="V2515" s="11"/>
      <c r="W2515" s="11"/>
      <c r="X2515" s="12"/>
      <c r="Y2515" s="12"/>
      <c r="Z2515" s="12"/>
      <c r="AA2515" s="44"/>
      <c r="AB2515" s="45"/>
      <c r="AC2515" s="12"/>
      <c r="AD2515" s="12"/>
      <c r="AE2515" s="12"/>
      <c r="AF2515" s="12"/>
      <c r="AG2515" s="44"/>
      <c r="AH2515" s="45"/>
      <c r="AI2515" s="12"/>
      <c r="AJ2515" s="12"/>
      <c r="AK2515" s="12"/>
      <c r="AL2515" s="12"/>
      <c r="AM2515" s="44"/>
      <c r="AN2515" s="45"/>
      <c r="AO2515" s="12"/>
      <c r="AP2515" s="12"/>
      <c r="AQ2515" s="12"/>
      <c r="AR2515" s="12"/>
      <c r="AS2515" s="44"/>
      <c r="AT2515" s="45"/>
      <c r="AU2515" s="12"/>
      <c r="AV2515" s="12"/>
      <c r="AW2515" s="12"/>
      <c r="AX2515" s="12"/>
      <c r="AY2515" s="44"/>
      <c r="AZ2515" s="45"/>
      <c r="BA2515" s="12"/>
      <c r="BB2515" s="12"/>
      <c r="BC2515" s="12"/>
      <c r="BD2515" s="12"/>
      <c r="BE2515" s="44"/>
      <c r="BF2515" s="45"/>
      <c r="BG2515" s="12"/>
      <c r="BH2515" s="12"/>
      <c r="BI2515" s="12"/>
      <c r="BJ2515" s="12"/>
      <c r="BK2515" s="44"/>
      <c r="BL2515" s="45"/>
      <c r="BM2515" s="12"/>
      <c r="BN2515" s="12"/>
      <c r="BO2515" s="12"/>
      <c r="BP2515" s="12"/>
      <c r="BQ2515" s="48"/>
      <c r="BR2515" s="49"/>
      <c r="BS2515" s="13"/>
      <c r="BT2515" s="12"/>
      <c r="BV2515" s="14"/>
      <c r="BW2515" s="50"/>
      <c r="BX2515" s="54"/>
      <c r="BY2515" s="14"/>
      <c r="BZ2515" s="14"/>
      <c r="CA2515" s="14"/>
      <c r="CB2515" s="14"/>
      <c r="CC2515" s="14"/>
      <c r="CD2515" s="14"/>
      <c r="CE2515" s="14"/>
      <c r="CF2515" s="15"/>
      <c r="CG2515" s="14"/>
      <c r="CH2515" s="14"/>
      <c r="CI2515" s="50"/>
      <c r="CJ2515" s="54"/>
      <c r="CK2515" s="14"/>
      <c r="CL2515" s="14"/>
      <c r="CM2515" s="14"/>
      <c r="CN2515" s="14"/>
      <c r="CO2515" s="14"/>
      <c r="CP2515" s="14"/>
      <c r="CQ2515" s="14"/>
      <c r="CR2515" s="14"/>
      <c r="CS2515" s="14"/>
      <c r="CT2515" s="14"/>
      <c r="CU2515" s="16"/>
      <c r="CV2515" s="14"/>
      <c r="CW2515" s="50"/>
      <c r="CX2515" s="17"/>
    </row>
    <row r="2516" spans="4:102" x14ac:dyDescent="0.25">
      <c r="D2516" s="11"/>
      <c r="E2516" s="11"/>
      <c r="F2516" s="11"/>
      <c r="G2516" s="11"/>
      <c r="H2516" s="11"/>
      <c r="I2516" s="11"/>
      <c r="J2516" s="11"/>
      <c r="K2516" s="11"/>
      <c r="L2516" s="11"/>
      <c r="M2516" s="11"/>
      <c r="N2516" s="11"/>
      <c r="O2516" s="11"/>
      <c r="P2516" s="43"/>
      <c r="Q2516" s="11"/>
      <c r="R2516" s="11"/>
      <c r="S2516" s="11"/>
      <c r="T2516" s="11"/>
      <c r="U2516" s="11"/>
      <c r="V2516" s="11"/>
      <c r="W2516" s="11"/>
      <c r="X2516" s="12"/>
      <c r="Y2516" s="12"/>
      <c r="Z2516" s="12"/>
      <c r="AA2516" s="44"/>
      <c r="AB2516" s="45"/>
      <c r="AC2516" s="12"/>
      <c r="AD2516" s="12"/>
      <c r="AE2516" s="12"/>
      <c r="AF2516" s="12"/>
      <c r="AG2516" s="44"/>
      <c r="AH2516" s="45"/>
      <c r="AI2516" s="12"/>
      <c r="AJ2516" s="12"/>
      <c r="AK2516" s="12"/>
      <c r="AL2516" s="12"/>
      <c r="AM2516" s="44"/>
      <c r="AN2516" s="45"/>
      <c r="AO2516" s="12"/>
      <c r="AP2516" s="12"/>
      <c r="AQ2516" s="12"/>
      <c r="AR2516" s="12"/>
      <c r="AS2516" s="44"/>
      <c r="AT2516" s="45"/>
      <c r="AU2516" s="12"/>
      <c r="AV2516" s="12"/>
      <c r="AW2516" s="12"/>
      <c r="AX2516" s="12"/>
      <c r="AY2516" s="44"/>
      <c r="AZ2516" s="45"/>
      <c r="BA2516" s="12"/>
      <c r="BB2516" s="12"/>
      <c r="BC2516" s="12"/>
      <c r="BD2516" s="12"/>
      <c r="BE2516" s="44"/>
      <c r="BF2516" s="45"/>
      <c r="BG2516" s="12"/>
      <c r="BH2516" s="12"/>
      <c r="BI2516" s="12"/>
      <c r="BJ2516" s="12"/>
      <c r="BK2516" s="44"/>
      <c r="BL2516" s="45"/>
      <c r="BM2516" s="12"/>
      <c r="BN2516" s="12"/>
      <c r="BO2516" s="12"/>
      <c r="BP2516" s="12"/>
      <c r="BQ2516" s="48"/>
      <c r="BR2516" s="49"/>
      <c r="BS2516" s="13"/>
      <c r="BT2516" s="12"/>
      <c r="BV2516" s="14"/>
      <c r="BW2516" s="50"/>
      <c r="BX2516" s="54"/>
      <c r="BY2516" s="14"/>
      <c r="BZ2516" s="14"/>
      <c r="CA2516" s="14"/>
      <c r="CB2516" s="14"/>
      <c r="CC2516" s="14"/>
      <c r="CD2516" s="14"/>
      <c r="CE2516" s="14"/>
      <c r="CF2516" s="15"/>
      <c r="CG2516" s="14"/>
      <c r="CH2516" s="14"/>
      <c r="CI2516" s="50"/>
      <c r="CJ2516" s="54"/>
      <c r="CK2516" s="14"/>
      <c r="CL2516" s="14"/>
      <c r="CM2516" s="14"/>
      <c r="CN2516" s="14"/>
      <c r="CO2516" s="14"/>
      <c r="CP2516" s="14"/>
      <c r="CQ2516" s="14"/>
      <c r="CR2516" s="14"/>
      <c r="CS2516" s="14"/>
      <c r="CT2516" s="14"/>
      <c r="CU2516" s="16"/>
      <c r="CV2516" s="14"/>
      <c r="CW2516" s="50"/>
      <c r="CX2516" s="17"/>
    </row>
    <row r="2517" spans="4:102" x14ac:dyDescent="0.25">
      <c r="D2517" s="11"/>
      <c r="E2517" s="11"/>
      <c r="F2517" s="11"/>
      <c r="G2517" s="11"/>
      <c r="H2517" s="11"/>
      <c r="I2517" s="11"/>
      <c r="J2517" s="11"/>
      <c r="K2517" s="11"/>
      <c r="L2517" s="11"/>
      <c r="M2517" s="11"/>
      <c r="N2517" s="11"/>
      <c r="O2517" s="11"/>
      <c r="P2517" s="43"/>
      <c r="Q2517" s="11"/>
      <c r="R2517" s="11"/>
      <c r="S2517" s="11"/>
      <c r="T2517" s="11"/>
      <c r="U2517" s="11"/>
      <c r="V2517" s="11"/>
      <c r="W2517" s="11"/>
      <c r="X2517" s="12"/>
      <c r="Y2517" s="12"/>
      <c r="Z2517" s="12"/>
      <c r="AA2517" s="44"/>
      <c r="AB2517" s="45"/>
      <c r="AC2517" s="12"/>
      <c r="AD2517" s="12"/>
      <c r="AE2517" s="12"/>
      <c r="AF2517" s="12"/>
      <c r="AG2517" s="44"/>
      <c r="AH2517" s="45"/>
      <c r="AI2517" s="12"/>
      <c r="AJ2517" s="12"/>
      <c r="AK2517" s="12"/>
      <c r="AL2517" s="12"/>
      <c r="AM2517" s="44"/>
      <c r="AN2517" s="45"/>
      <c r="AO2517" s="12"/>
      <c r="AP2517" s="12"/>
      <c r="AQ2517" s="12"/>
      <c r="AR2517" s="12"/>
      <c r="AS2517" s="44"/>
      <c r="AT2517" s="45"/>
      <c r="AU2517" s="12"/>
      <c r="AV2517" s="12"/>
      <c r="AW2517" s="12"/>
      <c r="AX2517" s="12"/>
      <c r="AY2517" s="44"/>
      <c r="AZ2517" s="45"/>
      <c r="BA2517" s="12"/>
      <c r="BB2517" s="12"/>
      <c r="BC2517" s="12"/>
      <c r="BD2517" s="12"/>
      <c r="BE2517" s="44"/>
      <c r="BF2517" s="45"/>
      <c r="BG2517" s="12"/>
      <c r="BH2517" s="12"/>
      <c r="BI2517" s="12"/>
      <c r="BJ2517" s="12"/>
      <c r="BK2517" s="44"/>
      <c r="BL2517" s="45"/>
      <c r="BM2517" s="12"/>
      <c r="BN2517" s="12"/>
      <c r="BO2517" s="12"/>
      <c r="BP2517" s="12"/>
      <c r="BQ2517" s="48"/>
      <c r="BR2517" s="49"/>
      <c r="BS2517" s="13"/>
      <c r="BT2517" s="12"/>
      <c r="BV2517" s="14"/>
      <c r="BW2517" s="50"/>
      <c r="BX2517" s="54"/>
      <c r="BY2517" s="14"/>
      <c r="BZ2517" s="14"/>
      <c r="CA2517" s="14"/>
      <c r="CB2517" s="14"/>
      <c r="CC2517" s="14"/>
      <c r="CD2517" s="14"/>
      <c r="CE2517" s="14"/>
      <c r="CF2517" s="15"/>
      <c r="CG2517" s="14"/>
      <c r="CH2517" s="14"/>
      <c r="CI2517" s="50"/>
      <c r="CJ2517" s="54"/>
      <c r="CK2517" s="14"/>
      <c r="CL2517" s="14"/>
      <c r="CM2517" s="14"/>
      <c r="CN2517" s="14"/>
      <c r="CO2517" s="14"/>
      <c r="CP2517" s="14"/>
      <c r="CQ2517" s="14"/>
      <c r="CR2517" s="14"/>
      <c r="CS2517" s="14"/>
      <c r="CT2517" s="14"/>
      <c r="CU2517" s="16"/>
      <c r="CV2517" s="14"/>
      <c r="CW2517" s="50"/>
      <c r="CX2517" s="17"/>
    </row>
    <row r="2518" spans="4:102" x14ac:dyDescent="0.25">
      <c r="D2518" s="11"/>
      <c r="E2518" s="11"/>
      <c r="F2518" s="11"/>
      <c r="G2518" s="11"/>
      <c r="H2518" s="11"/>
      <c r="I2518" s="11"/>
      <c r="J2518" s="11"/>
      <c r="K2518" s="11"/>
      <c r="L2518" s="11"/>
      <c r="M2518" s="11"/>
      <c r="N2518" s="11"/>
      <c r="O2518" s="11"/>
      <c r="P2518" s="43"/>
      <c r="Q2518" s="11"/>
      <c r="R2518" s="11"/>
      <c r="S2518" s="11"/>
      <c r="T2518" s="11"/>
      <c r="U2518" s="11"/>
      <c r="V2518" s="11"/>
      <c r="W2518" s="11"/>
      <c r="X2518" s="12"/>
      <c r="Y2518" s="12"/>
      <c r="Z2518" s="12"/>
      <c r="AA2518" s="44"/>
      <c r="AB2518" s="45"/>
      <c r="AC2518" s="12"/>
      <c r="AD2518" s="12"/>
      <c r="AE2518" s="12"/>
      <c r="AF2518" s="12"/>
      <c r="AG2518" s="44"/>
      <c r="AH2518" s="45"/>
      <c r="AI2518" s="12"/>
      <c r="AJ2518" s="12"/>
      <c r="AK2518" s="12"/>
      <c r="AL2518" s="12"/>
      <c r="AM2518" s="44"/>
      <c r="AN2518" s="45"/>
      <c r="AO2518" s="12"/>
      <c r="AP2518" s="12"/>
      <c r="AQ2518" s="12"/>
      <c r="AR2518" s="12"/>
      <c r="AS2518" s="44"/>
      <c r="AT2518" s="45"/>
      <c r="AU2518" s="12"/>
      <c r="AV2518" s="12"/>
      <c r="AW2518" s="12"/>
      <c r="AX2518" s="12"/>
      <c r="AY2518" s="44"/>
      <c r="AZ2518" s="45"/>
      <c r="BA2518" s="12"/>
      <c r="BB2518" s="12"/>
      <c r="BC2518" s="12"/>
      <c r="BD2518" s="12"/>
      <c r="BE2518" s="44"/>
      <c r="BF2518" s="45"/>
      <c r="BG2518" s="12"/>
      <c r="BH2518" s="12"/>
      <c r="BI2518" s="12"/>
      <c r="BJ2518" s="12"/>
      <c r="BK2518" s="44"/>
      <c r="BL2518" s="45"/>
      <c r="BM2518" s="12"/>
      <c r="BN2518" s="12"/>
      <c r="BO2518" s="12"/>
      <c r="BP2518" s="12"/>
      <c r="BQ2518" s="48"/>
      <c r="BR2518" s="49"/>
      <c r="BS2518" s="13"/>
      <c r="BT2518" s="12"/>
      <c r="BV2518" s="14"/>
      <c r="BW2518" s="50"/>
      <c r="BX2518" s="54"/>
      <c r="BY2518" s="14"/>
      <c r="BZ2518" s="14"/>
      <c r="CA2518" s="14"/>
      <c r="CB2518" s="14"/>
      <c r="CC2518" s="14"/>
      <c r="CD2518" s="14"/>
      <c r="CE2518" s="14"/>
      <c r="CF2518" s="15"/>
      <c r="CG2518" s="14"/>
      <c r="CH2518" s="14"/>
      <c r="CI2518" s="50"/>
      <c r="CJ2518" s="54"/>
      <c r="CK2518" s="14"/>
      <c r="CL2518" s="14"/>
      <c r="CM2518" s="14"/>
      <c r="CN2518" s="14"/>
      <c r="CO2518" s="14"/>
      <c r="CP2518" s="14"/>
      <c r="CQ2518" s="14"/>
      <c r="CR2518" s="14"/>
      <c r="CS2518" s="14"/>
      <c r="CT2518" s="14"/>
      <c r="CU2518" s="16"/>
      <c r="CV2518" s="14"/>
      <c r="CW2518" s="50"/>
      <c r="CX2518" s="17"/>
    </row>
    <row r="2519" spans="4:102" x14ac:dyDescent="0.25">
      <c r="D2519" s="11"/>
      <c r="E2519" s="11"/>
      <c r="F2519" s="11"/>
      <c r="G2519" s="11"/>
      <c r="H2519" s="11"/>
      <c r="I2519" s="11"/>
      <c r="J2519" s="11"/>
      <c r="K2519" s="11"/>
      <c r="L2519" s="11"/>
      <c r="M2519" s="11"/>
      <c r="N2519" s="11"/>
      <c r="O2519" s="11"/>
      <c r="P2519" s="43"/>
      <c r="Q2519" s="11"/>
      <c r="R2519" s="11"/>
      <c r="S2519" s="11"/>
      <c r="T2519" s="11"/>
      <c r="U2519" s="11"/>
      <c r="V2519" s="11"/>
      <c r="W2519" s="11"/>
      <c r="X2519" s="12"/>
      <c r="Y2519" s="12"/>
      <c r="Z2519" s="12"/>
      <c r="AA2519" s="44"/>
      <c r="AB2519" s="45"/>
      <c r="AC2519" s="12"/>
      <c r="AD2519" s="12"/>
      <c r="AE2519" s="12"/>
      <c r="AF2519" s="12"/>
      <c r="AG2519" s="44"/>
      <c r="AH2519" s="45"/>
      <c r="AI2519" s="12"/>
      <c r="AJ2519" s="12"/>
      <c r="AK2519" s="12"/>
      <c r="AL2519" s="12"/>
      <c r="AM2519" s="44"/>
      <c r="AN2519" s="45"/>
      <c r="AO2519" s="12"/>
      <c r="AP2519" s="12"/>
      <c r="AQ2519" s="12"/>
      <c r="AR2519" s="12"/>
      <c r="AS2519" s="44"/>
      <c r="AT2519" s="45"/>
      <c r="AU2519" s="12"/>
      <c r="AV2519" s="12"/>
      <c r="AW2519" s="12"/>
      <c r="AX2519" s="12"/>
      <c r="AY2519" s="44"/>
      <c r="AZ2519" s="45"/>
      <c r="BA2519" s="12"/>
      <c r="BB2519" s="12"/>
      <c r="BC2519" s="12"/>
      <c r="BD2519" s="12"/>
      <c r="BE2519" s="44"/>
      <c r="BF2519" s="45"/>
      <c r="BG2519" s="12"/>
      <c r="BH2519" s="12"/>
      <c r="BI2519" s="12"/>
      <c r="BJ2519" s="12"/>
      <c r="BK2519" s="44"/>
      <c r="BL2519" s="45"/>
      <c r="BM2519" s="12"/>
      <c r="BN2519" s="12"/>
      <c r="BO2519" s="12"/>
      <c r="BP2519" s="12"/>
      <c r="BQ2519" s="48"/>
      <c r="BR2519" s="49"/>
      <c r="BS2519" s="13"/>
      <c r="BT2519" s="12"/>
      <c r="BV2519" s="14"/>
      <c r="BW2519" s="50"/>
      <c r="BX2519" s="54"/>
      <c r="BY2519" s="14"/>
      <c r="BZ2519" s="14"/>
      <c r="CA2519" s="14"/>
      <c r="CB2519" s="14"/>
      <c r="CC2519" s="14"/>
      <c r="CD2519" s="14"/>
      <c r="CE2519" s="14"/>
      <c r="CF2519" s="15"/>
      <c r="CG2519" s="14"/>
      <c r="CH2519" s="14"/>
      <c r="CI2519" s="50"/>
      <c r="CJ2519" s="54"/>
      <c r="CK2519" s="14"/>
      <c r="CL2519" s="14"/>
      <c r="CM2519" s="14"/>
      <c r="CN2519" s="14"/>
      <c r="CO2519" s="14"/>
      <c r="CP2519" s="14"/>
      <c r="CQ2519" s="14"/>
      <c r="CR2519" s="14"/>
      <c r="CS2519" s="14"/>
      <c r="CT2519" s="14"/>
      <c r="CU2519" s="16"/>
      <c r="CV2519" s="14"/>
      <c r="CW2519" s="50"/>
      <c r="CX2519" s="17"/>
    </row>
    <row r="2520" spans="4:102" x14ac:dyDescent="0.25">
      <c r="D2520" s="11"/>
      <c r="E2520" s="11"/>
      <c r="F2520" s="11"/>
      <c r="G2520" s="11"/>
      <c r="H2520" s="11"/>
      <c r="I2520" s="11"/>
      <c r="J2520" s="11"/>
      <c r="K2520" s="11"/>
      <c r="L2520" s="11"/>
      <c r="M2520" s="11"/>
      <c r="N2520" s="11"/>
      <c r="O2520" s="11"/>
      <c r="P2520" s="43"/>
      <c r="Q2520" s="11"/>
      <c r="R2520" s="11"/>
      <c r="S2520" s="11"/>
      <c r="T2520" s="11"/>
      <c r="U2520" s="11"/>
      <c r="V2520" s="11"/>
      <c r="W2520" s="11"/>
      <c r="X2520" s="12"/>
      <c r="Y2520" s="12"/>
      <c r="Z2520" s="12"/>
      <c r="AA2520" s="44"/>
      <c r="AB2520" s="45"/>
      <c r="AC2520" s="12"/>
      <c r="AD2520" s="12"/>
      <c r="AE2520" s="12"/>
      <c r="AF2520" s="12"/>
      <c r="AG2520" s="44"/>
      <c r="AH2520" s="45"/>
      <c r="AI2520" s="12"/>
      <c r="AJ2520" s="12"/>
      <c r="AK2520" s="12"/>
      <c r="AL2520" s="12"/>
      <c r="AM2520" s="44"/>
      <c r="AN2520" s="45"/>
      <c r="AO2520" s="12"/>
      <c r="AP2520" s="12"/>
      <c r="AQ2520" s="12"/>
      <c r="AR2520" s="12"/>
      <c r="AS2520" s="44"/>
      <c r="AT2520" s="45"/>
      <c r="AU2520" s="12"/>
      <c r="AV2520" s="12"/>
      <c r="AW2520" s="12"/>
      <c r="AX2520" s="12"/>
      <c r="AY2520" s="44"/>
      <c r="AZ2520" s="45"/>
      <c r="BA2520" s="12"/>
      <c r="BB2520" s="12"/>
      <c r="BC2520" s="12"/>
      <c r="BD2520" s="12"/>
      <c r="BE2520" s="44"/>
      <c r="BF2520" s="45"/>
      <c r="BG2520" s="12"/>
      <c r="BH2520" s="12"/>
      <c r="BI2520" s="12"/>
      <c r="BJ2520" s="12"/>
      <c r="BK2520" s="44"/>
      <c r="BL2520" s="45"/>
      <c r="BM2520" s="12"/>
      <c r="BN2520" s="12"/>
      <c r="BO2520" s="12"/>
      <c r="BP2520" s="12"/>
      <c r="BQ2520" s="48"/>
      <c r="BR2520" s="49"/>
      <c r="BS2520" s="13"/>
      <c r="BT2520" s="12"/>
      <c r="BV2520" s="14"/>
      <c r="BW2520" s="50"/>
      <c r="BX2520" s="54"/>
      <c r="BY2520" s="14"/>
      <c r="BZ2520" s="14"/>
      <c r="CA2520" s="14"/>
      <c r="CB2520" s="14"/>
      <c r="CC2520" s="14"/>
      <c r="CD2520" s="14"/>
      <c r="CE2520" s="14"/>
      <c r="CF2520" s="15"/>
      <c r="CG2520" s="14"/>
      <c r="CH2520" s="14"/>
      <c r="CI2520" s="50"/>
      <c r="CJ2520" s="54"/>
      <c r="CK2520" s="14"/>
      <c r="CL2520" s="14"/>
      <c r="CM2520" s="14"/>
      <c r="CN2520" s="14"/>
      <c r="CO2520" s="14"/>
      <c r="CP2520" s="14"/>
      <c r="CQ2520" s="14"/>
      <c r="CR2520" s="14"/>
      <c r="CS2520" s="14"/>
      <c r="CT2520" s="14"/>
      <c r="CU2520" s="16"/>
      <c r="CV2520" s="14"/>
      <c r="CW2520" s="50"/>
      <c r="CX2520" s="17"/>
    </row>
    <row r="2521" spans="4:102" x14ac:dyDescent="0.25">
      <c r="D2521" s="11"/>
      <c r="E2521" s="11"/>
      <c r="F2521" s="11"/>
      <c r="G2521" s="11"/>
      <c r="H2521" s="11"/>
      <c r="I2521" s="11"/>
      <c r="J2521" s="11"/>
      <c r="K2521" s="11"/>
      <c r="L2521" s="11"/>
      <c r="M2521" s="11"/>
      <c r="N2521" s="11"/>
      <c r="O2521" s="11"/>
      <c r="P2521" s="43"/>
      <c r="Q2521" s="11"/>
      <c r="R2521" s="11"/>
      <c r="S2521" s="11"/>
      <c r="T2521" s="11"/>
      <c r="U2521" s="11"/>
      <c r="V2521" s="11"/>
      <c r="W2521" s="11"/>
      <c r="X2521" s="12"/>
      <c r="Y2521" s="12"/>
      <c r="Z2521" s="12"/>
      <c r="AA2521" s="44"/>
      <c r="AB2521" s="45"/>
      <c r="AC2521" s="12"/>
      <c r="AD2521" s="12"/>
      <c r="AE2521" s="12"/>
      <c r="AF2521" s="12"/>
      <c r="AG2521" s="44"/>
      <c r="AH2521" s="45"/>
      <c r="AI2521" s="12"/>
      <c r="AJ2521" s="12"/>
      <c r="AK2521" s="12"/>
      <c r="AL2521" s="12"/>
      <c r="AM2521" s="44"/>
      <c r="AN2521" s="45"/>
      <c r="AO2521" s="12"/>
      <c r="AP2521" s="12"/>
      <c r="AQ2521" s="12"/>
      <c r="AR2521" s="12"/>
      <c r="AS2521" s="44"/>
      <c r="AT2521" s="45"/>
      <c r="AU2521" s="12"/>
      <c r="AV2521" s="12"/>
      <c r="AW2521" s="12"/>
      <c r="AX2521" s="12"/>
      <c r="AY2521" s="44"/>
      <c r="AZ2521" s="45"/>
      <c r="BA2521" s="12"/>
      <c r="BB2521" s="12"/>
      <c r="BC2521" s="12"/>
      <c r="BD2521" s="12"/>
      <c r="BE2521" s="44"/>
      <c r="BF2521" s="45"/>
      <c r="BG2521" s="12"/>
      <c r="BH2521" s="12"/>
      <c r="BI2521" s="12"/>
      <c r="BJ2521" s="12"/>
      <c r="BK2521" s="44"/>
      <c r="BL2521" s="45"/>
      <c r="BM2521" s="12"/>
      <c r="BN2521" s="12"/>
      <c r="BO2521" s="12"/>
      <c r="BP2521" s="12"/>
      <c r="BQ2521" s="48"/>
      <c r="BR2521" s="49"/>
      <c r="BS2521" s="13"/>
      <c r="BT2521" s="12"/>
      <c r="BV2521" s="14"/>
      <c r="BW2521" s="50"/>
      <c r="BX2521" s="54"/>
      <c r="BY2521" s="14"/>
      <c r="BZ2521" s="14"/>
      <c r="CA2521" s="14"/>
      <c r="CB2521" s="14"/>
      <c r="CC2521" s="14"/>
      <c r="CD2521" s="14"/>
      <c r="CE2521" s="14"/>
      <c r="CF2521" s="15"/>
      <c r="CG2521" s="14"/>
      <c r="CH2521" s="14"/>
      <c r="CI2521" s="50"/>
      <c r="CJ2521" s="54"/>
      <c r="CK2521" s="14"/>
      <c r="CL2521" s="14"/>
      <c r="CM2521" s="14"/>
      <c r="CN2521" s="14"/>
      <c r="CO2521" s="14"/>
      <c r="CP2521" s="14"/>
      <c r="CQ2521" s="14"/>
      <c r="CR2521" s="14"/>
      <c r="CS2521" s="14"/>
      <c r="CT2521" s="14"/>
      <c r="CU2521" s="16"/>
      <c r="CV2521" s="14"/>
      <c r="CW2521" s="50"/>
      <c r="CX2521" s="17"/>
    </row>
    <row r="2522" spans="4:102" x14ac:dyDescent="0.25">
      <c r="D2522" s="11"/>
      <c r="E2522" s="11"/>
      <c r="F2522" s="11"/>
      <c r="G2522" s="11"/>
      <c r="H2522" s="11"/>
      <c r="I2522" s="11"/>
      <c r="J2522" s="11"/>
      <c r="K2522" s="11"/>
      <c r="L2522" s="11"/>
      <c r="M2522" s="11"/>
      <c r="N2522" s="11"/>
      <c r="O2522" s="11"/>
      <c r="P2522" s="43"/>
      <c r="Q2522" s="11"/>
      <c r="R2522" s="11"/>
      <c r="S2522" s="11"/>
      <c r="T2522" s="11"/>
      <c r="U2522" s="11"/>
      <c r="V2522" s="11"/>
      <c r="W2522" s="11"/>
      <c r="X2522" s="12"/>
      <c r="Y2522" s="12"/>
      <c r="Z2522" s="12"/>
      <c r="AA2522" s="44"/>
      <c r="AB2522" s="45"/>
      <c r="AC2522" s="12"/>
      <c r="AD2522" s="12"/>
      <c r="AE2522" s="12"/>
      <c r="AF2522" s="12"/>
      <c r="AG2522" s="44"/>
      <c r="AH2522" s="45"/>
      <c r="AI2522" s="12"/>
      <c r="AJ2522" s="12"/>
      <c r="AK2522" s="12"/>
      <c r="AL2522" s="12"/>
      <c r="AM2522" s="44"/>
      <c r="AN2522" s="45"/>
      <c r="AO2522" s="12"/>
      <c r="AP2522" s="12"/>
      <c r="AQ2522" s="12"/>
      <c r="AR2522" s="12"/>
      <c r="AS2522" s="44"/>
      <c r="AT2522" s="45"/>
      <c r="AU2522" s="12"/>
      <c r="AV2522" s="12"/>
      <c r="AW2522" s="12"/>
      <c r="AX2522" s="12"/>
      <c r="AY2522" s="44"/>
      <c r="AZ2522" s="45"/>
      <c r="BA2522" s="12"/>
      <c r="BB2522" s="12"/>
      <c r="BC2522" s="12"/>
      <c r="BD2522" s="12"/>
      <c r="BE2522" s="44"/>
      <c r="BF2522" s="45"/>
      <c r="BG2522" s="12"/>
      <c r="BH2522" s="12"/>
      <c r="BI2522" s="12"/>
      <c r="BJ2522" s="12"/>
      <c r="BK2522" s="44"/>
      <c r="BL2522" s="45"/>
      <c r="BM2522" s="12"/>
      <c r="BN2522" s="12"/>
      <c r="BO2522" s="12"/>
      <c r="BP2522" s="12"/>
      <c r="BQ2522" s="48"/>
      <c r="BR2522" s="49"/>
      <c r="BS2522" s="13"/>
      <c r="BT2522" s="12"/>
      <c r="BV2522" s="14"/>
      <c r="BW2522" s="50"/>
      <c r="BX2522" s="54"/>
      <c r="BY2522" s="14"/>
      <c r="BZ2522" s="14"/>
      <c r="CA2522" s="14"/>
      <c r="CB2522" s="14"/>
      <c r="CC2522" s="14"/>
      <c r="CD2522" s="14"/>
      <c r="CE2522" s="14"/>
      <c r="CF2522" s="15"/>
      <c r="CG2522" s="14"/>
      <c r="CH2522" s="14"/>
      <c r="CI2522" s="50"/>
      <c r="CJ2522" s="54"/>
      <c r="CK2522" s="14"/>
      <c r="CL2522" s="14"/>
      <c r="CM2522" s="14"/>
      <c r="CN2522" s="14"/>
      <c r="CO2522" s="14"/>
      <c r="CP2522" s="14"/>
      <c r="CQ2522" s="14"/>
      <c r="CR2522" s="14"/>
      <c r="CS2522" s="14"/>
      <c r="CT2522" s="14"/>
      <c r="CU2522" s="16"/>
      <c r="CV2522" s="14"/>
      <c r="CW2522" s="50"/>
      <c r="CX2522" s="17"/>
    </row>
    <row r="2523" spans="4:102" x14ac:dyDescent="0.25">
      <c r="D2523" s="11"/>
      <c r="E2523" s="11"/>
      <c r="F2523" s="11"/>
      <c r="G2523" s="11"/>
      <c r="H2523" s="11"/>
      <c r="I2523" s="11"/>
      <c r="J2523" s="11"/>
      <c r="K2523" s="11"/>
      <c r="L2523" s="11"/>
      <c r="M2523" s="11"/>
      <c r="N2523" s="11"/>
      <c r="O2523" s="11"/>
      <c r="P2523" s="43"/>
      <c r="Q2523" s="11"/>
      <c r="R2523" s="11"/>
      <c r="S2523" s="11"/>
      <c r="T2523" s="11"/>
      <c r="U2523" s="11"/>
      <c r="V2523" s="11"/>
      <c r="W2523" s="11"/>
      <c r="X2523" s="12"/>
      <c r="Y2523" s="12"/>
      <c r="Z2523" s="12"/>
      <c r="AA2523" s="44"/>
      <c r="AB2523" s="45"/>
      <c r="AC2523" s="12"/>
      <c r="AD2523" s="12"/>
      <c r="AE2523" s="12"/>
      <c r="AF2523" s="12"/>
      <c r="AG2523" s="44"/>
      <c r="AH2523" s="45"/>
      <c r="AI2523" s="12"/>
      <c r="AJ2523" s="12"/>
      <c r="AK2523" s="12"/>
      <c r="AL2523" s="12"/>
      <c r="AM2523" s="44"/>
      <c r="AN2523" s="45"/>
      <c r="AO2523" s="12"/>
      <c r="AP2523" s="12"/>
      <c r="AQ2523" s="12"/>
      <c r="AR2523" s="12"/>
      <c r="AS2523" s="44"/>
      <c r="AT2523" s="45"/>
      <c r="AU2523" s="12"/>
      <c r="AV2523" s="12"/>
      <c r="AW2523" s="12"/>
      <c r="AX2523" s="12"/>
      <c r="AY2523" s="44"/>
      <c r="AZ2523" s="45"/>
      <c r="BA2523" s="12"/>
      <c r="BB2523" s="12"/>
      <c r="BC2523" s="12"/>
      <c r="BD2523" s="12"/>
      <c r="BE2523" s="44"/>
      <c r="BF2523" s="45"/>
      <c r="BG2523" s="12"/>
      <c r="BH2523" s="12"/>
      <c r="BI2523" s="12"/>
      <c r="BJ2523" s="12"/>
      <c r="BK2523" s="44"/>
      <c r="BL2523" s="45"/>
      <c r="BM2523" s="12"/>
      <c r="BN2523" s="12"/>
      <c r="BO2523" s="12"/>
      <c r="BP2523" s="12"/>
      <c r="BQ2523" s="48"/>
      <c r="BR2523" s="49"/>
      <c r="BS2523" s="13"/>
      <c r="BT2523" s="12"/>
      <c r="BV2523" s="14"/>
      <c r="BW2523" s="50"/>
      <c r="BX2523" s="54"/>
      <c r="BY2523" s="14"/>
      <c r="BZ2523" s="14"/>
      <c r="CA2523" s="14"/>
      <c r="CB2523" s="14"/>
      <c r="CC2523" s="14"/>
      <c r="CD2523" s="14"/>
      <c r="CE2523" s="14"/>
      <c r="CF2523" s="15"/>
      <c r="CG2523" s="14"/>
      <c r="CH2523" s="14"/>
      <c r="CI2523" s="50"/>
      <c r="CJ2523" s="54"/>
      <c r="CK2523" s="14"/>
      <c r="CL2523" s="14"/>
      <c r="CM2523" s="14"/>
      <c r="CN2523" s="14"/>
      <c r="CO2523" s="14"/>
      <c r="CP2523" s="14"/>
      <c r="CQ2523" s="14"/>
      <c r="CR2523" s="14"/>
      <c r="CS2523" s="14"/>
      <c r="CT2523" s="14"/>
      <c r="CU2523" s="16"/>
      <c r="CV2523" s="14"/>
      <c r="CW2523" s="50"/>
      <c r="CX2523" s="17"/>
    </row>
    <row r="2524" spans="4:102" x14ac:dyDescent="0.25">
      <c r="D2524" s="11"/>
      <c r="E2524" s="11"/>
      <c r="F2524" s="11"/>
      <c r="G2524" s="11"/>
      <c r="H2524" s="11"/>
      <c r="I2524" s="11"/>
      <c r="J2524" s="11"/>
      <c r="K2524" s="11"/>
      <c r="L2524" s="11"/>
      <c r="M2524" s="11"/>
      <c r="N2524" s="11"/>
      <c r="O2524" s="11"/>
      <c r="P2524" s="43"/>
      <c r="Q2524" s="11"/>
      <c r="R2524" s="11"/>
      <c r="S2524" s="11"/>
      <c r="T2524" s="11"/>
      <c r="U2524" s="11"/>
      <c r="V2524" s="11"/>
      <c r="W2524" s="11"/>
      <c r="X2524" s="12"/>
      <c r="Y2524" s="12"/>
      <c r="Z2524" s="12"/>
      <c r="AA2524" s="44"/>
      <c r="AB2524" s="45"/>
      <c r="AC2524" s="12"/>
      <c r="AD2524" s="12"/>
      <c r="AE2524" s="12"/>
      <c r="AF2524" s="12"/>
      <c r="AG2524" s="44"/>
      <c r="AH2524" s="45"/>
      <c r="AI2524" s="12"/>
      <c r="AJ2524" s="12"/>
      <c r="AK2524" s="12"/>
      <c r="AL2524" s="12"/>
      <c r="AM2524" s="44"/>
      <c r="AN2524" s="45"/>
      <c r="AO2524" s="12"/>
      <c r="AP2524" s="12"/>
      <c r="AQ2524" s="12"/>
      <c r="AR2524" s="12"/>
      <c r="AS2524" s="44"/>
      <c r="AT2524" s="45"/>
      <c r="AU2524" s="12"/>
      <c r="AV2524" s="12"/>
      <c r="AW2524" s="12"/>
      <c r="AX2524" s="12"/>
      <c r="AY2524" s="44"/>
      <c r="AZ2524" s="45"/>
      <c r="BA2524" s="12"/>
      <c r="BB2524" s="12"/>
      <c r="BC2524" s="12"/>
      <c r="BD2524" s="12"/>
      <c r="BE2524" s="44"/>
      <c r="BF2524" s="45"/>
      <c r="BG2524" s="12"/>
      <c r="BH2524" s="12"/>
      <c r="BI2524" s="12"/>
      <c r="BJ2524" s="12"/>
      <c r="BK2524" s="44"/>
      <c r="BL2524" s="45"/>
      <c r="BM2524" s="12"/>
      <c r="BN2524" s="12"/>
      <c r="BO2524" s="12"/>
      <c r="BP2524" s="12"/>
      <c r="BQ2524" s="48"/>
      <c r="BR2524" s="49"/>
      <c r="BS2524" s="13"/>
      <c r="BT2524" s="12"/>
      <c r="BV2524" s="14"/>
      <c r="BW2524" s="50"/>
      <c r="BX2524" s="54"/>
      <c r="BY2524" s="14"/>
      <c r="BZ2524" s="14"/>
      <c r="CA2524" s="14"/>
      <c r="CB2524" s="14"/>
      <c r="CC2524" s="14"/>
      <c r="CD2524" s="14"/>
      <c r="CE2524" s="14"/>
      <c r="CF2524" s="15"/>
      <c r="CG2524" s="14"/>
      <c r="CH2524" s="14"/>
      <c r="CI2524" s="50"/>
      <c r="CJ2524" s="54"/>
      <c r="CK2524" s="14"/>
      <c r="CL2524" s="14"/>
      <c r="CM2524" s="14"/>
      <c r="CN2524" s="14"/>
      <c r="CO2524" s="14"/>
      <c r="CP2524" s="14"/>
      <c r="CQ2524" s="14"/>
      <c r="CR2524" s="14"/>
      <c r="CS2524" s="14"/>
      <c r="CT2524" s="14"/>
      <c r="CU2524" s="16"/>
      <c r="CV2524" s="14"/>
      <c r="CW2524" s="50"/>
      <c r="CX2524" s="17"/>
    </row>
    <row r="2525" spans="4:102" x14ac:dyDescent="0.25">
      <c r="D2525" s="11"/>
      <c r="E2525" s="11"/>
      <c r="F2525" s="11"/>
      <c r="G2525" s="11"/>
      <c r="H2525" s="11"/>
      <c r="I2525" s="11"/>
      <c r="J2525" s="11"/>
      <c r="K2525" s="11"/>
      <c r="L2525" s="11"/>
      <c r="M2525" s="11"/>
      <c r="N2525" s="11"/>
      <c r="O2525" s="11"/>
      <c r="P2525" s="43"/>
      <c r="Q2525" s="11"/>
      <c r="R2525" s="11"/>
      <c r="S2525" s="11"/>
      <c r="T2525" s="11"/>
      <c r="U2525" s="11"/>
      <c r="V2525" s="11"/>
      <c r="W2525" s="11"/>
      <c r="X2525" s="12"/>
      <c r="Y2525" s="12"/>
      <c r="Z2525" s="12"/>
      <c r="AA2525" s="44"/>
      <c r="AB2525" s="45"/>
      <c r="AC2525" s="12"/>
      <c r="AD2525" s="12"/>
      <c r="AE2525" s="12"/>
      <c r="AF2525" s="12"/>
      <c r="AG2525" s="44"/>
      <c r="AH2525" s="45"/>
      <c r="AI2525" s="12"/>
      <c r="AJ2525" s="12"/>
      <c r="AK2525" s="12"/>
      <c r="AL2525" s="12"/>
      <c r="AM2525" s="44"/>
      <c r="AN2525" s="45"/>
      <c r="AO2525" s="12"/>
      <c r="AP2525" s="12"/>
      <c r="AQ2525" s="12"/>
      <c r="AR2525" s="12"/>
      <c r="AS2525" s="44"/>
      <c r="AT2525" s="45"/>
      <c r="AU2525" s="12"/>
      <c r="AV2525" s="12"/>
      <c r="AW2525" s="12"/>
      <c r="AX2525" s="12"/>
      <c r="AY2525" s="44"/>
      <c r="AZ2525" s="45"/>
      <c r="BA2525" s="12"/>
      <c r="BB2525" s="12"/>
      <c r="BC2525" s="12"/>
      <c r="BD2525" s="12"/>
      <c r="BE2525" s="44"/>
      <c r="BF2525" s="45"/>
      <c r="BG2525" s="12"/>
      <c r="BH2525" s="12"/>
      <c r="BI2525" s="12"/>
      <c r="BJ2525" s="12"/>
      <c r="BK2525" s="44"/>
      <c r="BL2525" s="45"/>
      <c r="BM2525" s="12"/>
      <c r="BN2525" s="12"/>
      <c r="BO2525" s="12"/>
      <c r="BP2525" s="12"/>
      <c r="BQ2525" s="48"/>
      <c r="BR2525" s="49"/>
      <c r="BS2525" s="13"/>
      <c r="BT2525" s="12"/>
      <c r="BV2525" s="14"/>
      <c r="BW2525" s="50"/>
      <c r="BX2525" s="54"/>
      <c r="BY2525" s="14"/>
      <c r="BZ2525" s="14"/>
      <c r="CA2525" s="14"/>
      <c r="CB2525" s="14"/>
      <c r="CC2525" s="14"/>
      <c r="CD2525" s="14"/>
      <c r="CE2525" s="14"/>
      <c r="CF2525" s="15"/>
      <c r="CG2525" s="14"/>
      <c r="CH2525" s="14"/>
      <c r="CI2525" s="50"/>
      <c r="CJ2525" s="54"/>
      <c r="CK2525" s="14"/>
      <c r="CL2525" s="14"/>
      <c r="CM2525" s="14"/>
      <c r="CN2525" s="14"/>
      <c r="CO2525" s="14"/>
      <c r="CP2525" s="14"/>
      <c r="CQ2525" s="14"/>
      <c r="CR2525" s="14"/>
      <c r="CS2525" s="14"/>
      <c r="CT2525" s="14"/>
      <c r="CU2525" s="16"/>
      <c r="CV2525" s="14"/>
      <c r="CW2525" s="50"/>
      <c r="CX2525" s="17"/>
    </row>
    <row r="2526" spans="4:102" x14ac:dyDescent="0.25">
      <c r="D2526" s="11"/>
      <c r="E2526" s="11"/>
      <c r="F2526" s="11"/>
      <c r="G2526" s="11"/>
      <c r="H2526" s="11"/>
      <c r="I2526" s="11"/>
      <c r="J2526" s="11"/>
      <c r="K2526" s="11"/>
      <c r="L2526" s="11"/>
      <c r="M2526" s="11"/>
      <c r="N2526" s="11"/>
      <c r="O2526" s="11"/>
      <c r="P2526" s="43"/>
      <c r="Q2526" s="11"/>
      <c r="R2526" s="11"/>
      <c r="S2526" s="11"/>
      <c r="T2526" s="11"/>
      <c r="U2526" s="11"/>
      <c r="V2526" s="11"/>
      <c r="W2526" s="11"/>
      <c r="X2526" s="12"/>
      <c r="Y2526" s="12"/>
      <c r="Z2526" s="12"/>
      <c r="AA2526" s="44"/>
      <c r="AB2526" s="45"/>
      <c r="AC2526" s="12"/>
      <c r="AD2526" s="12"/>
      <c r="AE2526" s="12"/>
      <c r="AF2526" s="12"/>
      <c r="AG2526" s="44"/>
      <c r="AH2526" s="45"/>
      <c r="AI2526" s="12"/>
      <c r="AJ2526" s="12"/>
      <c r="AK2526" s="12"/>
      <c r="AL2526" s="12"/>
      <c r="AM2526" s="44"/>
      <c r="AN2526" s="45"/>
      <c r="AO2526" s="12"/>
      <c r="AP2526" s="12"/>
      <c r="AQ2526" s="12"/>
      <c r="AR2526" s="12"/>
      <c r="AS2526" s="44"/>
      <c r="AT2526" s="45"/>
      <c r="AU2526" s="12"/>
      <c r="AV2526" s="12"/>
      <c r="AW2526" s="12"/>
      <c r="AX2526" s="12"/>
      <c r="AY2526" s="44"/>
      <c r="AZ2526" s="45"/>
      <c r="BA2526" s="12"/>
      <c r="BB2526" s="12"/>
      <c r="BC2526" s="12"/>
      <c r="BD2526" s="12"/>
      <c r="BE2526" s="44"/>
      <c r="BF2526" s="45"/>
      <c r="BG2526" s="12"/>
      <c r="BH2526" s="12"/>
      <c r="BI2526" s="12"/>
      <c r="BJ2526" s="12"/>
      <c r="BK2526" s="44"/>
      <c r="BL2526" s="45"/>
      <c r="BM2526" s="12"/>
      <c r="BN2526" s="12"/>
      <c r="BO2526" s="12"/>
      <c r="BP2526" s="12"/>
      <c r="BQ2526" s="48"/>
      <c r="BR2526" s="49"/>
      <c r="BS2526" s="13"/>
      <c r="BT2526" s="12"/>
      <c r="BV2526" s="14"/>
      <c r="BW2526" s="50"/>
      <c r="BX2526" s="54"/>
      <c r="BY2526" s="14"/>
      <c r="BZ2526" s="14"/>
      <c r="CA2526" s="14"/>
      <c r="CB2526" s="14"/>
      <c r="CC2526" s="14"/>
      <c r="CD2526" s="14"/>
      <c r="CE2526" s="14"/>
      <c r="CF2526" s="15"/>
      <c r="CG2526" s="14"/>
      <c r="CH2526" s="14"/>
      <c r="CI2526" s="50"/>
      <c r="CJ2526" s="54"/>
      <c r="CK2526" s="14"/>
      <c r="CL2526" s="14"/>
      <c r="CM2526" s="14"/>
      <c r="CN2526" s="14"/>
      <c r="CO2526" s="14"/>
      <c r="CP2526" s="14"/>
      <c r="CQ2526" s="14"/>
      <c r="CR2526" s="14"/>
      <c r="CS2526" s="14"/>
      <c r="CT2526" s="14"/>
      <c r="CU2526" s="16"/>
      <c r="CV2526" s="14"/>
      <c r="CW2526" s="50"/>
      <c r="CX2526" s="17"/>
    </row>
    <row r="2527" spans="4:102" x14ac:dyDescent="0.25">
      <c r="D2527" s="11"/>
      <c r="E2527" s="11"/>
      <c r="F2527" s="11"/>
      <c r="G2527" s="11"/>
      <c r="H2527" s="11"/>
      <c r="I2527" s="11"/>
      <c r="J2527" s="11"/>
      <c r="K2527" s="11"/>
      <c r="L2527" s="11"/>
      <c r="M2527" s="11"/>
      <c r="N2527" s="11"/>
      <c r="O2527" s="11"/>
      <c r="P2527" s="43"/>
      <c r="Q2527" s="11"/>
      <c r="R2527" s="11"/>
      <c r="S2527" s="11"/>
      <c r="T2527" s="11"/>
      <c r="U2527" s="11"/>
      <c r="V2527" s="11"/>
      <c r="W2527" s="11"/>
      <c r="X2527" s="12"/>
      <c r="Y2527" s="12"/>
      <c r="Z2527" s="12"/>
      <c r="AA2527" s="44"/>
      <c r="AB2527" s="45"/>
      <c r="AC2527" s="12"/>
      <c r="AD2527" s="12"/>
      <c r="AE2527" s="12"/>
      <c r="AF2527" s="12"/>
      <c r="AG2527" s="44"/>
      <c r="AH2527" s="45"/>
      <c r="AI2527" s="12"/>
      <c r="AJ2527" s="12"/>
      <c r="AK2527" s="12"/>
      <c r="AL2527" s="12"/>
      <c r="AM2527" s="44"/>
      <c r="AN2527" s="45"/>
      <c r="AO2527" s="12"/>
      <c r="AP2527" s="12"/>
      <c r="AQ2527" s="12"/>
      <c r="AR2527" s="12"/>
      <c r="AS2527" s="44"/>
      <c r="AT2527" s="45"/>
      <c r="AU2527" s="12"/>
      <c r="AV2527" s="12"/>
      <c r="AW2527" s="12"/>
      <c r="AX2527" s="12"/>
      <c r="AY2527" s="44"/>
      <c r="AZ2527" s="45"/>
      <c r="BA2527" s="12"/>
      <c r="BB2527" s="12"/>
      <c r="BC2527" s="12"/>
      <c r="BD2527" s="12"/>
      <c r="BE2527" s="44"/>
      <c r="BF2527" s="45"/>
      <c r="BG2527" s="12"/>
      <c r="BH2527" s="12"/>
      <c r="BI2527" s="12"/>
      <c r="BJ2527" s="12"/>
      <c r="BK2527" s="44"/>
      <c r="BL2527" s="45"/>
      <c r="BM2527" s="12"/>
      <c r="BN2527" s="12"/>
      <c r="BO2527" s="12"/>
      <c r="BP2527" s="12"/>
      <c r="BQ2527" s="48"/>
      <c r="BR2527" s="49"/>
      <c r="BS2527" s="13"/>
      <c r="BT2527" s="12"/>
      <c r="BV2527" s="14"/>
      <c r="BW2527" s="50"/>
      <c r="BX2527" s="54"/>
      <c r="BY2527" s="14"/>
      <c r="BZ2527" s="14"/>
      <c r="CA2527" s="14"/>
      <c r="CB2527" s="14"/>
      <c r="CC2527" s="14"/>
      <c r="CD2527" s="14"/>
      <c r="CE2527" s="14"/>
      <c r="CF2527" s="15"/>
      <c r="CG2527" s="14"/>
      <c r="CH2527" s="14"/>
      <c r="CI2527" s="50"/>
      <c r="CJ2527" s="54"/>
      <c r="CK2527" s="14"/>
      <c r="CL2527" s="14"/>
      <c r="CM2527" s="14"/>
      <c r="CN2527" s="14"/>
      <c r="CO2527" s="14"/>
      <c r="CP2527" s="14"/>
      <c r="CQ2527" s="14"/>
      <c r="CR2527" s="14"/>
      <c r="CS2527" s="14"/>
      <c r="CT2527" s="14"/>
      <c r="CU2527" s="16"/>
      <c r="CV2527" s="14"/>
      <c r="CW2527" s="50"/>
      <c r="CX2527" s="17"/>
    </row>
    <row r="2528" spans="4:102" x14ac:dyDescent="0.25">
      <c r="D2528" s="11"/>
      <c r="E2528" s="11"/>
      <c r="F2528" s="11"/>
      <c r="G2528" s="11"/>
      <c r="H2528" s="11"/>
      <c r="I2528" s="11"/>
      <c r="J2528" s="11"/>
      <c r="K2528" s="11"/>
      <c r="L2528" s="11"/>
      <c r="M2528" s="11"/>
      <c r="N2528" s="11"/>
      <c r="O2528" s="11"/>
      <c r="P2528" s="43"/>
      <c r="Q2528" s="11"/>
      <c r="R2528" s="11"/>
      <c r="S2528" s="11"/>
      <c r="T2528" s="11"/>
      <c r="U2528" s="11"/>
      <c r="V2528" s="11"/>
      <c r="W2528" s="11"/>
      <c r="X2528" s="12"/>
      <c r="Y2528" s="12"/>
      <c r="Z2528" s="12"/>
      <c r="AA2528" s="44"/>
      <c r="AB2528" s="45"/>
      <c r="AC2528" s="12"/>
      <c r="AD2528" s="12"/>
      <c r="AE2528" s="12"/>
      <c r="AF2528" s="12"/>
      <c r="AG2528" s="44"/>
      <c r="AH2528" s="45"/>
      <c r="AI2528" s="12"/>
      <c r="AJ2528" s="12"/>
      <c r="AK2528" s="12"/>
      <c r="AL2528" s="12"/>
      <c r="AM2528" s="44"/>
      <c r="AN2528" s="45"/>
      <c r="AO2528" s="12"/>
      <c r="AP2528" s="12"/>
      <c r="AQ2528" s="12"/>
      <c r="AR2528" s="12"/>
      <c r="AS2528" s="44"/>
      <c r="AT2528" s="45"/>
      <c r="AU2528" s="12"/>
      <c r="AV2528" s="12"/>
      <c r="AW2528" s="12"/>
      <c r="AX2528" s="12"/>
      <c r="AY2528" s="44"/>
      <c r="AZ2528" s="45"/>
      <c r="BA2528" s="12"/>
      <c r="BB2528" s="12"/>
      <c r="BC2528" s="12"/>
      <c r="BD2528" s="12"/>
      <c r="BE2528" s="44"/>
      <c r="BF2528" s="45"/>
      <c r="BG2528" s="12"/>
      <c r="BH2528" s="12"/>
      <c r="BI2528" s="12"/>
      <c r="BJ2528" s="12"/>
      <c r="BK2528" s="44"/>
      <c r="BL2528" s="45"/>
      <c r="BM2528" s="12"/>
      <c r="BN2528" s="12"/>
      <c r="BO2528" s="12"/>
      <c r="BP2528" s="12"/>
      <c r="BQ2528" s="48"/>
      <c r="BR2528" s="49"/>
      <c r="BS2528" s="13"/>
      <c r="BT2528" s="12"/>
      <c r="BV2528" s="14"/>
      <c r="BW2528" s="50"/>
      <c r="BX2528" s="54"/>
      <c r="BY2528" s="14"/>
      <c r="BZ2528" s="14"/>
      <c r="CA2528" s="14"/>
      <c r="CB2528" s="14"/>
      <c r="CC2528" s="14"/>
      <c r="CD2528" s="14"/>
      <c r="CE2528" s="14"/>
      <c r="CF2528" s="15"/>
      <c r="CG2528" s="14"/>
      <c r="CH2528" s="14"/>
      <c r="CI2528" s="50"/>
      <c r="CJ2528" s="54"/>
      <c r="CK2528" s="14"/>
      <c r="CL2528" s="14"/>
      <c r="CM2528" s="14"/>
      <c r="CN2528" s="14"/>
      <c r="CO2528" s="14"/>
      <c r="CP2528" s="14"/>
      <c r="CQ2528" s="14"/>
      <c r="CR2528" s="14"/>
      <c r="CS2528" s="14"/>
      <c r="CT2528" s="14"/>
      <c r="CU2528" s="16"/>
      <c r="CV2528" s="14"/>
      <c r="CW2528" s="50"/>
      <c r="CX2528" s="17"/>
    </row>
    <row r="2529" spans="4:102" x14ac:dyDescent="0.25">
      <c r="D2529" s="11"/>
      <c r="E2529" s="11"/>
      <c r="F2529" s="11"/>
      <c r="G2529" s="11"/>
      <c r="H2529" s="11"/>
      <c r="I2529" s="11"/>
      <c r="J2529" s="11"/>
      <c r="K2529" s="11"/>
      <c r="L2529" s="11"/>
      <c r="M2529" s="11"/>
      <c r="N2529" s="11"/>
      <c r="O2529" s="11"/>
      <c r="P2529" s="43"/>
      <c r="Q2529" s="11"/>
      <c r="R2529" s="11"/>
      <c r="S2529" s="11"/>
      <c r="T2529" s="11"/>
      <c r="U2529" s="11"/>
      <c r="V2529" s="11"/>
      <c r="W2529" s="11"/>
      <c r="X2529" s="12"/>
      <c r="Y2529" s="12"/>
      <c r="Z2529" s="12"/>
      <c r="AA2529" s="44"/>
      <c r="AB2529" s="45"/>
      <c r="AC2529" s="12"/>
      <c r="AD2529" s="12"/>
      <c r="AE2529" s="12"/>
      <c r="AF2529" s="12"/>
      <c r="AG2529" s="44"/>
      <c r="AH2529" s="45"/>
      <c r="AI2529" s="12"/>
      <c r="AJ2529" s="12"/>
      <c r="AK2529" s="12"/>
      <c r="AL2529" s="12"/>
      <c r="AM2529" s="44"/>
      <c r="AN2529" s="45"/>
      <c r="AO2529" s="12"/>
      <c r="AP2529" s="12"/>
      <c r="AQ2529" s="12"/>
      <c r="AR2529" s="12"/>
      <c r="AS2529" s="44"/>
      <c r="AT2529" s="45"/>
      <c r="AU2529" s="12"/>
      <c r="AV2529" s="12"/>
      <c r="AW2529" s="12"/>
      <c r="AX2529" s="12"/>
      <c r="AY2529" s="44"/>
      <c r="AZ2529" s="45"/>
      <c r="BA2529" s="12"/>
      <c r="BB2529" s="12"/>
      <c r="BC2529" s="12"/>
      <c r="BD2529" s="12"/>
      <c r="BE2529" s="44"/>
      <c r="BF2529" s="45"/>
      <c r="BG2529" s="12"/>
      <c r="BH2529" s="12"/>
      <c r="BI2529" s="12"/>
      <c r="BJ2529" s="12"/>
      <c r="BK2529" s="44"/>
      <c r="BL2529" s="45"/>
      <c r="BM2529" s="12"/>
      <c r="BN2529" s="12"/>
      <c r="BO2529" s="12"/>
      <c r="BP2529" s="12"/>
      <c r="BQ2529" s="48"/>
      <c r="BR2529" s="49"/>
      <c r="BS2529" s="13"/>
      <c r="BT2529" s="12"/>
      <c r="BV2529" s="14"/>
      <c r="BW2529" s="50"/>
      <c r="BX2529" s="54"/>
      <c r="BY2529" s="14"/>
      <c r="BZ2529" s="14"/>
      <c r="CA2529" s="14"/>
      <c r="CB2529" s="14"/>
      <c r="CC2529" s="14"/>
      <c r="CD2529" s="14"/>
      <c r="CE2529" s="14"/>
      <c r="CF2529" s="15"/>
      <c r="CG2529" s="14"/>
      <c r="CH2529" s="14"/>
      <c r="CI2529" s="50"/>
      <c r="CJ2529" s="54"/>
      <c r="CK2529" s="14"/>
      <c r="CL2529" s="14"/>
      <c r="CM2529" s="14"/>
      <c r="CN2529" s="14"/>
      <c r="CO2529" s="14"/>
      <c r="CP2529" s="14"/>
      <c r="CQ2529" s="14"/>
      <c r="CR2529" s="14"/>
      <c r="CS2529" s="14"/>
      <c r="CT2529" s="14"/>
      <c r="CU2529" s="16"/>
      <c r="CV2529" s="14"/>
      <c r="CW2529" s="50"/>
      <c r="CX2529" s="17"/>
    </row>
    <row r="2530" spans="4:102" x14ac:dyDescent="0.25">
      <c r="D2530" s="11"/>
      <c r="E2530" s="11"/>
      <c r="F2530" s="11"/>
      <c r="G2530" s="11"/>
      <c r="H2530" s="11"/>
      <c r="I2530" s="11"/>
      <c r="J2530" s="11"/>
      <c r="K2530" s="11"/>
      <c r="L2530" s="11"/>
      <c r="M2530" s="11"/>
      <c r="N2530" s="11"/>
      <c r="O2530" s="11"/>
      <c r="P2530" s="43"/>
      <c r="Q2530" s="11"/>
      <c r="R2530" s="11"/>
      <c r="S2530" s="11"/>
      <c r="T2530" s="11"/>
      <c r="U2530" s="11"/>
      <c r="V2530" s="11"/>
      <c r="W2530" s="11"/>
      <c r="X2530" s="12"/>
      <c r="Y2530" s="12"/>
      <c r="Z2530" s="12"/>
      <c r="AA2530" s="44"/>
      <c r="AB2530" s="45"/>
      <c r="AC2530" s="12"/>
      <c r="AD2530" s="12"/>
      <c r="AE2530" s="12"/>
      <c r="AF2530" s="12"/>
      <c r="AG2530" s="44"/>
      <c r="AH2530" s="45"/>
      <c r="AI2530" s="12"/>
      <c r="AJ2530" s="12"/>
      <c r="AK2530" s="12"/>
      <c r="AL2530" s="12"/>
      <c r="AM2530" s="44"/>
      <c r="AN2530" s="45"/>
      <c r="AO2530" s="12"/>
      <c r="AP2530" s="12"/>
      <c r="AQ2530" s="12"/>
      <c r="AR2530" s="12"/>
      <c r="AS2530" s="44"/>
      <c r="AT2530" s="45"/>
      <c r="AU2530" s="12"/>
      <c r="AV2530" s="12"/>
      <c r="AW2530" s="12"/>
      <c r="AX2530" s="12"/>
      <c r="AY2530" s="44"/>
      <c r="AZ2530" s="45"/>
      <c r="BA2530" s="12"/>
      <c r="BB2530" s="12"/>
      <c r="BC2530" s="12"/>
      <c r="BD2530" s="12"/>
      <c r="BE2530" s="44"/>
      <c r="BF2530" s="45"/>
      <c r="BG2530" s="12"/>
      <c r="BH2530" s="12"/>
      <c r="BI2530" s="12"/>
      <c r="BJ2530" s="12"/>
      <c r="BK2530" s="44"/>
      <c r="BL2530" s="45"/>
      <c r="BM2530" s="12"/>
      <c r="BN2530" s="12"/>
      <c r="BO2530" s="12"/>
      <c r="BP2530" s="12"/>
      <c r="BQ2530" s="48"/>
      <c r="BR2530" s="49"/>
      <c r="BS2530" s="13"/>
      <c r="BT2530" s="12"/>
      <c r="BV2530" s="14"/>
      <c r="BW2530" s="50"/>
      <c r="BX2530" s="54"/>
      <c r="BY2530" s="14"/>
      <c r="BZ2530" s="14"/>
      <c r="CA2530" s="14"/>
      <c r="CB2530" s="14"/>
      <c r="CC2530" s="14"/>
      <c r="CD2530" s="14"/>
      <c r="CE2530" s="14"/>
      <c r="CF2530" s="15"/>
      <c r="CG2530" s="14"/>
      <c r="CH2530" s="14"/>
      <c r="CI2530" s="50"/>
      <c r="CJ2530" s="54"/>
      <c r="CK2530" s="14"/>
      <c r="CL2530" s="14"/>
      <c r="CM2530" s="14"/>
      <c r="CN2530" s="14"/>
      <c r="CO2530" s="14"/>
      <c r="CP2530" s="14"/>
      <c r="CQ2530" s="14"/>
      <c r="CR2530" s="14"/>
      <c r="CS2530" s="14"/>
      <c r="CT2530" s="14"/>
      <c r="CU2530" s="16"/>
      <c r="CV2530" s="14"/>
      <c r="CW2530" s="50"/>
      <c r="CX2530" s="17"/>
    </row>
    <row r="2531" spans="4:102" x14ac:dyDescent="0.25">
      <c r="D2531" s="11"/>
      <c r="E2531" s="11"/>
      <c r="F2531" s="11"/>
      <c r="G2531" s="11"/>
      <c r="H2531" s="11"/>
      <c r="I2531" s="11"/>
      <c r="J2531" s="11"/>
      <c r="K2531" s="11"/>
      <c r="L2531" s="11"/>
      <c r="M2531" s="11"/>
      <c r="N2531" s="11"/>
      <c r="O2531" s="11"/>
      <c r="P2531" s="43"/>
      <c r="Q2531" s="11"/>
      <c r="R2531" s="11"/>
      <c r="S2531" s="11"/>
      <c r="T2531" s="11"/>
      <c r="U2531" s="11"/>
      <c r="V2531" s="11"/>
      <c r="W2531" s="11"/>
      <c r="X2531" s="12"/>
      <c r="Y2531" s="12"/>
      <c r="Z2531" s="12"/>
      <c r="AA2531" s="44"/>
      <c r="AB2531" s="45"/>
      <c r="AC2531" s="12"/>
      <c r="AD2531" s="12"/>
      <c r="AE2531" s="12"/>
      <c r="AF2531" s="12"/>
      <c r="AG2531" s="44"/>
      <c r="AH2531" s="45"/>
      <c r="AI2531" s="12"/>
      <c r="AJ2531" s="12"/>
      <c r="AK2531" s="12"/>
      <c r="AL2531" s="12"/>
      <c r="AM2531" s="44"/>
      <c r="AN2531" s="45"/>
      <c r="AO2531" s="12"/>
      <c r="AP2531" s="12"/>
      <c r="AQ2531" s="12"/>
      <c r="AR2531" s="12"/>
      <c r="AS2531" s="44"/>
      <c r="AT2531" s="45"/>
      <c r="AU2531" s="12"/>
      <c r="AV2531" s="12"/>
      <c r="AW2531" s="12"/>
      <c r="AX2531" s="12"/>
      <c r="AY2531" s="44"/>
      <c r="AZ2531" s="45"/>
      <c r="BA2531" s="12"/>
      <c r="BB2531" s="12"/>
      <c r="BC2531" s="12"/>
      <c r="BD2531" s="12"/>
      <c r="BE2531" s="44"/>
      <c r="BF2531" s="45"/>
      <c r="BG2531" s="12"/>
      <c r="BH2531" s="12"/>
      <c r="BI2531" s="12"/>
      <c r="BJ2531" s="12"/>
      <c r="BK2531" s="44"/>
      <c r="BL2531" s="45"/>
      <c r="BM2531" s="12"/>
      <c r="BN2531" s="12"/>
      <c r="BO2531" s="12"/>
      <c r="BP2531" s="12"/>
      <c r="BQ2531" s="48"/>
      <c r="BR2531" s="49"/>
      <c r="BS2531" s="13"/>
      <c r="BT2531" s="12"/>
      <c r="BV2531" s="14"/>
      <c r="BW2531" s="50"/>
      <c r="BX2531" s="54"/>
      <c r="BY2531" s="14"/>
      <c r="BZ2531" s="14"/>
      <c r="CA2531" s="14"/>
      <c r="CB2531" s="14"/>
      <c r="CC2531" s="14"/>
      <c r="CD2531" s="14"/>
      <c r="CE2531" s="14"/>
      <c r="CF2531" s="15"/>
      <c r="CG2531" s="14"/>
      <c r="CH2531" s="14"/>
      <c r="CI2531" s="50"/>
      <c r="CJ2531" s="54"/>
      <c r="CK2531" s="14"/>
      <c r="CL2531" s="14"/>
      <c r="CM2531" s="14"/>
      <c r="CN2531" s="14"/>
      <c r="CO2531" s="14"/>
      <c r="CP2531" s="14"/>
      <c r="CQ2531" s="14"/>
      <c r="CR2531" s="14"/>
      <c r="CS2531" s="14"/>
      <c r="CT2531" s="14"/>
      <c r="CU2531" s="16"/>
      <c r="CV2531" s="14"/>
      <c r="CW2531" s="50"/>
      <c r="CX2531" s="17"/>
    </row>
    <row r="2532" spans="4:102" x14ac:dyDescent="0.25">
      <c r="D2532" s="11"/>
      <c r="E2532" s="11"/>
      <c r="F2532" s="11"/>
      <c r="G2532" s="11"/>
      <c r="H2532" s="11"/>
      <c r="I2532" s="11"/>
      <c r="J2532" s="11"/>
      <c r="K2532" s="11"/>
      <c r="L2532" s="11"/>
      <c r="M2532" s="11"/>
      <c r="N2532" s="11"/>
      <c r="O2532" s="11"/>
      <c r="P2532" s="43"/>
      <c r="Q2532" s="11"/>
      <c r="R2532" s="11"/>
      <c r="S2532" s="11"/>
      <c r="T2532" s="11"/>
      <c r="U2532" s="11"/>
      <c r="V2532" s="11"/>
      <c r="W2532" s="11"/>
      <c r="X2532" s="12"/>
      <c r="Y2532" s="12"/>
      <c r="Z2532" s="12"/>
      <c r="AA2532" s="44"/>
      <c r="AB2532" s="45"/>
      <c r="AC2532" s="12"/>
      <c r="AD2532" s="12"/>
      <c r="AE2532" s="12"/>
      <c r="AF2532" s="12"/>
      <c r="AG2532" s="44"/>
      <c r="AH2532" s="45"/>
      <c r="AI2532" s="12"/>
      <c r="AJ2532" s="12"/>
      <c r="AK2532" s="12"/>
      <c r="AL2532" s="12"/>
      <c r="AM2532" s="44"/>
      <c r="AN2532" s="45"/>
      <c r="AO2532" s="12"/>
      <c r="AP2532" s="12"/>
      <c r="AQ2532" s="12"/>
      <c r="AR2532" s="12"/>
      <c r="AS2532" s="44"/>
      <c r="AT2532" s="45"/>
      <c r="AU2532" s="12"/>
      <c r="AV2532" s="12"/>
      <c r="AW2532" s="12"/>
      <c r="AX2532" s="12"/>
      <c r="AY2532" s="44"/>
      <c r="AZ2532" s="45"/>
      <c r="BA2532" s="12"/>
      <c r="BB2532" s="12"/>
      <c r="BC2532" s="12"/>
      <c r="BD2532" s="12"/>
      <c r="BE2532" s="44"/>
      <c r="BF2532" s="45"/>
      <c r="BG2532" s="12"/>
      <c r="BH2532" s="12"/>
      <c r="BI2532" s="12"/>
      <c r="BJ2532" s="12"/>
      <c r="BK2532" s="44"/>
      <c r="BL2532" s="45"/>
      <c r="BM2532" s="12"/>
      <c r="BN2532" s="12"/>
      <c r="BO2532" s="12"/>
      <c r="BP2532" s="12"/>
      <c r="BQ2532" s="48"/>
      <c r="BR2532" s="49"/>
      <c r="BS2532" s="13"/>
      <c r="BT2532" s="12"/>
      <c r="BV2532" s="14"/>
      <c r="BW2532" s="50"/>
      <c r="BX2532" s="54"/>
      <c r="BY2532" s="14"/>
      <c r="BZ2532" s="14"/>
      <c r="CA2532" s="14"/>
      <c r="CB2532" s="14"/>
      <c r="CC2532" s="14"/>
      <c r="CD2532" s="14"/>
      <c r="CE2532" s="14"/>
      <c r="CF2532" s="15"/>
      <c r="CG2532" s="14"/>
      <c r="CH2532" s="14"/>
      <c r="CI2532" s="50"/>
      <c r="CJ2532" s="54"/>
      <c r="CK2532" s="14"/>
      <c r="CL2532" s="14"/>
      <c r="CM2532" s="14"/>
      <c r="CN2532" s="14"/>
      <c r="CO2532" s="14"/>
      <c r="CP2532" s="14"/>
      <c r="CQ2532" s="14"/>
      <c r="CR2532" s="14"/>
      <c r="CS2532" s="14"/>
      <c r="CT2532" s="14"/>
      <c r="CU2532" s="16"/>
      <c r="CV2532" s="14"/>
      <c r="CW2532" s="50"/>
      <c r="CX2532" s="17"/>
    </row>
    <row r="2533" spans="4:102" x14ac:dyDescent="0.25">
      <c r="D2533" s="11"/>
      <c r="E2533" s="11"/>
      <c r="F2533" s="11"/>
      <c r="G2533" s="11"/>
      <c r="H2533" s="11"/>
      <c r="I2533" s="11"/>
      <c r="J2533" s="11"/>
      <c r="K2533" s="11"/>
      <c r="L2533" s="11"/>
      <c r="M2533" s="11"/>
      <c r="N2533" s="11"/>
      <c r="O2533" s="11"/>
      <c r="P2533" s="43"/>
      <c r="Q2533" s="11"/>
      <c r="R2533" s="11"/>
      <c r="S2533" s="11"/>
      <c r="T2533" s="11"/>
      <c r="U2533" s="11"/>
      <c r="V2533" s="11"/>
      <c r="W2533" s="11"/>
      <c r="X2533" s="12"/>
      <c r="Y2533" s="12"/>
      <c r="Z2533" s="12"/>
      <c r="AA2533" s="44"/>
      <c r="AB2533" s="45"/>
      <c r="AC2533" s="12"/>
      <c r="AD2533" s="12"/>
      <c r="AE2533" s="12"/>
      <c r="AF2533" s="12"/>
      <c r="AG2533" s="44"/>
      <c r="AH2533" s="45"/>
      <c r="AI2533" s="12"/>
      <c r="AJ2533" s="12"/>
      <c r="AK2533" s="12"/>
      <c r="AL2533" s="12"/>
      <c r="AM2533" s="44"/>
      <c r="AN2533" s="45"/>
      <c r="AO2533" s="12"/>
      <c r="AP2533" s="12"/>
      <c r="AQ2533" s="12"/>
      <c r="AR2533" s="12"/>
      <c r="AS2533" s="44"/>
      <c r="AT2533" s="45"/>
      <c r="AU2533" s="12"/>
      <c r="AV2533" s="12"/>
      <c r="AW2533" s="12"/>
      <c r="AX2533" s="12"/>
      <c r="AY2533" s="44"/>
      <c r="AZ2533" s="45"/>
      <c r="BA2533" s="12"/>
      <c r="BB2533" s="12"/>
      <c r="BC2533" s="12"/>
      <c r="BD2533" s="12"/>
      <c r="BE2533" s="44"/>
      <c r="BF2533" s="45"/>
      <c r="BG2533" s="12"/>
      <c r="BH2533" s="12"/>
      <c r="BI2533" s="12"/>
      <c r="BJ2533" s="12"/>
      <c r="BK2533" s="44"/>
      <c r="BL2533" s="45"/>
      <c r="BM2533" s="12"/>
      <c r="BN2533" s="12"/>
      <c r="BO2533" s="12"/>
      <c r="BP2533" s="12"/>
      <c r="BQ2533" s="48"/>
      <c r="BR2533" s="49"/>
      <c r="BS2533" s="13"/>
      <c r="BT2533" s="12"/>
      <c r="BV2533" s="14"/>
      <c r="BW2533" s="50"/>
      <c r="BX2533" s="54"/>
      <c r="BY2533" s="14"/>
      <c r="BZ2533" s="14"/>
      <c r="CA2533" s="14"/>
      <c r="CB2533" s="14"/>
      <c r="CC2533" s="14"/>
      <c r="CD2533" s="14"/>
      <c r="CE2533" s="14"/>
      <c r="CF2533" s="15"/>
      <c r="CG2533" s="14"/>
      <c r="CH2533" s="14"/>
      <c r="CI2533" s="50"/>
      <c r="CJ2533" s="54"/>
      <c r="CK2533" s="14"/>
      <c r="CL2533" s="14"/>
      <c r="CM2533" s="14"/>
      <c r="CN2533" s="14"/>
      <c r="CO2533" s="14"/>
      <c r="CP2533" s="14"/>
      <c r="CQ2533" s="14"/>
      <c r="CR2533" s="14"/>
      <c r="CS2533" s="14"/>
      <c r="CT2533" s="14"/>
      <c r="CU2533" s="16"/>
      <c r="CV2533" s="14"/>
      <c r="CW2533" s="50"/>
      <c r="CX2533" s="17"/>
    </row>
    <row r="2534" spans="4:102" x14ac:dyDescent="0.25">
      <c r="D2534" s="11"/>
      <c r="E2534" s="11"/>
      <c r="F2534" s="11"/>
      <c r="G2534" s="11"/>
      <c r="H2534" s="11"/>
      <c r="I2534" s="11"/>
      <c r="J2534" s="11"/>
      <c r="K2534" s="11"/>
      <c r="L2534" s="11"/>
      <c r="M2534" s="11"/>
      <c r="N2534" s="11"/>
      <c r="O2534" s="11"/>
      <c r="P2534" s="43"/>
      <c r="Q2534" s="11"/>
      <c r="R2534" s="11"/>
      <c r="S2534" s="11"/>
      <c r="T2534" s="11"/>
      <c r="U2534" s="11"/>
      <c r="V2534" s="11"/>
      <c r="W2534" s="11"/>
      <c r="X2534" s="12"/>
      <c r="Y2534" s="12"/>
      <c r="Z2534" s="12"/>
      <c r="AA2534" s="44"/>
      <c r="AB2534" s="45"/>
      <c r="AC2534" s="12"/>
      <c r="AD2534" s="12"/>
      <c r="AE2534" s="12"/>
      <c r="AF2534" s="12"/>
      <c r="AG2534" s="44"/>
      <c r="AH2534" s="45"/>
      <c r="AI2534" s="12"/>
      <c r="AJ2534" s="12"/>
      <c r="AK2534" s="12"/>
      <c r="AL2534" s="12"/>
      <c r="AM2534" s="44"/>
      <c r="AN2534" s="45"/>
      <c r="AO2534" s="12"/>
      <c r="AP2534" s="12"/>
      <c r="AQ2534" s="12"/>
      <c r="AR2534" s="12"/>
      <c r="AS2534" s="44"/>
      <c r="AT2534" s="45"/>
      <c r="AU2534" s="12"/>
      <c r="AV2534" s="12"/>
      <c r="AW2534" s="12"/>
      <c r="AX2534" s="12"/>
      <c r="AY2534" s="44"/>
      <c r="AZ2534" s="45"/>
      <c r="BA2534" s="12"/>
      <c r="BB2534" s="12"/>
      <c r="BC2534" s="12"/>
      <c r="BD2534" s="12"/>
      <c r="BE2534" s="44"/>
      <c r="BF2534" s="45"/>
      <c r="BG2534" s="12"/>
      <c r="BH2534" s="12"/>
      <c r="BI2534" s="12"/>
      <c r="BJ2534" s="12"/>
      <c r="BK2534" s="44"/>
      <c r="BL2534" s="45"/>
      <c r="BM2534" s="12"/>
      <c r="BN2534" s="12"/>
      <c r="BO2534" s="12"/>
      <c r="BP2534" s="12"/>
      <c r="BQ2534" s="48"/>
      <c r="BR2534" s="49"/>
      <c r="BS2534" s="13"/>
      <c r="BT2534" s="12"/>
      <c r="BV2534" s="14"/>
      <c r="BW2534" s="50"/>
      <c r="BX2534" s="54"/>
      <c r="BY2534" s="14"/>
      <c r="BZ2534" s="14"/>
      <c r="CA2534" s="14"/>
      <c r="CB2534" s="14"/>
      <c r="CC2534" s="14"/>
      <c r="CD2534" s="14"/>
      <c r="CE2534" s="14"/>
      <c r="CF2534" s="15"/>
      <c r="CG2534" s="14"/>
      <c r="CH2534" s="14"/>
      <c r="CI2534" s="50"/>
      <c r="CJ2534" s="54"/>
      <c r="CK2534" s="14"/>
      <c r="CL2534" s="14"/>
      <c r="CM2534" s="14"/>
      <c r="CN2534" s="14"/>
      <c r="CO2534" s="14"/>
      <c r="CP2534" s="14"/>
      <c r="CQ2534" s="14"/>
      <c r="CR2534" s="14"/>
      <c r="CS2534" s="14"/>
      <c r="CT2534" s="14"/>
      <c r="CU2534" s="16"/>
      <c r="CV2534" s="14"/>
      <c r="CW2534" s="50"/>
      <c r="CX2534" s="17"/>
    </row>
    <row r="2535" spans="4:102" x14ac:dyDescent="0.25">
      <c r="D2535" s="11"/>
      <c r="E2535" s="11"/>
      <c r="F2535" s="11"/>
      <c r="G2535" s="11"/>
      <c r="H2535" s="11"/>
      <c r="I2535" s="11"/>
      <c r="J2535" s="11"/>
      <c r="K2535" s="11"/>
      <c r="L2535" s="11"/>
      <c r="M2535" s="11"/>
      <c r="N2535" s="11"/>
      <c r="O2535" s="11"/>
      <c r="P2535" s="43"/>
      <c r="Q2535" s="11"/>
      <c r="R2535" s="11"/>
      <c r="S2535" s="11"/>
      <c r="T2535" s="11"/>
      <c r="U2535" s="11"/>
      <c r="V2535" s="11"/>
      <c r="W2535" s="11"/>
      <c r="X2535" s="12"/>
      <c r="Y2535" s="12"/>
      <c r="Z2535" s="12"/>
      <c r="AA2535" s="44"/>
      <c r="AB2535" s="45"/>
      <c r="AC2535" s="12"/>
      <c r="AD2535" s="12"/>
      <c r="AE2535" s="12"/>
      <c r="AF2535" s="12"/>
      <c r="AG2535" s="44"/>
      <c r="AH2535" s="45"/>
      <c r="AI2535" s="12"/>
      <c r="AJ2535" s="12"/>
      <c r="AK2535" s="12"/>
      <c r="AL2535" s="12"/>
      <c r="AM2535" s="44"/>
      <c r="AN2535" s="45"/>
      <c r="AO2535" s="12"/>
      <c r="AP2535" s="12"/>
      <c r="AQ2535" s="12"/>
      <c r="AR2535" s="12"/>
      <c r="AS2535" s="44"/>
      <c r="AT2535" s="45"/>
      <c r="AU2535" s="12"/>
      <c r="AV2535" s="12"/>
      <c r="AW2535" s="12"/>
      <c r="AX2535" s="12"/>
      <c r="AY2535" s="44"/>
      <c r="AZ2535" s="45"/>
      <c r="BA2535" s="12"/>
      <c r="BB2535" s="12"/>
      <c r="BC2535" s="12"/>
      <c r="BD2535" s="12"/>
      <c r="BE2535" s="44"/>
      <c r="BF2535" s="45"/>
      <c r="BG2535" s="12"/>
      <c r="BH2535" s="12"/>
      <c r="BI2535" s="12"/>
      <c r="BJ2535" s="12"/>
      <c r="BK2535" s="44"/>
      <c r="BL2535" s="45"/>
      <c r="BM2535" s="12"/>
      <c r="BN2535" s="12"/>
      <c r="BO2535" s="12"/>
      <c r="BP2535" s="12"/>
      <c r="BQ2535" s="48"/>
      <c r="BR2535" s="49"/>
      <c r="BS2535" s="13"/>
      <c r="BT2535" s="12"/>
      <c r="BV2535" s="14"/>
      <c r="BW2535" s="50"/>
      <c r="BX2535" s="54"/>
      <c r="BY2535" s="14"/>
      <c r="BZ2535" s="14"/>
      <c r="CA2535" s="14"/>
      <c r="CB2535" s="14"/>
      <c r="CC2535" s="14"/>
      <c r="CD2535" s="14"/>
      <c r="CE2535" s="14"/>
      <c r="CF2535" s="15"/>
      <c r="CG2535" s="14"/>
      <c r="CH2535" s="14"/>
      <c r="CI2535" s="50"/>
      <c r="CJ2535" s="54"/>
      <c r="CK2535" s="14"/>
      <c r="CL2535" s="14"/>
      <c r="CM2535" s="14"/>
      <c r="CN2535" s="14"/>
      <c r="CO2535" s="14"/>
      <c r="CP2535" s="14"/>
      <c r="CQ2535" s="14"/>
      <c r="CR2535" s="14"/>
      <c r="CS2535" s="14"/>
      <c r="CT2535" s="14"/>
      <c r="CU2535" s="16"/>
      <c r="CV2535" s="14"/>
      <c r="CW2535" s="50"/>
      <c r="CX2535" s="17"/>
    </row>
    <row r="2536" spans="4:102" x14ac:dyDescent="0.25">
      <c r="D2536" s="11"/>
      <c r="E2536" s="11"/>
      <c r="F2536" s="11"/>
      <c r="G2536" s="11"/>
      <c r="H2536" s="11"/>
      <c r="I2536" s="11"/>
      <c r="J2536" s="11"/>
      <c r="K2536" s="11"/>
      <c r="L2536" s="11"/>
      <c r="M2536" s="11"/>
      <c r="N2536" s="11"/>
      <c r="O2536" s="11"/>
      <c r="P2536" s="43"/>
      <c r="Q2536" s="11"/>
      <c r="R2536" s="11"/>
      <c r="S2536" s="11"/>
      <c r="T2536" s="11"/>
      <c r="U2536" s="11"/>
      <c r="V2536" s="11"/>
      <c r="W2536" s="11"/>
      <c r="X2536" s="12"/>
      <c r="Y2536" s="12"/>
      <c r="Z2536" s="12"/>
      <c r="AA2536" s="44"/>
      <c r="AB2536" s="45"/>
      <c r="AC2536" s="12"/>
      <c r="AD2536" s="12"/>
      <c r="AE2536" s="12"/>
      <c r="AF2536" s="12"/>
      <c r="AG2536" s="44"/>
      <c r="AH2536" s="45"/>
      <c r="AI2536" s="12"/>
      <c r="AJ2536" s="12"/>
      <c r="AK2536" s="12"/>
      <c r="AL2536" s="12"/>
      <c r="AM2536" s="44"/>
      <c r="AN2536" s="45"/>
      <c r="AO2536" s="12"/>
      <c r="AP2536" s="12"/>
      <c r="AQ2536" s="12"/>
      <c r="AR2536" s="12"/>
      <c r="AS2536" s="44"/>
      <c r="AT2536" s="45"/>
      <c r="AU2536" s="12"/>
      <c r="AV2536" s="12"/>
      <c r="AW2536" s="12"/>
      <c r="AX2536" s="12"/>
      <c r="AY2536" s="44"/>
      <c r="AZ2536" s="45"/>
      <c r="BA2536" s="12"/>
      <c r="BB2536" s="12"/>
      <c r="BC2536" s="12"/>
      <c r="BD2536" s="12"/>
      <c r="BE2536" s="44"/>
      <c r="BF2536" s="45"/>
      <c r="BG2536" s="12"/>
      <c r="BH2536" s="12"/>
      <c r="BI2536" s="12"/>
      <c r="BJ2536" s="12"/>
      <c r="BK2536" s="44"/>
      <c r="BL2536" s="45"/>
      <c r="BM2536" s="12"/>
      <c r="BN2536" s="12"/>
      <c r="BO2536" s="12"/>
      <c r="BP2536" s="12"/>
      <c r="BQ2536" s="48"/>
      <c r="BR2536" s="49"/>
      <c r="BS2536" s="13"/>
      <c r="BT2536" s="12"/>
      <c r="BV2536" s="14"/>
      <c r="BW2536" s="50"/>
      <c r="BX2536" s="54"/>
      <c r="BY2536" s="14"/>
      <c r="BZ2536" s="14"/>
      <c r="CA2536" s="14"/>
      <c r="CB2536" s="14"/>
      <c r="CC2536" s="14"/>
      <c r="CD2536" s="14"/>
      <c r="CE2536" s="14"/>
      <c r="CF2536" s="15"/>
      <c r="CG2536" s="14"/>
      <c r="CH2536" s="14"/>
      <c r="CI2536" s="50"/>
      <c r="CJ2536" s="54"/>
      <c r="CK2536" s="14"/>
      <c r="CL2536" s="14"/>
      <c r="CM2536" s="14"/>
      <c r="CN2536" s="14"/>
      <c r="CO2536" s="14"/>
      <c r="CP2536" s="14"/>
      <c r="CQ2536" s="14"/>
      <c r="CR2536" s="14"/>
      <c r="CS2536" s="14"/>
      <c r="CT2536" s="14"/>
      <c r="CU2536" s="16"/>
      <c r="CV2536" s="14"/>
      <c r="CW2536" s="50"/>
      <c r="CX2536" s="17"/>
    </row>
    <row r="2537" spans="4:102" x14ac:dyDescent="0.25">
      <c r="D2537" s="11"/>
      <c r="E2537" s="11"/>
      <c r="F2537" s="11"/>
      <c r="G2537" s="11"/>
      <c r="H2537" s="11"/>
      <c r="I2537" s="11"/>
      <c r="J2537" s="11"/>
      <c r="K2537" s="11"/>
      <c r="L2537" s="11"/>
      <c r="M2537" s="11"/>
      <c r="N2537" s="11"/>
      <c r="O2537" s="11"/>
      <c r="P2537" s="43"/>
      <c r="Q2537" s="11"/>
      <c r="R2537" s="11"/>
      <c r="S2537" s="11"/>
      <c r="T2537" s="11"/>
      <c r="U2537" s="11"/>
      <c r="V2537" s="11"/>
      <c r="W2537" s="11"/>
      <c r="X2537" s="12"/>
      <c r="Y2537" s="12"/>
      <c r="Z2537" s="12"/>
      <c r="AA2537" s="44"/>
      <c r="AB2537" s="45"/>
      <c r="AC2537" s="12"/>
      <c r="AD2537" s="12"/>
      <c r="AE2537" s="12"/>
      <c r="AF2537" s="12"/>
      <c r="AG2537" s="44"/>
      <c r="AH2537" s="45"/>
      <c r="AI2537" s="12"/>
      <c r="AJ2537" s="12"/>
      <c r="AK2537" s="12"/>
      <c r="AL2537" s="12"/>
      <c r="AM2537" s="44"/>
      <c r="AN2537" s="45"/>
      <c r="AO2537" s="12"/>
      <c r="AP2537" s="12"/>
      <c r="AQ2537" s="12"/>
      <c r="AR2537" s="12"/>
      <c r="AS2537" s="44"/>
      <c r="AT2537" s="45"/>
      <c r="AU2537" s="12"/>
      <c r="AV2537" s="12"/>
      <c r="AW2537" s="12"/>
      <c r="AX2537" s="12"/>
      <c r="AY2537" s="44"/>
      <c r="AZ2537" s="45"/>
      <c r="BA2537" s="12"/>
      <c r="BB2537" s="12"/>
      <c r="BC2537" s="12"/>
      <c r="BD2537" s="12"/>
      <c r="BE2537" s="44"/>
      <c r="BF2537" s="45"/>
      <c r="BG2537" s="12"/>
      <c r="BH2537" s="12"/>
      <c r="BI2537" s="12"/>
      <c r="BJ2537" s="12"/>
      <c r="BK2537" s="44"/>
      <c r="BL2537" s="45"/>
      <c r="BM2537" s="12"/>
      <c r="BN2537" s="12"/>
      <c r="BO2537" s="12"/>
      <c r="BP2537" s="12"/>
      <c r="BQ2537" s="48"/>
      <c r="BR2537" s="49"/>
      <c r="BS2537" s="13"/>
      <c r="BT2537" s="12"/>
      <c r="BV2537" s="14"/>
      <c r="BW2537" s="50"/>
      <c r="BX2537" s="54"/>
      <c r="BY2537" s="14"/>
      <c r="BZ2537" s="14"/>
      <c r="CA2537" s="14"/>
      <c r="CB2537" s="14"/>
      <c r="CC2537" s="14"/>
      <c r="CD2537" s="14"/>
      <c r="CE2537" s="14"/>
      <c r="CF2537" s="15"/>
      <c r="CG2537" s="14"/>
      <c r="CH2537" s="14"/>
      <c r="CI2537" s="50"/>
      <c r="CJ2537" s="54"/>
      <c r="CK2537" s="14"/>
      <c r="CL2537" s="14"/>
      <c r="CM2537" s="14"/>
      <c r="CN2537" s="14"/>
      <c r="CO2537" s="14"/>
      <c r="CP2537" s="14"/>
      <c r="CQ2537" s="14"/>
      <c r="CR2537" s="14"/>
      <c r="CS2537" s="14"/>
      <c r="CT2537" s="14"/>
      <c r="CU2537" s="16"/>
      <c r="CV2537" s="14"/>
      <c r="CW2537" s="50"/>
      <c r="CX2537" s="17"/>
    </row>
    <row r="2538" spans="4:102" x14ac:dyDescent="0.25">
      <c r="D2538" s="11"/>
      <c r="E2538" s="11"/>
      <c r="F2538" s="11"/>
      <c r="G2538" s="11"/>
      <c r="H2538" s="11"/>
      <c r="I2538" s="11"/>
      <c r="J2538" s="11"/>
      <c r="K2538" s="11"/>
      <c r="L2538" s="11"/>
      <c r="M2538" s="11"/>
      <c r="N2538" s="11"/>
      <c r="O2538" s="11"/>
      <c r="P2538" s="43"/>
      <c r="Q2538" s="11"/>
      <c r="R2538" s="11"/>
      <c r="S2538" s="11"/>
      <c r="T2538" s="11"/>
      <c r="U2538" s="11"/>
      <c r="V2538" s="11"/>
      <c r="W2538" s="11"/>
      <c r="X2538" s="12"/>
      <c r="Y2538" s="12"/>
      <c r="Z2538" s="12"/>
      <c r="AA2538" s="44"/>
      <c r="AB2538" s="45"/>
      <c r="AC2538" s="12"/>
      <c r="AD2538" s="12"/>
      <c r="AE2538" s="12"/>
      <c r="AF2538" s="12"/>
      <c r="AG2538" s="44"/>
      <c r="AH2538" s="45"/>
      <c r="AI2538" s="12"/>
      <c r="AJ2538" s="12"/>
      <c r="AK2538" s="12"/>
      <c r="AL2538" s="12"/>
      <c r="AM2538" s="44"/>
      <c r="AN2538" s="45"/>
      <c r="AO2538" s="12"/>
      <c r="AP2538" s="12"/>
      <c r="AQ2538" s="12"/>
      <c r="AR2538" s="12"/>
      <c r="AS2538" s="44"/>
      <c r="AT2538" s="45"/>
      <c r="AU2538" s="12"/>
      <c r="AV2538" s="12"/>
      <c r="AW2538" s="12"/>
      <c r="AX2538" s="12"/>
      <c r="AY2538" s="44"/>
      <c r="AZ2538" s="45"/>
      <c r="BA2538" s="12"/>
      <c r="BB2538" s="12"/>
      <c r="BC2538" s="12"/>
      <c r="BD2538" s="12"/>
      <c r="BE2538" s="44"/>
      <c r="BF2538" s="45"/>
      <c r="BG2538" s="12"/>
      <c r="BH2538" s="12"/>
      <c r="BI2538" s="12"/>
      <c r="BJ2538" s="12"/>
      <c r="BK2538" s="44"/>
      <c r="BL2538" s="45"/>
      <c r="BM2538" s="12"/>
      <c r="BN2538" s="12"/>
      <c r="BO2538" s="12"/>
      <c r="BP2538" s="12"/>
      <c r="BQ2538" s="48"/>
      <c r="BR2538" s="49"/>
      <c r="BS2538" s="13"/>
      <c r="BT2538" s="12"/>
      <c r="BV2538" s="14"/>
      <c r="BW2538" s="50"/>
      <c r="BX2538" s="54"/>
      <c r="BY2538" s="14"/>
      <c r="BZ2538" s="14"/>
      <c r="CA2538" s="14"/>
      <c r="CB2538" s="14"/>
      <c r="CC2538" s="14"/>
      <c r="CD2538" s="14"/>
      <c r="CE2538" s="14"/>
      <c r="CF2538" s="15"/>
      <c r="CG2538" s="14"/>
      <c r="CH2538" s="14"/>
      <c r="CI2538" s="50"/>
      <c r="CJ2538" s="54"/>
      <c r="CK2538" s="14"/>
      <c r="CL2538" s="14"/>
      <c r="CM2538" s="14"/>
      <c r="CN2538" s="14"/>
      <c r="CO2538" s="14"/>
      <c r="CP2538" s="14"/>
      <c r="CQ2538" s="14"/>
      <c r="CR2538" s="14"/>
      <c r="CS2538" s="14"/>
      <c r="CT2538" s="14"/>
      <c r="CU2538" s="16"/>
      <c r="CV2538" s="14"/>
      <c r="CW2538" s="50"/>
      <c r="CX2538" s="17"/>
    </row>
    <row r="2539" spans="4:102" x14ac:dyDescent="0.25">
      <c r="D2539" s="11"/>
      <c r="E2539" s="11"/>
      <c r="F2539" s="11"/>
      <c r="G2539" s="11"/>
      <c r="H2539" s="11"/>
      <c r="I2539" s="11"/>
      <c r="J2539" s="11"/>
      <c r="K2539" s="11"/>
      <c r="L2539" s="11"/>
      <c r="M2539" s="11"/>
      <c r="N2539" s="11"/>
      <c r="O2539" s="11"/>
      <c r="P2539" s="43"/>
      <c r="Q2539" s="11"/>
      <c r="R2539" s="11"/>
      <c r="S2539" s="11"/>
      <c r="T2539" s="11"/>
      <c r="U2539" s="11"/>
      <c r="V2539" s="11"/>
      <c r="W2539" s="11"/>
      <c r="X2539" s="12"/>
      <c r="Y2539" s="12"/>
      <c r="Z2539" s="12"/>
      <c r="AA2539" s="44"/>
      <c r="AB2539" s="45"/>
      <c r="AC2539" s="12"/>
      <c r="AD2539" s="12"/>
      <c r="AE2539" s="12"/>
      <c r="AF2539" s="12"/>
      <c r="AG2539" s="44"/>
      <c r="AH2539" s="45"/>
      <c r="AI2539" s="12"/>
      <c r="AJ2539" s="12"/>
      <c r="AK2539" s="12"/>
      <c r="AL2539" s="12"/>
      <c r="AM2539" s="44"/>
      <c r="AN2539" s="45"/>
      <c r="AO2539" s="12"/>
      <c r="AP2539" s="12"/>
      <c r="AQ2539" s="12"/>
      <c r="AR2539" s="12"/>
      <c r="AS2539" s="44"/>
      <c r="AT2539" s="45"/>
      <c r="AU2539" s="12"/>
      <c r="AV2539" s="12"/>
      <c r="AW2539" s="12"/>
      <c r="AX2539" s="12"/>
      <c r="AY2539" s="44"/>
      <c r="AZ2539" s="45"/>
      <c r="BA2539" s="12"/>
      <c r="BB2539" s="12"/>
      <c r="BC2539" s="12"/>
      <c r="BD2539" s="12"/>
      <c r="BE2539" s="44"/>
      <c r="BF2539" s="45"/>
      <c r="BG2539" s="12"/>
      <c r="BH2539" s="12"/>
      <c r="BI2539" s="12"/>
      <c r="BJ2539" s="12"/>
      <c r="BK2539" s="44"/>
      <c r="BL2539" s="45"/>
      <c r="BM2539" s="12"/>
      <c r="BN2539" s="12"/>
      <c r="BO2539" s="12"/>
      <c r="BP2539" s="12"/>
      <c r="BQ2539" s="48"/>
      <c r="BR2539" s="49"/>
      <c r="BS2539" s="13"/>
      <c r="BT2539" s="12"/>
      <c r="BV2539" s="14"/>
      <c r="BW2539" s="50"/>
      <c r="BX2539" s="54"/>
      <c r="BY2539" s="14"/>
      <c r="BZ2539" s="14"/>
      <c r="CA2539" s="14"/>
      <c r="CB2539" s="14"/>
      <c r="CC2539" s="14"/>
      <c r="CD2539" s="14"/>
      <c r="CE2539" s="14"/>
      <c r="CF2539" s="15"/>
      <c r="CG2539" s="14"/>
      <c r="CH2539" s="14"/>
      <c r="CI2539" s="50"/>
      <c r="CJ2539" s="54"/>
      <c r="CK2539" s="14"/>
      <c r="CL2539" s="14"/>
      <c r="CM2539" s="14"/>
      <c r="CN2539" s="14"/>
      <c r="CO2539" s="14"/>
      <c r="CP2539" s="14"/>
      <c r="CQ2539" s="14"/>
      <c r="CR2539" s="14"/>
      <c r="CS2539" s="14"/>
      <c r="CT2539" s="14"/>
      <c r="CU2539" s="16"/>
      <c r="CV2539" s="14"/>
      <c r="CW2539" s="50"/>
      <c r="CX2539" s="17"/>
    </row>
    <row r="2540" spans="4:102" x14ac:dyDescent="0.25">
      <c r="D2540" s="11"/>
      <c r="E2540" s="11"/>
      <c r="F2540" s="11"/>
      <c r="G2540" s="11"/>
      <c r="H2540" s="11"/>
      <c r="I2540" s="11"/>
      <c r="J2540" s="11"/>
      <c r="K2540" s="11"/>
      <c r="L2540" s="11"/>
      <c r="M2540" s="11"/>
      <c r="N2540" s="11"/>
      <c r="O2540" s="11"/>
      <c r="P2540" s="43"/>
      <c r="Q2540" s="11"/>
      <c r="R2540" s="11"/>
      <c r="S2540" s="11"/>
      <c r="T2540" s="11"/>
      <c r="U2540" s="11"/>
      <c r="V2540" s="11"/>
      <c r="W2540" s="11"/>
      <c r="X2540" s="12"/>
      <c r="Y2540" s="12"/>
      <c r="Z2540" s="12"/>
      <c r="AA2540" s="44"/>
      <c r="AB2540" s="45"/>
      <c r="AC2540" s="12"/>
      <c r="AD2540" s="12"/>
      <c r="AE2540" s="12"/>
      <c r="AF2540" s="12"/>
      <c r="AG2540" s="44"/>
      <c r="AH2540" s="45"/>
      <c r="AI2540" s="12"/>
      <c r="AJ2540" s="12"/>
      <c r="AK2540" s="12"/>
      <c r="AL2540" s="12"/>
      <c r="AM2540" s="44"/>
      <c r="AN2540" s="45"/>
      <c r="AO2540" s="12"/>
      <c r="AP2540" s="12"/>
      <c r="AQ2540" s="12"/>
      <c r="AR2540" s="12"/>
      <c r="AS2540" s="44"/>
      <c r="AT2540" s="45"/>
      <c r="AU2540" s="12"/>
      <c r="AV2540" s="12"/>
      <c r="AW2540" s="12"/>
      <c r="AX2540" s="12"/>
      <c r="AY2540" s="44"/>
      <c r="AZ2540" s="45"/>
      <c r="BA2540" s="12"/>
      <c r="BB2540" s="12"/>
      <c r="BC2540" s="12"/>
      <c r="BD2540" s="12"/>
      <c r="BE2540" s="44"/>
      <c r="BF2540" s="45"/>
      <c r="BG2540" s="12"/>
      <c r="BH2540" s="12"/>
      <c r="BI2540" s="12"/>
      <c r="BJ2540" s="12"/>
      <c r="BK2540" s="44"/>
      <c r="BL2540" s="45"/>
      <c r="BM2540" s="12"/>
      <c r="BN2540" s="12"/>
      <c r="BO2540" s="12"/>
      <c r="BP2540" s="12"/>
      <c r="BQ2540" s="48"/>
      <c r="BR2540" s="49"/>
      <c r="BS2540" s="13"/>
      <c r="BT2540" s="12"/>
      <c r="BV2540" s="14"/>
      <c r="BW2540" s="50"/>
      <c r="BX2540" s="54"/>
      <c r="BY2540" s="14"/>
      <c r="BZ2540" s="14"/>
      <c r="CA2540" s="14"/>
      <c r="CB2540" s="14"/>
      <c r="CC2540" s="14"/>
      <c r="CD2540" s="14"/>
      <c r="CE2540" s="14"/>
      <c r="CF2540" s="15"/>
      <c r="CG2540" s="14"/>
      <c r="CH2540" s="14"/>
      <c r="CI2540" s="50"/>
      <c r="CJ2540" s="54"/>
      <c r="CK2540" s="14"/>
      <c r="CL2540" s="14"/>
      <c r="CM2540" s="14"/>
      <c r="CN2540" s="14"/>
      <c r="CO2540" s="14"/>
      <c r="CP2540" s="14"/>
      <c r="CQ2540" s="14"/>
      <c r="CR2540" s="14"/>
      <c r="CS2540" s="14"/>
      <c r="CT2540" s="14"/>
      <c r="CU2540" s="16"/>
      <c r="CV2540" s="14"/>
      <c r="CW2540" s="50"/>
      <c r="CX2540" s="17"/>
    </row>
    <row r="2541" spans="4:102" x14ac:dyDescent="0.25">
      <c r="D2541" s="11"/>
      <c r="E2541" s="11"/>
      <c r="F2541" s="11"/>
      <c r="G2541" s="11"/>
      <c r="H2541" s="11"/>
      <c r="I2541" s="11"/>
      <c r="J2541" s="11"/>
      <c r="K2541" s="11"/>
      <c r="L2541" s="11"/>
      <c r="M2541" s="11"/>
      <c r="N2541" s="11"/>
      <c r="O2541" s="11"/>
      <c r="P2541" s="43"/>
      <c r="Q2541" s="11"/>
      <c r="R2541" s="11"/>
      <c r="S2541" s="11"/>
      <c r="T2541" s="11"/>
      <c r="U2541" s="11"/>
      <c r="V2541" s="11"/>
      <c r="W2541" s="11"/>
      <c r="X2541" s="12"/>
      <c r="Y2541" s="12"/>
      <c r="Z2541" s="12"/>
      <c r="AA2541" s="44"/>
      <c r="AB2541" s="45"/>
      <c r="AC2541" s="12"/>
      <c r="AD2541" s="12"/>
      <c r="AE2541" s="12"/>
      <c r="AF2541" s="12"/>
      <c r="AG2541" s="44"/>
      <c r="AH2541" s="45"/>
      <c r="AI2541" s="12"/>
      <c r="AJ2541" s="12"/>
      <c r="AK2541" s="12"/>
      <c r="AL2541" s="12"/>
      <c r="AM2541" s="44"/>
      <c r="AN2541" s="45"/>
      <c r="AO2541" s="12"/>
      <c r="AP2541" s="12"/>
      <c r="AQ2541" s="12"/>
      <c r="AR2541" s="12"/>
      <c r="AS2541" s="44"/>
      <c r="AT2541" s="45"/>
      <c r="AU2541" s="12"/>
      <c r="AV2541" s="12"/>
      <c r="AW2541" s="12"/>
      <c r="AX2541" s="12"/>
      <c r="AY2541" s="44"/>
      <c r="AZ2541" s="45"/>
      <c r="BA2541" s="12"/>
      <c r="BB2541" s="12"/>
      <c r="BC2541" s="12"/>
      <c r="BD2541" s="12"/>
      <c r="BE2541" s="44"/>
      <c r="BF2541" s="45"/>
      <c r="BG2541" s="12"/>
      <c r="BH2541" s="12"/>
      <c r="BI2541" s="12"/>
      <c r="BJ2541" s="12"/>
      <c r="BK2541" s="44"/>
      <c r="BL2541" s="45"/>
      <c r="BM2541" s="12"/>
      <c r="BN2541" s="12"/>
      <c r="BO2541" s="12"/>
      <c r="BP2541" s="12"/>
      <c r="BQ2541" s="48"/>
      <c r="BR2541" s="49"/>
      <c r="BS2541" s="13"/>
      <c r="BT2541" s="12"/>
      <c r="BV2541" s="14"/>
      <c r="BW2541" s="50"/>
      <c r="BX2541" s="54"/>
      <c r="BY2541" s="14"/>
      <c r="BZ2541" s="14"/>
      <c r="CA2541" s="14"/>
      <c r="CB2541" s="14"/>
      <c r="CC2541" s="14"/>
      <c r="CD2541" s="14"/>
      <c r="CE2541" s="14"/>
      <c r="CF2541" s="15"/>
      <c r="CG2541" s="14"/>
      <c r="CH2541" s="14"/>
      <c r="CI2541" s="50"/>
      <c r="CJ2541" s="54"/>
      <c r="CK2541" s="14"/>
      <c r="CL2541" s="14"/>
      <c r="CM2541" s="14"/>
      <c r="CN2541" s="14"/>
      <c r="CO2541" s="14"/>
      <c r="CP2541" s="14"/>
      <c r="CQ2541" s="14"/>
      <c r="CR2541" s="14"/>
      <c r="CS2541" s="14"/>
      <c r="CT2541" s="14"/>
      <c r="CU2541" s="16"/>
      <c r="CV2541" s="14"/>
      <c r="CW2541" s="50"/>
      <c r="CX2541" s="17"/>
    </row>
    <row r="2542" spans="4:102" x14ac:dyDescent="0.25">
      <c r="D2542" s="11"/>
      <c r="E2542" s="11"/>
      <c r="F2542" s="11"/>
      <c r="G2542" s="11"/>
      <c r="H2542" s="11"/>
      <c r="I2542" s="11"/>
      <c r="J2542" s="11"/>
      <c r="K2542" s="11"/>
      <c r="L2542" s="11"/>
      <c r="M2542" s="11"/>
      <c r="N2542" s="11"/>
      <c r="O2542" s="11"/>
      <c r="P2542" s="43"/>
      <c r="Q2542" s="11"/>
      <c r="R2542" s="11"/>
      <c r="S2542" s="11"/>
      <c r="T2542" s="11"/>
      <c r="U2542" s="11"/>
      <c r="V2542" s="11"/>
      <c r="W2542" s="11"/>
      <c r="X2542" s="12"/>
      <c r="Y2542" s="12"/>
      <c r="Z2542" s="12"/>
      <c r="AA2542" s="44"/>
      <c r="AB2542" s="45"/>
      <c r="AC2542" s="12"/>
      <c r="AD2542" s="12"/>
      <c r="AE2542" s="12"/>
      <c r="AF2542" s="12"/>
      <c r="AG2542" s="44"/>
      <c r="AH2542" s="45"/>
      <c r="AI2542" s="12"/>
      <c r="AJ2542" s="12"/>
      <c r="AK2542" s="12"/>
      <c r="AL2542" s="12"/>
      <c r="AM2542" s="44"/>
      <c r="AN2542" s="45"/>
      <c r="AO2542" s="12"/>
      <c r="AP2542" s="12"/>
      <c r="AQ2542" s="12"/>
      <c r="AR2542" s="12"/>
      <c r="AS2542" s="44"/>
      <c r="AT2542" s="45"/>
      <c r="AU2542" s="12"/>
      <c r="AV2542" s="12"/>
      <c r="AW2542" s="12"/>
      <c r="AX2542" s="12"/>
      <c r="AY2542" s="44"/>
      <c r="AZ2542" s="45"/>
      <c r="BA2542" s="12"/>
      <c r="BB2542" s="12"/>
      <c r="BC2542" s="12"/>
      <c r="BD2542" s="12"/>
      <c r="BE2542" s="44"/>
      <c r="BF2542" s="45"/>
      <c r="BG2542" s="12"/>
      <c r="BH2542" s="12"/>
      <c r="BI2542" s="12"/>
      <c r="BJ2542" s="12"/>
      <c r="BK2542" s="44"/>
      <c r="BL2542" s="45"/>
      <c r="BM2542" s="12"/>
      <c r="BN2542" s="12"/>
      <c r="BO2542" s="12"/>
      <c r="BP2542" s="12"/>
      <c r="BQ2542" s="48"/>
      <c r="BR2542" s="49"/>
      <c r="BS2542" s="13"/>
      <c r="BT2542" s="12"/>
      <c r="BV2542" s="14"/>
      <c r="BW2542" s="50"/>
      <c r="BX2542" s="54"/>
      <c r="BY2542" s="14"/>
      <c r="BZ2542" s="14"/>
      <c r="CA2542" s="14"/>
      <c r="CB2542" s="14"/>
      <c r="CC2542" s="14"/>
      <c r="CD2542" s="14"/>
      <c r="CE2542" s="14"/>
      <c r="CF2542" s="15"/>
      <c r="CG2542" s="14"/>
      <c r="CH2542" s="14"/>
      <c r="CI2542" s="50"/>
      <c r="CJ2542" s="54"/>
      <c r="CK2542" s="14"/>
      <c r="CL2542" s="14"/>
      <c r="CM2542" s="14"/>
      <c r="CN2542" s="14"/>
      <c r="CO2542" s="14"/>
      <c r="CP2542" s="14"/>
      <c r="CQ2542" s="14"/>
      <c r="CR2542" s="14"/>
      <c r="CS2542" s="14"/>
      <c r="CT2542" s="14"/>
      <c r="CU2542" s="16"/>
      <c r="CV2542" s="14"/>
      <c r="CW2542" s="50"/>
      <c r="CX2542" s="17"/>
    </row>
    <row r="2543" spans="4:102" x14ac:dyDescent="0.25">
      <c r="D2543" s="11"/>
      <c r="E2543" s="11"/>
      <c r="F2543" s="11"/>
      <c r="G2543" s="11"/>
      <c r="H2543" s="11"/>
      <c r="I2543" s="11"/>
      <c r="J2543" s="11"/>
      <c r="K2543" s="11"/>
      <c r="L2543" s="11"/>
      <c r="M2543" s="11"/>
      <c r="N2543" s="11"/>
      <c r="O2543" s="11"/>
      <c r="P2543" s="43"/>
      <c r="Q2543" s="11"/>
      <c r="R2543" s="11"/>
      <c r="S2543" s="11"/>
      <c r="T2543" s="11"/>
      <c r="U2543" s="11"/>
      <c r="V2543" s="11"/>
      <c r="W2543" s="11"/>
      <c r="X2543" s="12"/>
      <c r="Y2543" s="12"/>
      <c r="Z2543" s="12"/>
      <c r="AA2543" s="44"/>
      <c r="AB2543" s="45"/>
      <c r="AC2543" s="12"/>
      <c r="AD2543" s="12"/>
      <c r="AE2543" s="12"/>
      <c r="AF2543" s="12"/>
      <c r="AG2543" s="44"/>
      <c r="AH2543" s="45"/>
      <c r="AI2543" s="12"/>
      <c r="AJ2543" s="12"/>
      <c r="AK2543" s="12"/>
      <c r="AL2543" s="12"/>
      <c r="AM2543" s="44"/>
      <c r="AN2543" s="45"/>
      <c r="AO2543" s="12"/>
      <c r="AP2543" s="12"/>
      <c r="AQ2543" s="12"/>
      <c r="AR2543" s="12"/>
      <c r="AS2543" s="44"/>
      <c r="AT2543" s="45"/>
      <c r="AU2543" s="12"/>
      <c r="AV2543" s="12"/>
      <c r="AW2543" s="12"/>
      <c r="AX2543" s="12"/>
      <c r="AY2543" s="44"/>
      <c r="AZ2543" s="45"/>
      <c r="BA2543" s="12"/>
      <c r="BB2543" s="12"/>
      <c r="BC2543" s="12"/>
      <c r="BD2543" s="12"/>
      <c r="BE2543" s="44"/>
      <c r="BF2543" s="45"/>
      <c r="BG2543" s="12"/>
      <c r="BH2543" s="12"/>
      <c r="BI2543" s="12"/>
      <c r="BJ2543" s="12"/>
      <c r="BK2543" s="44"/>
      <c r="BL2543" s="45"/>
      <c r="BM2543" s="12"/>
      <c r="BN2543" s="12"/>
      <c r="BO2543" s="12"/>
      <c r="BP2543" s="12"/>
      <c r="BQ2543" s="48"/>
      <c r="BR2543" s="49"/>
      <c r="BS2543" s="13"/>
      <c r="BT2543" s="12"/>
      <c r="BV2543" s="14"/>
      <c r="BW2543" s="50"/>
      <c r="BX2543" s="54"/>
      <c r="BY2543" s="14"/>
      <c r="BZ2543" s="14"/>
      <c r="CA2543" s="14"/>
      <c r="CB2543" s="14"/>
      <c r="CC2543" s="14"/>
      <c r="CD2543" s="14"/>
      <c r="CE2543" s="14"/>
      <c r="CF2543" s="15"/>
      <c r="CG2543" s="14"/>
      <c r="CH2543" s="14"/>
      <c r="CI2543" s="50"/>
      <c r="CJ2543" s="54"/>
      <c r="CK2543" s="14"/>
      <c r="CL2543" s="14"/>
      <c r="CM2543" s="14"/>
      <c r="CN2543" s="14"/>
      <c r="CO2543" s="14"/>
      <c r="CP2543" s="14"/>
      <c r="CQ2543" s="14"/>
      <c r="CR2543" s="14"/>
      <c r="CS2543" s="14"/>
      <c r="CT2543" s="14"/>
      <c r="CU2543" s="16"/>
      <c r="CV2543" s="14"/>
      <c r="CW2543" s="50"/>
      <c r="CX2543" s="17"/>
    </row>
    <row r="2544" spans="4:102" x14ac:dyDescent="0.25">
      <c r="D2544" s="11"/>
      <c r="E2544" s="11"/>
      <c r="F2544" s="11"/>
      <c r="G2544" s="11"/>
      <c r="H2544" s="11"/>
      <c r="I2544" s="11"/>
      <c r="J2544" s="11"/>
      <c r="K2544" s="11"/>
      <c r="L2544" s="11"/>
      <c r="M2544" s="11"/>
      <c r="N2544" s="11"/>
      <c r="O2544" s="11"/>
      <c r="P2544" s="43"/>
      <c r="Q2544" s="11"/>
      <c r="R2544" s="11"/>
      <c r="S2544" s="11"/>
      <c r="T2544" s="11"/>
      <c r="U2544" s="11"/>
      <c r="V2544" s="11"/>
      <c r="W2544" s="11"/>
      <c r="X2544" s="12"/>
      <c r="Y2544" s="12"/>
      <c r="Z2544" s="12"/>
      <c r="AA2544" s="44"/>
      <c r="AB2544" s="45"/>
      <c r="AC2544" s="12"/>
      <c r="AD2544" s="12"/>
      <c r="AE2544" s="12"/>
      <c r="AF2544" s="12"/>
      <c r="AG2544" s="44"/>
      <c r="AH2544" s="45"/>
      <c r="AI2544" s="12"/>
      <c r="AJ2544" s="12"/>
      <c r="AK2544" s="12"/>
      <c r="AL2544" s="12"/>
      <c r="AM2544" s="44"/>
      <c r="AN2544" s="45"/>
      <c r="AO2544" s="12"/>
      <c r="AP2544" s="12"/>
      <c r="AQ2544" s="12"/>
      <c r="AR2544" s="12"/>
      <c r="AS2544" s="44"/>
      <c r="AT2544" s="45"/>
      <c r="AU2544" s="12"/>
      <c r="AV2544" s="12"/>
      <c r="AW2544" s="12"/>
      <c r="AX2544" s="12"/>
      <c r="AY2544" s="44"/>
      <c r="AZ2544" s="45"/>
      <c r="BA2544" s="12"/>
      <c r="BB2544" s="12"/>
      <c r="BC2544" s="12"/>
      <c r="BD2544" s="12"/>
      <c r="BE2544" s="44"/>
      <c r="BF2544" s="45"/>
      <c r="BG2544" s="12"/>
      <c r="BH2544" s="12"/>
      <c r="BI2544" s="12"/>
      <c r="BJ2544" s="12"/>
      <c r="BK2544" s="44"/>
      <c r="BL2544" s="45"/>
      <c r="BM2544" s="12"/>
      <c r="BN2544" s="12"/>
      <c r="BO2544" s="12"/>
      <c r="BP2544" s="12"/>
      <c r="BQ2544" s="48"/>
      <c r="BR2544" s="49"/>
      <c r="BS2544" s="13"/>
      <c r="BT2544" s="12"/>
      <c r="BV2544" s="14"/>
      <c r="BW2544" s="50"/>
      <c r="BX2544" s="54"/>
      <c r="BY2544" s="14"/>
      <c r="BZ2544" s="14"/>
      <c r="CA2544" s="14"/>
      <c r="CB2544" s="14"/>
      <c r="CC2544" s="14"/>
      <c r="CD2544" s="14"/>
      <c r="CE2544" s="14"/>
      <c r="CF2544" s="15"/>
      <c r="CG2544" s="14"/>
      <c r="CH2544" s="14"/>
      <c r="CI2544" s="50"/>
      <c r="CJ2544" s="54"/>
      <c r="CK2544" s="14"/>
      <c r="CL2544" s="14"/>
      <c r="CM2544" s="14"/>
      <c r="CN2544" s="14"/>
      <c r="CO2544" s="14"/>
      <c r="CP2544" s="14"/>
      <c r="CQ2544" s="14"/>
      <c r="CR2544" s="14"/>
      <c r="CS2544" s="14"/>
      <c r="CT2544" s="14"/>
      <c r="CU2544" s="16"/>
      <c r="CV2544" s="14"/>
      <c r="CW2544" s="50"/>
      <c r="CX2544" s="17"/>
    </row>
    <row r="2545" spans="4:102" x14ac:dyDescent="0.25">
      <c r="D2545" s="11"/>
      <c r="E2545" s="11"/>
      <c r="F2545" s="11"/>
      <c r="G2545" s="11"/>
      <c r="H2545" s="11"/>
      <c r="I2545" s="11"/>
      <c r="J2545" s="11"/>
      <c r="K2545" s="11"/>
      <c r="L2545" s="11"/>
      <c r="M2545" s="11"/>
      <c r="N2545" s="11"/>
      <c r="O2545" s="11"/>
      <c r="P2545" s="43"/>
      <c r="Q2545" s="11"/>
      <c r="R2545" s="11"/>
      <c r="S2545" s="11"/>
      <c r="T2545" s="11"/>
      <c r="U2545" s="11"/>
      <c r="V2545" s="11"/>
      <c r="W2545" s="11"/>
      <c r="X2545" s="12"/>
      <c r="Y2545" s="12"/>
      <c r="Z2545" s="12"/>
      <c r="AA2545" s="44"/>
      <c r="AB2545" s="45"/>
      <c r="AC2545" s="12"/>
      <c r="AD2545" s="12"/>
      <c r="AE2545" s="12"/>
      <c r="AF2545" s="12"/>
      <c r="AG2545" s="44"/>
      <c r="AH2545" s="45"/>
      <c r="AI2545" s="12"/>
      <c r="AJ2545" s="12"/>
      <c r="AK2545" s="12"/>
      <c r="AL2545" s="12"/>
      <c r="AM2545" s="44"/>
      <c r="AN2545" s="45"/>
      <c r="AO2545" s="12"/>
      <c r="AP2545" s="12"/>
      <c r="AQ2545" s="12"/>
      <c r="AR2545" s="12"/>
      <c r="AS2545" s="44"/>
      <c r="AT2545" s="45"/>
      <c r="AU2545" s="12"/>
      <c r="AV2545" s="12"/>
      <c r="AW2545" s="12"/>
      <c r="AX2545" s="12"/>
      <c r="AY2545" s="44"/>
      <c r="AZ2545" s="45"/>
      <c r="BA2545" s="12"/>
      <c r="BB2545" s="12"/>
      <c r="BC2545" s="12"/>
      <c r="BD2545" s="12"/>
      <c r="BE2545" s="44"/>
      <c r="BF2545" s="45"/>
      <c r="BG2545" s="12"/>
      <c r="BH2545" s="12"/>
      <c r="BI2545" s="12"/>
      <c r="BJ2545" s="12"/>
      <c r="BK2545" s="44"/>
      <c r="BL2545" s="45"/>
      <c r="BM2545" s="12"/>
      <c r="BN2545" s="12"/>
      <c r="BO2545" s="12"/>
      <c r="BP2545" s="12"/>
      <c r="BQ2545" s="48"/>
      <c r="BR2545" s="49"/>
      <c r="BS2545" s="13"/>
      <c r="BT2545" s="12"/>
      <c r="BV2545" s="14"/>
      <c r="BW2545" s="50"/>
      <c r="BX2545" s="54"/>
      <c r="BY2545" s="14"/>
      <c r="BZ2545" s="14"/>
      <c r="CA2545" s="14"/>
      <c r="CB2545" s="14"/>
      <c r="CC2545" s="14"/>
      <c r="CD2545" s="14"/>
      <c r="CE2545" s="14"/>
      <c r="CF2545" s="15"/>
      <c r="CG2545" s="14"/>
      <c r="CH2545" s="14"/>
      <c r="CI2545" s="50"/>
      <c r="CJ2545" s="54"/>
      <c r="CK2545" s="14"/>
      <c r="CL2545" s="14"/>
      <c r="CM2545" s="14"/>
      <c r="CN2545" s="14"/>
      <c r="CO2545" s="14"/>
      <c r="CP2545" s="14"/>
      <c r="CQ2545" s="14"/>
      <c r="CR2545" s="14"/>
      <c r="CS2545" s="14"/>
      <c r="CT2545" s="14"/>
      <c r="CU2545" s="16"/>
      <c r="CV2545" s="14"/>
      <c r="CW2545" s="50"/>
      <c r="CX2545" s="17"/>
    </row>
    <row r="2546" spans="4:102" x14ac:dyDescent="0.25">
      <c r="D2546" s="11"/>
      <c r="E2546" s="11"/>
      <c r="F2546" s="11"/>
      <c r="G2546" s="11"/>
      <c r="H2546" s="11"/>
      <c r="I2546" s="11"/>
      <c r="J2546" s="11"/>
      <c r="K2546" s="11"/>
      <c r="L2546" s="11"/>
      <c r="M2546" s="11"/>
      <c r="N2546" s="11"/>
      <c r="O2546" s="11"/>
      <c r="P2546" s="43"/>
      <c r="Q2546" s="11"/>
      <c r="R2546" s="11"/>
      <c r="S2546" s="11"/>
      <c r="T2546" s="11"/>
      <c r="U2546" s="11"/>
      <c r="V2546" s="11"/>
      <c r="W2546" s="11"/>
      <c r="X2546" s="12"/>
      <c r="Y2546" s="12"/>
      <c r="Z2546" s="12"/>
      <c r="AA2546" s="44"/>
      <c r="AB2546" s="45"/>
      <c r="AC2546" s="12"/>
      <c r="AD2546" s="12"/>
      <c r="AE2546" s="12"/>
      <c r="AF2546" s="12"/>
      <c r="AG2546" s="44"/>
      <c r="AH2546" s="45"/>
      <c r="AI2546" s="12"/>
      <c r="AJ2546" s="12"/>
      <c r="AK2546" s="12"/>
      <c r="AL2546" s="12"/>
      <c r="AM2546" s="44"/>
      <c r="AN2546" s="45"/>
      <c r="AO2546" s="12"/>
      <c r="AP2546" s="12"/>
      <c r="AQ2546" s="12"/>
      <c r="AR2546" s="12"/>
      <c r="AS2546" s="44"/>
      <c r="AT2546" s="45"/>
      <c r="AU2546" s="12"/>
      <c r="AV2546" s="12"/>
      <c r="AW2546" s="12"/>
      <c r="AX2546" s="12"/>
      <c r="AY2546" s="44"/>
      <c r="AZ2546" s="45"/>
      <c r="BA2546" s="12"/>
      <c r="BB2546" s="12"/>
      <c r="BC2546" s="12"/>
      <c r="BD2546" s="12"/>
      <c r="BE2546" s="44"/>
      <c r="BF2546" s="45"/>
      <c r="BG2546" s="12"/>
      <c r="BH2546" s="12"/>
      <c r="BI2546" s="12"/>
      <c r="BJ2546" s="12"/>
      <c r="BK2546" s="44"/>
      <c r="BL2546" s="45"/>
      <c r="BM2546" s="12"/>
      <c r="BN2546" s="12"/>
      <c r="BO2546" s="12"/>
      <c r="BP2546" s="12"/>
      <c r="BQ2546" s="48"/>
      <c r="BR2546" s="49"/>
      <c r="BS2546" s="13"/>
      <c r="BT2546" s="12"/>
      <c r="BV2546" s="14"/>
      <c r="BW2546" s="50"/>
      <c r="BX2546" s="54"/>
      <c r="BY2546" s="14"/>
      <c r="BZ2546" s="14"/>
      <c r="CA2546" s="14"/>
      <c r="CB2546" s="14"/>
      <c r="CC2546" s="14"/>
      <c r="CD2546" s="14"/>
      <c r="CE2546" s="14"/>
      <c r="CF2546" s="15"/>
      <c r="CG2546" s="14"/>
      <c r="CH2546" s="14"/>
      <c r="CI2546" s="50"/>
      <c r="CJ2546" s="54"/>
      <c r="CK2546" s="14"/>
      <c r="CL2546" s="14"/>
      <c r="CM2546" s="14"/>
      <c r="CN2546" s="14"/>
      <c r="CO2546" s="14"/>
      <c r="CP2546" s="14"/>
      <c r="CQ2546" s="14"/>
      <c r="CR2546" s="14"/>
      <c r="CS2546" s="14"/>
      <c r="CT2546" s="14"/>
      <c r="CU2546" s="16"/>
      <c r="CV2546" s="14"/>
      <c r="CW2546" s="50"/>
      <c r="CX2546" s="17"/>
    </row>
    <row r="2547" spans="4:102" x14ac:dyDescent="0.25">
      <c r="D2547" s="11"/>
      <c r="E2547" s="11"/>
      <c r="F2547" s="11"/>
      <c r="G2547" s="11"/>
      <c r="H2547" s="11"/>
      <c r="I2547" s="11"/>
      <c r="J2547" s="11"/>
      <c r="K2547" s="11"/>
      <c r="L2547" s="11"/>
      <c r="M2547" s="11"/>
      <c r="N2547" s="11"/>
      <c r="O2547" s="11"/>
      <c r="P2547" s="43"/>
      <c r="Q2547" s="11"/>
      <c r="R2547" s="11"/>
      <c r="S2547" s="11"/>
      <c r="T2547" s="11"/>
      <c r="U2547" s="11"/>
      <c r="V2547" s="11"/>
      <c r="W2547" s="11"/>
      <c r="X2547" s="12"/>
      <c r="Y2547" s="12"/>
      <c r="Z2547" s="12"/>
      <c r="AA2547" s="44"/>
      <c r="AB2547" s="45"/>
      <c r="AC2547" s="12"/>
      <c r="AD2547" s="12"/>
      <c r="AE2547" s="12"/>
      <c r="AF2547" s="12"/>
      <c r="AG2547" s="44"/>
      <c r="AH2547" s="45"/>
      <c r="AI2547" s="12"/>
      <c r="AJ2547" s="12"/>
      <c r="AK2547" s="12"/>
      <c r="AL2547" s="12"/>
      <c r="AM2547" s="44"/>
      <c r="AN2547" s="45"/>
      <c r="AO2547" s="12"/>
      <c r="AP2547" s="12"/>
      <c r="AQ2547" s="12"/>
      <c r="AR2547" s="12"/>
      <c r="AS2547" s="44"/>
      <c r="AT2547" s="45"/>
      <c r="AU2547" s="12"/>
      <c r="AV2547" s="12"/>
      <c r="AW2547" s="12"/>
      <c r="AX2547" s="12"/>
      <c r="AY2547" s="44"/>
      <c r="AZ2547" s="45"/>
      <c r="BA2547" s="12"/>
      <c r="BB2547" s="12"/>
      <c r="BC2547" s="12"/>
      <c r="BD2547" s="12"/>
      <c r="BE2547" s="44"/>
      <c r="BF2547" s="45"/>
      <c r="BG2547" s="12"/>
      <c r="BH2547" s="12"/>
      <c r="BI2547" s="12"/>
      <c r="BJ2547" s="12"/>
      <c r="BK2547" s="44"/>
      <c r="BL2547" s="45"/>
      <c r="BM2547" s="12"/>
      <c r="BN2547" s="12"/>
      <c r="BO2547" s="12"/>
      <c r="BP2547" s="12"/>
      <c r="BQ2547" s="48"/>
      <c r="BR2547" s="49"/>
      <c r="BS2547" s="13"/>
      <c r="BT2547" s="12"/>
      <c r="BV2547" s="14"/>
      <c r="BW2547" s="50"/>
      <c r="BX2547" s="54"/>
      <c r="BY2547" s="14"/>
      <c r="BZ2547" s="14"/>
      <c r="CA2547" s="14"/>
      <c r="CB2547" s="14"/>
      <c r="CC2547" s="14"/>
      <c r="CD2547" s="14"/>
      <c r="CE2547" s="14"/>
      <c r="CF2547" s="15"/>
      <c r="CG2547" s="14"/>
      <c r="CH2547" s="14"/>
      <c r="CI2547" s="50"/>
      <c r="CJ2547" s="54"/>
      <c r="CK2547" s="14"/>
      <c r="CL2547" s="14"/>
      <c r="CM2547" s="14"/>
      <c r="CN2547" s="14"/>
      <c r="CO2547" s="14"/>
      <c r="CP2547" s="14"/>
      <c r="CQ2547" s="14"/>
      <c r="CR2547" s="14"/>
      <c r="CS2547" s="14"/>
      <c r="CT2547" s="14"/>
      <c r="CU2547" s="16"/>
      <c r="CV2547" s="14"/>
      <c r="CW2547" s="50"/>
      <c r="CX2547" s="17"/>
    </row>
    <row r="2548" spans="4:102" x14ac:dyDescent="0.25">
      <c r="D2548" s="11"/>
      <c r="E2548" s="11"/>
      <c r="F2548" s="11"/>
      <c r="G2548" s="11"/>
      <c r="H2548" s="11"/>
      <c r="I2548" s="11"/>
      <c r="J2548" s="11"/>
      <c r="K2548" s="11"/>
      <c r="L2548" s="11"/>
      <c r="M2548" s="11"/>
      <c r="N2548" s="11"/>
      <c r="O2548" s="11"/>
      <c r="P2548" s="43"/>
      <c r="Q2548" s="11"/>
      <c r="R2548" s="11"/>
      <c r="S2548" s="11"/>
      <c r="T2548" s="11"/>
      <c r="U2548" s="11"/>
      <c r="V2548" s="11"/>
      <c r="W2548" s="11"/>
      <c r="X2548" s="12"/>
      <c r="Y2548" s="12"/>
      <c r="Z2548" s="12"/>
      <c r="AA2548" s="44"/>
      <c r="AB2548" s="45"/>
      <c r="AC2548" s="12"/>
      <c r="AD2548" s="12"/>
      <c r="AE2548" s="12"/>
      <c r="AF2548" s="12"/>
      <c r="AG2548" s="44"/>
      <c r="AH2548" s="45"/>
      <c r="AI2548" s="12"/>
      <c r="AJ2548" s="12"/>
      <c r="AK2548" s="12"/>
      <c r="AL2548" s="12"/>
      <c r="AM2548" s="44"/>
      <c r="AN2548" s="45"/>
      <c r="AO2548" s="12"/>
      <c r="AP2548" s="12"/>
      <c r="AQ2548" s="12"/>
      <c r="AR2548" s="12"/>
      <c r="AS2548" s="44"/>
      <c r="AT2548" s="45"/>
      <c r="AU2548" s="12"/>
      <c r="AV2548" s="12"/>
      <c r="AW2548" s="12"/>
      <c r="AX2548" s="12"/>
      <c r="AY2548" s="44"/>
      <c r="AZ2548" s="45"/>
      <c r="BA2548" s="12"/>
      <c r="BB2548" s="12"/>
      <c r="BC2548" s="12"/>
      <c r="BD2548" s="12"/>
      <c r="BE2548" s="44"/>
      <c r="BF2548" s="45"/>
      <c r="BG2548" s="12"/>
      <c r="BH2548" s="12"/>
      <c r="BI2548" s="12"/>
      <c r="BJ2548" s="12"/>
      <c r="BK2548" s="44"/>
      <c r="BL2548" s="45"/>
      <c r="BM2548" s="12"/>
      <c r="BN2548" s="12"/>
      <c r="BO2548" s="12"/>
      <c r="BP2548" s="12"/>
      <c r="BQ2548" s="48"/>
      <c r="BR2548" s="49"/>
      <c r="BS2548" s="13"/>
      <c r="BT2548" s="12"/>
      <c r="BV2548" s="14"/>
      <c r="BW2548" s="50"/>
      <c r="BX2548" s="54"/>
      <c r="BY2548" s="14"/>
      <c r="BZ2548" s="14"/>
      <c r="CA2548" s="14"/>
      <c r="CB2548" s="14"/>
      <c r="CC2548" s="14"/>
      <c r="CD2548" s="14"/>
      <c r="CE2548" s="14"/>
      <c r="CF2548" s="15"/>
      <c r="CG2548" s="14"/>
      <c r="CH2548" s="14"/>
      <c r="CI2548" s="50"/>
      <c r="CJ2548" s="54"/>
      <c r="CK2548" s="14"/>
      <c r="CL2548" s="14"/>
      <c r="CM2548" s="14"/>
      <c r="CN2548" s="14"/>
      <c r="CO2548" s="14"/>
      <c r="CP2548" s="14"/>
      <c r="CQ2548" s="14"/>
      <c r="CR2548" s="14"/>
      <c r="CS2548" s="14"/>
      <c r="CT2548" s="14"/>
      <c r="CU2548" s="16"/>
      <c r="CV2548" s="14"/>
      <c r="CW2548" s="50"/>
      <c r="CX2548" s="17"/>
    </row>
    <row r="2549" spans="4:102" x14ac:dyDescent="0.25">
      <c r="D2549" s="11"/>
      <c r="E2549" s="11"/>
      <c r="F2549" s="11"/>
      <c r="G2549" s="11"/>
      <c r="H2549" s="11"/>
      <c r="I2549" s="11"/>
      <c r="J2549" s="11"/>
      <c r="K2549" s="11"/>
      <c r="L2549" s="11"/>
      <c r="M2549" s="11"/>
      <c r="N2549" s="11"/>
      <c r="O2549" s="11"/>
      <c r="P2549" s="43"/>
      <c r="Q2549" s="11"/>
      <c r="R2549" s="11"/>
      <c r="S2549" s="11"/>
      <c r="T2549" s="11"/>
      <c r="U2549" s="11"/>
      <c r="V2549" s="11"/>
      <c r="W2549" s="11"/>
      <c r="X2549" s="12"/>
      <c r="Y2549" s="12"/>
      <c r="Z2549" s="12"/>
      <c r="AA2549" s="44"/>
      <c r="AB2549" s="45"/>
      <c r="AC2549" s="12"/>
      <c r="AD2549" s="12"/>
      <c r="AE2549" s="12"/>
      <c r="AF2549" s="12"/>
      <c r="AG2549" s="44"/>
      <c r="AH2549" s="45"/>
      <c r="AI2549" s="12"/>
      <c r="AJ2549" s="12"/>
      <c r="AK2549" s="12"/>
      <c r="AL2549" s="12"/>
      <c r="AM2549" s="44"/>
      <c r="AN2549" s="45"/>
      <c r="AO2549" s="12"/>
      <c r="AP2549" s="12"/>
      <c r="AQ2549" s="12"/>
      <c r="AR2549" s="12"/>
      <c r="AS2549" s="44"/>
      <c r="AT2549" s="45"/>
      <c r="AU2549" s="12"/>
      <c r="AV2549" s="12"/>
      <c r="AW2549" s="12"/>
      <c r="AX2549" s="12"/>
      <c r="AY2549" s="44"/>
      <c r="AZ2549" s="45"/>
      <c r="BA2549" s="12"/>
      <c r="BB2549" s="12"/>
      <c r="BC2549" s="12"/>
      <c r="BD2549" s="12"/>
      <c r="BE2549" s="44"/>
      <c r="BF2549" s="45"/>
      <c r="BG2549" s="12"/>
      <c r="BH2549" s="12"/>
      <c r="BI2549" s="12"/>
      <c r="BJ2549" s="12"/>
      <c r="BK2549" s="44"/>
      <c r="BL2549" s="45"/>
      <c r="BM2549" s="12"/>
      <c r="BN2549" s="12"/>
      <c r="BO2549" s="12"/>
      <c r="BP2549" s="12"/>
      <c r="BQ2549" s="48"/>
      <c r="BR2549" s="49"/>
      <c r="BS2549" s="13"/>
      <c r="BT2549" s="12"/>
      <c r="BV2549" s="14"/>
      <c r="BW2549" s="50"/>
      <c r="BX2549" s="54"/>
      <c r="BY2549" s="14"/>
      <c r="BZ2549" s="14"/>
      <c r="CA2549" s="14"/>
      <c r="CB2549" s="14"/>
      <c r="CC2549" s="14"/>
      <c r="CD2549" s="14"/>
      <c r="CE2549" s="14"/>
      <c r="CF2549" s="15"/>
      <c r="CG2549" s="14"/>
      <c r="CH2549" s="14"/>
      <c r="CI2549" s="50"/>
      <c r="CJ2549" s="54"/>
      <c r="CK2549" s="14"/>
      <c r="CL2549" s="14"/>
      <c r="CM2549" s="14"/>
      <c r="CN2549" s="14"/>
      <c r="CO2549" s="14"/>
      <c r="CP2549" s="14"/>
      <c r="CQ2549" s="14"/>
      <c r="CR2549" s="14"/>
      <c r="CS2549" s="14"/>
      <c r="CT2549" s="14"/>
      <c r="CU2549" s="16"/>
      <c r="CV2549" s="14"/>
      <c r="CW2549" s="50"/>
      <c r="CX2549" s="17"/>
    </row>
    <row r="2550" spans="4:102" x14ac:dyDescent="0.25">
      <c r="D2550" s="11"/>
      <c r="E2550" s="11"/>
      <c r="F2550" s="11"/>
      <c r="G2550" s="11"/>
      <c r="H2550" s="11"/>
      <c r="I2550" s="11"/>
      <c r="J2550" s="11"/>
      <c r="K2550" s="11"/>
      <c r="L2550" s="11"/>
      <c r="M2550" s="11"/>
      <c r="N2550" s="11"/>
      <c r="O2550" s="11"/>
      <c r="P2550" s="43"/>
      <c r="Q2550" s="11"/>
      <c r="R2550" s="11"/>
      <c r="S2550" s="11"/>
      <c r="T2550" s="11"/>
      <c r="U2550" s="11"/>
      <c r="V2550" s="11"/>
      <c r="W2550" s="11"/>
      <c r="X2550" s="12"/>
      <c r="Y2550" s="12"/>
      <c r="Z2550" s="12"/>
      <c r="AA2550" s="44"/>
      <c r="AB2550" s="45"/>
      <c r="AC2550" s="12"/>
      <c r="AD2550" s="12"/>
      <c r="AE2550" s="12"/>
      <c r="AF2550" s="12"/>
      <c r="AG2550" s="44"/>
      <c r="AH2550" s="45"/>
      <c r="AI2550" s="12"/>
      <c r="AJ2550" s="12"/>
      <c r="AK2550" s="12"/>
      <c r="AL2550" s="12"/>
      <c r="AM2550" s="44"/>
      <c r="AN2550" s="45"/>
      <c r="AO2550" s="12"/>
      <c r="AP2550" s="12"/>
      <c r="AQ2550" s="12"/>
      <c r="AR2550" s="12"/>
      <c r="AS2550" s="44"/>
      <c r="AT2550" s="45"/>
      <c r="AU2550" s="12"/>
      <c r="AV2550" s="12"/>
      <c r="AW2550" s="12"/>
      <c r="AX2550" s="12"/>
      <c r="AY2550" s="44"/>
      <c r="AZ2550" s="45"/>
      <c r="BA2550" s="12"/>
      <c r="BB2550" s="12"/>
      <c r="BC2550" s="12"/>
      <c r="BD2550" s="12"/>
      <c r="BE2550" s="44"/>
      <c r="BF2550" s="45"/>
      <c r="BG2550" s="12"/>
      <c r="BH2550" s="12"/>
      <c r="BI2550" s="12"/>
      <c r="BJ2550" s="12"/>
      <c r="BK2550" s="44"/>
      <c r="BL2550" s="45"/>
      <c r="BM2550" s="12"/>
      <c r="BN2550" s="12"/>
      <c r="BO2550" s="12"/>
      <c r="BP2550" s="12"/>
      <c r="BQ2550" s="48"/>
      <c r="BR2550" s="49"/>
      <c r="BS2550" s="13"/>
      <c r="BT2550" s="12"/>
      <c r="BV2550" s="14"/>
      <c r="BW2550" s="50"/>
      <c r="BX2550" s="54"/>
      <c r="BY2550" s="14"/>
      <c r="BZ2550" s="14"/>
      <c r="CA2550" s="14"/>
      <c r="CB2550" s="14"/>
      <c r="CC2550" s="14"/>
      <c r="CD2550" s="14"/>
      <c r="CE2550" s="14"/>
      <c r="CF2550" s="15"/>
      <c r="CG2550" s="14"/>
      <c r="CH2550" s="14"/>
      <c r="CI2550" s="50"/>
      <c r="CJ2550" s="54"/>
      <c r="CK2550" s="14"/>
      <c r="CL2550" s="14"/>
      <c r="CM2550" s="14"/>
      <c r="CN2550" s="14"/>
      <c r="CO2550" s="14"/>
      <c r="CP2550" s="14"/>
      <c r="CQ2550" s="14"/>
      <c r="CR2550" s="14"/>
      <c r="CS2550" s="14"/>
      <c r="CT2550" s="14"/>
      <c r="CU2550" s="16"/>
      <c r="CV2550" s="14"/>
      <c r="CW2550" s="50"/>
      <c r="CX2550" s="17"/>
    </row>
    <row r="2551" spans="4:102" x14ac:dyDescent="0.25">
      <c r="D2551" s="11"/>
      <c r="E2551" s="11"/>
      <c r="F2551" s="11"/>
      <c r="G2551" s="11"/>
      <c r="H2551" s="11"/>
      <c r="I2551" s="11"/>
      <c r="J2551" s="11"/>
      <c r="K2551" s="11"/>
      <c r="L2551" s="11"/>
      <c r="M2551" s="11"/>
      <c r="N2551" s="11"/>
      <c r="O2551" s="11"/>
      <c r="P2551" s="43"/>
      <c r="Q2551" s="11"/>
      <c r="R2551" s="11"/>
      <c r="S2551" s="11"/>
      <c r="T2551" s="11"/>
      <c r="U2551" s="11"/>
      <c r="V2551" s="11"/>
      <c r="W2551" s="11"/>
      <c r="X2551" s="12"/>
      <c r="Y2551" s="12"/>
      <c r="Z2551" s="12"/>
      <c r="AA2551" s="44"/>
      <c r="AB2551" s="45"/>
      <c r="AC2551" s="12"/>
      <c r="AD2551" s="12"/>
      <c r="AE2551" s="12"/>
      <c r="AF2551" s="12"/>
      <c r="AG2551" s="44"/>
      <c r="AH2551" s="45"/>
      <c r="AI2551" s="12"/>
      <c r="AJ2551" s="12"/>
      <c r="AK2551" s="12"/>
      <c r="AL2551" s="12"/>
      <c r="AM2551" s="44"/>
      <c r="AN2551" s="45"/>
      <c r="AO2551" s="12"/>
      <c r="AP2551" s="12"/>
      <c r="AQ2551" s="12"/>
      <c r="AR2551" s="12"/>
      <c r="AS2551" s="44"/>
      <c r="AT2551" s="45"/>
      <c r="AU2551" s="12"/>
      <c r="AV2551" s="12"/>
      <c r="AW2551" s="12"/>
      <c r="AX2551" s="12"/>
      <c r="AY2551" s="44"/>
      <c r="AZ2551" s="45"/>
      <c r="BA2551" s="12"/>
      <c r="BB2551" s="12"/>
      <c r="BC2551" s="12"/>
      <c r="BD2551" s="12"/>
      <c r="BE2551" s="44"/>
      <c r="BF2551" s="45"/>
      <c r="BG2551" s="12"/>
      <c r="BH2551" s="12"/>
      <c r="BI2551" s="12"/>
      <c r="BJ2551" s="12"/>
      <c r="BK2551" s="44"/>
      <c r="BL2551" s="45"/>
      <c r="BM2551" s="12"/>
      <c r="BN2551" s="12"/>
      <c r="BO2551" s="12"/>
      <c r="BP2551" s="12"/>
      <c r="BQ2551" s="48"/>
      <c r="BR2551" s="49"/>
      <c r="BS2551" s="13"/>
      <c r="BT2551" s="12"/>
      <c r="BV2551" s="14"/>
      <c r="BW2551" s="50"/>
      <c r="BX2551" s="54"/>
      <c r="BY2551" s="14"/>
      <c r="BZ2551" s="14"/>
      <c r="CA2551" s="14"/>
      <c r="CB2551" s="14"/>
      <c r="CC2551" s="14"/>
      <c r="CD2551" s="14"/>
      <c r="CE2551" s="14"/>
      <c r="CF2551" s="15"/>
      <c r="CG2551" s="14"/>
      <c r="CH2551" s="14"/>
      <c r="CI2551" s="50"/>
      <c r="CJ2551" s="54"/>
      <c r="CK2551" s="14"/>
      <c r="CL2551" s="14"/>
      <c r="CM2551" s="14"/>
      <c r="CN2551" s="14"/>
      <c r="CO2551" s="14"/>
      <c r="CP2551" s="14"/>
      <c r="CQ2551" s="14"/>
      <c r="CR2551" s="14"/>
      <c r="CS2551" s="14"/>
      <c r="CT2551" s="14"/>
      <c r="CU2551" s="16"/>
      <c r="CV2551" s="14"/>
      <c r="CW2551" s="50"/>
      <c r="CX2551" s="17"/>
    </row>
    <row r="2552" spans="4:102" x14ac:dyDescent="0.25">
      <c r="D2552" s="11"/>
      <c r="E2552" s="11"/>
      <c r="F2552" s="11"/>
      <c r="G2552" s="11"/>
      <c r="H2552" s="11"/>
      <c r="I2552" s="11"/>
      <c r="J2552" s="11"/>
      <c r="K2552" s="11"/>
      <c r="L2552" s="11"/>
      <c r="M2552" s="11"/>
      <c r="N2552" s="11"/>
      <c r="O2552" s="11"/>
      <c r="P2552" s="43"/>
      <c r="Q2552" s="11"/>
      <c r="R2552" s="11"/>
      <c r="S2552" s="11"/>
      <c r="T2552" s="11"/>
      <c r="U2552" s="11"/>
      <c r="V2552" s="11"/>
      <c r="W2552" s="11"/>
      <c r="X2552" s="12"/>
      <c r="Y2552" s="12"/>
      <c r="Z2552" s="12"/>
      <c r="AA2552" s="44"/>
      <c r="AB2552" s="45"/>
      <c r="AC2552" s="12"/>
      <c r="AD2552" s="12"/>
      <c r="AE2552" s="12"/>
      <c r="AF2552" s="12"/>
      <c r="AG2552" s="44"/>
      <c r="AH2552" s="45"/>
      <c r="AI2552" s="12"/>
      <c r="AJ2552" s="12"/>
      <c r="AK2552" s="12"/>
      <c r="AL2552" s="12"/>
      <c r="AM2552" s="44"/>
      <c r="AN2552" s="45"/>
      <c r="AO2552" s="12"/>
      <c r="AP2552" s="12"/>
      <c r="AQ2552" s="12"/>
      <c r="AR2552" s="12"/>
      <c r="AS2552" s="44"/>
      <c r="AT2552" s="45"/>
      <c r="AU2552" s="12"/>
      <c r="AV2552" s="12"/>
      <c r="AW2552" s="12"/>
      <c r="AX2552" s="12"/>
      <c r="AY2552" s="44"/>
      <c r="AZ2552" s="45"/>
      <c r="BA2552" s="12"/>
      <c r="BB2552" s="12"/>
      <c r="BC2552" s="12"/>
      <c r="BD2552" s="12"/>
      <c r="BE2552" s="44"/>
      <c r="BF2552" s="45"/>
      <c r="BG2552" s="12"/>
      <c r="BH2552" s="12"/>
      <c r="BI2552" s="12"/>
      <c r="BJ2552" s="12"/>
      <c r="BK2552" s="44"/>
      <c r="BL2552" s="45"/>
      <c r="BM2552" s="12"/>
      <c r="BN2552" s="12"/>
      <c r="BO2552" s="12"/>
      <c r="BP2552" s="12"/>
      <c r="BQ2552" s="48"/>
      <c r="BR2552" s="49"/>
      <c r="BS2552" s="13"/>
      <c r="BT2552" s="12"/>
      <c r="BV2552" s="14"/>
      <c r="BW2552" s="50"/>
      <c r="BX2552" s="54"/>
      <c r="BY2552" s="14"/>
      <c r="BZ2552" s="14"/>
      <c r="CA2552" s="14"/>
      <c r="CB2552" s="14"/>
      <c r="CC2552" s="14"/>
      <c r="CD2552" s="14"/>
      <c r="CE2552" s="14"/>
      <c r="CF2552" s="15"/>
      <c r="CG2552" s="14"/>
      <c r="CH2552" s="14"/>
      <c r="CI2552" s="50"/>
      <c r="CJ2552" s="54"/>
      <c r="CK2552" s="14"/>
      <c r="CL2552" s="14"/>
      <c r="CM2552" s="14"/>
      <c r="CN2552" s="14"/>
      <c r="CO2552" s="14"/>
      <c r="CP2552" s="14"/>
      <c r="CQ2552" s="14"/>
      <c r="CR2552" s="14"/>
      <c r="CS2552" s="14"/>
      <c r="CT2552" s="14"/>
      <c r="CU2552" s="16"/>
      <c r="CV2552" s="14"/>
      <c r="CW2552" s="50"/>
      <c r="CX2552" s="17"/>
    </row>
    <row r="2553" spans="4:102" x14ac:dyDescent="0.25">
      <c r="D2553" s="11"/>
      <c r="E2553" s="11"/>
      <c r="F2553" s="11"/>
      <c r="G2553" s="11"/>
      <c r="H2553" s="11"/>
      <c r="I2553" s="11"/>
      <c r="J2553" s="11"/>
      <c r="K2553" s="11"/>
      <c r="L2553" s="11"/>
      <c r="M2553" s="11"/>
      <c r="N2553" s="11"/>
      <c r="O2553" s="11"/>
      <c r="P2553" s="43"/>
      <c r="Q2553" s="11"/>
      <c r="R2553" s="11"/>
      <c r="S2553" s="11"/>
      <c r="T2553" s="11"/>
      <c r="U2553" s="11"/>
      <c r="V2553" s="11"/>
      <c r="W2553" s="11"/>
      <c r="X2553" s="12"/>
      <c r="Y2553" s="12"/>
      <c r="Z2553" s="12"/>
      <c r="AA2553" s="44"/>
      <c r="AB2553" s="45"/>
      <c r="AC2553" s="12"/>
      <c r="AD2553" s="12"/>
      <c r="AE2553" s="12"/>
      <c r="AF2553" s="12"/>
      <c r="AG2553" s="44"/>
      <c r="AH2553" s="45"/>
      <c r="AI2553" s="12"/>
      <c r="AJ2553" s="12"/>
      <c r="AK2553" s="12"/>
      <c r="AL2553" s="12"/>
      <c r="AM2553" s="44"/>
      <c r="AN2553" s="45"/>
      <c r="AO2553" s="12"/>
      <c r="AP2553" s="12"/>
      <c r="AQ2553" s="12"/>
      <c r="AR2553" s="12"/>
      <c r="AS2553" s="44"/>
      <c r="AT2553" s="45"/>
      <c r="AU2553" s="12"/>
      <c r="AV2553" s="12"/>
      <c r="AW2553" s="12"/>
      <c r="AX2553" s="12"/>
      <c r="AY2553" s="44"/>
      <c r="AZ2553" s="45"/>
      <c r="BA2553" s="12"/>
      <c r="BB2553" s="12"/>
      <c r="BC2553" s="12"/>
      <c r="BD2553" s="12"/>
      <c r="BE2553" s="44"/>
      <c r="BF2553" s="45"/>
      <c r="BG2553" s="12"/>
      <c r="BH2553" s="12"/>
      <c r="BI2553" s="12"/>
      <c r="BJ2553" s="12"/>
      <c r="BK2553" s="44"/>
      <c r="BL2553" s="45"/>
      <c r="BM2553" s="12"/>
      <c r="BN2553" s="12"/>
      <c r="BO2553" s="12"/>
      <c r="BP2553" s="12"/>
      <c r="BQ2553" s="48"/>
      <c r="BR2553" s="49"/>
      <c r="BS2553" s="13"/>
      <c r="BT2553" s="12"/>
      <c r="BV2553" s="14"/>
      <c r="BW2553" s="50"/>
      <c r="BX2553" s="54"/>
      <c r="BY2553" s="14"/>
      <c r="BZ2553" s="14"/>
      <c r="CA2553" s="14"/>
      <c r="CB2553" s="14"/>
      <c r="CC2553" s="14"/>
      <c r="CD2553" s="14"/>
      <c r="CE2553" s="14"/>
      <c r="CF2553" s="15"/>
      <c r="CG2553" s="14"/>
      <c r="CH2553" s="14"/>
      <c r="CI2553" s="50"/>
      <c r="CJ2553" s="54"/>
      <c r="CK2553" s="14"/>
      <c r="CL2553" s="14"/>
      <c r="CM2553" s="14"/>
      <c r="CN2553" s="14"/>
      <c r="CO2553" s="14"/>
      <c r="CP2553" s="14"/>
      <c r="CQ2553" s="14"/>
      <c r="CR2553" s="14"/>
      <c r="CS2553" s="14"/>
      <c r="CT2553" s="14"/>
      <c r="CU2553" s="16"/>
      <c r="CV2553" s="14"/>
      <c r="CW2553" s="50"/>
      <c r="CX2553" s="17"/>
    </row>
    <row r="2554" spans="4:102" x14ac:dyDescent="0.25">
      <c r="D2554" s="11"/>
      <c r="E2554" s="11"/>
      <c r="F2554" s="11"/>
      <c r="G2554" s="11"/>
      <c r="H2554" s="11"/>
      <c r="I2554" s="11"/>
      <c r="J2554" s="11"/>
      <c r="K2554" s="11"/>
      <c r="L2554" s="11"/>
      <c r="M2554" s="11"/>
      <c r="N2554" s="11"/>
      <c r="O2554" s="11"/>
      <c r="P2554" s="43"/>
      <c r="Q2554" s="11"/>
      <c r="R2554" s="11"/>
      <c r="S2554" s="11"/>
      <c r="T2554" s="11"/>
      <c r="U2554" s="11"/>
      <c r="V2554" s="11"/>
      <c r="W2554" s="11"/>
      <c r="X2554" s="12"/>
      <c r="Y2554" s="12"/>
      <c r="Z2554" s="12"/>
      <c r="AA2554" s="44"/>
      <c r="AB2554" s="45"/>
      <c r="AC2554" s="12"/>
      <c r="AD2554" s="12"/>
      <c r="AE2554" s="12"/>
      <c r="AF2554" s="12"/>
      <c r="AG2554" s="44"/>
      <c r="AH2554" s="45"/>
      <c r="AI2554" s="12"/>
      <c r="AJ2554" s="12"/>
      <c r="AK2554" s="12"/>
      <c r="AL2554" s="12"/>
      <c r="AM2554" s="44"/>
      <c r="AN2554" s="45"/>
      <c r="AO2554" s="12"/>
      <c r="AP2554" s="12"/>
      <c r="AQ2554" s="12"/>
      <c r="AR2554" s="12"/>
      <c r="AS2554" s="44"/>
      <c r="AT2554" s="45"/>
      <c r="AU2554" s="12"/>
      <c r="AV2554" s="12"/>
      <c r="AW2554" s="12"/>
      <c r="AX2554" s="12"/>
      <c r="AY2554" s="44"/>
      <c r="AZ2554" s="45"/>
      <c r="BA2554" s="12"/>
      <c r="BB2554" s="12"/>
      <c r="BC2554" s="12"/>
      <c r="BD2554" s="12"/>
      <c r="BE2554" s="44"/>
      <c r="BF2554" s="45"/>
      <c r="BG2554" s="12"/>
      <c r="BH2554" s="12"/>
      <c r="BI2554" s="12"/>
      <c r="BJ2554" s="12"/>
      <c r="BK2554" s="44"/>
      <c r="BL2554" s="45"/>
      <c r="BM2554" s="12"/>
      <c r="BN2554" s="12"/>
      <c r="BO2554" s="12"/>
      <c r="BP2554" s="12"/>
      <c r="BQ2554" s="48"/>
      <c r="BR2554" s="49"/>
      <c r="BS2554" s="13"/>
      <c r="BT2554" s="12"/>
      <c r="BV2554" s="14"/>
      <c r="BW2554" s="50"/>
      <c r="BX2554" s="54"/>
      <c r="BY2554" s="14"/>
      <c r="BZ2554" s="14"/>
      <c r="CA2554" s="14"/>
      <c r="CB2554" s="14"/>
      <c r="CC2554" s="14"/>
      <c r="CD2554" s="14"/>
      <c r="CE2554" s="14"/>
      <c r="CF2554" s="15"/>
      <c r="CG2554" s="14"/>
      <c r="CH2554" s="14"/>
      <c r="CI2554" s="50"/>
      <c r="CJ2554" s="54"/>
      <c r="CK2554" s="14"/>
      <c r="CL2554" s="14"/>
      <c r="CM2554" s="14"/>
      <c r="CN2554" s="14"/>
      <c r="CO2554" s="14"/>
      <c r="CP2554" s="14"/>
      <c r="CQ2554" s="14"/>
      <c r="CR2554" s="14"/>
      <c r="CS2554" s="14"/>
      <c r="CT2554" s="14"/>
      <c r="CU2554" s="16"/>
      <c r="CV2554" s="14"/>
      <c r="CW2554" s="50"/>
      <c r="CX2554" s="17"/>
    </row>
    <row r="2555" spans="4:102" x14ac:dyDescent="0.25">
      <c r="D2555" s="11"/>
      <c r="E2555" s="11"/>
      <c r="F2555" s="11"/>
      <c r="G2555" s="11"/>
      <c r="H2555" s="11"/>
      <c r="I2555" s="11"/>
      <c r="J2555" s="11"/>
      <c r="K2555" s="11"/>
      <c r="L2555" s="11"/>
      <c r="M2555" s="11"/>
      <c r="N2555" s="11"/>
      <c r="O2555" s="11"/>
      <c r="P2555" s="43"/>
      <c r="Q2555" s="11"/>
      <c r="R2555" s="11"/>
      <c r="S2555" s="11"/>
      <c r="T2555" s="11"/>
      <c r="U2555" s="11"/>
      <c r="V2555" s="11"/>
      <c r="W2555" s="11"/>
      <c r="X2555" s="12"/>
      <c r="Y2555" s="12"/>
      <c r="Z2555" s="12"/>
      <c r="AA2555" s="44"/>
      <c r="AB2555" s="45"/>
      <c r="AC2555" s="12"/>
      <c r="AD2555" s="12"/>
      <c r="AE2555" s="12"/>
      <c r="AF2555" s="12"/>
      <c r="AG2555" s="44"/>
      <c r="AH2555" s="45"/>
      <c r="AI2555" s="12"/>
      <c r="AJ2555" s="12"/>
      <c r="AK2555" s="12"/>
      <c r="AL2555" s="12"/>
      <c r="AM2555" s="44"/>
      <c r="AN2555" s="45"/>
      <c r="AO2555" s="12"/>
      <c r="AP2555" s="12"/>
      <c r="AQ2555" s="12"/>
      <c r="AR2555" s="12"/>
      <c r="AS2555" s="44"/>
      <c r="AT2555" s="45"/>
      <c r="AU2555" s="12"/>
      <c r="AV2555" s="12"/>
      <c r="AW2555" s="12"/>
      <c r="AX2555" s="12"/>
      <c r="AY2555" s="44"/>
      <c r="AZ2555" s="45"/>
      <c r="BA2555" s="12"/>
      <c r="BB2555" s="12"/>
      <c r="BC2555" s="12"/>
      <c r="BD2555" s="12"/>
      <c r="BE2555" s="44"/>
      <c r="BF2555" s="45"/>
      <c r="BG2555" s="12"/>
      <c r="BH2555" s="12"/>
      <c r="BI2555" s="12"/>
      <c r="BJ2555" s="12"/>
      <c r="BK2555" s="44"/>
      <c r="BL2555" s="45"/>
      <c r="BM2555" s="12"/>
      <c r="BN2555" s="12"/>
      <c r="BO2555" s="12"/>
      <c r="BP2555" s="12"/>
      <c r="BQ2555" s="48"/>
      <c r="BR2555" s="49"/>
      <c r="BS2555" s="13"/>
      <c r="BT2555" s="12"/>
      <c r="BV2555" s="14"/>
      <c r="BW2555" s="50"/>
      <c r="BX2555" s="54"/>
      <c r="BY2555" s="14"/>
      <c r="BZ2555" s="14"/>
      <c r="CA2555" s="14"/>
      <c r="CB2555" s="14"/>
      <c r="CC2555" s="14"/>
      <c r="CD2555" s="14"/>
      <c r="CE2555" s="14"/>
      <c r="CF2555" s="15"/>
      <c r="CG2555" s="14"/>
      <c r="CH2555" s="14"/>
      <c r="CI2555" s="50"/>
      <c r="CJ2555" s="54"/>
      <c r="CK2555" s="14"/>
      <c r="CL2555" s="14"/>
      <c r="CM2555" s="14"/>
      <c r="CN2555" s="14"/>
      <c r="CO2555" s="14"/>
      <c r="CP2555" s="14"/>
      <c r="CQ2555" s="14"/>
      <c r="CR2555" s="14"/>
      <c r="CS2555" s="14"/>
      <c r="CT2555" s="14"/>
      <c r="CU2555" s="16"/>
      <c r="CV2555" s="14"/>
      <c r="CW2555" s="50"/>
      <c r="CX2555" s="17"/>
    </row>
    <row r="2556" spans="4:102" x14ac:dyDescent="0.25">
      <c r="D2556" s="11"/>
      <c r="E2556" s="11"/>
      <c r="F2556" s="11"/>
      <c r="G2556" s="11"/>
      <c r="H2556" s="11"/>
      <c r="I2556" s="11"/>
      <c r="J2556" s="11"/>
      <c r="K2556" s="11"/>
      <c r="L2556" s="11"/>
      <c r="M2556" s="11"/>
      <c r="N2556" s="11"/>
      <c r="O2556" s="11"/>
      <c r="P2556" s="43"/>
      <c r="Q2556" s="11"/>
      <c r="R2556" s="11"/>
      <c r="S2556" s="11"/>
      <c r="T2556" s="11"/>
      <c r="U2556" s="11"/>
      <c r="V2556" s="11"/>
      <c r="W2556" s="11"/>
      <c r="X2556" s="12"/>
      <c r="Y2556" s="12"/>
      <c r="Z2556" s="12"/>
      <c r="AA2556" s="44"/>
      <c r="AB2556" s="45"/>
      <c r="AC2556" s="12"/>
      <c r="AD2556" s="12"/>
      <c r="AE2556" s="12"/>
      <c r="AF2556" s="12"/>
      <c r="AG2556" s="44"/>
      <c r="AH2556" s="45"/>
      <c r="AI2556" s="12"/>
      <c r="AJ2556" s="12"/>
      <c r="AK2556" s="12"/>
      <c r="AL2556" s="12"/>
      <c r="AM2556" s="44"/>
      <c r="AN2556" s="45"/>
      <c r="AO2556" s="12"/>
      <c r="AP2556" s="12"/>
      <c r="AQ2556" s="12"/>
      <c r="AR2556" s="12"/>
      <c r="AS2556" s="44"/>
      <c r="AT2556" s="45"/>
      <c r="AU2556" s="12"/>
      <c r="AV2556" s="12"/>
      <c r="AW2556" s="12"/>
      <c r="AX2556" s="12"/>
      <c r="AY2556" s="44"/>
      <c r="AZ2556" s="45"/>
      <c r="BA2556" s="12"/>
      <c r="BB2556" s="12"/>
      <c r="BC2556" s="12"/>
      <c r="BD2556" s="12"/>
      <c r="BE2556" s="44"/>
      <c r="BF2556" s="45"/>
      <c r="BG2556" s="12"/>
      <c r="BH2556" s="12"/>
      <c r="BI2556" s="12"/>
      <c r="BJ2556" s="12"/>
      <c r="BK2556" s="44"/>
      <c r="BL2556" s="45"/>
      <c r="BM2556" s="12"/>
      <c r="BN2556" s="12"/>
      <c r="BO2556" s="12"/>
      <c r="BP2556" s="12"/>
      <c r="BQ2556" s="48"/>
      <c r="BR2556" s="49"/>
      <c r="BS2556" s="13"/>
      <c r="BT2556" s="12"/>
      <c r="BV2556" s="14"/>
      <c r="BW2556" s="50"/>
      <c r="BX2556" s="54"/>
      <c r="BY2556" s="14"/>
      <c r="BZ2556" s="14"/>
      <c r="CA2556" s="14"/>
      <c r="CB2556" s="14"/>
      <c r="CC2556" s="14"/>
      <c r="CD2556" s="14"/>
      <c r="CE2556" s="14"/>
      <c r="CF2556" s="15"/>
      <c r="CG2556" s="14"/>
      <c r="CH2556" s="14"/>
      <c r="CI2556" s="50"/>
      <c r="CJ2556" s="54"/>
      <c r="CK2556" s="14"/>
      <c r="CL2556" s="14"/>
      <c r="CM2556" s="14"/>
      <c r="CN2556" s="14"/>
      <c r="CO2556" s="14"/>
      <c r="CP2556" s="14"/>
      <c r="CQ2556" s="14"/>
      <c r="CR2556" s="14"/>
      <c r="CS2556" s="14"/>
      <c r="CT2556" s="14"/>
      <c r="CU2556" s="16"/>
      <c r="CV2556" s="14"/>
      <c r="CW2556" s="50"/>
      <c r="CX2556" s="17"/>
    </row>
    <row r="2557" spans="4:102" x14ac:dyDescent="0.25">
      <c r="D2557" s="11"/>
      <c r="E2557" s="11"/>
      <c r="F2557" s="11"/>
      <c r="G2557" s="11"/>
      <c r="H2557" s="11"/>
      <c r="I2557" s="11"/>
      <c r="J2557" s="11"/>
      <c r="K2557" s="11"/>
      <c r="L2557" s="11"/>
      <c r="M2557" s="11"/>
      <c r="N2557" s="11"/>
      <c r="O2557" s="11"/>
      <c r="P2557" s="43"/>
      <c r="Q2557" s="11"/>
      <c r="R2557" s="11"/>
      <c r="S2557" s="11"/>
      <c r="T2557" s="11"/>
      <c r="U2557" s="11"/>
      <c r="V2557" s="11"/>
      <c r="W2557" s="11"/>
      <c r="X2557" s="12"/>
      <c r="Y2557" s="12"/>
      <c r="Z2557" s="12"/>
      <c r="AA2557" s="44"/>
      <c r="AB2557" s="45"/>
      <c r="AC2557" s="12"/>
      <c r="AD2557" s="12"/>
      <c r="AE2557" s="12"/>
      <c r="AF2557" s="12"/>
      <c r="AG2557" s="44"/>
      <c r="AH2557" s="45"/>
      <c r="AI2557" s="12"/>
      <c r="AJ2557" s="12"/>
      <c r="AK2557" s="12"/>
      <c r="AL2557" s="12"/>
      <c r="AM2557" s="44"/>
      <c r="AN2557" s="45"/>
      <c r="AO2557" s="12"/>
      <c r="AP2557" s="12"/>
      <c r="AQ2557" s="12"/>
      <c r="AR2557" s="12"/>
      <c r="AS2557" s="44"/>
      <c r="AT2557" s="45"/>
      <c r="AU2557" s="12"/>
      <c r="AV2557" s="12"/>
      <c r="AW2557" s="12"/>
      <c r="AX2557" s="12"/>
      <c r="AY2557" s="44"/>
      <c r="AZ2557" s="45"/>
      <c r="BA2557" s="12"/>
      <c r="BB2557" s="12"/>
      <c r="BC2557" s="12"/>
      <c r="BD2557" s="12"/>
      <c r="BE2557" s="44"/>
      <c r="BF2557" s="45"/>
      <c r="BG2557" s="12"/>
      <c r="BH2557" s="12"/>
      <c r="BI2557" s="12"/>
      <c r="BJ2557" s="12"/>
      <c r="BK2557" s="44"/>
      <c r="BL2557" s="45"/>
      <c r="BM2557" s="12"/>
      <c r="BN2557" s="12"/>
      <c r="BO2557" s="12"/>
      <c r="BP2557" s="12"/>
      <c r="BQ2557" s="48"/>
      <c r="BR2557" s="49"/>
      <c r="BS2557" s="13"/>
      <c r="BT2557" s="12"/>
      <c r="BV2557" s="14"/>
      <c r="BW2557" s="50"/>
      <c r="BX2557" s="54"/>
      <c r="BY2557" s="14"/>
      <c r="BZ2557" s="14"/>
      <c r="CA2557" s="14"/>
      <c r="CB2557" s="14"/>
      <c r="CC2557" s="14"/>
      <c r="CD2557" s="14"/>
      <c r="CE2557" s="14"/>
      <c r="CF2557" s="15"/>
      <c r="CG2557" s="14"/>
      <c r="CH2557" s="14"/>
      <c r="CI2557" s="50"/>
      <c r="CJ2557" s="54"/>
      <c r="CK2557" s="14"/>
      <c r="CL2557" s="14"/>
      <c r="CM2557" s="14"/>
      <c r="CN2557" s="14"/>
      <c r="CO2557" s="14"/>
      <c r="CP2557" s="14"/>
      <c r="CQ2557" s="14"/>
      <c r="CR2557" s="14"/>
      <c r="CS2557" s="14"/>
      <c r="CT2557" s="14"/>
      <c r="CU2557" s="16"/>
      <c r="CV2557" s="14"/>
      <c r="CW2557" s="50"/>
      <c r="CX2557" s="17"/>
    </row>
    <row r="2558" spans="4:102" x14ac:dyDescent="0.25">
      <c r="D2558" s="11"/>
      <c r="E2558" s="11"/>
      <c r="F2558" s="11"/>
      <c r="G2558" s="11"/>
      <c r="H2558" s="11"/>
      <c r="I2558" s="11"/>
      <c r="J2558" s="11"/>
      <c r="K2558" s="11"/>
      <c r="L2558" s="11"/>
      <c r="M2558" s="11"/>
      <c r="N2558" s="11"/>
      <c r="O2558" s="11"/>
      <c r="P2558" s="43"/>
      <c r="Q2558" s="11"/>
      <c r="R2558" s="11"/>
      <c r="S2558" s="11"/>
      <c r="T2558" s="11"/>
      <c r="U2558" s="11"/>
      <c r="V2558" s="11"/>
      <c r="W2558" s="11"/>
      <c r="X2558" s="12"/>
      <c r="Y2558" s="12"/>
      <c r="Z2558" s="12"/>
      <c r="AA2558" s="44"/>
      <c r="AB2558" s="45"/>
      <c r="AC2558" s="12"/>
      <c r="AD2558" s="12"/>
      <c r="AE2558" s="12"/>
      <c r="AF2558" s="12"/>
      <c r="AG2558" s="44"/>
      <c r="AH2558" s="45"/>
      <c r="AI2558" s="12"/>
      <c r="AJ2558" s="12"/>
      <c r="AK2558" s="12"/>
      <c r="AL2558" s="12"/>
      <c r="AM2558" s="44"/>
      <c r="AN2558" s="45"/>
      <c r="AO2558" s="12"/>
      <c r="AP2558" s="12"/>
      <c r="AQ2558" s="12"/>
      <c r="AR2558" s="12"/>
      <c r="AS2558" s="44"/>
      <c r="AT2558" s="45"/>
      <c r="AU2558" s="12"/>
      <c r="AV2558" s="12"/>
      <c r="AW2558" s="12"/>
      <c r="AX2558" s="12"/>
      <c r="AY2558" s="44"/>
      <c r="AZ2558" s="45"/>
      <c r="BA2558" s="12"/>
      <c r="BB2558" s="12"/>
      <c r="BC2558" s="12"/>
      <c r="BD2558" s="12"/>
      <c r="BE2558" s="44"/>
      <c r="BF2558" s="45"/>
      <c r="BG2558" s="12"/>
      <c r="BH2558" s="12"/>
      <c r="BI2558" s="12"/>
      <c r="BJ2558" s="12"/>
      <c r="BK2558" s="44"/>
      <c r="BL2558" s="45"/>
      <c r="BM2558" s="12"/>
      <c r="BN2558" s="12"/>
      <c r="BO2558" s="12"/>
      <c r="BP2558" s="12"/>
      <c r="BQ2558" s="48"/>
      <c r="BR2558" s="49"/>
      <c r="BS2558" s="13"/>
      <c r="BT2558" s="12"/>
      <c r="BV2558" s="14"/>
      <c r="BW2558" s="50"/>
      <c r="BX2558" s="54"/>
      <c r="BY2558" s="14"/>
      <c r="BZ2558" s="14"/>
      <c r="CA2558" s="14"/>
      <c r="CB2558" s="14"/>
      <c r="CC2558" s="14"/>
      <c r="CD2558" s="14"/>
      <c r="CE2558" s="14"/>
      <c r="CF2558" s="15"/>
      <c r="CG2558" s="14"/>
      <c r="CH2558" s="14"/>
      <c r="CI2558" s="50"/>
      <c r="CJ2558" s="54"/>
      <c r="CK2558" s="14"/>
      <c r="CL2558" s="14"/>
      <c r="CM2558" s="14"/>
      <c r="CN2558" s="14"/>
      <c r="CO2558" s="14"/>
      <c r="CP2558" s="14"/>
      <c r="CQ2558" s="14"/>
      <c r="CR2558" s="14"/>
      <c r="CS2558" s="14"/>
      <c r="CT2558" s="14"/>
      <c r="CU2558" s="16"/>
      <c r="CV2558" s="14"/>
      <c r="CW2558" s="50"/>
      <c r="CX2558" s="17"/>
    </row>
    <row r="2559" spans="4:102" x14ac:dyDescent="0.25">
      <c r="D2559" s="11"/>
      <c r="E2559" s="11"/>
      <c r="F2559" s="11"/>
      <c r="G2559" s="11"/>
      <c r="H2559" s="11"/>
      <c r="I2559" s="11"/>
      <c r="J2559" s="11"/>
      <c r="K2559" s="11"/>
      <c r="L2559" s="11"/>
      <c r="M2559" s="11"/>
      <c r="N2559" s="11"/>
      <c r="O2559" s="11"/>
      <c r="P2559" s="43"/>
      <c r="Q2559" s="11"/>
      <c r="R2559" s="11"/>
      <c r="S2559" s="11"/>
      <c r="T2559" s="11"/>
      <c r="U2559" s="11"/>
      <c r="V2559" s="11"/>
      <c r="W2559" s="11"/>
      <c r="X2559" s="12"/>
      <c r="Y2559" s="12"/>
      <c r="Z2559" s="12"/>
      <c r="AA2559" s="44"/>
      <c r="AB2559" s="45"/>
      <c r="AC2559" s="12"/>
      <c r="AD2559" s="12"/>
      <c r="AE2559" s="12"/>
      <c r="AF2559" s="12"/>
      <c r="AG2559" s="44"/>
      <c r="AH2559" s="45"/>
      <c r="AI2559" s="12"/>
      <c r="AJ2559" s="12"/>
      <c r="AK2559" s="12"/>
      <c r="AL2559" s="12"/>
      <c r="AM2559" s="44"/>
      <c r="AN2559" s="45"/>
      <c r="AO2559" s="12"/>
      <c r="AP2559" s="12"/>
      <c r="AQ2559" s="12"/>
      <c r="AR2559" s="12"/>
      <c r="AS2559" s="44"/>
      <c r="AT2559" s="45"/>
      <c r="AU2559" s="12"/>
      <c r="AV2559" s="12"/>
      <c r="AW2559" s="12"/>
      <c r="AX2559" s="12"/>
      <c r="AY2559" s="44"/>
      <c r="AZ2559" s="45"/>
      <c r="BA2559" s="12"/>
      <c r="BB2559" s="12"/>
      <c r="BC2559" s="12"/>
      <c r="BD2559" s="12"/>
      <c r="BE2559" s="44"/>
      <c r="BF2559" s="45"/>
      <c r="BG2559" s="12"/>
      <c r="BH2559" s="12"/>
      <c r="BI2559" s="12"/>
      <c r="BJ2559" s="12"/>
      <c r="BK2559" s="44"/>
      <c r="BL2559" s="45"/>
      <c r="BM2559" s="12"/>
      <c r="BN2559" s="12"/>
      <c r="BO2559" s="12"/>
      <c r="BP2559" s="12"/>
      <c r="BQ2559" s="48"/>
      <c r="BR2559" s="49"/>
      <c r="BS2559" s="13"/>
      <c r="BT2559" s="12"/>
      <c r="BV2559" s="14"/>
      <c r="BW2559" s="50"/>
      <c r="BX2559" s="54"/>
      <c r="BY2559" s="14"/>
      <c r="BZ2559" s="14"/>
      <c r="CA2559" s="14"/>
      <c r="CB2559" s="14"/>
      <c r="CC2559" s="14"/>
      <c r="CD2559" s="14"/>
      <c r="CE2559" s="14"/>
      <c r="CF2559" s="15"/>
      <c r="CG2559" s="14"/>
      <c r="CH2559" s="14"/>
      <c r="CI2559" s="50"/>
      <c r="CJ2559" s="54"/>
      <c r="CK2559" s="14"/>
      <c r="CL2559" s="14"/>
      <c r="CM2559" s="14"/>
      <c r="CN2559" s="14"/>
      <c r="CO2559" s="14"/>
      <c r="CP2559" s="14"/>
      <c r="CQ2559" s="14"/>
      <c r="CR2559" s="14"/>
      <c r="CS2559" s="14"/>
      <c r="CT2559" s="14"/>
      <c r="CU2559" s="16"/>
      <c r="CV2559" s="14"/>
      <c r="CW2559" s="50"/>
      <c r="CX2559" s="17"/>
    </row>
    <row r="2560" spans="4:102" x14ac:dyDescent="0.25">
      <c r="D2560" s="11"/>
      <c r="E2560" s="11"/>
      <c r="F2560" s="11"/>
      <c r="G2560" s="11"/>
      <c r="H2560" s="11"/>
      <c r="I2560" s="11"/>
      <c r="J2560" s="11"/>
      <c r="K2560" s="11"/>
      <c r="L2560" s="11"/>
      <c r="M2560" s="11"/>
      <c r="N2560" s="11"/>
      <c r="O2560" s="11"/>
      <c r="P2560" s="43"/>
      <c r="Q2560" s="11"/>
      <c r="R2560" s="11"/>
      <c r="S2560" s="11"/>
      <c r="T2560" s="11"/>
      <c r="U2560" s="11"/>
      <c r="V2560" s="11"/>
      <c r="W2560" s="11"/>
      <c r="X2560" s="12"/>
      <c r="Y2560" s="12"/>
      <c r="Z2560" s="12"/>
      <c r="AA2560" s="44"/>
      <c r="AB2560" s="45"/>
      <c r="AC2560" s="12"/>
      <c r="AD2560" s="12"/>
      <c r="AE2560" s="12"/>
      <c r="AF2560" s="12"/>
      <c r="AG2560" s="44"/>
      <c r="AH2560" s="45"/>
      <c r="AI2560" s="12"/>
      <c r="AJ2560" s="12"/>
      <c r="AK2560" s="12"/>
      <c r="AL2560" s="12"/>
      <c r="AM2560" s="44"/>
      <c r="AN2560" s="45"/>
      <c r="AO2560" s="12"/>
      <c r="AP2560" s="12"/>
      <c r="AQ2560" s="12"/>
      <c r="AR2560" s="12"/>
      <c r="AS2560" s="44"/>
      <c r="AT2560" s="45"/>
      <c r="AU2560" s="12"/>
      <c r="AV2560" s="12"/>
      <c r="AW2560" s="12"/>
      <c r="AX2560" s="12"/>
      <c r="AY2560" s="44"/>
      <c r="AZ2560" s="45"/>
      <c r="BA2560" s="12"/>
      <c r="BB2560" s="12"/>
      <c r="BC2560" s="12"/>
      <c r="BD2560" s="12"/>
      <c r="BE2560" s="44"/>
      <c r="BF2560" s="45"/>
      <c r="BG2560" s="12"/>
      <c r="BH2560" s="12"/>
      <c r="BI2560" s="12"/>
      <c r="BJ2560" s="12"/>
      <c r="BK2560" s="44"/>
      <c r="BL2560" s="45"/>
      <c r="BM2560" s="12"/>
      <c r="BN2560" s="12"/>
      <c r="BO2560" s="12"/>
      <c r="BP2560" s="12"/>
      <c r="BQ2560" s="48"/>
      <c r="BR2560" s="49"/>
      <c r="BS2560" s="13"/>
      <c r="BT2560" s="12"/>
      <c r="BV2560" s="14"/>
      <c r="BW2560" s="50"/>
      <c r="BX2560" s="54"/>
      <c r="BY2560" s="14"/>
      <c r="BZ2560" s="14"/>
      <c r="CA2560" s="14"/>
      <c r="CB2560" s="14"/>
      <c r="CC2560" s="14"/>
      <c r="CD2560" s="14"/>
      <c r="CE2560" s="14"/>
      <c r="CF2560" s="15"/>
      <c r="CG2560" s="14"/>
      <c r="CH2560" s="14"/>
      <c r="CI2560" s="50"/>
      <c r="CJ2560" s="54"/>
      <c r="CK2560" s="14"/>
      <c r="CL2560" s="14"/>
      <c r="CM2560" s="14"/>
      <c r="CN2560" s="14"/>
      <c r="CO2560" s="14"/>
      <c r="CP2560" s="14"/>
      <c r="CQ2560" s="14"/>
      <c r="CR2560" s="14"/>
      <c r="CS2560" s="14"/>
      <c r="CT2560" s="14"/>
      <c r="CU2560" s="16"/>
      <c r="CV2560" s="14"/>
      <c r="CW2560" s="50"/>
      <c r="CX2560" s="17"/>
    </row>
    <row r="2561" spans="4:102" x14ac:dyDescent="0.25">
      <c r="D2561" s="11"/>
      <c r="E2561" s="11"/>
      <c r="F2561" s="11"/>
      <c r="G2561" s="11"/>
      <c r="H2561" s="11"/>
      <c r="I2561" s="11"/>
      <c r="J2561" s="11"/>
      <c r="K2561" s="11"/>
      <c r="L2561" s="11"/>
      <c r="M2561" s="11"/>
      <c r="N2561" s="11"/>
      <c r="O2561" s="11"/>
      <c r="P2561" s="43"/>
      <c r="Q2561" s="11"/>
      <c r="R2561" s="11"/>
      <c r="S2561" s="11"/>
      <c r="T2561" s="11"/>
      <c r="U2561" s="11"/>
      <c r="V2561" s="11"/>
      <c r="W2561" s="11"/>
      <c r="X2561" s="12"/>
      <c r="Y2561" s="12"/>
      <c r="Z2561" s="12"/>
      <c r="AA2561" s="44"/>
      <c r="AB2561" s="45"/>
      <c r="AC2561" s="12"/>
      <c r="AD2561" s="12"/>
      <c r="AE2561" s="12"/>
      <c r="AF2561" s="12"/>
      <c r="AG2561" s="44"/>
      <c r="AH2561" s="45"/>
      <c r="AI2561" s="12"/>
      <c r="AJ2561" s="12"/>
      <c r="AK2561" s="12"/>
      <c r="AL2561" s="12"/>
      <c r="AM2561" s="44"/>
      <c r="AN2561" s="45"/>
      <c r="AO2561" s="12"/>
      <c r="AP2561" s="12"/>
      <c r="AQ2561" s="12"/>
      <c r="AR2561" s="12"/>
      <c r="AS2561" s="44"/>
      <c r="AT2561" s="45"/>
      <c r="AU2561" s="12"/>
      <c r="AV2561" s="12"/>
      <c r="AW2561" s="12"/>
      <c r="AX2561" s="12"/>
      <c r="AY2561" s="44"/>
      <c r="AZ2561" s="45"/>
      <c r="BA2561" s="12"/>
      <c r="BB2561" s="12"/>
      <c r="BC2561" s="12"/>
      <c r="BD2561" s="12"/>
      <c r="BE2561" s="44"/>
      <c r="BF2561" s="45"/>
      <c r="BG2561" s="12"/>
      <c r="BH2561" s="12"/>
      <c r="BI2561" s="12"/>
      <c r="BJ2561" s="12"/>
      <c r="BK2561" s="44"/>
      <c r="BL2561" s="45"/>
      <c r="BM2561" s="12"/>
      <c r="BN2561" s="12"/>
      <c r="BO2561" s="12"/>
      <c r="BP2561" s="12"/>
      <c r="BQ2561" s="48"/>
      <c r="BR2561" s="49"/>
      <c r="BS2561" s="13"/>
      <c r="BT2561" s="12"/>
      <c r="BV2561" s="14"/>
      <c r="BW2561" s="50"/>
      <c r="BX2561" s="54"/>
      <c r="BY2561" s="14"/>
      <c r="BZ2561" s="14"/>
      <c r="CA2561" s="14"/>
      <c r="CB2561" s="14"/>
      <c r="CC2561" s="14"/>
      <c r="CD2561" s="14"/>
      <c r="CE2561" s="14"/>
      <c r="CF2561" s="15"/>
      <c r="CG2561" s="14"/>
      <c r="CH2561" s="14"/>
      <c r="CI2561" s="50"/>
      <c r="CJ2561" s="54"/>
      <c r="CK2561" s="14"/>
      <c r="CL2561" s="14"/>
      <c r="CM2561" s="14"/>
      <c r="CN2561" s="14"/>
      <c r="CO2561" s="14"/>
      <c r="CP2561" s="14"/>
      <c r="CQ2561" s="14"/>
      <c r="CR2561" s="14"/>
      <c r="CS2561" s="14"/>
      <c r="CT2561" s="14"/>
      <c r="CU2561" s="16"/>
      <c r="CV2561" s="14"/>
      <c r="CW2561" s="50"/>
      <c r="CX2561" s="17"/>
    </row>
    <row r="2562" spans="4:102" x14ac:dyDescent="0.25">
      <c r="D2562" s="11"/>
      <c r="E2562" s="11"/>
      <c r="F2562" s="11"/>
      <c r="G2562" s="11"/>
      <c r="H2562" s="11"/>
      <c r="I2562" s="11"/>
      <c r="J2562" s="11"/>
      <c r="K2562" s="11"/>
      <c r="L2562" s="11"/>
      <c r="M2562" s="11"/>
      <c r="N2562" s="11"/>
      <c r="O2562" s="11"/>
      <c r="P2562" s="43"/>
      <c r="Q2562" s="11"/>
      <c r="R2562" s="11"/>
      <c r="S2562" s="11"/>
      <c r="T2562" s="11"/>
      <c r="U2562" s="11"/>
      <c r="V2562" s="11"/>
      <c r="W2562" s="11"/>
      <c r="X2562" s="12"/>
      <c r="Y2562" s="12"/>
      <c r="Z2562" s="12"/>
      <c r="AA2562" s="44"/>
      <c r="AB2562" s="45"/>
      <c r="AC2562" s="12"/>
      <c r="AD2562" s="12"/>
      <c r="AE2562" s="12"/>
      <c r="AF2562" s="12"/>
      <c r="AG2562" s="44"/>
      <c r="AH2562" s="45"/>
      <c r="AI2562" s="12"/>
      <c r="AJ2562" s="12"/>
      <c r="AK2562" s="12"/>
      <c r="AL2562" s="12"/>
      <c r="AM2562" s="44"/>
      <c r="AN2562" s="45"/>
      <c r="AO2562" s="12"/>
      <c r="AP2562" s="12"/>
      <c r="AQ2562" s="12"/>
      <c r="AR2562" s="12"/>
      <c r="AS2562" s="44"/>
      <c r="AT2562" s="45"/>
      <c r="AU2562" s="12"/>
      <c r="AV2562" s="12"/>
      <c r="AW2562" s="12"/>
      <c r="AX2562" s="12"/>
      <c r="AY2562" s="44"/>
      <c r="AZ2562" s="45"/>
      <c r="BA2562" s="12"/>
      <c r="BB2562" s="12"/>
      <c r="BC2562" s="12"/>
      <c r="BD2562" s="12"/>
      <c r="BE2562" s="44"/>
      <c r="BF2562" s="45"/>
      <c r="BG2562" s="12"/>
      <c r="BH2562" s="12"/>
      <c r="BI2562" s="12"/>
      <c r="BJ2562" s="12"/>
      <c r="BK2562" s="44"/>
      <c r="BL2562" s="45"/>
      <c r="BM2562" s="12"/>
      <c r="BN2562" s="12"/>
      <c r="BO2562" s="12"/>
      <c r="BP2562" s="12"/>
      <c r="BQ2562" s="48"/>
      <c r="BR2562" s="49"/>
      <c r="BS2562" s="13"/>
      <c r="BT2562" s="12"/>
      <c r="BV2562" s="14"/>
      <c r="BW2562" s="50"/>
      <c r="BX2562" s="54"/>
      <c r="BY2562" s="14"/>
      <c r="BZ2562" s="14"/>
      <c r="CA2562" s="14"/>
      <c r="CB2562" s="14"/>
      <c r="CC2562" s="14"/>
      <c r="CD2562" s="14"/>
      <c r="CE2562" s="14"/>
      <c r="CF2562" s="15"/>
      <c r="CG2562" s="14"/>
      <c r="CH2562" s="14"/>
      <c r="CI2562" s="50"/>
      <c r="CJ2562" s="54"/>
      <c r="CK2562" s="14"/>
      <c r="CL2562" s="14"/>
      <c r="CM2562" s="14"/>
      <c r="CN2562" s="14"/>
      <c r="CO2562" s="14"/>
      <c r="CP2562" s="14"/>
      <c r="CQ2562" s="14"/>
      <c r="CR2562" s="14"/>
      <c r="CS2562" s="14"/>
      <c r="CT2562" s="14"/>
      <c r="CU2562" s="16"/>
      <c r="CV2562" s="14"/>
      <c r="CW2562" s="50"/>
      <c r="CX2562" s="17"/>
    </row>
    <row r="2563" spans="4:102" x14ac:dyDescent="0.25">
      <c r="D2563" s="11"/>
      <c r="E2563" s="11"/>
      <c r="F2563" s="11"/>
      <c r="G2563" s="11"/>
      <c r="H2563" s="11"/>
      <c r="I2563" s="11"/>
      <c r="J2563" s="11"/>
      <c r="K2563" s="11"/>
      <c r="L2563" s="11"/>
      <c r="M2563" s="11"/>
      <c r="N2563" s="11"/>
      <c r="O2563" s="11"/>
      <c r="P2563" s="43"/>
      <c r="Q2563" s="11"/>
      <c r="R2563" s="11"/>
      <c r="S2563" s="11"/>
      <c r="T2563" s="11"/>
      <c r="U2563" s="11"/>
      <c r="V2563" s="11"/>
      <c r="W2563" s="11"/>
      <c r="X2563" s="12"/>
      <c r="Y2563" s="12"/>
      <c r="Z2563" s="12"/>
      <c r="AA2563" s="44"/>
      <c r="AB2563" s="45"/>
      <c r="AC2563" s="12"/>
      <c r="AD2563" s="12"/>
      <c r="AE2563" s="12"/>
      <c r="AF2563" s="12"/>
      <c r="AG2563" s="44"/>
      <c r="AH2563" s="45"/>
      <c r="AI2563" s="12"/>
      <c r="AJ2563" s="12"/>
      <c r="AK2563" s="12"/>
      <c r="AL2563" s="12"/>
      <c r="AM2563" s="44"/>
      <c r="AN2563" s="45"/>
      <c r="AO2563" s="12"/>
      <c r="AP2563" s="12"/>
      <c r="AQ2563" s="12"/>
      <c r="AR2563" s="12"/>
      <c r="AS2563" s="44"/>
      <c r="AT2563" s="45"/>
      <c r="AU2563" s="12"/>
      <c r="AV2563" s="12"/>
      <c r="AW2563" s="12"/>
      <c r="AX2563" s="12"/>
      <c r="AY2563" s="44"/>
      <c r="AZ2563" s="45"/>
      <c r="BA2563" s="12"/>
      <c r="BB2563" s="12"/>
      <c r="BC2563" s="12"/>
      <c r="BD2563" s="12"/>
      <c r="BE2563" s="44"/>
      <c r="BF2563" s="45"/>
      <c r="BG2563" s="12"/>
      <c r="BH2563" s="12"/>
      <c r="BI2563" s="12"/>
      <c r="BJ2563" s="12"/>
      <c r="BK2563" s="44"/>
      <c r="BL2563" s="45"/>
      <c r="BM2563" s="12"/>
      <c r="BN2563" s="12"/>
      <c r="BO2563" s="12"/>
      <c r="BP2563" s="12"/>
      <c r="BQ2563" s="48"/>
      <c r="BR2563" s="49"/>
      <c r="BS2563" s="13"/>
      <c r="BT2563" s="12"/>
      <c r="BV2563" s="14"/>
      <c r="BW2563" s="50"/>
      <c r="BX2563" s="54"/>
      <c r="BY2563" s="14"/>
      <c r="BZ2563" s="14"/>
      <c r="CA2563" s="14"/>
      <c r="CB2563" s="14"/>
      <c r="CC2563" s="14"/>
      <c r="CD2563" s="14"/>
      <c r="CE2563" s="14"/>
      <c r="CF2563" s="15"/>
      <c r="CG2563" s="14"/>
      <c r="CH2563" s="14"/>
      <c r="CI2563" s="50"/>
      <c r="CJ2563" s="54"/>
      <c r="CK2563" s="14"/>
      <c r="CL2563" s="14"/>
      <c r="CM2563" s="14"/>
      <c r="CN2563" s="14"/>
      <c r="CO2563" s="14"/>
      <c r="CP2563" s="14"/>
      <c r="CQ2563" s="14"/>
      <c r="CR2563" s="14"/>
      <c r="CS2563" s="14"/>
      <c r="CT2563" s="14"/>
      <c r="CU2563" s="16"/>
      <c r="CV2563" s="14"/>
      <c r="CW2563" s="50"/>
      <c r="CX2563" s="17"/>
    </row>
    <row r="2564" spans="4:102" x14ac:dyDescent="0.25">
      <c r="D2564" s="11"/>
      <c r="E2564" s="11"/>
      <c r="F2564" s="11"/>
      <c r="G2564" s="11"/>
      <c r="H2564" s="11"/>
      <c r="I2564" s="11"/>
      <c r="J2564" s="11"/>
      <c r="K2564" s="11"/>
      <c r="L2564" s="11"/>
      <c r="M2564" s="11"/>
      <c r="N2564" s="11"/>
      <c r="O2564" s="11"/>
      <c r="P2564" s="43"/>
      <c r="Q2564" s="11"/>
      <c r="R2564" s="11"/>
      <c r="S2564" s="11"/>
      <c r="T2564" s="11"/>
      <c r="U2564" s="11"/>
      <c r="V2564" s="11"/>
      <c r="W2564" s="11"/>
      <c r="X2564" s="12"/>
      <c r="Y2564" s="12"/>
      <c r="Z2564" s="12"/>
      <c r="AA2564" s="44"/>
      <c r="AB2564" s="45"/>
      <c r="AC2564" s="12"/>
      <c r="AD2564" s="12"/>
      <c r="AE2564" s="12"/>
      <c r="AF2564" s="12"/>
      <c r="AG2564" s="44"/>
      <c r="AH2564" s="45"/>
      <c r="AI2564" s="12"/>
      <c r="AJ2564" s="12"/>
      <c r="AK2564" s="12"/>
      <c r="AL2564" s="12"/>
      <c r="AM2564" s="44"/>
      <c r="AN2564" s="45"/>
      <c r="AO2564" s="12"/>
      <c r="AP2564" s="12"/>
      <c r="AQ2564" s="12"/>
      <c r="AR2564" s="12"/>
      <c r="AS2564" s="44"/>
      <c r="AT2564" s="45"/>
      <c r="AU2564" s="12"/>
      <c r="AV2564" s="12"/>
      <c r="AW2564" s="12"/>
      <c r="AX2564" s="12"/>
      <c r="AY2564" s="44"/>
      <c r="AZ2564" s="45"/>
      <c r="BA2564" s="12"/>
      <c r="BB2564" s="12"/>
      <c r="BC2564" s="12"/>
      <c r="BD2564" s="12"/>
      <c r="BE2564" s="44"/>
      <c r="BF2564" s="45"/>
      <c r="BG2564" s="12"/>
      <c r="BH2564" s="12"/>
      <c r="BI2564" s="12"/>
      <c r="BJ2564" s="12"/>
      <c r="BK2564" s="44"/>
      <c r="BL2564" s="45"/>
      <c r="BM2564" s="12"/>
      <c r="BN2564" s="12"/>
      <c r="BO2564" s="12"/>
      <c r="BP2564" s="12"/>
      <c r="BQ2564" s="48"/>
      <c r="BR2564" s="49"/>
      <c r="BS2564" s="13"/>
      <c r="BT2564" s="12"/>
      <c r="BV2564" s="14"/>
      <c r="BW2564" s="50"/>
      <c r="BX2564" s="54"/>
      <c r="BY2564" s="14"/>
      <c r="BZ2564" s="14"/>
      <c r="CA2564" s="14"/>
      <c r="CB2564" s="14"/>
      <c r="CC2564" s="14"/>
      <c r="CD2564" s="14"/>
      <c r="CE2564" s="14"/>
      <c r="CF2564" s="15"/>
      <c r="CG2564" s="14"/>
      <c r="CH2564" s="14"/>
      <c r="CI2564" s="50"/>
      <c r="CJ2564" s="54"/>
      <c r="CK2564" s="14"/>
      <c r="CL2564" s="14"/>
      <c r="CM2564" s="14"/>
      <c r="CN2564" s="14"/>
      <c r="CO2564" s="14"/>
      <c r="CP2564" s="14"/>
      <c r="CQ2564" s="14"/>
      <c r="CR2564" s="14"/>
      <c r="CS2564" s="14"/>
      <c r="CT2564" s="14"/>
      <c r="CU2564" s="16"/>
      <c r="CV2564" s="14"/>
      <c r="CW2564" s="50"/>
      <c r="CX2564" s="17"/>
    </row>
    <row r="2565" spans="4:102" x14ac:dyDescent="0.25">
      <c r="D2565" s="11"/>
      <c r="E2565" s="11"/>
      <c r="F2565" s="11"/>
      <c r="G2565" s="11"/>
      <c r="H2565" s="11"/>
      <c r="I2565" s="11"/>
      <c r="J2565" s="11"/>
      <c r="K2565" s="11"/>
      <c r="L2565" s="11"/>
      <c r="M2565" s="11"/>
      <c r="N2565" s="11"/>
      <c r="O2565" s="11"/>
      <c r="P2565" s="43"/>
      <c r="Q2565" s="11"/>
      <c r="R2565" s="11"/>
      <c r="S2565" s="11"/>
      <c r="T2565" s="11"/>
      <c r="U2565" s="11"/>
      <c r="V2565" s="11"/>
      <c r="W2565" s="11"/>
      <c r="X2565" s="12"/>
      <c r="Y2565" s="12"/>
      <c r="Z2565" s="12"/>
      <c r="AA2565" s="44"/>
      <c r="AB2565" s="45"/>
      <c r="AC2565" s="12"/>
      <c r="AD2565" s="12"/>
      <c r="AE2565" s="12"/>
      <c r="AF2565" s="12"/>
      <c r="AG2565" s="44"/>
      <c r="AH2565" s="45"/>
      <c r="AI2565" s="12"/>
      <c r="AJ2565" s="12"/>
      <c r="AK2565" s="12"/>
      <c r="AL2565" s="12"/>
      <c r="AM2565" s="44"/>
      <c r="AN2565" s="45"/>
      <c r="AO2565" s="12"/>
      <c r="AP2565" s="12"/>
      <c r="AQ2565" s="12"/>
      <c r="AR2565" s="12"/>
      <c r="AS2565" s="44"/>
      <c r="AT2565" s="45"/>
      <c r="AU2565" s="12"/>
      <c r="AV2565" s="12"/>
      <c r="AW2565" s="12"/>
      <c r="AX2565" s="12"/>
      <c r="AY2565" s="44"/>
      <c r="AZ2565" s="45"/>
      <c r="BA2565" s="12"/>
      <c r="BB2565" s="12"/>
      <c r="BC2565" s="12"/>
      <c r="BD2565" s="12"/>
      <c r="BE2565" s="44"/>
      <c r="BF2565" s="45"/>
      <c r="BG2565" s="12"/>
      <c r="BH2565" s="12"/>
      <c r="BI2565" s="12"/>
      <c r="BJ2565" s="12"/>
      <c r="BK2565" s="44"/>
      <c r="BL2565" s="45"/>
      <c r="BM2565" s="12"/>
      <c r="BN2565" s="12"/>
      <c r="BO2565" s="12"/>
      <c r="BP2565" s="12"/>
      <c r="BQ2565" s="48"/>
      <c r="BR2565" s="49"/>
      <c r="BS2565" s="13"/>
      <c r="BT2565" s="12"/>
      <c r="BV2565" s="14"/>
      <c r="BW2565" s="50"/>
      <c r="BX2565" s="54"/>
      <c r="BY2565" s="14"/>
      <c r="BZ2565" s="14"/>
      <c r="CA2565" s="14"/>
      <c r="CB2565" s="14"/>
      <c r="CC2565" s="14"/>
      <c r="CD2565" s="14"/>
      <c r="CE2565" s="14"/>
      <c r="CF2565" s="15"/>
      <c r="CG2565" s="14"/>
      <c r="CH2565" s="14"/>
      <c r="CI2565" s="50"/>
      <c r="CJ2565" s="54"/>
      <c r="CK2565" s="14"/>
      <c r="CL2565" s="14"/>
      <c r="CM2565" s="14"/>
      <c r="CN2565" s="14"/>
      <c r="CO2565" s="14"/>
      <c r="CP2565" s="14"/>
      <c r="CQ2565" s="14"/>
      <c r="CR2565" s="14"/>
      <c r="CS2565" s="14"/>
      <c r="CT2565" s="14"/>
      <c r="CU2565" s="16"/>
      <c r="CV2565" s="14"/>
      <c r="CW2565" s="50"/>
      <c r="CX2565" s="17"/>
    </row>
    <row r="2566" spans="4:102" x14ac:dyDescent="0.25">
      <c r="D2566" s="11"/>
      <c r="E2566" s="11"/>
      <c r="F2566" s="11"/>
      <c r="G2566" s="11"/>
      <c r="H2566" s="11"/>
      <c r="I2566" s="11"/>
      <c r="J2566" s="11"/>
      <c r="K2566" s="11"/>
      <c r="L2566" s="11"/>
      <c r="M2566" s="11"/>
      <c r="N2566" s="11"/>
      <c r="O2566" s="11"/>
      <c r="P2566" s="43"/>
      <c r="Q2566" s="11"/>
      <c r="R2566" s="11"/>
      <c r="S2566" s="11"/>
      <c r="T2566" s="11"/>
      <c r="U2566" s="11"/>
      <c r="V2566" s="11"/>
      <c r="W2566" s="11"/>
      <c r="X2566" s="12"/>
      <c r="Y2566" s="12"/>
      <c r="Z2566" s="12"/>
      <c r="AA2566" s="44"/>
      <c r="AB2566" s="45"/>
      <c r="AC2566" s="12"/>
      <c r="AD2566" s="12"/>
      <c r="AE2566" s="12"/>
      <c r="AF2566" s="12"/>
      <c r="AG2566" s="44"/>
      <c r="AH2566" s="45"/>
      <c r="AI2566" s="12"/>
      <c r="AJ2566" s="12"/>
      <c r="AK2566" s="12"/>
      <c r="AL2566" s="12"/>
      <c r="AM2566" s="44"/>
      <c r="AN2566" s="45"/>
      <c r="AO2566" s="12"/>
      <c r="AP2566" s="12"/>
      <c r="AQ2566" s="12"/>
      <c r="AR2566" s="12"/>
      <c r="AS2566" s="44"/>
      <c r="AT2566" s="45"/>
      <c r="AU2566" s="12"/>
      <c r="AV2566" s="12"/>
      <c r="AW2566" s="12"/>
      <c r="AX2566" s="12"/>
      <c r="AY2566" s="44"/>
      <c r="AZ2566" s="45"/>
      <c r="BA2566" s="12"/>
      <c r="BB2566" s="12"/>
      <c r="BC2566" s="12"/>
      <c r="BD2566" s="12"/>
      <c r="BE2566" s="44"/>
      <c r="BF2566" s="45"/>
      <c r="BG2566" s="12"/>
      <c r="BH2566" s="12"/>
      <c r="BI2566" s="12"/>
      <c r="BJ2566" s="12"/>
      <c r="BK2566" s="44"/>
      <c r="BL2566" s="45"/>
      <c r="BM2566" s="12"/>
      <c r="BN2566" s="12"/>
      <c r="BO2566" s="12"/>
      <c r="BP2566" s="12"/>
      <c r="BQ2566" s="48"/>
      <c r="BR2566" s="49"/>
      <c r="BS2566" s="13"/>
      <c r="BT2566" s="12"/>
      <c r="BV2566" s="14"/>
      <c r="BW2566" s="50"/>
      <c r="BX2566" s="54"/>
      <c r="BY2566" s="14"/>
      <c r="BZ2566" s="14"/>
      <c r="CA2566" s="14"/>
      <c r="CB2566" s="14"/>
      <c r="CC2566" s="14"/>
      <c r="CD2566" s="14"/>
      <c r="CE2566" s="14"/>
      <c r="CF2566" s="15"/>
      <c r="CG2566" s="14"/>
      <c r="CH2566" s="14"/>
      <c r="CI2566" s="50"/>
      <c r="CJ2566" s="54"/>
      <c r="CK2566" s="14"/>
      <c r="CL2566" s="14"/>
      <c r="CM2566" s="14"/>
      <c r="CN2566" s="14"/>
      <c r="CO2566" s="14"/>
      <c r="CP2566" s="14"/>
      <c r="CQ2566" s="14"/>
      <c r="CR2566" s="14"/>
      <c r="CS2566" s="14"/>
      <c r="CT2566" s="14"/>
      <c r="CU2566" s="16"/>
      <c r="CV2566" s="14"/>
      <c r="CW2566" s="50"/>
      <c r="CX2566" s="17"/>
    </row>
    <row r="2567" spans="4:102" x14ac:dyDescent="0.25">
      <c r="D2567" s="11"/>
      <c r="E2567" s="11"/>
      <c r="F2567" s="11"/>
      <c r="G2567" s="11"/>
      <c r="H2567" s="11"/>
      <c r="I2567" s="11"/>
      <c r="J2567" s="11"/>
      <c r="K2567" s="11"/>
      <c r="L2567" s="11"/>
      <c r="M2567" s="11"/>
      <c r="N2567" s="11"/>
      <c r="O2567" s="11"/>
      <c r="P2567" s="43"/>
      <c r="Q2567" s="11"/>
      <c r="R2567" s="11"/>
      <c r="S2567" s="11"/>
      <c r="T2567" s="11"/>
      <c r="U2567" s="11"/>
      <c r="V2567" s="11"/>
      <c r="W2567" s="11"/>
      <c r="X2567" s="12"/>
      <c r="Y2567" s="12"/>
      <c r="Z2567" s="12"/>
      <c r="AA2567" s="44"/>
      <c r="AB2567" s="45"/>
      <c r="AC2567" s="12"/>
      <c r="AD2567" s="12"/>
      <c r="AE2567" s="12"/>
      <c r="AF2567" s="12"/>
      <c r="AG2567" s="44"/>
      <c r="AH2567" s="45"/>
      <c r="AI2567" s="12"/>
      <c r="AJ2567" s="12"/>
      <c r="AK2567" s="12"/>
      <c r="AL2567" s="12"/>
      <c r="AM2567" s="44"/>
      <c r="AN2567" s="45"/>
      <c r="AO2567" s="12"/>
      <c r="AP2567" s="12"/>
      <c r="AQ2567" s="12"/>
      <c r="AR2567" s="12"/>
      <c r="AS2567" s="44"/>
      <c r="AT2567" s="45"/>
      <c r="AU2567" s="12"/>
      <c r="AV2567" s="12"/>
      <c r="AW2567" s="12"/>
      <c r="AX2567" s="12"/>
      <c r="AY2567" s="44"/>
      <c r="AZ2567" s="45"/>
      <c r="BA2567" s="12"/>
      <c r="BB2567" s="12"/>
      <c r="BC2567" s="12"/>
      <c r="BD2567" s="12"/>
      <c r="BE2567" s="44"/>
      <c r="BF2567" s="45"/>
      <c r="BG2567" s="12"/>
      <c r="BH2567" s="12"/>
      <c r="BI2567" s="12"/>
      <c r="BJ2567" s="12"/>
      <c r="BK2567" s="44"/>
      <c r="BL2567" s="45"/>
      <c r="BM2567" s="12"/>
      <c r="BN2567" s="12"/>
      <c r="BO2567" s="12"/>
      <c r="BP2567" s="12"/>
      <c r="BQ2567" s="48"/>
      <c r="BR2567" s="49"/>
      <c r="BS2567" s="13"/>
      <c r="BT2567" s="12"/>
      <c r="BV2567" s="14"/>
      <c r="BW2567" s="50"/>
      <c r="BX2567" s="54"/>
      <c r="BY2567" s="14"/>
      <c r="BZ2567" s="14"/>
      <c r="CA2567" s="14"/>
      <c r="CB2567" s="14"/>
      <c r="CC2567" s="14"/>
      <c r="CD2567" s="14"/>
      <c r="CE2567" s="14"/>
      <c r="CF2567" s="15"/>
      <c r="CG2567" s="14"/>
      <c r="CH2567" s="14"/>
      <c r="CI2567" s="50"/>
      <c r="CJ2567" s="54"/>
      <c r="CK2567" s="14"/>
      <c r="CL2567" s="14"/>
      <c r="CM2567" s="14"/>
      <c r="CN2567" s="14"/>
      <c r="CO2567" s="14"/>
      <c r="CP2567" s="14"/>
      <c r="CQ2567" s="14"/>
      <c r="CR2567" s="14"/>
      <c r="CS2567" s="14"/>
      <c r="CT2567" s="14"/>
      <c r="CU2567" s="16"/>
      <c r="CV2567" s="14"/>
      <c r="CW2567" s="50"/>
      <c r="CX2567" s="17"/>
    </row>
    <row r="2568" spans="4:102" x14ac:dyDescent="0.25">
      <c r="D2568" s="11"/>
      <c r="E2568" s="11"/>
      <c r="F2568" s="11"/>
      <c r="G2568" s="11"/>
      <c r="H2568" s="11"/>
      <c r="I2568" s="11"/>
      <c r="J2568" s="11"/>
      <c r="K2568" s="11"/>
      <c r="L2568" s="11"/>
      <c r="M2568" s="11"/>
      <c r="N2568" s="11"/>
      <c r="O2568" s="11"/>
      <c r="P2568" s="43"/>
      <c r="Q2568" s="11"/>
      <c r="R2568" s="11"/>
      <c r="S2568" s="11"/>
      <c r="T2568" s="11"/>
      <c r="U2568" s="11"/>
      <c r="V2568" s="11"/>
      <c r="W2568" s="11"/>
      <c r="X2568" s="12"/>
      <c r="Y2568" s="12"/>
      <c r="Z2568" s="12"/>
      <c r="AA2568" s="44"/>
      <c r="AB2568" s="45"/>
      <c r="AC2568" s="12"/>
      <c r="AD2568" s="12"/>
      <c r="AE2568" s="12"/>
      <c r="AF2568" s="12"/>
      <c r="AG2568" s="44"/>
      <c r="AH2568" s="45"/>
      <c r="AI2568" s="12"/>
      <c r="AJ2568" s="12"/>
      <c r="AK2568" s="12"/>
      <c r="AL2568" s="12"/>
      <c r="AM2568" s="44"/>
      <c r="AN2568" s="45"/>
      <c r="AO2568" s="12"/>
      <c r="AP2568" s="12"/>
      <c r="AQ2568" s="12"/>
      <c r="AR2568" s="12"/>
      <c r="AS2568" s="44"/>
      <c r="AT2568" s="45"/>
      <c r="AU2568" s="12"/>
      <c r="AV2568" s="12"/>
      <c r="AW2568" s="12"/>
      <c r="AX2568" s="12"/>
      <c r="AY2568" s="44"/>
      <c r="AZ2568" s="45"/>
      <c r="BA2568" s="12"/>
      <c r="BB2568" s="12"/>
      <c r="BC2568" s="12"/>
      <c r="BD2568" s="12"/>
      <c r="BE2568" s="44"/>
      <c r="BF2568" s="45"/>
      <c r="BG2568" s="12"/>
      <c r="BH2568" s="12"/>
      <c r="BI2568" s="12"/>
      <c r="BJ2568" s="12"/>
      <c r="BK2568" s="44"/>
      <c r="BL2568" s="45"/>
      <c r="BM2568" s="12"/>
      <c r="BN2568" s="12"/>
      <c r="BO2568" s="12"/>
      <c r="BP2568" s="12"/>
      <c r="BQ2568" s="48"/>
      <c r="BR2568" s="49"/>
      <c r="BS2568" s="13"/>
      <c r="BT2568" s="12"/>
      <c r="BV2568" s="14"/>
      <c r="BW2568" s="50"/>
      <c r="BX2568" s="54"/>
      <c r="BY2568" s="14"/>
      <c r="BZ2568" s="14"/>
      <c r="CA2568" s="14"/>
      <c r="CB2568" s="14"/>
      <c r="CC2568" s="14"/>
      <c r="CD2568" s="14"/>
      <c r="CE2568" s="14"/>
      <c r="CF2568" s="15"/>
      <c r="CG2568" s="14"/>
      <c r="CH2568" s="14"/>
      <c r="CI2568" s="50"/>
      <c r="CJ2568" s="54"/>
      <c r="CK2568" s="14"/>
      <c r="CL2568" s="14"/>
      <c r="CM2568" s="14"/>
      <c r="CN2568" s="14"/>
      <c r="CO2568" s="14"/>
      <c r="CP2568" s="14"/>
      <c r="CQ2568" s="14"/>
      <c r="CR2568" s="14"/>
      <c r="CS2568" s="14"/>
      <c r="CT2568" s="14"/>
      <c r="CU2568" s="16"/>
      <c r="CV2568" s="14"/>
      <c r="CW2568" s="50"/>
      <c r="CX2568" s="17"/>
    </row>
    <row r="2569" spans="4:102" x14ac:dyDescent="0.25">
      <c r="D2569" s="11"/>
      <c r="E2569" s="11"/>
      <c r="F2569" s="11"/>
      <c r="G2569" s="11"/>
      <c r="H2569" s="11"/>
      <c r="I2569" s="11"/>
      <c r="J2569" s="11"/>
      <c r="K2569" s="11"/>
      <c r="L2569" s="11"/>
      <c r="M2569" s="11"/>
      <c r="N2569" s="11"/>
      <c r="O2569" s="11"/>
      <c r="P2569" s="43"/>
      <c r="Q2569" s="11"/>
      <c r="R2569" s="11"/>
      <c r="S2569" s="11"/>
      <c r="T2569" s="11"/>
      <c r="U2569" s="11"/>
      <c r="V2569" s="11"/>
      <c r="W2569" s="11"/>
      <c r="X2569" s="12"/>
      <c r="Y2569" s="12"/>
      <c r="Z2569" s="12"/>
      <c r="AA2569" s="44"/>
      <c r="AB2569" s="45"/>
      <c r="AC2569" s="12"/>
      <c r="AD2569" s="12"/>
      <c r="AE2569" s="12"/>
      <c r="AF2569" s="12"/>
      <c r="AG2569" s="44"/>
      <c r="AH2569" s="45"/>
      <c r="AI2569" s="12"/>
      <c r="AJ2569" s="12"/>
      <c r="AK2569" s="12"/>
      <c r="AL2569" s="12"/>
      <c r="AM2569" s="44"/>
      <c r="AN2569" s="45"/>
      <c r="AO2569" s="12"/>
      <c r="AP2569" s="12"/>
      <c r="AQ2569" s="12"/>
      <c r="AR2569" s="12"/>
      <c r="AS2569" s="44"/>
      <c r="AT2569" s="45"/>
      <c r="AU2569" s="12"/>
      <c r="AV2569" s="12"/>
      <c r="AW2569" s="12"/>
      <c r="AX2569" s="12"/>
      <c r="AY2569" s="44"/>
      <c r="AZ2569" s="45"/>
      <c r="BA2569" s="12"/>
      <c r="BB2569" s="12"/>
      <c r="BC2569" s="12"/>
      <c r="BD2569" s="12"/>
      <c r="BE2569" s="44"/>
      <c r="BF2569" s="45"/>
      <c r="BG2569" s="12"/>
      <c r="BH2569" s="12"/>
      <c r="BI2569" s="12"/>
      <c r="BJ2569" s="12"/>
      <c r="BK2569" s="44"/>
      <c r="BL2569" s="45"/>
      <c r="BM2569" s="12"/>
      <c r="BN2569" s="12"/>
      <c r="BO2569" s="12"/>
      <c r="BP2569" s="12"/>
      <c r="BQ2569" s="48"/>
      <c r="BR2569" s="49"/>
      <c r="BS2569" s="13"/>
      <c r="BT2569" s="12"/>
      <c r="BV2569" s="14"/>
      <c r="BW2569" s="50"/>
      <c r="BX2569" s="54"/>
      <c r="BY2569" s="14"/>
      <c r="BZ2569" s="14"/>
      <c r="CA2569" s="14"/>
      <c r="CB2569" s="14"/>
      <c r="CC2569" s="14"/>
      <c r="CD2569" s="14"/>
      <c r="CE2569" s="14"/>
      <c r="CF2569" s="15"/>
      <c r="CG2569" s="14"/>
      <c r="CH2569" s="14"/>
      <c r="CI2569" s="50"/>
      <c r="CJ2569" s="54"/>
      <c r="CK2569" s="14"/>
      <c r="CL2569" s="14"/>
      <c r="CM2569" s="14"/>
      <c r="CN2569" s="14"/>
      <c r="CO2569" s="14"/>
      <c r="CP2569" s="14"/>
      <c r="CQ2569" s="14"/>
      <c r="CR2569" s="14"/>
      <c r="CS2569" s="14"/>
      <c r="CT2569" s="14"/>
      <c r="CU2569" s="16"/>
      <c r="CV2569" s="14"/>
      <c r="CW2569" s="50"/>
      <c r="CX2569" s="17"/>
    </row>
    <row r="2570" spans="4:102" x14ac:dyDescent="0.25">
      <c r="D2570" s="11"/>
      <c r="E2570" s="11"/>
      <c r="F2570" s="11"/>
      <c r="G2570" s="11"/>
      <c r="H2570" s="11"/>
      <c r="I2570" s="11"/>
      <c r="J2570" s="11"/>
      <c r="K2570" s="11"/>
      <c r="L2570" s="11"/>
      <c r="M2570" s="11"/>
      <c r="N2570" s="11"/>
      <c r="O2570" s="11"/>
      <c r="P2570" s="43"/>
      <c r="Q2570" s="11"/>
      <c r="R2570" s="11"/>
      <c r="S2570" s="11"/>
      <c r="T2570" s="11"/>
      <c r="U2570" s="11"/>
      <c r="V2570" s="11"/>
      <c r="W2570" s="11"/>
      <c r="X2570" s="12"/>
      <c r="Y2570" s="12"/>
      <c r="Z2570" s="12"/>
      <c r="AA2570" s="44"/>
      <c r="AB2570" s="45"/>
      <c r="AC2570" s="12"/>
      <c r="AD2570" s="12"/>
      <c r="AE2570" s="12"/>
      <c r="AF2570" s="12"/>
      <c r="AG2570" s="44"/>
      <c r="AH2570" s="45"/>
      <c r="AI2570" s="12"/>
      <c r="AJ2570" s="12"/>
      <c r="AK2570" s="12"/>
      <c r="AL2570" s="12"/>
      <c r="AM2570" s="44"/>
      <c r="AN2570" s="45"/>
      <c r="AO2570" s="12"/>
      <c r="AP2570" s="12"/>
      <c r="AQ2570" s="12"/>
      <c r="AR2570" s="12"/>
      <c r="AS2570" s="44"/>
      <c r="AT2570" s="45"/>
      <c r="AU2570" s="12"/>
      <c r="AV2570" s="12"/>
      <c r="AW2570" s="12"/>
      <c r="AX2570" s="12"/>
      <c r="AY2570" s="44"/>
      <c r="AZ2570" s="45"/>
      <c r="BA2570" s="12"/>
      <c r="BB2570" s="12"/>
      <c r="BC2570" s="12"/>
      <c r="BD2570" s="12"/>
      <c r="BE2570" s="44"/>
      <c r="BF2570" s="45"/>
      <c r="BG2570" s="12"/>
      <c r="BH2570" s="12"/>
      <c r="BI2570" s="12"/>
      <c r="BJ2570" s="12"/>
      <c r="BK2570" s="44"/>
      <c r="BL2570" s="45"/>
      <c r="BM2570" s="12"/>
      <c r="BN2570" s="12"/>
      <c r="BO2570" s="12"/>
      <c r="BP2570" s="12"/>
      <c r="BQ2570" s="48"/>
      <c r="BR2570" s="49"/>
      <c r="BS2570" s="13"/>
      <c r="BT2570" s="12"/>
      <c r="BV2570" s="14"/>
      <c r="BW2570" s="50"/>
      <c r="BX2570" s="54"/>
      <c r="BY2570" s="14"/>
      <c r="BZ2570" s="14"/>
      <c r="CA2570" s="14"/>
      <c r="CB2570" s="14"/>
      <c r="CC2570" s="14"/>
      <c r="CD2570" s="14"/>
      <c r="CE2570" s="14"/>
      <c r="CF2570" s="15"/>
      <c r="CG2570" s="14"/>
      <c r="CH2570" s="14"/>
      <c r="CI2570" s="50"/>
      <c r="CJ2570" s="54"/>
      <c r="CK2570" s="14"/>
      <c r="CL2570" s="14"/>
      <c r="CM2570" s="14"/>
      <c r="CN2570" s="14"/>
      <c r="CO2570" s="14"/>
      <c r="CP2570" s="14"/>
      <c r="CQ2570" s="14"/>
      <c r="CR2570" s="14"/>
      <c r="CS2570" s="14"/>
      <c r="CT2570" s="14"/>
      <c r="CU2570" s="16"/>
      <c r="CV2570" s="14"/>
      <c r="CW2570" s="50"/>
      <c r="CX2570" s="17"/>
    </row>
    <row r="2571" spans="4:102" x14ac:dyDescent="0.25">
      <c r="D2571" s="11"/>
      <c r="E2571" s="11"/>
      <c r="F2571" s="11"/>
      <c r="G2571" s="11"/>
      <c r="H2571" s="11"/>
      <c r="I2571" s="11"/>
      <c r="J2571" s="11"/>
      <c r="K2571" s="11"/>
      <c r="L2571" s="11"/>
      <c r="M2571" s="11"/>
      <c r="N2571" s="11"/>
      <c r="O2571" s="11"/>
      <c r="P2571" s="43"/>
      <c r="Q2571" s="11"/>
      <c r="R2571" s="11"/>
      <c r="S2571" s="11"/>
      <c r="T2571" s="11"/>
      <c r="U2571" s="11"/>
      <c r="V2571" s="11"/>
      <c r="W2571" s="11"/>
      <c r="X2571" s="12"/>
      <c r="Y2571" s="12"/>
      <c r="Z2571" s="12"/>
      <c r="AA2571" s="44"/>
      <c r="AB2571" s="45"/>
      <c r="AC2571" s="12"/>
      <c r="AD2571" s="12"/>
      <c r="AE2571" s="12"/>
      <c r="AF2571" s="12"/>
      <c r="AG2571" s="44"/>
      <c r="AH2571" s="45"/>
      <c r="AI2571" s="12"/>
      <c r="AJ2571" s="12"/>
      <c r="AK2571" s="12"/>
      <c r="AL2571" s="12"/>
      <c r="AM2571" s="44"/>
      <c r="AN2571" s="45"/>
      <c r="AO2571" s="12"/>
      <c r="AP2571" s="12"/>
      <c r="AQ2571" s="12"/>
      <c r="AR2571" s="12"/>
      <c r="AS2571" s="44"/>
      <c r="AT2571" s="45"/>
      <c r="AU2571" s="12"/>
      <c r="AV2571" s="12"/>
      <c r="AW2571" s="12"/>
      <c r="AX2571" s="12"/>
      <c r="AY2571" s="44"/>
      <c r="AZ2571" s="45"/>
      <c r="BA2571" s="12"/>
      <c r="BB2571" s="12"/>
      <c r="BC2571" s="12"/>
      <c r="BD2571" s="12"/>
      <c r="BE2571" s="44"/>
      <c r="BF2571" s="45"/>
      <c r="BG2571" s="12"/>
      <c r="BH2571" s="12"/>
      <c r="BI2571" s="12"/>
      <c r="BJ2571" s="12"/>
      <c r="BK2571" s="44"/>
      <c r="BL2571" s="45"/>
      <c r="BM2571" s="12"/>
      <c r="BN2571" s="12"/>
      <c r="BO2571" s="12"/>
      <c r="BP2571" s="12"/>
      <c r="BQ2571" s="48"/>
      <c r="BR2571" s="49"/>
      <c r="BS2571" s="13"/>
      <c r="BT2571" s="12"/>
      <c r="BV2571" s="14"/>
      <c r="BW2571" s="50"/>
      <c r="BX2571" s="54"/>
      <c r="BY2571" s="14"/>
      <c r="BZ2571" s="14"/>
      <c r="CA2571" s="14"/>
      <c r="CB2571" s="14"/>
      <c r="CC2571" s="14"/>
      <c r="CD2571" s="14"/>
      <c r="CE2571" s="14"/>
      <c r="CF2571" s="15"/>
      <c r="CG2571" s="14"/>
      <c r="CH2571" s="14"/>
      <c r="CI2571" s="50"/>
      <c r="CJ2571" s="54"/>
      <c r="CK2571" s="14"/>
      <c r="CL2571" s="14"/>
      <c r="CM2571" s="14"/>
      <c r="CN2571" s="14"/>
      <c r="CO2571" s="14"/>
      <c r="CP2571" s="14"/>
      <c r="CQ2571" s="14"/>
      <c r="CR2571" s="14"/>
      <c r="CS2571" s="14"/>
      <c r="CT2571" s="14"/>
      <c r="CU2571" s="16"/>
      <c r="CV2571" s="14"/>
      <c r="CW2571" s="50"/>
      <c r="CX2571" s="17"/>
    </row>
    <row r="2572" spans="4:102" x14ac:dyDescent="0.25">
      <c r="D2572" s="11"/>
      <c r="E2572" s="11"/>
      <c r="F2572" s="11"/>
      <c r="G2572" s="11"/>
      <c r="H2572" s="11"/>
      <c r="I2572" s="11"/>
      <c r="J2572" s="11"/>
      <c r="K2572" s="11"/>
      <c r="L2572" s="11"/>
      <c r="M2572" s="11"/>
      <c r="N2572" s="11"/>
      <c r="O2572" s="11"/>
      <c r="P2572" s="43"/>
      <c r="Q2572" s="11"/>
      <c r="R2572" s="11"/>
      <c r="S2572" s="11"/>
      <c r="T2572" s="11"/>
      <c r="U2572" s="11"/>
      <c r="V2572" s="11"/>
      <c r="W2572" s="11"/>
      <c r="X2572" s="12"/>
      <c r="Y2572" s="12"/>
      <c r="Z2572" s="12"/>
      <c r="AA2572" s="44"/>
      <c r="AB2572" s="45"/>
      <c r="AC2572" s="12"/>
      <c r="AD2572" s="12"/>
      <c r="AE2572" s="12"/>
      <c r="AF2572" s="12"/>
      <c r="AG2572" s="44"/>
      <c r="AH2572" s="45"/>
      <c r="AI2572" s="12"/>
      <c r="AJ2572" s="12"/>
      <c r="AK2572" s="12"/>
      <c r="AL2572" s="12"/>
      <c r="AM2572" s="44"/>
      <c r="AN2572" s="45"/>
      <c r="AO2572" s="12"/>
      <c r="AP2572" s="12"/>
      <c r="AQ2572" s="12"/>
      <c r="AR2572" s="12"/>
      <c r="AS2572" s="44"/>
      <c r="AT2572" s="45"/>
      <c r="AU2572" s="12"/>
      <c r="AV2572" s="12"/>
      <c r="AW2572" s="12"/>
      <c r="AX2572" s="12"/>
      <c r="AY2572" s="44"/>
      <c r="AZ2572" s="45"/>
      <c r="BA2572" s="12"/>
      <c r="BB2572" s="12"/>
      <c r="BC2572" s="12"/>
      <c r="BD2572" s="12"/>
      <c r="BE2572" s="44"/>
      <c r="BF2572" s="45"/>
      <c r="BG2572" s="12"/>
      <c r="BH2572" s="12"/>
      <c r="BI2572" s="12"/>
      <c r="BJ2572" s="12"/>
      <c r="BK2572" s="44"/>
      <c r="BL2572" s="45"/>
      <c r="BM2572" s="12"/>
      <c r="BN2572" s="12"/>
      <c r="BO2572" s="12"/>
      <c r="BP2572" s="12"/>
      <c r="BQ2572" s="48"/>
      <c r="BR2572" s="49"/>
      <c r="BS2572" s="13"/>
      <c r="BT2572" s="12"/>
      <c r="BV2572" s="14"/>
      <c r="BW2572" s="50"/>
      <c r="BX2572" s="54"/>
      <c r="BY2572" s="14"/>
      <c r="BZ2572" s="14"/>
      <c r="CA2572" s="14"/>
      <c r="CB2572" s="14"/>
      <c r="CC2572" s="14"/>
      <c r="CD2572" s="14"/>
      <c r="CE2572" s="14"/>
      <c r="CF2572" s="15"/>
      <c r="CG2572" s="14"/>
      <c r="CH2572" s="14"/>
      <c r="CI2572" s="50"/>
      <c r="CJ2572" s="54"/>
      <c r="CK2572" s="14"/>
      <c r="CL2572" s="14"/>
      <c r="CM2572" s="14"/>
      <c r="CN2572" s="14"/>
      <c r="CO2572" s="14"/>
      <c r="CP2572" s="14"/>
      <c r="CQ2572" s="14"/>
      <c r="CR2572" s="14"/>
      <c r="CS2572" s="14"/>
      <c r="CT2572" s="14"/>
      <c r="CU2572" s="16"/>
      <c r="CV2572" s="14"/>
      <c r="CW2572" s="50"/>
      <c r="CX2572" s="17"/>
    </row>
    <row r="2573" spans="4:102" x14ac:dyDescent="0.25">
      <c r="D2573" s="11"/>
      <c r="E2573" s="11"/>
      <c r="F2573" s="11"/>
      <c r="G2573" s="11"/>
      <c r="H2573" s="11"/>
      <c r="I2573" s="11"/>
      <c r="J2573" s="11"/>
      <c r="K2573" s="11"/>
      <c r="L2573" s="11"/>
      <c r="M2573" s="11"/>
      <c r="N2573" s="11"/>
      <c r="O2573" s="11"/>
      <c r="P2573" s="43"/>
      <c r="Q2573" s="11"/>
      <c r="R2573" s="11"/>
      <c r="S2573" s="11"/>
      <c r="T2573" s="11"/>
      <c r="U2573" s="11"/>
      <c r="V2573" s="11"/>
      <c r="W2573" s="11"/>
      <c r="X2573" s="12"/>
      <c r="Y2573" s="12"/>
      <c r="Z2573" s="12"/>
      <c r="AA2573" s="44"/>
      <c r="AB2573" s="45"/>
      <c r="AC2573" s="12"/>
      <c r="AD2573" s="12"/>
      <c r="AE2573" s="12"/>
      <c r="AF2573" s="12"/>
      <c r="AG2573" s="44"/>
      <c r="AH2573" s="45"/>
      <c r="AI2573" s="12"/>
      <c r="AJ2573" s="12"/>
      <c r="AK2573" s="12"/>
      <c r="AL2573" s="12"/>
      <c r="AM2573" s="44"/>
      <c r="AN2573" s="45"/>
      <c r="AO2573" s="12"/>
      <c r="AP2573" s="12"/>
      <c r="AQ2573" s="12"/>
      <c r="AR2573" s="12"/>
      <c r="AS2573" s="44"/>
      <c r="AT2573" s="45"/>
      <c r="AU2573" s="12"/>
      <c r="AV2573" s="12"/>
      <c r="AW2573" s="12"/>
      <c r="AX2573" s="12"/>
      <c r="AY2573" s="44"/>
      <c r="AZ2573" s="45"/>
      <c r="BA2573" s="12"/>
      <c r="BB2573" s="12"/>
      <c r="BC2573" s="12"/>
      <c r="BD2573" s="12"/>
      <c r="BE2573" s="44"/>
      <c r="BF2573" s="45"/>
      <c r="BG2573" s="12"/>
      <c r="BH2573" s="12"/>
      <c r="BI2573" s="12"/>
      <c r="BJ2573" s="12"/>
      <c r="BK2573" s="44"/>
      <c r="BL2573" s="45"/>
      <c r="BM2573" s="12"/>
      <c r="BN2573" s="12"/>
      <c r="BO2573" s="12"/>
      <c r="BP2573" s="12"/>
      <c r="BQ2573" s="48"/>
      <c r="BR2573" s="49"/>
      <c r="BS2573" s="13"/>
      <c r="BT2573" s="12"/>
      <c r="BV2573" s="14"/>
      <c r="BW2573" s="50"/>
      <c r="BX2573" s="54"/>
      <c r="BY2573" s="14"/>
      <c r="BZ2573" s="14"/>
      <c r="CA2573" s="14"/>
      <c r="CB2573" s="14"/>
      <c r="CC2573" s="14"/>
      <c r="CD2573" s="14"/>
      <c r="CE2573" s="14"/>
      <c r="CF2573" s="15"/>
      <c r="CG2573" s="14"/>
      <c r="CH2573" s="14"/>
      <c r="CI2573" s="50"/>
      <c r="CJ2573" s="54"/>
      <c r="CK2573" s="14"/>
      <c r="CL2573" s="14"/>
      <c r="CM2573" s="14"/>
      <c r="CN2573" s="14"/>
      <c r="CO2573" s="14"/>
      <c r="CP2573" s="14"/>
      <c r="CQ2573" s="14"/>
      <c r="CR2573" s="14"/>
      <c r="CS2573" s="14"/>
      <c r="CT2573" s="14"/>
      <c r="CU2573" s="16"/>
      <c r="CV2573" s="14"/>
      <c r="CW2573" s="50"/>
      <c r="CX2573" s="17"/>
    </row>
    <row r="2574" spans="4:102" x14ac:dyDescent="0.25">
      <c r="D2574" s="11"/>
      <c r="E2574" s="11"/>
      <c r="F2574" s="11"/>
      <c r="G2574" s="11"/>
      <c r="H2574" s="11"/>
      <c r="I2574" s="11"/>
      <c r="J2574" s="11"/>
      <c r="K2574" s="11"/>
      <c r="L2574" s="11"/>
      <c r="M2574" s="11"/>
      <c r="N2574" s="11"/>
      <c r="O2574" s="11"/>
      <c r="P2574" s="43"/>
      <c r="Q2574" s="11"/>
      <c r="R2574" s="11"/>
      <c r="S2574" s="11"/>
      <c r="T2574" s="11"/>
      <c r="U2574" s="11"/>
      <c r="V2574" s="11"/>
      <c r="W2574" s="11"/>
      <c r="X2574" s="12"/>
      <c r="Y2574" s="12"/>
      <c r="Z2574" s="12"/>
      <c r="AA2574" s="44"/>
      <c r="AB2574" s="45"/>
      <c r="AC2574" s="12"/>
      <c r="AD2574" s="12"/>
      <c r="AE2574" s="12"/>
      <c r="AF2574" s="12"/>
      <c r="AG2574" s="44"/>
      <c r="AH2574" s="45"/>
      <c r="AI2574" s="12"/>
      <c r="AJ2574" s="12"/>
      <c r="AK2574" s="12"/>
      <c r="AL2574" s="12"/>
      <c r="AM2574" s="44"/>
      <c r="AN2574" s="45"/>
      <c r="AO2574" s="12"/>
      <c r="AP2574" s="12"/>
      <c r="AQ2574" s="12"/>
      <c r="AR2574" s="12"/>
      <c r="AS2574" s="44"/>
      <c r="AT2574" s="45"/>
      <c r="AU2574" s="12"/>
      <c r="AV2574" s="12"/>
      <c r="AW2574" s="12"/>
      <c r="AX2574" s="12"/>
      <c r="AY2574" s="44"/>
      <c r="AZ2574" s="45"/>
      <c r="BA2574" s="12"/>
      <c r="BB2574" s="12"/>
      <c r="BC2574" s="12"/>
      <c r="BD2574" s="12"/>
      <c r="BE2574" s="44"/>
      <c r="BF2574" s="45"/>
      <c r="BG2574" s="12"/>
      <c r="BH2574" s="12"/>
      <c r="BI2574" s="12"/>
      <c r="BJ2574" s="12"/>
      <c r="BK2574" s="44"/>
      <c r="BL2574" s="45"/>
      <c r="BM2574" s="12"/>
      <c r="BN2574" s="12"/>
      <c r="BO2574" s="12"/>
      <c r="BP2574" s="12"/>
      <c r="BQ2574" s="48"/>
      <c r="BR2574" s="49"/>
      <c r="BS2574" s="13"/>
      <c r="BT2574" s="12"/>
      <c r="BV2574" s="14"/>
      <c r="BW2574" s="50"/>
      <c r="BX2574" s="54"/>
      <c r="BY2574" s="14"/>
      <c r="BZ2574" s="14"/>
      <c r="CA2574" s="14"/>
      <c r="CB2574" s="14"/>
      <c r="CC2574" s="14"/>
      <c r="CD2574" s="14"/>
      <c r="CE2574" s="14"/>
      <c r="CF2574" s="15"/>
      <c r="CG2574" s="14"/>
      <c r="CH2574" s="14"/>
      <c r="CI2574" s="50"/>
      <c r="CJ2574" s="54"/>
      <c r="CK2574" s="14"/>
      <c r="CL2574" s="14"/>
      <c r="CM2574" s="14"/>
      <c r="CN2574" s="14"/>
      <c r="CO2574" s="14"/>
      <c r="CP2574" s="14"/>
      <c r="CQ2574" s="14"/>
      <c r="CR2574" s="14"/>
      <c r="CS2574" s="14"/>
      <c r="CT2574" s="14"/>
      <c r="CU2574" s="16"/>
      <c r="CV2574" s="14"/>
      <c r="CW2574" s="50"/>
      <c r="CX2574" s="17"/>
    </row>
    <row r="2575" spans="4:102" x14ac:dyDescent="0.25">
      <c r="D2575" s="11"/>
      <c r="E2575" s="11"/>
      <c r="F2575" s="11"/>
      <c r="G2575" s="11"/>
      <c r="H2575" s="11"/>
      <c r="I2575" s="11"/>
      <c r="J2575" s="11"/>
      <c r="K2575" s="11"/>
      <c r="L2575" s="11"/>
      <c r="M2575" s="11"/>
      <c r="N2575" s="11"/>
      <c r="O2575" s="11"/>
      <c r="P2575" s="43"/>
      <c r="Q2575" s="11"/>
      <c r="R2575" s="11"/>
      <c r="S2575" s="11"/>
      <c r="T2575" s="11"/>
      <c r="U2575" s="11"/>
      <c r="V2575" s="11"/>
      <c r="W2575" s="11"/>
      <c r="X2575" s="12"/>
      <c r="Y2575" s="12"/>
      <c r="Z2575" s="12"/>
      <c r="AA2575" s="44"/>
      <c r="AB2575" s="45"/>
      <c r="AC2575" s="12"/>
      <c r="AD2575" s="12"/>
      <c r="AE2575" s="12"/>
      <c r="AF2575" s="12"/>
      <c r="AG2575" s="44"/>
      <c r="AH2575" s="45"/>
      <c r="AI2575" s="12"/>
      <c r="AJ2575" s="12"/>
      <c r="AK2575" s="12"/>
      <c r="AL2575" s="12"/>
      <c r="AM2575" s="44"/>
      <c r="AN2575" s="45"/>
      <c r="AO2575" s="12"/>
      <c r="AP2575" s="12"/>
      <c r="AQ2575" s="12"/>
      <c r="AR2575" s="12"/>
      <c r="AS2575" s="44"/>
      <c r="AT2575" s="45"/>
      <c r="AU2575" s="12"/>
      <c r="AV2575" s="12"/>
      <c r="AW2575" s="12"/>
      <c r="AX2575" s="12"/>
      <c r="AY2575" s="44"/>
      <c r="AZ2575" s="45"/>
      <c r="BA2575" s="12"/>
      <c r="BB2575" s="12"/>
      <c r="BC2575" s="12"/>
      <c r="BD2575" s="12"/>
      <c r="BE2575" s="44"/>
      <c r="BF2575" s="45"/>
      <c r="BG2575" s="12"/>
      <c r="BH2575" s="12"/>
      <c r="BI2575" s="12"/>
      <c r="BJ2575" s="12"/>
      <c r="BK2575" s="44"/>
      <c r="BL2575" s="45"/>
      <c r="BM2575" s="12"/>
      <c r="BN2575" s="12"/>
      <c r="BO2575" s="12"/>
      <c r="BP2575" s="12"/>
      <c r="BQ2575" s="48"/>
      <c r="BR2575" s="49"/>
      <c r="BS2575" s="13"/>
      <c r="BT2575" s="12"/>
      <c r="BV2575" s="14"/>
      <c r="BW2575" s="50"/>
      <c r="BX2575" s="54"/>
      <c r="BY2575" s="14"/>
      <c r="BZ2575" s="14"/>
      <c r="CA2575" s="14"/>
      <c r="CB2575" s="14"/>
      <c r="CC2575" s="14"/>
      <c r="CD2575" s="14"/>
      <c r="CE2575" s="14"/>
      <c r="CF2575" s="15"/>
      <c r="CG2575" s="14"/>
      <c r="CH2575" s="14"/>
      <c r="CI2575" s="50"/>
      <c r="CJ2575" s="54"/>
      <c r="CK2575" s="14"/>
      <c r="CL2575" s="14"/>
      <c r="CM2575" s="14"/>
      <c r="CN2575" s="14"/>
      <c r="CO2575" s="14"/>
      <c r="CP2575" s="14"/>
      <c r="CQ2575" s="14"/>
      <c r="CR2575" s="14"/>
      <c r="CS2575" s="14"/>
      <c r="CT2575" s="14"/>
      <c r="CU2575" s="16"/>
      <c r="CV2575" s="14"/>
      <c r="CW2575" s="50"/>
      <c r="CX2575" s="17"/>
    </row>
    <row r="2576" spans="4:102" x14ac:dyDescent="0.25">
      <c r="D2576" s="11"/>
      <c r="E2576" s="11"/>
      <c r="F2576" s="11"/>
      <c r="G2576" s="11"/>
      <c r="H2576" s="11"/>
      <c r="I2576" s="11"/>
      <c r="J2576" s="11"/>
      <c r="K2576" s="11"/>
      <c r="L2576" s="11"/>
      <c r="M2576" s="11"/>
      <c r="N2576" s="11"/>
      <c r="O2576" s="11"/>
      <c r="P2576" s="43"/>
      <c r="Q2576" s="11"/>
      <c r="R2576" s="11"/>
      <c r="S2576" s="11"/>
      <c r="T2576" s="11"/>
      <c r="U2576" s="11"/>
      <c r="V2576" s="11"/>
      <c r="W2576" s="11"/>
      <c r="X2576" s="12"/>
      <c r="Y2576" s="12"/>
      <c r="Z2576" s="12"/>
      <c r="AA2576" s="44"/>
      <c r="AB2576" s="45"/>
      <c r="AC2576" s="12"/>
      <c r="AD2576" s="12"/>
      <c r="AE2576" s="12"/>
      <c r="AF2576" s="12"/>
      <c r="AG2576" s="44"/>
      <c r="AH2576" s="45"/>
      <c r="AI2576" s="12"/>
      <c r="AJ2576" s="12"/>
      <c r="AK2576" s="12"/>
      <c r="AL2576" s="12"/>
      <c r="AM2576" s="44"/>
      <c r="AN2576" s="45"/>
      <c r="AO2576" s="12"/>
      <c r="AP2576" s="12"/>
      <c r="AQ2576" s="12"/>
      <c r="AR2576" s="12"/>
      <c r="AS2576" s="44"/>
      <c r="AT2576" s="45"/>
      <c r="AU2576" s="12"/>
      <c r="AV2576" s="12"/>
      <c r="AW2576" s="12"/>
      <c r="AX2576" s="12"/>
      <c r="AY2576" s="44"/>
      <c r="AZ2576" s="45"/>
      <c r="BA2576" s="12"/>
      <c r="BB2576" s="12"/>
      <c r="BC2576" s="12"/>
      <c r="BD2576" s="12"/>
      <c r="BE2576" s="44"/>
      <c r="BF2576" s="45"/>
      <c r="BG2576" s="12"/>
      <c r="BH2576" s="12"/>
      <c r="BI2576" s="12"/>
      <c r="BJ2576" s="12"/>
      <c r="BK2576" s="44"/>
      <c r="BL2576" s="45"/>
      <c r="BM2576" s="12"/>
      <c r="BN2576" s="12"/>
      <c r="BO2576" s="12"/>
      <c r="BP2576" s="12"/>
      <c r="BQ2576" s="48"/>
      <c r="BR2576" s="49"/>
      <c r="BS2576" s="13"/>
      <c r="BT2576" s="12"/>
      <c r="BV2576" s="14"/>
      <c r="BW2576" s="50"/>
      <c r="BX2576" s="54"/>
      <c r="BY2576" s="14"/>
      <c r="BZ2576" s="14"/>
      <c r="CA2576" s="14"/>
      <c r="CB2576" s="14"/>
      <c r="CC2576" s="14"/>
      <c r="CD2576" s="14"/>
      <c r="CE2576" s="14"/>
      <c r="CF2576" s="15"/>
      <c r="CG2576" s="14"/>
      <c r="CH2576" s="14"/>
      <c r="CI2576" s="50"/>
      <c r="CJ2576" s="54"/>
      <c r="CK2576" s="14"/>
      <c r="CL2576" s="14"/>
      <c r="CM2576" s="14"/>
      <c r="CN2576" s="14"/>
      <c r="CO2576" s="14"/>
      <c r="CP2576" s="14"/>
      <c r="CQ2576" s="14"/>
      <c r="CR2576" s="14"/>
      <c r="CS2576" s="14"/>
      <c r="CT2576" s="14"/>
      <c r="CU2576" s="16"/>
      <c r="CV2576" s="14"/>
      <c r="CW2576" s="50"/>
      <c r="CX2576" s="17"/>
    </row>
    <row r="2577" spans="4:102" x14ac:dyDescent="0.25">
      <c r="D2577" s="11"/>
      <c r="E2577" s="11"/>
      <c r="F2577" s="11"/>
      <c r="G2577" s="11"/>
      <c r="H2577" s="11"/>
      <c r="I2577" s="11"/>
      <c r="J2577" s="11"/>
      <c r="K2577" s="11"/>
      <c r="L2577" s="11"/>
      <c r="M2577" s="11"/>
      <c r="N2577" s="11"/>
      <c r="O2577" s="11"/>
      <c r="P2577" s="43"/>
      <c r="Q2577" s="11"/>
      <c r="R2577" s="11"/>
      <c r="S2577" s="11"/>
      <c r="T2577" s="11"/>
      <c r="U2577" s="11"/>
      <c r="V2577" s="11"/>
      <c r="W2577" s="11"/>
      <c r="X2577" s="12"/>
      <c r="Y2577" s="12"/>
      <c r="Z2577" s="12"/>
      <c r="AA2577" s="44"/>
      <c r="AB2577" s="45"/>
      <c r="AC2577" s="12"/>
      <c r="AD2577" s="12"/>
      <c r="AE2577" s="12"/>
      <c r="AF2577" s="12"/>
      <c r="AG2577" s="44"/>
      <c r="AH2577" s="45"/>
      <c r="AI2577" s="12"/>
      <c r="AJ2577" s="12"/>
      <c r="AK2577" s="12"/>
      <c r="AL2577" s="12"/>
      <c r="AM2577" s="44"/>
      <c r="AN2577" s="45"/>
      <c r="AO2577" s="12"/>
      <c r="AP2577" s="12"/>
      <c r="AQ2577" s="12"/>
      <c r="AR2577" s="12"/>
      <c r="AS2577" s="44"/>
      <c r="AT2577" s="45"/>
      <c r="AU2577" s="12"/>
      <c r="AV2577" s="12"/>
      <c r="AW2577" s="12"/>
      <c r="AX2577" s="12"/>
      <c r="AY2577" s="44"/>
      <c r="AZ2577" s="45"/>
      <c r="BA2577" s="12"/>
      <c r="BB2577" s="12"/>
      <c r="BC2577" s="12"/>
      <c r="BD2577" s="12"/>
      <c r="BE2577" s="44"/>
      <c r="BF2577" s="45"/>
      <c r="BG2577" s="12"/>
      <c r="BH2577" s="12"/>
      <c r="BI2577" s="12"/>
      <c r="BJ2577" s="12"/>
      <c r="BK2577" s="44"/>
      <c r="BL2577" s="45"/>
      <c r="BM2577" s="12"/>
      <c r="BN2577" s="12"/>
      <c r="BO2577" s="12"/>
      <c r="BP2577" s="12"/>
      <c r="BQ2577" s="48"/>
      <c r="BR2577" s="49"/>
      <c r="BS2577" s="13"/>
      <c r="BT2577" s="12"/>
      <c r="BV2577" s="14"/>
      <c r="BW2577" s="50"/>
      <c r="BX2577" s="54"/>
      <c r="BY2577" s="14"/>
      <c r="BZ2577" s="14"/>
      <c r="CA2577" s="14"/>
      <c r="CB2577" s="14"/>
      <c r="CC2577" s="14"/>
      <c r="CD2577" s="14"/>
      <c r="CE2577" s="14"/>
      <c r="CF2577" s="15"/>
      <c r="CG2577" s="14"/>
      <c r="CH2577" s="14"/>
      <c r="CI2577" s="50"/>
      <c r="CJ2577" s="54"/>
      <c r="CK2577" s="14"/>
      <c r="CL2577" s="14"/>
      <c r="CM2577" s="14"/>
      <c r="CN2577" s="14"/>
      <c r="CO2577" s="14"/>
      <c r="CP2577" s="14"/>
      <c r="CQ2577" s="14"/>
      <c r="CR2577" s="14"/>
      <c r="CS2577" s="14"/>
      <c r="CT2577" s="14"/>
      <c r="CU2577" s="16"/>
      <c r="CV2577" s="14"/>
      <c r="CW2577" s="50"/>
      <c r="CX2577" s="17"/>
    </row>
    <row r="2578" spans="4:102" x14ac:dyDescent="0.25">
      <c r="D2578" s="11"/>
      <c r="E2578" s="11"/>
      <c r="F2578" s="11"/>
      <c r="G2578" s="11"/>
      <c r="H2578" s="11"/>
      <c r="I2578" s="11"/>
      <c r="J2578" s="11"/>
      <c r="K2578" s="11"/>
      <c r="L2578" s="11"/>
      <c r="M2578" s="11"/>
      <c r="N2578" s="11"/>
      <c r="O2578" s="11"/>
      <c r="P2578" s="43"/>
      <c r="Q2578" s="11"/>
      <c r="R2578" s="11"/>
      <c r="S2578" s="11"/>
      <c r="T2578" s="11"/>
      <c r="U2578" s="11"/>
      <c r="V2578" s="11"/>
      <c r="W2578" s="11"/>
      <c r="X2578" s="12"/>
      <c r="Y2578" s="12"/>
      <c r="Z2578" s="12"/>
      <c r="AA2578" s="44"/>
      <c r="AB2578" s="45"/>
      <c r="AC2578" s="12"/>
      <c r="AD2578" s="12"/>
      <c r="AE2578" s="12"/>
      <c r="AF2578" s="12"/>
      <c r="AG2578" s="44"/>
      <c r="AH2578" s="45"/>
      <c r="AI2578" s="12"/>
      <c r="AJ2578" s="12"/>
      <c r="AK2578" s="12"/>
      <c r="AL2578" s="12"/>
      <c r="AM2578" s="44"/>
      <c r="AN2578" s="45"/>
      <c r="AO2578" s="12"/>
      <c r="AP2578" s="12"/>
      <c r="AQ2578" s="12"/>
      <c r="AR2578" s="12"/>
      <c r="AS2578" s="44"/>
      <c r="AT2578" s="45"/>
      <c r="AU2578" s="12"/>
      <c r="AV2578" s="12"/>
      <c r="AW2578" s="12"/>
      <c r="AX2578" s="12"/>
      <c r="AY2578" s="44"/>
      <c r="AZ2578" s="45"/>
      <c r="BA2578" s="12"/>
      <c r="BB2578" s="12"/>
      <c r="BC2578" s="12"/>
      <c r="BD2578" s="12"/>
      <c r="BE2578" s="44"/>
      <c r="BF2578" s="45"/>
      <c r="BG2578" s="12"/>
      <c r="BH2578" s="12"/>
      <c r="BI2578" s="12"/>
      <c r="BJ2578" s="12"/>
      <c r="BK2578" s="44"/>
      <c r="BL2578" s="45"/>
      <c r="BM2578" s="12"/>
      <c r="BN2578" s="12"/>
      <c r="BO2578" s="12"/>
      <c r="BP2578" s="12"/>
      <c r="BQ2578" s="48"/>
      <c r="BR2578" s="49"/>
      <c r="BS2578" s="13"/>
      <c r="BT2578" s="12"/>
      <c r="BV2578" s="14"/>
      <c r="BW2578" s="50"/>
      <c r="BX2578" s="54"/>
      <c r="BY2578" s="14"/>
      <c r="BZ2578" s="14"/>
      <c r="CA2578" s="14"/>
      <c r="CB2578" s="14"/>
      <c r="CC2578" s="14"/>
      <c r="CD2578" s="14"/>
      <c r="CE2578" s="14"/>
      <c r="CF2578" s="15"/>
      <c r="CG2578" s="14"/>
      <c r="CH2578" s="14"/>
      <c r="CI2578" s="50"/>
      <c r="CJ2578" s="54"/>
      <c r="CK2578" s="14"/>
      <c r="CL2578" s="14"/>
      <c r="CM2578" s="14"/>
      <c r="CN2578" s="14"/>
      <c r="CO2578" s="14"/>
      <c r="CP2578" s="14"/>
      <c r="CQ2578" s="14"/>
      <c r="CR2578" s="14"/>
      <c r="CS2578" s="14"/>
      <c r="CT2578" s="14"/>
      <c r="CU2578" s="16"/>
      <c r="CV2578" s="14"/>
      <c r="CW2578" s="50"/>
      <c r="CX2578" s="17"/>
    </row>
    <row r="2579" spans="4:102" x14ac:dyDescent="0.25">
      <c r="D2579" s="11"/>
      <c r="E2579" s="11"/>
      <c r="F2579" s="11"/>
      <c r="G2579" s="11"/>
      <c r="H2579" s="11"/>
      <c r="I2579" s="11"/>
      <c r="J2579" s="11"/>
      <c r="K2579" s="11"/>
      <c r="L2579" s="11"/>
      <c r="M2579" s="11"/>
      <c r="N2579" s="11"/>
      <c r="O2579" s="11"/>
      <c r="P2579" s="43"/>
      <c r="Q2579" s="11"/>
      <c r="R2579" s="11"/>
      <c r="S2579" s="11"/>
      <c r="T2579" s="11"/>
      <c r="U2579" s="11"/>
      <c r="V2579" s="11"/>
      <c r="W2579" s="11"/>
      <c r="X2579" s="12"/>
      <c r="Y2579" s="12"/>
      <c r="Z2579" s="12"/>
      <c r="AA2579" s="44"/>
      <c r="AB2579" s="45"/>
      <c r="AC2579" s="12"/>
      <c r="AD2579" s="12"/>
      <c r="AE2579" s="12"/>
      <c r="AF2579" s="12"/>
      <c r="AG2579" s="44"/>
      <c r="AH2579" s="45"/>
      <c r="AI2579" s="12"/>
      <c r="AJ2579" s="12"/>
      <c r="AK2579" s="12"/>
      <c r="AL2579" s="12"/>
      <c r="AM2579" s="44"/>
      <c r="AN2579" s="45"/>
      <c r="AO2579" s="12"/>
      <c r="AP2579" s="12"/>
      <c r="AQ2579" s="12"/>
      <c r="AR2579" s="12"/>
      <c r="AS2579" s="44"/>
      <c r="AT2579" s="45"/>
      <c r="AU2579" s="12"/>
      <c r="AV2579" s="12"/>
      <c r="AW2579" s="12"/>
      <c r="AX2579" s="12"/>
      <c r="AY2579" s="44"/>
      <c r="AZ2579" s="45"/>
      <c r="BA2579" s="12"/>
      <c r="BB2579" s="12"/>
      <c r="BC2579" s="12"/>
      <c r="BD2579" s="12"/>
      <c r="BE2579" s="44"/>
      <c r="BF2579" s="45"/>
      <c r="BG2579" s="12"/>
      <c r="BH2579" s="12"/>
      <c r="BI2579" s="12"/>
      <c r="BJ2579" s="12"/>
      <c r="BK2579" s="44"/>
      <c r="BL2579" s="45"/>
      <c r="BM2579" s="12"/>
      <c r="BN2579" s="12"/>
      <c r="BO2579" s="12"/>
      <c r="BP2579" s="12"/>
      <c r="BQ2579" s="48"/>
      <c r="BR2579" s="49"/>
      <c r="BS2579" s="13"/>
      <c r="BT2579" s="12"/>
      <c r="BV2579" s="14"/>
      <c r="BW2579" s="50"/>
      <c r="BX2579" s="54"/>
      <c r="BY2579" s="14"/>
      <c r="BZ2579" s="14"/>
      <c r="CA2579" s="14"/>
      <c r="CB2579" s="14"/>
      <c r="CC2579" s="14"/>
      <c r="CD2579" s="14"/>
      <c r="CE2579" s="14"/>
      <c r="CF2579" s="15"/>
      <c r="CG2579" s="14"/>
      <c r="CH2579" s="14"/>
      <c r="CI2579" s="50"/>
      <c r="CJ2579" s="54"/>
      <c r="CK2579" s="14"/>
      <c r="CL2579" s="14"/>
      <c r="CM2579" s="14"/>
      <c r="CN2579" s="14"/>
      <c r="CO2579" s="14"/>
      <c r="CP2579" s="14"/>
      <c r="CQ2579" s="14"/>
      <c r="CR2579" s="14"/>
      <c r="CS2579" s="14"/>
      <c r="CT2579" s="14"/>
      <c r="CU2579" s="16"/>
      <c r="CV2579" s="14"/>
      <c r="CW2579" s="50"/>
      <c r="CX2579" s="17"/>
    </row>
    <row r="2580" spans="4:102" x14ac:dyDescent="0.25">
      <c r="D2580" s="11"/>
      <c r="E2580" s="11"/>
      <c r="F2580" s="11"/>
      <c r="G2580" s="11"/>
      <c r="H2580" s="11"/>
      <c r="I2580" s="11"/>
      <c r="J2580" s="11"/>
      <c r="K2580" s="11"/>
      <c r="L2580" s="11"/>
      <c r="M2580" s="11"/>
      <c r="N2580" s="11"/>
      <c r="O2580" s="11"/>
      <c r="P2580" s="43"/>
      <c r="Q2580" s="11"/>
      <c r="R2580" s="11"/>
      <c r="S2580" s="11"/>
      <c r="T2580" s="11"/>
      <c r="U2580" s="11"/>
      <c r="V2580" s="11"/>
      <c r="W2580" s="11"/>
      <c r="X2580" s="12"/>
      <c r="Y2580" s="12"/>
      <c r="Z2580" s="12"/>
      <c r="AA2580" s="44"/>
      <c r="AB2580" s="45"/>
      <c r="AC2580" s="12"/>
      <c r="AD2580" s="12"/>
      <c r="AE2580" s="12"/>
      <c r="AF2580" s="12"/>
      <c r="AG2580" s="44"/>
      <c r="AH2580" s="45"/>
      <c r="AI2580" s="12"/>
      <c r="AJ2580" s="12"/>
      <c r="AK2580" s="12"/>
      <c r="AL2580" s="12"/>
      <c r="AM2580" s="44"/>
      <c r="AN2580" s="45"/>
      <c r="AO2580" s="12"/>
      <c r="AP2580" s="12"/>
      <c r="AQ2580" s="12"/>
      <c r="AR2580" s="12"/>
      <c r="AS2580" s="44"/>
      <c r="AT2580" s="45"/>
      <c r="AU2580" s="12"/>
      <c r="AV2580" s="12"/>
      <c r="AW2580" s="12"/>
      <c r="AX2580" s="12"/>
      <c r="AY2580" s="44"/>
      <c r="AZ2580" s="45"/>
      <c r="BA2580" s="12"/>
      <c r="BB2580" s="12"/>
      <c r="BC2580" s="12"/>
      <c r="BD2580" s="12"/>
      <c r="BE2580" s="44"/>
      <c r="BF2580" s="45"/>
      <c r="BG2580" s="12"/>
      <c r="BH2580" s="12"/>
      <c r="BI2580" s="12"/>
      <c r="BJ2580" s="12"/>
      <c r="BK2580" s="44"/>
      <c r="BL2580" s="45"/>
      <c r="BM2580" s="12"/>
      <c r="BN2580" s="12"/>
      <c r="BO2580" s="12"/>
      <c r="BP2580" s="12"/>
      <c r="BQ2580" s="48"/>
      <c r="BR2580" s="49"/>
      <c r="BS2580" s="13"/>
      <c r="BT2580" s="12"/>
      <c r="BV2580" s="14"/>
      <c r="BW2580" s="50"/>
      <c r="BX2580" s="54"/>
      <c r="BY2580" s="14"/>
      <c r="BZ2580" s="14"/>
      <c r="CA2580" s="14"/>
      <c r="CB2580" s="14"/>
      <c r="CC2580" s="14"/>
      <c r="CD2580" s="14"/>
      <c r="CE2580" s="14"/>
      <c r="CF2580" s="15"/>
      <c r="CG2580" s="14"/>
      <c r="CH2580" s="14"/>
      <c r="CI2580" s="50"/>
      <c r="CJ2580" s="54"/>
      <c r="CK2580" s="14"/>
      <c r="CL2580" s="14"/>
      <c r="CM2580" s="14"/>
      <c r="CN2580" s="14"/>
      <c r="CO2580" s="14"/>
      <c r="CP2580" s="14"/>
      <c r="CQ2580" s="14"/>
      <c r="CR2580" s="14"/>
      <c r="CS2580" s="14"/>
      <c r="CT2580" s="14"/>
      <c r="CU2580" s="16"/>
      <c r="CV2580" s="14"/>
      <c r="CW2580" s="50"/>
      <c r="CX2580" s="17"/>
    </row>
    <row r="2581" spans="4:102" x14ac:dyDescent="0.25">
      <c r="D2581" s="11"/>
      <c r="E2581" s="11"/>
      <c r="F2581" s="11"/>
      <c r="G2581" s="11"/>
      <c r="H2581" s="11"/>
      <c r="I2581" s="11"/>
      <c r="J2581" s="11"/>
      <c r="K2581" s="11"/>
      <c r="L2581" s="11"/>
      <c r="M2581" s="11"/>
      <c r="N2581" s="11"/>
      <c r="O2581" s="11"/>
      <c r="P2581" s="43"/>
      <c r="Q2581" s="11"/>
      <c r="R2581" s="11"/>
      <c r="S2581" s="11"/>
      <c r="T2581" s="11"/>
      <c r="U2581" s="11"/>
      <c r="V2581" s="11"/>
      <c r="W2581" s="11"/>
      <c r="X2581" s="12"/>
      <c r="Y2581" s="12"/>
      <c r="Z2581" s="12"/>
      <c r="AA2581" s="44"/>
      <c r="AB2581" s="45"/>
      <c r="AC2581" s="12"/>
      <c r="AD2581" s="12"/>
      <c r="AE2581" s="12"/>
      <c r="AF2581" s="12"/>
      <c r="AG2581" s="44"/>
      <c r="AH2581" s="45"/>
      <c r="AI2581" s="12"/>
      <c r="AJ2581" s="12"/>
      <c r="AK2581" s="12"/>
      <c r="AL2581" s="12"/>
      <c r="AM2581" s="44"/>
      <c r="AN2581" s="45"/>
      <c r="AO2581" s="12"/>
      <c r="AP2581" s="12"/>
      <c r="AQ2581" s="12"/>
      <c r="AR2581" s="12"/>
      <c r="AS2581" s="44"/>
      <c r="AT2581" s="45"/>
      <c r="AU2581" s="12"/>
      <c r="AV2581" s="12"/>
      <c r="AW2581" s="12"/>
      <c r="AX2581" s="12"/>
      <c r="AY2581" s="44"/>
      <c r="AZ2581" s="45"/>
      <c r="BA2581" s="12"/>
      <c r="BB2581" s="12"/>
      <c r="BC2581" s="12"/>
      <c r="BD2581" s="12"/>
      <c r="BE2581" s="44"/>
      <c r="BF2581" s="45"/>
      <c r="BG2581" s="12"/>
      <c r="BH2581" s="12"/>
      <c r="BI2581" s="12"/>
      <c r="BJ2581" s="12"/>
      <c r="BK2581" s="44"/>
      <c r="BL2581" s="45"/>
      <c r="BM2581" s="12"/>
      <c r="BN2581" s="12"/>
      <c r="BO2581" s="12"/>
      <c r="BP2581" s="12"/>
      <c r="BQ2581" s="48"/>
      <c r="BR2581" s="49"/>
      <c r="BS2581" s="13"/>
      <c r="BT2581" s="12"/>
      <c r="BV2581" s="14"/>
      <c r="BW2581" s="50"/>
      <c r="BX2581" s="54"/>
      <c r="BY2581" s="14"/>
      <c r="BZ2581" s="14"/>
      <c r="CA2581" s="14"/>
      <c r="CB2581" s="14"/>
      <c r="CC2581" s="14"/>
      <c r="CD2581" s="14"/>
      <c r="CE2581" s="14"/>
      <c r="CF2581" s="15"/>
      <c r="CG2581" s="14"/>
      <c r="CH2581" s="14"/>
      <c r="CI2581" s="50"/>
      <c r="CJ2581" s="54"/>
      <c r="CK2581" s="14"/>
      <c r="CL2581" s="14"/>
      <c r="CM2581" s="14"/>
      <c r="CN2581" s="14"/>
      <c r="CO2581" s="14"/>
      <c r="CP2581" s="14"/>
      <c r="CQ2581" s="14"/>
      <c r="CR2581" s="14"/>
      <c r="CS2581" s="14"/>
      <c r="CT2581" s="14"/>
      <c r="CU2581" s="16"/>
      <c r="CV2581" s="14"/>
      <c r="CW2581" s="50"/>
      <c r="CX2581" s="17"/>
    </row>
    <row r="2582" spans="4:102" x14ac:dyDescent="0.25">
      <c r="D2582" s="11"/>
      <c r="E2582" s="11"/>
      <c r="F2582" s="11"/>
      <c r="G2582" s="11"/>
      <c r="H2582" s="11"/>
      <c r="I2582" s="11"/>
      <c r="J2582" s="11"/>
      <c r="K2582" s="11"/>
      <c r="L2582" s="11"/>
      <c r="M2582" s="11"/>
      <c r="N2582" s="11"/>
      <c r="O2582" s="11"/>
      <c r="P2582" s="43"/>
      <c r="Q2582" s="11"/>
      <c r="R2582" s="11"/>
      <c r="S2582" s="11"/>
      <c r="T2582" s="11"/>
      <c r="U2582" s="11"/>
      <c r="V2582" s="11"/>
      <c r="W2582" s="11"/>
      <c r="X2582" s="12"/>
      <c r="Y2582" s="12"/>
      <c r="Z2582" s="12"/>
      <c r="AA2582" s="44"/>
      <c r="AB2582" s="45"/>
      <c r="AC2582" s="12"/>
      <c r="AD2582" s="12"/>
      <c r="AE2582" s="12"/>
      <c r="AF2582" s="12"/>
      <c r="AG2582" s="44"/>
      <c r="AH2582" s="45"/>
      <c r="AI2582" s="12"/>
      <c r="AJ2582" s="12"/>
      <c r="AK2582" s="12"/>
      <c r="AL2582" s="12"/>
      <c r="AM2582" s="44"/>
      <c r="AN2582" s="45"/>
      <c r="AO2582" s="12"/>
      <c r="AP2582" s="12"/>
      <c r="AQ2582" s="12"/>
      <c r="AR2582" s="12"/>
      <c r="AS2582" s="44"/>
      <c r="AT2582" s="45"/>
      <c r="AU2582" s="12"/>
      <c r="AV2582" s="12"/>
      <c r="AW2582" s="12"/>
      <c r="AX2582" s="12"/>
      <c r="AY2582" s="44"/>
      <c r="AZ2582" s="45"/>
      <c r="BA2582" s="12"/>
      <c r="BB2582" s="12"/>
      <c r="BC2582" s="12"/>
      <c r="BD2582" s="12"/>
      <c r="BE2582" s="44"/>
      <c r="BF2582" s="45"/>
      <c r="BG2582" s="12"/>
      <c r="BH2582" s="12"/>
      <c r="BI2582" s="12"/>
      <c r="BJ2582" s="12"/>
      <c r="BK2582" s="44"/>
      <c r="BL2582" s="45"/>
      <c r="BM2582" s="12"/>
      <c r="BN2582" s="12"/>
      <c r="BO2582" s="12"/>
      <c r="BP2582" s="12"/>
      <c r="BQ2582" s="48"/>
      <c r="BR2582" s="49"/>
      <c r="BS2582" s="13"/>
      <c r="BT2582" s="12"/>
      <c r="BV2582" s="14"/>
      <c r="BW2582" s="50"/>
      <c r="BX2582" s="54"/>
      <c r="BY2582" s="14"/>
      <c r="BZ2582" s="14"/>
      <c r="CA2582" s="14"/>
      <c r="CB2582" s="14"/>
      <c r="CC2582" s="14"/>
      <c r="CD2582" s="14"/>
      <c r="CE2582" s="14"/>
      <c r="CF2582" s="15"/>
      <c r="CG2582" s="14"/>
      <c r="CH2582" s="14"/>
      <c r="CI2582" s="50"/>
      <c r="CJ2582" s="54"/>
      <c r="CK2582" s="14"/>
      <c r="CL2582" s="14"/>
      <c r="CM2582" s="14"/>
      <c r="CN2582" s="14"/>
      <c r="CO2582" s="14"/>
      <c r="CP2582" s="14"/>
      <c r="CQ2582" s="14"/>
      <c r="CR2582" s="14"/>
      <c r="CS2582" s="14"/>
      <c r="CT2582" s="14"/>
      <c r="CU2582" s="16"/>
      <c r="CV2582" s="14"/>
      <c r="CW2582" s="50"/>
      <c r="CX2582" s="17"/>
    </row>
    <row r="2583" spans="4:102" x14ac:dyDescent="0.25">
      <c r="D2583" s="11"/>
      <c r="E2583" s="11"/>
      <c r="F2583" s="11"/>
      <c r="G2583" s="11"/>
      <c r="H2583" s="11"/>
      <c r="I2583" s="11"/>
      <c r="J2583" s="11"/>
      <c r="K2583" s="11"/>
      <c r="L2583" s="11"/>
      <c r="M2583" s="11"/>
      <c r="N2583" s="11"/>
      <c r="O2583" s="11"/>
      <c r="P2583" s="43"/>
      <c r="Q2583" s="11"/>
      <c r="R2583" s="11"/>
      <c r="S2583" s="11"/>
      <c r="T2583" s="11"/>
      <c r="U2583" s="11"/>
      <c r="V2583" s="11"/>
      <c r="W2583" s="11"/>
      <c r="X2583" s="12"/>
      <c r="Y2583" s="12"/>
      <c r="Z2583" s="12"/>
      <c r="AA2583" s="44"/>
      <c r="AB2583" s="45"/>
      <c r="AC2583" s="12"/>
      <c r="AD2583" s="12"/>
      <c r="AE2583" s="12"/>
      <c r="AF2583" s="12"/>
      <c r="AG2583" s="44"/>
      <c r="AH2583" s="45"/>
      <c r="AI2583" s="12"/>
      <c r="AJ2583" s="12"/>
      <c r="AK2583" s="12"/>
      <c r="AL2583" s="12"/>
      <c r="AM2583" s="44"/>
      <c r="AN2583" s="45"/>
      <c r="AO2583" s="12"/>
      <c r="AP2583" s="12"/>
      <c r="AQ2583" s="12"/>
      <c r="AR2583" s="12"/>
      <c r="AS2583" s="44"/>
      <c r="AT2583" s="45"/>
      <c r="AU2583" s="12"/>
      <c r="AV2583" s="12"/>
      <c r="AW2583" s="12"/>
      <c r="AX2583" s="12"/>
      <c r="AY2583" s="44"/>
      <c r="AZ2583" s="45"/>
      <c r="BA2583" s="12"/>
      <c r="BB2583" s="12"/>
      <c r="BC2583" s="12"/>
      <c r="BD2583" s="12"/>
      <c r="BE2583" s="44"/>
      <c r="BF2583" s="45"/>
      <c r="BG2583" s="12"/>
      <c r="BH2583" s="12"/>
      <c r="BI2583" s="12"/>
      <c r="BJ2583" s="12"/>
      <c r="BK2583" s="44"/>
      <c r="BL2583" s="45"/>
      <c r="BM2583" s="12"/>
      <c r="BN2583" s="12"/>
      <c r="BO2583" s="12"/>
      <c r="BP2583" s="12"/>
      <c r="BQ2583" s="48"/>
      <c r="BR2583" s="49"/>
      <c r="BS2583" s="13"/>
      <c r="BT2583" s="12"/>
      <c r="BV2583" s="14"/>
      <c r="BW2583" s="50"/>
      <c r="BX2583" s="54"/>
      <c r="BY2583" s="14"/>
      <c r="BZ2583" s="14"/>
      <c r="CA2583" s="14"/>
      <c r="CB2583" s="14"/>
      <c r="CC2583" s="14"/>
      <c r="CD2583" s="14"/>
      <c r="CE2583" s="14"/>
      <c r="CF2583" s="15"/>
      <c r="CG2583" s="14"/>
      <c r="CH2583" s="14"/>
      <c r="CI2583" s="50"/>
      <c r="CJ2583" s="54"/>
      <c r="CK2583" s="14"/>
      <c r="CL2583" s="14"/>
      <c r="CM2583" s="14"/>
      <c r="CN2583" s="14"/>
      <c r="CO2583" s="14"/>
      <c r="CP2583" s="14"/>
      <c r="CQ2583" s="14"/>
      <c r="CR2583" s="14"/>
      <c r="CS2583" s="14"/>
      <c r="CT2583" s="14"/>
      <c r="CU2583" s="16"/>
      <c r="CV2583" s="14"/>
      <c r="CW2583" s="50"/>
      <c r="CX2583" s="17"/>
    </row>
    <row r="2584" spans="4:102" x14ac:dyDescent="0.25">
      <c r="D2584" s="11"/>
      <c r="E2584" s="11"/>
      <c r="F2584" s="11"/>
      <c r="G2584" s="11"/>
      <c r="H2584" s="11"/>
      <c r="I2584" s="11"/>
      <c r="J2584" s="11"/>
      <c r="K2584" s="11"/>
      <c r="L2584" s="11"/>
      <c r="M2584" s="11"/>
      <c r="N2584" s="11"/>
      <c r="O2584" s="11"/>
      <c r="P2584" s="43"/>
      <c r="Q2584" s="11"/>
      <c r="R2584" s="11"/>
      <c r="S2584" s="11"/>
      <c r="T2584" s="11"/>
      <c r="U2584" s="11"/>
      <c r="V2584" s="11"/>
      <c r="W2584" s="11"/>
      <c r="X2584" s="12"/>
      <c r="Y2584" s="12"/>
      <c r="Z2584" s="12"/>
      <c r="AA2584" s="44"/>
      <c r="AB2584" s="45"/>
      <c r="AC2584" s="12"/>
      <c r="AD2584" s="12"/>
      <c r="AE2584" s="12"/>
      <c r="AF2584" s="12"/>
      <c r="AG2584" s="44"/>
      <c r="AH2584" s="45"/>
      <c r="AI2584" s="12"/>
      <c r="AJ2584" s="12"/>
      <c r="AK2584" s="12"/>
      <c r="AL2584" s="12"/>
      <c r="AM2584" s="44"/>
      <c r="AN2584" s="45"/>
      <c r="AO2584" s="12"/>
      <c r="AP2584" s="12"/>
      <c r="AQ2584" s="12"/>
      <c r="AR2584" s="12"/>
      <c r="AS2584" s="44"/>
      <c r="AT2584" s="45"/>
      <c r="AU2584" s="12"/>
      <c r="AV2584" s="12"/>
      <c r="AW2584" s="12"/>
      <c r="AX2584" s="12"/>
      <c r="AY2584" s="44"/>
      <c r="AZ2584" s="45"/>
      <c r="BA2584" s="12"/>
      <c r="BB2584" s="12"/>
      <c r="BC2584" s="12"/>
      <c r="BD2584" s="12"/>
      <c r="BE2584" s="44"/>
      <c r="BF2584" s="45"/>
      <c r="BG2584" s="12"/>
      <c r="BH2584" s="12"/>
      <c r="BI2584" s="12"/>
      <c r="BJ2584" s="12"/>
      <c r="BK2584" s="44"/>
      <c r="BL2584" s="45"/>
      <c r="BM2584" s="12"/>
      <c r="BN2584" s="12"/>
      <c r="BO2584" s="12"/>
      <c r="BP2584" s="12"/>
      <c r="BQ2584" s="48"/>
      <c r="BR2584" s="49"/>
      <c r="BS2584" s="13"/>
      <c r="BT2584" s="12"/>
      <c r="BV2584" s="14"/>
      <c r="BW2584" s="50"/>
      <c r="BX2584" s="54"/>
      <c r="BY2584" s="14"/>
      <c r="BZ2584" s="14"/>
      <c r="CA2584" s="14"/>
      <c r="CB2584" s="14"/>
      <c r="CC2584" s="14"/>
      <c r="CD2584" s="14"/>
      <c r="CE2584" s="14"/>
      <c r="CF2584" s="15"/>
      <c r="CG2584" s="14"/>
      <c r="CH2584" s="14"/>
      <c r="CI2584" s="50"/>
      <c r="CJ2584" s="54"/>
      <c r="CK2584" s="14"/>
      <c r="CL2584" s="14"/>
      <c r="CM2584" s="14"/>
      <c r="CN2584" s="14"/>
      <c r="CO2584" s="14"/>
      <c r="CP2584" s="14"/>
      <c r="CQ2584" s="14"/>
      <c r="CR2584" s="14"/>
      <c r="CS2584" s="14"/>
      <c r="CT2584" s="14"/>
      <c r="CU2584" s="16"/>
      <c r="CV2584" s="14"/>
      <c r="CW2584" s="50"/>
      <c r="CX2584" s="17"/>
    </row>
    <row r="2585" spans="4:102" x14ac:dyDescent="0.25">
      <c r="D2585" s="11"/>
      <c r="E2585" s="11"/>
      <c r="F2585" s="11"/>
      <c r="G2585" s="11"/>
      <c r="H2585" s="11"/>
      <c r="I2585" s="11"/>
      <c r="J2585" s="11"/>
      <c r="K2585" s="11"/>
      <c r="L2585" s="11"/>
      <c r="M2585" s="11"/>
      <c r="N2585" s="11"/>
      <c r="O2585" s="11"/>
      <c r="P2585" s="43"/>
      <c r="Q2585" s="11"/>
      <c r="R2585" s="11"/>
      <c r="S2585" s="11"/>
      <c r="T2585" s="11"/>
      <c r="U2585" s="11"/>
      <c r="V2585" s="11"/>
      <c r="W2585" s="11"/>
      <c r="X2585" s="12"/>
      <c r="Y2585" s="12"/>
      <c r="Z2585" s="12"/>
      <c r="AA2585" s="44"/>
      <c r="AB2585" s="45"/>
      <c r="AC2585" s="12"/>
      <c r="AD2585" s="12"/>
      <c r="AE2585" s="12"/>
      <c r="AF2585" s="12"/>
      <c r="AG2585" s="44"/>
      <c r="AH2585" s="45"/>
      <c r="AI2585" s="12"/>
      <c r="AJ2585" s="12"/>
      <c r="AK2585" s="12"/>
      <c r="AL2585" s="12"/>
      <c r="AM2585" s="44"/>
      <c r="AN2585" s="45"/>
      <c r="AO2585" s="12"/>
      <c r="AP2585" s="12"/>
      <c r="AQ2585" s="12"/>
      <c r="AR2585" s="12"/>
      <c r="AS2585" s="44"/>
      <c r="AT2585" s="45"/>
      <c r="AU2585" s="12"/>
      <c r="AV2585" s="12"/>
      <c r="AW2585" s="12"/>
      <c r="AX2585" s="12"/>
      <c r="AY2585" s="44"/>
      <c r="AZ2585" s="45"/>
      <c r="BA2585" s="12"/>
      <c r="BB2585" s="12"/>
      <c r="BC2585" s="12"/>
      <c r="BD2585" s="12"/>
      <c r="BE2585" s="44"/>
      <c r="BF2585" s="45"/>
      <c r="BG2585" s="12"/>
      <c r="BH2585" s="12"/>
      <c r="BI2585" s="12"/>
      <c r="BJ2585" s="12"/>
      <c r="BK2585" s="44"/>
      <c r="BL2585" s="45"/>
      <c r="BM2585" s="12"/>
      <c r="BN2585" s="12"/>
      <c r="BO2585" s="12"/>
      <c r="BP2585" s="12"/>
      <c r="BQ2585" s="48"/>
      <c r="BR2585" s="49"/>
      <c r="BS2585" s="13"/>
      <c r="BT2585" s="12"/>
      <c r="BV2585" s="14"/>
      <c r="BW2585" s="50"/>
      <c r="BX2585" s="54"/>
      <c r="BY2585" s="14"/>
      <c r="BZ2585" s="14"/>
      <c r="CA2585" s="14"/>
      <c r="CB2585" s="14"/>
      <c r="CC2585" s="14"/>
      <c r="CD2585" s="14"/>
      <c r="CE2585" s="14"/>
      <c r="CF2585" s="15"/>
      <c r="CG2585" s="14"/>
      <c r="CH2585" s="14"/>
      <c r="CI2585" s="50"/>
      <c r="CJ2585" s="54"/>
      <c r="CK2585" s="14"/>
      <c r="CL2585" s="14"/>
      <c r="CM2585" s="14"/>
      <c r="CN2585" s="14"/>
      <c r="CO2585" s="14"/>
      <c r="CP2585" s="14"/>
      <c r="CQ2585" s="14"/>
      <c r="CR2585" s="14"/>
      <c r="CS2585" s="14"/>
      <c r="CT2585" s="14"/>
      <c r="CU2585" s="16"/>
      <c r="CV2585" s="14"/>
      <c r="CW2585" s="50"/>
      <c r="CX2585" s="17"/>
    </row>
    <row r="2586" spans="4:102" x14ac:dyDescent="0.25">
      <c r="D2586" s="11"/>
      <c r="E2586" s="11"/>
      <c r="F2586" s="11"/>
      <c r="G2586" s="11"/>
      <c r="H2586" s="11"/>
      <c r="I2586" s="11"/>
      <c r="J2586" s="11"/>
      <c r="K2586" s="11"/>
      <c r="L2586" s="11"/>
      <c r="M2586" s="11"/>
      <c r="N2586" s="11"/>
      <c r="O2586" s="11"/>
      <c r="P2586" s="43"/>
      <c r="Q2586" s="11"/>
      <c r="R2586" s="11"/>
      <c r="S2586" s="11"/>
      <c r="T2586" s="11"/>
      <c r="U2586" s="11"/>
      <c r="V2586" s="11"/>
      <c r="W2586" s="11"/>
      <c r="X2586" s="12"/>
      <c r="Y2586" s="12"/>
      <c r="Z2586" s="12"/>
      <c r="AA2586" s="44"/>
      <c r="AB2586" s="45"/>
      <c r="AC2586" s="12"/>
      <c r="AD2586" s="12"/>
      <c r="AE2586" s="12"/>
      <c r="AF2586" s="12"/>
      <c r="AG2586" s="44"/>
      <c r="AH2586" s="45"/>
      <c r="AI2586" s="12"/>
      <c r="AJ2586" s="12"/>
      <c r="AK2586" s="12"/>
      <c r="AL2586" s="12"/>
      <c r="AM2586" s="44"/>
      <c r="AN2586" s="45"/>
      <c r="AO2586" s="12"/>
      <c r="AP2586" s="12"/>
      <c r="AQ2586" s="12"/>
      <c r="AR2586" s="12"/>
      <c r="AS2586" s="44"/>
      <c r="AT2586" s="45"/>
      <c r="AU2586" s="12"/>
      <c r="AV2586" s="12"/>
      <c r="AW2586" s="12"/>
      <c r="AX2586" s="12"/>
      <c r="AY2586" s="44"/>
      <c r="AZ2586" s="45"/>
      <c r="BA2586" s="12"/>
      <c r="BB2586" s="12"/>
      <c r="BC2586" s="12"/>
      <c r="BD2586" s="12"/>
      <c r="BE2586" s="44"/>
      <c r="BF2586" s="45"/>
      <c r="BG2586" s="12"/>
      <c r="BH2586" s="12"/>
      <c r="BI2586" s="12"/>
      <c r="BJ2586" s="12"/>
      <c r="BK2586" s="44"/>
      <c r="BL2586" s="45"/>
      <c r="BM2586" s="12"/>
      <c r="BN2586" s="12"/>
      <c r="BO2586" s="12"/>
      <c r="BP2586" s="12"/>
      <c r="BQ2586" s="48"/>
      <c r="BR2586" s="49"/>
      <c r="BS2586" s="13"/>
      <c r="BT2586" s="12"/>
      <c r="BV2586" s="14"/>
      <c r="BW2586" s="50"/>
      <c r="BX2586" s="54"/>
      <c r="BY2586" s="14"/>
      <c r="BZ2586" s="14"/>
      <c r="CA2586" s="14"/>
      <c r="CB2586" s="14"/>
      <c r="CC2586" s="14"/>
      <c r="CD2586" s="14"/>
      <c r="CE2586" s="14"/>
      <c r="CF2586" s="15"/>
      <c r="CG2586" s="14"/>
      <c r="CH2586" s="14"/>
      <c r="CI2586" s="50"/>
      <c r="CJ2586" s="54"/>
      <c r="CK2586" s="14"/>
      <c r="CL2586" s="14"/>
      <c r="CM2586" s="14"/>
      <c r="CN2586" s="14"/>
      <c r="CO2586" s="14"/>
      <c r="CP2586" s="14"/>
      <c r="CQ2586" s="14"/>
      <c r="CR2586" s="14"/>
      <c r="CS2586" s="14"/>
      <c r="CT2586" s="14"/>
      <c r="CU2586" s="16"/>
      <c r="CV2586" s="14"/>
      <c r="CW2586" s="50"/>
      <c r="CX2586" s="17"/>
    </row>
    <row r="2587" spans="4:102" x14ac:dyDescent="0.25">
      <c r="D2587" s="11"/>
      <c r="E2587" s="11"/>
      <c r="F2587" s="11"/>
      <c r="G2587" s="11"/>
      <c r="H2587" s="11"/>
      <c r="I2587" s="11"/>
      <c r="J2587" s="11"/>
      <c r="K2587" s="11"/>
      <c r="L2587" s="11"/>
      <c r="M2587" s="11"/>
      <c r="N2587" s="11"/>
      <c r="O2587" s="11"/>
      <c r="P2587" s="43"/>
      <c r="Q2587" s="11"/>
      <c r="R2587" s="11"/>
      <c r="S2587" s="11"/>
      <c r="T2587" s="11"/>
      <c r="U2587" s="11"/>
      <c r="V2587" s="11"/>
      <c r="W2587" s="11"/>
      <c r="X2587" s="12"/>
      <c r="Y2587" s="12"/>
      <c r="Z2587" s="12"/>
      <c r="AA2587" s="44"/>
      <c r="AB2587" s="45"/>
      <c r="AC2587" s="12"/>
      <c r="AD2587" s="12"/>
      <c r="AE2587" s="12"/>
      <c r="AF2587" s="12"/>
      <c r="AG2587" s="44"/>
      <c r="AH2587" s="45"/>
      <c r="AI2587" s="12"/>
      <c r="AJ2587" s="12"/>
      <c r="AK2587" s="12"/>
      <c r="AL2587" s="12"/>
      <c r="AM2587" s="44"/>
      <c r="AN2587" s="45"/>
      <c r="AO2587" s="12"/>
      <c r="AP2587" s="12"/>
      <c r="AQ2587" s="12"/>
      <c r="AR2587" s="12"/>
      <c r="AS2587" s="44"/>
      <c r="AT2587" s="45"/>
      <c r="AU2587" s="12"/>
      <c r="AV2587" s="12"/>
      <c r="AW2587" s="12"/>
      <c r="AX2587" s="12"/>
      <c r="AY2587" s="44"/>
      <c r="AZ2587" s="45"/>
      <c r="BA2587" s="12"/>
      <c r="BB2587" s="12"/>
      <c r="BC2587" s="12"/>
      <c r="BD2587" s="12"/>
      <c r="BE2587" s="44"/>
      <c r="BF2587" s="45"/>
      <c r="BG2587" s="12"/>
      <c r="BH2587" s="12"/>
      <c r="BI2587" s="12"/>
      <c r="BJ2587" s="12"/>
      <c r="BK2587" s="44"/>
      <c r="BL2587" s="45"/>
      <c r="BM2587" s="12"/>
      <c r="BN2587" s="12"/>
      <c r="BO2587" s="12"/>
      <c r="BP2587" s="12"/>
      <c r="BQ2587" s="48"/>
      <c r="BR2587" s="49"/>
      <c r="BS2587" s="13"/>
      <c r="BT2587" s="12"/>
      <c r="BV2587" s="14"/>
      <c r="BW2587" s="50"/>
      <c r="BX2587" s="54"/>
      <c r="BY2587" s="14"/>
      <c r="BZ2587" s="14"/>
      <c r="CA2587" s="14"/>
      <c r="CB2587" s="14"/>
      <c r="CC2587" s="14"/>
      <c r="CD2587" s="14"/>
      <c r="CE2587" s="14"/>
      <c r="CF2587" s="15"/>
      <c r="CG2587" s="14"/>
      <c r="CH2587" s="14"/>
      <c r="CI2587" s="50"/>
      <c r="CJ2587" s="54"/>
      <c r="CK2587" s="14"/>
      <c r="CL2587" s="14"/>
      <c r="CM2587" s="14"/>
      <c r="CN2587" s="14"/>
      <c r="CO2587" s="14"/>
      <c r="CP2587" s="14"/>
      <c r="CQ2587" s="14"/>
      <c r="CR2587" s="14"/>
      <c r="CS2587" s="14"/>
      <c r="CT2587" s="14"/>
      <c r="CU2587" s="16"/>
      <c r="CV2587" s="14"/>
      <c r="CW2587" s="50"/>
      <c r="CX2587" s="17"/>
    </row>
    <row r="2588" spans="4:102" x14ac:dyDescent="0.25">
      <c r="D2588" s="11"/>
      <c r="E2588" s="11"/>
      <c r="F2588" s="11"/>
      <c r="G2588" s="11"/>
      <c r="H2588" s="11"/>
      <c r="I2588" s="11"/>
      <c r="J2588" s="11"/>
      <c r="K2588" s="11"/>
      <c r="L2588" s="11"/>
      <c r="M2588" s="11"/>
      <c r="N2588" s="11"/>
      <c r="O2588" s="11"/>
      <c r="P2588" s="43"/>
      <c r="Q2588" s="11"/>
      <c r="R2588" s="11"/>
      <c r="S2588" s="11"/>
      <c r="T2588" s="11"/>
      <c r="U2588" s="11"/>
      <c r="V2588" s="11"/>
      <c r="W2588" s="11"/>
      <c r="X2588" s="12"/>
      <c r="Y2588" s="12"/>
      <c r="Z2588" s="12"/>
      <c r="AA2588" s="44"/>
      <c r="AB2588" s="45"/>
      <c r="AC2588" s="12"/>
      <c r="AD2588" s="12"/>
      <c r="AE2588" s="12"/>
      <c r="AF2588" s="12"/>
      <c r="AG2588" s="44"/>
      <c r="AH2588" s="45"/>
      <c r="AI2588" s="12"/>
      <c r="AJ2588" s="12"/>
      <c r="AK2588" s="12"/>
      <c r="AL2588" s="12"/>
      <c r="AM2588" s="44"/>
      <c r="AN2588" s="45"/>
      <c r="AO2588" s="12"/>
      <c r="AP2588" s="12"/>
      <c r="AQ2588" s="12"/>
      <c r="AR2588" s="12"/>
      <c r="AS2588" s="44"/>
      <c r="AT2588" s="45"/>
      <c r="AU2588" s="12"/>
      <c r="AV2588" s="12"/>
      <c r="AW2588" s="12"/>
      <c r="AX2588" s="12"/>
      <c r="AY2588" s="44"/>
      <c r="AZ2588" s="45"/>
      <c r="BA2588" s="12"/>
      <c r="BB2588" s="12"/>
      <c r="BC2588" s="12"/>
      <c r="BD2588" s="12"/>
      <c r="BE2588" s="44"/>
      <c r="BF2588" s="45"/>
      <c r="BG2588" s="12"/>
      <c r="BH2588" s="12"/>
      <c r="BI2588" s="12"/>
      <c r="BJ2588" s="12"/>
      <c r="BK2588" s="44"/>
      <c r="BL2588" s="45"/>
      <c r="BM2588" s="12"/>
      <c r="BN2588" s="12"/>
      <c r="BO2588" s="12"/>
      <c r="BP2588" s="12"/>
      <c r="BQ2588" s="48"/>
      <c r="BR2588" s="49"/>
      <c r="BS2588" s="13"/>
      <c r="BT2588" s="12"/>
      <c r="BV2588" s="14"/>
      <c r="BW2588" s="50"/>
      <c r="BX2588" s="54"/>
      <c r="BY2588" s="14"/>
      <c r="BZ2588" s="14"/>
      <c r="CA2588" s="14"/>
      <c r="CB2588" s="14"/>
      <c r="CC2588" s="14"/>
      <c r="CD2588" s="14"/>
      <c r="CE2588" s="14"/>
      <c r="CF2588" s="15"/>
      <c r="CG2588" s="14"/>
      <c r="CH2588" s="14"/>
      <c r="CI2588" s="50"/>
      <c r="CJ2588" s="54"/>
      <c r="CK2588" s="14"/>
      <c r="CL2588" s="14"/>
      <c r="CM2588" s="14"/>
      <c r="CN2588" s="14"/>
      <c r="CO2588" s="14"/>
      <c r="CP2588" s="14"/>
      <c r="CQ2588" s="14"/>
      <c r="CR2588" s="14"/>
      <c r="CS2588" s="14"/>
      <c r="CT2588" s="14"/>
      <c r="CU2588" s="16"/>
      <c r="CV2588" s="14"/>
      <c r="CW2588" s="50"/>
      <c r="CX2588" s="17"/>
    </row>
    <row r="2589" spans="4:102" x14ac:dyDescent="0.25">
      <c r="D2589" s="11"/>
      <c r="E2589" s="11"/>
      <c r="F2589" s="11"/>
      <c r="G2589" s="11"/>
      <c r="H2589" s="11"/>
      <c r="I2589" s="11"/>
      <c r="J2589" s="11"/>
      <c r="K2589" s="11"/>
      <c r="L2589" s="11"/>
      <c r="M2589" s="11"/>
      <c r="N2589" s="11"/>
      <c r="O2589" s="11"/>
      <c r="P2589" s="43"/>
      <c r="Q2589" s="11"/>
      <c r="R2589" s="11"/>
      <c r="S2589" s="11"/>
      <c r="T2589" s="11"/>
      <c r="U2589" s="11"/>
      <c r="V2589" s="11"/>
      <c r="W2589" s="11"/>
      <c r="X2589" s="12"/>
      <c r="Y2589" s="12"/>
      <c r="Z2589" s="12"/>
      <c r="AA2589" s="44"/>
      <c r="AB2589" s="45"/>
      <c r="AC2589" s="12"/>
      <c r="AD2589" s="12"/>
      <c r="AE2589" s="12"/>
      <c r="AF2589" s="12"/>
      <c r="AG2589" s="44"/>
      <c r="AH2589" s="45"/>
      <c r="AI2589" s="12"/>
      <c r="AJ2589" s="12"/>
      <c r="AK2589" s="12"/>
      <c r="AL2589" s="12"/>
      <c r="AM2589" s="44"/>
      <c r="AN2589" s="45"/>
      <c r="AO2589" s="12"/>
      <c r="AP2589" s="12"/>
      <c r="AQ2589" s="12"/>
      <c r="AR2589" s="12"/>
      <c r="AS2589" s="44"/>
      <c r="AT2589" s="45"/>
      <c r="AU2589" s="12"/>
      <c r="AV2589" s="12"/>
      <c r="AW2589" s="12"/>
      <c r="AX2589" s="12"/>
      <c r="AY2589" s="44"/>
      <c r="AZ2589" s="45"/>
      <c r="BA2589" s="12"/>
      <c r="BB2589" s="12"/>
      <c r="BC2589" s="12"/>
      <c r="BD2589" s="12"/>
      <c r="BE2589" s="44"/>
      <c r="BF2589" s="45"/>
      <c r="BG2589" s="12"/>
      <c r="BH2589" s="12"/>
      <c r="BI2589" s="12"/>
      <c r="BJ2589" s="12"/>
      <c r="BK2589" s="44"/>
      <c r="BL2589" s="45"/>
      <c r="BM2589" s="12"/>
      <c r="BN2589" s="12"/>
      <c r="BO2589" s="12"/>
      <c r="BP2589" s="12"/>
      <c r="BQ2589" s="48"/>
      <c r="BR2589" s="49"/>
      <c r="BS2589" s="13"/>
      <c r="BT2589" s="12"/>
      <c r="BV2589" s="14"/>
      <c r="BW2589" s="50"/>
      <c r="BX2589" s="54"/>
      <c r="BY2589" s="14"/>
      <c r="BZ2589" s="14"/>
      <c r="CA2589" s="14"/>
      <c r="CB2589" s="14"/>
      <c r="CC2589" s="14"/>
      <c r="CD2589" s="14"/>
      <c r="CE2589" s="14"/>
      <c r="CF2589" s="15"/>
      <c r="CG2589" s="14"/>
      <c r="CH2589" s="14"/>
      <c r="CI2589" s="50"/>
      <c r="CJ2589" s="54"/>
      <c r="CK2589" s="14"/>
      <c r="CL2589" s="14"/>
      <c r="CM2589" s="14"/>
      <c r="CN2589" s="14"/>
      <c r="CO2589" s="14"/>
      <c r="CP2589" s="14"/>
      <c r="CQ2589" s="14"/>
      <c r="CR2589" s="14"/>
      <c r="CS2589" s="14"/>
      <c r="CT2589" s="14"/>
      <c r="CU2589" s="16"/>
      <c r="CV2589" s="14"/>
      <c r="CW2589" s="50"/>
      <c r="CX2589" s="17"/>
    </row>
    <row r="2590" spans="4:102" x14ac:dyDescent="0.25">
      <c r="D2590" s="11"/>
      <c r="E2590" s="11"/>
      <c r="F2590" s="11"/>
      <c r="G2590" s="11"/>
      <c r="H2590" s="11"/>
      <c r="I2590" s="11"/>
      <c r="J2590" s="11"/>
      <c r="K2590" s="11"/>
      <c r="L2590" s="11"/>
      <c r="M2590" s="11"/>
      <c r="N2590" s="11"/>
      <c r="O2590" s="11"/>
      <c r="P2590" s="43"/>
      <c r="Q2590" s="11"/>
      <c r="R2590" s="11"/>
      <c r="S2590" s="11"/>
      <c r="T2590" s="11"/>
      <c r="U2590" s="11"/>
      <c r="V2590" s="11"/>
      <c r="W2590" s="11"/>
      <c r="X2590" s="12"/>
      <c r="Y2590" s="12"/>
      <c r="Z2590" s="12"/>
      <c r="AA2590" s="44"/>
      <c r="AB2590" s="45"/>
      <c r="AC2590" s="12"/>
      <c r="AD2590" s="12"/>
      <c r="AE2590" s="12"/>
      <c r="AF2590" s="12"/>
      <c r="AG2590" s="44"/>
      <c r="AH2590" s="45"/>
      <c r="AI2590" s="12"/>
      <c r="AJ2590" s="12"/>
      <c r="AK2590" s="12"/>
      <c r="AL2590" s="12"/>
      <c r="AM2590" s="44"/>
      <c r="AN2590" s="45"/>
      <c r="AO2590" s="12"/>
      <c r="AP2590" s="12"/>
      <c r="AQ2590" s="12"/>
      <c r="AR2590" s="12"/>
      <c r="AS2590" s="44"/>
      <c r="AT2590" s="45"/>
      <c r="AU2590" s="12"/>
      <c r="AV2590" s="12"/>
      <c r="AW2590" s="12"/>
      <c r="AX2590" s="12"/>
      <c r="AY2590" s="44"/>
      <c r="AZ2590" s="45"/>
      <c r="BA2590" s="12"/>
      <c r="BB2590" s="12"/>
      <c r="BC2590" s="12"/>
      <c r="BD2590" s="12"/>
      <c r="BE2590" s="44"/>
      <c r="BF2590" s="45"/>
      <c r="BG2590" s="12"/>
      <c r="BH2590" s="12"/>
      <c r="BI2590" s="12"/>
      <c r="BJ2590" s="12"/>
      <c r="BK2590" s="44"/>
      <c r="BL2590" s="45"/>
      <c r="BM2590" s="12"/>
      <c r="BN2590" s="12"/>
      <c r="BO2590" s="12"/>
      <c r="BP2590" s="12"/>
      <c r="BQ2590" s="48"/>
      <c r="BR2590" s="49"/>
      <c r="BS2590" s="13"/>
      <c r="BT2590" s="12"/>
      <c r="BV2590" s="14"/>
      <c r="BW2590" s="50"/>
      <c r="BX2590" s="54"/>
      <c r="BY2590" s="14"/>
      <c r="BZ2590" s="14"/>
      <c r="CA2590" s="14"/>
      <c r="CB2590" s="14"/>
      <c r="CC2590" s="14"/>
      <c r="CD2590" s="14"/>
      <c r="CE2590" s="14"/>
      <c r="CF2590" s="15"/>
      <c r="CG2590" s="14"/>
      <c r="CH2590" s="14"/>
      <c r="CI2590" s="50"/>
      <c r="CJ2590" s="54"/>
      <c r="CK2590" s="14"/>
      <c r="CL2590" s="14"/>
      <c r="CM2590" s="14"/>
      <c r="CN2590" s="14"/>
      <c r="CO2590" s="14"/>
      <c r="CP2590" s="14"/>
      <c r="CQ2590" s="14"/>
      <c r="CR2590" s="14"/>
      <c r="CS2590" s="14"/>
      <c r="CT2590" s="14"/>
      <c r="CU2590" s="16"/>
      <c r="CV2590" s="14"/>
      <c r="CW2590" s="50"/>
      <c r="CX2590" s="17"/>
    </row>
    <row r="2591" spans="4:102" x14ac:dyDescent="0.25">
      <c r="D2591" s="11"/>
      <c r="E2591" s="11"/>
      <c r="F2591" s="11"/>
      <c r="G2591" s="11"/>
      <c r="H2591" s="11"/>
      <c r="I2591" s="11"/>
      <c r="J2591" s="11"/>
      <c r="K2591" s="11"/>
      <c r="L2591" s="11"/>
      <c r="M2591" s="11"/>
      <c r="N2591" s="11"/>
      <c r="O2591" s="11"/>
      <c r="P2591" s="43"/>
      <c r="Q2591" s="11"/>
      <c r="R2591" s="11"/>
      <c r="S2591" s="11"/>
      <c r="T2591" s="11"/>
      <c r="U2591" s="11"/>
      <c r="V2591" s="11"/>
      <c r="W2591" s="11"/>
      <c r="X2591" s="12"/>
      <c r="Y2591" s="12"/>
      <c r="Z2591" s="12"/>
      <c r="AA2591" s="44"/>
      <c r="AB2591" s="45"/>
      <c r="AC2591" s="12"/>
      <c r="AD2591" s="12"/>
      <c r="AE2591" s="12"/>
      <c r="AF2591" s="12"/>
      <c r="AG2591" s="44"/>
      <c r="AH2591" s="45"/>
      <c r="AI2591" s="12"/>
      <c r="AJ2591" s="12"/>
      <c r="AK2591" s="12"/>
      <c r="AL2591" s="12"/>
      <c r="AM2591" s="44"/>
      <c r="AN2591" s="45"/>
      <c r="AO2591" s="12"/>
      <c r="AP2591" s="12"/>
      <c r="AQ2591" s="12"/>
      <c r="AR2591" s="12"/>
      <c r="AS2591" s="44"/>
      <c r="AT2591" s="45"/>
      <c r="AU2591" s="12"/>
      <c r="AV2591" s="12"/>
      <c r="AW2591" s="12"/>
      <c r="AX2591" s="12"/>
      <c r="AY2591" s="44"/>
      <c r="AZ2591" s="45"/>
      <c r="BA2591" s="12"/>
      <c r="BB2591" s="12"/>
      <c r="BC2591" s="12"/>
      <c r="BD2591" s="12"/>
      <c r="BE2591" s="44"/>
      <c r="BF2591" s="45"/>
      <c r="BG2591" s="12"/>
      <c r="BH2591" s="12"/>
      <c r="BI2591" s="12"/>
      <c r="BJ2591" s="12"/>
      <c r="BK2591" s="44"/>
      <c r="BL2591" s="45"/>
      <c r="BM2591" s="12"/>
      <c r="BN2591" s="12"/>
      <c r="BO2591" s="12"/>
      <c r="BP2591" s="12"/>
      <c r="BQ2591" s="48"/>
      <c r="BR2591" s="49"/>
      <c r="BS2591" s="13"/>
      <c r="BT2591" s="12"/>
      <c r="BV2591" s="14"/>
      <c r="BW2591" s="50"/>
      <c r="BX2591" s="54"/>
      <c r="BY2591" s="14"/>
      <c r="BZ2591" s="14"/>
      <c r="CA2591" s="14"/>
      <c r="CB2591" s="14"/>
      <c r="CC2591" s="14"/>
      <c r="CD2591" s="14"/>
      <c r="CE2591" s="14"/>
      <c r="CF2591" s="15"/>
      <c r="CG2591" s="14"/>
      <c r="CH2591" s="14"/>
      <c r="CI2591" s="50"/>
      <c r="CJ2591" s="54"/>
      <c r="CK2591" s="14"/>
      <c r="CL2591" s="14"/>
      <c r="CM2591" s="14"/>
      <c r="CN2591" s="14"/>
      <c r="CO2591" s="14"/>
      <c r="CP2591" s="14"/>
      <c r="CQ2591" s="14"/>
      <c r="CR2591" s="14"/>
      <c r="CS2591" s="14"/>
      <c r="CT2591" s="14"/>
      <c r="CU2591" s="16"/>
      <c r="CV2591" s="14"/>
      <c r="CW2591" s="50"/>
      <c r="CX2591" s="17"/>
    </row>
    <row r="2592" spans="4:102" x14ac:dyDescent="0.25">
      <c r="D2592" s="11"/>
      <c r="E2592" s="11"/>
      <c r="F2592" s="11"/>
      <c r="G2592" s="11"/>
      <c r="H2592" s="11"/>
      <c r="I2592" s="11"/>
      <c r="J2592" s="11"/>
      <c r="K2592" s="11"/>
      <c r="L2592" s="11"/>
      <c r="M2592" s="11"/>
      <c r="N2592" s="11"/>
      <c r="O2592" s="11"/>
      <c r="P2592" s="43"/>
      <c r="Q2592" s="11"/>
      <c r="R2592" s="11"/>
      <c r="S2592" s="11"/>
      <c r="T2592" s="11"/>
      <c r="U2592" s="11"/>
      <c r="V2592" s="11"/>
      <c r="W2592" s="11"/>
      <c r="X2592" s="12"/>
      <c r="Y2592" s="12"/>
      <c r="Z2592" s="12"/>
      <c r="AA2592" s="44"/>
      <c r="AB2592" s="45"/>
      <c r="AC2592" s="12"/>
      <c r="AD2592" s="12"/>
      <c r="AE2592" s="12"/>
      <c r="AF2592" s="12"/>
      <c r="AG2592" s="44"/>
      <c r="AH2592" s="45"/>
      <c r="AI2592" s="12"/>
      <c r="AJ2592" s="12"/>
      <c r="AK2592" s="12"/>
      <c r="AL2592" s="12"/>
      <c r="AM2592" s="44"/>
      <c r="AN2592" s="45"/>
      <c r="AO2592" s="12"/>
      <c r="AP2592" s="12"/>
      <c r="AQ2592" s="12"/>
      <c r="AR2592" s="12"/>
      <c r="AS2592" s="44"/>
      <c r="AT2592" s="45"/>
      <c r="AU2592" s="12"/>
      <c r="AV2592" s="12"/>
      <c r="AW2592" s="12"/>
      <c r="AX2592" s="12"/>
      <c r="AY2592" s="44"/>
      <c r="AZ2592" s="45"/>
      <c r="BA2592" s="12"/>
      <c r="BB2592" s="12"/>
      <c r="BC2592" s="12"/>
      <c r="BD2592" s="12"/>
      <c r="BE2592" s="44"/>
      <c r="BF2592" s="45"/>
      <c r="BG2592" s="12"/>
      <c r="BH2592" s="12"/>
      <c r="BI2592" s="12"/>
      <c r="BJ2592" s="12"/>
      <c r="BK2592" s="44"/>
      <c r="BL2592" s="45"/>
      <c r="BM2592" s="12"/>
      <c r="BN2592" s="12"/>
      <c r="BO2592" s="12"/>
      <c r="BP2592" s="12"/>
      <c r="BQ2592" s="48"/>
      <c r="BR2592" s="49"/>
      <c r="BS2592" s="13"/>
      <c r="BT2592" s="12"/>
      <c r="BV2592" s="14"/>
      <c r="BW2592" s="50"/>
      <c r="BX2592" s="54"/>
      <c r="BY2592" s="14"/>
      <c r="BZ2592" s="14"/>
      <c r="CA2592" s="14"/>
      <c r="CB2592" s="14"/>
      <c r="CC2592" s="14"/>
      <c r="CD2592" s="14"/>
      <c r="CE2592" s="14"/>
      <c r="CF2592" s="15"/>
      <c r="CG2592" s="14"/>
      <c r="CH2592" s="14"/>
      <c r="CI2592" s="50"/>
      <c r="CJ2592" s="54"/>
      <c r="CK2592" s="14"/>
      <c r="CL2592" s="14"/>
      <c r="CM2592" s="14"/>
      <c r="CN2592" s="14"/>
      <c r="CO2592" s="14"/>
      <c r="CP2592" s="14"/>
      <c r="CQ2592" s="14"/>
      <c r="CR2592" s="14"/>
      <c r="CS2592" s="14"/>
      <c r="CT2592" s="14"/>
      <c r="CU2592" s="16"/>
      <c r="CV2592" s="14"/>
      <c r="CW2592" s="50"/>
      <c r="CX2592" s="17"/>
    </row>
    <row r="2593" spans="4:102" x14ac:dyDescent="0.25">
      <c r="D2593" s="11"/>
      <c r="E2593" s="11"/>
      <c r="F2593" s="11"/>
      <c r="G2593" s="11"/>
      <c r="H2593" s="11"/>
      <c r="I2593" s="11"/>
      <c r="J2593" s="11"/>
      <c r="K2593" s="11"/>
      <c r="L2593" s="11"/>
      <c r="M2593" s="11"/>
      <c r="N2593" s="11"/>
      <c r="O2593" s="11"/>
      <c r="P2593" s="43"/>
      <c r="Q2593" s="11"/>
      <c r="R2593" s="11"/>
      <c r="S2593" s="11"/>
      <c r="T2593" s="11"/>
      <c r="U2593" s="11"/>
      <c r="V2593" s="11"/>
      <c r="W2593" s="11"/>
      <c r="X2593" s="12"/>
      <c r="Y2593" s="12"/>
      <c r="Z2593" s="12"/>
      <c r="AA2593" s="44"/>
      <c r="AB2593" s="45"/>
      <c r="AC2593" s="12"/>
      <c r="AD2593" s="12"/>
      <c r="AE2593" s="12"/>
      <c r="AF2593" s="12"/>
      <c r="AG2593" s="44"/>
      <c r="AH2593" s="45"/>
      <c r="AI2593" s="12"/>
      <c r="AJ2593" s="12"/>
      <c r="AK2593" s="12"/>
      <c r="AL2593" s="12"/>
      <c r="AM2593" s="44"/>
      <c r="AN2593" s="45"/>
      <c r="AO2593" s="12"/>
      <c r="AP2593" s="12"/>
      <c r="AQ2593" s="12"/>
      <c r="AR2593" s="12"/>
      <c r="AS2593" s="44"/>
      <c r="AT2593" s="45"/>
      <c r="AU2593" s="12"/>
      <c r="AV2593" s="12"/>
      <c r="AW2593" s="12"/>
      <c r="AX2593" s="12"/>
      <c r="AY2593" s="44"/>
      <c r="AZ2593" s="45"/>
      <c r="BA2593" s="12"/>
      <c r="BB2593" s="12"/>
      <c r="BC2593" s="12"/>
      <c r="BD2593" s="12"/>
      <c r="BE2593" s="44"/>
      <c r="BF2593" s="45"/>
      <c r="BG2593" s="12"/>
      <c r="BH2593" s="12"/>
      <c r="BI2593" s="12"/>
      <c r="BJ2593" s="12"/>
      <c r="BK2593" s="44"/>
      <c r="BL2593" s="45"/>
      <c r="BM2593" s="12"/>
      <c r="BN2593" s="12"/>
      <c r="BO2593" s="12"/>
      <c r="BP2593" s="12"/>
      <c r="BQ2593" s="48"/>
      <c r="BR2593" s="49"/>
      <c r="BS2593" s="13"/>
      <c r="BT2593" s="12"/>
      <c r="BV2593" s="14"/>
      <c r="BW2593" s="50"/>
      <c r="BX2593" s="54"/>
      <c r="BY2593" s="14"/>
      <c r="BZ2593" s="14"/>
      <c r="CA2593" s="14"/>
      <c r="CB2593" s="14"/>
      <c r="CC2593" s="14"/>
      <c r="CD2593" s="14"/>
      <c r="CE2593" s="14"/>
      <c r="CF2593" s="15"/>
      <c r="CG2593" s="14"/>
      <c r="CH2593" s="14"/>
      <c r="CI2593" s="50"/>
      <c r="CJ2593" s="54"/>
      <c r="CK2593" s="14"/>
      <c r="CL2593" s="14"/>
      <c r="CM2593" s="14"/>
      <c r="CN2593" s="14"/>
      <c r="CO2593" s="14"/>
      <c r="CP2593" s="14"/>
      <c r="CQ2593" s="14"/>
      <c r="CR2593" s="14"/>
      <c r="CS2593" s="14"/>
      <c r="CT2593" s="14"/>
      <c r="CU2593" s="16"/>
      <c r="CV2593" s="14"/>
      <c r="CW2593" s="50"/>
      <c r="CX2593" s="17"/>
    </row>
    <row r="2594" spans="4:102" x14ac:dyDescent="0.25">
      <c r="D2594" s="11"/>
      <c r="E2594" s="11"/>
      <c r="F2594" s="11"/>
      <c r="G2594" s="11"/>
      <c r="H2594" s="11"/>
      <c r="I2594" s="11"/>
      <c r="J2594" s="11"/>
      <c r="K2594" s="11"/>
      <c r="L2594" s="11"/>
      <c r="M2594" s="11"/>
      <c r="N2594" s="11"/>
      <c r="O2594" s="11"/>
      <c r="P2594" s="43"/>
      <c r="Q2594" s="11"/>
      <c r="R2594" s="11"/>
      <c r="S2594" s="11"/>
      <c r="T2594" s="11"/>
      <c r="U2594" s="11"/>
      <c r="V2594" s="11"/>
      <c r="W2594" s="11"/>
      <c r="X2594" s="12"/>
      <c r="Y2594" s="12"/>
      <c r="Z2594" s="12"/>
      <c r="AA2594" s="44"/>
      <c r="AB2594" s="45"/>
      <c r="AC2594" s="12"/>
      <c r="AD2594" s="12"/>
      <c r="AE2594" s="12"/>
      <c r="AF2594" s="12"/>
      <c r="AG2594" s="44"/>
      <c r="AH2594" s="45"/>
      <c r="AI2594" s="12"/>
      <c r="AJ2594" s="12"/>
      <c r="AK2594" s="12"/>
      <c r="AL2594" s="12"/>
      <c r="AM2594" s="44"/>
      <c r="AN2594" s="45"/>
      <c r="AO2594" s="12"/>
      <c r="AP2594" s="12"/>
      <c r="AQ2594" s="12"/>
      <c r="AR2594" s="12"/>
      <c r="AS2594" s="44"/>
      <c r="AT2594" s="45"/>
      <c r="AU2594" s="12"/>
      <c r="AV2594" s="12"/>
      <c r="AW2594" s="12"/>
      <c r="AX2594" s="12"/>
      <c r="AY2594" s="44"/>
      <c r="AZ2594" s="45"/>
      <c r="BA2594" s="12"/>
      <c r="BB2594" s="12"/>
      <c r="BC2594" s="12"/>
      <c r="BD2594" s="12"/>
      <c r="BE2594" s="44"/>
      <c r="BF2594" s="45"/>
      <c r="BG2594" s="12"/>
      <c r="BH2594" s="12"/>
      <c r="BI2594" s="12"/>
      <c r="BJ2594" s="12"/>
      <c r="BK2594" s="44"/>
      <c r="BL2594" s="45"/>
      <c r="BM2594" s="12"/>
      <c r="BN2594" s="12"/>
      <c r="BO2594" s="12"/>
      <c r="BP2594" s="12"/>
      <c r="BQ2594" s="48"/>
      <c r="BR2594" s="49"/>
      <c r="BS2594" s="13"/>
      <c r="BT2594" s="12"/>
      <c r="BV2594" s="14"/>
      <c r="BW2594" s="50"/>
      <c r="BX2594" s="54"/>
      <c r="BY2594" s="14"/>
      <c r="BZ2594" s="14"/>
      <c r="CA2594" s="14"/>
      <c r="CB2594" s="14"/>
      <c r="CC2594" s="14"/>
      <c r="CD2594" s="14"/>
      <c r="CE2594" s="14"/>
      <c r="CF2594" s="15"/>
      <c r="CG2594" s="14"/>
      <c r="CH2594" s="14"/>
      <c r="CI2594" s="50"/>
      <c r="CJ2594" s="54"/>
      <c r="CK2594" s="14"/>
      <c r="CL2594" s="14"/>
      <c r="CM2594" s="14"/>
      <c r="CN2594" s="14"/>
      <c r="CO2594" s="14"/>
      <c r="CP2594" s="14"/>
      <c r="CQ2594" s="14"/>
      <c r="CR2594" s="14"/>
      <c r="CS2594" s="14"/>
      <c r="CT2594" s="14"/>
      <c r="CU2594" s="16"/>
      <c r="CV2594" s="14"/>
      <c r="CW2594" s="50"/>
      <c r="CX2594" s="17"/>
    </row>
    <row r="2595" spans="4:102" x14ac:dyDescent="0.25">
      <c r="D2595" s="11"/>
      <c r="E2595" s="11"/>
      <c r="F2595" s="11"/>
      <c r="G2595" s="11"/>
      <c r="H2595" s="11"/>
      <c r="I2595" s="11"/>
      <c r="J2595" s="11"/>
      <c r="K2595" s="11"/>
      <c r="L2595" s="11"/>
      <c r="M2595" s="11"/>
      <c r="N2595" s="11"/>
      <c r="O2595" s="11"/>
      <c r="P2595" s="43"/>
      <c r="Q2595" s="11"/>
      <c r="R2595" s="11"/>
      <c r="S2595" s="11"/>
      <c r="T2595" s="11"/>
      <c r="U2595" s="11"/>
      <c r="V2595" s="11"/>
      <c r="W2595" s="11"/>
      <c r="X2595" s="12"/>
      <c r="Y2595" s="12"/>
      <c r="Z2595" s="12"/>
      <c r="AA2595" s="44"/>
      <c r="AB2595" s="45"/>
      <c r="AC2595" s="12"/>
      <c r="AD2595" s="12"/>
      <c r="AE2595" s="12"/>
      <c r="AF2595" s="12"/>
      <c r="AG2595" s="44"/>
      <c r="AH2595" s="45"/>
      <c r="AI2595" s="12"/>
      <c r="AJ2595" s="12"/>
      <c r="AK2595" s="12"/>
      <c r="AL2595" s="12"/>
      <c r="AM2595" s="44"/>
      <c r="AN2595" s="45"/>
      <c r="AO2595" s="12"/>
      <c r="AP2595" s="12"/>
      <c r="AQ2595" s="12"/>
      <c r="AR2595" s="12"/>
      <c r="AS2595" s="44"/>
      <c r="AT2595" s="45"/>
      <c r="AU2595" s="12"/>
      <c r="AV2595" s="12"/>
      <c r="AW2595" s="12"/>
      <c r="AX2595" s="12"/>
      <c r="AY2595" s="44"/>
      <c r="AZ2595" s="45"/>
      <c r="BA2595" s="12"/>
      <c r="BB2595" s="12"/>
      <c r="BC2595" s="12"/>
      <c r="BD2595" s="12"/>
      <c r="BE2595" s="44"/>
      <c r="BF2595" s="45"/>
      <c r="BG2595" s="12"/>
      <c r="BH2595" s="12"/>
      <c r="BI2595" s="12"/>
      <c r="BJ2595" s="12"/>
      <c r="BK2595" s="44"/>
      <c r="BL2595" s="45"/>
      <c r="BM2595" s="12"/>
      <c r="BN2595" s="12"/>
      <c r="BO2595" s="12"/>
      <c r="BP2595" s="12"/>
      <c r="BQ2595" s="48"/>
      <c r="BR2595" s="49"/>
      <c r="BS2595" s="13"/>
      <c r="BT2595" s="12"/>
      <c r="BV2595" s="14"/>
      <c r="BW2595" s="50"/>
      <c r="BX2595" s="54"/>
      <c r="BY2595" s="14"/>
      <c r="BZ2595" s="14"/>
      <c r="CA2595" s="14"/>
      <c r="CB2595" s="14"/>
      <c r="CC2595" s="14"/>
      <c r="CD2595" s="14"/>
      <c r="CE2595" s="14"/>
      <c r="CF2595" s="15"/>
      <c r="CG2595" s="14"/>
      <c r="CH2595" s="14"/>
      <c r="CI2595" s="50"/>
      <c r="CJ2595" s="54"/>
      <c r="CK2595" s="14"/>
      <c r="CL2595" s="14"/>
      <c r="CM2595" s="14"/>
      <c r="CN2595" s="14"/>
      <c r="CO2595" s="14"/>
      <c r="CP2595" s="14"/>
      <c r="CQ2595" s="14"/>
      <c r="CR2595" s="14"/>
      <c r="CS2595" s="14"/>
      <c r="CT2595" s="14"/>
      <c r="CU2595" s="16"/>
      <c r="CV2595" s="14"/>
      <c r="CW2595" s="50"/>
      <c r="CX2595" s="17"/>
    </row>
    <row r="2596" spans="4:102" x14ac:dyDescent="0.25">
      <c r="D2596" s="11"/>
      <c r="E2596" s="11"/>
      <c r="F2596" s="11"/>
      <c r="G2596" s="11"/>
      <c r="H2596" s="11"/>
      <c r="I2596" s="11"/>
      <c r="J2596" s="11"/>
      <c r="K2596" s="11"/>
      <c r="L2596" s="11"/>
      <c r="M2596" s="11"/>
      <c r="N2596" s="11"/>
      <c r="O2596" s="11"/>
      <c r="P2596" s="43"/>
      <c r="Q2596" s="11"/>
      <c r="R2596" s="11"/>
      <c r="S2596" s="11"/>
      <c r="T2596" s="11"/>
      <c r="U2596" s="11"/>
      <c r="V2596" s="11"/>
      <c r="W2596" s="11"/>
      <c r="X2596" s="12"/>
      <c r="Y2596" s="12"/>
      <c r="Z2596" s="12"/>
      <c r="AA2596" s="44"/>
      <c r="AB2596" s="45"/>
      <c r="AC2596" s="12"/>
      <c r="AD2596" s="12"/>
      <c r="AE2596" s="12"/>
      <c r="AF2596" s="12"/>
      <c r="AG2596" s="44"/>
      <c r="AH2596" s="45"/>
      <c r="AI2596" s="12"/>
      <c r="AJ2596" s="12"/>
      <c r="AK2596" s="12"/>
      <c r="AL2596" s="12"/>
      <c r="AM2596" s="44"/>
      <c r="AN2596" s="45"/>
      <c r="AO2596" s="12"/>
      <c r="AP2596" s="12"/>
      <c r="AQ2596" s="12"/>
      <c r="AR2596" s="12"/>
      <c r="AS2596" s="44"/>
      <c r="AT2596" s="45"/>
      <c r="AU2596" s="12"/>
      <c r="AV2596" s="12"/>
      <c r="AW2596" s="12"/>
      <c r="AX2596" s="12"/>
      <c r="AY2596" s="44"/>
      <c r="AZ2596" s="45"/>
      <c r="BA2596" s="12"/>
      <c r="BB2596" s="12"/>
      <c r="BC2596" s="12"/>
      <c r="BD2596" s="12"/>
      <c r="BE2596" s="44"/>
      <c r="BF2596" s="45"/>
      <c r="BG2596" s="12"/>
      <c r="BH2596" s="12"/>
      <c r="BI2596" s="12"/>
      <c r="BJ2596" s="12"/>
      <c r="BK2596" s="44"/>
      <c r="BL2596" s="45"/>
      <c r="BM2596" s="12"/>
      <c r="BN2596" s="12"/>
      <c r="BO2596" s="12"/>
      <c r="BP2596" s="12"/>
      <c r="BQ2596" s="48"/>
      <c r="BR2596" s="49"/>
      <c r="BS2596" s="13"/>
      <c r="BT2596" s="12"/>
      <c r="BV2596" s="14"/>
      <c r="BW2596" s="50"/>
      <c r="BX2596" s="54"/>
      <c r="BY2596" s="14"/>
      <c r="BZ2596" s="14"/>
      <c r="CA2596" s="14"/>
      <c r="CB2596" s="14"/>
      <c r="CC2596" s="14"/>
      <c r="CD2596" s="14"/>
      <c r="CE2596" s="14"/>
      <c r="CF2596" s="15"/>
      <c r="CG2596" s="14"/>
      <c r="CH2596" s="14"/>
      <c r="CI2596" s="50"/>
      <c r="CJ2596" s="54"/>
      <c r="CK2596" s="14"/>
      <c r="CL2596" s="14"/>
      <c r="CM2596" s="14"/>
      <c r="CN2596" s="14"/>
      <c r="CO2596" s="14"/>
      <c r="CP2596" s="14"/>
      <c r="CQ2596" s="14"/>
      <c r="CR2596" s="14"/>
      <c r="CS2596" s="14"/>
      <c r="CT2596" s="14"/>
      <c r="CU2596" s="16"/>
      <c r="CV2596" s="14"/>
      <c r="CW2596" s="50"/>
      <c r="CX2596" s="17"/>
    </row>
    <row r="2597" spans="4:102" x14ac:dyDescent="0.25">
      <c r="D2597" s="11"/>
      <c r="E2597" s="11"/>
      <c r="F2597" s="11"/>
      <c r="G2597" s="11"/>
      <c r="H2597" s="11"/>
      <c r="I2597" s="11"/>
      <c r="J2597" s="11"/>
      <c r="K2597" s="11"/>
      <c r="L2597" s="11"/>
      <c r="M2597" s="11"/>
      <c r="N2597" s="11"/>
      <c r="O2597" s="11"/>
      <c r="P2597" s="43"/>
      <c r="Q2597" s="11"/>
      <c r="R2597" s="11"/>
      <c r="S2597" s="11"/>
      <c r="T2597" s="11"/>
      <c r="U2597" s="11"/>
      <c r="V2597" s="11"/>
      <c r="W2597" s="11"/>
      <c r="X2597" s="12"/>
      <c r="Y2597" s="12"/>
      <c r="Z2597" s="12"/>
      <c r="AA2597" s="44"/>
      <c r="AB2597" s="45"/>
      <c r="AC2597" s="12"/>
      <c r="AD2597" s="12"/>
      <c r="AE2597" s="12"/>
      <c r="AF2597" s="12"/>
      <c r="AG2597" s="44"/>
      <c r="AH2597" s="45"/>
      <c r="AI2597" s="12"/>
      <c r="AJ2597" s="12"/>
      <c r="AK2597" s="12"/>
      <c r="AL2597" s="12"/>
      <c r="AM2597" s="44"/>
      <c r="AN2597" s="45"/>
      <c r="AO2597" s="12"/>
      <c r="AP2597" s="12"/>
      <c r="AQ2597" s="12"/>
      <c r="AR2597" s="12"/>
      <c r="AS2597" s="44"/>
      <c r="AT2597" s="45"/>
      <c r="AU2597" s="12"/>
      <c r="AV2597" s="12"/>
      <c r="AW2597" s="12"/>
      <c r="AX2597" s="12"/>
      <c r="AY2597" s="44"/>
      <c r="AZ2597" s="45"/>
      <c r="BA2597" s="12"/>
      <c r="BB2597" s="12"/>
      <c r="BC2597" s="12"/>
      <c r="BD2597" s="12"/>
      <c r="BE2597" s="44"/>
      <c r="BF2597" s="45"/>
      <c r="BG2597" s="12"/>
      <c r="BH2597" s="12"/>
      <c r="BI2597" s="12"/>
      <c r="BJ2597" s="12"/>
      <c r="BK2597" s="44"/>
      <c r="BL2597" s="45"/>
      <c r="BM2597" s="12"/>
      <c r="BN2597" s="12"/>
      <c r="BO2597" s="12"/>
      <c r="BP2597" s="12"/>
      <c r="BQ2597" s="48"/>
      <c r="BR2597" s="49"/>
      <c r="BS2597" s="13"/>
      <c r="BT2597" s="12"/>
      <c r="BV2597" s="14"/>
      <c r="BW2597" s="50"/>
      <c r="BX2597" s="54"/>
      <c r="BY2597" s="14"/>
      <c r="BZ2597" s="14"/>
      <c r="CA2597" s="14"/>
      <c r="CB2597" s="14"/>
      <c r="CC2597" s="14"/>
      <c r="CD2597" s="14"/>
      <c r="CE2597" s="14"/>
      <c r="CF2597" s="15"/>
      <c r="CG2597" s="14"/>
      <c r="CH2597" s="14"/>
      <c r="CI2597" s="50"/>
      <c r="CJ2597" s="54"/>
      <c r="CK2597" s="14"/>
      <c r="CL2597" s="14"/>
      <c r="CM2597" s="14"/>
      <c r="CN2597" s="14"/>
      <c r="CO2597" s="14"/>
      <c r="CP2597" s="14"/>
      <c r="CQ2597" s="14"/>
      <c r="CR2597" s="14"/>
      <c r="CS2597" s="14"/>
      <c r="CT2597" s="14"/>
      <c r="CU2597" s="16"/>
      <c r="CV2597" s="14"/>
      <c r="CW2597" s="50"/>
      <c r="CX2597" s="17"/>
    </row>
    <row r="2598" spans="4:102" x14ac:dyDescent="0.25">
      <c r="D2598" s="11"/>
      <c r="E2598" s="11"/>
      <c r="F2598" s="11"/>
      <c r="G2598" s="11"/>
      <c r="H2598" s="11"/>
      <c r="I2598" s="11"/>
      <c r="J2598" s="11"/>
      <c r="K2598" s="11"/>
      <c r="L2598" s="11"/>
      <c r="M2598" s="11"/>
      <c r="N2598" s="11"/>
      <c r="O2598" s="11"/>
      <c r="P2598" s="43"/>
      <c r="Q2598" s="11"/>
      <c r="R2598" s="11"/>
      <c r="S2598" s="11"/>
      <c r="T2598" s="11"/>
      <c r="U2598" s="11"/>
      <c r="V2598" s="11"/>
      <c r="W2598" s="11"/>
      <c r="X2598" s="12"/>
      <c r="Y2598" s="12"/>
      <c r="Z2598" s="12"/>
      <c r="AA2598" s="44"/>
      <c r="AB2598" s="45"/>
      <c r="AC2598" s="12"/>
      <c r="AD2598" s="12"/>
      <c r="AE2598" s="12"/>
      <c r="AF2598" s="12"/>
      <c r="AG2598" s="44"/>
      <c r="AH2598" s="45"/>
      <c r="AI2598" s="12"/>
      <c r="AJ2598" s="12"/>
      <c r="AK2598" s="12"/>
      <c r="AL2598" s="12"/>
      <c r="AM2598" s="44"/>
      <c r="AN2598" s="45"/>
      <c r="AO2598" s="12"/>
      <c r="AP2598" s="12"/>
      <c r="AQ2598" s="12"/>
      <c r="AR2598" s="12"/>
      <c r="AS2598" s="44"/>
      <c r="AT2598" s="45"/>
      <c r="AU2598" s="12"/>
      <c r="AV2598" s="12"/>
      <c r="AW2598" s="12"/>
      <c r="AX2598" s="12"/>
      <c r="AY2598" s="44"/>
      <c r="AZ2598" s="45"/>
      <c r="BA2598" s="12"/>
      <c r="BB2598" s="12"/>
      <c r="BC2598" s="12"/>
      <c r="BD2598" s="12"/>
      <c r="BE2598" s="44"/>
      <c r="BF2598" s="45"/>
      <c r="BG2598" s="12"/>
      <c r="BH2598" s="12"/>
      <c r="BI2598" s="12"/>
      <c r="BJ2598" s="12"/>
      <c r="BK2598" s="44"/>
      <c r="BL2598" s="45"/>
      <c r="BM2598" s="12"/>
      <c r="BN2598" s="12"/>
      <c r="BO2598" s="12"/>
      <c r="BP2598" s="12"/>
      <c r="BQ2598" s="48"/>
      <c r="BR2598" s="49"/>
      <c r="BS2598" s="13"/>
      <c r="BT2598" s="12"/>
      <c r="BV2598" s="14"/>
      <c r="BW2598" s="50"/>
      <c r="BX2598" s="54"/>
      <c r="BY2598" s="14"/>
      <c r="BZ2598" s="14"/>
      <c r="CA2598" s="14"/>
      <c r="CB2598" s="14"/>
      <c r="CC2598" s="14"/>
      <c r="CD2598" s="14"/>
      <c r="CE2598" s="14"/>
      <c r="CF2598" s="15"/>
      <c r="CG2598" s="14"/>
      <c r="CH2598" s="14"/>
      <c r="CI2598" s="50"/>
      <c r="CJ2598" s="54"/>
      <c r="CK2598" s="14"/>
      <c r="CL2598" s="14"/>
      <c r="CM2598" s="14"/>
      <c r="CN2598" s="14"/>
      <c r="CO2598" s="14"/>
      <c r="CP2598" s="14"/>
      <c r="CQ2598" s="14"/>
      <c r="CR2598" s="14"/>
      <c r="CS2598" s="14"/>
      <c r="CT2598" s="14"/>
      <c r="CU2598" s="16"/>
      <c r="CV2598" s="14"/>
      <c r="CW2598" s="50"/>
      <c r="CX2598" s="17"/>
    </row>
    <row r="2599" spans="4:102" x14ac:dyDescent="0.25">
      <c r="D2599" s="11"/>
      <c r="E2599" s="11"/>
      <c r="F2599" s="11"/>
      <c r="G2599" s="11"/>
      <c r="H2599" s="11"/>
      <c r="I2599" s="11"/>
      <c r="J2599" s="11"/>
      <c r="K2599" s="11"/>
      <c r="L2599" s="11"/>
      <c r="M2599" s="11"/>
      <c r="N2599" s="11"/>
      <c r="O2599" s="11"/>
      <c r="P2599" s="43"/>
      <c r="Q2599" s="11"/>
      <c r="R2599" s="11"/>
      <c r="S2599" s="11"/>
      <c r="T2599" s="11"/>
      <c r="U2599" s="11"/>
      <c r="V2599" s="11"/>
      <c r="W2599" s="11"/>
      <c r="X2599" s="12"/>
      <c r="Y2599" s="12"/>
      <c r="Z2599" s="12"/>
      <c r="AA2599" s="44"/>
      <c r="AB2599" s="45"/>
      <c r="AC2599" s="12"/>
      <c r="AD2599" s="12"/>
      <c r="AE2599" s="12"/>
      <c r="AF2599" s="12"/>
      <c r="AG2599" s="44"/>
      <c r="AH2599" s="45"/>
      <c r="AI2599" s="12"/>
      <c r="AJ2599" s="12"/>
      <c r="AK2599" s="12"/>
      <c r="AL2599" s="12"/>
      <c r="AM2599" s="44"/>
      <c r="AN2599" s="45"/>
      <c r="AO2599" s="12"/>
      <c r="AP2599" s="12"/>
      <c r="AQ2599" s="12"/>
      <c r="AR2599" s="12"/>
      <c r="AS2599" s="44"/>
      <c r="AT2599" s="45"/>
      <c r="AU2599" s="12"/>
      <c r="AV2599" s="12"/>
      <c r="AW2599" s="12"/>
      <c r="AX2599" s="12"/>
      <c r="AY2599" s="44"/>
      <c r="AZ2599" s="45"/>
      <c r="BA2599" s="12"/>
      <c r="BB2599" s="12"/>
      <c r="BC2599" s="12"/>
      <c r="BD2599" s="12"/>
      <c r="BE2599" s="44"/>
      <c r="BF2599" s="45"/>
      <c r="BG2599" s="12"/>
      <c r="BH2599" s="12"/>
      <c r="BI2599" s="12"/>
      <c r="BJ2599" s="12"/>
      <c r="BK2599" s="44"/>
      <c r="BL2599" s="45"/>
      <c r="BM2599" s="12"/>
      <c r="BN2599" s="12"/>
      <c r="BO2599" s="12"/>
      <c r="BP2599" s="12"/>
      <c r="BQ2599" s="48"/>
      <c r="BR2599" s="49"/>
      <c r="BS2599" s="13"/>
      <c r="BT2599" s="12"/>
      <c r="BV2599" s="14"/>
      <c r="BW2599" s="50"/>
      <c r="BX2599" s="54"/>
      <c r="BY2599" s="14"/>
      <c r="BZ2599" s="14"/>
      <c r="CA2599" s="14"/>
      <c r="CB2599" s="14"/>
      <c r="CC2599" s="14"/>
      <c r="CD2599" s="14"/>
      <c r="CE2599" s="14"/>
      <c r="CF2599" s="15"/>
      <c r="CG2599" s="14"/>
      <c r="CH2599" s="14"/>
      <c r="CI2599" s="50"/>
      <c r="CJ2599" s="54"/>
      <c r="CK2599" s="14"/>
      <c r="CL2599" s="14"/>
      <c r="CM2599" s="14"/>
      <c r="CN2599" s="14"/>
      <c r="CO2599" s="14"/>
      <c r="CP2599" s="14"/>
      <c r="CQ2599" s="14"/>
      <c r="CR2599" s="14"/>
      <c r="CS2599" s="14"/>
      <c r="CT2599" s="14"/>
      <c r="CU2599" s="16"/>
      <c r="CV2599" s="14"/>
      <c r="CW2599" s="50"/>
      <c r="CX2599" s="17"/>
    </row>
    <row r="2600" spans="4:102" x14ac:dyDescent="0.25">
      <c r="D2600" s="11"/>
      <c r="E2600" s="11"/>
      <c r="F2600" s="11"/>
      <c r="G2600" s="11"/>
      <c r="H2600" s="11"/>
      <c r="I2600" s="11"/>
      <c r="J2600" s="11"/>
      <c r="K2600" s="11"/>
      <c r="L2600" s="11"/>
      <c r="M2600" s="11"/>
      <c r="N2600" s="11"/>
      <c r="O2600" s="11"/>
      <c r="P2600" s="43"/>
      <c r="Q2600" s="11"/>
      <c r="R2600" s="11"/>
      <c r="S2600" s="11"/>
      <c r="T2600" s="11"/>
      <c r="U2600" s="11"/>
      <c r="V2600" s="11"/>
      <c r="W2600" s="11"/>
      <c r="X2600" s="12"/>
      <c r="Y2600" s="12"/>
      <c r="Z2600" s="12"/>
      <c r="AA2600" s="44"/>
      <c r="AB2600" s="45"/>
      <c r="AC2600" s="12"/>
      <c r="AD2600" s="12"/>
      <c r="AE2600" s="12"/>
      <c r="AF2600" s="12"/>
      <c r="AG2600" s="44"/>
      <c r="AH2600" s="45"/>
      <c r="AI2600" s="12"/>
      <c r="AJ2600" s="12"/>
      <c r="AK2600" s="12"/>
      <c r="AL2600" s="12"/>
      <c r="AM2600" s="44"/>
      <c r="AN2600" s="45"/>
      <c r="AO2600" s="12"/>
      <c r="AP2600" s="12"/>
      <c r="AQ2600" s="12"/>
      <c r="AR2600" s="12"/>
      <c r="AS2600" s="44"/>
      <c r="AT2600" s="45"/>
      <c r="AU2600" s="12"/>
      <c r="AV2600" s="12"/>
      <c r="AW2600" s="12"/>
      <c r="AX2600" s="12"/>
      <c r="AY2600" s="44"/>
      <c r="AZ2600" s="45"/>
      <c r="BA2600" s="12"/>
      <c r="BB2600" s="12"/>
      <c r="BC2600" s="12"/>
      <c r="BD2600" s="12"/>
      <c r="BE2600" s="44"/>
      <c r="BF2600" s="45"/>
      <c r="BG2600" s="12"/>
      <c r="BH2600" s="12"/>
      <c r="BI2600" s="12"/>
      <c r="BJ2600" s="12"/>
      <c r="BK2600" s="44"/>
      <c r="BL2600" s="45"/>
      <c r="BM2600" s="12"/>
      <c r="BN2600" s="12"/>
      <c r="BO2600" s="12"/>
      <c r="BP2600" s="12"/>
      <c r="BQ2600" s="48"/>
      <c r="BR2600" s="49"/>
      <c r="BS2600" s="13"/>
      <c r="BT2600" s="12"/>
      <c r="BV2600" s="14"/>
      <c r="BW2600" s="50"/>
      <c r="BX2600" s="54"/>
      <c r="BY2600" s="14"/>
      <c r="BZ2600" s="14"/>
      <c r="CA2600" s="14"/>
      <c r="CB2600" s="14"/>
      <c r="CC2600" s="14"/>
      <c r="CD2600" s="14"/>
      <c r="CE2600" s="14"/>
      <c r="CF2600" s="15"/>
      <c r="CG2600" s="14"/>
      <c r="CH2600" s="14"/>
      <c r="CI2600" s="50"/>
      <c r="CJ2600" s="54"/>
      <c r="CK2600" s="14"/>
      <c r="CL2600" s="14"/>
      <c r="CM2600" s="14"/>
      <c r="CN2600" s="14"/>
      <c r="CO2600" s="14"/>
      <c r="CP2600" s="14"/>
      <c r="CQ2600" s="14"/>
      <c r="CR2600" s="14"/>
      <c r="CS2600" s="14"/>
      <c r="CT2600" s="14"/>
      <c r="CU2600" s="16"/>
      <c r="CV2600" s="14"/>
      <c r="CW2600" s="50"/>
      <c r="CX2600" s="17"/>
    </row>
    <row r="2601" spans="4:102" x14ac:dyDescent="0.25">
      <c r="D2601" s="11"/>
      <c r="E2601" s="11"/>
      <c r="F2601" s="11"/>
      <c r="G2601" s="11"/>
      <c r="H2601" s="11"/>
      <c r="I2601" s="11"/>
      <c r="J2601" s="11"/>
      <c r="K2601" s="11"/>
      <c r="L2601" s="11"/>
      <c r="M2601" s="11"/>
      <c r="N2601" s="11"/>
      <c r="O2601" s="11"/>
      <c r="P2601" s="43"/>
      <c r="Q2601" s="11"/>
      <c r="R2601" s="11"/>
      <c r="S2601" s="11"/>
      <c r="T2601" s="11"/>
      <c r="U2601" s="11"/>
      <c r="V2601" s="11"/>
      <c r="W2601" s="11"/>
      <c r="X2601" s="12"/>
      <c r="Y2601" s="12"/>
      <c r="Z2601" s="12"/>
      <c r="AA2601" s="44"/>
      <c r="AB2601" s="45"/>
      <c r="AC2601" s="12"/>
      <c r="AD2601" s="12"/>
      <c r="AE2601" s="12"/>
      <c r="AF2601" s="12"/>
      <c r="AG2601" s="44"/>
      <c r="AH2601" s="45"/>
      <c r="AI2601" s="12"/>
      <c r="AJ2601" s="12"/>
      <c r="AK2601" s="12"/>
      <c r="AL2601" s="12"/>
      <c r="AM2601" s="44"/>
      <c r="AN2601" s="45"/>
      <c r="AO2601" s="12"/>
      <c r="AP2601" s="12"/>
      <c r="AQ2601" s="12"/>
      <c r="AR2601" s="12"/>
      <c r="AS2601" s="44"/>
      <c r="AT2601" s="45"/>
      <c r="AU2601" s="12"/>
      <c r="AV2601" s="12"/>
      <c r="AW2601" s="12"/>
      <c r="AX2601" s="12"/>
      <c r="AY2601" s="44"/>
      <c r="AZ2601" s="45"/>
      <c r="BA2601" s="12"/>
      <c r="BB2601" s="12"/>
      <c r="BC2601" s="12"/>
      <c r="BD2601" s="12"/>
      <c r="BE2601" s="44"/>
      <c r="BF2601" s="45"/>
      <c r="BG2601" s="12"/>
      <c r="BH2601" s="12"/>
      <c r="BI2601" s="12"/>
      <c r="BJ2601" s="12"/>
      <c r="BK2601" s="44"/>
      <c r="BL2601" s="45"/>
      <c r="BM2601" s="12"/>
      <c r="BN2601" s="12"/>
      <c r="BO2601" s="12"/>
      <c r="BP2601" s="12"/>
      <c r="BQ2601" s="48"/>
      <c r="BR2601" s="49"/>
      <c r="BS2601" s="13"/>
      <c r="BT2601" s="12"/>
      <c r="BV2601" s="14"/>
      <c r="BW2601" s="50"/>
      <c r="BX2601" s="54"/>
      <c r="BY2601" s="14"/>
      <c r="BZ2601" s="14"/>
      <c r="CA2601" s="14"/>
      <c r="CB2601" s="14"/>
      <c r="CC2601" s="14"/>
      <c r="CD2601" s="14"/>
      <c r="CE2601" s="14"/>
      <c r="CF2601" s="15"/>
      <c r="CG2601" s="14"/>
      <c r="CH2601" s="14"/>
      <c r="CI2601" s="50"/>
      <c r="CJ2601" s="54"/>
      <c r="CK2601" s="14"/>
      <c r="CL2601" s="14"/>
      <c r="CM2601" s="14"/>
      <c r="CN2601" s="14"/>
      <c r="CO2601" s="14"/>
      <c r="CP2601" s="14"/>
      <c r="CQ2601" s="14"/>
      <c r="CR2601" s="14"/>
      <c r="CS2601" s="14"/>
      <c r="CT2601" s="14"/>
      <c r="CU2601" s="16"/>
      <c r="CV2601" s="14"/>
      <c r="CW2601" s="50"/>
      <c r="CX2601" s="17"/>
    </row>
    <row r="2602" spans="4:102" x14ac:dyDescent="0.25">
      <c r="D2602" s="11"/>
      <c r="E2602" s="11"/>
      <c r="F2602" s="11"/>
      <c r="G2602" s="11"/>
      <c r="H2602" s="11"/>
      <c r="I2602" s="11"/>
      <c r="J2602" s="11"/>
      <c r="K2602" s="11"/>
      <c r="L2602" s="11"/>
      <c r="M2602" s="11"/>
      <c r="N2602" s="11"/>
      <c r="O2602" s="11"/>
      <c r="P2602" s="43"/>
      <c r="Q2602" s="11"/>
      <c r="R2602" s="11"/>
      <c r="S2602" s="11"/>
      <c r="T2602" s="11"/>
      <c r="U2602" s="11"/>
      <c r="V2602" s="11"/>
      <c r="W2602" s="11"/>
      <c r="X2602" s="12"/>
      <c r="Y2602" s="12"/>
      <c r="Z2602" s="12"/>
      <c r="AA2602" s="44"/>
      <c r="AB2602" s="45"/>
      <c r="AC2602" s="12"/>
      <c r="AD2602" s="12"/>
      <c r="AE2602" s="12"/>
      <c r="AF2602" s="12"/>
      <c r="AG2602" s="44"/>
      <c r="AH2602" s="45"/>
      <c r="AI2602" s="12"/>
      <c r="AJ2602" s="12"/>
      <c r="AK2602" s="12"/>
      <c r="AL2602" s="12"/>
      <c r="AM2602" s="44"/>
      <c r="AN2602" s="45"/>
      <c r="AO2602" s="12"/>
      <c r="AP2602" s="12"/>
      <c r="AQ2602" s="12"/>
      <c r="AR2602" s="12"/>
      <c r="AS2602" s="44"/>
      <c r="AT2602" s="45"/>
      <c r="AU2602" s="12"/>
      <c r="AV2602" s="12"/>
      <c r="AW2602" s="12"/>
      <c r="AX2602" s="12"/>
      <c r="AY2602" s="44"/>
      <c r="AZ2602" s="45"/>
      <c r="BA2602" s="12"/>
      <c r="BB2602" s="12"/>
      <c r="BC2602" s="12"/>
      <c r="BD2602" s="12"/>
      <c r="BE2602" s="44"/>
      <c r="BF2602" s="45"/>
      <c r="BG2602" s="12"/>
      <c r="BH2602" s="12"/>
      <c r="BI2602" s="12"/>
      <c r="BJ2602" s="12"/>
      <c r="BK2602" s="44"/>
      <c r="BL2602" s="45"/>
      <c r="BM2602" s="12"/>
      <c r="BN2602" s="12"/>
      <c r="BO2602" s="12"/>
      <c r="BP2602" s="12"/>
      <c r="BQ2602" s="48"/>
      <c r="BR2602" s="49"/>
      <c r="BS2602" s="13"/>
      <c r="BT2602" s="12"/>
      <c r="BV2602" s="14"/>
      <c r="BW2602" s="50"/>
      <c r="BX2602" s="54"/>
      <c r="BY2602" s="14"/>
      <c r="BZ2602" s="14"/>
      <c r="CA2602" s="14"/>
      <c r="CB2602" s="14"/>
      <c r="CC2602" s="14"/>
      <c r="CD2602" s="14"/>
      <c r="CE2602" s="14"/>
      <c r="CF2602" s="15"/>
      <c r="CG2602" s="14"/>
      <c r="CH2602" s="14"/>
      <c r="CI2602" s="50"/>
      <c r="CJ2602" s="54"/>
      <c r="CK2602" s="14"/>
      <c r="CL2602" s="14"/>
      <c r="CM2602" s="14"/>
      <c r="CN2602" s="14"/>
      <c r="CO2602" s="14"/>
      <c r="CP2602" s="14"/>
      <c r="CQ2602" s="14"/>
      <c r="CR2602" s="14"/>
      <c r="CS2602" s="14"/>
      <c r="CT2602" s="14"/>
      <c r="CU2602" s="16"/>
      <c r="CV2602" s="14"/>
      <c r="CW2602" s="50"/>
      <c r="CX2602" s="17"/>
    </row>
    <row r="2603" spans="4:102" x14ac:dyDescent="0.25">
      <c r="D2603" s="11"/>
      <c r="E2603" s="11"/>
      <c r="F2603" s="11"/>
      <c r="G2603" s="11"/>
      <c r="H2603" s="11"/>
      <c r="I2603" s="11"/>
      <c r="J2603" s="11"/>
      <c r="K2603" s="11"/>
      <c r="L2603" s="11"/>
      <c r="M2603" s="11"/>
      <c r="N2603" s="11"/>
      <c r="O2603" s="11"/>
      <c r="P2603" s="43"/>
      <c r="Q2603" s="11"/>
      <c r="R2603" s="11"/>
      <c r="S2603" s="11"/>
      <c r="T2603" s="11"/>
      <c r="U2603" s="11"/>
      <c r="V2603" s="11"/>
      <c r="W2603" s="11"/>
      <c r="X2603" s="12"/>
      <c r="Y2603" s="12"/>
      <c r="Z2603" s="12"/>
      <c r="AA2603" s="44"/>
      <c r="AB2603" s="45"/>
      <c r="AC2603" s="12"/>
      <c r="AD2603" s="12"/>
      <c r="AE2603" s="12"/>
      <c r="AF2603" s="12"/>
      <c r="AG2603" s="44"/>
      <c r="AH2603" s="45"/>
      <c r="AI2603" s="12"/>
      <c r="AJ2603" s="12"/>
      <c r="AK2603" s="12"/>
      <c r="AL2603" s="12"/>
      <c r="AM2603" s="44"/>
      <c r="AN2603" s="45"/>
      <c r="AO2603" s="12"/>
      <c r="AP2603" s="12"/>
      <c r="AQ2603" s="12"/>
      <c r="AR2603" s="12"/>
      <c r="AS2603" s="44"/>
      <c r="AT2603" s="45"/>
      <c r="AU2603" s="12"/>
      <c r="AV2603" s="12"/>
      <c r="AW2603" s="12"/>
      <c r="AX2603" s="12"/>
      <c r="AY2603" s="44"/>
      <c r="AZ2603" s="45"/>
      <c r="BA2603" s="12"/>
      <c r="BB2603" s="12"/>
      <c r="BC2603" s="12"/>
      <c r="BD2603" s="12"/>
      <c r="BE2603" s="44"/>
      <c r="BF2603" s="45"/>
      <c r="BG2603" s="12"/>
      <c r="BH2603" s="12"/>
      <c r="BI2603" s="12"/>
      <c r="BJ2603" s="12"/>
      <c r="BK2603" s="44"/>
      <c r="BL2603" s="45"/>
      <c r="BM2603" s="12"/>
      <c r="BN2603" s="12"/>
      <c r="BO2603" s="12"/>
      <c r="BP2603" s="12"/>
      <c r="BQ2603" s="48"/>
      <c r="BR2603" s="49"/>
      <c r="BS2603" s="13"/>
      <c r="BT2603" s="12"/>
      <c r="BV2603" s="14"/>
      <c r="BW2603" s="50"/>
      <c r="BX2603" s="54"/>
      <c r="BY2603" s="14"/>
      <c r="BZ2603" s="14"/>
      <c r="CA2603" s="14"/>
      <c r="CB2603" s="14"/>
      <c r="CC2603" s="14"/>
      <c r="CD2603" s="14"/>
      <c r="CE2603" s="14"/>
      <c r="CF2603" s="15"/>
      <c r="CG2603" s="14"/>
      <c r="CH2603" s="14"/>
      <c r="CI2603" s="50"/>
      <c r="CJ2603" s="54"/>
      <c r="CK2603" s="14"/>
      <c r="CL2603" s="14"/>
      <c r="CM2603" s="14"/>
      <c r="CN2603" s="14"/>
      <c r="CO2603" s="14"/>
      <c r="CP2603" s="14"/>
      <c r="CQ2603" s="14"/>
      <c r="CR2603" s="14"/>
      <c r="CS2603" s="14"/>
      <c r="CT2603" s="14"/>
      <c r="CU2603" s="16"/>
      <c r="CV2603" s="14"/>
      <c r="CW2603" s="50"/>
      <c r="CX2603" s="17"/>
    </row>
    <row r="2604" spans="4:102" x14ac:dyDescent="0.25">
      <c r="D2604" s="11"/>
      <c r="E2604" s="11"/>
      <c r="F2604" s="11"/>
      <c r="G2604" s="11"/>
      <c r="H2604" s="11"/>
      <c r="I2604" s="11"/>
      <c r="J2604" s="11"/>
      <c r="K2604" s="11"/>
      <c r="L2604" s="11"/>
      <c r="M2604" s="11"/>
      <c r="N2604" s="11"/>
      <c r="O2604" s="11"/>
      <c r="P2604" s="43"/>
      <c r="Q2604" s="11"/>
      <c r="R2604" s="11"/>
      <c r="S2604" s="11"/>
      <c r="T2604" s="11"/>
      <c r="U2604" s="11"/>
      <c r="V2604" s="11"/>
      <c r="W2604" s="11"/>
      <c r="X2604" s="12"/>
      <c r="Y2604" s="12"/>
      <c r="Z2604" s="12"/>
      <c r="AA2604" s="44"/>
      <c r="AB2604" s="45"/>
      <c r="AC2604" s="12"/>
      <c r="AD2604" s="12"/>
      <c r="AE2604" s="12"/>
      <c r="AF2604" s="12"/>
      <c r="AG2604" s="44"/>
      <c r="AH2604" s="45"/>
      <c r="AI2604" s="12"/>
      <c r="AJ2604" s="12"/>
      <c r="AK2604" s="12"/>
      <c r="AL2604" s="12"/>
      <c r="AM2604" s="44"/>
      <c r="AN2604" s="45"/>
      <c r="AO2604" s="12"/>
      <c r="AP2604" s="12"/>
      <c r="AQ2604" s="12"/>
      <c r="AR2604" s="12"/>
      <c r="AS2604" s="44"/>
      <c r="AT2604" s="45"/>
      <c r="AU2604" s="12"/>
      <c r="AV2604" s="12"/>
      <c r="AW2604" s="12"/>
      <c r="AX2604" s="12"/>
      <c r="AY2604" s="44"/>
      <c r="AZ2604" s="45"/>
      <c r="BA2604" s="12"/>
      <c r="BB2604" s="12"/>
      <c r="BC2604" s="12"/>
      <c r="BD2604" s="12"/>
      <c r="BE2604" s="44"/>
      <c r="BF2604" s="45"/>
      <c r="BG2604" s="12"/>
      <c r="BH2604" s="12"/>
      <c r="BI2604" s="12"/>
      <c r="BJ2604" s="12"/>
      <c r="BK2604" s="44"/>
      <c r="BL2604" s="45"/>
      <c r="BM2604" s="12"/>
      <c r="BN2604" s="12"/>
      <c r="BO2604" s="12"/>
      <c r="BP2604" s="12"/>
      <c r="BQ2604" s="48"/>
      <c r="BR2604" s="49"/>
      <c r="BS2604" s="13"/>
      <c r="BT2604" s="12"/>
      <c r="BV2604" s="14"/>
      <c r="BW2604" s="50"/>
      <c r="BX2604" s="54"/>
      <c r="BY2604" s="14"/>
      <c r="BZ2604" s="14"/>
      <c r="CA2604" s="14"/>
      <c r="CB2604" s="14"/>
      <c r="CC2604" s="14"/>
      <c r="CD2604" s="14"/>
      <c r="CE2604" s="14"/>
      <c r="CF2604" s="15"/>
      <c r="CG2604" s="14"/>
      <c r="CH2604" s="14"/>
      <c r="CI2604" s="50"/>
      <c r="CJ2604" s="54"/>
      <c r="CK2604" s="14"/>
      <c r="CL2604" s="14"/>
      <c r="CM2604" s="14"/>
      <c r="CN2604" s="14"/>
      <c r="CO2604" s="14"/>
      <c r="CP2604" s="14"/>
      <c r="CQ2604" s="14"/>
      <c r="CR2604" s="14"/>
      <c r="CS2604" s="14"/>
      <c r="CT2604" s="14"/>
      <c r="CU2604" s="16"/>
      <c r="CV2604" s="14"/>
      <c r="CW2604" s="50"/>
      <c r="CX2604" s="17"/>
    </row>
    <row r="2605" spans="4:102" x14ac:dyDescent="0.25">
      <c r="D2605" s="11"/>
      <c r="E2605" s="11"/>
      <c r="F2605" s="11"/>
      <c r="G2605" s="11"/>
      <c r="H2605" s="11"/>
      <c r="I2605" s="11"/>
      <c r="J2605" s="11"/>
      <c r="K2605" s="11"/>
      <c r="L2605" s="11"/>
      <c r="M2605" s="11"/>
      <c r="N2605" s="11"/>
      <c r="O2605" s="11"/>
      <c r="P2605" s="43"/>
      <c r="Q2605" s="11"/>
      <c r="R2605" s="11"/>
      <c r="S2605" s="11"/>
      <c r="T2605" s="11"/>
      <c r="U2605" s="11"/>
      <c r="V2605" s="11"/>
      <c r="W2605" s="11"/>
      <c r="X2605" s="12"/>
      <c r="Y2605" s="12"/>
      <c r="Z2605" s="12"/>
      <c r="AA2605" s="44"/>
      <c r="AB2605" s="45"/>
      <c r="AC2605" s="12"/>
      <c r="AD2605" s="12"/>
      <c r="AE2605" s="12"/>
      <c r="AF2605" s="12"/>
      <c r="AG2605" s="44"/>
      <c r="AH2605" s="45"/>
      <c r="AI2605" s="12"/>
      <c r="AJ2605" s="12"/>
      <c r="AK2605" s="12"/>
      <c r="AL2605" s="12"/>
      <c r="AM2605" s="44"/>
      <c r="AN2605" s="45"/>
      <c r="AO2605" s="12"/>
      <c r="AP2605" s="12"/>
      <c r="AQ2605" s="12"/>
      <c r="AR2605" s="12"/>
      <c r="AS2605" s="44"/>
      <c r="AT2605" s="45"/>
      <c r="AU2605" s="12"/>
      <c r="AV2605" s="12"/>
      <c r="AW2605" s="12"/>
      <c r="AX2605" s="12"/>
      <c r="AY2605" s="44"/>
      <c r="AZ2605" s="45"/>
      <c r="BA2605" s="12"/>
      <c r="BB2605" s="12"/>
      <c r="BC2605" s="12"/>
      <c r="BD2605" s="12"/>
      <c r="BE2605" s="44"/>
      <c r="BF2605" s="45"/>
      <c r="BG2605" s="12"/>
      <c r="BH2605" s="12"/>
      <c r="BI2605" s="12"/>
      <c r="BJ2605" s="12"/>
      <c r="BK2605" s="44"/>
      <c r="BL2605" s="45"/>
      <c r="BM2605" s="12"/>
      <c r="BN2605" s="12"/>
      <c r="BO2605" s="12"/>
      <c r="BP2605" s="12"/>
      <c r="BQ2605" s="48"/>
      <c r="BR2605" s="49"/>
      <c r="BS2605" s="13"/>
      <c r="BT2605" s="12"/>
      <c r="BV2605" s="14"/>
      <c r="BW2605" s="50"/>
      <c r="BX2605" s="54"/>
      <c r="BY2605" s="14"/>
      <c r="BZ2605" s="14"/>
      <c r="CA2605" s="14"/>
      <c r="CB2605" s="14"/>
      <c r="CC2605" s="14"/>
      <c r="CD2605" s="14"/>
      <c r="CE2605" s="14"/>
      <c r="CF2605" s="15"/>
      <c r="CG2605" s="14"/>
      <c r="CH2605" s="14"/>
      <c r="CI2605" s="50"/>
      <c r="CJ2605" s="54"/>
      <c r="CK2605" s="14"/>
      <c r="CL2605" s="14"/>
      <c r="CM2605" s="14"/>
      <c r="CN2605" s="14"/>
      <c r="CO2605" s="14"/>
      <c r="CP2605" s="14"/>
      <c r="CQ2605" s="14"/>
      <c r="CR2605" s="14"/>
      <c r="CS2605" s="14"/>
      <c r="CT2605" s="14"/>
      <c r="CU2605" s="16"/>
      <c r="CV2605" s="14"/>
      <c r="CW2605" s="50"/>
      <c r="CX2605" s="17"/>
    </row>
    <row r="2606" spans="4:102" x14ac:dyDescent="0.25">
      <c r="D2606" s="11"/>
      <c r="E2606" s="11"/>
      <c r="F2606" s="11"/>
      <c r="G2606" s="11"/>
      <c r="H2606" s="11"/>
      <c r="I2606" s="11"/>
      <c r="J2606" s="11"/>
      <c r="K2606" s="11"/>
      <c r="L2606" s="11"/>
      <c r="M2606" s="11"/>
      <c r="N2606" s="11"/>
      <c r="O2606" s="11"/>
      <c r="P2606" s="43"/>
      <c r="Q2606" s="11"/>
      <c r="R2606" s="11"/>
      <c r="S2606" s="11"/>
      <c r="T2606" s="11"/>
      <c r="U2606" s="11"/>
      <c r="V2606" s="11"/>
      <c r="W2606" s="11"/>
      <c r="X2606" s="12"/>
      <c r="Y2606" s="12"/>
      <c r="Z2606" s="12"/>
      <c r="AA2606" s="44"/>
      <c r="AB2606" s="45"/>
      <c r="AC2606" s="12"/>
      <c r="AD2606" s="12"/>
      <c r="AE2606" s="12"/>
      <c r="AF2606" s="12"/>
      <c r="AG2606" s="44"/>
      <c r="AH2606" s="45"/>
      <c r="AI2606" s="12"/>
      <c r="AJ2606" s="12"/>
      <c r="AK2606" s="12"/>
      <c r="AL2606" s="12"/>
      <c r="AM2606" s="44"/>
      <c r="AN2606" s="45"/>
      <c r="AO2606" s="12"/>
      <c r="AP2606" s="12"/>
      <c r="AQ2606" s="12"/>
      <c r="AR2606" s="12"/>
      <c r="AS2606" s="44"/>
      <c r="AT2606" s="45"/>
      <c r="AU2606" s="12"/>
      <c r="AV2606" s="12"/>
      <c r="AW2606" s="12"/>
      <c r="AX2606" s="12"/>
      <c r="AY2606" s="44"/>
      <c r="AZ2606" s="45"/>
      <c r="BA2606" s="12"/>
      <c r="BB2606" s="12"/>
      <c r="BC2606" s="12"/>
      <c r="BD2606" s="12"/>
      <c r="BE2606" s="44"/>
      <c r="BF2606" s="45"/>
      <c r="BG2606" s="12"/>
      <c r="BH2606" s="12"/>
      <c r="BI2606" s="12"/>
      <c r="BJ2606" s="12"/>
      <c r="BK2606" s="44"/>
      <c r="BL2606" s="45"/>
      <c r="BM2606" s="12"/>
      <c r="BN2606" s="12"/>
      <c r="BO2606" s="12"/>
      <c r="BP2606" s="12"/>
      <c r="BQ2606" s="48"/>
      <c r="BR2606" s="49"/>
      <c r="BS2606" s="13"/>
      <c r="BT2606" s="12"/>
      <c r="BV2606" s="14"/>
      <c r="BW2606" s="50"/>
      <c r="BX2606" s="54"/>
      <c r="BY2606" s="14"/>
      <c r="BZ2606" s="14"/>
      <c r="CA2606" s="14"/>
      <c r="CB2606" s="14"/>
      <c r="CC2606" s="14"/>
      <c r="CD2606" s="14"/>
      <c r="CE2606" s="14"/>
      <c r="CF2606" s="15"/>
      <c r="CG2606" s="14"/>
      <c r="CH2606" s="14"/>
      <c r="CI2606" s="50"/>
      <c r="CJ2606" s="54"/>
      <c r="CK2606" s="14"/>
      <c r="CL2606" s="14"/>
      <c r="CM2606" s="14"/>
      <c r="CN2606" s="14"/>
      <c r="CO2606" s="14"/>
      <c r="CP2606" s="14"/>
      <c r="CQ2606" s="14"/>
      <c r="CR2606" s="14"/>
      <c r="CS2606" s="14"/>
      <c r="CT2606" s="14"/>
      <c r="CU2606" s="16"/>
      <c r="CV2606" s="14"/>
      <c r="CW2606" s="50"/>
      <c r="CX2606" s="17"/>
    </row>
    <row r="2607" spans="4:102" x14ac:dyDescent="0.25">
      <c r="D2607" s="11"/>
      <c r="E2607" s="11"/>
      <c r="F2607" s="11"/>
      <c r="G2607" s="11"/>
      <c r="H2607" s="11"/>
      <c r="I2607" s="11"/>
      <c r="J2607" s="11"/>
      <c r="K2607" s="11"/>
      <c r="L2607" s="11"/>
      <c r="M2607" s="11"/>
      <c r="N2607" s="11"/>
      <c r="O2607" s="11"/>
      <c r="P2607" s="43"/>
      <c r="Q2607" s="11"/>
      <c r="R2607" s="11"/>
      <c r="S2607" s="11"/>
      <c r="T2607" s="11"/>
      <c r="U2607" s="11"/>
      <c r="V2607" s="11"/>
      <c r="W2607" s="11"/>
      <c r="X2607" s="12"/>
      <c r="Y2607" s="12"/>
      <c r="Z2607" s="12"/>
      <c r="AA2607" s="44"/>
      <c r="AB2607" s="45"/>
      <c r="AC2607" s="12"/>
      <c r="AD2607" s="12"/>
      <c r="AE2607" s="12"/>
      <c r="AF2607" s="12"/>
      <c r="AG2607" s="44"/>
      <c r="AH2607" s="45"/>
      <c r="AI2607" s="12"/>
      <c r="AJ2607" s="12"/>
      <c r="AK2607" s="12"/>
      <c r="AL2607" s="12"/>
      <c r="AM2607" s="44"/>
      <c r="AN2607" s="45"/>
      <c r="AO2607" s="12"/>
      <c r="AP2607" s="12"/>
      <c r="AQ2607" s="12"/>
      <c r="AR2607" s="12"/>
      <c r="AS2607" s="44"/>
      <c r="AT2607" s="45"/>
      <c r="AU2607" s="12"/>
      <c r="AV2607" s="12"/>
      <c r="AW2607" s="12"/>
      <c r="AX2607" s="12"/>
      <c r="AY2607" s="44"/>
      <c r="AZ2607" s="45"/>
      <c r="BA2607" s="12"/>
      <c r="BB2607" s="12"/>
      <c r="BC2607" s="12"/>
      <c r="BD2607" s="12"/>
      <c r="BE2607" s="44"/>
      <c r="BF2607" s="45"/>
      <c r="BG2607" s="12"/>
      <c r="BH2607" s="12"/>
      <c r="BI2607" s="12"/>
      <c r="BJ2607" s="12"/>
      <c r="BK2607" s="44"/>
      <c r="BL2607" s="45"/>
      <c r="BM2607" s="12"/>
      <c r="BN2607" s="12"/>
      <c r="BO2607" s="12"/>
      <c r="BP2607" s="12"/>
      <c r="BQ2607" s="48"/>
      <c r="BR2607" s="49"/>
      <c r="BS2607" s="13"/>
      <c r="BT2607" s="12"/>
      <c r="BV2607" s="14"/>
      <c r="BW2607" s="50"/>
      <c r="BX2607" s="54"/>
      <c r="BY2607" s="14"/>
      <c r="BZ2607" s="14"/>
      <c r="CA2607" s="14"/>
      <c r="CB2607" s="14"/>
      <c r="CC2607" s="14"/>
      <c r="CD2607" s="14"/>
      <c r="CE2607" s="14"/>
      <c r="CF2607" s="15"/>
      <c r="CG2607" s="14"/>
      <c r="CH2607" s="14"/>
      <c r="CI2607" s="50"/>
      <c r="CJ2607" s="54"/>
      <c r="CK2607" s="14"/>
      <c r="CL2607" s="14"/>
      <c r="CM2607" s="14"/>
      <c r="CN2607" s="14"/>
      <c r="CO2607" s="14"/>
      <c r="CP2607" s="14"/>
      <c r="CQ2607" s="14"/>
      <c r="CR2607" s="14"/>
      <c r="CS2607" s="14"/>
      <c r="CT2607" s="14"/>
      <c r="CU2607" s="16"/>
      <c r="CV2607" s="14"/>
      <c r="CW2607" s="50"/>
      <c r="CX2607" s="17"/>
    </row>
    <row r="2608" spans="4:102" x14ac:dyDescent="0.25">
      <c r="D2608" s="11"/>
      <c r="E2608" s="11"/>
      <c r="F2608" s="11"/>
      <c r="G2608" s="11"/>
      <c r="H2608" s="11"/>
      <c r="I2608" s="11"/>
      <c r="J2608" s="11"/>
      <c r="K2608" s="11"/>
      <c r="L2608" s="11"/>
      <c r="M2608" s="11"/>
      <c r="N2608" s="11"/>
      <c r="O2608" s="11"/>
      <c r="P2608" s="43"/>
      <c r="Q2608" s="11"/>
      <c r="R2608" s="11"/>
      <c r="S2608" s="11"/>
      <c r="T2608" s="11"/>
      <c r="U2608" s="11"/>
      <c r="V2608" s="11"/>
      <c r="W2608" s="11"/>
      <c r="X2608" s="12"/>
      <c r="Y2608" s="12"/>
      <c r="Z2608" s="12"/>
      <c r="AA2608" s="44"/>
      <c r="AB2608" s="45"/>
      <c r="AC2608" s="12"/>
      <c r="AD2608" s="12"/>
      <c r="AE2608" s="12"/>
      <c r="AF2608" s="12"/>
      <c r="AG2608" s="44"/>
      <c r="AH2608" s="45"/>
      <c r="AI2608" s="12"/>
      <c r="AJ2608" s="12"/>
      <c r="AK2608" s="12"/>
      <c r="AL2608" s="12"/>
      <c r="AM2608" s="44"/>
      <c r="AN2608" s="45"/>
      <c r="AO2608" s="12"/>
      <c r="AP2608" s="12"/>
      <c r="AQ2608" s="12"/>
      <c r="AR2608" s="12"/>
      <c r="AS2608" s="44"/>
      <c r="AT2608" s="45"/>
      <c r="AU2608" s="12"/>
      <c r="AV2608" s="12"/>
      <c r="AW2608" s="12"/>
      <c r="AX2608" s="12"/>
      <c r="AY2608" s="44"/>
      <c r="AZ2608" s="45"/>
      <c r="BA2608" s="12"/>
      <c r="BB2608" s="12"/>
      <c r="BC2608" s="12"/>
      <c r="BD2608" s="12"/>
      <c r="BE2608" s="44"/>
      <c r="BF2608" s="45"/>
      <c r="BG2608" s="12"/>
      <c r="BH2608" s="12"/>
      <c r="BI2608" s="12"/>
      <c r="BJ2608" s="12"/>
      <c r="BK2608" s="44"/>
      <c r="BL2608" s="45"/>
      <c r="BM2608" s="12"/>
      <c r="BN2608" s="12"/>
      <c r="BO2608" s="12"/>
      <c r="BP2608" s="12"/>
      <c r="BQ2608" s="48"/>
      <c r="BR2608" s="49"/>
      <c r="BS2608" s="13"/>
      <c r="BT2608" s="12"/>
      <c r="BV2608" s="14"/>
      <c r="BW2608" s="50"/>
      <c r="BX2608" s="54"/>
      <c r="BY2608" s="14"/>
      <c r="BZ2608" s="14"/>
      <c r="CA2608" s="14"/>
      <c r="CB2608" s="14"/>
      <c r="CC2608" s="14"/>
      <c r="CD2608" s="14"/>
      <c r="CE2608" s="14"/>
      <c r="CF2608" s="15"/>
      <c r="CG2608" s="14"/>
      <c r="CH2608" s="14"/>
      <c r="CI2608" s="50"/>
      <c r="CJ2608" s="54"/>
      <c r="CK2608" s="14"/>
      <c r="CL2608" s="14"/>
      <c r="CM2608" s="14"/>
      <c r="CN2608" s="14"/>
      <c r="CO2608" s="14"/>
      <c r="CP2608" s="14"/>
      <c r="CQ2608" s="14"/>
      <c r="CR2608" s="14"/>
      <c r="CS2608" s="14"/>
      <c r="CT2608" s="14"/>
      <c r="CU2608" s="16"/>
      <c r="CV2608" s="14"/>
      <c r="CW2608" s="50"/>
      <c r="CX2608" s="17"/>
    </row>
    <row r="2609" spans="4:102" x14ac:dyDescent="0.25">
      <c r="D2609" s="11"/>
      <c r="E2609" s="11"/>
      <c r="F2609" s="11"/>
      <c r="G2609" s="11"/>
      <c r="H2609" s="11"/>
      <c r="I2609" s="11"/>
      <c r="J2609" s="11"/>
      <c r="K2609" s="11"/>
      <c r="L2609" s="11"/>
      <c r="M2609" s="11"/>
      <c r="N2609" s="11"/>
      <c r="O2609" s="11"/>
      <c r="P2609" s="43"/>
      <c r="Q2609" s="11"/>
      <c r="R2609" s="11"/>
      <c r="S2609" s="11"/>
      <c r="T2609" s="11"/>
      <c r="U2609" s="11"/>
      <c r="V2609" s="11"/>
      <c r="W2609" s="11"/>
      <c r="X2609" s="12"/>
      <c r="Y2609" s="12"/>
      <c r="Z2609" s="12"/>
      <c r="AA2609" s="44"/>
      <c r="AB2609" s="45"/>
      <c r="AC2609" s="12"/>
      <c r="AD2609" s="12"/>
      <c r="AE2609" s="12"/>
      <c r="AF2609" s="12"/>
      <c r="AG2609" s="44"/>
      <c r="AH2609" s="45"/>
      <c r="AI2609" s="12"/>
      <c r="AJ2609" s="12"/>
      <c r="AK2609" s="12"/>
      <c r="AL2609" s="12"/>
      <c r="AM2609" s="44"/>
      <c r="AN2609" s="45"/>
      <c r="AO2609" s="12"/>
      <c r="AP2609" s="12"/>
      <c r="AQ2609" s="12"/>
      <c r="AR2609" s="12"/>
      <c r="AS2609" s="44"/>
      <c r="AT2609" s="45"/>
      <c r="AU2609" s="12"/>
      <c r="AV2609" s="12"/>
      <c r="AW2609" s="12"/>
      <c r="AX2609" s="12"/>
      <c r="AY2609" s="44"/>
      <c r="AZ2609" s="45"/>
      <c r="BA2609" s="12"/>
      <c r="BB2609" s="12"/>
      <c r="BC2609" s="12"/>
      <c r="BD2609" s="12"/>
      <c r="BE2609" s="44"/>
      <c r="BF2609" s="45"/>
      <c r="BG2609" s="12"/>
      <c r="BH2609" s="12"/>
      <c r="BI2609" s="12"/>
      <c r="BJ2609" s="12"/>
      <c r="BK2609" s="44"/>
      <c r="BL2609" s="45"/>
      <c r="BM2609" s="12"/>
      <c r="BN2609" s="12"/>
      <c r="BO2609" s="12"/>
      <c r="BP2609" s="12"/>
      <c r="BQ2609" s="48"/>
      <c r="BR2609" s="49"/>
      <c r="BS2609" s="13"/>
      <c r="BT2609" s="12"/>
      <c r="BV2609" s="14"/>
      <c r="BW2609" s="50"/>
      <c r="BX2609" s="54"/>
      <c r="BY2609" s="14"/>
      <c r="BZ2609" s="14"/>
      <c r="CA2609" s="14"/>
      <c r="CB2609" s="14"/>
      <c r="CC2609" s="14"/>
      <c r="CD2609" s="14"/>
      <c r="CE2609" s="14"/>
      <c r="CF2609" s="15"/>
      <c r="CG2609" s="14"/>
      <c r="CH2609" s="14"/>
      <c r="CI2609" s="50"/>
      <c r="CJ2609" s="54"/>
      <c r="CK2609" s="14"/>
      <c r="CL2609" s="14"/>
      <c r="CM2609" s="14"/>
      <c r="CN2609" s="14"/>
      <c r="CO2609" s="14"/>
      <c r="CP2609" s="14"/>
      <c r="CQ2609" s="14"/>
      <c r="CR2609" s="14"/>
      <c r="CS2609" s="14"/>
      <c r="CT2609" s="14"/>
      <c r="CU2609" s="16"/>
      <c r="CV2609" s="14"/>
      <c r="CW2609" s="50"/>
      <c r="CX2609" s="17"/>
    </row>
    <row r="2610" spans="4:102" x14ac:dyDescent="0.25">
      <c r="D2610" s="11"/>
      <c r="E2610" s="11"/>
      <c r="F2610" s="11"/>
      <c r="G2610" s="11"/>
      <c r="H2610" s="11"/>
      <c r="I2610" s="11"/>
      <c r="J2610" s="11"/>
      <c r="K2610" s="11"/>
      <c r="L2610" s="11"/>
      <c r="M2610" s="11"/>
      <c r="N2610" s="11"/>
      <c r="O2610" s="11"/>
      <c r="P2610" s="43"/>
      <c r="Q2610" s="11"/>
      <c r="R2610" s="11"/>
      <c r="S2610" s="11"/>
      <c r="T2610" s="11"/>
      <c r="U2610" s="11"/>
      <c r="V2610" s="11"/>
      <c r="W2610" s="11"/>
      <c r="X2610" s="12"/>
      <c r="Y2610" s="12"/>
      <c r="Z2610" s="12"/>
      <c r="AA2610" s="44"/>
      <c r="AB2610" s="45"/>
      <c r="AC2610" s="12"/>
      <c r="AD2610" s="12"/>
      <c r="AE2610" s="12"/>
      <c r="AF2610" s="12"/>
      <c r="AG2610" s="44"/>
      <c r="AH2610" s="45"/>
      <c r="AI2610" s="12"/>
      <c r="AJ2610" s="12"/>
      <c r="AK2610" s="12"/>
      <c r="AL2610" s="12"/>
      <c r="AM2610" s="44"/>
      <c r="AN2610" s="45"/>
      <c r="AO2610" s="12"/>
      <c r="AP2610" s="12"/>
      <c r="AQ2610" s="12"/>
      <c r="AR2610" s="12"/>
      <c r="AS2610" s="44"/>
      <c r="AT2610" s="45"/>
      <c r="AU2610" s="12"/>
      <c r="AV2610" s="12"/>
      <c r="AW2610" s="12"/>
      <c r="AX2610" s="12"/>
      <c r="AY2610" s="44"/>
      <c r="AZ2610" s="45"/>
      <c r="BA2610" s="12"/>
      <c r="BB2610" s="12"/>
      <c r="BC2610" s="12"/>
      <c r="BD2610" s="12"/>
      <c r="BE2610" s="44"/>
      <c r="BF2610" s="45"/>
      <c r="BG2610" s="12"/>
      <c r="BH2610" s="12"/>
      <c r="BI2610" s="12"/>
      <c r="BJ2610" s="12"/>
      <c r="BK2610" s="44"/>
      <c r="BL2610" s="45"/>
      <c r="BM2610" s="12"/>
      <c r="BN2610" s="12"/>
      <c r="BO2610" s="12"/>
      <c r="BP2610" s="12"/>
      <c r="BQ2610" s="48"/>
      <c r="BR2610" s="49"/>
      <c r="BS2610" s="13"/>
      <c r="BT2610" s="12"/>
      <c r="BV2610" s="14"/>
      <c r="BW2610" s="50"/>
      <c r="BX2610" s="54"/>
      <c r="BY2610" s="14"/>
      <c r="BZ2610" s="14"/>
      <c r="CA2610" s="14"/>
      <c r="CB2610" s="14"/>
      <c r="CC2610" s="14"/>
      <c r="CD2610" s="14"/>
      <c r="CE2610" s="14"/>
      <c r="CF2610" s="15"/>
      <c r="CG2610" s="14"/>
      <c r="CH2610" s="14"/>
      <c r="CI2610" s="50"/>
      <c r="CJ2610" s="54"/>
      <c r="CK2610" s="14"/>
      <c r="CL2610" s="14"/>
      <c r="CM2610" s="14"/>
      <c r="CN2610" s="14"/>
      <c r="CO2610" s="14"/>
      <c r="CP2610" s="14"/>
      <c r="CQ2610" s="14"/>
      <c r="CR2610" s="14"/>
      <c r="CS2610" s="14"/>
      <c r="CT2610" s="14"/>
      <c r="CU2610" s="16"/>
      <c r="CV2610" s="14"/>
      <c r="CW2610" s="50"/>
      <c r="CX2610" s="17"/>
    </row>
    <row r="2611" spans="4:102" x14ac:dyDescent="0.25">
      <c r="D2611" s="11"/>
      <c r="E2611" s="11"/>
      <c r="F2611" s="11"/>
      <c r="G2611" s="11"/>
      <c r="H2611" s="11"/>
      <c r="I2611" s="11"/>
      <c r="J2611" s="11"/>
      <c r="K2611" s="11"/>
      <c r="L2611" s="11"/>
      <c r="M2611" s="11"/>
      <c r="N2611" s="11"/>
      <c r="O2611" s="11"/>
      <c r="P2611" s="43"/>
      <c r="Q2611" s="11"/>
      <c r="R2611" s="11"/>
      <c r="S2611" s="11"/>
      <c r="T2611" s="11"/>
      <c r="U2611" s="11"/>
      <c r="V2611" s="11"/>
      <c r="W2611" s="11"/>
      <c r="X2611" s="12"/>
      <c r="Y2611" s="12"/>
      <c r="Z2611" s="12"/>
      <c r="AA2611" s="44"/>
      <c r="AB2611" s="45"/>
      <c r="AC2611" s="12"/>
      <c r="AD2611" s="12"/>
      <c r="AE2611" s="12"/>
      <c r="AF2611" s="12"/>
      <c r="AG2611" s="44"/>
      <c r="AH2611" s="45"/>
      <c r="AI2611" s="12"/>
      <c r="AJ2611" s="12"/>
      <c r="AK2611" s="12"/>
      <c r="AL2611" s="12"/>
      <c r="AM2611" s="44"/>
      <c r="AN2611" s="45"/>
      <c r="AO2611" s="12"/>
      <c r="AP2611" s="12"/>
      <c r="AQ2611" s="12"/>
      <c r="AR2611" s="12"/>
      <c r="AS2611" s="44"/>
      <c r="AT2611" s="45"/>
      <c r="AU2611" s="12"/>
      <c r="AV2611" s="12"/>
      <c r="AW2611" s="12"/>
      <c r="AX2611" s="12"/>
      <c r="AY2611" s="44"/>
      <c r="AZ2611" s="45"/>
      <c r="BA2611" s="12"/>
      <c r="BB2611" s="12"/>
      <c r="BC2611" s="12"/>
      <c r="BD2611" s="12"/>
      <c r="BE2611" s="44"/>
      <c r="BF2611" s="45"/>
      <c r="BG2611" s="12"/>
      <c r="BH2611" s="12"/>
      <c r="BI2611" s="12"/>
      <c r="BJ2611" s="12"/>
      <c r="BK2611" s="44"/>
      <c r="BL2611" s="45"/>
      <c r="BM2611" s="12"/>
      <c r="BN2611" s="12"/>
      <c r="BO2611" s="12"/>
      <c r="BP2611" s="12"/>
      <c r="BQ2611" s="48"/>
      <c r="BR2611" s="49"/>
      <c r="BS2611" s="13"/>
      <c r="BT2611" s="12"/>
      <c r="BV2611" s="14"/>
      <c r="BW2611" s="50"/>
      <c r="BX2611" s="54"/>
      <c r="BY2611" s="14"/>
      <c r="BZ2611" s="14"/>
      <c r="CA2611" s="14"/>
      <c r="CB2611" s="14"/>
      <c r="CC2611" s="14"/>
      <c r="CD2611" s="14"/>
      <c r="CE2611" s="14"/>
      <c r="CF2611" s="15"/>
      <c r="CG2611" s="14"/>
      <c r="CH2611" s="14"/>
      <c r="CI2611" s="50"/>
      <c r="CJ2611" s="54"/>
      <c r="CK2611" s="14"/>
      <c r="CL2611" s="14"/>
      <c r="CM2611" s="14"/>
      <c r="CN2611" s="14"/>
      <c r="CO2611" s="14"/>
      <c r="CP2611" s="14"/>
      <c r="CQ2611" s="14"/>
      <c r="CR2611" s="14"/>
      <c r="CS2611" s="14"/>
      <c r="CT2611" s="14"/>
      <c r="CU2611" s="16"/>
      <c r="CV2611" s="14"/>
      <c r="CW2611" s="50"/>
      <c r="CX2611" s="17"/>
    </row>
    <row r="2612" spans="4:102" x14ac:dyDescent="0.25">
      <c r="D2612" s="11"/>
      <c r="E2612" s="11"/>
      <c r="F2612" s="11"/>
      <c r="G2612" s="11"/>
      <c r="H2612" s="11"/>
      <c r="I2612" s="11"/>
      <c r="J2612" s="11"/>
      <c r="K2612" s="11"/>
      <c r="L2612" s="11"/>
      <c r="M2612" s="11"/>
      <c r="N2612" s="11"/>
      <c r="O2612" s="11"/>
      <c r="P2612" s="43"/>
      <c r="Q2612" s="11"/>
      <c r="R2612" s="11"/>
      <c r="S2612" s="11"/>
      <c r="T2612" s="11"/>
      <c r="U2612" s="11"/>
      <c r="V2612" s="11"/>
      <c r="W2612" s="11"/>
      <c r="X2612" s="12"/>
      <c r="Y2612" s="12"/>
      <c r="Z2612" s="12"/>
      <c r="AA2612" s="44"/>
      <c r="AB2612" s="45"/>
      <c r="AC2612" s="12"/>
      <c r="AD2612" s="12"/>
      <c r="AE2612" s="12"/>
      <c r="AF2612" s="12"/>
      <c r="AG2612" s="44"/>
      <c r="AH2612" s="45"/>
      <c r="AI2612" s="12"/>
      <c r="AJ2612" s="12"/>
      <c r="AK2612" s="12"/>
      <c r="AL2612" s="12"/>
      <c r="AM2612" s="44"/>
      <c r="AN2612" s="45"/>
      <c r="AO2612" s="12"/>
      <c r="AP2612" s="12"/>
      <c r="AQ2612" s="12"/>
      <c r="AR2612" s="12"/>
      <c r="AS2612" s="44"/>
      <c r="AT2612" s="45"/>
      <c r="AU2612" s="12"/>
      <c r="AV2612" s="12"/>
      <c r="AW2612" s="12"/>
      <c r="AX2612" s="12"/>
      <c r="AY2612" s="44"/>
      <c r="AZ2612" s="45"/>
      <c r="BA2612" s="12"/>
      <c r="BB2612" s="12"/>
      <c r="BC2612" s="12"/>
      <c r="BD2612" s="12"/>
      <c r="BE2612" s="44"/>
      <c r="BF2612" s="45"/>
      <c r="BG2612" s="12"/>
      <c r="BH2612" s="12"/>
      <c r="BI2612" s="12"/>
      <c r="BJ2612" s="12"/>
      <c r="BK2612" s="44"/>
      <c r="BL2612" s="45"/>
      <c r="BM2612" s="12"/>
      <c r="BN2612" s="12"/>
      <c r="BO2612" s="12"/>
      <c r="BP2612" s="12"/>
      <c r="BQ2612" s="48"/>
      <c r="BR2612" s="49"/>
      <c r="BS2612" s="13"/>
      <c r="BT2612" s="12"/>
      <c r="BV2612" s="14"/>
      <c r="BW2612" s="50"/>
      <c r="BX2612" s="54"/>
      <c r="BY2612" s="14"/>
      <c r="BZ2612" s="14"/>
      <c r="CA2612" s="14"/>
      <c r="CB2612" s="14"/>
      <c r="CC2612" s="14"/>
      <c r="CD2612" s="14"/>
      <c r="CE2612" s="14"/>
      <c r="CF2612" s="15"/>
      <c r="CG2612" s="14"/>
      <c r="CH2612" s="14"/>
      <c r="CI2612" s="50"/>
      <c r="CJ2612" s="54"/>
      <c r="CK2612" s="14"/>
      <c r="CL2612" s="14"/>
      <c r="CM2612" s="14"/>
      <c r="CN2612" s="14"/>
      <c r="CO2612" s="14"/>
      <c r="CP2612" s="14"/>
      <c r="CQ2612" s="14"/>
      <c r="CR2612" s="14"/>
      <c r="CS2612" s="14"/>
      <c r="CT2612" s="14"/>
      <c r="CU2612" s="16"/>
      <c r="CV2612" s="14"/>
      <c r="CW2612" s="50"/>
      <c r="CX2612" s="17"/>
    </row>
    <row r="2613" spans="4:102" x14ac:dyDescent="0.25">
      <c r="D2613" s="11"/>
      <c r="E2613" s="11"/>
      <c r="F2613" s="11"/>
      <c r="G2613" s="11"/>
      <c r="H2613" s="11"/>
      <c r="I2613" s="11"/>
      <c r="J2613" s="11"/>
      <c r="K2613" s="11"/>
      <c r="L2613" s="11"/>
      <c r="M2613" s="11"/>
      <c r="N2613" s="11"/>
      <c r="O2613" s="11"/>
      <c r="P2613" s="43"/>
      <c r="Q2613" s="11"/>
      <c r="R2613" s="11"/>
      <c r="S2613" s="11"/>
      <c r="T2613" s="11"/>
      <c r="U2613" s="11"/>
      <c r="V2613" s="11"/>
      <c r="W2613" s="11"/>
      <c r="X2613" s="12"/>
      <c r="Y2613" s="12"/>
      <c r="Z2613" s="12"/>
      <c r="AA2613" s="44"/>
      <c r="AB2613" s="45"/>
      <c r="AC2613" s="12"/>
      <c r="AD2613" s="12"/>
      <c r="AE2613" s="12"/>
      <c r="AF2613" s="12"/>
      <c r="AG2613" s="44"/>
      <c r="AH2613" s="45"/>
      <c r="AI2613" s="12"/>
      <c r="AJ2613" s="12"/>
      <c r="AK2613" s="12"/>
      <c r="AL2613" s="12"/>
      <c r="AM2613" s="44"/>
      <c r="AN2613" s="45"/>
      <c r="AO2613" s="12"/>
      <c r="AP2613" s="12"/>
      <c r="AQ2613" s="12"/>
      <c r="AR2613" s="12"/>
      <c r="AS2613" s="44"/>
      <c r="AT2613" s="45"/>
      <c r="AU2613" s="12"/>
      <c r="AV2613" s="12"/>
      <c r="AW2613" s="12"/>
      <c r="AX2613" s="12"/>
      <c r="AY2613" s="44"/>
      <c r="AZ2613" s="45"/>
      <c r="BA2613" s="12"/>
      <c r="BB2613" s="12"/>
      <c r="BC2613" s="12"/>
      <c r="BD2613" s="12"/>
      <c r="BE2613" s="44"/>
      <c r="BF2613" s="45"/>
      <c r="BG2613" s="12"/>
      <c r="BH2613" s="12"/>
      <c r="BI2613" s="12"/>
      <c r="BJ2613" s="12"/>
      <c r="BK2613" s="44"/>
      <c r="BL2613" s="45"/>
      <c r="BM2613" s="12"/>
      <c r="BN2613" s="12"/>
      <c r="BO2613" s="12"/>
      <c r="BP2613" s="12"/>
      <c r="BQ2613" s="48"/>
      <c r="BR2613" s="49"/>
      <c r="BS2613" s="13"/>
      <c r="BT2613" s="12"/>
      <c r="BV2613" s="14"/>
      <c r="BW2613" s="50"/>
      <c r="BX2613" s="54"/>
      <c r="BY2613" s="14"/>
      <c r="BZ2613" s="14"/>
      <c r="CA2613" s="14"/>
      <c r="CB2613" s="14"/>
      <c r="CC2613" s="14"/>
      <c r="CD2613" s="14"/>
      <c r="CE2613" s="14"/>
      <c r="CF2613" s="15"/>
      <c r="CG2613" s="14"/>
      <c r="CH2613" s="14"/>
      <c r="CI2613" s="50"/>
      <c r="CJ2613" s="54"/>
      <c r="CK2613" s="14"/>
      <c r="CL2613" s="14"/>
      <c r="CM2613" s="14"/>
      <c r="CN2613" s="14"/>
      <c r="CO2613" s="14"/>
      <c r="CP2613" s="14"/>
      <c r="CQ2613" s="14"/>
      <c r="CR2613" s="14"/>
      <c r="CS2613" s="14"/>
      <c r="CT2613" s="14"/>
      <c r="CU2613" s="16"/>
      <c r="CV2613" s="14"/>
      <c r="CW2613" s="50"/>
      <c r="CX2613" s="17"/>
    </row>
    <row r="2614" spans="4:102" x14ac:dyDescent="0.25">
      <c r="D2614" s="11"/>
      <c r="E2614" s="11"/>
      <c r="F2614" s="11"/>
      <c r="G2614" s="11"/>
      <c r="H2614" s="11"/>
      <c r="I2614" s="11"/>
      <c r="J2614" s="11"/>
      <c r="K2614" s="11"/>
      <c r="L2614" s="11"/>
      <c r="M2614" s="11"/>
      <c r="N2614" s="11"/>
      <c r="O2614" s="11"/>
      <c r="P2614" s="43"/>
      <c r="Q2614" s="11"/>
      <c r="R2614" s="11"/>
      <c r="S2614" s="11"/>
      <c r="T2614" s="11"/>
      <c r="U2614" s="11"/>
      <c r="V2614" s="11"/>
      <c r="W2614" s="11"/>
      <c r="X2614" s="12"/>
      <c r="Y2614" s="12"/>
      <c r="Z2614" s="12"/>
      <c r="AA2614" s="44"/>
      <c r="AB2614" s="45"/>
      <c r="AC2614" s="12"/>
      <c r="AD2614" s="12"/>
      <c r="AE2614" s="12"/>
      <c r="AF2614" s="12"/>
      <c r="AG2614" s="44"/>
      <c r="AH2614" s="45"/>
      <c r="AI2614" s="12"/>
      <c r="AJ2614" s="12"/>
      <c r="AK2614" s="12"/>
      <c r="AL2614" s="12"/>
      <c r="AM2614" s="44"/>
      <c r="AN2614" s="45"/>
      <c r="AO2614" s="12"/>
      <c r="AP2614" s="12"/>
      <c r="AQ2614" s="12"/>
      <c r="AR2614" s="12"/>
      <c r="AS2614" s="44"/>
      <c r="AT2614" s="45"/>
      <c r="AU2614" s="12"/>
      <c r="AV2614" s="12"/>
      <c r="AW2614" s="12"/>
      <c r="AX2614" s="12"/>
      <c r="AY2614" s="44"/>
      <c r="AZ2614" s="45"/>
      <c r="BA2614" s="12"/>
      <c r="BB2614" s="12"/>
      <c r="BC2614" s="12"/>
      <c r="BD2614" s="12"/>
      <c r="BE2614" s="44"/>
      <c r="BF2614" s="45"/>
      <c r="BG2614" s="12"/>
      <c r="BH2614" s="12"/>
      <c r="BI2614" s="12"/>
      <c r="BJ2614" s="12"/>
      <c r="BK2614" s="44"/>
      <c r="BL2614" s="45"/>
      <c r="BM2614" s="12"/>
      <c r="BN2614" s="12"/>
      <c r="BO2614" s="12"/>
      <c r="BP2614" s="12"/>
      <c r="BQ2614" s="48"/>
      <c r="BR2614" s="49"/>
      <c r="BS2614" s="13"/>
      <c r="BT2614" s="12"/>
      <c r="BV2614" s="14"/>
      <c r="BW2614" s="50"/>
      <c r="BX2614" s="54"/>
      <c r="BY2614" s="14"/>
      <c r="BZ2614" s="14"/>
      <c r="CA2614" s="14"/>
      <c r="CB2614" s="14"/>
      <c r="CC2614" s="14"/>
      <c r="CD2614" s="14"/>
      <c r="CE2614" s="14"/>
      <c r="CF2614" s="15"/>
      <c r="CG2614" s="14"/>
      <c r="CH2614" s="14"/>
      <c r="CI2614" s="50"/>
      <c r="CJ2614" s="54"/>
      <c r="CK2614" s="14"/>
      <c r="CL2614" s="14"/>
      <c r="CM2614" s="14"/>
      <c r="CN2614" s="14"/>
      <c r="CO2614" s="14"/>
      <c r="CP2614" s="14"/>
      <c r="CQ2614" s="14"/>
      <c r="CR2614" s="14"/>
      <c r="CS2614" s="14"/>
      <c r="CT2614" s="14"/>
      <c r="CU2614" s="16"/>
      <c r="CV2614" s="14"/>
      <c r="CW2614" s="50"/>
      <c r="CX2614" s="17"/>
    </row>
    <row r="2615" spans="4:102" x14ac:dyDescent="0.25">
      <c r="D2615" s="11"/>
      <c r="E2615" s="11"/>
      <c r="F2615" s="11"/>
      <c r="G2615" s="11"/>
      <c r="H2615" s="11"/>
      <c r="I2615" s="11"/>
      <c r="J2615" s="11"/>
      <c r="K2615" s="11"/>
      <c r="L2615" s="11"/>
      <c r="M2615" s="11"/>
      <c r="N2615" s="11"/>
      <c r="O2615" s="11"/>
      <c r="P2615" s="43"/>
      <c r="Q2615" s="11"/>
      <c r="R2615" s="11"/>
      <c r="S2615" s="11"/>
      <c r="T2615" s="11"/>
      <c r="U2615" s="11"/>
      <c r="V2615" s="11"/>
      <c r="W2615" s="11"/>
      <c r="X2615" s="12"/>
      <c r="Y2615" s="12"/>
      <c r="Z2615" s="12"/>
      <c r="AA2615" s="44"/>
      <c r="AB2615" s="45"/>
      <c r="AC2615" s="12"/>
      <c r="AD2615" s="12"/>
      <c r="AE2615" s="12"/>
      <c r="AF2615" s="12"/>
      <c r="AG2615" s="44"/>
      <c r="AH2615" s="45"/>
      <c r="AI2615" s="12"/>
      <c r="AJ2615" s="12"/>
      <c r="AK2615" s="12"/>
      <c r="AL2615" s="12"/>
      <c r="AM2615" s="44"/>
      <c r="AN2615" s="45"/>
      <c r="AO2615" s="12"/>
      <c r="AP2615" s="12"/>
      <c r="AQ2615" s="12"/>
      <c r="AR2615" s="12"/>
      <c r="AS2615" s="44"/>
      <c r="AT2615" s="45"/>
      <c r="AU2615" s="12"/>
      <c r="AV2615" s="12"/>
      <c r="AW2615" s="12"/>
      <c r="AX2615" s="12"/>
      <c r="AY2615" s="44"/>
      <c r="AZ2615" s="45"/>
      <c r="BA2615" s="12"/>
      <c r="BB2615" s="12"/>
      <c r="BC2615" s="12"/>
      <c r="BD2615" s="12"/>
      <c r="BE2615" s="44"/>
      <c r="BF2615" s="45"/>
      <c r="BG2615" s="12"/>
      <c r="BH2615" s="12"/>
      <c r="BI2615" s="12"/>
      <c r="BJ2615" s="12"/>
      <c r="BK2615" s="44"/>
      <c r="BL2615" s="45"/>
      <c r="BM2615" s="12"/>
      <c r="BN2615" s="12"/>
      <c r="BO2615" s="12"/>
      <c r="BP2615" s="12"/>
      <c r="BQ2615" s="48"/>
      <c r="BR2615" s="49"/>
      <c r="BS2615" s="13"/>
      <c r="BT2615" s="12"/>
      <c r="BV2615" s="14"/>
      <c r="BW2615" s="50"/>
      <c r="BX2615" s="54"/>
      <c r="BY2615" s="14"/>
      <c r="BZ2615" s="14"/>
      <c r="CA2615" s="14"/>
      <c r="CB2615" s="14"/>
      <c r="CC2615" s="14"/>
      <c r="CD2615" s="14"/>
      <c r="CE2615" s="14"/>
      <c r="CF2615" s="15"/>
      <c r="CG2615" s="14"/>
      <c r="CH2615" s="14"/>
      <c r="CI2615" s="50"/>
      <c r="CJ2615" s="54"/>
      <c r="CK2615" s="14"/>
      <c r="CL2615" s="14"/>
      <c r="CM2615" s="14"/>
      <c r="CN2615" s="14"/>
      <c r="CO2615" s="14"/>
      <c r="CP2615" s="14"/>
      <c r="CQ2615" s="14"/>
      <c r="CR2615" s="14"/>
      <c r="CS2615" s="14"/>
      <c r="CT2615" s="14"/>
      <c r="CU2615" s="16"/>
      <c r="CV2615" s="14"/>
      <c r="CW2615" s="50"/>
      <c r="CX2615" s="17"/>
    </row>
    <row r="2616" spans="4:102" x14ac:dyDescent="0.25">
      <c r="D2616" s="11"/>
      <c r="E2616" s="11"/>
      <c r="F2616" s="11"/>
      <c r="G2616" s="11"/>
      <c r="H2616" s="11"/>
      <c r="I2616" s="11"/>
      <c r="J2616" s="11"/>
      <c r="K2616" s="11"/>
      <c r="L2616" s="11"/>
      <c r="M2616" s="11"/>
      <c r="N2616" s="11"/>
      <c r="O2616" s="11"/>
      <c r="P2616" s="43"/>
      <c r="Q2616" s="11"/>
      <c r="R2616" s="11"/>
      <c r="S2616" s="11"/>
      <c r="T2616" s="11"/>
      <c r="U2616" s="11"/>
      <c r="V2616" s="11"/>
      <c r="W2616" s="11"/>
      <c r="X2616" s="12"/>
      <c r="Y2616" s="12"/>
      <c r="Z2616" s="12"/>
      <c r="AA2616" s="44"/>
      <c r="AB2616" s="45"/>
      <c r="AC2616" s="12"/>
      <c r="AD2616" s="12"/>
      <c r="AE2616" s="12"/>
      <c r="AF2616" s="12"/>
      <c r="AG2616" s="44"/>
      <c r="AH2616" s="45"/>
      <c r="AI2616" s="12"/>
      <c r="AJ2616" s="12"/>
      <c r="AK2616" s="12"/>
      <c r="AL2616" s="12"/>
      <c r="AM2616" s="44"/>
      <c r="AN2616" s="45"/>
      <c r="AO2616" s="12"/>
      <c r="AP2616" s="12"/>
      <c r="AQ2616" s="12"/>
      <c r="AR2616" s="12"/>
      <c r="AS2616" s="44"/>
      <c r="AT2616" s="45"/>
      <c r="AU2616" s="12"/>
      <c r="AV2616" s="12"/>
      <c r="AW2616" s="12"/>
      <c r="AX2616" s="12"/>
      <c r="AY2616" s="44"/>
      <c r="AZ2616" s="45"/>
      <c r="BA2616" s="12"/>
      <c r="BB2616" s="12"/>
      <c r="BC2616" s="12"/>
      <c r="BD2616" s="12"/>
      <c r="BE2616" s="44"/>
      <c r="BF2616" s="45"/>
      <c r="BG2616" s="12"/>
      <c r="BH2616" s="12"/>
      <c r="BI2616" s="12"/>
      <c r="BJ2616" s="12"/>
      <c r="BK2616" s="44"/>
      <c r="BL2616" s="45"/>
      <c r="BM2616" s="12"/>
      <c r="BN2616" s="12"/>
      <c r="BO2616" s="12"/>
      <c r="BP2616" s="12"/>
      <c r="BQ2616" s="48"/>
      <c r="BR2616" s="49"/>
      <c r="BS2616" s="13"/>
      <c r="BT2616" s="12"/>
      <c r="BV2616" s="14"/>
      <c r="BW2616" s="50"/>
      <c r="BX2616" s="54"/>
      <c r="BY2616" s="14"/>
      <c r="BZ2616" s="14"/>
      <c r="CA2616" s="14"/>
      <c r="CB2616" s="14"/>
      <c r="CC2616" s="14"/>
      <c r="CD2616" s="14"/>
      <c r="CE2616" s="14"/>
      <c r="CF2616" s="15"/>
      <c r="CG2616" s="14"/>
      <c r="CH2616" s="14"/>
      <c r="CI2616" s="50"/>
      <c r="CJ2616" s="54"/>
      <c r="CK2616" s="14"/>
      <c r="CL2616" s="14"/>
      <c r="CM2616" s="14"/>
      <c r="CN2616" s="14"/>
      <c r="CO2616" s="14"/>
      <c r="CP2616" s="14"/>
      <c r="CQ2616" s="14"/>
      <c r="CR2616" s="14"/>
      <c r="CS2616" s="14"/>
      <c r="CT2616" s="14"/>
      <c r="CU2616" s="16"/>
      <c r="CV2616" s="14"/>
      <c r="CW2616" s="50"/>
      <c r="CX2616" s="17"/>
    </row>
    <row r="2617" spans="4:102" x14ac:dyDescent="0.25">
      <c r="D2617" s="11"/>
      <c r="E2617" s="11"/>
      <c r="F2617" s="11"/>
      <c r="G2617" s="11"/>
      <c r="H2617" s="11"/>
      <c r="I2617" s="11"/>
      <c r="J2617" s="11"/>
      <c r="K2617" s="11"/>
      <c r="L2617" s="11"/>
      <c r="M2617" s="11"/>
      <c r="N2617" s="11"/>
      <c r="O2617" s="11"/>
      <c r="P2617" s="43"/>
      <c r="Q2617" s="11"/>
      <c r="R2617" s="11"/>
      <c r="S2617" s="11"/>
      <c r="T2617" s="11"/>
      <c r="U2617" s="11"/>
      <c r="V2617" s="11"/>
      <c r="W2617" s="11"/>
      <c r="X2617" s="12"/>
      <c r="Y2617" s="12"/>
      <c r="Z2617" s="12"/>
      <c r="AA2617" s="44"/>
      <c r="AB2617" s="45"/>
      <c r="AC2617" s="12"/>
      <c r="AD2617" s="12"/>
      <c r="AE2617" s="12"/>
      <c r="AF2617" s="12"/>
      <c r="AG2617" s="44"/>
      <c r="AH2617" s="45"/>
      <c r="AI2617" s="12"/>
      <c r="AJ2617" s="12"/>
      <c r="AK2617" s="12"/>
      <c r="AL2617" s="12"/>
      <c r="AM2617" s="44"/>
      <c r="AN2617" s="45"/>
      <c r="AO2617" s="12"/>
      <c r="AP2617" s="12"/>
      <c r="AQ2617" s="12"/>
      <c r="AR2617" s="12"/>
      <c r="AS2617" s="44"/>
      <c r="AT2617" s="45"/>
      <c r="AU2617" s="12"/>
      <c r="AV2617" s="12"/>
      <c r="AW2617" s="12"/>
      <c r="AX2617" s="12"/>
      <c r="AY2617" s="44"/>
      <c r="AZ2617" s="45"/>
      <c r="BA2617" s="12"/>
      <c r="BB2617" s="12"/>
      <c r="BC2617" s="12"/>
      <c r="BD2617" s="12"/>
      <c r="BE2617" s="44"/>
      <c r="BF2617" s="45"/>
      <c r="BG2617" s="12"/>
      <c r="BH2617" s="12"/>
      <c r="BI2617" s="12"/>
      <c r="BJ2617" s="12"/>
      <c r="BK2617" s="44"/>
      <c r="BL2617" s="45"/>
      <c r="BM2617" s="12"/>
      <c r="BN2617" s="12"/>
      <c r="BO2617" s="12"/>
      <c r="BP2617" s="12"/>
      <c r="BQ2617" s="48"/>
      <c r="BR2617" s="49"/>
      <c r="BS2617" s="13"/>
      <c r="BT2617" s="12"/>
      <c r="BV2617" s="14"/>
      <c r="BW2617" s="50"/>
      <c r="BX2617" s="54"/>
      <c r="BY2617" s="14"/>
      <c r="BZ2617" s="14"/>
      <c r="CA2617" s="14"/>
      <c r="CB2617" s="14"/>
      <c r="CC2617" s="14"/>
      <c r="CD2617" s="14"/>
      <c r="CE2617" s="14"/>
      <c r="CF2617" s="15"/>
      <c r="CG2617" s="14"/>
      <c r="CH2617" s="14"/>
      <c r="CI2617" s="50"/>
      <c r="CJ2617" s="54"/>
      <c r="CK2617" s="14"/>
      <c r="CL2617" s="14"/>
      <c r="CM2617" s="14"/>
      <c r="CN2617" s="14"/>
      <c r="CO2617" s="14"/>
      <c r="CP2617" s="14"/>
      <c r="CQ2617" s="14"/>
      <c r="CR2617" s="14"/>
      <c r="CS2617" s="14"/>
      <c r="CT2617" s="14"/>
      <c r="CU2617" s="16"/>
      <c r="CV2617" s="14"/>
      <c r="CW2617" s="50"/>
      <c r="CX2617" s="17"/>
    </row>
    <row r="2618" spans="4:102" x14ac:dyDescent="0.25">
      <c r="D2618" s="11"/>
      <c r="E2618" s="11"/>
      <c r="F2618" s="11"/>
      <c r="G2618" s="11"/>
      <c r="H2618" s="11"/>
      <c r="I2618" s="11"/>
      <c r="J2618" s="11"/>
      <c r="K2618" s="11"/>
      <c r="L2618" s="11"/>
      <c r="M2618" s="11"/>
      <c r="N2618" s="11"/>
      <c r="O2618" s="11"/>
      <c r="P2618" s="43"/>
      <c r="Q2618" s="11"/>
      <c r="R2618" s="11"/>
      <c r="S2618" s="11"/>
      <c r="T2618" s="11"/>
      <c r="U2618" s="11"/>
      <c r="V2618" s="11"/>
      <c r="W2618" s="11"/>
      <c r="X2618" s="12"/>
      <c r="Y2618" s="12"/>
      <c r="Z2618" s="12"/>
      <c r="AA2618" s="44"/>
      <c r="AB2618" s="45"/>
      <c r="AC2618" s="12"/>
      <c r="AD2618" s="12"/>
      <c r="AE2618" s="12"/>
      <c r="AF2618" s="12"/>
      <c r="AG2618" s="44"/>
      <c r="AH2618" s="45"/>
      <c r="AI2618" s="12"/>
      <c r="AJ2618" s="12"/>
      <c r="AK2618" s="12"/>
      <c r="AL2618" s="12"/>
      <c r="AM2618" s="44"/>
      <c r="AN2618" s="45"/>
      <c r="AO2618" s="12"/>
      <c r="AP2618" s="12"/>
      <c r="AQ2618" s="12"/>
      <c r="AR2618" s="12"/>
      <c r="AS2618" s="44"/>
      <c r="AT2618" s="45"/>
      <c r="AU2618" s="12"/>
      <c r="AV2618" s="12"/>
      <c r="AW2618" s="12"/>
      <c r="AX2618" s="12"/>
      <c r="AY2618" s="44"/>
      <c r="AZ2618" s="45"/>
      <c r="BA2618" s="12"/>
      <c r="BB2618" s="12"/>
      <c r="BC2618" s="12"/>
      <c r="BD2618" s="12"/>
      <c r="BE2618" s="44"/>
      <c r="BF2618" s="45"/>
      <c r="BG2618" s="12"/>
      <c r="BH2618" s="12"/>
      <c r="BI2618" s="12"/>
      <c r="BJ2618" s="12"/>
      <c r="BK2618" s="44"/>
      <c r="BL2618" s="45"/>
      <c r="BM2618" s="12"/>
      <c r="BN2618" s="12"/>
      <c r="BO2618" s="12"/>
      <c r="BP2618" s="12"/>
      <c r="BQ2618" s="48"/>
      <c r="BR2618" s="49"/>
      <c r="BS2618" s="13"/>
      <c r="BT2618" s="12"/>
      <c r="BV2618" s="14"/>
      <c r="BW2618" s="50"/>
      <c r="BX2618" s="54"/>
      <c r="BY2618" s="14"/>
      <c r="BZ2618" s="14"/>
      <c r="CA2618" s="14"/>
      <c r="CB2618" s="14"/>
      <c r="CC2618" s="14"/>
      <c r="CD2618" s="14"/>
      <c r="CE2618" s="14"/>
      <c r="CF2618" s="15"/>
      <c r="CG2618" s="14"/>
      <c r="CH2618" s="14"/>
      <c r="CI2618" s="50"/>
      <c r="CJ2618" s="54"/>
      <c r="CK2618" s="14"/>
      <c r="CL2618" s="14"/>
      <c r="CM2618" s="14"/>
      <c r="CN2618" s="14"/>
      <c r="CO2618" s="14"/>
      <c r="CP2618" s="14"/>
      <c r="CQ2618" s="14"/>
      <c r="CR2618" s="14"/>
      <c r="CS2618" s="14"/>
      <c r="CT2618" s="14"/>
      <c r="CU2618" s="16"/>
      <c r="CV2618" s="14"/>
      <c r="CW2618" s="50"/>
      <c r="CX2618" s="17"/>
    </row>
    <row r="2619" spans="4:102" x14ac:dyDescent="0.25">
      <c r="D2619" s="11"/>
      <c r="E2619" s="11"/>
      <c r="F2619" s="11"/>
      <c r="G2619" s="11"/>
      <c r="H2619" s="11"/>
      <c r="I2619" s="11"/>
      <c r="J2619" s="11"/>
      <c r="K2619" s="11"/>
      <c r="L2619" s="11"/>
      <c r="M2619" s="11"/>
      <c r="N2619" s="11"/>
      <c r="O2619" s="11"/>
      <c r="P2619" s="43"/>
      <c r="Q2619" s="11"/>
      <c r="R2619" s="11"/>
      <c r="S2619" s="11"/>
      <c r="T2619" s="11"/>
      <c r="U2619" s="11"/>
      <c r="V2619" s="11"/>
      <c r="W2619" s="11"/>
      <c r="X2619" s="12"/>
      <c r="Y2619" s="12"/>
      <c r="Z2619" s="12"/>
      <c r="AA2619" s="44"/>
      <c r="AB2619" s="45"/>
      <c r="AC2619" s="12"/>
      <c r="AD2619" s="12"/>
      <c r="AE2619" s="12"/>
      <c r="AF2619" s="12"/>
      <c r="AG2619" s="44"/>
      <c r="AH2619" s="45"/>
      <c r="AI2619" s="12"/>
      <c r="AJ2619" s="12"/>
      <c r="AK2619" s="12"/>
      <c r="AL2619" s="12"/>
      <c r="AM2619" s="44"/>
      <c r="AN2619" s="45"/>
      <c r="AO2619" s="12"/>
      <c r="AP2619" s="12"/>
      <c r="AQ2619" s="12"/>
      <c r="AR2619" s="12"/>
      <c r="AS2619" s="44"/>
      <c r="AT2619" s="45"/>
      <c r="AU2619" s="12"/>
      <c r="AV2619" s="12"/>
      <c r="AW2619" s="12"/>
      <c r="AX2619" s="12"/>
      <c r="AY2619" s="44"/>
      <c r="AZ2619" s="45"/>
      <c r="BA2619" s="12"/>
      <c r="BB2619" s="12"/>
      <c r="BC2619" s="12"/>
      <c r="BD2619" s="12"/>
      <c r="BE2619" s="44"/>
      <c r="BF2619" s="45"/>
      <c r="BG2619" s="12"/>
      <c r="BH2619" s="12"/>
      <c r="BI2619" s="12"/>
      <c r="BJ2619" s="12"/>
      <c r="BK2619" s="44"/>
      <c r="BL2619" s="45"/>
      <c r="BM2619" s="12"/>
      <c r="BN2619" s="12"/>
      <c r="BO2619" s="12"/>
      <c r="BP2619" s="12"/>
      <c r="BQ2619" s="48"/>
      <c r="BR2619" s="49"/>
      <c r="BS2619" s="13"/>
      <c r="BT2619" s="12"/>
      <c r="BV2619" s="14"/>
      <c r="BW2619" s="50"/>
      <c r="BX2619" s="54"/>
      <c r="BY2619" s="14"/>
      <c r="BZ2619" s="14"/>
      <c r="CA2619" s="14"/>
      <c r="CB2619" s="14"/>
      <c r="CC2619" s="14"/>
      <c r="CD2619" s="14"/>
      <c r="CE2619" s="14"/>
      <c r="CF2619" s="15"/>
      <c r="CG2619" s="14"/>
      <c r="CH2619" s="14"/>
      <c r="CI2619" s="50"/>
      <c r="CJ2619" s="54"/>
      <c r="CK2619" s="14"/>
      <c r="CL2619" s="14"/>
      <c r="CM2619" s="14"/>
      <c r="CN2619" s="14"/>
      <c r="CO2619" s="14"/>
      <c r="CP2619" s="14"/>
      <c r="CQ2619" s="14"/>
      <c r="CR2619" s="14"/>
      <c r="CS2619" s="14"/>
      <c r="CT2619" s="14"/>
      <c r="CU2619" s="16"/>
      <c r="CV2619" s="14"/>
      <c r="CW2619" s="50"/>
      <c r="CX2619" s="17"/>
    </row>
    <row r="2620" spans="4:102" x14ac:dyDescent="0.25">
      <c r="D2620" s="11"/>
      <c r="E2620" s="11"/>
      <c r="F2620" s="11"/>
      <c r="G2620" s="11"/>
      <c r="H2620" s="11"/>
      <c r="I2620" s="11"/>
      <c r="J2620" s="11"/>
      <c r="K2620" s="11"/>
      <c r="L2620" s="11"/>
      <c r="M2620" s="11"/>
      <c r="N2620" s="11"/>
      <c r="O2620" s="11"/>
      <c r="P2620" s="43"/>
      <c r="Q2620" s="11"/>
      <c r="R2620" s="11"/>
      <c r="S2620" s="11"/>
      <c r="T2620" s="11"/>
      <c r="U2620" s="11"/>
      <c r="V2620" s="11"/>
      <c r="W2620" s="11"/>
      <c r="X2620" s="12"/>
      <c r="Y2620" s="12"/>
      <c r="Z2620" s="12"/>
      <c r="AA2620" s="44"/>
      <c r="AB2620" s="45"/>
      <c r="AC2620" s="12"/>
      <c r="AD2620" s="12"/>
      <c r="AE2620" s="12"/>
      <c r="AF2620" s="12"/>
      <c r="AG2620" s="44"/>
      <c r="AH2620" s="45"/>
      <c r="AI2620" s="12"/>
      <c r="AJ2620" s="12"/>
      <c r="AK2620" s="12"/>
      <c r="AL2620" s="12"/>
      <c r="AM2620" s="44"/>
      <c r="AN2620" s="45"/>
      <c r="AO2620" s="12"/>
      <c r="AP2620" s="12"/>
      <c r="AQ2620" s="12"/>
      <c r="AR2620" s="12"/>
      <c r="AS2620" s="44"/>
      <c r="AT2620" s="45"/>
      <c r="AU2620" s="12"/>
      <c r="AV2620" s="12"/>
      <c r="AW2620" s="12"/>
      <c r="AX2620" s="12"/>
      <c r="AY2620" s="44"/>
      <c r="AZ2620" s="45"/>
      <c r="BA2620" s="12"/>
      <c r="BB2620" s="12"/>
      <c r="BC2620" s="12"/>
      <c r="BD2620" s="12"/>
      <c r="BE2620" s="44"/>
      <c r="BF2620" s="45"/>
      <c r="BG2620" s="12"/>
      <c r="BH2620" s="12"/>
      <c r="BI2620" s="12"/>
      <c r="BJ2620" s="12"/>
      <c r="BK2620" s="44"/>
      <c r="BL2620" s="45"/>
      <c r="BM2620" s="12"/>
      <c r="BN2620" s="12"/>
      <c r="BO2620" s="12"/>
      <c r="BP2620" s="12"/>
      <c r="BQ2620" s="48"/>
      <c r="BR2620" s="49"/>
      <c r="BS2620" s="13"/>
      <c r="BT2620" s="12"/>
      <c r="BV2620" s="14"/>
      <c r="BW2620" s="50"/>
      <c r="BX2620" s="54"/>
      <c r="BY2620" s="14"/>
      <c r="BZ2620" s="14"/>
      <c r="CA2620" s="14"/>
      <c r="CB2620" s="14"/>
      <c r="CC2620" s="14"/>
      <c r="CD2620" s="14"/>
      <c r="CE2620" s="14"/>
      <c r="CF2620" s="15"/>
      <c r="CG2620" s="14"/>
      <c r="CH2620" s="14"/>
      <c r="CI2620" s="50"/>
      <c r="CJ2620" s="54"/>
      <c r="CK2620" s="14"/>
      <c r="CL2620" s="14"/>
      <c r="CM2620" s="14"/>
      <c r="CN2620" s="14"/>
      <c r="CO2620" s="14"/>
      <c r="CP2620" s="14"/>
      <c r="CQ2620" s="14"/>
      <c r="CR2620" s="14"/>
      <c r="CS2620" s="14"/>
      <c r="CT2620" s="14"/>
      <c r="CU2620" s="16"/>
      <c r="CV2620" s="14"/>
      <c r="CW2620" s="50"/>
      <c r="CX2620" s="17"/>
    </row>
    <row r="2621" spans="4:102" x14ac:dyDescent="0.25">
      <c r="D2621" s="11"/>
      <c r="E2621" s="11"/>
      <c r="F2621" s="11"/>
      <c r="G2621" s="11"/>
      <c r="H2621" s="11"/>
      <c r="I2621" s="11"/>
      <c r="J2621" s="11"/>
      <c r="K2621" s="11"/>
      <c r="L2621" s="11"/>
      <c r="M2621" s="11"/>
      <c r="N2621" s="11"/>
      <c r="O2621" s="11"/>
      <c r="P2621" s="43"/>
      <c r="Q2621" s="11"/>
      <c r="R2621" s="11"/>
      <c r="S2621" s="11"/>
      <c r="T2621" s="11"/>
      <c r="U2621" s="11"/>
      <c r="V2621" s="11"/>
      <c r="W2621" s="11"/>
      <c r="X2621" s="12"/>
      <c r="Y2621" s="12"/>
      <c r="Z2621" s="12"/>
      <c r="AA2621" s="44"/>
      <c r="AB2621" s="45"/>
      <c r="AC2621" s="12"/>
      <c r="AD2621" s="12"/>
      <c r="AE2621" s="12"/>
      <c r="AF2621" s="12"/>
      <c r="AG2621" s="44"/>
      <c r="AH2621" s="45"/>
      <c r="AI2621" s="12"/>
      <c r="AJ2621" s="12"/>
      <c r="AK2621" s="12"/>
      <c r="AL2621" s="12"/>
      <c r="AM2621" s="44"/>
      <c r="AN2621" s="45"/>
      <c r="AO2621" s="12"/>
      <c r="AP2621" s="12"/>
      <c r="AQ2621" s="12"/>
      <c r="AR2621" s="12"/>
      <c r="AS2621" s="44"/>
      <c r="AT2621" s="45"/>
      <c r="AU2621" s="12"/>
      <c r="AV2621" s="12"/>
      <c r="AW2621" s="12"/>
      <c r="AX2621" s="12"/>
      <c r="AY2621" s="44"/>
      <c r="AZ2621" s="45"/>
      <c r="BA2621" s="12"/>
      <c r="BB2621" s="12"/>
      <c r="BC2621" s="12"/>
      <c r="BD2621" s="12"/>
      <c r="BE2621" s="44"/>
      <c r="BF2621" s="45"/>
      <c r="BG2621" s="12"/>
      <c r="BH2621" s="12"/>
      <c r="BI2621" s="12"/>
      <c r="BJ2621" s="12"/>
      <c r="BK2621" s="44"/>
      <c r="BL2621" s="45"/>
      <c r="BM2621" s="12"/>
      <c r="BN2621" s="12"/>
      <c r="BO2621" s="12"/>
      <c r="BP2621" s="12"/>
      <c r="BQ2621" s="48"/>
      <c r="BR2621" s="49"/>
      <c r="BS2621" s="13"/>
      <c r="BT2621" s="12"/>
      <c r="BV2621" s="14"/>
      <c r="BW2621" s="50"/>
      <c r="BX2621" s="54"/>
      <c r="BY2621" s="14"/>
      <c r="BZ2621" s="14"/>
      <c r="CA2621" s="14"/>
      <c r="CB2621" s="14"/>
      <c r="CC2621" s="14"/>
      <c r="CD2621" s="14"/>
      <c r="CE2621" s="14"/>
      <c r="CF2621" s="15"/>
      <c r="CG2621" s="14"/>
      <c r="CH2621" s="14"/>
      <c r="CI2621" s="50"/>
      <c r="CJ2621" s="54"/>
      <c r="CK2621" s="14"/>
      <c r="CL2621" s="14"/>
      <c r="CM2621" s="14"/>
      <c r="CN2621" s="14"/>
      <c r="CO2621" s="14"/>
      <c r="CP2621" s="14"/>
      <c r="CQ2621" s="14"/>
      <c r="CR2621" s="14"/>
      <c r="CS2621" s="14"/>
      <c r="CT2621" s="14"/>
      <c r="CU2621" s="16"/>
      <c r="CV2621" s="14"/>
      <c r="CW2621" s="50"/>
      <c r="CX2621" s="17"/>
    </row>
    <row r="2622" spans="4:102" x14ac:dyDescent="0.25">
      <c r="D2622" s="11"/>
      <c r="E2622" s="11"/>
      <c r="F2622" s="11"/>
      <c r="G2622" s="11"/>
      <c r="H2622" s="11"/>
      <c r="I2622" s="11"/>
      <c r="J2622" s="11"/>
      <c r="K2622" s="11"/>
      <c r="L2622" s="11"/>
      <c r="M2622" s="11"/>
      <c r="N2622" s="11"/>
      <c r="O2622" s="11"/>
      <c r="P2622" s="43"/>
      <c r="Q2622" s="11"/>
      <c r="R2622" s="11"/>
      <c r="S2622" s="11"/>
      <c r="T2622" s="11"/>
      <c r="U2622" s="11"/>
      <c r="V2622" s="11"/>
      <c r="W2622" s="11"/>
      <c r="X2622" s="12"/>
      <c r="Y2622" s="12"/>
      <c r="Z2622" s="12"/>
      <c r="AA2622" s="44"/>
      <c r="AB2622" s="45"/>
      <c r="AC2622" s="12"/>
      <c r="AD2622" s="12"/>
      <c r="AE2622" s="12"/>
      <c r="AF2622" s="12"/>
      <c r="AG2622" s="44"/>
      <c r="AH2622" s="45"/>
      <c r="AI2622" s="12"/>
      <c r="AJ2622" s="12"/>
      <c r="AK2622" s="12"/>
      <c r="AL2622" s="12"/>
      <c r="AM2622" s="44"/>
      <c r="AN2622" s="45"/>
      <c r="AO2622" s="12"/>
      <c r="AP2622" s="12"/>
      <c r="AQ2622" s="12"/>
      <c r="AR2622" s="12"/>
      <c r="AS2622" s="44"/>
      <c r="AT2622" s="45"/>
      <c r="AU2622" s="12"/>
      <c r="AV2622" s="12"/>
      <c r="AW2622" s="12"/>
      <c r="AX2622" s="12"/>
      <c r="AY2622" s="44"/>
      <c r="AZ2622" s="45"/>
      <c r="BA2622" s="12"/>
      <c r="BB2622" s="12"/>
      <c r="BC2622" s="12"/>
      <c r="BD2622" s="12"/>
      <c r="BE2622" s="44"/>
      <c r="BF2622" s="45"/>
      <c r="BG2622" s="12"/>
      <c r="BH2622" s="12"/>
      <c r="BI2622" s="12"/>
      <c r="BJ2622" s="12"/>
      <c r="BK2622" s="44"/>
      <c r="BL2622" s="45"/>
      <c r="BM2622" s="12"/>
      <c r="BN2622" s="12"/>
      <c r="BO2622" s="12"/>
      <c r="BP2622" s="12"/>
      <c r="BQ2622" s="48"/>
      <c r="BR2622" s="49"/>
      <c r="BS2622" s="13"/>
      <c r="BT2622" s="12"/>
      <c r="BV2622" s="14"/>
      <c r="BW2622" s="50"/>
      <c r="BX2622" s="54"/>
      <c r="BY2622" s="14"/>
      <c r="BZ2622" s="14"/>
      <c r="CA2622" s="14"/>
      <c r="CB2622" s="14"/>
      <c r="CC2622" s="14"/>
      <c r="CD2622" s="14"/>
      <c r="CE2622" s="14"/>
      <c r="CF2622" s="15"/>
      <c r="CG2622" s="14"/>
      <c r="CH2622" s="14"/>
      <c r="CI2622" s="50"/>
      <c r="CJ2622" s="54"/>
      <c r="CK2622" s="14"/>
      <c r="CL2622" s="14"/>
      <c r="CM2622" s="14"/>
      <c r="CN2622" s="14"/>
      <c r="CO2622" s="14"/>
      <c r="CP2622" s="14"/>
      <c r="CQ2622" s="14"/>
      <c r="CR2622" s="14"/>
      <c r="CS2622" s="14"/>
      <c r="CT2622" s="14"/>
      <c r="CU2622" s="16"/>
      <c r="CV2622" s="14"/>
      <c r="CW2622" s="50"/>
      <c r="CX2622" s="17"/>
    </row>
    <row r="2623" spans="4:102" x14ac:dyDescent="0.25">
      <c r="D2623" s="11"/>
      <c r="E2623" s="11"/>
      <c r="F2623" s="11"/>
      <c r="G2623" s="11"/>
      <c r="H2623" s="11"/>
      <c r="I2623" s="11"/>
      <c r="J2623" s="11"/>
      <c r="K2623" s="11"/>
      <c r="L2623" s="11"/>
      <c r="M2623" s="11"/>
      <c r="N2623" s="11"/>
      <c r="O2623" s="11"/>
      <c r="P2623" s="43"/>
      <c r="Q2623" s="11"/>
      <c r="R2623" s="11"/>
      <c r="S2623" s="11"/>
      <c r="T2623" s="11"/>
      <c r="U2623" s="11"/>
      <c r="V2623" s="11"/>
      <c r="W2623" s="11"/>
      <c r="X2623" s="12"/>
      <c r="Y2623" s="12"/>
      <c r="Z2623" s="12"/>
      <c r="AA2623" s="44"/>
      <c r="AB2623" s="45"/>
      <c r="AC2623" s="12"/>
      <c r="AD2623" s="12"/>
      <c r="AE2623" s="12"/>
      <c r="AF2623" s="12"/>
      <c r="AG2623" s="44"/>
      <c r="AH2623" s="45"/>
      <c r="AI2623" s="12"/>
      <c r="AJ2623" s="12"/>
      <c r="AK2623" s="12"/>
      <c r="AL2623" s="12"/>
      <c r="AM2623" s="44"/>
      <c r="AN2623" s="45"/>
      <c r="AO2623" s="12"/>
      <c r="AP2623" s="12"/>
      <c r="AQ2623" s="12"/>
      <c r="AR2623" s="12"/>
      <c r="AS2623" s="44"/>
      <c r="AT2623" s="45"/>
      <c r="AU2623" s="12"/>
      <c r="AV2623" s="12"/>
      <c r="AW2623" s="12"/>
      <c r="AX2623" s="12"/>
      <c r="AY2623" s="44"/>
      <c r="AZ2623" s="45"/>
      <c r="BA2623" s="12"/>
      <c r="BB2623" s="12"/>
      <c r="BC2623" s="12"/>
      <c r="BD2623" s="12"/>
      <c r="BE2623" s="44"/>
      <c r="BF2623" s="45"/>
      <c r="BG2623" s="12"/>
      <c r="BH2623" s="12"/>
      <c r="BI2623" s="12"/>
      <c r="BJ2623" s="12"/>
      <c r="BK2623" s="44"/>
      <c r="BL2623" s="45"/>
      <c r="BM2623" s="12"/>
      <c r="BN2623" s="12"/>
      <c r="BO2623" s="12"/>
      <c r="BP2623" s="12"/>
      <c r="BQ2623" s="48"/>
      <c r="BR2623" s="49"/>
      <c r="BS2623" s="13"/>
      <c r="BT2623" s="12"/>
      <c r="BV2623" s="14"/>
      <c r="BW2623" s="50"/>
      <c r="BX2623" s="54"/>
      <c r="BY2623" s="14"/>
      <c r="BZ2623" s="14"/>
      <c r="CA2623" s="14"/>
      <c r="CB2623" s="14"/>
      <c r="CC2623" s="14"/>
      <c r="CD2623" s="14"/>
      <c r="CE2623" s="14"/>
      <c r="CF2623" s="15"/>
      <c r="CG2623" s="14"/>
      <c r="CH2623" s="14"/>
      <c r="CI2623" s="50"/>
      <c r="CJ2623" s="54"/>
      <c r="CK2623" s="14"/>
      <c r="CL2623" s="14"/>
      <c r="CM2623" s="14"/>
      <c r="CN2623" s="14"/>
      <c r="CO2623" s="14"/>
      <c r="CP2623" s="14"/>
      <c r="CQ2623" s="14"/>
      <c r="CR2623" s="14"/>
      <c r="CS2623" s="14"/>
      <c r="CT2623" s="14"/>
      <c r="CU2623" s="16"/>
      <c r="CV2623" s="14"/>
      <c r="CW2623" s="50"/>
      <c r="CX2623" s="17"/>
    </row>
    <row r="2624" spans="4:102" x14ac:dyDescent="0.25">
      <c r="D2624" s="11"/>
      <c r="E2624" s="11"/>
      <c r="F2624" s="11"/>
      <c r="G2624" s="11"/>
      <c r="H2624" s="11"/>
      <c r="I2624" s="11"/>
      <c r="J2624" s="11"/>
      <c r="K2624" s="11"/>
      <c r="L2624" s="11"/>
      <c r="M2624" s="11"/>
      <c r="N2624" s="11"/>
      <c r="O2624" s="11"/>
      <c r="P2624" s="43"/>
      <c r="Q2624" s="11"/>
      <c r="R2624" s="11"/>
      <c r="S2624" s="11"/>
      <c r="T2624" s="11"/>
      <c r="U2624" s="11"/>
      <c r="V2624" s="11"/>
      <c r="W2624" s="11"/>
      <c r="X2624" s="12"/>
      <c r="Y2624" s="12"/>
      <c r="Z2624" s="12"/>
      <c r="AA2624" s="44"/>
      <c r="AB2624" s="45"/>
      <c r="AC2624" s="12"/>
      <c r="AD2624" s="12"/>
      <c r="AE2624" s="12"/>
      <c r="AF2624" s="12"/>
      <c r="AG2624" s="44"/>
      <c r="AH2624" s="45"/>
      <c r="AI2624" s="12"/>
      <c r="AJ2624" s="12"/>
      <c r="AK2624" s="12"/>
      <c r="AL2624" s="12"/>
      <c r="AM2624" s="44"/>
      <c r="AN2624" s="45"/>
      <c r="AO2624" s="12"/>
      <c r="AP2624" s="12"/>
      <c r="AQ2624" s="12"/>
      <c r="AR2624" s="12"/>
      <c r="AS2624" s="44"/>
      <c r="AT2624" s="45"/>
      <c r="AU2624" s="12"/>
      <c r="AV2624" s="12"/>
      <c r="AW2624" s="12"/>
      <c r="AX2624" s="12"/>
      <c r="AY2624" s="44"/>
      <c r="AZ2624" s="45"/>
      <c r="BA2624" s="12"/>
      <c r="BB2624" s="12"/>
      <c r="BC2624" s="12"/>
      <c r="BD2624" s="12"/>
      <c r="BE2624" s="44"/>
      <c r="BF2624" s="45"/>
      <c r="BG2624" s="12"/>
      <c r="BH2624" s="12"/>
      <c r="BI2624" s="12"/>
      <c r="BJ2624" s="12"/>
      <c r="BK2624" s="44"/>
      <c r="BL2624" s="45"/>
      <c r="BM2624" s="12"/>
      <c r="BN2624" s="12"/>
      <c r="BO2624" s="12"/>
      <c r="BP2624" s="12"/>
      <c r="BQ2624" s="48"/>
      <c r="BR2624" s="49"/>
      <c r="BS2624" s="13"/>
      <c r="BT2624" s="12"/>
      <c r="BV2624" s="14"/>
      <c r="BW2624" s="50"/>
      <c r="BX2624" s="54"/>
      <c r="BY2624" s="14"/>
      <c r="BZ2624" s="14"/>
      <c r="CA2624" s="14"/>
      <c r="CB2624" s="14"/>
      <c r="CC2624" s="14"/>
      <c r="CD2624" s="14"/>
      <c r="CE2624" s="14"/>
      <c r="CF2624" s="15"/>
      <c r="CG2624" s="14"/>
      <c r="CH2624" s="14"/>
      <c r="CI2624" s="50"/>
      <c r="CJ2624" s="54"/>
      <c r="CK2624" s="14"/>
      <c r="CL2624" s="14"/>
      <c r="CM2624" s="14"/>
      <c r="CN2624" s="14"/>
      <c r="CO2624" s="14"/>
      <c r="CP2624" s="14"/>
      <c r="CQ2624" s="14"/>
      <c r="CR2624" s="14"/>
      <c r="CS2624" s="14"/>
      <c r="CT2624" s="14"/>
      <c r="CU2624" s="16"/>
      <c r="CV2624" s="14"/>
      <c r="CW2624" s="50"/>
      <c r="CX2624" s="17"/>
    </row>
    <row r="2625" spans="4:102" x14ac:dyDescent="0.25">
      <c r="D2625" s="11"/>
      <c r="E2625" s="11"/>
      <c r="F2625" s="11"/>
      <c r="G2625" s="11"/>
      <c r="H2625" s="11"/>
      <c r="I2625" s="11"/>
      <c r="J2625" s="11"/>
      <c r="K2625" s="11"/>
      <c r="L2625" s="11"/>
      <c r="M2625" s="11"/>
      <c r="N2625" s="11"/>
      <c r="O2625" s="11"/>
      <c r="P2625" s="43"/>
      <c r="Q2625" s="11"/>
      <c r="R2625" s="11"/>
      <c r="S2625" s="11"/>
      <c r="T2625" s="11"/>
      <c r="U2625" s="11"/>
      <c r="V2625" s="11"/>
      <c r="W2625" s="11"/>
      <c r="X2625" s="12"/>
      <c r="Y2625" s="12"/>
      <c r="Z2625" s="12"/>
      <c r="AA2625" s="44"/>
      <c r="AB2625" s="45"/>
      <c r="AC2625" s="12"/>
      <c r="AD2625" s="12"/>
      <c r="AE2625" s="12"/>
      <c r="AF2625" s="12"/>
      <c r="AG2625" s="44"/>
      <c r="AH2625" s="45"/>
      <c r="AI2625" s="12"/>
      <c r="AJ2625" s="12"/>
      <c r="AK2625" s="12"/>
      <c r="AL2625" s="12"/>
      <c r="AM2625" s="44"/>
      <c r="AN2625" s="45"/>
      <c r="AO2625" s="12"/>
      <c r="AP2625" s="12"/>
      <c r="AQ2625" s="12"/>
      <c r="AR2625" s="12"/>
      <c r="AS2625" s="44"/>
      <c r="AT2625" s="45"/>
      <c r="AU2625" s="12"/>
      <c r="AV2625" s="12"/>
      <c r="AW2625" s="12"/>
      <c r="AX2625" s="12"/>
      <c r="AY2625" s="44"/>
      <c r="AZ2625" s="45"/>
      <c r="BA2625" s="12"/>
      <c r="BB2625" s="12"/>
      <c r="BC2625" s="12"/>
      <c r="BD2625" s="12"/>
      <c r="BE2625" s="44"/>
      <c r="BF2625" s="45"/>
      <c r="BG2625" s="12"/>
      <c r="BH2625" s="12"/>
      <c r="BI2625" s="12"/>
      <c r="BJ2625" s="12"/>
      <c r="BK2625" s="44"/>
      <c r="BL2625" s="45"/>
      <c r="BM2625" s="12"/>
      <c r="BN2625" s="12"/>
      <c r="BO2625" s="12"/>
      <c r="BP2625" s="12"/>
      <c r="BQ2625" s="48"/>
      <c r="BR2625" s="49"/>
      <c r="BS2625" s="13"/>
      <c r="BT2625" s="12"/>
      <c r="BV2625" s="14"/>
      <c r="BW2625" s="50"/>
      <c r="BX2625" s="54"/>
      <c r="BY2625" s="14"/>
      <c r="BZ2625" s="14"/>
      <c r="CA2625" s="14"/>
      <c r="CB2625" s="14"/>
      <c r="CC2625" s="14"/>
      <c r="CD2625" s="14"/>
      <c r="CE2625" s="14"/>
      <c r="CF2625" s="15"/>
      <c r="CG2625" s="14"/>
      <c r="CH2625" s="14"/>
      <c r="CI2625" s="50"/>
      <c r="CJ2625" s="54"/>
      <c r="CK2625" s="14"/>
      <c r="CL2625" s="14"/>
      <c r="CM2625" s="14"/>
      <c r="CN2625" s="14"/>
      <c r="CO2625" s="14"/>
      <c r="CP2625" s="14"/>
      <c r="CQ2625" s="14"/>
      <c r="CR2625" s="14"/>
      <c r="CS2625" s="14"/>
      <c r="CT2625" s="14"/>
      <c r="CU2625" s="16"/>
      <c r="CV2625" s="14"/>
      <c r="CW2625" s="50"/>
      <c r="CX2625" s="17"/>
    </row>
    <row r="2626" spans="4:102" x14ac:dyDescent="0.25">
      <c r="D2626" s="11"/>
      <c r="E2626" s="11"/>
      <c r="F2626" s="11"/>
      <c r="G2626" s="11"/>
      <c r="H2626" s="11"/>
      <c r="I2626" s="11"/>
      <c r="J2626" s="11"/>
      <c r="K2626" s="11"/>
      <c r="L2626" s="11"/>
      <c r="M2626" s="11"/>
      <c r="N2626" s="11"/>
      <c r="O2626" s="11"/>
      <c r="P2626" s="43"/>
      <c r="Q2626" s="11"/>
      <c r="R2626" s="11"/>
      <c r="S2626" s="11"/>
      <c r="T2626" s="11"/>
      <c r="U2626" s="11"/>
      <c r="V2626" s="11"/>
      <c r="W2626" s="11"/>
      <c r="X2626" s="12"/>
      <c r="Y2626" s="12"/>
      <c r="Z2626" s="12"/>
      <c r="AA2626" s="44"/>
      <c r="AB2626" s="45"/>
      <c r="AC2626" s="12"/>
      <c r="AD2626" s="12"/>
      <c r="AE2626" s="12"/>
      <c r="AF2626" s="12"/>
      <c r="AG2626" s="44"/>
      <c r="AH2626" s="45"/>
      <c r="AI2626" s="12"/>
      <c r="AJ2626" s="12"/>
      <c r="AK2626" s="12"/>
      <c r="AL2626" s="12"/>
      <c r="AM2626" s="44"/>
      <c r="AN2626" s="45"/>
      <c r="AO2626" s="12"/>
      <c r="AP2626" s="12"/>
      <c r="AQ2626" s="12"/>
      <c r="AR2626" s="12"/>
      <c r="AS2626" s="44"/>
      <c r="AT2626" s="45"/>
      <c r="AU2626" s="12"/>
      <c r="AV2626" s="12"/>
      <c r="AW2626" s="12"/>
      <c r="AX2626" s="12"/>
      <c r="AY2626" s="44"/>
      <c r="AZ2626" s="45"/>
      <c r="BA2626" s="12"/>
      <c r="BB2626" s="12"/>
      <c r="BC2626" s="12"/>
      <c r="BD2626" s="12"/>
      <c r="BE2626" s="44"/>
      <c r="BF2626" s="45"/>
      <c r="BG2626" s="12"/>
      <c r="BH2626" s="12"/>
      <c r="BI2626" s="12"/>
      <c r="BJ2626" s="12"/>
      <c r="BK2626" s="44"/>
      <c r="BL2626" s="45"/>
      <c r="BM2626" s="12"/>
      <c r="BN2626" s="12"/>
      <c r="BO2626" s="12"/>
      <c r="BP2626" s="12"/>
      <c r="BQ2626" s="48"/>
      <c r="BR2626" s="49"/>
      <c r="BS2626" s="13"/>
      <c r="BT2626" s="12"/>
      <c r="BV2626" s="14"/>
      <c r="BW2626" s="50"/>
      <c r="BX2626" s="54"/>
      <c r="BY2626" s="14"/>
      <c r="BZ2626" s="14"/>
      <c r="CA2626" s="14"/>
      <c r="CB2626" s="14"/>
      <c r="CC2626" s="14"/>
      <c r="CD2626" s="14"/>
      <c r="CE2626" s="14"/>
      <c r="CF2626" s="15"/>
      <c r="CG2626" s="14"/>
      <c r="CH2626" s="14"/>
      <c r="CI2626" s="50"/>
      <c r="CJ2626" s="54"/>
      <c r="CK2626" s="14"/>
      <c r="CL2626" s="14"/>
      <c r="CM2626" s="14"/>
      <c r="CN2626" s="14"/>
      <c r="CO2626" s="14"/>
      <c r="CP2626" s="14"/>
      <c r="CQ2626" s="14"/>
      <c r="CR2626" s="14"/>
      <c r="CS2626" s="14"/>
      <c r="CT2626" s="14"/>
      <c r="CU2626" s="16"/>
      <c r="CV2626" s="14"/>
      <c r="CW2626" s="50"/>
      <c r="CX2626" s="17"/>
    </row>
    <row r="2627" spans="4:102" x14ac:dyDescent="0.25">
      <c r="D2627" s="11"/>
      <c r="E2627" s="11"/>
      <c r="F2627" s="11"/>
      <c r="G2627" s="11"/>
      <c r="H2627" s="11"/>
      <c r="I2627" s="11"/>
      <c r="J2627" s="11"/>
      <c r="K2627" s="11"/>
      <c r="L2627" s="11"/>
      <c r="M2627" s="11"/>
      <c r="N2627" s="11"/>
      <c r="O2627" s="11"/>
      <c r="P2627" s="43"/>
      <c r="Q2627" s="11"/>
      <c r="R2627" s="11"/>
      <c r="S2627" s="11"/>
      <c r="T2627" s="11"/>
      <c r="U2627" s="11"/>
      <c r="V2627" s="11"/>
      <c r="W2627" s="11"/>
      <c r="X2627" s="12"/>
      <c r="Y2627" s="12"/>
      <c r="Z2627" s="12"/>
      <c r="AA2627" s="44"/>
      <c r="AB2627" s="45"/>
      <c r="AC2627" s="12"/>
      <c r="AD2627" s="12"/>
      <c r="AE2627" s="12"/>
      <c r="AF2627" s="12"/>
      <c r="AG2627" s="44"/>
      <c r="AH2627" s="45"/>
      <c r="AI2627" s="12"/>
      <c r="AJ2627" s="12"/>
      <c r="AK2627" s="12"/>
      <c r="AL2627" s="12"/>
      <c r="AM2627" s="44"/>
      <c r="AN2627" s="45"/>
      <c r="AO2627" s="12"/>
      <c r="AP2627" s="12"/>
      <c r="AQ2627" s="12"/>
      <c r="AR2627" s="12"/>
      <c r="AS2627" s="44"/>
      <c r="AT2627" s="45"/>
      <c r="AU2627" s="12"/>
      <c r="AV2627" s="12"/>
      <c r="AW2627" s="12"/>
      <c r="AX2627" s="12"/>
      <c r="AY2627" s="44"/>
      <c r="AZ2627" s="45"/>
      <c r="BA2627" s="12"/>
      <c r="BB2627" s="12"/>
      <c r="BC2627" s="12"/>
      <c r="BD2627" s="12"/>
      <c r="BE2627" s="44"/>
      <c r="BF2627" s="45"/>
      <c r="BG2627" s="12"/>
      <c r="BH2627" s="12"/>
      <c r="BI2627" s="12"/>
      <c r="BJ2627" s="12"/>
      <c r="BK2627" s="44"/>
      <c r="BL2627" s="45"/>
      <c r="BM2627" s="12"/>
      <c r="BN2627" s="12"/>
      <c r="BO2627" s="12"/>
      <c r="BP2627" s="12"/>
      <c r="BQ2627" s="48"/>
      <c r="BR2627" s="49"/>
      <c r="BS2627" s="13"/>
      <c r="BT2627" s="12"/>
      <c r="BV2627" s="14"/>
      <c r="BW2627" s="50"/>
      <c r="BX2627" s="54"/>
      <c r="BY2627" s="14"/>
      <c r="BZ2627" s="14"/>
      <c r="CA2627" s="14"/>
      <c r="CB2627" s="14"/>
      <c r="CC2627" s="14"/>
      <c r="CD2627" s="14"/>
      <c r="CE2627" s="14"/>
      <c r="CF2627" s="15"/>
      <c r="CG2627" s="14"/>
      <c r="CH2627" s="14"/>
      <c r="CI2627" s="50"/>
      <c r="CJ2627" s="54"/>
      <c r="CK2627" s="14"/>
      <c r="CL2627" s="14"/>
      <c r="CM2627" s="14"/>
      <c r="CN2627" s="14"/>
      <c r="CO2627" s="14"/>
      <c r="CP2627" s="14"/>
      <c r="CQ2627" s="14"/>
      <c r="CR2627" s="14"/>
      <c r="CS2627" s="14"/>
      <c r="CT2627" s="14"/>
      <c r="CU2627" s="16"/>
      <c r="CV2627" s="14"/>
      <c r="CW2627" s="50"/>
      <c r="CX2627" s="17"/>
    </row>
    <row r="2628" spans="4:102" x14ac:dyDescent="0.25">
      <c r="D2628" s="11"/>
      <c r="E2628" s="11"/>
      <c r="F2628" s="11"/>
      <c r="G2628" s="11"/>
      <c r="H2628" s="11"/>
      <c r="I2628" s="11"/>
      <c r="J2628" s="11"/>
      <c r="K2628" s="11"/>
      <c r="L2628" s="11"/>
      <c r="M2628" s="11"/>
      <c r="N2628" s="11"/>
      <c r="O2628" s="11"/>
      <c r="P2628" s="43"/>
      <c r="Q2628" s="11"/>
      <c r="R2628" s="11"/>
      <c r="S2628" s="11"/>
      <c r="T2628" s="11"/>
      <c r="U2628" s="11"/>
      <c r="V2628" s="11"/>
      <c r="W2628" s="11"/>
      <c r="X2628" s="12"/>
      <c r="Y2628" s="12"/>
      <c r="Z2628" s="12"/>
      <c r="AA2628" s="44"/>
      <c r="AB2628" s="45"/>
      <c r="AC2628" s="12"/>
      <c r="AD2628" s="12"/>
      <c r="AE2628" s="12"/>
      <c r="AF2628" s="12"/>
      <c r="AG2628" s="44"/>
      <c r="AH2628" s="45"/>
      <c r="AI2628" s="12"/>
      <c r="AJ2628" s="12"/>
      <c r="AK2628" s="12"/>
      <c r="AL2628" s="12"/>
      <c r="AM2628" s="44"/>
      <c r="AN2628" s="45"/>
      <c r="AO2628" s="12"/>
      <c r="AP2628" s="12"/>
      <c r="AQ2628" s="12"/>
      <c r="AR2628" s="12"/>
      <c r="AS2628" s="44"/>
      <c r="AT2628" s="45"/>
      <c r="AU2628" s="12"/>
      <c r="AV2628" s="12"/>
      <c r="AW2628" s="12"/>
      <c r="AX2628" s="12"/>
      <c r="AY2628" s="44"/>
      <c r="AZ2628" s="45"/>
      <c r="BA2628" s="12"/>
      <c r="BB2628" s="12"/>
      <c r="BC2628" s="12"/>
      <c r="BD2628" s="12"/>
      <c r="BE2628" s="44"/>
      <c r="BF2628" s="45"/>
      <c r="BG2628" s="12"/>
      <c r="BH2628" s="12"/>
      <c r="BI2628" s="12"/>
      <c r="BJ2628" s="12"/>
      <c r="BK2628" s="44"/>
      <c r="BL2628" s="45"/>
      <c r="BM2628" s="12"/>
      <c r="BN2628" s="12"/>
      <c r="BO2628" s="12"/>
      <c r="BP2628" s="12"/>
      <c r="BQ2628" s="48"/>
      <c r="BR2628" s="49"/>
      <c r="BS2628" s="13"/>
      <c r="BT2628" s="12"/>
      <c r="BV2628" s="14"/>
      <c r="BW2628" s="50"/>
      <c r="BX2628" s="54"/>
      <c r="BY2628" s="14"/>
      <c r="BZ2628" s="14"/>
      <c r="CA2628" s="14"/>
      <c r="CB2628" s="14"/>
      <c r="CC2628" s="14"/>
      <c r="CD2628" s="14"/>
      <c r="CE2628" s="14"/>
      <c r="CF2628" s="15"/>
      <c r="CG2628" s="14"/>
      <c r="CH2628" s="14"/>
      <c r="CI2628" s="50"/>
      <c r="CJ2628" s="54"/>
      <c r="CK2628" s="14"/>
      <c r="CL2628" s="14"/>
      <c r="CM2628" s="14"/>
      <c r="CN2628" s="14"/>
      <c r="CO2628" s="14"/>
      <c r="CP2628" s="14"/>
      <c r="CQ2628" s="14"/>
      <c r="CR2628" s="14"/>
      <c r="CS2628" s="14"/>
      <c r="CT2628" s="14"/>
      <c r="CU2628" s="16"/>
      <c r="CV2628" s="14"/>
      <c r="CW2628" s="50"/>
      <c r="CX2628" s="17"/>
    </row>
    <row r="2629" spans="4:102" x14ac:dyDescent="0.25">
      <c r="D2629" s="11"/>
      <c r="E2629" s="11"/>
      <c r="F2629" s="11"/>
      <c r="G2629" s="11"/>
      <c r="H2629" s="11"/>
      <c r="I2629" s="11"/>
      <c r="J2629" s="11"/>
      <c r="K2629" s="11"/>
      <c r="L2629" s="11"/>
      <c r="M2629" s="11"/>
      <c r="N2629" s="11"/>
      <c r="O2629" s="11"/>
      <c r="P2629" s="43"/>
      <c r="Q2629" s="11"/>
      <c r="R2629" s="11"/>
      <c r="S2629" s="11"/>
      <c r="T2629" s="11"/>
      <c r="U2629" s="11"/>
      <c r="V2629" s="11"/>
      <c r="W2629" s="11"/>
      <c r="X2629" s="12"/>
      <c r="Y2629" s="12"/>
      <c r="Z2629" s="12"/>
      <c r="AA2629" s="44"/>
      <c r="AB2629" s="45"/>
      <c r="AC2629" s="12"/>
      <c r="AD2629" s="12"/>
      <c r="AE2629" s="12"/>
      <c r="AF2629" s="12"/>
      <c r="AG2629" s="44"/>
      <c r="AH2629" s="45"/>
      <c r="AI2629" s="12"/>
      <c r="AJ2629" s="12"/>
      <c r="AK2629" s="12"/>
      <c r="AL2629" s="12"/>
      <c r="AM2629" s="44"/>
      <c r="AN2629" s="45"/>
      <c r="AO2629" s="12"/>
      <c r="AP2629" s="12"/>
      <c r="AQ2629" s="12"/>
      <c r="AR2629" s="12"/>
      <c r="AS2629" s="44"/>
      <c r="AT2629" s="45"/>
      <c r="AU2629" s="12"/>
      <c r="AV2629" s="12"/>
      <c r="AW2629" s="12"/>
      <c r="AX2629" s="12"/>
      <c r="AY2629" s="44"/>
      <c r="AZ2629" s="45"/>
      <c r="BA2629" s="12"/>
      <c r="BB2629" s="12"/>
      <c r="BC2629" s="12"/>
      <c r="BD2629" s="12"/>
      <c r="BE2629" s="44"/>
      <c r="BF2629" s="45"/>
      <c r="BG2629" s="12"/>
      <c r="BH2629" s="12"/>
      <c r="BI2629" s="12"/>
      <c r="BJ2629" s="12"/>
      <c r="BK2629" s="44"/>
      <c r="BL2629" s="45"/>
      <c r="BM2629" s="12"/>
      <c r="BN2629" s="12"/>
      <c r="BO2629" s="12"/>
      <c r="BP2629" s="12"/>
      <c r="BQ2629" s="48"/>
      <c r="BR2629" s="49"/>
      <c r="BS2629" s="13"/>
      <c r="BT2629" s="12"/>
      <c r="BV2629" s="14"/>
      <c r="BW2629" s="50"/>
      <c r="BX2629" s="54"/>
      <c r="BY2629" s="14"/>
      <c r="BZ2629" s="14"/>
      <c r="CA2629" s="14"/>
      <c r="CB2629" s="14"/>
      <c r="CC2629" s="14"/>
      <c r="CD2629" s="14"/>
      <c r="CE2629" s="14"/>
      <c r="CF2629" s="15"/>
      <c r="CG2629" s="14"/>
      <c r="CH2629" s="14"/>
      <c r="CI2629" s="50"/>
      <c r="CJ2629" s="54"/>
      <c r="CK2629" s="14"/>
      <c r="CL2629" s="14"/>
      <c r="CM2629" s="14"/>
      <c r="CN2629" s="14"/>
      <c r="CO2629" s="14"/>
      <c r="CP2629" s="14"/>
      <c r="CQ2629" s="14"/>
      <c r="CR2629" s="14"/>
      <c r="CS2629" s="14"/>
      <c r="CT2629" s="14"/>
      <c r="CU2629" s="16"/>
      <c r="CV2629" s="14"/>
      <c r="CW2629" s="50"/>
      <c r="CX2629" s="17"/>
    </row>
    <row r="2630" spans="4:102" x14ac:dyDescent="0.25">
      <c r="D2630" s="11"/>
      <c r="E2630" s="11"/>
      <c r="F2630" s="11"/>
      <c r="G2630" s="11"/>
      <c r="H2630" s="11"/>
      <c r="I2630" s="11"/>
      <c r="J2630" s="11"/>
      <c r="K2630" s="11"/>
      <c r="L2630" s="11"/>
      <c r="M2630" s="11"/>
      <c r="N2630" s="11"/>
      <c r="O2630" s="11"/>
      <c r="P2630" s="43"/>
      <c r="Q2630" s="11"/>
      <c r="R2630" s="11"/>
      <c r="S2630" s="11"/>
      <c r="T2630" s="11"/>
      <c r="U2630" s="11"/>
      <c r="V2630" s="11"/>
      <c r="W2630" s="11"/>
      <c r="X2630" s="12"/>
      <c r="Y2630" s="12"/>
      <c r="Z2630" s="12"/>
      <c r="AA2630" s="44"/>
      <c r="AB2630" s="45"/>
      <c r="AC2630" s="12"/>
      <c r="AD2630" s="12"/>
      <c r="AE2630" s="12"/>
      <c r="AF2630" s="12"/>
      <c r="AG2630" s="44"/>
      <c r="AH2630" s="45"/>
      <c r="AI2630" s="12"/>
      <c r="AJ2630" s="12"/>
      <c r="AK2630" s="12"/>
      <c r="AL2630" s="12"/>
      <c r="AM2630" s="44"/>
      <c r="AN2630" s="45"/>
      <c r="AO2630" s="12"/>
      <c r="AP2630" s="12"/>
      <c r="AQ2630" s="12"/>
      <c r="AR2630" s="12"/>
      <c r="AS2630" s="44"/>
      <c r="AT2630" s="45"/>
      <c r="AU2630" s="12"/>
      <c r="AV2630" s="12"/>
      <c r="AW2630" s="12"/>
      <c r="AX2630" s="12"/>
      <c r="AY2630" s="44"/>
      <c r="AZ2630" s="45"/>
      <c r="BA2630" s="12"/>
      <c r="BB2630" s="12"/>
      <c r="BC2630" s="12"/>
      <c r="BD2630" s="12"/>
      <c r="BE2630" s="44"/>
      <c r="BF2630" s="45"/>
      <c r="BG2630" s="12"/>
      <c r="BH2630" s="12"/>
      <c r="BI2630" s="12"/>
      <c r="BJ2630" s="12"/>
      <c r="BK2630" s="44"/>
      <c r="BL2630" s="45"/>
      <c r="BM2630" s="12"/>
      <c r="BN2630" s="12"/>
      <c r="BO2630" s="12"/>
      <c r="BP2630" s="12"/>
      <c r="BQ2630" s="48"/>
      <c r="BR2630" s="49"/>
      <c r="BS2630" s="13"/>
      <c r="BT2630" s="12"/>
      <c r="BV2630" s="14"/>
      <c r="BW2630" s="50"/>
      <c r="BX2630" s="54"/>
      <c r="BY2630" s="14"/>
      <c r="BZ2630" s="14"/>
      <c r="CA2630" s="14"/>
      <c r="CB2630" s="14"/>
      <c r="CC2630" s="14"/>
      <c r="CD2630" s="14"/>
      <c r="CE2630" s="14"/>
      <c r="CF2630" s="15"/>
      <c r="CG2630" s="14"/>
      <c r="CH2630" s="14"/>
      <c r="CI2630" s="50"/>
      <c r="CJ2630" s="54"/>
      <c r="CK2630" s="14"/>
      <c r="CL2630" s="14"/>
      <c r="CM2630" s="14"/>
      <c r="CN2630" s="14"/>
      <c r="CO2630" s="14"/>
      <c r="CP2630" s="14"/>
      <c r="CQ2630" s="14"/>
      <c r="CR2630" s="14"/>
      <c r="CS2630" s="14"/>
      <c r="CT2630" s="14"/>
      <c r="CU2630" s="16"/>
      <c r="CV2630" s="14"/>
      <c r="CW2630" s="50"/>
      <c r="CX2630" s="17"/>
    </row>
    <row r="2631" spans="4:102" x14ac:dyDescent="0.25">
      <c r="D2631" s="11"/>
      <c r="E2631" s="11"/>
      <c r="F2631" s="11"/>
      <c r="G2631" s="11"/>
      <c r="H2631" s="11"/>
      <c r="I2631" s="11"/>
      <c r="J2631" s="11"/>
      <c r="K2631" s="11"/>
      <c r="L2631" s="11"/>
      <c r="M2631" s="11"/>
      <c r="N2631" s="11"/>
      <c r="O2631" s="11"/>
      <c r="P2631" s="43"/>
      <c r="Q2631" s="11"/>
      <c r="R2631" s="11"/>
      <c r="S2631" s="11"/>
      <c r="T2631" s="11"/>
      <c r="U2631" s="11"/>
      <c r="V2631" s="11"/>
      <c r="W2631" s="11"/>
      <c r="X2631" s="12"/>
      <c r="Y2631" s="12"/>
      <c r="Z2631" s="12"/>
      <c r="AA2631" s="44"/>
      <c r="AB2631" s="45"/>
      <c r="AC2631" s="12"/>
      <c r="AD2631" s="12"/>
      <c r="AE2631" s="12"/>
      <c r="AF2631" s="12"/>
      <c r="AG2631" s="44"/>
      <c r="AH2631" s="45"/>
      <c r="AI2631" s="12"/>
      <c r="AJ2631" s="12"/>
      <c r="AK2631" s="12"/>
      <c r="AL2631" s="12"/>
      <c r="AM2631" s="44"/>
      <c r="AN2631" s="45"/>
      <c r="AO2631" s="12"/>
      <c r="AP2631" s="12"/>
      <c r="AQ2631" s="12"/>
      <c r="AR2631" s="12"/>
      <c r="AS2631" s="44"/>
      <c r="AT2631" s="45"/>
      <c r="AU2631" s="12"/>
      <c r="AV2631" s="12"/>
      <c r="AW2631" s="12"/>
      <c r="AX2631" s="12"/>
      <c r="AY2631" s="44"/>
      <c r="AZ2631" s="45"/>
      <c r="BA2631" s="12"/>
      <c r="BB2631" s="12"/>
      <c r="BC2631" s="12"/>
      <c r="BD2631" s="12"/>
      <c r="BE2631" s="44"/>
      <c r="BF2631" s="45"/>
      <c r="BG2631" s="12"/>
      <c r="BH2631" s="12"/>
      <c r="BI2631" s="12"/>
      <c r="BJ2631" s="12"/>
      <c r="BK2631" s="44"/>
      <c r="BL2631" s="45"/>
      <c r="BM2631" s="12"/>
      <c r="BN2631" s="12"/>
      <c r="BO2631" s="12"/>
      <c r="BP2631" s="12"/>
      <c r="BQ2631" s="48"/>
      <c r="BR2631" s="49"/>
      <c r="BS2631" s="13"/>
      <c r="BT2631" s="12"/>
      <c r="BV2631" s="14"/>
      <c r="BW2631" s="50"/>
      <c r="BX2631" s="54"/>
      <c r="BY2631" s="14"/>
      <c r="BZ2631" s="14"/>
      <c r="CA2631" s="14"/>
      <c r="CB2631" s="14"/>
      <c r="CC2631" s="14"/>
      <c r="CD2631" s="14"/>
      <c r="CE2631" s="14"/>
      <c r="CF2631" s="15"/>
      <c r="CG2631" s="14"/>
      <c r="CH2631" s="14"/>
      <c r="CI2631" s="50"/>
      <c r="CJ2631" s="54"/>
      <c r="CK2631" s="14"/>
      <c r="CL2631" s="14"/>
      <c r="CM2631" s="14"/>
      <c r="CN2631" s="14"/>
      <c r="CO2631" s="14"/>
      <c r="CP2631" s="14"/>
      <c r="CQ2631" s="14"/>
      <c r="CR2631" s="14"/>
      <c r="CS2631" s="14"/>
      <c r="CT2631" s="14"/>
      <c r="CU2631" s="16"/>
      <c r="CV2631" s="14"/>
      <c r="CW2631" s="50"/>
      <c r="CX2631" s="17"/>
    </row>
    <row r="2632" spans="4:102" x14ac:dyDescent="0.25">
      <c r="D2632" s="11"/>
      <c r="E2632" s="11"/>
      <c r="F2632" s="11"/>
      <c r="G2632" s="11"/>
      <c r="H2632" s="11"/>
      <c r="I2632" s="11"/>
      <c r="J2632" s="11"/>
      <c r="K2632" s="11"/>
      <c r="L2632" s="11"/>
      <c r="M2632" s="11"/>
      <c r="N2632" s="11"/>
      <c r="O2632" s="11"/>
      <c r="P2632" s="43"/>
      <c r="Q2632" s="11"/>
      <c r="R2632" s="11"/>
      <c r="S2632" s="11"/>
      <c r="T2632" s="11"/>
      <c r="U2632" s="11"/>
      <c r="V2632" s="11"/>
      <c r="W2632" s="11"/>
      <c r="X2632" s="12"/>
      <c r="Y2632" s="12"/>
      <c r="Z2632" s="12"/>
      <c r="AA2632" s="44"/>
      <c r="AB2632" s="45"/>
      <c r="AC2632" s="12"/>
      <c r="AD2632" s="12"/>
      <c r="AE2632" s="12"/>
      <c r="AF2632" s="12"/>
      <c r="AG2632" s="44"/>
      <c r="AH2632" s="45"/>
      <c r="AI2632" s="12"/>
      <c r="AJ2632" s="12"/>
      <c r="AK2632" s="12"/>
      <c r="AL2632" s="12"/>
      <c r="AM2632" s="44"/>
      <c r="AN2632" s="45"/>
      <c r="AO2632" s="12"/>
      <c r="AP2632" s="12"/>
      <c r="AQ2632" s="12"/>
      <c r="AR2632" s="12"/>
      <c r="AS2632" s="44"/>
      <c r="AT2632" s="45"/>
      <c r="AU2632" s="12"/>
      <c r="AV2632" s="12"/>
      <c r="AW2632" s="12"/>
      <c r="AX2632" s="12"/>
      <c r="AY2632" s="44"/>
      <c r="AZ2632" s="45"/>
      <c r="BA2632" s="12"/>
      <c r="BB2632" s="12"/>
      <c r="BC2632" s="12"/>
      <c r="BD2632" s="12"/>
      <c r="BE2632" s="44"/>
      <c r="BF2632" s="45"/>
      <c r="BG2632" s="12"/>
      <c r="BH2632" s="12"/>
      <c r="BI2632" s="12"/>
      <c r="BJ2632" s="12"/>
      <c r="BK2632" s="44"/>
      <c r="BL2632" s="45"/>
      <c r="BM2632" s="12"/>
      <c r="BN2632" s="12"/>
      <c r="BO2632" s="12"/>
      <c r="BP2632" s="12"/>
      <c r="BQ2632" s="48"/>
      <c r="BR2632" s="49"/>
      <c r="BS2632" s="13"/>
      <c r="BT2632" s="12"/>
      <c r="BV2632" s="14"/>
      <c r="BW2632" s="50"/>
      <c r="BX2632" s="54"/>
      <c r="BY2632" s="14"/>
      <c r="BZ2632" s="14"/>
      <c r="CA2632" s="14"/>
      <c r="CB2632" s="14"/>
      <c r="CC2632" s="14"/>
      <c r="CD2632" s="14"/>
      <c r="CE2632" s="14"/>
      <c r="CF2632" s="15"/>
      <c r="CG2632" s="14"/>
      <c r="CH2632" s="14"/>
      <c r="CI2632" s="50"/>
      <c r="CJ2632" s="54"/>
      <c r="CK2632" s="14"/>
      <c r="CL2632" s="14"/>
      <c r="CM2632" s="14"/>
      <c r="CN2632" s="14"/>
      <c r="CO2632" s="14"/>
      <c r="CP2632" s="14"/>
      <c r="CQ2632" s="14"/>
      <c r="CR2632" s="14"/>
      <c r="CS2632" s="14"/>
      <c r="CT2632" s="14"/>
      <c r="CU2632" s="16"/>
      <c r="CV2632" s="14"/>
      <c r="CW2632" s="50"/>
      <c r="CX2632" s="17"/>
    </row>
    <row r="2633" spans="4:102" x14ac:dyDescent="0.25">
      <c r="D2633" s="11"/>
      <c r="E2633" s="11"/>
      <c r="F2633" s="11"/>
      <c r="G2633" s="11"/>
      <c r="H2633" s="11"/>
      <c r="I2633" s="11"/>
      <c r="J2633" s="11"/>
      <c r="K2633" s="11"/>
      <c r="L2633" s="11"/>
      <c r="M2633" s="11"/>
      <c r="N2633" s="11"/>
      <c r="O2633" s="11"/>
      <c r="P2633" s="43"/>
      <c r="Q2633" s="11"/>
      <c r="R2633" s="11"/>
      <c r="S2633" s="11"/>
      <c r="T2633" s="11"/>
      <c r="U2633" s="11"/>
      <c r="V2633" s="11"/>
      <c r="W2633" s="11"/>
      <c r="X2633" s="12"/>
      <c r="Y2633" s="12"/>
      <c r="Z2633" s="12"/>
      <c r="AA2633" s="44"/>
      <c r="AB2633" s="45"/>
      <c r="AC2633" s="12"/>
      <c r="AD2633" s="12"/>
      <c r="AE2633" s="12"/>
      <c r="AF2633" s="12"/>
      <c r="AG2633" s="44"/>
      <c r="AH2633" s="45"/>
      <c r="AI2633" s="12"/>
      <c r="AJ2633" s="12"/>
      <c r="AK2633" s="12"/>
      <c r="AL2633" s="12"/>
      <c r="AM2633" s="44"/>
      <c r="AN2633" s="45"/>
      <c r="AO2633" s="12"/>
      <c r="AP2633" s="12"/>
      <c r="AQ2633" s="12"/>
      <c r="AR2633" s="12"/>
      <c r="AS2633" s="44"/>
      <c r="AT2633" s="45"/>
      <c r="AU2633" s="12"/>
      <c r="AV2633" s="12"/>
      <c r="AW2633" s="12"/>
      <c r="AX2633" s="12"/>
      <c r="AY2633" s="44"/>
      <c r="AZ2633" s="45"/>
      <c r="BA2633" s="12"/>
      <c r="BB2633" s="12"/>
      <c r="BC2633" s="12"/>
      <c r="BD2633" s="12"/>
      <c r="BE2633" s="44"/>
      <c r="BF2633" s="45"/>
      <c r="BG2633" s="12"/>
      <c r="BH2633" s="12"/>
      <c r="BI2633" s="12"/>
      <c r="BJ2633" s="12"/>
      <c r="BK2633" s="44"/>
      <c r="BL2633" s="45"/>
      <c r="BM2633" s="12"/>
      <c r="BN2633" s="12"/>
      <c r="BO2633" s="12"/>
      <c r="BP2633" s="12"/>
      <c r="BQ2633" s="48"/>
      <c r="BR2633" s="49"/>
      <c r="BS2633" s="13"/>
      <c r="BT2633" s="12"/>
      <c r="BV2633" s="14"/>
      <c r="BW2633" s="50"/>
      <c r="BX2633" s="54"/>
      <c r="BY2633" s="14"/>
      <c r="BZ2633" s="14"/>
      <c r="CA2633" s="14"/>
      <c r="CB2633" s="14"/>
      <c r="CC2633" s="14"/>
      <c r="CD2633" s="14"/>
      <c r="CE2633" s="14"/>
      <c r="CF2633" s="15"/>
      <c r="CG2633" s="14"/>
      <c r="CH2633" s="14"/>
      <c r="CI2633" s="50"/>
      <c r="CJ2633" s="54"/>
      <c r="CK2633" s="14"/>
      <c r="CL2633" s="14"/>
      <c r="CM2633" s="14"/>
      <c r="CN2633" s="14"/>
      <c r="CO2633" s="14"/>
      <c r="CP2633" s="14"/>
      <c r="CQ2633" s="14"/>
      <c r="CR2633" s="14"/>
      <c r="CS2633" s="14"/>
      <c r="CT2633" s="14"/>
      <c r="CU2633" s="16"/>
      <c r="CV2633" s="14"/>
      <c r="CW2633" s="50"/>
      <c r="CX2633" s="17"/>
    </row>
    <row r="2634" spans="4:102" x14ac:dyDescent="0.25">
      <c r="D2634" s="11"/>
      <c r="E2634" s="11"/>
      <c r="F2634" s="11"/>
      <c r="G2634" s="11"/>
      <c r="H2634" s="11"/>
      <c r="I2634" s="11"/>
      <c r="J2634" s="11"/>
      <c r="K2634" s="11"/>
      <c r="L2634" s="11"/>
      <c r="M2634" s="11"/>
      <c r="N2634" s="11"/>
      <c r="O2634" s="11"/>
      <c r="P2634" s="43"/>
      <c r="Q2634" s="11"/>
      <c r="R2634" s="11"/>
      <c r="S2634" s="11"/>
      <c r="T2634" s="11"/>
      <c r="U2634" s="11"/>
      <c r="V2634" s="11"/>
      <c r="W2634" s="11"/>
      <c r="X2634" s="12"/>
      <c r="Y2634" s="12"/>
      <c r="Z2634" s="12"/>
      <c r="AA2634" s="44"/>
      <c r="AB2634" s="45"/>
      <c r="AC2634" s="12"/>
      <c r="AD2634" s="12"/>
      <c r="AE2634" s="12"/>
      <c r="AF2634" s="12"/>
      <c r="AG2634" s="44"/>
      <c r="AH2634" s="45"/>
      <c r="AI2634" s="12"/>
      <c r="AJ2634" s="12"/>
      <c r="AK2634" s="12"/>
      <c r="AL2634" s="12"/>
      <c r="AM2634" s="44"/>
      <c r="AN2634" s="45"/>
      <c r="AO2634" s="12"/>
      <c r="AP2634" s="12"/>
      <c r="AQ2634" s="12"/>
      <c r="AR2634" s="12"/>
      <c r="AS2634" s="44"/>
      <c r="AT2634" s="45"/>
      <c r="AU2634" s="12"/>
      <c r="AV2634" s="12"/>
      <c r="AW2634" s="12"/>
      <c r="AX2634" s="12"/>
      <c r="AY2634" s="44"/>
      <c r="AZ2634" s="45"/>
      <c r="BA2634" s="12"/>
      <c r="BB2634" s="12"/>
      <c r="BC2634" s="12"/>
      <c r="BD2634" s="12"/>
      <c r="BE2634" s="44"/>
      <c r="BF2634" s="45"/>
      <c r="BG2634" s="12"/>
      <c r="BH2634" s="12"/>
      <c r="BI2634" s="12"/>
      <c r="BJ2634" s="12"/>
      <c r="BK2634" s="44"/>
      <c r="BL2634" s="45"/>
      <c r="BM2634" s="12"/>
      <c r="BN2634" s="12"/>
      <c r="BO2634" s="12"/>
      <c r="BP2634" s="12"/>
      <c r="BQ2634" s="48"/>
      <c r="BR2634" s="49"/>
      <c r="BS2634" s="13"/>
      <c r="BT2634" s="12"/>
      <c r="BV2634" s="14"/>
      <c r="BW2634" s="50"/>
      <c r="BX2634" s="54"/>
      <c r="BY2634" s="14"/>
      <c r="BZ2634" s="14"/>
      <c r="CA2634" s="14"/>
      <c r="CB2634" s="14"/>
      <c r="CC2634" s="14"/>
      <c r="CD2634" s="14"/>
      <c r="CE2634" s="14"/>
      <c r="CF2634" s="15"/>
      <c r="CG2634" s="14"/>
      <c r="CH2634" s="14"/>
      <c r="CI2634" s="50"/>
      <c r="CJ2634" s="54"/>
      <c r="CK2634" s="14"/>
      <c r="CL2634" s="14"/>
      <c r="CM2634" s="14"/>
      <c r="CN2634" s="14"/>
      <c r="CO2634" s="14"/>
      <c r="CP2634" s="14"/>
      <c r="CQ2634" s="14"/>
      <c r="CR2634" s="14"/>
      <c r="CS2634" s="14"/>
      <c r="CT2634" s="14"/>
      <c r="CU2634" s="16"/>
      <c r="CV2634" s="14"/>
      <c r="CW2634" s="50"/>
      <c r="CX2634" s="17"/>
    </row>
    <row r="2635" spans="4:102" x14ac:dyDescent="0.25">
      <c r="D2635" s="11"/>
      <c r="E2635" s="11"/>
      <c r="F2635" s="11"/>
      <c r="G2635" s="11"/>
      <c r="H2635" s="11"/>
      <c r="I2635" s="11"/>
      <c r="J2635" s="11"/>
      <c r="K2635" s="11"/>
      <c r="L2635" s="11"/>
      <c r="M2635" s="11"/>
      <c r="N2635" s="11"/>
      <c r="O2635" s="11"/>
      <c r="P2635" s="43"/>
      <c r="Q2635" s="11"/>
      <c r="R2635" s="11"/>
      <c r="S2635" s="11"/>
      <c r="T2635" s="11"/>
      <c r="U2635" s="11"/>
      <c r="V2635" s="11"/>
      <c r="W2635" s="11"/>
      <c r="X2635" s="12"/>
      <c r="Y2635" s="12"/>
      <c r="Z2635" s="12"/>
      <c r="AA2635" s="44"/>
      <c r="AB2635" s="45"/>
      <c r="AC2635" s="12"/>
      <c r="AD2635" s="12"/>
      <c r="AE2635" s="12"/>
      <c r="AF2635" s="12"/>
      <c r="AG2635" s="44"/>
      <c r="AH2635" s="45"/>
      <c r="AI2635" s="12"/>
      <c r="AJ2635" s="12"/>
      <c r="AK2635" s="12"/>
      <c r="AL2635" s="12"/>
      <c r="AM2635" s="44"/>
      <c r="AN2635" s="45"/>
      <c r="AO2635" s="12"/>
      <c r="AP2635" s="12"/>
      <c r="AQ2635" s="12"/>
      <c r="AR2635" s="12"/>
      <c r="AS2635" s="44"/>
      <c r="AT2635" s="45"/>
      <c r="AU2635" s="12"/>
      <c r="AV2635" s="12"/>
      <c r="AW2635" s="12"/>
      <c r="AX2635" s="12"/>
      <c r="AY2635" s="44"/>
      <c r="AZ2635" s="45"/>
      <c r="BA2635" s="12"/>
      <c r="BB2635" s="12"/>
      <c r="BC2635" s="12"/>
      <c r="BD2635" s="12"/>
      <c r="BE2635" s="44"/>
      <c r="BF2635" s="45"/>
      <c r="BG2635" s="12"/>
      <c r="BH2635" s="12"/>
      <c r="BI2635" s="12"/>
      <c r="BJ2635" s="12"/>
      <c r="BK2635" s="44"/>
      <c r="BL2635" s="45"/>
      <c r="BM2635" s="12"/>
      <c r="BN2635" s="12"/>
      <c r="BO2635" s="12"/>
      <c r="BP2635" s="12"/>
      <c r="BQ2635" s="48"/>
      <c r="BR2635" s="49"/>
      <c r="BS2635" s="13"/>
      <c r="BT2635" s="12"/>
      <c r="BV2635" s="14"/>
      <c r="BW2635" s="50"/>
      <c r="BX2635" s="54"/>
      <c r="BY2635" s="14"/>
      <c r="BZ2635" s="14"/>
      <c r="CA2635" s="14"/>
      <c r="CB2635" s="14"/>
      <c r="CC2635" s="14"/>
      <c r="CD2635" s="14"/>
      <c r="CE2635" s="14"/>
      <c r="CF2635" s="15"/>
      <c r="CG2635" s="14"/>
      <c r="CH2635" s="14"/>
      <c r="CI2635" s="50"/>
      <c r="CJ2635" s="54"/>
      <c r="CK2635" s="14"/>
      <c r="CL2635" s="14"/>
      <c r="CM2635" s="14"/>
      <c r="CN2635" s="14"/>
      <c r="CO2635" s="14"/>
      <c r="CP2635" s="14"/>
      <c r="CQ2635" s="14"/>
      <c r="CR2635" s="14"/>
      <c r="CS2635" s="14"/>
      <c r="CT2635" s="14"/>
      <c r="CU2635" s="16"/>
      <c r="CV2635" s="14"/>
      <c r="CW2635" s="50"/>
      <c r="CX2635" s="17"/>
    </row>
    <row r="2636" spans="4:102" x14ac:dyDescent="0.25">
      <c r="D2636" s="11"/>
      <c r="E2636" s="11"/>
      <c r="F2636" s="11"/>
      <c r="G2636" s="11"/>
      <c r="H2636" s="11"/>
      <c r="I2636" s="11"/>
      <c r="J2636" s="11"/>
      <c r="K2636" s="11"/>
      <c r="L2636" s="11"/>
      <c r="M2636" s="11"/>
      <c r="N2636" s="11"/>
      <c r="O2636" s="11"/>
      <c r="P2636" s="43"/>
      <c r="Q2636" s="11"/>
      <c r="R2636" s="11"/>
      <c r="S2636" s="11"/>
      <c r="T2636" s="11"/>
      <c r="U2636" s="11"/>
      <c r="V2636" s="11"/>
      <c r="W2636" s="11"/>
      <c r="X2636" s="12"/>
      <c r="Y2636" s="12"/>
      <c r="Z2636" s="12"/>
      <c r="AA2636" s="44"/>
      <c r="AB2636" s="45"/>
      <c r="AC2636" s="12"/>
      <c r="AD2636" s="12"/>
      <c r="AE2636" s="12"/>
      <c r="AF2636" s="12"/>
      <c r="AG2636" s="44"/>
      <c r="AH2636" s="45"/>
      <c r="AI2636" s="12"/>
      <c r="AJ2636" s="12"/>
      <c r="AK2636" s="12"/>
      <c r="AL2636" s="12"/>
      <c r="AM2636" s="44"/>
      <c r="AN2636" s="45"/>
      <c r="AO2636" s="12"/>
      <c r="AP2636" s="12"/>
      <c r="AQ2636" s="12"/>
      <c r="AR2636" s="12"/>
      <c r="AS2636" s="44"/>
      <c r="AT2636" s="45"/>
      <c r="AU2636" s="12"/>
      <c r="AV2636" s="12"/>
      <c r="AW2636" s="12"/>
      <c r="AX2636" s="12"/>
      <c r="AY2636" s="44"/>
      <c r="AZ2636" s="45"/>
      <c r="BA2636" s="12"/>
      <c r="BB2636" s="12"/>
      <c r="BC2636" s="12"/>
      <c r="BD2636" s="12"/>
      <c r="BE2636" s="44"/>
      <c r="BF2636" s="45"/>
      <c r="BG2636" s="12"/>
      <c r="BH2636" s="12"/>
      <c r="BI2636" s="12"/>
      <c r="BJ2636" s="12"/>
      <c r="BK2636" s="44"/>
      <c r="BL2636" s="45"/>
      <c r="BM2636" s="12"/>
      <c r="BN2636" s="12"/>
      <c r="BO2636" s="12"/>
      <c r="BP2636" s="12"/>
      <c r="BQ2636" s="48"/>
      <c r="BR2636" s="49"/>
      <c r="BS2636" s="13"/>
      <c r="BT2636" s="12"/>
      <c r="BV2636" s="14"/>
      <c r="BW2636" s="50"/>
      <c r="BX2636" s="54"/>
      <c r="BY2636" s="14"/>
      <c r="BZ2636" s="14"/>
      <c r="CA2636" s="14"/>
      <c r="CB2636" s="14"/>
      <c r="CC2636" s="14"/>
      <c r="CD2636" s="14"/>
      <c r="CE2636" s="14"/>
      <c r="CF2636" s="15"/>
      <c r="CG2636" s="14"/>
      <c r="CH2636" s="14"/>
      <c r="CI2636" s="50"/>
      <c r="CJ2636" s="54"/>
      <c r="CK2636" s="14"/>
      <c r="CL2636" s="14"/>
      <c r="CM2636" s="14"/>
      <c r="CN2636" s="14"/>
      <c r="CO2636" s="14"/>
      <c r="CP2636" s="14"/>
      <c r="CQ2636" s="14"/>
      <c r="CR2636" s="14"/>
      <c r="CS2636" s="14"/>
      <c r="CT2636" s="14"/>
      <c r="CU2636" s="16"/>
      <c r="CV2636" s="14"/>
      <c r="CW2636" s="50"/>
      <c r="CX2636" s="17"/>
    </row>
    <row r="2637" spans="4:102" x14ac:dyDescent="0.25">
      <c r="D2637" s="11"/>
      <c r="E2637" s="11"/>
      <c r="F2637" s="11"/>
      <c r="G2637" s="11"/>
      <c r="H2637" s="11"/>
      <c r="I2637" s="11"/>
      <c r="J2637" s="11"/>
      <c r="K2637" s="11"/>
      <c r="L2637" s="11"/>
      <c r="M2637" s="11"/>
      <c r="N2637" s="11"/>
      <c r="O2637" s="11"/>
      <c r="P2637" s="43"/>
      <c r="Q2637" s="11"/>
      <c r="R2637" s="11"/>
      <c r="S2637" s="11"/>
      <c r="T2637" s="11"/>
      <c r="U2637" s="11"/>
      <c r="V2637" s="11"/>
      <c r="W2637" s="11"/>
      <c r="X2637" s="12"/>
      <c r="Y2637" s="12"/>
      <c r="Z2637" s="12"/>
      <c r="AA2637" s="44"/>
      <c r="AB2637" s="45"/>
      <c r="AC2637" s="12"/>
      <c r="AD2637" s="12"/>
      <c r="AE2637" s="12"/>
      <c r="AF2637" s="12"/>
      <c r="AG2637" s="44"/>
      <c r="AH2637" s="45"/>
      <c r="AI2637" s="12"/>
      <c r="AJ2637" s="12"/>
      <c r="AK2637" s="12"/>
      <c r="AL2637" s="12"/>
      <c r="AM2637" s="44"/>
      <c r="AN2637" s="45"/>
      <c r="AO2637" s="12"/>
      <c r="AP2637" s="12"/>
      <c r="AQ2637" s="12"/>
      <c r="AR2637" s="12"/>
      <c r="AS2637" s="44"/>
      <c r="AT2637" s="45"/>
      <c r="AU2637" s="12"/>
      <c r="AV2637" s="12"/>
      <c r="AW2637" s="12"/>
      <c r="AX2637" s="12"/>
      <c r="AY2637" s="44"/>
      <c r="AZ2637" s="45"/>
      <c r="BA2637" s="12"/>
      <c r="BB2637" s="12"/>
      <c r="BC2637" s="12"/>
      <c r="BD2637" s="12"/>
      <c r="BE2637" s="44"/>
      <c r="BF2637" s="45"/>
      <c r="BG2637" s="12"/>
      <c r="BH2637" s="12"/>
      <c r="BI2637" s="12"/>
      <c r="BJ2637" s="12"/>
      <c r="BK2637" s="44"/>
      <c r="BL2637" s="45"/>
      <c r="BM2637" s="12"/>
      <c r="BN2637" s="12"/>
      <c r="BO2637" s="12"/>
      <c r="BP2637" s="12"/>
      <c r="BQ2637" s="48"/>
      <c r="BR2637" s="49"/>
      <c r="BS2637" s="13"/>
      <c r="BT2637" s="12"/>
      <c r="BV2637" s="14"/>
      <c r="BW2637" s="50"/>
      <c r="BX2637" s="54"/>
      <c r="BY2637" s="14"/>
      <c r="BZ2637" s="14"/>
      <c r="CA2637" s="14"/>
      <c r="CB2637" s="14"/>
      <c r="CC2637" s="14"/>
      <c r="CD2637" s="14"/>
      <c r="CE2637" s="14"/>
      <c r="CF2637" s="15"/>
      <c r="CG2637" s="14"/>
      <c r="CH2637" s="14"/>
      <c r="CI2637" s="50"/>
      <c r="CJ2637" s="54"/>
      <c r="CK2637" s="14"/>
      <c r="CL2637" s="14"/>
      <c r="CM2637" s="14"/>
      <c r="CN2637" s="14"/>
      <c r="CO2637" s="14"/>
      <c r="CP2637" s="14"/>
      <c r="CQ2637" s="14"/>
      <c r="CR2637" s="14"/>
      <c r="CS2637" s="14"/>
      <c r="CT2637" s="14"/>
      <c r="CU2637" s="16"/>
      <c r="CV2637" s="14"/>
      <c r="CW2637" s="50"/>
      <c r="CX2637" s="17"/>
    </row>
    <row r="2638" spans="4:102" x14ac:dyDescent="0.25">
      <c r="D2638" s="11"/>
      <c r="E2638" s="11"/>
      <c r="F2638" s="11"/>
      <c r="G2638" s="11"/>
      <c r="H2638" s="11"/>
      <c r="I2638" s="11"/>
      <c r="J2638" s="11"/>
      <c r="K2638" s="11"/>
      <c r="L2638" s="11"/>
      <c r="M2638" s="11"/>
      <c r="N2638" s="11"/>
      <c r="O2638" s="11"/>
      <c r="P2638" s="43"/>
      <c r="Q2638" s="11"/>
      <c r="R2638" s="11"/>
      <c r="S2638" s="11"/>
      <c r="T2638" s="11"/>
      <c r="U2638" s="11"/>
      <c r="V2638" s="11"/>
      <c r="W2638" s="11"/>
      <c r="X2638" s="12"/>
      <c r="Y2638" s="12"/>
      <c r="Z2638" s="12"/>
      <c r="AA2638" s="44"/>
      <c r="AB2638" s="45"/>
      <c r="AC2638" s="12"/>
      <c r="AD2638" s="12"/>
      <c r="AE2638" s="12"/>
      <c r="AF2638" s="12"/>
      <c r="AG2638" s="44"/>
      <c r="AH2638" s="45"/>
      <c r="AI2638" s="12"/>
      <c r="AJ2638" s="12"/>
      <c r="AK2638" s="12"/>
      <c r="AL2638" s="12"/>
      <c r="AM2638" s="44"/>
      <c r="AN2638" s="45"/>
      <c r="AO2638" s="12"/>
      <c r="AP2638" s="12"/>
      <c r="AQ2638" s="12"/>
      <c r="AR2638" s="12"/>
      <c r="AS2638" s="44"/>
      <c r="AT2638" s="45"/>
      <c r="AU2638" s="12"/>
      <c r="AV2638" s="12"/>
      <c r="AW2638" s="12"/>
      <c r="AX2638" s="12"/>
      <c r="AY2638" s="44"/>
      <c r="AZ2638" s="45"/>
      <c r="BA2638" s="12"/>
      <c r="BB2638" s="12"/>
      <c r="BC2638" s="12"/>
      <c r="BD2638" s="12"/>
      <c r="BE2638" s="44"/>
      <c r="BF2638" s="45"/>
      <c r="BG2638" s="12"/>
      <c r="BH2638" s="12"/>
      <c r="BI2638" s="12"/>
      <c r="BJ2638" s="12"/>
      <c r="BK2638" s="44"/>
      <c r="BL2638" s="45"/>
      <c r="BM2638" s="12"/>
      <c r="BN2638" s="12"/>
      <c r="BO2638" s="12"/>
      <c r="BP2638" s="12"/>
      <c r="BQ2638" s="48"/>
      <c r="BR2638" s="49"/>
      <c r="BS2638" s="13"/>
      <c r="BT2638" s="12"/>
      <c r="BV2638" s="14"/>
      <c r="BW2638" s="50"/>
      <c r="BX2638" s="54"/>
      <c r="BY2638" s="14"/>
      <c r="BZ2638" s="14"/>
      <c r="CA2638" s="14"/>
      <c r="CB2638" s="14"/>
      <c r="CC2638" s="14"/>
      <c r="CD2638" s="14"/>
      <c r="CE2638" s="14"/>
      <c r="CF2638" s="15"/>
      <c r="CG2638" s="14"/>
      <c r="CH2638" s="14"/>
      <c r="CI2638" s="50"/>
      <c r="CJ2638" s="54"/>
      <c r="CK2638" s="14"/>
      <c r="CL2638" s="14"/>
      <c r="CM2638" s="14"/>
      <c r="CN2638" s="14"/>
      <c r="CO2638" s="14"/>
      <c r="CP2638" s="14"/>
      <c r="CQ2638" s="14"/>
      <c r="CR2638" s="14"/>
      <c r="CS2638" s="14"/>
      <c r="CT2638" s="14"/>
      <c r="CU2638" s="16"/>
      <c r="CV2638" s="14"/>
      <c r="CW2638" s="50"/>
      <c r="CX2638" s="17"/>
    </row>
    <row r="2639" spans="4:102" x14ac:dyDescent="0.25">
      <c r="D2639" s="11"/>
      <c r="E2639" s="11"/>
      <c r="F2639" s="11"/>
      <c r="G2639" s="11"/>
      <c r="H2639" s="11"/>
      <c r="I2639" s="11"/>
      <c r="J2639" s="11"/>
      <c r="K2639" s="11"/>
      <c r="L2639" s="11"/>
      <c r="M2639" s="11"/>
      <c r="N2639" s="11"/>
      <c r="O2639" s="11"/>
      <c r="P2639" s="43"/>
      <c r="Q2639" s="11"/>
      <c r="R2639" s="11"/>
      <c r="S2639" s="11"/>
      <c r="T2639" s="11"/>
      <c r="U2639" s="11"/>
      <c r="V2639" s="11"/>
      <c r="W2639" s="11"/>
      <c r="X2639" s="12"/>
      <c r="Y2639" s="12"/>
      <c r="Z2639" s="12"/>
      <c r="AA2639" s="44"/>
      <c r="AB2639" s="45"/>
      <c r="AC2639" s="12"/>
      <c r="AD2639" s="12"/>
      <c r="AE2639" s="12"/>
      <c r="AF2639" s="12"/>
      <c r="AG2639" s="44"/>
      <c r="AH2639" s="45"/>
      <c r="AI2639" s="12"/>
      <c r="AJ2639" s="12"/>
      <c r="AK2639" s="12"/>
      <c r="AL2639" s="12"/>
      <c r="AM2639" s="44"/>
      <c r="AN2639" s="45"/>
      <c r="AO2639" s="12"/>
      <c r="AP2639" s="12"/>
      <c r="AQ2639" s="12"/>
      <c r="AR2639" s="12"/>
      <c r="AS2639" s="44"/>
      <c r="AT2639" s="45"/>
      <c r="AU2639" s="12"/>
      <c r="AV2639" s="12"/>
      <c r="AW2639" s="12"/>
      <c r="AX2639" s="12"/>
      <c r="AY2639" s="44"/>
      <c r="AZ2639" s="45"/>
      <c r="BA2639" s="12"/>
      <c r="BB2639" s="12"/>
      <c r="BC2639" s="12"/>
      <c r="BD2639" s="12"/>
      <c r="BE2639" s="44"/>
      <c r="BF2639" s="45"/>
      <c r="BG2639" s="12"/>
      <c r="BH2639" s="12"/>
      <c r="BI2639" s="12"/>
      <c r="BJ2639" s="12"/>
      <c r="BK2639" s="44"/>
      <c r="BL2639" s="45"/>
      <c r="BM2639" s="12"/>
      <c r="BN2639" s="12"/>
      <c r="BO2639" s="12"/>
      <c r="BP2639" s="12"/>
      <c r="BQ2639" s="48"/>
      <c r="BR2639" s="49"/>
      <c r="BS2639" s="13"/>
      <c r="BT2639" s="12"/>
      <c r="BV2639" s="14"/>
      <c r="BW2639" s="50"/>
      <c r="BX2639" s="54"/>
      <c r="BY2639" s="14"/>
      <c r="BZ2639" s="14"/>
      <c r="CA2639" s="14"/>
      <c r="CB2639" s="14"/>
      <c r="CC2639" s="14"/>
      <c r="CD2639" s="14"/>
      <c r="CE2639" s="14"/>
      <c r="CF2639" s="15"/>
      <c r="CG2639" s="14"/>
      <c r="CH2639" s="14"/>
      <c r="CI2639" s="50"/>
      <c r="CJ2639" s="54"/>
      <c r="CK2639" s="14"/>
      <c r="CL2639" s="14"/>
      <c r="CM2639" s="14"/>
      <c r="CN2639" s="14"/>
      <c r="CO2639" s="14"/>
      <c r="CP2639" s="14"/>
      <c r="CQ2639" s="14"/>
      <c r="CR2639" s="14"/>
      <c r="CS2639" s="14"/>
      <c r="CT2639" s="14"/>
      <c r="CU2639" s="16"/>
      <c r="CV2639" s="14"/>
      <c r="CW2639" s="50"/>
      <c r="CX2639" s="17"/>
    </row>
    <row r="2640" spans="4:102" x14ac:dyDescent="0.25">
      <c r="D2640" s="11"/>
      <c r="E2640" s="11"/>
      <c r="F2640" s="11"/>
      <c r="G2640" s="11"/>
      <c r="H2640" s="11"/>
      <c r="I2640" s="11"/>
      <c r="J2640" s="11"/>
      <c r="K2640" s="11"/>
      <c r="L2640" s="11"/>
      <c r="M2640" s="11"/>
      <c r="N2640" s="11"/>
      <c r="O2640" s="11"/>
      <c r="P2640" s="43"/>
      <c r="Q2640" s="11"/>
      <c r="R2640" s="11"/>
      <c r="S2640" s="11"/>
      <c r="T2640" s="11"/>
      <c r="U2640" s="11"/>
      <c r="V2640" s="11"/>
      <c r="W2640" s="11"/>
      <c r="X2640" s="12"/>
      <c r="Y2640" s="12"/>
      <c r="Z2640" s="12"/>
      <c r="AA2640" s="44"/>
      <c r="AB2640" s="45"/>
      <c r="AC2640" s="12"/>
      <c r="AD2640" s="12"/>
      <c r="AE2640" s="12"/>
      <c r="AF2640" s="12"/>
      <c r="AG2640" s="44"/>
      <c r="AH2640" s="45"/>
      <c r="AI2640" s="12"/>
      <c r="AJ2640" s="12"/>
      <c r="AK2640" s="12"/>
      <c r="AL2640" s="12"/>
      <c r="AM2640" s="44"/>
      <c r="AN2640" s="45"/>
      <c r="AO2640" s="12"/>
      <c r="AP2640" s="12"/>
      <c r="AQ2640" s="12"/>
      <c r="AR2640" s="12"/>
      <c r="AS2640" s="44"/>
      <c r="AT2640" s="45"/>
      <c r="AU2640" s="12"/>
      <c r="AV2640" s="12"/>
      <c r="AW2640" s="12"/>
      <c r="AX2640" s="12"/>
      <c r="AY2640" s="44"/>
      <c r="AZ2640" s="45"/>
      <c r="BA2640" s="12"/>
      <c r="BB2640" s="12"/>
      <c r="BC2640" s="12"/>
      <c r="BD2640" s="12"/>
      <c r="BE2640" s="44"/>
      <c r="BF2640" s="45"/>
      <c r="BG2640" s="12"/>
      <c r="BH2640" s="12"/>
      <c r="BI2640" s="12"/>
      <c r="BJ2640" s="12"/>
      <c r="BK2640" s="44"/>
      <c r="BL2640" s="45"/>
      <c r="BM2640" s="12"/>
      <c r="BN2640" s="12"/>
      <c r="BO2640" s="12"/>
      <c r="BP2640" s="12"/>
      <c r="BQ2640" s="48"/>
      <c r="BR2640" s="49"/>
      <c r="BS2640" s="13"/>
      <c r="BT2640" s="12"/>
      <c r="BV2640" s="14"/>
      <c r="BW2640" s="50"/>
      <c r="BX2640" s="54"/>
      <c r="BY2640" s="14"/>
      <c r="BZ2640" s="14"/>
      <c r="CA2640" s="14"/>
      <c r="CB2640" s="14"/>
      <c r="CC2640" s="14"/>
      <c r="CD2640" s="14"/>
      <c r="CE2640" s="14"/>
      <c r="CF2640" s="15"/>
      <c r="CG2640" s="14"/>
      <c r="CH2640" s="14"/>
      <c r="CI2640" s="50"/>
      <c r="CJ2640" s="54"/>
      <c r="CK2640" s="14"/>
      <c r="CL2640" s="14"/>
      <c r="CM2640" s="14"/>
      <c r="CN2640" s="14"/>
      <c r="CO2640" s="14"/>
      <c r="CP2640" s="14"/>
      <c r="CQ2640" s="14"/>
      <c r="CR2640" s="14"/>
      <c r="CS2640" s="14"/>
      <c r="CT2640" s="14"/>
      <c r="CU2640" s="16"/>
      <c r="CV2640" s="14"/>
      <c r="CW2640" s="50"/>
      <c r="CX2640" s="17"/>
    </row>
    <row r="2641" spans="4:102" x14ac:dyDescent="0.25">
      <c r="D2641" s="11"/>
      <c r="E2641" s="11"/>
      <c r="F2641" s="11"/>
      <c r="G2641" s="11"/>
      <c r="H2641" s="11"/>
      <c r="I2641" s="11"/>
      <c r="J2641" s="11"/>
      <c r="K2641" s="11"/>
      <c r="L2641" s="11"/>
      <c r="M2641" s="11"/>
      <c r="N2641" s="11"/>
      <c r="O2641" s="11"/>
      <c r="P2641" s="43"/>
      <c r="Q2641" s="11"/>
      <c r="R2641" s="11"/>
      <c r="S2641" s="11"/>
      <c r="T2641" s="11"/>
      <c r="U2641" s="11"/>
      <c r="V2641" s="11"/>
      <c r="W2641" s="11"/>
      <c r="X2641" s="12"/>
      <c r="Y2641" s="12"/>
      <c r="Z2641" s="12"/>
      <c r="AA2641" s="44"/>
      <c r="AB2641" s="45"/>
      <c r="AC2641" s="12"/>
      <c r="AD2641" s="12"/>
      <c r="AE2641" s="12"/>
      <c r="AF2641" s="12"/>
      <c r="AG2641" s="44"/>
      <c r="AH2641" s="45"/>
      <c r="AI2641" s="12"/>
      <c r="AJ2641" s="12"/>
      <c r="AK2641" s="12"/>
      <c r="AL2641" s="12"/>
      <c r="AM2641" s="44"/>
      <c r="AN2641" s="45"/>
      <c r="AO2641" s="12"/>
      <c r="AP2641" s="12"/>
      <c r="AQ2641" s="12"/>
      <c r="AR2641" s="12"/>
      <c r="AS2641" s="44"/>
      <c r="AT2641" s="45"/>
      <c r="AU2641" s="12"/>
      <c r="AV2641" s="12"/>
      <c r="AW2641" s="12"/>
      <c r="AX2641" s="12"/>
      <c r="AY2641" s="44"/>
      <c r="AZ2641" s="45"/>
      <c r="BA2641" s="12"/>
      <c r="BB2641" s="12"/>
      <c r="BC2641" s="12"/>
      <c r="BD2641" s="12"/>
      <c r="BE2641" s="44"/>
      <c r="BF2641" s="45"/>
      <c r="BG2641" s="12"/>
      <c r="BH2641" s="12"/>
      <c r="BI2641" s="12"/>
      <c r="BJ2641" s="12"/>
      <c r="BK2641" s="44"/>
      <c r="BL2641" s="45"/>
      <c r="BM2641" s="12"/>
      <c r="BN2641" s="12"/>
      <c r="BO2641" s="12"/>
      <c r="BP2641" s="12"/>
      <c r="BQ2641" s="48"/>
      <c r="BR2641" s="49"/>
      <c r="BS2641" s="13"/>
      <c r="BT2641" s="12"/>
      <c r="BV2641" s="14"/>
      <c r="BW2641" s="50"/>
      <c r="BX2641" s="54"/>
      <c r="BY2641" s="14"/>
      <c r="BZ2641" s="14"/>
      <c r="CA2641" s="14"/>
      <c r="CB2641" s="14"/>
      <c r="CC2641" s="14"/>
      <c r="CD2641" s="14"/>
      <c r="CE2641" s="14"/>
      <c r="CF2641" s="15"/>
      <c r="CG2641" s="14"/>
      <c r="CH2641" s="14"/>
      <c r="CI2641" s="50"/>
      <c r="CJ2641" s="54"/>
      <c r="CK2641" s="14"/>
      <c r="CL2641" s="14"/>
      <c r="CM2641" s="14"/>
      <c r="CN2641" s="14"/>
      <c r="CO2641" s="14"/>
      <c r="CP2641" s="14"/>
      <c r="CQ2641" s="14"/>
      <c r="CR2641" s="14"/>
      <c r="CS2641" s="14"/>
      <c r="CT2641" s="14"/>
      <c r="CU2641" s="16"/>
      <c r="CV2641" s="14"/>
      <c r="CW2641" s="50"/>
      <c r="CX2641" s="17"/>
    </row>
    <row r="2642" spans="4:102" x14ac:dyDescent="0.25">
      <c r="D2642" s="11"/>
      <c r="E2642" s="11"/>
      <c r="F2642" s="11"/>
      <c r="G2642" s="11"/>
      <c r="H2642" s="11"/>
      <c r="I2642" s="11"/>
      <c r="J2642" s="11"/>
      <c r="K2642" s="11"/>
      <c r="L2642" s="11"/>
      <c r="M2642" s="11"/>
      <c r="N2642" s="11"/>
      <c r="O2642" s="11"/>
      <c r="P2642" s="43"/>
      <c r="Q2642" s="11"/>
      <c r="R2642" s="11"/>
      <c r="S2642" s="11"/>
      <c r="T2642" s="11"/>
      <c r="U2642" s="11"/>
      <c r="V2642" s="11"/>
      <c r="W2642" s="11"/>
      <c r="X2642" s="12"/>
      <c r="Y2642" s="12"/>
      <c r="Z2642" s="12"/>
      <c r="AA2642" s="44"/>
      <c r="AB2642" s="45"/>
      <c r="AC2642" s="12"/>
      <c r="AD2642" s="12"/>
      <c r="AE2642" s="12"/>
      <c r="AF2642" s="12"/>
      <c r="AG2642" s="44"/>
      <c r="AH2642" s="45"/>
      <c r="AI2642" s="12"/>
      <c r="AJ2642" s="12"/>
      <c r="AK2642" s="12"/>
      <c r="AL2642" s="12"/>
      <c r="AM2642" s="44"/>
      <c r="AN2642" s="45"/>
      <c r="AO2642" s="12"/>
      <c r="AP2642" s="12"/>
      <c r="AQ2642" s="12"/>
      <c r="AR2642" s="12"/>
      <c r="AS2642" s="44"/>
      <c r="AT2642" s="45"/>
      <c r="AU2642" s="12"/>
      <c r="AV2642" s="12"/>
      <c r="AW2642" s="12"/>
      <c r="AX2642" s="12"/>
      <c r="AY2642" s="44"/>
      <c r="AZ2642" s="45"/>
      <c r="BA2642" s="12"/>
      <c r="BB2642" s="12"/>
      <c r="BC2642" s="12"/>
      <c r="BD2642" s="12"/>
      <c r="BE2642" s="44"/>
      <c r="BF2642" s="45"/>
      <c r="BG2642" s="12"/>
      <c r="BH2642" s="12"/>
      <c r="BI2642" s="12"/>
      <c r="BJ2642" s="12"/>
      <c r="BK2642" s="44"/>
      <c r="BL2642" s="45"/>
      <c r="BM2642" s="12"/>
      <c r="BN2642" s="12"/>
      <c r="BO2642" s="12"/>
      <c r="BP2642" s="12"/>
      <c r="BQ2642" s="48"/>
      <c r="BR2642" s="49"/>
      <c r="BS2642" s="13"/>
      <c r="BT2642" s="12"/>
      <c r="BV2642" s="14"/>
      <c r="BW2642" s="50"/>
      <c r="BX2642" s="54"/>
      <c r="BY2642" s="14"/>
      <c r="BZ2642" s="14"/>
      <c r="CA2642" s="14"/>
      <c r="CB2642" s="14"/>
      <c r="CC2642" s="14"/>
      <c r="CD2642" s="14"/>
      <c r="CE2642" s="14"/>
      <c r="CF2642" s="15"/>
      <c r="CG2642" s="14"/>
      <c r="CH2642" s="14"/>
      <c r="CI2642" s="50"/>
      <c r="CJ2642" s="54"/>
      <c r="CK2642" s="14"/>
      <c r="CL2642" s="14"/>
      <c r="CM2642" s="14"/>
      <c r="CN2642" s="14"/>
      <c r="CO2642" s="14"/>
      <c r="CP2642" s="14"/>
      <c r="CQ2642" s="14"/>
      <c r="CR2642" s="14"/>
      <c r="CS2642" s="14"/>
      <c r="CT2642" s="14"/>
      <c r="CU2642" s="16"/>
      <c r="CV2642" s="14"/>
      <c r="CW2642" s="50"/>
      <c r="CX2642" s="17"/>
    </row>
    <row r="2643" spans="4:102" x14ac:dyDescent="0.25">
      <c r="D2643" s="11"/>
      <c r="E2643" s="11"/>
      <c r="F2643" s="11"/>
      <c r="G2643" s="11"/>
      <c r="H2643" s="11"/>
      <c r="I2643" s="11"/>
      <c r="J2643" s="11"/>
      <c r="K2643" s="11"/>
      <c r="L2643" s="11"/>
      <c r="M2643" s="11"/>
      <c r="N2643" s="11"/>
      <c r="O2643" s="11"/>
      <c r="P2643" s="43"/>
      <c r="Q2643" s="11"/>
      <c r="R2643" s="11"/>
      <c r="S2643" s="11"/>
      <c r="T2643" s="11"/>
      <c r="U2643" s="11"/>
      <c r="V2643" s="11"/>
      <c r="W2643" s="11"/>
      <c r="X2643" s="12"/>
      <c r="Y2643" s="12"/>
      <c r="Z2643" s="12"/>
      <c r="AA2643" s="44"/>
      <c r="AB2643" s="45"/>
      <c r="AC2643" s="12"/>
      <c r="AD2643" s="12"/>
      <c r="AE2643" s="12"/>
      <c r="AF2643" s="12"/>
      <c r="AG2643" s="44"/>
      <c r="AH2643" s="45"/>
      <c r="AI2643" s="12"/>
      <c r="AJ2643" s="12"/>
      <c r="AK2643" s="12"/>
      <c r="AL2643" s="12"/>
      <c r="AM2643" s="44"/>
      <c r="AN2643" s="45"/>
      <c r="AO2643" s="12"/>
      <c r="AP2643" s="12"/>
      <c r="AQ2643" s="12"/>
      <c r="AR2643" s="12"/>
      <c r="AS2643" s="44"/>
      <c r="AT2643" s="45"/>
      <c r="AU2643" s="12"/>
      <c r="AV2643" s="12"/>
      <c r="AW2643" s="12"/>
      <c r="AX2643" s="12"/>
      <c r="AY2643" s="44"/>
      <c r="AZ2643" s="45"/>
      <c r="BA2643" s="12"/>
      <c r="BB2643" s="12"/>
      <c r="BC2643" s="12"/>
      <c r="BD2643" s="12"/>
      <c r="BE2643" s="44"/>
      <c r="BF2643" s="45"/>
      <c r="BG2643" s="12"/>
      <c r="BH2643" s="12"/>
      <c r="BI2643" s="12"/>
      <c r="BJ2643" s="12"/>
      <c r="BK2643" s="44"/>
      <c r="BL2643" s="45"/>
      <c r="BM2643" s="12"/>
      <c r="BN2643" s="12"/>
      <c r="BO2643" s="12"/>
      <c r="BP2643" s="12"/>
      <c r="BQ2643" s="48"/>
      <c r="BR2643" s="49"/>
      <c r="BS2643" s="13"/>
      <c r="BT2643" s="12"/>
      <c r="BV2643" s="14"/>
      <c r="BW2643" s="50"/>
      <c r="BX2643" s="54"/>
      <c r="BY2643" s="14"/>
      <c r="BZ2643" s="14"/>
      <c r="CA2643" s="14"/>
      <c r="CB2643" s="14"/>
      <c r="CC2643" s="14"/>
      <c r="CD2643" s="14"/>
      <c r="CE2643" s="14"/>
      <c r="CF2643" s="15"/>
      <c r="CG2643" s="14"/>
      <c r="CH2643" s="14"/>
      <c r="CI2643" s="50"/>
      <c r="CJ2643" s="54"/>
      <c r="CK2643" s="14"/>
      <c r="CL2643" s="14"/>
      <c r="CM2643" s="14"/>
      <c r="CN2643" s="14"/>
      <c r="CO2643" s="14"/>
      <c r="CP2643" s="14"/>
      <c r="CQ2643" s="14"/>
      <c r="CR2643" s="14"/>
      <c r="CS2643" s="14"/>
      <c r="CT2643" s="14"/>
      <c r="CU2643" s="16"/>
      <c r="CV2643" s="14"/>
      <c r="CW2643" s="50"/>
      <c r="CX2643" s="17"/>
    </row>
    <row r="2644" spans="4:102" x14ac:dyDescent="0.25">
      <c r="D2644" s="11"/>
      <c r="E2644" s="11"/>
      <c r="F2644" s="11"/>
      <c r="G2644" s="11"/>
      <c r="H2644" s="11"/>
      <c r="I2644" s="11"/>
      <c r="J2644" s="11"/>
      <c r="K2644" s="11"/>
      <c r="L2644" s="11"/>
      <c r="M2644" s="11"/>
      <c r="N2644" s="11"/>
      <c r="O2644" s="11"/>
      <c r="P2644" s="43"/>
      <c r="Q2644" s="11"/>
      <c r="R2644" s="11"/>
      <c r="S2644" s="11"/>
      <c r="T2644" s="11"/>
      <c r="U2644" s="11"/>
      <c r="V2644" s="11"/>
      <c r="W2644" s="11"/>
      <c r="X2644" s="12"/>
      <c r="Y2644" s="12"/>
      <c r="Z2644" s="12"/>
      <c r="AA2644" s="44"/>
      <c r="AB2644" s="45"/>
      <c r="AC2644" s="12"/>
      <c r="AD2644" s="12"/>
      <c r="AE2644" s="12"/>
      <c r="AF2644" s="12"/>
      <c r="AG2644" s="44"/>
      <c r="AH2644" s="45"/>
      <c r="AI2644" s="12"/>
      <c r="AJ2644" s="12"/>
      <c r="AK2644" s="12"/>
      <c r="AL2644" s="12"/>
      <c r="AM2644" s="44"/>
      <c r="AN2644" s="45"/>
      <c r="AO2644" s="12"/>
      <c r="AP2644" s="12"/>
      <c r="AQ2644" s="12"/>
      <c r="AR2644" s="12"/>
      <c r="AS2644" s="44"/>
      <c r="AT2644" s="45"/>
      <c r="AU2644" s="12"/>
      <c r="AV2644" s="12"/>
      <c r="AW2644" s="12"/>
      <c r="AX2644" s="12"/>
      <c r="AY2644" s="44"/>
      <c r="AZ2644" s="45"/>
      <c r="BA2644" s="12"/>
      <c r="BB2644" s="12"/>
      <c r="BC2644" s="12"/>
      <c r="BD2644" s="12"/>
      <c r="BE2644" s="44"/>
      <c r="BF2644" s="45"/>
      <c r="BG2644" s="12"/>
      <c r="BH2644" s="12"/>
      <c r="BI2644" s="12"/>
      <c r="BJ2644" s="12"/>
      <c r="BK2644" s="44"/>
      <c r="BL2644" s="45"/>
      <c r="BM2644" s="12"/>
      <c r="BN2644" s="12"/>
      <c r="BO2644" s="12"/>
      <c r="BP2644" s="12"/>
      <c r="BQ2644" s="48"/>
      <c r="BR2644" s="49"/>
      <c r="BS2644" s="13"/>
      <c r="BT2644" s="12"/>
      <c r="BV2644" s="14"/>
      <c r="BW2644" s="50"/>
      <c r="BX2644" s="54"/>
      <c r="BY2644" s="14"/>
      <c r="BZ2644" s="14"/>
      <c r="CA2644" s="14"/>
      <c r="CB2644" s="14"/>
      <c r="CC2644" s="14"/>
      <c r="CD2644" s="14"/>
      <c r="CE2644" s="14"/>
      <c r="CF2644" s="15"/>
      <c r="CG2644" s="14"/>
      <c r="CH2644" s="14"/>
      <c r="CI2644" s="50"/>
      <c r="CJ2644" s="54"/>
      <c r="CK2644" s="14"/>
      <c r="CL2644" s="14"/>
      <c r="CM2644" s="14"/>
      <c r="CN2644" s="14"/>
      <c r="CO2644" s="14"/>
      <c r="CP2644" s="14"/>
      <c r="CQ2644" s="14"/>
      <c r="CR2644" s="14"/>
      <c r="CS2644" s="14"/>
      <c r="CT2644" s="14"/>
      <c r="CU2644" s="16"/>
      <c r="CV2644" s="14"/>
      <c r="CW2644" s="50"/>
      <c r="CX2644" s="17"/>
    </row>
    <row r="2645" spans="4:102" x14ac:dyDescent="0.25">
      <c r="D2645" s="11"/>
      <c r="E2645" s="11"/>
      <c r="F2645" s="11"/>
      <c r="G2645" s="11"/>
      <c r="H2645" s="11"/>
      <c r="I2645" s="11"/>
      <c r="J2645" s="11"/>
      <c r="K2645" s="11"/>
      <c r="L2645" s="11"/>
      <c r="M2645" s="11"/>
      <c r="N2645" s="11"/>
      <c r="O2645" s="11"/>
      <c r="P2645" s="43"/>
      <c r="Q2645" s="11"/>
      <c r="R2645" s="11"/>
      <c r="S2645" s="11"/>
      <c r="T2645" s="11"/>
      <c r="U2645" s="11"/>
      <c r="V2645" s="11"/>
      <c r="W2645" s="11"/>
      <c r="X2645" s="12"/>
      <c r="Y2645" s="12"/>
      <c r="Z2645" s="12"/>
      <c r="AA2645" s="44"/>
      <c r="AB2645" s="45"/>
      <c r="AC2645" s="12"/>
      <c r="AD2645" s="12"/>
      <c r="AE2645" s="12"/>
      <c r="AF2645" s="12"/>
      <c r="AG2645" s="44"/>
      <c r="AH2645" s="45"/>
      <c r="AI2645" s="12"/>
      <c r="AJ2645" s="12"/>
      <c r="AK2645" s="12"/>
      <c r="AL2645" s="12"/>
      <c r="AM2645" s="44"/>
      <c r="AN2645" s="45"/>
      <c r="AO2645" s="12"/>
      <c r="AP2645" s="12"/>
      <c r="AQ2645" s="12"/>
      <c r="AR2645" s="12"/>
      <c r="AS2645" s="44"/>
      <c r="AT2645" s="45"/>
      <c r="AU2645" s="12"/>
      <c r="AV2645" s="12"/>
      <c r="AW2645" s="12"/>
      <c r="AX2645" s="12"/>
      <c r="AY2645" s="44"/>
      <c r="AZ2645" s="45"/>
      <c r="BA2645" s="12"/>
      <c r="BB2645" s="12"/>
      <c r="BC2645" s="12"/>
      <c r="BD2645" s="12"/>
      <c r="BE2645" s="44"/>
      <c r="BF2645" s="45"/>
      <c r="BG2645" s="12"/>
      <c r="BH2645" s="12"/>
      <c r="BI2645" s="12"/>
      <c r="BJ2645" s="12"/>
      <c r="BK2645" s="44"/>
      <c r="BL2645" s="45"/>
      <c r="BM2645" s="12"/>
      <c r="BN2645" s="12"/>
      <c r="BO2645" s="12"/>
      <c r="BP2645" s="12"/>
      <c r="BQ2645" s="48"/>
      <c r="BR2645" s="49"/>
      <c r="BS2645" s="13"/>
      <c r="BT2645" s="12"/>
      <c r="BV2645" s="14"/>
      <c r="BW2645" s="50"/>
      <c r="BX2645" s="54"/>
      <c r="BY2645" s="14"/>
      <c r="BZ2645" s="14"/>
      <c r="CA2645" s="14"/>
      <c r="CB2645" s="14"/>
      <c r="CC2645" s="14"/>
      <c r="CD2645" s="14"/>
      <c r="CE2645" s="14"/>
      <c r="CF2645" s="15"/>
      <c r="CG2645" s="14"/>
      <c r="CH2645" s="14"/>
      <c r="CI2645" s="50"/>
      <c r="CJ2645" s="54"/>
      <c r="CK2645" s="14"/>
      <c r="CL2645" s="14"/>
      <c r="CM2645" s="14"/>
      <c r="CN2645" s="14"/>
      <c r="CO2645" s="14"/>
      <c r="CP2645" s="14"/>
      <c r="CQ2645" s="14"/>
      <c r="CR2645" s="14"/>
      <c r="CS2645" s="14"/>
      <c r="CT2645" s="14"/>
      <c r="CU2645" s="16"/>
      <c r="CV2645" s="14"/>
      <c r="CW2645" s="50"/>
      <c r="CX2645" s="17"/>
    </row>
    <row r="2646" spans="4:102" x14ac:dyDescent="0.25">
      <c r="D2646" s="11"/>
      <c r="E2646" s="11"/>
      <c r="F2646" s="11"/>
      <c r="G2646" s="11"/>
      <c r="H2646" s="11"/>
      <c r="I2646" s="11"/>
      <c r="J2646" s="11"/>
      <c r="K2646" s="11"/>
      <c r="L2646" s="11"/>
      <c r="M2646" s="11"/>
      <c r="N2646" s="11"/>
      <c r="O2646" s="11"/>
      <c r="P2646" s="43"/>
      <c r="Q2646" s="11"/>
      <c r="R2646" s="11"/>
      <c r="S2646" s="11"/>
      <c r="T2646" s="11"/>
      <c r="U2646" s="11"/>
      <c r="V2646" s="11"/>
      <c r="W2646" s="11"/>
      <c r="X2646" s="12"/>
      <c r="Y2646" s="12"/>
      <c r="Z2646" s="12"/>
      <c r="AA2646" s="44"/>
      <c r="AB2646" s="45"/>
      <c r="AC2646" s="12"/>
      <c r="AD2646" s="12"/>
      <c r="AE2646" s="12"/>
      <c r="AF2646" s="12"/>
      <c r="AG2646" s="44"/>
      <c r="AH2646" s="45"/>
      <c r="AI2646" s="12"/>
      <c r="AJ2646" s="12"/>
      <c r="AK2646" s="12"/>
      <c r="AL2646" s="12"/>
      <c r="AM2646" s="44"/>
      <c r="AN2646" s="45"/>
      <c r="AO2646" s="12"/>
      <c r="AP2646" s="12"/>
      <c r="AQ2646" s="12"/>
      <c r="AR2646" s="12"/>
      <c r="AS2646" s="44"/>
      <c r="AT2646" s="45"/>
      <c r="AU2646" s="12"/>
      <c r="AV2646" s="12"/>
      <c r="AW2646" s="12"/>
      <c r="AX2646" s="12"/>
      <c r="AY2646" s="44"/>
      <c r="AZ2646" s="45"/>
      <c r="BA2646" s="12"/>
      <c r="BB2646" s="12"/>
      <c r="BC2646" s="12"/>
      <c r="BD2646" s="12"/>
      <c r="BE2646" s="44"/>
      <c r="BF2646" s="45"/>
      <c r="BG2646" s="12"/>
      <c r="BH2646" s="12"/>
      <c r="BI2646" s="12"/>
      <c r="BJ2646" s="12"/>
      <c r="BK2646" s="44"/>
      <c r="BL2646" s="45"/>
      <c r="BM2646" s="12"/>
      <c r="BN2646" s="12"/>
      <c r="BO2646" s="12"/>
      <c r="BP2646" s="12"/>
      <c r="BQ2646" s="48"/>
      <c r="BR2646" s="49"/>
      <c r="BS2646" s="13"/>
      <c r="BT2646" s="12"/>
      <c r="BV2646" s="14"/>
      <c r="BW2646" s="50"/>
      <c r="BX2646" s="54"/>
      <c r="BY2646" s="14"/>
      <c r="BZ2646" s="14"/>
      <c r="CA2646" s="14"/>
      <c r="CB2646" s="14"/>
      <c r="CC2646" s="14"/>
      <c r="CD2646" s="14"/>
      <c r="CE2646" s="14"/>
      <c r="CF2646" s="15"/>
      <c r="CG2646" s="14"/>
      <c r="CH2646" s="14"/>
      <c r="CI2646" s="50"/>
      <c r="CJ2646" s="54"/>
      <c r="CK2646" s="14"/>
      <c r="CL2646" s="14"/>
      <c r="CM2646" s="14"/>
      <c r="CN2646" s="14"/>
      <c r="CO2646" s="14"/>
      <c r="CP2646" s="14"/>
      <c r="CQ2646" s="14"/>
      <c r="CR2646" s="14"/>
      <c r="CS2646" s="14"/>
      <c r="CT2646" s="14"/>
      <c r="CU2646" s="16"/>
      <c r="CV2646" s="14"/>
      <c r="CW2646" s="50"/>
      <c r="CX2646" s="17"/>
    </row>
    <row r="2647" spans="4:102" x14ac:dyDescent="0.25">
      <c r="D2647" s="11"/>
      <c r="E2647" s="11"/>
      <c r="F2647" s="11"/>
      <c r="G2647" s="11"/>
      <c r="H2647" s="11"/>
      <c r="I2647" s="11"/>
      <c r="J2647" s="11"/>
      <c r="K2647" s="11"/>
      <c r="L2647" s="11"/>
      <c r="M2647" s="11"/>
      <c r="N2647" s="11"/>
      <c r="O2647" s="11"/>
      <c r="P2647" s="43"/>
      <c r="Q2647" s="11"/>
      <c r="R2647" s="11"/>
      <c r="S2647" s="11"/>
      <c r="T2647" s="11"/>
      <c r="U2647" s="11"/>
      <c r="V2647" s="11"/>
      <c r="W2647" s="11"/>
      <c r="X2647" s="12"/>
      <c r="Y2647" s="12"/>
      <c r="Z2647" s="12"/>
      <c r="AA2647" s="44"/>
      <c r="AB2647" s="45"/>
      <c r="AC2647" s="12"/>
      <c r="AD2647" s="12"/>
      <c r="AE2647" s="12"/>
      <c r="AF2647" s="12"/>
      <c r="AG2647" s="44"/>
      <c r="AH2647" s="45"/>
      <c r="AI2647" s="12"/>
      <c r="AJ2647" s="12"/>
      <c r="AK2647" s="12"/>
      <c r="AL2647" s="12"/>
      <c r="AM2647" s="44"/>
      <c r="AN2647" s="45"/>
      <c r="AO2647" s="12"/>
      <c r="AP2647" s="12"/>
      <c r="AQ2647" s="12"/>
      <c r="AR2647" s="12"/>
      <c r="AS2647" s="44"/>
      <c r="AT2647" s="45"/>
      <c r="AU2647" s="12"/>
      <c r="AV2647" s="12"/>
      <c r="AW2647" s="12"/>
      <c r="AX2647" s="12"/>
      <c r="AY2647" s="44"/>
      <c r="AZ2647" s="45"/>
      <c r="BA2647" s="12"/>
      <c r="BB2647" s="12"/>
      <c r="BC2647" s="12"/>
      <c r="BD2647" s="12"/>
      <c r="BE2647" s="44"/>
      <c r="BF2647" s="45"/>
      <c r="BG2647" s="12"/>
      <c r="BH2647" s="12"/>
      <c r="BI2647" s="12"/>
      <c r="BJ2647" s="12"/>
      <c r="BK2647" s="44"/>
      <c r="BL2647" s="45"/>
      <c r="BM2647" s="12"/>
      <c r="BN2647" s="12"/>
      <c r="BO2647" s="12"/>
      <c r="BP2647" s="12"/>
      <c r="BQ2647" s="48"/>
      <c r="BR2647" s="49"/>
      <c r="BS2647" s="13"/>
      <c r="BT2647" s="12"/>
      <c r="BV2647" s="14"/>
      <c r="BW2647" s="50"/>
      <c r="BX2647" s="54"/>
      <c r="BY2647" s="14"/>
      <c r="BZ2647" s="14"/>
      <c r="CA2647" s="14"/>
      <c r="CB2647" s="14"/>
      <c r="CC2647" s="14"/>
      <c r="CD2647" s="14"/>
      <c r="CE2647" s="14"/>
      <c r="CF2647" s="15"/>
      <c r="CG2647" s="14"/>
      <c r="CH2647" s="14"/>
      <c r="CI2647" s="50"/>
      <c r="CJ2647" s="54"/>
      <c r="CK2647" s="14"/>
      <c r="CL2647" s="14"/>
      <c r="CM2647" s="14"/>
      <c r="CN2647" s="14"/>
      <c r="CO2647" s="14"/>
      <c r="CP2647" s="14"/>
      <c r="CQ2647" s="14"/>
      <c r="CR2647" s="14"/>
      <c r="CS2647" s="14"/>
      <c r="CT2647" s="14"/>
      <c r="CU2647" s="16"/>
      <c r="CV2647" s="14"/>
      <c r="CW2647" s="50"/>
      <c r="CX2647" s="17"/>
    </row>
    <row r="2648" spans="4:102" x14ac:dyDescent="0.25">
      <c r="D2648" s="11"/>
      <c r="E2648" s="11"/>
      <c r="F2648" s="11"/>
      <c r="G2648" s="11"/>
      <c r="H2648" s="11"/>
      <c r="I2648" s="11"/>
      <c r="J2648" s="11"/>
      <c r="K2648" s="11"/>
      <c r="L2648" s="11"/>
      <c r="M2648" s="11"/>
      <c r="N2648" s="11"/>
      <c r="O2648" s="11"/>
      <c r="P2648" s="43"/>
      <c r="Q2648" s="11"/>
      <c r="R2648" s="11"/>
      <c r="S2648" s="11"/>
      <c r="T2648" s="11"/>
      <c r="U2648" s="11"/>
      <c r="V2648" s="11"/>
      <c r="W2648" s="11"/>
      <c r="X2648" s="12"/>
      <c r="Y2648" s="12"/>
      <c r="Z2648" s="12"/>
      <c r="AA2648" s="44"/>
      <c r="AB2648" s="45"/>
      <c r="AC2648" s="12"/>
      <c r="AD2648" s="12"/>
      <c r="AE2648" s="12"/>
      <c r="AF2648" s="12"/>
      <c r="AG2648" s="44"/>
      <c r="AH2648" s="45"/>
      <c r="AI2648" s="12"/>
      <c r="AJ2648" s="12"/>
      <c r="AK2648" s="12"/>
      <c r="AL2648" s="12"/>
      <c r="AM2648" s="44"/>
      <c r="AN2648" s="45"/>
      <c r="AO2648" s="12"/>
      <c r="AP2648" s="12"/>
      <c r="AQ2648" s="12"/>
      <c r="AR2648" s="12"/>
      <c r="AS2648" s="44"/>
      <c r="AT2648" s="45"/>
      <c r="AU2648" s="12"/>
      <c r="AV2648" s="12"/>
      <c r="AW2648" s="12"/>
      <c r="AX2648" s="12"/>
      <c r="AY2648" s="44"/>
      <c r="AZ2648" s="45"/>
      <c r="BA2648" s="12"/>
      <c r="BB2648" s="12"/>
      <c r="BC2648" s="12"/>
      <c r="BD2648" s="12"/>
      <c r="BE2648" s="44"/>
      <c r="BF2648" s="45"/>
      <c r="BG2648" s="12"/>
      <c r="BH2648" s="12"/>
      <c r="BI2648" s="12"/>
      <c r="BJ2648" s="12"/>
      <c r="BK2648" s="44"/>
      <c r="BL2648" s="45"/>
      <c r="BM2648" s="12"/>
      <c r="BN2648" s="12"/>
      <c r="BO2648" s="12"/>
      <c r="BP2648" s="12"/>
      <c r="BQ2648" s="48"/>
      <c r="BR2648" s="49"/>
      <c r="BS2648" s="13"/>
      <c r="BT2648" s="12"/>
      <c r="BV2648" s="14"/>
      <c r="BW2648" s="50"/>
      <c r="BX2648" s="54"/>
      <c r="BY2648" s="14"/>
      <c r="BZ2648" s="14"/>
      <c r="CA2648" s="14"/>
      <c r="CB2648" s="14"/>
      <c r="CC2648" s="14"/>
      <c r="CD2648" s="14"/>
      <c r="CE2648" s="14"/>
      <c r="CF2648" s="15"/>
      <c r="CG2648" s="14"/>
      <c r="CH2648" s="14"/>
      <c r="CI2648" s="50"/>
      <c r="CJ2648" s="54"/>
      <c r="CK2648" s="14"/>
      <c r="CL2648" s="14"/>
      <c r="CM2648" s="14"/>
      <c r="CN2648" s="14"/>
      <c r="CO2648" s="14"/>
      <c r="CP2648" s="14"/>
      <c r="CQ2648" s="14"/>
      <c r="CR2648" s="14"/>
      <c r="CS2648" s="14"/>
      <c r="CT2648" s="14"/>
      <c r="CU2648" s="16"/>
      <c r="CV2648" s="14"/>
      <c r="CW2648" s="50"/>
      <c r="CX2648" s="17"/>
    </row>
    <row r="2649" spans="4:102" x14ac:dyDescent="0.25">
      <c r="D2649" s="11"/>
      <c r="E2649" s="11"/>
      <c r="F2649" s="11"/>
      <c r="G2649" s="11"/>
      <c r="H2649" s="11"/>
      <c r="I2649" s="11"/>
      <c r="J2649" s="11"/>
      <c r="K2649" s="11"/>
      <c r="L2649" s="11"/>
      <c r="M2649" s="11"/>
      <c r="N2649" s="11"/>
      <c r="O2649" s="11"/>
      <c r="P2649" s="43"/>
      <c r="Q2649" s="11"/>
      <c r="R2649" s="11"/>
      <c r="S2649" s="11"/>
      <c r="T2649" s="11"/>
      <c r="U2649" s="11"/>
      <c r="V2649" s="11"/>
      <c r="W2649" s="11"/>
      <c r="X2649" s="12"/>
      <c r="Y2649" s="12"/>
      <c r="Z2649" s="12"/>
      <c r="AA2649" s="44"/>
      <c r="AB2649" s="45"/>
      <c r="AC2649" s="12"/>
      <c r="AD2649" s="12"/>
      <c r="AE2649" s="12"/>
      <c r="AF2649" s="12"/>
      <c r="AG2649" s="44"/>
      <c r="AH2649" s="45"/>
      <c r="AI2649" s="12"/>
      <c r="AJ2649" s="12"/>
      <c r="AK2649" s="12"/>
      <c r="AL2649" s="12"/>
      <c r="AM2649" s="44"/>
      <c r="AN2649" s="45"/>
      <c r="AO2649" s="12"/>
      <c r="AP2649" s="12"/>
      <c r="AQ2649" s="12"/>
      <c r="AR2649" s="12"/>
      <c r="AS2649" s="44"/>
      <c r="AT2649" s="45"/>
      <c r="AU2649" s="12"/>
      <c r="AV2649" s="12"/>
      <c r="AW2649" s="12"/>
      <c r="AX2649" s="12"/>
      <c r="AY2649" s="44"/>
      <c r="AZ2649" s="45"/>
      <c r="BA2649" s="12"/>
      <c r="BB2649" s="12"/>
      <c r="BC2649" s="12"/>
      <c r="BD2649" s="12"/>
      <c r="BE2649" s="44"/>
      <c r="BF2649" s="45"/>
      <c r="BG2649" s="12"/>
      <c r="BH2649" s="12"/>
      <c r="BI2649" s="12"/>
      <c r="BJ2649" s="12"/>
      <c r="BK2649" s="44"/>
      <c r="BL2649" s="45"/>
      <c r="BM2649" s="12"/>
      <c r="BN2649" s="12"/>
      <c r="BO2649" s="12"/>
      <c r="BP2649" s="12"/>
      <c r="BQ2649" s="48"/>
      <c r="BR2649" s="49"/>
      <c r="BS2649" s="13"/>
      <c r="BT2649" s="12"/>
      <c r="BV2649" s="14"/>
      <c r="BW2649" s="50"/>
      <c r="BX2649" s="54"/>
      <c r="BY2649" s="14"/>
      <c r="BZ2649" s="14"/>
      <c r="CA2649" s="14"/>
      <c r="CB2649" s="14"/>
      <c r="CC2649" s="14"/>
      <c r="CD2649" s="14"/>
      <c r="CE2649" s="14"/>
      <c r="CF2649" s="15"/>
      <c r="CG2649" s="14"/>
      <c r="CH2649" s="14"/>
      <c r="CI2649" s="50"/>
      <c r="CJ2649" s="54"/>
      <c r="CK2649" s="14"/>
      <c r="CL2649" s="14"/>
      <c r="CM2649" s="14"/>
      <c r="CN2649" s="14"/>
      <c r="CO2649" s="14"/>
      <c r="CP2649" s="14"/>
      <c r="CQ2649" s="14"/>
      <c r="CR2649" s="14"/>
      <c r="CS2649" s="14"/>
      <c r="CT2649" s="14"/>
      <c r="CU2649" s="16"/>
      <c r="CV2649" s="14"/>
      <c r="CW2649" s="50"/>
      <c r="CX2649" s="17"/>
    </row>
    <row r="2650" spans="4:102" x14ac:dyDescent="0.25">
      <c r="D2650" s="11"/>
      <c r="E2650" s="11"/>
      <c r="F2650" s="11"/>
      <c r="G2650" s="11"/>
      <c r="H2650" s="11"/>
      <c r="I2650" s="11"/>
      <c r="J2650" s="11"/>
      <c r="K2650" s="11"/>
      <c r="L2650" s="11"/>
      <c r="M2650" s="11"/>
      <c r="N2650" s="11"/>
      <c r="O2650" s="11"/>
      <c r="P2650" s="43"/>
      <c r="Q2650" s="11"/>
      <c r="R2650" s="11"/>
      <c r="S2650" s="11"/>
      <c r="T2650" s="11"/>
      <c r="U2650" s="11"/>
      <c r="V2650" s="11"/>
      <c r="W2650" s="11"/>
      <c r="X2650" s="12"/>
      <c r="Y2650" s="12"/>
      <c r="Z2650" s="12"/>
      <c r="AA2650" s="44"/>
      <c r="AB2650" s="45"/>
      <c r="AC2650" s="12"/>
      <c r="AD2650" s="12"/>
      <c r="AE2650" s="12"/>
      <c r="AF2650" s="12"/>
      <c r="AG2650" s="44"/>
      <c r="AH2650" s="45"/>
      <c r="AI2650" s="12"/>
      <c r="AJ2650" s="12"/>
      <c r="AK2650" s="12"/>
      <c r="AL2650" s="12"/>
      <c r="AM2650" s="44"/>
      <c r="AN2650" s="45"/>
      <c r="AO2650" s="12"/>
      <c r="AP2650" s="12"/>
      <c r="AQ2650" s="12"/>
      <c r="AR2650" s="12"/>
      <c r="AS2650" s="44"/>
      <c r="AT2650" s="45"/>
      <c r="AU2650" s="12"/>
      <c r="AV2650" s="12"/>
      <c r="AW2650" s="12"/>
      <c r="AX2650" s="12"/>
      <c r="AY2650" s="44"/>
      <c r="AZ2650" s="45"/>
      <c r="BA2650" s="12"/>
      <c r="BB2650" s="12"/>
      <c r="BC2650" s="12"/>
      <c r="BD2650" s="12"/>
      <c r="BE2650" s="44"/>
      <c r="BF2650" s="45"/>
      <c r="BG2650" s="12"/>
      <c r="BH2650" s="12"/>
      <c r="BI2650" s="12"/>
      <c r="BJ2650" s="12"/>
      <c r="BK2650" s="44"/>
      <c r="BL2650" s="45"/>
      <c r="BM2650" s="12"/>
      <c r="BN2650" s="12"/>
      <c r="BO2650" s="12"/>
      <c r="BP2650" s="12"/>
      <c r="BQ2650" s="48"/>
      <c r="BR2650" s="49"/>
      <c r="BS2650" s="13"/>
      <c r="BT2650" s="12"/>
      <c r="BV2650" s="14"/>
      <c r="BW2650" s="50"/>
      <c r="BX2650" s="54"/>
      <c r="BY2650" s="14"/>
      <c r="BZ2650" s="14"/>
      <c r="CA2650" s="14"/>
      <c r="CB2650" s="14"/>
      <c r="CC2650" s="14"/>
      <c r="CD2650" s="14"/>
      <c r="CE2650" s="14"/>
      <c r="CF2650" s="15"/>
      <c r="CG2650" s="14"/>
      <c r="CH2650" s="14"/>
      <c r="CI2650" s="50"/>
      <c r="CJ2650" s="54"/>
      <c r="CK2650" s="14"/>
      <c r="CL2650" s="14"/>
      <c r="CM2650" s="14"/>
      <c r="CN2650" s="14"/>
      <c r="CO2650" s="14"/>
      <c r="CP2650" s="14"/>
      <c r="CQ2650" s="14"/>
      <c r="CR2650" s="14"/>
      <c r="CS2650" s="14"/>
      <c r="CT2650" s="14"/>
      <c r="CU2650" s="16"/>
      <c r="CV2650" s="14"/>
      <c r="CW2650" s="50"/>
      <c r="CX2650" s="17"/>
    </row>
    <row r="2651" spans="4:102" x14ac:dyDescent="0.25">
      <c r="D2651" s="11"/>
      <c r="E2651" s="11"/>
      <c r="F2651" s="11"/>
      <c r="G2651" s="11"/>
      <c r="H2651" s="11"/>
      <c r="I2651" s="11"/>
      <c r="J2651" s="11"/>
      <c r="K2651" s="11"/>
      <c r="L2651" s="11"/>
      <c r="M2651" s="11"/>
      <c r="N2651" s="11"/>
      <c r="O2651" s="11"/>
      <c r="P2651" s="43"/>
      <c r="Q2651" s="11"/>
      <c r="R2651" s="11"/>
      <c r="S2651" s="11"/>
      <c r="T2651" s="11"/>
      <c r="U2651" s="11"/>
      <c r="V2651" s="11"/>
      <c r="W2651" s="11"/>
      <c r="X2651" s="12"/>
      <c r="Y2651" s="12"/>
      <c r="Z2651" s="12"/>
      <c r="AA2651" s="44"/>
      <c r="AB2651" s="45"/>
      <c r="AC2651" s="12"/>
      <c r="AD2651" s="12"/>
      <c r="AE2651" s="12"/>
      <c r="AF2651" s="12"/>
      <c r="AG2651" s="44"/>
      <c r="AH2651" s="45"/>
      <c r="AI2651" s="12"/>
      <c r="AJ2651" s="12"/>
      <c r="AK2651" s="12"/>
      <c r="AL2651" s="12"/>
      <c r="AM2651" s="44"/>
      <c r="AN2651" s="45"/>
      <c r="AO2651" s="12"/>
      <c r="AP2651" s="12"/>
      <c r="AQ2651" s="12"/>
      <c r="AR2651" s="12"/>
      <c r="AS2651" s="44"/>
      <c r="AT2651" s="45"/>
      <c r="AU2651" s="12"/>
      <c r="AV2651" s="12"/>
      <c r="AW2651" s="12"/>
      <c r="AX2651" s="12"/>
      <c r="AY2651" s="44"/>
      <c r="AZ2651" s="45"/>
      <c r="BA2651" s="12"/>
      <c r="BB2651" s="12"/>
      <c r="BC2651" s="12"/>
      <c r="BD2651" s="12"/>
      <c r="BE2651" s="44"/>
      <c r="BF2651" s="45"/>
      <c r="BG2651" s="12"/>
      <c r="BH2651" s="12"/>
      <c r="BI2651" s="12"/>
      <c r="BJ2651" s="12"/>
      <c r="BK2651" s="44"/>
      <c r="BL2651" s="45"/>
      <c r="BM2651" s="12"/>
      <c r="BN2651" s="12"/>
      <c r="BO2651" s="12"/>
      <c r="BP2651" s="12"/>
      <c r="BQ2651" s="48"/>
      <c r="BR2651" s="49"/>
      <c r="BS2651" s="13"/>
      <c r="BT2651" s="12"/>
      <c r="BV2651" s="14"/>
      <c r="BW2651" s="50"/>
      <c r="BX2651" s="54"/>
      <c r="BY2651" s="14"/>
      <c r="BZ2651" s="14"/>
      <c r="CA2651" s="14"/>
      <c r="CB2651" s="14"/>
      <c r="CC2651" s="14"/>
      <c r="CD2651" s="14"/>
      <c r="CE2651" s="14"/>
      <c r="CF2651" s="15"/>
      <c r="CG2651" s="14"/>
      <c r="CH2651" s="14"/>
      <c r="CI2651" s="50"/>
      <c r="CJ2651" s="54"/>
      <c r="CK2651" s="14"/>
      <c r="CL2651" s="14"/>
      <c r="CM2651" s="14"/>
      <c r="CN2651" s="14"/>
      <c r="CO2651" s="14"/>
      <c r="CP2651" s="14"/>
      <c r="CQ2651" s="14"/>
      <c r="CR2651" s="14"/>
      <c r="CS2651" s="14"/>
      <c r="CT2651" s="14"/>
      <c r="CU2651" s="16"/>
      <c r="CV2651" s="14"/>
      <c r="CW2651" s="50"/>
      <c r="CX2651" s="17"/>
    </row>
    <row r="2652" spans="4:102" x14ac:dyDescent="0.25">
      <c r="D2652" s="11"/>
      <c r="E2652" s="11"/>
      <c r="F2652" s="11"/>
      <c r="G2652" s="11"/>
      <c r="H2652" s="11"/>
      <c r="I2652" s="11"/>
      <c r="J2652" s="11"/>
      <c r="K2652" s="11"/>
      <c r="L2652" s="11"/>
      <c r="M2652" s="11"/>
      <c r="N2652" s="11"/>
      <c r="O2652" s="11"/>
      <c r="P2652" s="43"/>
      <c r="Q2652" s="11"/>
      <c r="R2652" s="11"/>
      <c r="S2652" s="11"/>
      <c r="T2652" s="11"/>
      <c r="U2652" s="11"/>
      <c r="V2652" s="11"/>
      <c r="W2652" s="11"/>
      <c r="X2652" s="12"/>
      <c r="Y2652" s="12"/>
      <c r="Z2652" s="12"/>
      <c r="AA2652" s="44"/>
      <c r="AB2652" s="45"/>
      <c r="AC2652" s="12"/>
      <c r="AD2652" s="12"/>
      <c r="AE2652" s="12"/>
      <c r="AF2652" s="12"/>
      <c r="AG2652" s="44"/>
      <c r="AH2652" s="45"/>
      <c r="AI2652" s="12"/>
      <c r="AJ2652" s="12"/>
      <c r="AK2652" s="12"/>
      <c r="AL2652" s="12"/>
      <c r="AM2652" s="44"/>
      <c r="AN2652" s="45"/>
      <c r="AO2652" s="12"/>
      <c r="AP2652" s="12"/>
      <c r="AQ2652" s="12"/>
      <c r="AR2652" s="12"/>
      <c r="AS2652" s="44"/>
      <c r="AT2652" s="45"/>
      <c r="AU2652" s="12"/>
      <c r="AV2652" s="12"/>
      <c r="AW2652" s="12"/>
      <c r="AX2652" s="12"/>
      <c r="AY2652" s="44"/>
      <c r="AZ2652" s="45"/>
      <c r="BA2652" s="12"/>
      <c r="BB2652" s="12"/>
      <c r="BC2652" s="12"/>
      <c r="BD2652" s="12"/>
      <c r="BE2652" s="44"/>
      <c r="BF2652" s="45"/>
      <c r="BG2652" s="12"/>
      <c r="BH2652" s="12"/>
      <c r="BI2652" s="12"/>
      <c r="BJ2652" s="12"/>
      <c r="BK2652" s="44"/>
      <c r="BL2652" s="45"/>
      <c r="BM2652" s="12"/>
      <c r="BN2652" s="12"/>
      <c r="BO2652" s="12"/>
      <c r="BP2652" s="12"/>
      <c r="BQ2652" s="48"/>
      <c r="BR2652" s="49"/>
      <c r="BS2652" s="13"/>
      <c r="BT2652" s="12"/>
      <c r="BV2652" s="14"/>
      <c r="BW2652" s="50"/>
      <c r="BX2652" s="54"/>
      <c r="BY2652" s="14"/>
      <c r="BZ2652" s="14"/>
      <c r="CA2652" s="14"/>
      <c r="CB2652" s="14"/>
      <c r="CC2652" s="14"/>
      <c r="CD2652" s="14"/>
      <c r="CE2652" s="14"/>
      <c r="CF2652" s="15"/>
      <c r="CG2652" s="14"/>
      <c r="CH2652" s="14"/>
      <c r="CI2652" s="50"/>
      <c r="CJ2652" s="54"/>
      <c r="CK2652" s="14"/>
      <c r="CL2652" s="14"/>
      <c r="CM2652" s="14"/>
      <c r="CN2652" s="14"/>
      <c r="CO2652" s="14"/>
      <c r="CP2652" s="14"/>
      <c r="CQ2652" s="14"/>
      <c r="CR2652" s="14"/>
      <c r="CS2652" s="14"/>
      <c r="CT2652" s="14"/>
      <c r="CU2652" s="16"/>
      <c r="CV2652" s="14"/>
      <c r="CW2652" s="50"/>
      <c r="CX2652" s="17"/>
    </row>
    <row r="2653" spans="4:102" x14ac:dyDescent="0.25">
      <c r="D2653" s="11"/>
      <c r="E2653" s="11"/>
      <c r="F2653" s="11"/>
      <c r="G2653" s="11"/>
      <c r="H2653" s="11"/>
      <c r="I2653" s="11"/>
      <c r="J2653" s="11"/>
      <c r="K2653" s="11"/>
      <c r="L2653" s="11"/>
      <c r="M2653" s="11"/>
      <c r="N2653" s="11"/>
      <c r="O2653" s="11"/>
      <c r="P2653" s="43"/>
      <c r="Q2653" s="11"/>
      <c r="R2653" s="11"/>
      <c r="S2653" s="11"/>
      <c r="T2653" s="11"/>
      <c r="U2653" s="11"/>
      <c r="V2653" s="11"/>
      <c r="W2653" s="11"/>
      <c r="X2653" s="12"/>
      <c r="Y2653" s="12"/>
      <c r="Z2653" s="12"/>
      <c r="AA2653" s="44"/>
      <c r="AB2653" s="45"/>
      <c r="AC2653" s="12"/>
      <c r="AD2653" s="12"/>
      <c r="AE2653" s="12"/>
      <c r="AF2653" s="12"/>
      <c r="AG2653" s="44"/>
      <c r="AH2653" s="45"/>
      <c r="AI2653" s="12"/>
      <c r="AJ2653" s="12"/>
      <c r="AK2653" s="12"/>
      <c r="AL2653" s="12"/>
      <c r="AM2653" s="44"/>
      <c r="AN2653" s="45"/>
      <c r="AO2653" s="12"/>
      <c r="AP2653" s="12"/>
      <c r="AQ2653" s="12"/>
      <c r="AR2653" s="12"/>
      <c r="AS2653" s="44"/>
      <c r="AT2653" s="45"/>
      <c r="AU2653" s="12"/>
      <c r="AV2653" s="12"/>
      <c r="AW2653" s="12"/>
      <c r="AX2653" s="12"/>
      <c r="AY2653" s="44"/>
      <c r="AZ2653" s="45"/>
      <c r="BA2653" s="12"/>
      <c r="BB2653" s="12"/>
      <c r="BC2653" s="12"/>
      <c r="BD2653" s="12"/>
      <c r="BE2653" s="44"/>
      <c r="BF2653" s="45"/>
      <c r="BG2653" s="12"/>
      <c r="BH2653" s="12"/>
      <c r="BI2653" s="12"/>
      <c r="BJ2653" s="12"/>
      <c r="BK2653" s="44"/>
      <c r="BL2653" s="45"/>
      <c r="BM2653" s="12"/>
      <c r="BN2653" s="12"/>
      <c r="BO2653" s="12"/>
      <c r="BP2653" s="12"/>
      <c r="BQ2653" s="48"/>
      <c r="BR2653" s="49"/>
      <c r="BS2653" s="13"/>
      <c r="BT2653" s="12"/>
      <c r="BV2653" s="14"/>
      <c r="BW2653" s="50"/>
      <c r="BX2653" s="54"/>
      <c r="BY2653" s="14"/>
      <c r="BZ2653" s="14"/>
      <c r="CA2653" s="14"/>
      <c r="CB2653" s="14"/>
      <c r="CC2653" s="14"/>
      <c r="CD2653" s="14"/>
      <c r="CE2653" s="14"/>
      <c r="CF2653" s="15"/>
      <c r="CG2653" s="14"/>
      <c r="CH2653" s="14"/>
      <c r="CI2653" s="50"/>
      <c r="CJ2653" s="54"/>
      <c r="CK2653" s="14"/>
      <c r="CL2653" s="14"/>
      <c r="CM2653" s="14"/>
      <c r="CN2653" s="14"/>
      <c r="CO2653" s="14"/>
      <c r="CP2653" s="14"/>
      <c r="CQ2653" s="14"/>
      <c r="CR2653" s="14"/>
      <c r="CS2653" s="14"/>
      <c r="CT2653" s="14"/>
      <c r="CU2653" s="16"/>
      <c r="CV2653" s="14"/>
      <c r="CW2653" s="50"/>
      <c r="CX2653" s="17"/>
    </row>
    <row r="2654" spans="4:102" x14ac:dyDescent="0.25">
      <c r="D2654" s="11"/>
      <c r="E2654" s="11"/>
      <c r="F2654" s="11"/>
      <c r="G2654" s="11"/>
      <c r="H2654" s="11"/>
      <c r="I2654" s="11"/>
      <c r="J2654" s="11"/>
      <c r="K2654" s="11"/>
      <c r="L2654" s="11"/>
      <c r="M2654" s="11"/>
      <c r="N2654" s="11"/>
      <c r="O2654" s="11"/>
      <c r="P2654" s="43"/>
      <c r="Q2654" s="11"/>
      <c r="R2654" s="11"/>
      <c r="S2654" s="11"/>
      <c r="T2654" s="11"/>
      <c r="U2654" s="11"/>
      <c r="V2654" s="11"/>
      <c r="W2654" s="11"/>
      <c r="X2654" s="12"/>
      <c r="Y2654" s="12"/>
      <c r="Z2654" s="12"/>
      <c r="AA2654" s="44"/>
      <c r="AB2654" s="45"/>
      <c r="AC2654" s="12"/>
      <c r="AD2654" s="12"/>
      <c r="AE2654" s="12"/>
      <c r="AF2654" s="12"/>
      <c r="AG2654" s="44"/>
      <c r="AH2654" s="45"/>
      <c r="AI2654" s="12"/>
      <c r="AJ2654" s="12"/>
      <c r="AK2654" s="12"/>
      <c r="AL2654" s="12"/>
      <c r="AM2654" s="44"/>
      <c r="AN2654" s="45"/>
      <c r="AO2654" s="12"/>
      <c r="AP2654" s="12"/>
      <c r="AQ2654" s="12"/>
      <c r="AR2654" s="12"/>
      <c r="AS2654" s="44"/>
      <c r="AT2654" s="45"/>
      <c r="AU2654" s="12"/>
      <c r="AV2654" s="12"/>
      <c r="AW2654" s="12"/>
      <c r="AX2654" s="12"/>
      <c r="AY2654" s="44"/>
      <c r="AZ2654" s="45"/>
      <c r="BA2654" s="12"/>
      <c r="BB2654" s="12"/>
      <c r="BC2654" s="12"/>
      <c r="BD2654" s="12"/>
      <c r="BE2654" s="44"/>
      <c r="BF2654" s="45"/>
      <c r="BG2654" s="12"/>
      <c r="BH2654" s="12"/>
      <c r="BI2654" s="12"/>
      <c r="BJ2654" s="12"/>
      <c r="BK2654" s="44"/>
      <c r="BL2654" s="45"/>
      <c r="BM2654" s="12"/>
      <c r="BN2654" s="12"/>
      <c r="BO2654" s="12"/>
      <c r="BP2654" s="12"/>
      <c r="BQ2654" s="48"/>
      <c r="BR2654" s="49"/>
      <c r="BS2654" s="13"/>
      <c r="BT2654" s="12"/>
      <c r="BV2654" s="14"/>
      <c r="BW2654" s="50"/>
      <c r="BX2654" s="54"/>
      <c r="BY2654" s="14"/>
      <c r="BZ2654" s="14"/>
      <c r="CA2654" s="14"/>
      <c r="CB2654" s="14"/>
      <c r="CC2654" s="14"/>
      <c r="CD2654" s="14"/>
      <c r="CE2654" s="14"/>
      <c r="CF2654" s="15"/>
      <c r="CG2654" s="14"/>
      <c r="CH2654" s="14"/>
      <c r="CI2654" s="50"/>
      <c r="CJ2654" s="54"/>
      <c r="CK2654" s="14"/>
      <c r="CL2654" s="14"/>
      <c r="CM2654" s="14"/>
      <c r="CN2654" s="14"/>
      <c r="CO2654" s="14"/>
      <c r="CP2654" s="14"/>
      <c r="CQ2654" s="14"/>
      <c r="CR2654" s="14"/>
      <c r="CS2654" s="14"/>
      <c r="CT2654" s="14"/>
      <c r="CU2654" s="16"/>
      <c r="CV2654" s="14"/>
      <c r="CW2654" s="50"/>
      <c r="CX2654" s="17"/>
    </row>
    <row r="2655" spans="4:102" x14ac:dyDescent="0.25">
      <c r="D2655" s="11"/>
      <c r="E2655" s="11"/>
      <c r="F2655" s="11"/>
      <c r="G2655" s="11"/>
      <c r="H2655" s="11"/>
      <c r="I2655" s="11"/>
      <c r="J2655" s="11"/>
      <c r="K2655" s="11"/>
      <c r="L2655" s="11"/>
      <c r="M2655" s="11"/>
      <c r="N2655" s="11"/>
      <c r="O2655" s="11"/>
      <c r="P2655" s="43"/>
      <c r="Q2655" s="11"/>
      <c r="R2655" s="11"/>
      <c r="S2655" s="11"/>
      <c r="T2655" s="11"/>
      <c r="U2655" s="11"/>
      <c r="V2655" s="11"/>
      <c r="W2655" s="11"/>
      <c r="X2655" s="12"/>
      <c r="Y2655" s="12"/>
      <c r="Z2655" s="12"/>
      <c r="AA2655" s="44"/>
      <c r="AB2655" s="45"/>
      <c r="AC2655" s="12"/>
      <c r="AD2655" s="12"/>
      <c r="AE2655" s="12"/>
      <c r="AF2655" s="12"/>
      <c r="AG2655" s="44"/>
      <c r="AH2655" s="45"/>
      <c r="AI2655" s="12"/>
      <c r="AJ2655" s="12"/>
      <c r="AK2655" s="12"/>
      <c r="AL2655" s="12"/>
      <c r="AM2655" s="44"/>
      <c r="AN2655" s="45"/>
      <c r="AO2655" s="12"/>
      <c r="AP2655" s="12"/>
      <c r="AQ2655" s="12"/>
      <c r="AR2655" s="12"/>
      <c r="AS2655" s="44"/>
      <c r="AT2655" s="45"/>
      <c r="AU2655" s="12"/>
      <c r="AV2655" s="12"/>
      <c r="AW2655" s="12"/>
      <c r="AX2655" s="12"/>
      <c r="AY2655" s="44"/>
      <c r="AZ2655" s="45"/>
      <c r="BA2655" s="12"/>
      <c r="BB2655" s="12"/>
      <c r="BC2655" s="12"/>
      <c r="BD2655" s="12"/>
      <c r="BE2655" s="44"/>
      <c r="BF2655" s="45"/>
      <c r="BG2655" s="12"/>
      <c r="BH2655" s="12"/>
      <c r="BI2655" s="12"/>
      <c r="BJ2655" s="12"/>
      <c r="BK2655" s="44"/>
      <c r="BL2655" s="45"/>
      <c r="BM2655" s="12"/>
      <c r="BN2655" s="12"/>
      <c r="BO2655" s="12"/>
      <c r="BP2655" s="12"/>
      <c r="BQ2655" s="48"/>
      <c r="BR2655" s="49"/>
      <c r="BS2655" s="13"/>
      <c r="BT2655" s="12"/>
      <c r="BV2655" s="14"/>
      <c r="BW2655" s="50"/>
      <c r="BX2655" s="54"/>
      <c r="BY2655" s="14"/>
      <c r="BZ2655" s="14"/>
      <c r="CA2655" s="14"/>
      <c r="CB2655" s="14"/>
      <c r="CC2655" s="14"/>
      <c r="CD2655" s="14"/>
      <c r="CE2655" s="14"/>
      <c r="CF2655" s="15"/>
      <c r="CG2655" s="14"/>
      <c r="CH2655" s="14"/>
      <c r="CI2655" s="50"/>
      <c r="CJ2655" s="54"/>
      <c r="CK2655" s="14"/>
      <c r="CL2655" s="14"/>
      <c r="CM2655" s="14"/>
      <c r="CN2655" s="14"/>
      <c r="CO2655" s="14"/>
      <c r="CP2655" s="14"/>
      <c r="CQ2655" s="14"/>
      <c r="CR2655" s="14"/>
      <c r="CS2655" s="14"/>
      <c r="CT2655" s="14"/>
      <c r="CU2655" s="16"/>
      <c r="CV2655" s="14"/>
      <c r="CW2655" s="50"/>
      <c r="CX2655" s="17"/>
    </row>
    <row r="2656" spans="4:102" x14ac:dyDescent="0.25">
      <c r="D2656" s="11"/>
      <c r="E2656" s="11"/>
      <c r="F2656" s="11"/>
      <c r="G2656" s="11"/>
      <c r="H2656" s="11"/>
      <c r="I2656" s="11"/>
      <c r="J2656" s="11"/>
      <c r="K2656" s="11"/>
      <c r="L2656" s="11"/>
      <c r="M2656" s="11"/>
      <c r="N2656" s="11"/>
      <c r="O2656" s="11"/>
      <c r="P2656" s="43"/>
      <c r="Q2656" s="11"/>
      <c r="R2656" s="11"/>
      <c r="S2656" s="11"/>
      <c r="T2656" s="11"/>
      <c r="U2656" s="11"/>
      <c r="V2656" s="11"/>
      <c r="W2656" s="11"/>
      <c r="X2656" s="12"/>
      <c r="Y2656" s="12"/>
      <c r="Z2656" s="12"/>
      <c r="AA2656" s="44"/>
      <c r="AB2656" s="45"/>
      <c r="AC2656" s="12"/>
      <c r="AD2656" s="12"/>
      <c r="AE2656" s="12"/>
      <c r="AF2656" s="12"/>
      <c r="AG2656" s="44"/>
      <c r="AH2656" s="45"/>
      <c r="AI2656" s="12"/>
      <c r="AJ2656" s="12"/>
      <c r="AK2656" s="12"/>
      <c r="AL2656" s="12"/>
      <c r="AM2656" s="44"/>
      <c r="AN2656" s="45"/>
      <c r="AO2656" s="12"/>
      <c r="AP2656" s="12"/>
      <c r="AQ2656" s="12"/>
      <c r="AR2656" s="12"/>
      <c r="AS2656" s="44"/>
      <c r="AT2656" s="45"/>
      <c r="AU2656" s="12"/>
      <c r="AV2656" s="12"/>
      <c r="AW2656" s="12"/>
      <c r="AX2656" s="12"/>
      <c r="AY2656" s="44"/>
      <c r="AZ2656" s="45"/>
      <c r="BA2656" s="12"/>
      <c r="BB2656" s="12"/>
      <c r="BC2656" s="12"/>
      <c r="BD2656" s="12"/>
      <c r="BE2656" s="44"/>
      <c r="BF2656" s="45"/>
      <c r="BG2656" s="12"/>
      <c r="BH2656" s="12"/>
      <c r="BI2656" s="12"/>
      <c r="BJ2656" s="12"/>
      <c r="BK2656" s="44"/>
      <c r="BL2656" s="45"/>
      <c r="BM2656" s="12"/>
      <c r="BN2656" s="12"/>
      <c r="BO2656" s="12"/>
      <c r="BP2656" s="12"/>
      <c r="BQ2656" s="48"/>
      <c r="BR2656" s="49"/>
      <c r="BS2656" s="13"/>
      <c r="BT2656" s="12"/>
      <c r="BV2656" s="14"/>
      <c r="BW2656" s="50"/>
      <c r="BX2656" s="54"/>
      <c r="BY2656" s="14"/>
      <c r="BZ2656" s="14"/>
      <c r="CA2656" s="14"/>
      <c r="CB2656" s="14"/>
      <c r="CC2656" s="14"/>
      <c r="CD2656" s="14"/>
      <c r="CE2656" s="14"/>
      <c r="CF2656" s="15"/>
      <c r="CG2656" s="14"/>
      <c r="CH2656" s="14"/>
      <c r="CI2656" s="50"/>
      <c r="CJ2656" s="54"/>
      <c r="CK2656" s="14"/>
      <c r="CL2656" s="14"/>
      <c r="CM2656" s="14"/>
      <c r="CN2656" s="14"/>
      <c r="CO2656" s="14"/>
      <c r="CP2656" s="14"/>
      <c r="CQ2656" s="14"/>
      <c r="CR2656" s="14"/>
      <c r="CS2656" s="14"/>
      <c r="CT2656" s="14"/>
      <c r="CU2656" s="16"/>
      <c r="CV2656" s="14"/>
      <c r="CW2656" s="50"/>
      <c r="CX2656" s="17"/>
    </row>
    <row r="2657" spans="4:102" x14ac:dyDescent="0.25">
      <c r="D2657" s="11"/>
      <c r="E2657" s="11"/>
      <c r="F2657" s="11"/>
      <c r="G2657" s="11"/>
      <c r="H2657" s="11"/>
      <c r="I2657" s="11"/>
      <c r="J2657" s="11"/>
      <c r="K2657" s="11"/>
      <c r="L2657" s="11"/>
      <c r="M2657" s="11"/>
      <c r="N2657" s="11"/>
      <c r="O2657" s="11"/>
      <c r="P2657" s="43"/>
      <c r="Q2657" s="11"/>
      <c r="R2657" s="11"/>
      <c r="S2657" s="11"/>
      <c r="T2657" s="11"/>
      <c r="U2657" s="11"/>
      <c r="V2657" s="11"/>
      <c r="W2657" s="11"/>
      <c r="X2657" s="12"/>
      <c r="Y2657" s="12"/>
      <c r="Z2657" s="12"/>
      <c r="AA2657" s="44"/>
      <c r="AB2657" s="45"/>
      <c r="AC2657" s="12"/>
      <c r="AD2657" s="12"/>
      <c r="AE2657" s="12"/>
      <c r="AF2657" s="12"/>
      <c r="AG2657" s="44"/>
      <c r="AH2657" s="45"/>
      <c r="AI2657" s="12"/>
      <c r="AJ2657" s="12"/>
      <c r="AK2657" s="12"/>
      <c r="AL2657" s="12"/>
      <c r="AM2657" s="44"/>
      <c r="AN2657" s="45"/>
      <c r="AO2657" s="12"/>
      <c r="AP2657" s="12"/>
      <c r="AQ2657" s="12"/>
      <c r="AR2657" s="12"/>
      <c r="AS2657" s="44"/>
      <c r="AT2657" s="45"/>
      <c r="AU2657" s="12"/>
      <c r="AV2657" s="12"/>
      <c r="AW2657" s="12"/>
      <c r="AX2657" s="12"/>
      <c r="AY2657" s="44"/>
      <c r="AZ2657" s="45"/>
      <c r="BA2657" s="12"/>
      <c r="BB2657" s="12"/>
      <c r="BC2657" s="12"/>
      <c r="BD2657" s="12"/>
      <c r="BE2657" s="44"/>
      <c r="BF2657" s="45"/>
      <c r="BG2657" s="12"/>
      <c r="BH2657" s="12"/>
      <c r="BI2657" s="12"/>
      <c r="BJ2657" s="12"/>
      <c r="BK2657" s="44"/>
      <c r="BL2657" s="45"/>
      <c r="BM2657" s="12"/>
      <c r="BN2657" s="12"/>
      <c r="BO2657" s="12"/>
      <c r="BP2657" s="12"/>
      <c r="BQ2657" s="48"/>
      <c r="BR2657" s="49"/>
      <c r="BS2657" s="13"/>
      <c r="BT2657" s="12"/>
      <c r="BV2657" s="14"/>
      <c r="BW2657" s="50"/>
      <c r="BX2657" s="54"/>
      <c r="BY2657" s="14"/>
      <c r="BZ2657" s="14"/>
      <c r="CA2657" s="14"/>
      <c r="CB2657" s="14"/>
      <c r="CC2657" s="14"/>
      <c r="CD2657" s="14"/>
      <c r="CE2657" s="14"/>
      <c r="CF2657" s="15"/>
      <c r="CG2657" s="14"/>
      <c r="CH2657" s="14"/>
      <c r="CI2657" s="50"/>
      <c r="CJ2657" s="54"/>
      <c r="CK2657" s="14"/>
      <c r="CL2657" s="14"/>
      <c r="CM2657" s="14"/>
      <c r="CN2657" s="14"/>
      <c r="CO2657" s="14"/>
      <c r="CP2657" s="14"/>
      <c r="CQ2657" s="14"/>
      <c r="CR2657" s="14"/>
      <c r="CS2657" s="14"/>
      <c r="CT2657" s="14"/>
      <c r="CU2657" s="16"/>
      <c r="CV2657" s="14"/>
      <c r="CW2657" s="50"/>
      <c r="CX2657" s="17"/>
    </row>
    <row r="2658" spans="4:102" x14ac:dyDescent="0.25">
      <c r="D2658" s="11"/>
      <c r="E2658" s="11"/>
      <c r="F2658" s="11"/>
      <c r="G2658" s="11"/>
      <c r="H2658" s="11"/>
      <c r="I2658" s="11"/>
      <c r="J2658" s="11"/>
      <c r="K2658" s="11"/>
      <c r="L2658" s="11"/>
      <c r="M2658" s="11"/>
      <c r="N2658" s="11"/>
      <c r="O2658" s="11"/>
      <c r="P2658" s="43"/>
      <c r="Q2658" s="11"/>
      <c r="R2658" s="11"/>
      <c r="S2658" s="11"/>
      <c r="T2658" s="11"/>
      <c r="U2658" s="11"/>
      <c r="V2658" s="11"/>
      <c r="W2658" s="11"/>
      <c r="X2658" s="12"/>
      <c r="Y2658" s="12"/>
      <c r="Z2658" s="12"/>
      <c r="AA2658" s="44"/>
      <c r="AB2658" s="45"/>
      <c r="AC2658" s="12"/>
      <c r="AD2658" s="12"/>
      <c r="AE2658" s="12"/>
      <c r="AF2658" s="12"/>
      <c r="AG2658" s="44"/>
      <c r="AH2658" s="45"/>
      <c r="AI2658" s="12"/>
      <c r="AJ2658" s="12"/>
      <c r="AK2658" s="12"/>
      <c r="AL2658" s="12"/>
      <c r="AM2658" s="44"/>
      <c r="AN2658" s="45"/>
      <c r="AO2658" s="12"/>
      <c r="AP2658" s="12"/>
      <c r="AQ2658" s="12"/>
      <c r="AR2658" s="12"/>
      <c r="AS2658" s="44"/>
      <c r="AT2658" s="45"/>
      <c r="AU2658" s="12"/>
      <c r="AV2658" s="12"/>
      <c r="AW2658" s="12"/>
      <c r="AX2658" s="12"/>
      <c r="AY2658" s="44"/>
      <c r="AZ2658" s="45"/>
      <c r="BA2658" s="12"/>
      <c r="BB2658" s="12"/>
      <c r="BC2658" s="12"/>
      <c r="BD2658" s="12"/>
      <c r="BE2658" s="44"/>
      <c r="BF2658" s="45"/>
      <c r="BG2658" s="12"/>
      <c r="BH2658" s="12"/>
      <c r="BI2658" s="12"/>
      <c r="BJ2658" s="12"/>
      <c r="BK2658" s="44"/>
      <c r="BL2658" s="45"/>
      <c r="BM2658" s="12"/>
      <c r="BN2658" s="12"/>
      <c r="BO2658" s="12"/>
      <c r="BP2658" s="12"/>
      <c r="BQ2658" s="48"/>
      <c r="BR2658" s="49"/>
      <c r="BS2658" s="13"/>
      <c r="BT2658" s="12"/>
      <c r="BV2658" s="14"/>
      <c r="BW2658" s="50"/>
      <c r="BX2658" s="54"/>
      <c r="BY2658" s="14"/>
      <c r="BZ2658" s="14"/>
      <c r="CA2658" s="14"/>
      <c r="CB2658" s="14"/>
      <c r="CC2658" s="14"/>
      <c r="CD2658" s="14"/>
      <c r="CE2658" s="14"/>
      <c r="CF2658" s="15"/>
      <c r="CG2658" s="14"/>
      <c r="CH2658" s="14"/>
      <c r="CI2658" s="50"/>
      <c r="CJ2658" s="54"/>
      <c r="CK2658" s="14"/>
      <c r="CL2658" s="14"/>
      <c r="CM2658" s="14"/>
      <c r="CN2658" s="14"/>
      <c r="CO2658" s="14"/>
      <c r="CP2658" s="14"/>
      <c r="CQ2658" s="14"/>
      <c r="CR2658" s="14"/>
      <c r="CS2658" s="14"/>
      <c r="CT2658" s="14"/>
      <c r="CU2658" s="16"/>
      <c r="CV2658" s="14"/>
      <c r="CW2658" s="50"/>
      <c r="CX2658" s="17"/>
    </row>
    <row r="2659" spans="4:102" x14ac:dyDescent="0.25">
      <c r="D2659" s="11"/>
      <c r="E2659" s="11"/>
      <c r="F2659" s="11"/>
      <c r="G2659" s="11"/>
      <c r="H2659" s="11"/>
      <c r="I2659" s="11"/>
      <c r="J2659" s="11"/>
      <c r="K2659" s="11"/>
      <c r="L2659" s="11"/>
      <c r="M2659" s="11"/>
      <c r="N2659" s="11"/>
      <c r="O2659" s="11"/>
      <c r="P2659" s="43"/>
      <c r="Q2659" s="11"/>
      <c r="R2659" s="11"/>
      <c r="S2659" s="11"/>
      <c r="T2659" s="11"/>
      <c r="U2659" s="11"/>
      <c r="V2659" s="11"/>
      <c r="W2659" s="11"/>
      <c r="X2659" s="12"/>
      <c r="Y2659" s="12"/>
      <c r="Z2659" s="12"/>
      <c r="AA2659" s="44"/>
      <c r="AB2659" s="45"/>
      <c r="AC2659" s="12"/>
      <c r="AD2659" s="12"/>
      <c r="AE2659" s="12"/>
      <c r="AF2659" s="12"/>
      <c r="AG2659" s="44"/>
      <c r="AH2659" s="45"/>
      <c r="AI2659" s="12"/>
      <c r="AJ2659" s="12"/>
      <c r="AK2659" s="12"/>
      <c r="AL2659" s="12"/>
      <c r="AM2659" s="44"/>
      <c r="AN2659" s="45"/>
      <c r="AO2659" s="12"/>
      <c r="AP2659" s="12"/>
      <c r="AQ2659" s="12"/>
      <c r="AR2659" s="12"/>
      <c r="AS2659" s="44"/>
      <c r="AT2659" s="45"/>
      <c r="AU2659" s="12"/>
      <c r="AV2659" s="12"/>
      <c r="AW2659" s="12"/>
      <c r="AX2659" s="12"/>
      <c r="AY2659" s="44"/>
      <c r="AZ2659" s="45"/>
      <c r="BA2659" s="12"/>
      <c r="BB2659" s="12"/>
      <c r="BC2659" s="12"/>
      <c r="BD2659" s="12"/>
      <c r="BE2659" s="44"/>
      <c r="BF2659" s="45"/>
      <c r="BG2659" s="12"/>
      <c r="BH2659" s="12"/>
      <c r="BI2659" s="12"/>
      <c r="BJ2659" s="12"/>
      <c r="BK2659" s="44"/>
      <c r="BL2659" s="45"/>
      <c r="BM2659" s="12"/>
      <c r="BN2659" s="12"/>
      <c r="BO2659" s="12"/>
      <c r="BP2659" s="12"/>
      <c r="BQ2659" s="48"/>
      <c r="BR2659" s="49"/>
      <c r="BS2659" s="13"/>
      <c r="BT2659" s="12"/>
      <c r="BV2659" s="14"/>
      <c r="BW2659" s="50"/>
      <c r="BX2659" s="54"/>
      <c r="BY2659" s="14"/>
      <c r="BZ2659" s="14"/>
      <c r="CA2659" s="14"/>
      <c r="CB2659" s="14"/>
      <c r="CC2659" s="14"/>
      <c r="CD2659" s="14"/>
      <c r="CE2659" s="14"/>
      <c r="CF2659" s="15"/>
      <c r="CG2659" s="14"/>
      <c r="CH2659" s="14"/>
      <c r="CI2659" s="50"/>
      <c r="CJ2659" s="54"/>
      <c r="CK2659" s="14"/>
      <c r="CL2659" s="14"/>
      <c r="CM2659" s="14"/>
      <c r="CN2659" s="14"/>
      <c r="CO2659" s="14"/>
      <c r="CP2659" s="14"/>
      <c r="CQ2659" s="14"/>
      <c r="CR2659" s="14"/>
      <c r="CS2659" s="14"/>
      <c r="CT2659" s="14"/>
      <c r="CU2659" s="16"/>
      <c r="CV2659" s="14"/>
      <c r="CW2659" s="50"/>
      <c r="CX2659" s="17"/>
    </row>
    <row r="2660" spans="4:102" x14ac:dyDescent="0.25">
      <c r="D2660" s="11"/>
      <c r="E2660" s="11"/>
      <c r="F2660" s="11"/>
      <c r="G2660" s="11"/>
      <c r="H2660" s="11"/>
      <c r="I2660" s="11"/>
      <c r="J2660" s="11"/>
      <c r="K2660" s="11"/>
      <c r="L2660" s="11"/>
      <c r="M2660" s="11"/>
      <c r="N2660" s="11"/>
      <c r="O2660" s="11"/>
      <c r="P2660" s="43"/>
      <c r="Q2660" s="11"/>
      <c r="R2660" s="11"/>
      <c r="S2660" s="11"/>
      <c r="T2660" s="11"/>
      <c r="U2660" s="11"/>
      <c r="V2660" s="11"/>
      <c r="W2660" s="11"/>
      <c r="X2660" s="12"/>
      <c r="Y2660" s="12"/>
      <c r="Z2660" s="12"/>
      <c r="AA2660" s="44"/>
      <c r="AB2660" s="45"/>
      <c r="AC2660" s="12"/>
      <c r="AD2660" s="12"/>
      <c r="AE2660" s="12"/>
      <c r="AF2660" s="12"/>
      <c r="AG2660" s="44"/>
      <c r="AH2660" s="45"/>
      <c r="AI2660" s="12"/>
      <c r="AJ2660" s="12"/>
      <c r="AK2660" s="12"/>
      <c r="AL2660" s="12"/>
      <c r="AM2660" s="44"/>
      <c r="AN2660" s="45"/>
      <c r="AO2660" s="12"/>
      <c r="AP2660" s="12"/>
      <c r="AQ2660" s="12"/>
      <c r="AR2660" s="12"/>
      <c r="AS2660" s="44"/>
      <c r="AT2660" s="45"/>
      <c r="AU2660" s="12"/>
      <c r="AV2660" s="12"/>
      <c r="AW2660" s="12"/>
      <c r="AX2660" s="12"/>
      <c r="AY2660" s="44"/>
      <c r="AZ2660" s="45"/>
      <c r="BA2660" s="12"/>
      <c r="BB2660" s="12"/>
      <c r="BC2660" s="12"/>
      <c r="BD2660" s="12"/>
      <c r="BE2660" s="44"/>
      <c r="BF2660" s="45"/>
      <c r="BG2660" s="12"/>
      <c r="BH2660" s="12"/>
      <c r="BI2660" s="12"/>
      <c r="BJ2660" s="12"/>
      <c r="BK2660" s="44"/>
      <c r="BL2660" s="45"/>
      <c r="BM2660" s="12"/>
      <c r="BN2660" s="12"/>
      <c r="BO2660" s="12"/>
      <c r="BP2660" s="12"/>
      <c r="BQ2660" s="48"/>
      <c r="BR2660" s="49"/>
      <c r="BS2660" s="13"/>
      <c r="BT2660" s="12"/>
      <c r="BV2660" s="14"/>
      <c r="BW2660" s="50"/>
      <c r="BX2660" s="54"/>
      <c r="BY2660" s="14"/>
      <c r="BZ2660" s="14"/>
      <c r="CA2660" s="14"/>
      <c r="CB2660" s="14"/>
      <c r="CC2660" s="14"/>
      <c r="CD2660" s="14"/>
      <c r="CE2660" s="14"/>
      <c r="CF2660" s="15"/>
      <c r="CG2660" s="14"/>
      <c r="CH2660" s="14"/>
      <c r="CI2660" s="50"/>
      <c r="CJ2660" s="54"/>
      <c r="CK2660" s="14"/>
      <c r="CL2660" s="14"/>
      <c r="CM2660" s="14"/>
      <c r="CN2660" s="14"/>
      <c r="CO2660" s="14"/>
      <c r="CP2660" s="14"/>
      <c r="CQ2660" s="14"/>
      <c r="CR2660" s="14"/>
      <c r="CS2660" s="14"/>
      <c r="CT2660" s="14"/>
      <c r="CU2660" s="16"/>
      <c r="CV2660" s="14"/>
      <c r="CW2660" s="50"/>
      <c r="CX2660" s="17"/>
    </row>
    <row r="2661" spans="4:102" x14ac:dyDescent="0.25">
      <c r="D2661" s="11"/>
      <c r="E2661" s="11"/>
      <c r="F2661" s="11"/>
      <c r="G2661" s="11"/>
      <c r="H2661" s="11"/>
      <c r="I2661" s="11"/>
      <c r="J2661" s="11"/>
      <c r="K2661" s="11"/>
      <c r="L2661" s="11"/>
      <c r="M2661" s="11"/>
      <c r="N2661" s="11"/>
      <c r="O2661" s="11"/>
      <c r="P2661" s="43"/>
      <c r="Q2661" s="11"/>
      <c r="R2661" s="11"/>
      <c r="S2661" s="11"/>
      <c r="T2661" s="11"/>
      <c r="U2661" s="11"/>
      <c r="V2661" s="11"/>
      <c r="W2661" s="11"/>
      <c r="X2661" s="12"/>
      <c r="Y2661" s="12"/>
      <c r="Z2661" s="12"/>
      <c r="AA2661" s="44"/>
      <c r="AB2661" s="45"/>
      <c r="AC2661" s="12"/>
      <c r="AD2661" s="12"/>
      <c r="AE2661" s="12"/>
      <c r="AF2661" s="12"/>
      <c r="AG2661" s="44"/>
      <c r="AH2661" s="45"/>
      <c r="AI2661" s="12"/>
      <c r="AJ2661" s="12"/>
      <c r="AK2661" s="12"/>
      <c r="AL2661" s="12"/>
      <c r="AM2661" s="44"/>
      <c r="AN2661" s="45"/>
      <c r="AO2661" s="12"/>
      <c r="AP2661" s="12"/>
      <c r="AQ2661" s="12"/>
      <c r="AR2661" s="12"/>
      <c r="AS2661" s="44"/>
      <c r="AT2661" s="45"/>
      <c r="AU2661" s="12"/>
      <c r="AV2661" s="12"/>
      <c r="AW2661" s="12"/>
      <c r="AX2661" s="12"/>
      <c r="AY2661" s="44"/>
      <c r="AZ2661" s="45"/>
      <c r="BA2661" s="12"/>
      <c r="BB2661" s="12"/>
      <c r="BC2661" s="12"/>
      <c r="BD2661" s="12"/>
      <c r="BE2661" s="44"/>
      <c r="BF2661" s="45"/>
      <c r="BG2661" s="12"/>
      <c r="BH2661" s="12"/>
      <c r="BI2661" s="12"/>
      <c r="BJ2661" s="12"/>
      <c r="BK2661" s="44"/>
      <c r="BL2661" s="45"/>
      <c r="BM2661" s="12"/>
      <c r="BN2661" s="12"/>
      <c r="BO2661" s="12"/>
      <c r="BP2661" s="12"/>
      <c r="BQ2661" s="48"/>
      <c r="BR2661" s="49"/>
      <c r="BS2661" s="13"/>
      <c r="BT2661" s="12"/>
      <c r="BV2661" s="14"/>
      <c r="BW2661" s="50"/>
      <c r="BX2661" s="54"/>
      <c r="BY2661" s="14"/>
      <c r="BZ2661" s="14"/>
      <c r="CA2661" s="14"/>
      <c r="CB2661" s="14"/>
      <c r="CC2661" s="14"/>
      <c r="CD2661" s="14"/>
      <c r="CE2661" s="14"/>
      <c r="CF2661" s="15"/>
      <c r="CG2661" s="14"/>
      <c r="CH2661" s="14"/>
      <c r="CI2661" s="50"/>
      <c r="CJ2661" s="54"/>
      <c r="CK2661" s="14"/>
      <c r="CL2661" s="14"/>
      <c r="CM2661" s="14"/>
      <c r="CN2661" s="14"/>
      <c r="CO2661" s="14"/>
      <c r="CP2661" s="14"/>
      <c r="CQ2661" s="14"/>
      <c r="CR2661" s="14"/>
      <c r="CS2661" s="14"/>
      <c r="CT2661" s="14"/>
      <c r="CU2661" s="16"/>
      <c r="CV2661" s="14"/>
      <c r="CW2661" s="50"/>
      <c r="CX2661" s="17"/>
    </row>
    <row r="2662" spans="4:102" x14ac:dyDescent="0.25">
      <c r="D2662" s="11"/>
      <c r="E2662" s="11"/>
      <c r="F2662" s="11"/>
      <c r="G2662" s="11"/>
      <c r="H2662" s="11"/>
      <c r="I2662" s="11"/>
      <c r="J2662" s="11"/>
      <c r="K2662" s="11"/>
      <c r="L2662" s="11"/>
      <c r="M2662" s="11"/>
      <c r="N2662" s="11"/>
      <c r="O2662" s="11"/>
      <c r="P2662" s="43"/>
      <c r="Q2662" s="11"/>
      <c r="R2662" s="11"/>
      <c r="S2662" s="11"/>
      <c r="T2662" s="11"/>
      <c r="U2662" s="11"/>
      <c r="V2662" s="11"/>
      <c r="W2662" s="11"/>
      <c r="X2662" s="12"/>
      <c r="Y2662" s="12"/>
      <c r="Z2662" s="12"/>
      <c r="AA2662" s="44"/>
      <c r="AB2662" s="45"/>
      <c r="AC2662" s="12"/>
      <c r="AD2662" s="12"/>
      <c r="AE2662" s="12"/>
      <c r="AF2662" s="12"/>
      <c r="AG2662" s="44"/>
      <c r="AH2662" s="45"/>
      <c r="AI2662" s="12"/>
      <c r="AJ2662" s="12"/>
      <c r="AK2662" s="12"/>
      <c r="AL2662" s="12"/>
      <c r="AM2662" s="44"/>
      <c r="AN2662" s="45"/>
      <c r="AO2662" s="12"/>
      <c r="AP2662" s="12"/>
      <c r="AQ2662" s="12"/>
      <c r="AR2662" s="12"/>
      <c r="AS2662" s="44"/>
      <c r="AT2662" s="45"/>
      <c r="AU2662" s="12"/>
      <c r="AV2662" s="12"/>
      <c r="AW2662" s="12"/>
      <c r="AX2662" s="12"/>
      <c r="AY2662" s="44"/>
      <c r="AZ2662" s="45"/>
      <c r="BA2662" s="12"/>
      <c r="BB2662" s="12"/>
      <c r="BC2662" s="12"/>
      <c r="BD2662" s="12"/>
      <c r="BE2662" s="44"/>
      <c r="BF2662" s="45"/>
      <c r="BG2662" s="12"/>
      <c r="BH2662" s="12"/>
      <c r="BI2662" s="12"/>
      <c r="BJ2662" s="12"/>
      <c r="BK2662" s="44"/>
      <c r="BL2662" s="45"/>
      <c r="BM2662" s="12"/>
      <c r="BN2662" s="12"/>
      <c r="BO2662" s="12"/>
      <c r="BP2662" s="12"/>
      <c r="BQ2662" s="48"/>
      <c r="BR2662" s="49"/>
      <c r="BS2662" s="13"/>
      <c r="BT2662" s="12"/>
      <c r="BV2662" s="14"/>
      <c r="BW2662" s="50"/>
      <c r="BX2662" s="54"/>
      <c r="BY2662" s="14"/>
      <c r="BZ2662" s="14"/>
      <c r="CA2662" s="14"/>
      <c r="CB2662" s="14"/>
      <c r="CC2662" s="14"/>
      <c r="CD2662" s="14"/>
      <c r="CE2662" s="14"/>
      <c r="CF2662" s="15"/>
      <c r="CG2662" s="14"/>
      <c r="CH2662" s="14"/>
      <c r="CI2662" s="50"/>
      <c r="CJ2662" s="54"/>
      <c r="CK2662" s="14"/>
      <c r="CL2662" s="14"/>
      <c r="CM2662" s="14"/>
      <c r="CN2662" s="14"/>
      <c r="CO2662" s="14"/>
      <c r="CP2662" s="14"/>
      <c r="CQ2662" s="14"/>
      <c r="CR2662" s="14"/>
      <c r="CS2662" s="14"/>
      <c r="CT2662" s="14"/>
      <c r="CU2662" s="16"/>
      <c r="CV2662" s="14"/>
      <c r="CW2662" s="50"/>
      <c r="CX2662" s="17"/>
    </row>
    <row r="2663" spans="4:102" x14ac:dyDescent="0.25">
      <c r="D2663" s="11"/>
      <c r="E2663" s="11"/>
      <c r="F2663" s="11"/>
      <c r="G2663" s="11"/>
      <c r="H2663" s="11"/>
      <c r="I2663" s="11"/>
      <c r="J2663" s="11"/>
      <c r="K2663" s="11"/>
      <c r="L2663" s="11"/>
      <c r="M2663" s="11"/>
      <c r="N2663" s="11"/>
      <c r="O2663" s="11"/>
      <c r="P2663" s="43"/>
      <c r="Q2663" s="11"/>
      <c r="R2663" s="11"/>
      <c r="S2663" s="11"/>
      <c r="T2663" s="11"/>
      <c r="U2663" s="11"/>
      <c r="V2663" s="11"/>
      <c r="W2663" s="11"/>
      <c r="X2663" s="12"/>
      <c r="Y2663" s="12"/>
      <c r="Z2663" s="12"/>
      <c r="AA2663" s="44"/>
      <c r="AB2663" s="45"/>
      <c r="AC2663" s="12"/>
      <c r="AD2663" s="12"/>
      <c r="AE2663" s="12"/>
      <c r="AF2663" s="12"/>
      <c r="AG2663" s="44"/>
      <c r="AH2663" s="45"/>
      <c r="AI2663" s="12"/>
      <c r="AJ2663" s="12"/>
      <c r="AK2663" s="12"/>
      <c r="AL2663" s="12"/>
      <c r="AM2663" s="44"/>
      <c r="AN2663" s="45"/>
      <c r="AO2663" s="12"/>
      <c r="AP2663" s="12"/>
      <c r="AQ2663" s="12"/>
      <c r="AR2663" s="12"/>
      <c r="AS2663" s="44"/>
      <c r="AT2663" s="45"/>
      <c r="AU2663" s="12"/>
      <c r="AV2663" s="12"/>
      <c r="AW2663" s="12"/>
      <c r="AX2663" s="12"/>
      <c r="AY2663" s="44"/>
      <c r="AZ2663" s="45"/>
      <c r="BA2663" s="12"/>
      <c r="BB2663" s="12"/>
      <c r="BC2663" s="12"/>
      <c r="BD2663" s="12"/>
      <c r="BE2663" s="44"/>
      <c r="BF2663" s="45"/>
      <c r="BG2663" s="12"/>
      <c r="BH2663" s="12"/>
      <c r="BI2663" s="12"/>
      <c r="BJ2663" s="12"/>
      <c r="BK2663" s="44"/>
      <c r="BL2663" s="45"/>
      <c r="BM2663" s="12"/>
      <c r="BN2663" s="12"/>
      <c r="BO2663" s="12"/>
      <c r="BP2663" s="12"/>
      <c r="BQ2663" s="48"/>
      <c r="BR2663" s="49"/>
      <c r="BS2663" s="13"/>
      <c r="BT2663" s="12"/>
      <c r="BV2663" s="14"/>
      <c r="BW2663" s="50"/>
      <c r="BX2663" s="54"/>
      <c r="BY2663" s="14"/>
      <c r="BZ2663" s="14"/>
      <c r="CA2663" s="14"/>
      <c r="CB2663" s="14"/>
      <c r="CC2663" s="14"/>
      <c r="CD2663" s="14"/>
      <c r="CE2663" s="14"/>
      <c r="CF2663" s="15"/>
      <c r="CG2663" s="14"/>
      <c r="CH2663" s="14"/>
      <c r="CI2663" s="50"/>
      <c r="CJ2663" s="54"/>
      <c r="CK2663" s="14"/>
      <c r="CL2663" s="14"/>
      <c r="CM2663" s="14"/>
      <c r="CN2663" s="14"/>
      <c r="CO2663" s="14"/>
      <c r="CP2663" s="14"/>
      <c r="CQ2663" s="14"/>
      <c r="CR2663" s="14"/>
      <c r="CS2663" s="14"/>
      <c r="CT2663" s="14"/>
      <c r="CU2663" s="16"/>
      <c r="CV2663" s="14"/>
      <c r="CW2663" s="50"/>
      <c r="CX2663" s="17"/>
    </row>
    <row r="2664" spans="4:102" x14ac:dyDescent="0.25">
      <c r="D2664" s="11"/>
      <c r="E2664" s="11"/>
      <c r="F2664" s="11"/>
      <c r="G2664" s="11"/>
      <c r="H2664" s="11"/>
      <c r="I2664" s="11"/>
      <c r="J2664" s="11"/>
      <c r="K2664" s="11"/>
      <c r="L2664" s="11"/>
      <c r="M2664" s="11"/>
      <c r="N2664" s="11"/>
      <c r="O2664" s="11"/>
      <c r="P2664" s="43"/>
      <c r="Q2664" s="11"/>
      <c r="R2664" s="11"/>
      <c r="S2664" s="11"/>
      <c r="T2664" s="11"/>
      <c r="U2664" s="11"/>
      <c r="V2664" s="11"/>
      <c r="W2664" s="11"/>
      <c r="X2664" s="12"/>
      <c r="Y2664" s="12"/>
      <c r="Z2664" s="12"/>
      <c r="AA2664" s="44"/>
      <c r="AB2664" s="45"/>
      <c r="AC2664" s="12"/>
      <c r="AD2664" s="12"/>
      <c r="AE2664" s="12"/>
      <c r="AF2664" s="12"/>
      <c r="AG2664" s="44"/>
      <c r="AH2664" s="45"/>
      <c r="AI2664" s="12"/>
      <c r="AJ2664" s="12"/>
      <c r="AK2664" s="12"/>
      <c r="AL2664" s="12"/>
      <c r="AM2664" s="44"/>
      <c r="AN2664" s="45"/>
      <c r="AO2664" s="12"/>
      <c r="AP2664" s="12"/>
      <c r="AQ2664" s="12"/>
      <c r="AR2664" s="12"/>
      <c r="AS2664" s="44"/>
      <c r="AT2664" s="45"/>
      <c r="AU2664" s="12"/>
      <c r="AV2664" s="12"/>
      <c r="AW2664" s="12"/>
      <c r="AX2664" s="12"/>
      <c r="AY2664" s="44"/>
      <c r="AZ2664" s="45"/>
      <c r="BA2664" s="12"/>
      <c r="BB2664" s="12"/>
      <c r="BC2664" s="12"/>
      <c r="BD2664" s="12"/>
      <c r="BE2664" s="44"/>
      <c r="BF2664" s="45"/>
      <c r="BG2664" s="12"/>
      <c r="BH2664" s="12"/>
      <c r="BI2664" s="12"/>
      <c r="BJ2664" s="12"/>
      <c r="BK2664" s="44"/>
      <c r="BL2664" s="45"/>
      <c r="BM2664" s="12"/>
      <c r="BN2664" s="12"/>
      <c r="BO2664" s="12"/>
      <c r="BP2664" s="12"/>
      <c r="BQ2664" s="48"/>
      <c r="BR2664" s="49"/>
      <c r="BS2664" s="13"/>
      <c r="BT2664" s="12"/>
      <c r="BV2664" s="14"/>
      <c r="BW2664" s="50"/>
      <c r="BX2664" s="54"/>
      <c r="BY2664" s="14"/>
      <c r="BZ2664" s="14"/>
      <c r="CA2664" s="14"/>
      <c r="CB2664" s="14"/>
      <c r="CC2664" s="14"/>
      <c r="CD2664" s="14"/>
      <c r="CE2664" s="14"/>
      <c r="CF2664" s="15"/>
      <c r="CG2664" s="14"/>
      <c r="CH2664" s="14"/>
      <c r="CI2664" s="50"/>
      <c r="CJ2664" s="54"/>
      <c r="CK2664" s="14"/>
      <c r="CL2664" s="14"/>
      <c r="CM2664" s="14"/>
      <c r="CN2664" s="14"/>
      <c r="CO2664" s="14"/>
      <c r="CP2664" s="14"/>
      <c r="CQ2664" s="14"/>
      <c r="CR2664" s="14"/>
      <c r="CS2664" s="14"/>
      <c r="CT2664" s="14"/>
      <c r="CU2664" s="16"/>
      <c r="CV2664" s="14"/>
      <c r="CW2664" s="50"/>
      <c r="CX2664" s="17"/>
    </row>
    <row r="2665" spans="4:102" x14ac:dyDescent="0.25">
      <c r="D2665" s="11"/>
      <c r="E2665" s="11"/>
      <c r="F2665" s="11"/>
      <c r="G2665" s="11"/>
      <c r="H2665" s="11"/>
      <c r="I2665" s="11"/>
      <c r="J2665" s="11"/>
      <c r="K2665" s="11"/>
      <c r="L2665" s="11"/>
      <c r="M2665" s="11"/>
      <c r="N2665" s="11"/>
      <c r="O2665" s="11"/>
      <c r="P2665" s="43"/>
      <c r="Q2665" s="11"/>
      <c r="R2665" s="11"/>
      <c r="S2665" s="11"/>
      <c r="T2665" s="11"/>
      <c r="U2665" s="11"/>
      <c r="V2665" s="11"/>
      <c r="W2665" s="11"/>
      <c r="X2665" s="12"/>
      <c r="Y2665" s="12"/>
      <c r="Z2665" s="12"/>
      <c r="AA2665" s="44"/>
      <c r="AB2665" s="45"/>
      <c r="AC2665" s="12"/>
      <c r="AD2665" s="12"/>
      <c r="AE2665" s="12"/>
      <c r="AF2665" s="12"/>
      <c r="AG2665" s="44"/>
      <c r="AH2665" s="45"/>
      <c r="AI2665" s="12"/>
      <c r="AJ2665" s="12"/>
      <c r="AK2665" s="12"/>
      <c r="AL2665" s="12"/>
      <c r="AM2665" s="44"/>
      <c r="AN2665" s="45"/>
      <c r="AO2665" s="12"/>
      <c r="AP2665" s="12"/>
      <c r="AQ2665" s="12"/>
      <c r="AR2665" s="12"/>
      <c r="AS2665" s="44"/>
      <c r="AT2665" s="45"/>
      <c r="AU2665" s="12"/>
      <c r="AV2665" s="12"/>
      <c r="AW2665" s="12"/>
      <c r="AX2665" s="12"/>
      <c r="AY2665" s="44"/>
      <c r="AZ2665" s="45"/>
      <c r="BA2665" s="12"/>
      <c r="BB2665" s="12"/>
      <c r="BC2665" s="12"/>
      <c r="BD2665" s="12"/>
      <c r="BE2665" s="44"/>
      <c r="BF2665" s="45"/>
      <c r="BG2665" s="12"/>
      <c r="BH2665" s="12"/>
      <c r="BI2665" s="12"/>
      <c r="BJ2665" s="12"/>
      <c r="BK2665" s="44"/>
      <c r="BL2665" s="45"/>
      <c r="BM2665" s="12"/>
      <c r="BN2665" s="12"/>
      <c r="BO2665" s="12"/>
      <c r="BP2665" s="12"/>
      <c r="BQ2665" s="48"/>
      <c r="BR2665" s="49"/>
      <c r="BS2665" s="13"/>
      <c r="BT2665" s="12"/>
      <c r="BV2665" s="14"/>
      <c r="BW2665" s="50"/>
      <c r="BX2665" s="54"/>
      <c r="BY2665" s="14"/>
      <c r="BZ2665" s="14"/>
      <c r="CA2665" s="14"/>
      <c r="CB2665" s="14"/>
      <c r="CC2665" s="14"/>
      <c r="CD2665" s="14"/>
      <c r="CE2665" s="14"/>
      <c r="CF2665" s="15"/>
      <c r="CG2665" s="14"/>
      <c r="CH2665" s="14"/>
      <c r="CI2665" s="50"/>
      <c r="CJ2665" s="54"/>
      <c r="CK2665" s="14"/>
      <c r="CL2665" s="14"/>
      <c r="CM2665" s="14"/>
      <c r="CN2665" s="14"/>
      <c r="CO2665" s="14"/>
      <c r="CP2665" s="14"/>
      <c r="CQ2665" s="14"/>
      <c r="CR2665" s="14"/>
      <c r="CS2665" s="14"/>
      <c r="CT2665" s="14"/>
      <c r="CU2665" s="16"/>
      <c r="CV2665" s="14"/>
      <c r="CW2665" s="50"/>
      <c r="CX2665" s="17"/>
    </row>
    <row r="2666" spans="4:102" x14ac:dyDescent="0.25">
      <c r="D2666" s="11"/>
      <c r="E2666" s="11"/>
      <c r="F2666" s="11"/>
      <c r="G2666" s="11"/>
      <c r="H2666" s="11"/>
      <c r="I2666" s="11"/>
      <c r="J2666" s="11"/>
      <c r="K2666" s="11"/>
      <c r="L2666" s="11"/>
      <c r="M2666" s="11"/>
      <c r="N2666" s="11"/>
      <c r="O2666" s="11"/>
      <c r="P2666" s="43"/>
      <c r="Q2666" s="11"/>
      <c r="R2666" s="11"/>
      <c r="S2666" s="11"/>
      <c r="T2666" s="11"/>
      <c r="U2666" s="11"/>
      <c r="V2666" s="11"/>
      <c r="W2666" s="11"/>
      <c r="X2666" s="12"/>
      <c r="Y2666" s="12"/>
      <c r="Z2666" s="12"/>
      <c r="AA2666" s="44"/>
      <c r="AB2666" s="45"/>
      <c r="AC2666" s="12"/>
      <c r="AD2666" s="12"/>
      <c r="AE2666" s="12"/>
      <c r="AF2666" s="12"/>
      <c r="AG2666" s="44"/>
      <c r="AH2666" s="45"/>
      <c r="AI2666" s="12"/>
      <c r="AJ2666" s="12"/>
      <c r="AK2666" s="12"/>
      <c r="AL2666" s="12"/>
      <c r="AM2666" s="44"/>
      <c r="AN2666" s="45"/>
      <c r="AO2666" s="12"/>
      <c r="AP2666" s="12"/>
      <c r="AQ2666" s="12"/>
      <c r="AR2666" s="12"/>
      <c r="AS2666" s="44"/>
      <c r="AT2666" s="45"/>
      <c r="AU2666" s="12"/>
      <c r="AV2666" s="12"/>
      <c r="AW2666" s="12"/>
      <c r="AX2666" s="12"/>
      <c r="AY2666" s="44"/>
      <c r="AZ2666" s="45"/>
      <c r="BA2666" s="12"/>
      <c r="BB2666" s="12"/>
      <c r="BC2666" s="12"/>
      <c r="BD2666" s="12"/>
      <c r="BE2666" s="44"/>
      <c r="BF2666" s="45"/>
      <c r="BG2666" s="12"/>
      <c r="BH2666" s="12"/>
      <c r="BI2666" s="12"/>
      <c r="BJ2666" s="12"/>
      <c r="BK2666" s="44"/>
      <c r="BL2666" s="45"/>
      <c r="BM2666" s="12"/>
      <c r="BN2666" s="12"/>
      <c r="BO2666" s="12"/>
      <c r="BP2666" s="12"/>
      <c r="BQ2666" s="48"/>
      <c r="BR2666" s="49"/>
      <c r="BS2666" s="13"/>
      <c r="BT2666" s="12"/>
      <c r="BV2666" s="14"/>
      <c r="BW2666" s="50"/>
      <c r="BX2666" s="54"/>
      <c r="BY2666" s="14"/>
      <c r="BZ2666" s="14"/>
      <c r="CA2666" s="14"/>
      <c r="CB2666" s="14"/>
      <c r="CC2666" s="14"/>
      <c r="CD2666" s="14"/>
      <c r="CE2666" s="14"/>
      <c r="CF2666" s="15"/>
      <c r="CG2666" s="14"/>
      <c r="CH2666" s="14"/>
      <c r="CI2666" s="50"/>
      <c r="CJ2666" s="54"/>
      <c r="CK2666" s="14"/>
      <c r="CL2666" s="14"/>
      <c r="CM2666" s="14"/>
      <c r="CN2666" s="14"/>
      <c r="CO2666" s="14"/>
      <c r="CP2666" s="14"/>
      <c r="CQ2666" s="14"/>
      <c r="CR2666" s="14"/>
      <c r="CS2666" s="14"/>
      <c r="CT2666" s="14"/>
      <c r="CU2666" s="16"/>
      <c r="CV2666" s="14"/>
      <c r="CW2666" s="50"/>
      <c r="CX2666" s="17"/>
    </row>
    <row r="2667" spans="4:102" x14ac:dyDescent="0.25">
      <c r="D2667" s="11"/>
      <c r="E2667" s="11"/>
      <c r="F2667" s="11"/>
      <c r="G2667" s="11"/>
      <c r="H2667" s="11"/>
      <c r="I2667" s="11"/>
      <c r="J2667" s="11"/>
      <c r="K2667" s="11"/>
      <c r="L2667" s="11"/>
      <c r="M2667" s="11"/>
      <c r="N2667" s="11"/>
      <c r="O2667" s="11"/>
      <c r="P2667" s="43"/>
      <c r="Q2667" s="11"/>
      <c r="R2667" s="11"/>
      <c r="S2667" s="11"/>
      <c r="T2667" s="11"/>
      <c r="U2667" s="11"/>
      <c r="V2667" s="11"/>
      <c r="W2667" s="11"/>
      <c r="X2667" s="12"/>
      <c r="Y2667" s="12"/>
      <c r="Z2667" s="12"/>
      <c r="AA2667" s="44"/>
      <c r="AB2667" s="45"/>
      <c r="AC2667" s="12"/>
      <c r="AD2667" s="12"/>
      <c r="AE2667" s="12"/>
      <c r="AF2667" s="12"/>
      <c r="AG2667" s="44"/>
      <c r="AH2667" s="45"/>
      <c r="AI2667" s="12"/>
      <c r="AJ2667" s="12"/>
      <c r="AK2667" s="12"/>
      <c r="AL2667" s="12"/>
      <c r="AM2667" s="44"/>
      <c r="AN2667" s="45"/>
      <c r="AO2667" s="12"/>
      <c r="AP2667" s="12"/>
      <c r="AQ2667" s="12"/>
      <c r="AR2667" s="12"/>
      <c r="AS2667" s="44"/>
      <c r="AT2667" s="45"/>
      <c r="AU2667" s="12"/>
      <c r="AV2667" s="12"/>
      <c r="AW2667" s="12"/>
      <c r="AX2667" s="12"/>
      <c r="AY2667" s="44"/>
      <c r="AZ2667" s="45"/>
      <c r="BA2667" s="12"/>
      <c r="BB2667" s="12"/>
      <c r="BC2667" s="12"/>
      <c r="BD2667" s="12"/>
      <c r="BE2667" s="44"/>
      <c r="BF2667" s="45"/>
      <c r="BG2667" s="12"/>
      <c r="BH2667" s="12"/>
      <c r="BI2667" s="12"/>
      <c r="BJ2667" s="12"/>
      <c r="BK2667" s="44"/>
      <c r="BL2667" s="45"/>
      <c r="BM2667" s="12"/>
      <c r="BN2667" s="12"/>
      <c r="BO2667" s="12"/>
      <c r="BP2667" s="12"/>
      <c r="BQ2667" s="48"/>
      <c r="BR2667" s="49"/>
      <c r="BS2667" s="13"/>
      <c r="BT2667" s="12"/>
      <c r="BV2667" s="14"/>
      <c r="BW2667" s="50"/>
      <c r="BX2667" s="54"/>
      <c r="BY2667" s="14"/>
      <c r="BZ2667" s="14"/>
      <c r="CA2667" s="14"/>
      <c r="CB2667" s="14"/>
      <c r="CC2667" s="14"/>
      <c r="CD2667" s="14"/>
      <c r="CE2667" s="14"/>
      <c r="CF2667" s="15"/>
      <c r="CG2667" s="14"/>
      <c r="CH2667" s="14"/>
      <c r="CI2667" s="50"/>
      <c r="CJ2667" s="54"/>
      <c r="CK2667" s="14"/>
      <c r="CL2667" s="14"/>
      <c r="CM2667" s="14"/>
      <c r="CN2667" s="14"/>
      <c r="CO2667" s="14"/>
      <c r="CP2667" s="14"/>
      <c r="CQ2667" s="14"/>
      <c r="CR2667" s="14"/>
      <c r="CS2667" s="14"/>
      <c r="CT2667" s="14"/>
      <c r="CU2667" s="16"/>
      <c r="CV2667" s="14"/>
      <c r="CW2667" s="50"/>
      <c r="CX2667" s="17"/>
    </row>
    <row r="2668" spans="4:102" x14ac:dyDescent="0.25">
      <c r="D2668" s="11"/>
      <c r="E2668" s="11"/>
      <c r="F2668" s="11"/>
      <c r="G2668" s="11"/>
      <c r="H2668" s="11"/>
      <c r="I2668" s="11"/>
      <c r="J2668" s="11"/>
      <c r="K2668" s="11"/>
      <c r="L2668" s="11"/>
      <c r="M2668" s="11"/>
      <c r="N2668" s="11"/>
      <c r="O2668" s="11"/>
      <c r="P2668" s="43"/>
      <c r="Q2668" s="11"/>
      <c r="R2668" s="11"/>
      <c r="S2668" s="11"/>
      <c r="T2668" s="11"/>
      <c r="U2668" s="11"/>
      <c r="V2668" s="11"/>
      <c r="W2668" s="11"/>
      <c r="X2668" s="12"/>
      <c r="Y2668" s="12"/>
      <c r="Z2668" s="12"/>
      <c r="AA2668" s="44"/>
      <c r="AB2668" s="45"/>
      <c r="AC2668" s="12"/>
      <c r="AD2668" s="12"/>
      <c r="AE2668" s="12"/>
      <c r="AF2668" s="12"/>
      <c r="AG2668" s="44"/>
      <c r="AH2668" s="45"/>
      <c r="AI2668" s="12"/>
      <c r="AJ2668" s="12"/>
      <c r="AK2668" s="12"/>
      <c r="AL2668" s="12"/>
      <c r="AM2668" s="44"/>
      <c r="AN2668" s="45"/>
      <c r="AO2668" s="12"/>
      <c r="AP2668" s="12"/>
      <c r="AQ2668" s="12"/>
      <c r="AR2668" s="12"/>
      <c r="AS2668" s="44"/>
      <c r="AT2668" s="45"/>
      <c r="AU2668" s="12"/>
      <c r="AV2668" s="12"/>
      <c r="AW2668" s="12"/>
      <c r="AX2668" s="12"/>
      <c r="AY2668" s="44"/>
      <c r="AZ2668" s="45"/>
      <c r="BA2668" s="12"/>
      <c r="BB2668" s="12"/>
      <c r="BC2668" s="12"/>
      <c r="BD2668" s="12"/>
      <c r="BE2668" s="44"/>
      <c r="BF2668" s="45"/>
      <c r="BG2668" s="12"/>
      <c r="BH2668" s="12"/>
      <c r="BI2668" s="12"/>
      <c r="BJ2668" s="12"/>
      <c r="BK2668" s="44"/>
      <c r="BL2668" s="45"/>
      <c r="BM2668" s="12"/>
      <c r="BN2668" s="12"/>
      <c r="BO2668" s="12"/>
      <c r="BP2668" s="12"/>
      <c r="BQ2668" s="48"/>
      <c r="BR2668" s="49"/>
      <c r="BS2668" s="13"/>
      <c r="BT2668" s="12"/>
      <c r="BV2668" s="14"/>
      <c r="BW2668" s="50"/>
      <c r="BX2668" s="54"/>
      <c r="BY2668" s="14"/>
      <c r="BZ2668" s="14"/>
      <c r="CA2668" s="14"/>
      <c r="CB2668" s="14"/>
      <c r="CC2668" s="14"/>
      <c r="CD2668" s="14"/>
      <c r="CE2668" s="14"/>
      <c r="CF2668" s="15"/>
      <c r="CG2668" s="14"/>
      <c r="CH2668" s="14"/>
      <c r="CI2668" s="50"/>
      <c r="CJ2668" s="54"/>
      <c r="CK2668" s="14"/>
      <c r="CL2668" s="14"/>
      <c r="CM2668" s="14"/>
      <c r="CN2668" s="14"/>
      <c r="CO2668" s="14"/>
      <c r="CP2668" s="14"/>
      <c r="CQ2668" s="14"/>
      <c r="CR2668" s="14"/>
      <c r="CS2668" s="14"/>
      <c r="CT2668" s="14"/>
      <c r="CU2668" s="16"/>
      <c r="CV2668" s="14"/>
      <c r="CW2668" s="50"/>
      <c r="CX2668" s="17"/>
    </row>
    <row r="2669" spans="4:102" x14ac:dyDescent="0.25">
      <c r="D2669" s="11"/>
      <c r="E2669" s="11"/>
      <c r="F2669" s="11"/>
      <c r="G2669" s="11"/>
      <c r="H2669" s="11"/>
      <c r="I2669" s="11"/>
      <c r="J2669" s="11"/>
      <c r="K2669" s="11"/>
      <c r="L2669" s="11"/>
      <c r="M2669" s="11"/>
      <c r="N2669" s="11"/>
      <c r="O2669" s="11"/>
      <c r="P2669" s="43"/>
      <c r="Q2669" s="11"/>
      <c r="R2669" s="11"/>
      <c r="S2669" s="11"/>
      <c r="T2669" s="11"/>
      <c r="U2669" s="11"/>
      <c r="V2669" s="11"/>
      <c r="W2669" s="11"/>
      <c r="X2669" s="12"/>
      <c r="Y2669" s="12"/>
      <c r="Z2669" s="12"/>
      <c r="AA2669" s="44"/>
      <c r="AB2669" s="45"/>
      <c r="AC2669" s="12"/>
      <c r="AD2669" s="12"/>
      <c r="AE2669" s="12"/>
      <c r="AF2669" s="12"/>
      <c r="AG2669" s="44"/>
      <c r="AH2669" s="45"/>
      <c r="AI2669" s="12"/>
      <c r="AJ2669" s="12"/>
      <c r="AK2669" s="12"/>
      <c r="AL2669" s="12"/>
      <c r="AM2669" s="44"/>
      <c r="AN2669" s="45"/>
      <c r="AO2669" s="12"/>
      <c r="AP2669" s="12"/>
      <c r="AQ2669" s="12"/>
      <c r="AR2669" s="12"/>
      <c r="AS2669" s="44"/>
      <c r="AT2669" s="45"/>
      <c r="AU2669" s="12"/>
      <c r="AV2669" s="12"/>
      <c r="AW2669" s="12"/>
      <c r="AX2669" s="12"/>
      <c r="AY2669" s="44"/>
      <c r="AZ2669" s="45"/>
      <c r="BA2669" s="12"/>
      <c r="BB2669" s="12"/>
      <c r="BC2669" s="12"/>
      <c r="BD2669" s="12"/>
      <c r="BE2669" s="44"/>
      <c r="BF2669" s="45"/>
      <c r="BG2669" s="12"/>
      <c r="BH2669" s="12"/>
      <c r="BI2669" s="12"/>
      <c r="BJ2669" s="12"/>
      <c r="BK2669" s="44"/>
      <c r="BL2669" s="45"/>
      <c r="BM2669" s="12"/>
      <c r="BN2669" s="12"/>
      <c r="BO2669" s="12"/>
      <c r="BP2669" s="12"/>
      <c r="BQ2669" s="48"/>
      <c r="BR2669" s="49"/>
      <c r="BS2669" s="13"/>
      <c r="BT2669" s="12"/>
      <c r="BV2669" s="14"/>
      <c r="BW2669" s="50"/>
      <c r="BX2669" s="54"/>
      <c r="BY2669" s="14"/>
      <c r="BZ2669" s="14"/>
      <c r="CA2669" s="14"/>
      <c r="CB2669" s="14"/>
      <c r="CC2669" s="14"/>
      <c r="CD2669" s="14"/>
      <c r="CE2669" s="14"/>
      <c r="CF2669" s="15"/>
      <c r="CG2669" s="14"/>
      <c r="CH2669" s="14"/>
      <c r="CI2669" s="50"/>
      <c r="CJ2669" s="54"/>
      <c r="CK2669" s="14"/>
      <c r="CL2669" s="14"/>
      <c r="CM2669" s="14"/>
      <c r="CN2669" s="14"/>
      <c r="CO2669" s="14"/>
      <c r="CP2669" s="14"/>
      <c r="CQ2669" s="14"/>
      <c r="CR2669" s="14"/>
      <c r="CS2669" s="14"/>
      <c r="CT2669" s="14"/>
      <c r="CU2669" s="16"/>
      <c r="CV2669" s="14"/>
      <c r="CW2669" s="50"/>
      <c r="CX2669" s="17"/>
    </row>
    <row r="2670" spans="4:102" x14ac:dyDescent="0.25">
      <c r="D2670" s="11"/>
      <c r="E2670" s="11"/>
      <c r="F2670" s="11"/>
      <c r="G2670" s="11"/>
      <c r="H2670" s="11"/>
      <c r="I2670" s="11"/>
      <c r="J2670" s="11"/>
      <c r="K2670" s="11"/>
      <c r="L2670" s="11"/>
      <c r="M2670" s="11"/>
      <c r="N2670" s="11"/>
      <c r="O2670" s="11"/>
      <c r="P2670" s="43"/>
      <c r="Q2670" s="11"/>
      <c r="R2670" s="11"/>
      <c r="S2670" s="11"/>
      <c r="T2670" s="11"/>
      <c r="U2670" s="11"/>
      <c r="V2670" s="11"/>
      <c r="W2670" s="11"/>
      <c r="X2670" s="12"/>
      <c r="Y2670" s="12"/>
      <c r="Z2670" s="12"/>
      <c r="AA2670" s="44"/>
      <c r="AB2670" s="45"/>
      <c r="AC2670" s="12"/>
      <c r="AD2670" s="12"/>
      <c r="AE2670" s="12"/>
      <c r="AF2670" s="12"/>
      <c r="AG2670" s="44"/>
      <c r="AH2670" s="45"/>
      <c r="AI2670" s="12"/>
      <c r="AJ2670" s="12"/>
      <c r="AK2670" s="12"/>
      <c r="AL2670" s="12"/>
      <c r="AM2670" s="44"/>
      <c r="AN2670" s="45"/>
      <c r="AO2670" s="12"/>
      <c r="AP2670" s="12"/>
      <c r="AQ2670" s="12"/>
      <c r="AR2670" s="12"/>
      <c r="AS2670" s="44"/>
      <c r="AT2670" s="45"/>
      <c r="AU2670" s="12"/>
      <c r="AV2670" s="12"/>
      <c r="AW2670" s="12"/>
      <c r="AX2670" s="12"/>
      <c r="AY2670" s="44"/>
      <c r="AZ2670" s="45"/>
      <c r="BA2670" s="12"/>
      <c r="BB2670" s="12"/>
      <c r="BC2670" s="12"/>
      <c r="BD2670" s="12"/>
      <c r="BE2670" s="44"/>
      <c r="BF2670" s="45"/>
      <c r="BG2670" s="12"/>
      <c r="BH2670" s="12"/>
      <c r="BI2670" s="12"/>
      <c r="BJ2670" s="12"/>
      <c r="BK2670" s="44"/>
      <c r="BL2670" s="45"/>
      <c r="BM2670" s="12"/>
      <c r="BN2670" s="12"/>
      <c r="BO2670" s="12"/>
      <c r="BP2670" s="12"/>
      <c r="BQ2670" s="48"/>
      <c r="BR2670" s="49"/>
      <c r="BS2670" s="13"/>
      <c r="BT2670" s="12"/>
      <c r="BV2670" s="14"/>
      <c r="BW2670" s="50"/>
      <c r="BX2670" s="54"/>
      <c r="BY2670" s="14"/>
      <c r="BZ2670" s="14"/>
      <c r="CA2670" s="14"/>
      <c r="CB2670" s="14"/>
      <c r="CC2670" s="14"/>
      <c r="CD2670" s="14"/>
      <c r="CE2670" s="14"/>
      <c r="CF2670" s="15"/>
      <c r="CG2670" s="14"/>
      <c r="CH2670" s="14"/>
      <c r="CI2670" s="50"/>
      <c r="CJ2670" s="54"/>
      <c r="CK2670" s="14"/>
      <c r="CL2670" s="14"/>
      <c r="CM2670" s="14"/>
      <c r="CN2670" s="14"/>
      <c r="CO2670" s="14"/>
      <c r="CP2670" s="14"/>
      <c r="CQ2670" s="14"/>
      <c r="CR2670" s="14"/>
      <c r="CS2670" s="14"/>
      <c r="CT2670" s="14"/>
      <c r="CU2670" s="16"/>
      <c r="CV2670" s="14"/>
      <c r="CW2670" s="50"/>
      <c r="CX2670" s="17"/>
    </row>
    <row r="2671" spans="4:102" x14ac:dyDescent="0.25">
      <c r="D2671" s="11"/>
      <c r="E2671" s="11"/>
      <c r="F2671" s="11"/>
      <c r="G2671" s="11"/>
      <c r="H2671" s="11"/>
      <c r="I2671" s="11"/>
      <c r="J2671" s="11"/>
      <c r="K2671" s="11"/>
      <c r="L2671" s="11"/>
      <c r="M2671" s="11"/>
      <c r="N2671" s="11"/>
      <c r="O2671" s="11"/>
      <c r="P2671" s="43"/>
      <c r="Q2671" s="11"/>
      <c r="R2671" s="11"/>
      <c r="S2671" s="11"/>
      <c r="T2671" s="11"/>
      <c r="U2671" s="11"/>
      <c r="V2671" s="11"/>
      <c r="W2671" s="11"/>
      <c r="X2671" s="12"/>
      <c r="Y2671" s="12"/>
      <c r="Z2671" s="12"/>
      <c r="AA2671" s="44"/>
      <c r="AB2671" s="45"/>
      <c r="AC2671" s="12"/>
      <c r="AD2671" s="12"/>
      <c r="AE2671" s="12"/>
      <c r="AF2671" s="12"/>
      <c r="AG2671" s="44"/>
      <c r="AH2671" s="45"/>
      <c r="AI2671" s="12"/>
      <c r="AJ2671" s="12"/>
      <c r="AK2671" s="12"/>
      <c r="AL2671" s="12"/>
      <c r="AM2671" s="44"/>
      <c r="AN2671" s="45"/>
      <c r="AO2671" s="12"/>
      <c r="AP2671" s="12"/>
      <c r="AQ2671" s="12"/>
      <c r="AR2671" s="12"/>
      <c r="AS2671" s="44"/>
      <c r="AT2671" s="45"/>
      <c r="AU2671" s="12"/>
      <c r="AV2671" s="12"/>
      <c r="AW2671" s="12"/>
      <c r="AX2671" s="12"/>
      <c r="AY2671" s="44"/>
      <c r="AZ2671" s="45"/>
      <c r="BA2671" s="12"/>
      <c r="BB2671" s="12"/>
      <c r="BC2671" s="12"/>
      <c r="BD2671" s="12"/>
      <c r="BE2671" s="44"/>
      <c r="BF2671" s="45"/>
      <c r="BG2671" s="12"/>
      <c r="BH2671" s="12"/>
      <c r="BI2671" s="12"/>
      <c r="BJ2671" s="12"/>
      <c r="BK2671" s="44"/>
      <c r="BL2671" s="45"/>
      <c r="BM2671" s="12"/>
      <c r="BN2671" s="12"/>
      <c r="BO2671" s="12"/>
      <c r="BP2671" s="12"/>
      <c r="BQ2671" s="48"/>
      <c r="BR2671" s="49"/>
      <c r="BS2671" s="13"/>
      <c r="BT2671" s="12"/>
      <c r="BV2671" s="14"/>
      <c r="BW2671" s="50"/>
      <c r="BX2671" s="54"/>
      <c r="BY2671" s="14"/>
      <c r="BZ2671" s="14"/>
      <c r="CA2671" s="14"/>
      <c r="CB2671" s="14"/>
      <c r="CC2671" s="14"/>
      <c r="CD2671" s="14"/>
      <c r="CE2671" s="14"/>
      <c r="CF2671" s="15"/>
      <c r="CG2671" s="14"/>
      <c r="CH2671" s="14"/>
      <c r="CI2671" s="50"/>
      <c r="CJ2671" s="54"/>
      <c r="CK2671" s="14"/>
      <c r="CL2671" s="14"/>
      <c r="CM2671" s="14"/>
      <c r="CN2671" s="14"/>
      <c r="CO2671" s="14"/>
      <c r="CP2671" s="14"/>
      <c r="CQ2671" s="14"/>
      <c r="CR2671" s="14"/>
      <c r="CS2671" s="14"/>
      <c r="CT2671" s="14"/>
      <c r="CU2671" s="16"/>
      <c r="CV2671" s="14"/>
      <c r="CW2671" s="50"/>
      <c r="CX2671" s="17"/>
    </row>
    <row r="2672" spans="4:102" x14ac:dyDescent="0.25">
      <c r="D2672" s="11"/>
      <c r="E2672" s="11"/>
      <c r="F2672" s="11"/>
      <c r="G2672" s="11"/>
      <c r="H2672" s="11"/>
      <c r="I2672" s="11"/>
      <c r="J2672" s="11"/>
      <c r="K2672" s="11"/>
      <c r="L2672" s="11"/>
      <c r="M2672" s="11"/>
      <c r="N2672" s="11"/>
      <c r="O2672" s="11"/>
      <c r="P2672" s="43"/>
      <c r="Q2672" s="11"/>
      <c r="R2672" s="11"/>
      <c r="S2672" s="11"/>
      <c r="T2672" s="11"/>
      <c r="U2672" s="11"/>
      <c r="V2672" s="11"/>
      <c r="W2672" s="11"/>
      <c r="X2672" s="12"/>
      <c r="Y2672" s="12"/>
      <c r="Z2672" s="12"/>
      <c r="AA2672" s="44"/>
      <c r="AB2672" s="45"/>
      <c r="AC2672" s="12"/>
      <c r="AD2672" s="12"/>
      <c r="AE2672" s="12"/>
      <c r="AF2672" s="12"/>
      <c r="AG2672" s="44"/>
      <c r="AH2672" s="45"/>
      <c r="AI2672" s="12"/>
      <c r="AJ2672" s="12"/>
      <c r="AK2672" s="12"/>
      <c r="AL2672" s="12"/>
      <c r="AM2672" s="44"/>
      <c r="AN2672" s="45"/>
      <c r="AO2672" s="12"/>
      <c r="AP2672" s="12"/>
      <c r="AQ2672" s="12"/>
      <c r="AR2672" s="12"/>
      <c r="AS2672" s="44"/>
      <c r="AT2672" s="45"/>
      <c r="AU2672" s="12"/>
      <c r="AV2672" s="12"/>
      <c r="AW2672" s="12"/>
      <c r="AX2672" s="12"/>
      <c r="AY2672" s="44"/>
      <c r="AZ2672" s="45"/>
      <c r="BA2672" s="12"/>
      <c r="BB2672" s="12"/>
      <c r="BC2672" s="12"/>
      <c r="BD2672" s="12"/>
      <c r="BE2672" s="44"/>
      <c r="BF2672" s="45"/>
      <c r="BG2672" s="12"/>
      <c r="BH2672" s="12"/>
      <c r="BI2672" s="12"/>
      <c r="BJ2672" s="12"/>
      <c r="BK2672" s="44"/>
      <c r="BL2672" s="45"/>
      <c r="BM2672" s="12"/>
      <c r="BN2672" s="12"/>
      <c r="BO2672" s="12"/>
      <c r="BP2672" s="12"/>
      <c r="BQ2672" s="48"/>
      <c r="BR2672" s="49"/>
      <c r="BS2672" s="13"/>
      <c r="BT2672" s="12"/>
      <c r="BV2672" s="14"/>
      <c r="BW2672" s="50"/>
      <c r="BX2672" s="54"/>
      <c r="BY2672" s="14"/>
      <c r="BZ2672" s="14"/>
      <c r="CA2672" s="14"/>
      <c r="CB2672" s="14"/>
      <c r="CC2672" s="14"/>
      <c r="CD2672" s="14"/>
      <c r="CE2672" s="14"/>
      <c r="CF2672" s="15"/>
      <c r="CG2672" s="14"/>
      <c r="CH2672" s="14"/>
      <c r="CI2672" s="50"/>
      <c r="CJ2672" s="54"/>
      <c r="CK2672" s="14"/>
      <c r="CL2672" s="14"/>
      <c r="CM2672" s="14"/>
      <c r="CN2672" s="14"/>
      <c r="CO2672" s="14"/>
      <c r="CP2672" s="14"/>
      <c r="CQ2672" s="14"/>
      <c r="CR2672" s="14"/>
      <c r="CS2672" s="14"/>
      <c r="CT2672" s="14"/>
      <c r="CU2672" s="16"/>
      <c r="CV2672" s="14"/>
      <c r="CW2672" s="50"/>
      <c r="CX2672" s="17"/>
    </row>
    <row r="2673" spans="4:102" x14ac:dyDescent="0.25">
      <c r="D2673" s="11"/>
      <c r="E2673" s="11"/>
      <c r="F2673" s="11"/>
      <c r="G2673" s="11"/>
      <c r="H2673" s="11"/>
      <c r="I2673" s="11"/>
      <c r="J2673" s="11"/>
      <c r="K2673" s="11"/>
      <c r="L2673" s="11"/>
      <c r="M2673" s="11"/>
      <c r="N2673" s="11"/>
      <c r="O2673" s="11"/>
      <c r="P2673" s="43"/>
      <c r="Q2673" s="11"/>
      <c r="R2673" s="11"/>
      <c r="S2673" s="11"/>
      <c r="T2673" s="11"/>
      <c r="U2673" s="11"/>
      <c r="V2673" s="11"/>
      <c r="W2673" s="11"/>
      <c r="X2673" s="12"/>
      <c r="Y2673" s="12"/>
      <c r="Z2673" s="12"/>
      <c r="AA2673" s="44"/>
      <c r="AB2673" s="45"/>
      <c r="AC2673" s="12"/>
      <c r="AD2673" s="12"/>
      <c r="AE2673" s="12"/>
      <c r="AF2673" s="12"/>
      <c r="AG2673" s="44"/>
      <c r="AH2673" s="45"/>
      <c r="AI2673" s="12"/>
      <c r="AJ2673" s="12"/>
      <c r="AK2673" s="12"/>
      <c r="AL2673" s="12"/>
      <c r="AM2673" s="44"/>
      <c r="AN2673" s="45"/>
      <c r="AO2673" s="12"/>
      <c r="AP2673" s="12"/>
      <c r="AQ2673" s="12"/>
      <c r="AR2673" s="12"/>
      <c r="AS2673" s="44"/>
      <c r="AT2673" s="45"/>
      <c r="AU2673" s="12"/>
      <c r="AV2673" s="12"/>
      <c r="AW2673" s="12"/>
      <c r="AX2673" s="12"/>
      <c r="AY2673" s="44"/>
      <c r="AZ2673" s="45"/>
      <c r="BA2673" s="12"/>
      <c r="BB2673" s="12"/>
      <c r="BC2673" s="12"/>
      <c r="BD2673" s="12"/>
      <c r="BE2673" s="44"/>
      <c r="BF2673" s="45"/>
      <c r="BG2673" s="12"/>
      <c r="BH2673" s="12"/>
      <c r="BI2673" s="12"/>
      <c r="BJ2673" s="12"/>
      <c r="BK2673" s="44"/>
      <c r="BL2673" s="45"/>
      <c r="BM2673" s="12"/>
      <c r="BN2673" s="12"/>
      <c r="BO2673" s="12"/>
      <c r="BP2673" s="12"/>
      <c r="BQ2673" s="48"/>
      <c r="BR2673" s="49"/>
      <c r="BS2673" s="13"/>
      <c r="BT2673" s="12"/>
      <c r="BV2673" s="14"/>
      <c r="BW2673" s="50"/>
      <c r="BX2673" s="54"/>
      <c r="BY2673" s="14"/>
      <c r="BZ2673" s="14"/>
      <c r="CA2673" s="14"/>
      <c r="CB2673" s="14"/>
      <c r="CC2673" s="14"/>
      <c r="CD2673" s="14"/>
      <c r="CE2673" s="14"/>
      <c r="CF2673" s="15"/>
      <c r="CG2673" s="14"/>
      <c r="CH2673" s="14"/>
      <c r="CI2673" s="50"/>
      <c r="CJ2673" s="54"/>
      <c r="CK2673" s="14"/>
      <c r="CL2673" s="14"/>
      <c r="CM2673" s="14"/>
      <c r="CN2673" s="14"/>
      <c r="CO2673" s="14"/>
      <c r="CP2673" s="14"/>
      <c r="CQ2673" s="14"/>
      <c r="CR2673" s="14"/>
      <c r="CS2673" s="14"/>
      <c r="CT2673" s="14"/>
      <c r="CU2673" s="16"/>
      <c r="CV2673" s="14"/>
      <c r="CW2673" s="50"/>
      <c r="CX2673" s="17"/>
    </row>
    <row r="2674" spans="4:102" x14ac:dyDescent="0.25">
      <c r="D2674" s="11"/>
      <c r="E2674" s="11"/>
      <c r="F2674" s="11"/>
      <c r="G2674" s="11"/>
      <c r="H2674" s="11"/>
      <c r="I2674" s="11"/>
      <c r="J2674" s="11"/>
      <c r="K2674" s="11"/>
      <c r="L2674" s="11"/>
      <c r="M2674" s="11"/>
      <c r="N2674" s="11"/>
      <c r="O2674" s="11"/>
      <c r="P2674" s="43"/>
      <c r="Q2674" s="11"/>
      <c r="R2674" s="11"/>
      <c r="S2674" s="11"/>
      <c r="T2674" s="11"/>
      <c r="U2674" s="11"/>
      <c r="V2674" s="11"/>
      <c r="W2674" s="11"/>
      <c r="X2674" s="12"/>
      <c r="Y2674" s="12"/>
      <c r="Z2674" s="12"/>
      <c r="AA2674" s="44"/>
      <c r="AB2674" s="45"/>
      <c r="AC2674" s="12"/>
      <c r="AD2674" s="12"/>
      <c r="AE2674" s="12"/>
      <c r="AF2674" s="12"/>
      <c r="AG2674" s="44"/>
      <c r="AH2674" s="45"/>
      <c r="AI2674" s="12"/>
      <c r="AJ2674" s="12"/>
      <c r="AK2674" s="12"/>
      <c r="AL2674" s="12"/>
      <c r="AM2674" s="44"/>
      <c r="AN2674" s="45"/>
      <c r="AO2674" s="12"/>
      <c r="AP2674" s="12"/>
      <c r="AQ2674" s="12"/>
      <c r="AR2674" s="12"/>
      <c r="AS2674" s="44"/>
      <c r="AT2674" s="45"/>
      <c r="AU2674" s="12"/>
      <c r="AV2674" s="12"/>
      <c r="AW2674" s="12"/>
      <c r="AX2674" s="12"/>
      <c r="AY2674" s="44"/>
      <c r="AZ2674" s="45"/>
      <c r="BA2674" s="12"/>
      <c r="BB2674" s="12"/>
      <c r="BC2674" s="12"/>
      <c r="BD2674" s="12"/>
      <c r="BE2674" s="44"/>
      <c r="BF2674" s="45"/>
      <c r="BG2674" s="12"/>
      <c r="BH2674" s="12"/>
      <c r="BI2674" s="12"/>
      <c r="BJ2674" s="12"/>
      <c r="BK2674" s="44"/>
      <c r="BL2674" s="45"/>
      <c r="BM2674" s="12"/>
      <c r="BN2674" s="12"/>
      <c r="BO2674" s="12"/>
      <c r="BP2674" s="12"/>
      <c r="BQ2674" s="48"/>
      <c r="BR2674" s="49"/>
      <c r="BS2674" s="13"/>
      <c r="BT2674" s="12"/>
      <c r="BV2674" s="14"/>
      <c r="BW2674" s="50"/>
      <c r="BX2674" s="54"/>
      <c r="BY2674" s="14"/>
      <c r="BZ2674" s="14"/>
      <c r="CA2674" s="14"/>
      <c r="CB2674" s="14"/>
      <c r="CC2674" s="14"/>
      <c r="CD2674" s="14"/>
      <c r="CE2674" s="14"/>
      <c r="CF2674" s="15"/>
      <c r="CG2674" s="14"/>
      <c r="CH2674" s="14"/>
      <c r="CI2674" s="50"/>
      <c r="CJ2674" s="54"/>
      <c r="CK2674" s="14"/>
      <c r="CL2674" s="14"/>
      <c r="CM2674" s="14"/>
      <c r="CN2674" s="14"/>
      <c r="CO2674" s="14"/>
      <c r="CP2674" s="14"/>
      <c r="CQ2674" s="14"/>
      <c r="CR2674" s="14"/>
      <c r="CS2674" s="14"/>
      <c r="CT2674" s="14"/>
      <c r="CU2674" s="16"/>
      <c r="CV2674" s="14"/>
      <c r="CW2674" s="50"/>
      <c r="CX2674" s="17"/>
    </row>
    <row r="2675" spans="4:102" x14ac:dyDescent="0.25">
      <c r="D2675" s="11"/>
      <c r="E2675" s="11"/>
      <c r="F2675" s="11"/>
      <c r="G2675" s="11"/>
      <c r="H2675" s="11"/>
      <c r="I2675" s="11"/>
      <c r="J2675" s="11"/>
      <c r="K2675" s="11"/>
      <c r="L2675" s="11"/>
      <c r="M2675" s="11"/>
      <c r="N2675" s="11"/>
      <c r="O2675" s="11"/>
      <c r="P2675" s="43"/>
      <c r="Q2675" s="11"/>
      <c r="R2675" s="11"/>
      <c r="S2675" s="11"/>
      <c r="T2675" s="11"/>
      <c r="U2675" s="11"/>
      <c r="V2675" s="11"/>
      <c r="W2675" s="11"/>
      <c r="X2675" s="12"/>
      <c r="Y2675" s="12"/>
      <c r="Z2675" s="12"/>
      <c r="AA2675" s="44"/>
      <c r="AB2675" s="45"/>
      <c r="AC2675" s="12"/>
      <c r="AD2675" s="12"/>
      <c r="AE2675" s="12"/>
      <c r="AF2675" s="12"/>
      <c r="AG2675" s="44"/>
      <c r="AH2675" s="45"/>
      <c r="AI2675" s="12"/>
      <c r="AJ2675" s="12"/>
      <c r="AK2675" s="12"/>
      <c r="AL2675" s="12"/>
      <c r="AM2675" s="44"/>
      <c r="AN2675" s="45"/>
      <c r="AO2675" s="12"/>
      <c r="AP2675" s="12"/>
      <c r="AQ2675" s="12"/>
      <c r="AR2675" s="12"/>
      <c r="AS2675" s="44"/>
      <c r="AT2675" s="45"/>
      <c r="AU2675" s="12"/>
      <c r="AV2675" s="12"/>
      <c r="AW2675" s="12"/>
      <c r="AX2675" s="12"/>
      <c r="AY2675" s="44"/>
      <c r="AZ2675" s="45"/>
      <c r="BA2675" s="12"/>
      <c r="BB2675" s="12"/>
      <c r="BC2675" s="12"/>
      <c r="BD2675" s="12"/>
      <c r="BE2675" s="44"/>
      <c r="BF2675" s="45"/>
      <c r="BG2675" s="12"/>
      <c r="BH2675" s="12"/>
      <c r="BI2675" s="12"/>
      <c r="BJ2675" s="12"/>
      <c r="BK2675" s="44"/>
      <c r="BL2675" s="45"/>
      <c r="BM2675" s="12"/>
      <c r="BN2675" s="12"/>
      <c r="BO2675" s="12"/>
      <c r="BP2675" s="12"/>
      <c r="BQ2675" s="48"/>
      <c r="BR2675" s="49"/>
      <c r="BS2675" s="13"/>
      <c r="BT2675" s="12"/>
      <c r="BV2675" s="14"/>
      <c r="BW2675" s="50"/>
      <c r="BX2675" s="54"/>
      <c r="BY2675" s="14"/>
      <c r="BZ2675" s="14"/>
      <c r="CA2675" s="14"/>
      <c r="CB2675" s="14"/>
      <c r="CC2675" s="14"/>
      <c r="CD2675" s="14"/>
      <c r="CE2675" s="14"/>
      <c r="CF2675" s="15"/>
      <c r="CG2675" s="14"/>
      <c r="CH2675" s="14"/>
      <c r="CI2675" s="50"/>
      <c r="CJ2675" s="54"/>
      <c r="CK2675" s="14"/>
      <c r="CL2675" s="14"/>
      <c r="CM2675" s="14"/>
      <c r="CN2675" s="14"/>
      <c r="CO2675" s="14"/>
      <c r="CP2675" s="14"/>
      <c r="CQ2675" s="14"/>
      <c r="CR2675" s="14"/>
      <c r="CS2675" s="14"/>
      <c r="CT2675" s="14"/>
      <c r="CU2675" s="16"/>
      <c r="CV2675" s="14"/>
      <c r="CW2675" s="50"/>
      <c r="CX2675" s="17"/>
    </row>
    <row r="2676" spans="4:102" x14ac:dyDescent="0.25">
      <c r="D2676" s="11"/>
      <c r="E2676" s="11"/>
      <c r="F2676" s="11"/>
      <c r="G2676" s="11"/>
      <c r="H2676" s="11"/>
      <c r="I2676" s="11"/>
      <c r="J2676" s="11"/>
      <c r="K2676" s="11"/>
      <c r="L2676" s="11"/>
      <c r="M2676" s="11"/>
      <c r="N2676" s="11"/>
      <c r="O2676" s="11"/>
      <c r="P2676" s="43"/>
      <c r="Q2676" s="11"/>
      <c r="R2676" s="11"/>
      <c r="S2676" s="11"/>
      <c r="T2676" s="11"/>
      <c r="U2676" s="11"/>
      <c r="V2676" s="11"/>
      <c r="W2676" s="11"/>
      <c r="X2676" s="12"/>
      <c r="Y2676" s="12"/>
      <c r="Z2676" s="12"/>
      <c r="AA2676" s="44"/>
      <c r="AB2676" s="45"/>
      <c r="AC2676" s="12"/>
      <c r="AD2676" s="12"/>
      <c r="AE2676" s="12"/>
      <c r="AF2676" s="12"/>
      <c r="AG2676" s="44"/>
      <c r="AH2676" s="45"/>
      <c r="AI2676" s="12"/>
      <c r="AJ2676" s="12"/>
      <c r="AK2676" s="12"/>
      <c r="AL2676" s="12"/>
      <c r="AM2676" s="44"/>
      <c r="AN2676" s="45"/>
      <c r="AO2676" s="12"/>
      <c r="AP2676" s="12"/>
      <c r="AQ2676" s="12"/>
      <c r="AR2676" s="12"/>
      <c r="AS2676" s="44"/>
      <c r="AT2676" s="45"/>
      <c r="AU2676" s="12"/>
      <c r="AV2676" s="12"/>
      <c r="AW2676" s="12"/>
      <c r="AX2676" s="12"/>
      <c r="AY2676" s="44"/>
      <c r="AZ2676" s="45"/>
      <c r="BA2676" s="12"/>
      <c r="BB2676" s="12"/>
      <c r="BC2676" s="12"/>
      <c r="BD2676" s="12"/>
      <c r="BE2676" s="44"/>
      <c r="BF2676" s="45"/>
      <c r="BG2676" s="12"/>
      <c r="BH2676" s="12"/>
      <c r="BI2676" s="12"/>
      <c r="BJ2676" s="12"/>
      <c r="BK2676" s="44"/>
      <c r="BL2676" s="45"/>
      <c r="BM2676" s="12"/>
      <c r="BN2676" s="12"/>
      <c r="BO2676" s="12"/>
      <c r="BP2676" s="12"/>
      <c r="BQ2676" s="48"/>
      <c r="BR2676" s="49"/>
      <c r="BS2676" s="13"/>
      <c r="BT2676" s="12"/>
      <c r="BV2676" s="14"/>
      <c r="BW2676" s="50"/>
      <c r="BX2676" s="54"/>
      <c r="BY2676" s="14"/>
      <c r="BZ2676" s="14"/>
      <c r="CA2676" s="14"/>
      <c r="CB2676" s="14"/>
      <c r="CC2676" s="14"/>
      <c r="CD2676" s="14"/>
      <c r="CE2676" s="14"/>
      <c r="CF2676" s="15"/>
      <c r="CG2676" s="14"/>
      <c r="CH2676" s="14"/>
      <c r="CI2676" s="50"/>
      <c r="CJ2676" s="54"/>
      <c r="CK2676" s="14"/>
      <c r="CL2676" s="14"/>
      <c r="CM2676" s="14"/>
      <c r="CN2676" s="14"/>
      <c r="CO2676" s="14"/>
      <c r="CP2676" s="14"/>
      <c r="CQ2676" s="14"/>
      <c r="CR2676" s="14"/>
      <c r="CS2676" s="14"/>
      <c r="CT2676" s="14"/>
      <c r="CU2676" s="16"/>
      <c r="CV2676" s="14"/>
      <c r="CW2676" s="50"/>
      <c r="CX2676" s="17"/>
    </row>
    <row r="2677" spans="4:102" x14ac:dyDescent="0.25">
      <c r="D2677" s="11"/>
      <c r="E2677" s="11"/>
      <c r="F2677" s="11"/>
      <c r="G2677" s="11"/>
      <c r="H2677" s="11"/>
      <c r="I2677" s="11"/>
      <c r="J2677" s="11"/>
      <c r="K2677" s="11"/>
      <c r="L2677" s="11"/>
      <c r="M2677" s="11"/>
      <c r="N2677" s="11"/>
      <c r="O2677" s="11"/>
      <c r="P2677" s="43"/>
      <c r="Q2677" s="11"/>
      <c r="R2677" s="11"/>
      <c r="S2677" s="11"/>
      <c r="T2677" s="11"/>
      <c r="U2677" s="11"/>
      <c r="V2677" s="11"/>
      <c r="W2677" s="11"/>
      <c r="X2677" s="12"/>
      <c r="Y2677" s="12"/>
      <c r="Z2677" s="12"/>
      <c r="AA2677" s="44"/>
      <c r="AB2677" s="45"/>
      <c r="AC2677" s="12"/>
      <c r="AD2677" s="12"/>
      <c r="AE2677" s="12"/>
      <c r="AF2677" s="12"/>
      <c r="AG2677" s="44"/>
      <c r="AH2677" s="45"/>
      <c r="AI2677" s="12"/>
      <c r="AJ2677" s="12"/>
      <c r="AK2677" s="12"/>
      <c r="AL2677" s="12"/>
      <c r="AM2677" s="44"/>
      <c r="AN2677" s="45"/>
      <c r="AO2677" s="12"/>
      <c r="AP2677" s="12"/>
      <c r="AQ2677" s="12"/>
      <c r="AR2677" s="12"/>
      <c r="AS2677" s="44"/>
      <c r="AT2677" s="45"/>
      <c r="AU2677" s="12"/>
      <c r="AV2677" s="12"/>
      <c r="AW2677" s="12"/>
      <c r="AX2677" s="12"/>
      <c r="AY2677" s="44"/>
      <c r="AZ2677" s="45"/>
      <c r="BA2677" s="12"/>
      <c r="BB2677" s="12"/>
      <c r="BC2677" s="12"/>
      <c r="BD2677" s="12"/>
      <c r="BE2677" s="44"/>
      <c r="BF2677" s="45"/>
      <c r="BG2677" s="12"/>
      <c r="BH2677" s="12"/>
      <c r="BI2677" s="12"/>
      <c r="BJ2677" s="12"/>
      <c r="BK2677" s="44"/>
      <c r="BL2677" s="45"/>
      <c r="BM2677" s="12"/>
      <c r="BN2677" s="12"/>
      <c r="BO2677" s="12"/>
      <c r="BP2677" s="12"/>
      <c r="BQ2677" s="48"/>
      <c r="BR2677" s="49"/>
      <c r="BS2677" s="13"/>
      <c r="BT2677" s="12"/>
      <c r="BV2677" s="14"/>
      <c r="BW2677" s="50"/>
      <c r="BX2677" s="54"/>
      <c r="BY2677" s="14"/>
      <c r="BZ2677" s="14"/>
      <c r="CA2677" s="14"/>
      <c r="CB2677" s="14"/>
      <c r="CC2677" s="14"/>
      <c r="CD2677" s="14"/>
      <c r="CE2677" s="14"/>
      <c r="CF2677" s="15"/>
      <c r="CG2677" s="14"/>
      <c r="CH2677" s="14"/>
      <c r="CI2677" s="50"/>
      <c r="CJ2677" s="54"/>
      <c r="CK2677" s="14"/>
      <c r="CL2677" s="14"/>
      <c r="CM2677" s="14"/>
      <c r="CN2677" s="14"/>
      <c r="CO2677" s="14"/>
      <c r="CP2677" s="14"/>
      <c r="CQ2677" s="14"/>
      <c r="CR2677" s="14"/>
      <c r="CS2677" s="14"/>
      <c r="CT2677" s="14"/>
      <c r="CU2677" s="16"/>
      <c r="CV2677" s="14"/>
      <c r="CW2677" s="50"/>
      <c r="CX2677" s="17"/>
    </row>
    <row r="2678" spans="4:102" x14ac:dyDescent="0.25">
      <c r="D2678" s="11"/>
      <c r="E2678" s="11"/>
      <c r="F2678" s="11"/>
      <c r="G2678" s="11"/>
      <c r="H2678" s="11"/>
      <c r="I2678" s="11"/>
      <c r="J2678" s="11"/>
      <c r="K2678" s="11"/>
      <c r="L2678" s="11"/>
      <c r="M2678" s="11"/>
      <c r="N2678" s="11"/>
      <c r="O2678" s="11"/>
      <c r="P2678" s="43"/>
      <c r="Q2678" s="11"/>
      <c r="R2678" s="11"/>
      <c r="S2678" s="11"/>
      <c r="T2678" s="11"/>
      <c r="U2678" s="11"/>
      <c r="V2678" s="11"/>
      <c r="W2678" s="11"/>
      <c r="X2678" s="12"/>
      <c r="Y2678" s="12"/>
      <c r="Z2678" s="12"/>
      <c r="AA2678" s="44"/>
      <c r="AB2678" s="45"/>
      <c r="AC2678" s="12"/>
      <c r="AD2678" s="12"/>
      <c r="AE2678" s="12"/>
      <c r="AF2678" s="12"/>
      <c r="AG2678" s="44"/>
      <c r="AH2678" s="45"/>
      <c r="AI2678" s="12"/>
      <c r="AJ2678" s="12"/>
      <c r="AK2678" s="12"/>
      <c r="AL2678" s="12"/>
      <c r="AM2678" s="44"/>
      <c r="AN2678" s="45"/>
      <c r="AO2678" s="12"/>
      <c r="AP2678" s="12"/>
      <c r="AQ2678" s="12"/>
      <c r="AR2678" s="12"/>
      <c r="AS2678" s="44"/>
      <c r="AT2678" s="45"/>
      <c r="AU2678" s="12"/>
      <c r="AV2678" s="12"/>
      <c r="AW2678" s="12"/>
      <c r="AX2678" s="12"/>
      <c r="AY2678" s="44"/>
      <c r="AZ2678" s="45"/>
      <c r="BA2678" s="12"/>
      <c r="BB2678" s="12"/>
      <c r="BC2678" s="12"/>
      <c r="BD2678" s="12"/>
      <c r="BE2678" s="44"/>
      <c r="BF2678" s="45"/>
      <c r="BG2678" s="12"/>
      <c r="BH2678" s="12"/>
      <c r="BI2678" s="12"/>
      <c r="BJ2678" s="12"/>
      <c r="BK2678" s="44"/>
      <c r="BL2678" s="45"/>
      <c r="BM2678" s="12"/>
      <c r="BN2678" s="12"/>
      <c r="BO2678" s="12"/>
      <c r="BP2678" s="12"/>
      <c r="BQ2678" s="48"/>
      <c r="BR2678" s="49"/>
      <c r="BS2678" s="13"/>
      <c r="BT2678" s="12"/>
      <c r="BV2678" s="14"/>
      <c r="BW2678" s="50"/>
      <c r="BX2678" s="54"/>
      <c r="BY2678" s="14"/>
      <c r="BZ2678" s="14"/>
      <c r="CA2678" s="14"/>
      <c r="CB2678" s="14"/>
      <c r="CC2678" s="14"/>
      <c r="CD2678" s="14"/>
      <c r="CE2678" s="14"/>
      <c r="CF2678" s="15"/>
      <c r="CG2678" s="14"/>
      <c r="CH2678" s="14"/>
      <c r="CI2678" s="50"/>
      <c r="CJ2678" s="54"/>
      <c r="CK2678" s="14"/>
      <c r="CL2678" s="14"/>
      <c r="CM2678" s="14"/>
      <c r="CN2678" s="14"/>
      <c r="CO2678" s="14"/>
      <c r="CP2678" s="14"/>
      <c r="CQ2678" s="14"/>
      <c r="CR2678" s="14"/>
      <c r="CS2678" s="14"/>
      <c r="CT2678" s="14"/>
      <c r="CU2678" s="16"/>
      <c r="CV2678" s="14"/>
      <c r="CW2678" s="50"/>
      <c r="CX2678" s="17"/>
    </row>
    <row r="2679" spans="4:102" x14ac:dyDescent="0.25">
      <c r="D2679" s="11"/>
      <c r="E2679" s="11"/>
      <c r="F2679" s="11"/>
      <c r="G2679" s="11"/>
      <c r="H2679" s="11"/>
      <c r="I2679" s="11"/>
      <c r="J2679" s="11"/>
      <c r="K2679" s="11"/>
      <c r="L2679" s="11"/>
      <c r="M2679" s="11"/>
      <c r="N2679" s="11"/>
      <c r="O2679" s="11"/>
      <c r="P2679" s="43"/>
      <c r="Q2679" s="11"/>
      <c r="R2679" s="11"/>
      <c r="S2679" s="11"/>
      <c r="T2679" s="11"/>
      <c r="U2679" s="11"/>
      <c r="V2679" s="11"/>
      <c r="W2679" s="11"/>
      <c r="X2679" s="12"/>
      <c r="Y2679" s="12"/>
      <c r="Z2679" s="12"/>
      <c r="AA2679" s="44"/>
      <c r="AB2679" s="45"/>
      <c r="AC2679" s="12"/>
      <c r="AD2679" s="12"/>
      <c r="AE2679" s="12"/>
      <c r="AF2679" s="12"/>
      <c r="AG2679" s="44"/>
      <c r="AH2679" s="45"/>
      <c r="AI2679" s="12"/>
      <c r="AJ2679" s="12"/>
      <c r="AK2679" s="12"/>
      <c r="AL2679" s="12"/>
      <c r="AM2679" s="44"/>
      <c r="AN2679" s="45"/>
      <c r="AO2679" s="12"/>
      <c r="AP2679" s="12"/>
      <c r="AQ2679" s="12"/>
      <c r="AR2679" s="12"/>
      <c r="AS2679" s="44"/>
      <c r="AT2679" s="45"/>
      <c r="AU2679" s="12"/>
      <c r="AV2679" s="12"/>
      <c r="AW2679" s="12"/>
      <c r="AX2679" s="12"/>
      <c r="AY2679" s="44"/>
      <c r="AZ2679" s="45"/>
      <c r="BA2679" s="12"/>
      <c r="BB2679" s="12"/>
      <c r="BC2679" s="12"/>
      <c r="BD2679" s="12"/>
      <c r="BE2679" s="44"/>
      <c r="BF2679" s="45"/>
      <c r="BG2679" s="12"/>
      <c r="BH2679" s="12"/>
      <c r="BI2679" s="12"/>
      <c r="BJ2679" s="12"/>
      <c r="BK2679" s="44"/>
      <c r="BL2679" s="45"/>
      <c r="BM2679" s="12"/>
      <c r="BN2679" s="12"/>
      <c r="BO2679" s="12"/>
      <c r="BP2679" s="12"/>
      <c r="BQ2679" s="48"/>
      <c r="BR2679" s="49"/>
      <c r="BS2679" s="13"/>
      <c r="BT2679" s="12"/>
      <c r="BV2679" s="14"/>
      <c r="BW2679" s="50"/>
      <c r="BX2679" s="54"/>
      <c r="BY2679" s="14"/>
      <c r="BZ2679" s="14"/>
      <c r="CA2679" s="14"/>
      <c r="CB2679" s="14"/>
      <c r="CC2679" s="14"/>
      <c r="CD2679" s="14"/>
      <c r="CE2679" s="14"/>
      <c r="CF2679" s="15"/>
      <c r="CG2679" s="14"/>
      <c r="CH2679" s="14"/>
      <c r="CI2679" s="50"/>
      <c r="CJ2679" s="54"/>
      <c r="CK2679" s="14"/>
      <c r="CL2679" s="14"/>
      <c r="CM2679" s="14"/>
      <c r="CN2679" s="14"/>
      <c r="CO2679" s="14"/>
      <c r="CP2679" s="14"/>
      <c r="CQ2679" s="14"/>
      <c r="CR2679" s="14"/>
      <c r="CS2679" s="14"/>
      <c r="CT2679" s="14"/>
      <c r="CU2679" s="16"/>
      <c r="CV2679" s="14"/>
      <c r="CW2679" s="50"/>
      <c r="CX2679" s="17"/>
    </row>
    <row r="2680" spans="4:102" x14ac:dyDescent="0.25">
      <c r="D2680" s="11"/>
      <c r="E2680" s="11"/>
      <c r="F2680" s="11"/>
      <c r="G2680" s="11"/>
      <c r="H2680" s="11"/>
      <c r="I2680" s="11"/>
      <c r="J2680" s="11"/>
      <c r="K2680" s="11"/>
      <c r="L2680" s="11"/>
      <c r="M2680" s="11"/>
      <c r="N2680" s="11"/>
      <c r="O2680" s="11"/>
      <c r="P2680" s="43"/>
      <c r="Q2680" s="11"/>
      <c r="R2680" s="11"/>
      <c r="S2680" s="11"/>
      <c r="T2680" s="11"/>
      <c r="U2680" s="11"/>
      <c r="V2680" s="11"/>
      <c r="W2680" s="11"/>
      <c r="X2680" s="12"/>
      <c r="Y2680" s="12"/>
      <c r="Z2680" s="12"/>
      <c r="AA2680" s="44"/>
      <c r="AB2680" s="45"/>
      <c r="AC2680" s="12"/>
      <c r="AD2680" s="12"/>
      <c r="AE2680" s="12"/>
      <c r="AF2680" s="12"/>
      <c r="AG2680" s="44"/>
      <c r="AH2680" s="45"/>
      <c r="AI2680" s="12"/>
      <c r="AJ2680" s="12"/>
      <c r="AK2680" s="12"/>
      <c r="AL2680" s="12"/>
      <c r="AM2680" s="44"/>
      <c r="AN2680" s="45"/>
      <c r="AO2680" s="12"/>
      <c r="AP2680" s="12"/>
      <c r="AQ2680" s="12"/>
      <c r="AR2680" s="12"/>
      <c r="AS2680" s="44"/>
      <c r="AT2680" s="45"/>
      <c r="AU2680" s="12"/>
      <c r="AV2680" s="12"/>
      <c r="AW2680" s="12"/>
      <c r="AX2680" s="12"/>
      <c r="AY2680" s="44"/>
      <c r="AZ2680" s="45"/>
      <c r="BA2680" s="12"/>
      <c r="BB2680" s="12"/>
      <c r="BC2680" s="12"/>
      <c r="BD2680" s="12"/>
      <c r="BE2680" s="44"/>
      <c r="BF2680" s="45"/>
      <c r="BG2680" s="12"/>
      <c r="BH2680" s="12"/>
      <c r="BI2680" s="12"/>
      <c r="BJ2680" s="12"/>
      <c r="BK2680" s="44"/>
      <c r="BL2680" s="45"/>
      <c r="BM2680" s="12"/>
      <c r="BN2680" s="12"/>
      <c r="BO2680" s="12"/>
      <c r="BP2680" s="12"/>
      <c r="BQ2680" s="48"/>
      <c r="BR2680" s="49"/>
      <c r="BS2680" s="13"/>
      <c r="BT2680" s="12"/>
      <c r="BV2680" s="14"/>
      <c r="BW2680" s="50"/>
      <c r="BX2680" s="54"/>
      <c r="BY2680" s="14"/>
      <c r="BZ2680" s="14"/>
      <c r="CA2680" s="14"/>
      <c r="CB2680" s="14"/>
      <c r="CC2680" s="14"/>
      <c r="CD2680" s="14"/>
      <c r="CE2680" s="14"/>
      <c r="CF2680" s="15"/>
      <c r="CG2680" s="14"/>
      <c r="CH2680" s="14"/>
      <c r="CI2680" s="50"/>
      <c r="CJ2680" s="54"/>
      <c r="CK2680" s="14"/>
      <c r="CL2680" s="14"/>
      <c r="CM2680" s="14"/>
      <c r="CN2680" s="14"/>
      <c r="CO2680" s="14"/>
      <c r="CP2680" s="14"/>
      <c r="CQ2680" s="14"/>
      <c r="CR2680" s="14"/>
      <c r="CS2680" s="14"/>
      <c r="CT2680" s="14"/>
      <c r="CU2680" s="16"/>
      <c r="CV2680" s="14"/>
      <c r="CW2680" s="50"/>
      <c r="CX2680" s="17"/>
    </row>
    <row r="2681" spans="4:102" x14ac:dyDescent="0.25">
      <c r="D2681" s="11"/>
      <c r="E2681" s="11"/>
      <c r="F2681" s="11"/>
      <c r="G2681" s="11"/>
      <c r="H2681" s="11"/>
      <c r="I2681" s="11"/>
      <c r="J2681" s="11"/>
      <c r="K2681" s="11"/>
      <c r="L2681" s="11"/>
      <c r="M2681" s="11"/>
      <c r="N2681" s="11"/>
      <c r="O2681" s="11"/>
      <c r="P2681" s="43"/>
      <c r="Q2681" s="11"/>
      <c r="R2681" s="11"/>
      <c r="S2681" s="11"/>
      <c r="T2681" s="11"/>
      <c r="U2681" s="11"/>
      <c r="V2681" s="11"/>
      <c r="W2681" s="11"/>
      <c r="X2681" s="12"/>
      <c r="Y2681" s="12"/>
      <c r="Z2681" s="12"/>
      <c r="AA2681" s="44"/>
      <c r="AB2681" s="45"/>
      <c r="AC2681" s="12"/>
      <c r="AD2681" s="12"/>
      <c r="AE2681" s="12"/>
      <c r="AF2681" s="12"/>
      <c r="AG2681" s="44"/>
      <c r="AH2681" s="45"/>
      <c r="AI2681" s="12"/>
      <c r="AJ2681" s="12"/>
      <c r="AK2681" s="12"/>
      <c r="AL2681" s="12"/>
      <c r="AM2681" s="44"/>
      <c r="AN2681" s="45"/>
      <c r="AO2681" s="12"/>
      <c r="AP2681" s="12"/>
      <c r="AQ2681" s="12"/>
      <c r="AR2681" s="12"/>
      <c r="AS2681" s="44"/>
      <c r="AT2681" s="45"/>
      <c r="AU2681" s="12"/>
      <c r="AV2681" s="12"/>
      <c r="AW2681" s="12"/>
      <c r="AX2681" s="12"/>
      <c r="AY2681" s="44"/>
      <c r="AZ2681" s="45"/>
      <c r="BA2681" s="12"/>
      <c r="BB2681" s="12"/>
      <c r="BC2681" s="12"/>
      <c r="BD2681" s="12"/>
      <c r="BE2681" s="44"/>
      <c r="BF2681" s="45"/>
      <c r="BG2681" s="12"/>
      <c r="BH2681" s="12"/>
      <c r="BI2681" s="12"/>
      <c r="BJ2681" s="12"/>
      <c r="BK2681" s="44"/>
      <c r="BL2681" s="45"/>
      <c r="BM2681" s="12"/>
      <c r="BN2681" s="12"/>
      <c r="BO2681" s="12"/>
      <c r="BP2681" s="12"/>
      <c r="BQ2681" s="48"/>
      <c r="BR2681" s="49"/>
      <c r="BS2681" s="13"/>
      <c r="BT2681" s="12"/>
      <c r="BV2681" s="14"/>
      <c r="BW2681" s="50"/>
      <c r="BX2681" s="54"/>
      <c r="BY2681" s="14"/>
      <c r="BZ2681" s="14"/>
      <c r="CA2681" s="14"/>
      <c r="CB2681" s="14"/>
      <c r="CC2681" s="14"/>
      <c r="CD2681" s="14"/>
      <c r="CE2681" s="14"/>
      <c r="CF2681" s="15"/>
      <c r="CG2681" s="14"/>
      <c r="CH2681" s="14"/>
      <c r="CI2681" s="50"/>
      <c r="CJ2681" s="54"/>
      <c r="CK2681" s="14"/>
      <c r="CL2681" s="14"/>
      <c r="CM2681" s="14"/>
      <c r="CN2681" s="14"/>
      <c r="CO2681" s="14"/>
      <c r="CP2681" s="14"/>
      <c r="CQ2681" s="14"/>
      <c r="CR2681" s="14"/>
      <c r="CS2681" s="14"/>
      <c r="CT2681" s="14"/>
      <c r="CU2681" s="16"/>
      <c r="CV2681" s="14"/>
      <c r="CW2681" s="50"/>
      <c r="CX2681" s="17"/>
    </row>
    <row r="2682" spans="4:102" x14ac:dyDescent="0.25">
      <c r="D2682" s="11"/>
      <c r="E2682" s="11"/>
      <c r="F2682" s="11"/>
      <c r="G2682" s="11"/>
      <c r="H2682" s="11"/>
      <c r="I2682" s="11"/>
      <c r="J2682" s="11"/>
      <c r="K2682" s="11"/>
      <c r="L2682" s="11"/>
      <c r="M2682" s="11"/>
      <c r="N2682" s="11"/>
      <c r="O2682" s="11"/>
      <c r="P2682" s="43"/>
      <c r="Q2682" s="11"/>
      <c r="R2682" s="11"/>
      <c r="S2682" s="11"/>
      <c r="T2682" s="11"/>
      <c r="U2682" s="11"/>
      <c r="V2682" s="11"/>
      <c r="W2682" s="11"/>
      <c r="X2682" s="12"/>
      <c r="Y2682" s="12"/>
      <c r="Z2682" s="12"/>
      <c r="AA2682" s="44"/>
      <c r="AB2682" s="45"/>
      <c r="AC2682" s="12"/>
      <c r="AD2682" s="12"/>
      <c r="AE2682" s="12"/>
      <c r="AF2682" s="12"/>
      <c r="AG2682" s="44"/>
      <c r="AH2682" s="45"/>
      <c r="AI2682" s="12"/>
      <c r="AJ2682" s="12"/>
      <c r="AK2682" s="12"/>
      <c r="AL2682" s="12"/>
      <c r="AM2682" s="44"/>
      <c r="AN2682" s="45"/>
      <c r="AO2682" s="12"/>
      <c r="AP2682" s="12"/>
      <c r="AQ2682" s="12"/>
      <c r="AR2682" s="12"/>
      <c r="AS2682" s="44"/>
      <c r="AT2682" s="45"/>
      <c r="AU2682" s="12"/>
      <c r="AV2682" s="12"/>
      <c r="AW2682" s="12"/>
      <c r="AX2682" s="12"/>
      <c r="AY2682" s="44"/>
      <c r="AZ2682" s="45"/>
      <c r="BA2682" s="12"/>
      <c r="BB2682" s="12"/>
      <c r="BC2682" s="12"/>
      <c r="BD2682" s="12"/>
      <c r="BE2682" s="44"/>
      <c r="BF2682" s="45"/>
      <c r="BG2682" s="12"/>
      <c r="BH2682" s="12"/>
      <c r="BI2682" s="12"/>
      <c r="BJ2682" s="12"/>
      <c r="BK2682" s="44"/>
      <c r="BL2682" s="45"/>
      <c r="BM2682" s="12"/>
      <c r="BN2682" s="12"/>
      <c r="BO2682" s="12"/>
      <c r="BP2682" s="12"/>
      <c r="BQ2682" s="48"/>
      <c r="BR2682" s="49"/>
      <c r="BS2682" s="13"/>
      <c r="BT2682" s="12"/>
      <c r="BV2682" s="14"/>
      <c r="BW2682" s="50"/>
      <c r="BX2682" s="54"/>
      <c r="BY2682" s="14"/>
      <c r="BZ2682" s="14"/>
      <c r="CA2682" s="14"/>
      <c r="CB2682" s="14"/>
      <c r="CC2682" s="14"/>
      <c r="CD2682" s="14"/>
      <c r="CE2682" s="14"/>
      <c r="CF2682" s="15"/>
      <c r="CG2682" s="14"/>
      <c r="CH2682" s="14"/>
      <c r="CI2682" s="50"/>
      <c r="CJ2682" s="54"/>
      <c r="CK2682" s="14"/>
      <c r="CL2682" s="14"/>
      <c r="CM2682" s="14"/>
      <c r="CN2682" s="14"/>
      <c r="CO2682" s="14"/>
      <c r="CP2682" s="14"/>
      <c r="CQ2682" s="14"/>
      <c r="CR2682" s="14"/>
      <c r="CS2682" s="14"/>
      <c r="CT2682" s="14"/>
      <c r="CU2682" s="16"/>
      <c r="CV2682" s="14"/>
      <c r="CW2682" s="50"/>
      <c r="CX2682" s="17"/>
    </row>
    <row r="2683" spans="4:102" x14ac:dyDescent="0.25">
      <c r="D2683" s="11"/>
      <c r="E2683" s="11"/>
      <c r="F2683" s="11"/>
      <c r="G2683" s="11"/>
      <c r="H2683" s="11"/>
      <c r="I2683" s="11"/>
      <c r="J2683" s="11"/>
      <c r="K2683" s="11"/>
      <c r="L2683" s="11"/>
      <c r="M2683" s="11"/>
      <c r="N2683" s="11"/>
      <c r="O2683" s="11"/>
      <c r="P2683" s="43"/>
      <c r="Q2683" s="11"/>
      <c r="R2683" s="11"/>
      <c r="S2683" s="11"/>
      <c r="T2683" s="11"/>
      <c r="U2683" s="11"/>
      <c r="V2683" s="11"/>
      <c r="W2683" s="11"/>
      <c r="X2683" s="12"/>
      <c r="Y2683" s="12"/>
      <c r="Z2683" s="12"/>
      <c r="AA2683" s="44"/>
      <c r="AB2683" s="45"/>
      <c r="AC2683" s="12"/>
      <c r="AD2683" s="12"/>
      <c r="AE2683" s="12"/>
      <c r="AF2683" s="12"/>
      <c r="AG2683" s="44"/>
      <c r="AH2683" s="45"/>
      <c r="AI2683" s="12"/>
      <c r="AJ2683" s="12"/>
      <c r="AK2683" s="12"/>
      <c r="AL2683" s="12"/>
      <c r="AM2683" s="44"/>
      <c r="AN2683" s="45"/>
      <c r="AO2683" s="12"/>
      <c r="AP2683" s="12"/>
      <c r="AQ2683" s="12"/>
      <c r="AR2683" s="12"/>
      <c r="AS2683" s="44"/>
      <c r="AT2683" s="45"/>
      <c r="AU2683" s="12"/>
      <c r="AV2683" s="12"/>
      <c r="AW2683" s="12"/>
      <c r="AX2683" s="12"/>
      <c r="AY2683" s="44"/>
      <c r="AZ2683" s="45"/>
      <c r="BA2683" s="12"/>
      <c r="BB2683" s="12"/>
      <c r="BC2683" s="12"/>
      <c r="BD2683" s="12"/>
      <c r="BE2683" s="44"/>
      <c r="BF2683" s="45"/>
      <c r="BG2683" s="12"/>
      <c r="BH2683" s="12"/>
      <c r="BI2683" s="12"/>
      <c r="BJ2683" s="12"/>
      <c r="BK2683" s="44"/>
      <c r="BL2683" s="45"/>
      <c r="BM2683" s="12"/>
      <c r="BN2683" s="12"/>
      <c r="BO2683" s="12"/>
      <c r="BP2683" s="12"/>
      <c r="BQ2683" s="48"/>
      <c r="BR2683" s="49"/>
      <c r="BS2683" s="13"/>
      <c r="BT2683" s="12"/>
      <c r="BV2683" s="14"/>
      <c r="BW2683" s="50"/>
      <c r="BX2683" s="54"/>
      <c r="BY2683" s="14"/>
      <c r="BZ2683" s="14"/>
      <c r="CA2683" s="14"/>
      <c r="CB2683" s="14"/>
      <c r="CC2683" s="14"/>
      <c r="CD2683" s="14"/>
      <c r="CE2683" s="14"/>
      <c r="CF2683" s="15"/>
      <c r="CG2683" s="14"/>
      <c r="CH2683" s="14"/>
      <c r="CI2683" s="50"/>
      <c r="CJ2683" s="54"/>
      <c r="CK2683" s="14"/>
      <c r="CL2683" s="14"/>
      <c r="CM2683" s="14"/>
      <c r="CN2683" s="14"/>
      <c r="CO2683" s="14"/>
      <c r="CP2683" s="14"/>
      <c r="CQ2683" s="14"/>
      <c r="CR2683" s="14"/>
      <c r="CS2683" s="14"/>
      <c r="CT2683" s="14"/>
      <c r="CU2683" s="16"/>
      <c r="CV2683" s="14"/>
      <c r="CW2683" s="50"/>
      <c r="CX2683" s="17"/>
    </row>
    <row r="2684" spans="4:102" x14ac:dyDescent="0.25">
      <c r="D2684" s="11"/>
      <c r="E2684" s="11"/>
      <c r="F2684" s="11"/>
      <c r="G2684" s="11"/>
      <c r="H2684" s="11"/>
      <c r="I2684" s="11"/>
      <c r="J2684" s="11"/>
      <c r="K2684" s="11"/>
      <c r="L2684" s="11"/>
      <c r="M2684" s="11"/>
      <c r="N2684" s="11"/>
      <c r="O2684" s="11"/>
      <c r="P2684" s="43"/>
      <c r="Q2684" s="11"/>
      <c r="R2684" s="11"/>
      <c r="S2684" s="11"/>
      <c r="T2684" s="11"/>
      <c r="U2684" s="11"/>
      <c r="V2684" s="11"/>
      <c r="W2684" s="11"/>
      <c r="X2684" s="12"/>
      <c r="Y2684" s="12"/>
      <c r="Z2684" s="12"/>
      <c r="AA2684" s="44"/>
      <c r="AB2684" s="45"/>
      <c r="AC2684" s="12"/>
      <c r="AD2684" s="12"/>
      <c r="AE2684" s="12"/>
      <c r="AF2684" s="12"/>
      <c r="AG2684" s="44"/>
      <c r="AH2684" s="45"/>
      <c r="AI2684" s="12"/>
      <c r="AJ2684" s="12"/>
      <c r="AK2684" s="12"/>
      <c r="AL2684" s="12"/>
      <c r="AM2684" s="44"/>
      <c r="AN2684" s="45"/>
      <c r="AO2684" s="12"/>
      <c r="AP2684" s="12"/>
      <c r="AQ2684" s="12"/>
      <c r="AR2684" s="12"/>
      <c r="AS2684" s="44"/>
      <c r="AT2684" s="45"/>
      <c r="AU2684" s="12"/>
      <c r="AV2684" s="12"/>
      <c r="AW2684" s="12"/>
      <c r="AX2684" s="12"/>
      <c r="AY2684" s="44"/>
      <c r="AZ2684" s="45"/>
      <c r="BA2684" s="12"/>
      <c r="BB2684" s="12"/>
      <c r="BC2684" s="12"/>
      <c r="BD2684" s="12"/>
      <c r="BE2684" s="44"/>
      <c r="BF2684" s="45"/>
      <c r="BG2684" s="12"/>
      <c r="BH2684" s="12"/>
      <c r="BI2684" s="12"/>
      <c r="BJ2684" s="12"/>
      <c r="BK2684" s="44"/>
      <c r="BL2684" s="45"/>
      <c r="BM2684" s="12"/>
      <c r="BN2684" s="12"/>
      <c r="BO2684" s="12"/>
      <c r="BP2684" s="12"/>
      <c r="BQ2684" s="48"/>
      <c r="BR2684" s="49"/>
      <c r="BS2684" s="13"/>
      <c r="BT2684" s="12"/>
      <c r="BV2684" s="14"/>
      <c r="BW2684" s="50"/>
      <c r="BX2684" s="54"/>
      <c r="BY2684" s="14"/>
      <c r="BZ2684" s="14"/>
      <c r="CA2684" s="14"/>
      <c r="CB2684" s="14"/>
      <c r="CC2684" s="14"/>
      <c r="CD2684" s="14"/>
      <c r="CE2684" s="14"/>
      <c r="CF2684" s="15"/>
      <c r="CG2684" s="14"/>
      <c r="CH2684" s="14"/>
      <c r="CI2684" s="50"/>
      <c r="CJ2684" s="54"/>
      <c r="CK2684" s="14"/>
      <c r="CL2684" s="14"/>
      <c r="CM2684" s="14"/>
      <c r="CN2684" s="14"/>
      <c r="CO2684" s="14"/>
      <c r="CP2684" s="14"/>
      <c r="CQ2684" s="14"/>
      <c r="CR2684" s="14"/>
      <c r="CS2684" s="14"/>
      <c r="CT2684" s="14"/>
      <c r="CU2684" s="16"/>
      <c r="CV2684" s="14"/>
      <c r="CW2684" s="50"/>
      <c r="CX2684" s="17"/>
    </row>
    <row r="2685" spans="4:102" x14ac:dyDescent="0.25">
      <c r="D2685" s="11"/>
      <c r="E2685" s="11"/>
      <c r="F2685" s="11"/>
      <c r="G2685" s="11"/>
      <c r="H2685" s="11"/>
      <c r="I2685" s="11"/>
      <c r="J2685" s="11"/>
      <c r="K2685" s="11"/>
      <c r="L2685" s="11"/>
      <c r="M2685" s="11"/>
      <c r="N2685" s="11"/>
      <c r="O2685" s="11"/>
      <c r="P2685" s="43"/>
      <c r="Q2685" s="11"/>
      <c r="R2685" s="11"/>
      <c r="S2685" s="11"/>
      <c r="T2685" s="11"/>
      <c r="U2685" s="11"/>
      <c r="V2685" s="11"/>
      <c r="W2685" s="11"/>
      <c r="X2685" s="12"/>
      <c r="Y2685" s="12"/>
      <c r="Z2685" s="12"/>
      <c r="AA2685" s="44"/>
      <c r="AB2685" s="45"/>
      <c r="AC2685" s="12"/>
      <c r="AD2685" s="12"/>
      <c r="AE2685" s="12"/>
      <c r="AF2685" s="12"/>
      <c r="AG2685" s="44"/>
      <c r="AH2685" s="45"/>
      <c r="AI2685" s="12"/>
      <c r="AJ2685" s="12"/>
      <c r="AK2685" s="12"/>
      <c r="AL2685" s="12"/>
      <c r="AM2685" s="44"/>
      <c r="AN2685" s="45"/>
      <c r="AO2685" s="12"/>
      <c r="AP2685" s="12"/>
      <c r="AQ2685" s="12"/>
      <c r="AR2685" s="12"/>
      <c r="AS2685" s="44"/>
      <c r="AT2685" s="45"/>
      <c r="AU2685" s="12"/>
      <c r="AV2685" s="12"/>
      <c r="AW2685" s="12"/>
      <c r="AX2685" s="12"/>
      <c r="AY2685" s="44"/>
      <c r="AZ2685" s="45"/>
      <c r="BA2685" s="12"/>
      <c r="BB2685" s="12"/>
      <c r="BC2685" s="12"/>
      <c r="BD2685" s="12"/>
      <c r="BE2685" s="44"/>
      <c r="BF2685" s="45"/>
      <c r="BG2685" s="12"/>
      <c r="BH2685" s="12"/>
      <c r="BI2685" s="12"/>
      <c r="BJ2685" s="12"/>
      <c r="BK2685" s="44"/>
      <c r="BL2685" s="45"/>
      <c r="BM2685" s="12"/>
      <c r="BN2685" s="12"/>
      <c r="BO2685" s="12"/>
      <c r="BP2685" s="12"/>
      <c r="BQ2685" s="48"/>
      <c r="BR2685" s="49"/>
      <c r="BS2685" s="13"/>
      <c r="BT2685" s="12"/>
      <c r="BV2685" s="14"/>
      <c r="BW2685" s="50"/>
      <c r="BX2685" s="54"/>
      <c r="BY2685" s="14"/>
      <c r="BZ2685" s="14"/>
      <c r="CA2685" s="14"/>
      <c r="CB2685" s="14"/>
      <c r="CC2685" s="14"/>
      <c r="CD2685" s="14"/>
      <c r="CE2685" s="14"/>
      <c r="CF2685" s="15"/>
      <c r="CG2685" s="14"/>
      <c r="CH2685" s="14"/>
      <c r="CI2685" s="50"/>
      <c r="CJ2685" s="54"/>
      <c r="CK2685" s="14"/>
      <c r="CL2685" s="14"/>
      <c r="CM2685" s="14"/>
      <c r="CN2685" s="14"/>
      <c r="CO2685" s="14"/>
      <c r="CP2685" s="14"/>
      <c r="CQ2685" s="14"/>
      <c r="CR2685" s="14"/>
      <c r="CS2685" s="14"/>
      <c r="CT2685" s="14"/>
      <c r="CU2685" s="16"/>
      <c r="CV2685" s="14"/>
      <c r="CW2685" s="50"/>
      <c r="CX2685" s="17"/>
    </row>
    <row r="2686" spans="4:102" x14ac:dyDescent="0.25">
      <c r="D2686" s="11"/>
      <c r="E2686" s="11"/>
      <c r="F2686" s="11"/>
      <c r="G2686" s="11"/>
      <c r="H2686" s="11"/>
      <c r="I2686" s="11"/>
      <c r="J2686" s="11"/>
      <c r="K2686" s="11"/>
      <c r="L2686" s="11"/>
      <c r="M2686" s="11"/>
      <c r="N2686" s="11"/>
      <c r="O2686" s="11"/>
      <c r="P2686" s="43"/>
      <c r="Q2686" s="11"/>
      <c r="R2686" s="11"/>
      <c r="S2686" s="11"/>
      <c r="T2686" s="11"/>
      <c r="U2686" s="11"/>
      <c r="V2686" s="11"/>
      <c r="W2686" s="11"/>
      <c r="X2686" s="12"/>
      <c r="Y2686" s="12"/>
      <c r="Z2686" s="12"/>
      <c r="AA2686" s="44"/>
      <c r="AB2686" s="45"/>
      <c r="AC2686" s="12"/>
      <c r="AD2686" s="12"/>
      <c r="AE2686" s="12"/>
      <c r="AF2686" s="12"/>
      <c r="AG2686" s="44"/>
      <c r="AH2686" s="45"/>
      <c r="AI2686" s="12"/>
      <c r="AJ2686" s="12"/>
      <c r="AK2686" s="12"/>
      <c r="AL2686" s="12"/>
      <c r="AM2686" s="44"/>
      <c r="AN2686" s="45"/>
      <c r="AO2686" s="12"/>
      <c r="AP2686" s="12"/>
      <c r="AQ2686" s="12"/>
      <c r="AR2686" s="12"/>
      <c r="AS2686" s="44"/>
      <c r="AT2686" s="45"/>
      <c r="AU2686" s="12"/>
      <c r="AV2686" s="12"/>
      <c r="AW2686" s="12"/>
      <c r="AX2686" s="12"/>
      <c r="AY2686" s="44"/>
      <c r="AZ2686" s="45"/>
      <c r="BA2686" s="12"/>
      <c r="BB2686" s="12"/>
      <c r="BC2686" s="12"/>
      <c r="BD2686" s="12"/>
      <c r="BE2686" s="44"/>
      <c r="BF2686" s="45"/>
      <c r="BG2686" s="12"/>
      <c r="BH2686" s="12"/>
      <c r="BI2686" s="12"/>
      <c r="BJ2686" s="12"/>
      <c r="BK2686" s="44"/>
      <c r="BL2686" s="45"/>
      <c r="BM2686" s="12"/>
      <c r="BN2686" s="12"/>
      <c r="BO2686" s="12"/>
      <c r="BP2686" s="12"/>
      <c r="BQ2686" s="48"/>
      <c r="BR2686" s="49"/>
      <c r="BS2686" s="13"/>
      <c r="BT2686" s="12"/>
      <c r="BV2686" s="14"/>
      <c r="BW2686" s="50"/>
      <c r="BX2686" s="54"/>
      <c r="BY2686" s="14"/>
      <c r="BZ2686" s="14"/>
      <c r="CA2686" s="14"/>
      <c r="CB2686" s="14"/>
      <c r="CC2686" s="14"/>
      <c r="CD2686" s="14"/>
      <c r="CE2686" s="14"/>
      <c r="CF2686" s="15"/>
      <c r="CG2686" s="14"/>
      <c r="CH2686" s="14"/>
      <c r="CI2686" s="50"/>
      <c r="CJ2686" s="54"/>
      <c r="CK2686" s="14"/>
      <c r="CL2686" s="14"/>
      <c r="CM2686" s="14"/>
      <c r="CN2686" s="14"/>
      <c r="CO2686" s="14"/>
      <c r="CP2686" s="14"/>
      <c r="CQ2686" s="14"/>
      <c r="CR2686" s="14"/>
      <c r="CS2686" s="14"/>
      <c r="CT2686" s="14"/>
      <c r="CU2686" s="16"/>
      <c r="CV2686" s="14"/>
      <c r="CW2686" s="50"/>
      <c r="CX2686" s="17"/>
    </row>
    <row r="2687" spans="4:102" x14ac:dyDescent="0.25">
      <c r="D2687" s="11"/>
      <c r="E2687" s="11"/>
      <c r="F2687" s="11"/>
      <c r="G2687" s="11"/>
      <c r="H2687" s="11"/>
      <c r="I2687" s="11"/>
      <c r="J2687" s="11"/>
      <c r="K2687" s="11"/>
      <c r="L2687" s="11"/>
      <c r="M2687" s="11"/>
      <c r="N2687" s="11"/>
      <c r="O2687" s="11"/>
      <c r="P2687" s="43"/>
      <c r="Q2687" s="11"/>
      <c r="R2687" s="11"/>
      <c r="S2687" s="11"/>
      <c r="T2687" s="11"/>
      <c r="U2687" s="11"/>
      <c r="V2687" s="11"/>
      <c r="W2687" s="11"/>
      <c r="X2687" s="12"/>
      <c r="Y2687" s="12"/>
      <c r="Z2687" s="12"/>
      <c r="AA2687" s="44"/>
      <c r="AB2687" s="45"/>
      <c r="AC2687" s="12"/>
      <c r="AD2687" s="12"/>
      <c r="AE2687" s="12"/>
      <c r="AF2687" s="12"/>
      <c r="AG2687" s="44"/>
      <c r="AH2687" s="45"/>
      <c r="AI2687" s="12"/>
      <c r="AJ2687" s="12"/>
      <c r="AK2687" s="12"/>
      <c r="AL2687" s="12"/>
      <c r="AM2687" s="44"/>
      <c r="AN2687" s="45"/>
      <c r="AO2687" s="12"/>
      <c r="AP2687" s="12"/>
      <c r="AQ2687" s="12"/>
      <c r="AR2687" s="12"/>
      <c r="AS2687" s="44"/>
      <c r="AT2687" s="45"/>
      <c r="AU2687" s="12"/>
      <c r="AV2687" s="12"/>
      <c r="AW2687" s="12"/>
      <c r="AX2687" s="12"/>
      <c r="AY2687" s="44"/>
      <c r="AZ2687" s="45"/>
      <c r="BA2687" s="12"/>
      <c r="BB2687" s="12"/>
      <c r="BC2687" s="12"/>
      <c r="BD2687" s="12"/>
      <c r="BE2687" s="44"/>
      <c r="BF2687" s="45"/>
      <c r="BG2687" s="12"/>
      <c r="BH2687" s="12"/>
      <c r="BI2687" s="12"/>
      <c r="BJ2687" s="12"/>
      <c r="BK2687" s="44"/>
      <c r="BL2687" s="45"/>
      <c r="BM2687" s="12"/>
      <c r="BN2687" s="12"/>
      <c r="BO2687" s="12"/>
      <c r="BP2687" s="12"/>
      <c r="BQ2687" s="48"/>
      <c r="BR2687" s="49"/>
      <c r="BS2687" s="13"/>
      <c r="BT2687" s="12"/>
      <c r="BV2687" s="14"/>
      <c r="BW2687" s="50"/>
      <c r="BX2687" s="54"/>
      <c r="BY2687" s="14"/>
      <c r="BZ2687" s="14"/>
      <c r="CA2687" s="14"/>
      <c r="CB2687" s="14"/>
      <c r="CC2687" s="14"/>
      <c r="CD2687" s="14"/>
      <c r="CE2687" s="14"/>
      <c r="CF2687" s="15"/>
      <c r="CG2687" s="14"/>
      <c r="CH2687" s="14"/>
      <c r="CI2687" s="50"/>
      <c r="CJ2687" s="54"/>
      <c r="CK2687" s="14"/>
      <c r="CL2687" s="14"/>
      <c r="CM2687" s="14"/>
      <c r="CN2687" s="14"/>
      <c r="CO2687" s="14"/>
      <c r="CP2687" s="14"/>
      <c r="CQ2687" s="14"/>
      <c r="CR2687" s="14"/>
      <c r="CS2687" s="14"/>
      <c r="CT2687" s="14"/>
      <c r="CU2687" s="16"/>
      <c r="CV2687" s="14"/>
      <c r="CW2687" s="50"/>
      <c r="CX2687" s="17"/>
    </row>
    <row r="2688" spans="4:102" x14ac:dyDescent="0.25">
      <c r="D2688" s="11"/>
      <c r="E2688" s="11"/>
      <c r="F2688" s="11"/>
      <c r="G2688" s="11"/>
      <c r="H2688" s="11"/>
      <c r="I2688" s="11"/>
      <c r="J2688" s="11"/>
      <c r="K2688" s="11"/>
      <c r="L2688" s="11"/>
      <c r="M2688" s="11"/>
      <c r="N2688" s="11"/>
      <c r="O2688" s="11"/>
      <c r="P2688" s="43"/>
      <c r="Q2688" s="11"/>
      <c r="R2688" s="11"/>
      <c r="S2688" s="11"/>
      <c r="T2688" s="11"/>
      <c r="U2688" s="11"/>
      <c r="V2688" s="11"/>
      <c r="W2688" s="11"/>
      <c r="X2688" s="12"/>
      <c r="Y2688" s="12"/>
      <c r="Z2688" s="12"/>
      <c r="AA2688" s="44"/>
      <c r="AB2688" s="45"/>
      <c r="AC2688" s="12"/>
      <c r="AD2688" s="12"/>
      <c r="AE2688" s="12"/>
      <c r="AF2688" s="12"/>
      <c r="AG2688" s="44"/>
      <c r="AH2688" s="45"/>
      <c r="AI2688" s="12"/>
      <c r="AJ2688" s="12"/>
      <c r="AK2688" s="12"/>
      <c r="AL2688" s="12"/>
      <c r="AM2688" s="44"/>
      <c r="AN2688" s="45"/>
      <c r="AO2688" s="12"/>
      <c r="AP2688" s="12"/>
      <c r="AQ2688" s="12"/>
      <c r="AR2688" s="12"/>
      <c r="AS2688" s="44"/>
      <c r="AT2688" s="45"/>
      <c r="AU2688" s="12"/>
      <c r="AV2688" s="12"/>
      <c r="AW2688" s="12"/>
      <c r="AX2688" s="12"/>
      <c r="AY2688" s="44"/>
      <c r="AZ2688" s="45"/>
      <c r="BA2688" s="12"/>
      <c r="BB2688" s="12"/>
      <c r="BC2688" s="12"/>
      <c r="BD2688" s="12"/>
      <c r="BE2688" s="44"/>
      <c r="BF2688" s="45"/>
      <c r="BG2688" s="12"/>
      <c r="BH2688" s="12"/>
      <c r="BI2688" s="12"/>
      <c r="BJ2688" s="12"/>
      <c r="BK2688" s="44"/>
      <c r="BL2688" s="45"/>
      <c r="BM2688" s="12"/>
      <c r="BN2688" s="12"/>
      <c r="BO2688" s="12"/>
      <c r="BP2688" s="12"/>
      <c r="BQ2688" s="48"/>
      <c r="BR2688" s="49"/>
      <c r="BS2688" s="13"/>
      <c r="BT2688" s="12"/>
      <c r="BV2688" s="14"/>
      <c r="BW2688" s="50"/>
      <c r="BX2688" s="54"/>
      <c r="BY2688" s="14"/>
      <c r="BZ2688" s="14"/>
      <c r="CA2688" s="14"/>
      <c r="CB2688" s="14"/>
      <c r="CC2688" s="14"/>
      <c r="CD2688" s="14"/>
      <c r="CE2688" s="14"/>
      <c r="CF2688" s="15"/>
      <c r="CG2688" s="14"/>
      <c r="CH2688" s="14"/>
      <c r="CI2688" s="50"/>
      <c r="CJ2688" s="54"/>
      <c r="CK2688" s="14"/>
      <c r="CL2688" s="14"/>
      <c r="CM2688" s="14"/>
      <c r="CN2688" s="14"/>
      <c r="CO2688" s="14"/>
      <c r="CP2688" s="14"/>
      <c r="CQ2688" s="14"/>
      <c r="CR2688" s="14"/>
      <c r="CS2688" s="14"/>
      <c r="CT2688" s="14"/>
      <c r="CU2688" s="16"/>
      <c r="CV2688" s="14"/>
      <c r="CW2688" s="50"/>
      <c r="CX2688" s="17"/>
    </row>
    <row r="2689" spans="4:102" x14ac:dyDescent="0.25">
      <c r="D2689" s="11"/>
      <c r="E2689" s="11"/>
      <c r="F2689" s="11"/>
      <c r="G2689" s="11"/>
      <c r="H2689" s="11"/>
      <c r="I2689" s="11"/>
      <c r="J2689" s="11"/>
      <c r="K2689" s="11"/>
      <c r="L2689" s="11"/>
      <c r="M2689" s="11"/>
      <c r="N2689" s="11"/>
      <c r="O2689" s="11"/>
      <c r="P2689" s="43"/>
      <c r="Q2689" s="11"/>
      <c r="R2689" s="11"/>
      <c r="S2689" s="11"/>
      <c r="T2689" s="11"/>
      <c r="U2689" s="11"/>
      <c r="V2689" s="11"/>
      <c r="W2689" s="11"/>
      <c r="X2689" s="12"/>
      <c r="Y2689" s="12"/>
      <c r="Z2689" s="12"/>
      <c r="AA2689" s="44"/>
      <c r="AB2689" s="45"/>
      <c r="AC2689" s="12"/>
      <c r="AD2689" s="12"/>
      <c r="AE2689" s="12"/>
      <c r="AF2689" s="12"/>
      <c r="AG2689" s="44"/>
      <c r="AH2689" s="45"/>
      <c r="AI2689" s="12"/>
      <c r="AJ2689" s="12"/>
      <c r="AK2689" s="12"/>
      <c r="AL2689" s="12"/>
      <c r="AM2689" s="44"/>
      <c r="AN2689" s="45"/>
      <c r="AO2689" s="12"/>
      <c r="AP2689" s="12"/>
      <c r="AQ2689" s="12"/>
      <c r="AR2689" s="12"/>
      <c r="AS2689" s="44"/>
      <c r="AT2689" s="45"/>
      <c r="AU2689" s="12"/>
      <c r="AV2689" s="12"/>
      <c r="AW2689" s="12"/>
      <c r="AX2689" s="12"/>
      <c r="AY2689" s="44"/>
      <c r="AZ2689" s="45"/>
      <c r="BA2689" s="12"/>
      <c r="BB2689" s="12"/>
      <c r="BC2689" s="12"/>
      <c r="BD2689" s="12"/>
      <c r="BE2689" s="44"/>
      <c r="BF2689" s="45"/>
      <c r="BG2689" s="12"/>
      <c r="BH2689" s="12"/>
      <c r="BI2689" s="12"/>
      <c r="BJ2689" s="12"/>
      <c r="BK2689" s="44"/>
      <c r="BL2689" s="45"/>
      <c r="BM2689" s="12"/>
      <c r="BN2689" s="12"/>
      <c r="BO2689" s="12"/>
      <c r="BP2689" s="12"/>
      <c r="BQ2689" s="48"/>
      <c r="BR2689" s="49"/>
      <c r="BS2689" s="13"/>
      <c r="BT2689" s="12"/>
      <c r="BV2689" s="14"/>
      <c r="BW2689" s="50"/>
      <c r="BX2689" s="54"/>
      <c r="BY2689" s="14"/>
      <c r="BZ2689" s="14"/>
      <c r="CA2689" s="14"/>
      <c r="CB2689" s="14"/>
      <c r="CC2689" s="14"/>
      <c r="CD2689" s="14"/>
      <c r="CE2689" s="14"/>
      <c r="CF2689" s="15"/>
      <c r="CG2689" s="14"/>
      <c r="CH2689" s="14"/>
      <c r="CI2689" s="50"/>
      <c r="CJ2689" s="54"/>
      <c r="CK2689" s="14"/>
      <c r="CL2689" s="14"/>
      <c r="CM2689" s="14"/>
      <c r="CN2689" s="14"/>
      <c r="CO2689" s="14"/>
      <c r="CP2689" s="14"/>
      <c r="CQ2689" s="14"/>
      <c r="CR2689" s="14"/>
      <c r="CS2689" s="14"/>
      <c r="CT2689" s="14"/>
      <c r="CU2689" s="16"/>
      <c r="CV2689" s="14"/>
      <c r="CW2689" s="50"/>
      <c r="CX2689" s="17"/>
    </row>
    <row r="2690" spans="4:102" x14ac:dyDescent="0.25">
      <c r="D2690" s="11"/>
      <c r="E2690" s="11"/>
      <c r="F2690" s="11"/>
      <c r="G2690" s="11"/>
      <c r="H2690" s="11"/>
      <c r="I2690" s="11"/>
      <c r="J2690" s="11"/>
      <c r="K2690" s="11"/>
      <c r="L2690" s="11"/>
      <c r="M2690" s="11"/>
      <c r="N2690" s="11"/>
      <c r="O2690" s="11"/>
      <c r="P2690" s="43"/>
      <c r="Q2690" s="11"/>
      <c r="R2690" s="11"/>
      <c r="S2690" s="11"/>
      <c r="T2690" s="11"/>
      <c r="U2690" s="11"/>
      <c r="V2690" s="11"/>
      <c r="W2690" s="11"/>
      <c r="X2690" s="12"/>
      <c r="Y2690" s="12"/>
      <c r="Z2690" s="12"/>
      <c r="AA2690" s="44"/>
      <c r="AB2690" s="45"/>
      <c r="AC2690" s="12"/>
      <c r="AD2690" s="12"/>
      <c r="AE2690" s="12"/>
      <c r="AF2690" s="12"/>
      <c r="AG2690" s="44"/>
      <c r="AH2690" s="45"/>
      <c r="AI2690" s="12"/>
      <c r="AJ2690" s="12"/>
      <c r="AK2690" s="12"/>
      <c r="AL2690" s="12"/>
      <c r="AM2690" s="44"/>
      <c r="AN2690" s="45"/>
      <c r="AO2690" s="12"/>
      <c r="AP2690" s="12"/>
      <c r="AQ2690" s="12"/>
      <c r="AR2690" s="12"/>
      <c r="AS2690" s="44"/>
      <c r="AT2690" s="45"/>
      <c r="AU2690" s="12"/>
      <c r="AV2690" s="12"/>
      <c r="AW2690" s="12"/>
      <c r="AX2690" s="12"/>
      <c r="AY2690" s="44"/>
      <c r="AZ2690" s="45"/>
      <c r="BA2690" s="12"/>
      <c r="BB2690" s="12"/>
      <c r="BC2690" s="12"/>
      <c r="BD2690" s="12"/>
      <c r="BE2690" s="44"/>
      <c r="BF2690" s="45"/>
      <c r="BG2690" s="12"/>
      <c r="BH2690" s="12"/>
      <c r="BI2690" s="12"/>
      <c r="BJ2690" s="12"/>
      <c r="BK2690" s="44"/>
      <c r="BL2690" s="45"/>
      <c r="BM2690" s="12"/>
      <c r="BN2690" s="12"/>
      <c r="BO2690" s="12"/>
      <c r="BP2690" s="12"/>
      <c r="BQ2690" s="48"/>
      <c r="BR2690" s="49"/>
      <c r="BS2690" s="13"/>
      <c r="BT2690" s="12"/>
      <c r="BV2690" s="14"/>
      <c r="BW2690" s="50"/>
      <c r="BX2690" s="54"/>
      <c r="BY2690" s="14"/>
      <c r="BZ2690" s="14"/>
      <c r="CA2690" s="14"/>
      <c r="CB2690" s="14"/>
      <c r="CC2690" s="14"/>
      <c r="CD2690" s="14"/>
      <c r="CE2690" s="14"/>
      <c r="CF2690" s="15"/>
      <c r="CG2690" s="14"/>
      <c r="CH2690" s="14"/>
      <c r="CI2690" s="50"/>
      <c r="CJ2690" s="54"/>
      <c r="CK2690" s="14"/>
      <c r="CL2690" s="14"/>
      <c r="CM2690" s="14"/>
      <c r="CN2690" s="14"/>
      <c r="CO2690" s="14"/>
      <c r="CP2690" s="14"/>
      <c r="CQ2690" s="14"/>
      <c r="CR2690" s="14"/>
      <c r="CS2690" s="14"/>
      <c r="CT2690" s="14"/>
      <c r="CU2690" s="16"/>
      <c r="CV2690" s="14"/>
      <c r="CW2690" s="50"/>
      <c r="CX2690" s="17"/>
    </row>
    <row r="2691" spans="4:102" x14ac:dyDescent="0.25">
      <c r="D2691" s="11"/>
      <c r="E2691" s="11"/>
      <c r="F2691" s="11"/>
      <c r="G2691" s="11"/>
      <c r="H2691" s="11"/>
      <c r="I2691" s="11"/>
      <c r="J2691" s="11"/>
      <c r="K2691" s="11"/>
      <c r="L2691" s="11"/>
      <c r="M2691" s="11"/>
      <c r="N2691" s="11"/>
      <c r="O2691" s="11"/>
      <c r="P2691" s="43"/>
      <c r="Q2691" s="11"/>
      <c r="R2691" s="11"/>
      <c r="S2691" s="11"/>
      <c r="T2691" s="11"/>
      <c r="U2691" s="11"/>
      <c r="V2691" s="11"/>
      <c r="W2691" s="11"/>
      <c r="X2691" s="12"/>
      <c r="Y2691" s="12"/>
      <c r="Z2691" s="12"/>
      <c r="AA2691" s="44"/>
      <c r="AB2691" s="45"/>
      <c r="AC2691" s="12"/>
      <c r="AD2691" s="12"/>
      <c r="AE2691" s="12"/>
      <c r="AF2691" s="12"/>
      <c r="AG2691" s="44"/>
      <c r="AH2691" s="45"/>
      <c r="AI2691" s="12"/>
      <c r="AJ2691" s="12"/>
      <c r="AK2691" s="12"/>
      <c r="AL2691" s="12"/>
      <c r="AM2691" s="44"/>
      <c r="AN2691" s="45"/>
      <c r="AO2691" s="12"/>
      <c r="AP2691" s="12"/>
      <c r="AQ2691" s="12"/>
      <c r="AR2691" s="12"/>
      <c r="AS2691" s="44"/>
      <c r="AT2691" s="45"/>
      <c r="AU2691" s="12"/>
      <c r="AV2691" s="12"/>
      <c r="AW2691" s="12"/>
      <c r="AX2691" s="12"/>
      <c r="AY2691" s="44"/>
      <c r="AZ2691" s="45"/>
      <c r="BA2691" s="12"/>
      <c r="BB2691" s="12"/>
      <c r="BC2691" s="12"/>
      <c r="BD2691" s="12"/>
      <c r="BE2691" s="44"/>
      <c r="BF2691" s="45"/>
      <c r="BG2691" s="12"/>
      <c r="BH2691" s="12"/>
      <c r="BI2691" s="12"/>
      <c r="BJ2691" s="12"/>
      <c r="BK2691" s="44"/>
      <c r="BL2691" s="45"/>
      <c r="BM2691" s="12"/>
      <c r="BN2691" s="12"/>
      <c r="BO2691" s="12"/>
      <c r="BP2691" s="12"/>
      <c r="BQ2691" s="48"/>
      <c r="BR2691" s="49"/>
      <c r="BS2691" s="13"/>
      <c r="BT2691" s="12"/>
      <c r="BV2691" s="14"/>
      <c r="BW2691" s="50"/>
      <c r="BX2691" s="54"/>
      <c r="BY2691" s="14"/>
      <c r="BZ2691" s="14"/>
      <c r="CA2691" s="14"/>
      <c r="CB2691" s="14"/>
      <c r="CC2691" s="14"/>
      <c r="CD2691" s="14"/>
      <c r="CE2691" s="14"/>
      <c r="CF2691" s="15"/>
      <c r="CG2691" s="14"/>
      <c r="CH2691" s="14"/>
      <c r="CI2691" s="50"/>
      <c r="CJ2691" s="54"/>
      <c r="CK2691" s="14"/>
      <c r="CL2691" s="14"/>
      <c r="CM2691" s="14"/>
      <c r="CN2691" s="14"/>
      <c r="CO2691" s="14"/>
      <c r="CP2691" s="14"/>
      <c r="CQ2691" s="14"/>
      <c r="CR2691" s="14"/>
      <c r="CS2691" s="14"/>
      <c r="CT2691" s="14"/>
      <c r="CU2691" s="16"/>
      <c r="CV2691" s="14"/>
      <c r="CW2691" s="50"/>
      <c r="CX2691" s="17"/>
    </row>
    <row r="2692" spans="4:102" x14ac:dyDescent="0.25">
      <c r="D2692" s="11"/>
      <c r="E2692" s="11"/>
      <c r="F2692" s="11"/>
      <c r="G2692" s="11"/>
      <c r="H2692" s="11"/>
      <c r="I2692" s="11"/>
      <c r="J2692" s="11"/>
      <c r="K2692" s="11"/>
      <c r="L2692" s="11"/>
      <c r="M2692" s="11"/>
      <c r="N2692" s="11"/>
      <c r="O2692" s="11"/>
      <c r="P2692" s="43"/>
      <c r="Q2692" s="11"/>
      <c r="R2692" s="11"/>
      <c r="S2692" s="11"/>
      <c r="T2692" s="11"/>
      <c r="U2692" s="11"/>
      <c r="V2692" s="11"/>
      <c r="W2692" s="11"/>
      <c r="X2692" s="12"/>
      <c r="Y2692" s="12"/>
      <c r="Z2692" s="12"/>
      <c r="AA2692" s="44"/>
      <c r="AB2692" s="45"/>
      <c r="AC2692" s="12"/>
      <c r="AD2692" s="12"/>
      <c r="AE2692" s="12"/>
      <c r="AF2692" s="12"/>
      <c r="AG2692" s="44"/>
      <c r="AH2692" s="45"/>
      <c r="AI2692" s="12"/>
      <c r="AJ2692" s="12"/>
      <c r="AK2692" s="12"/>
      <c r="AL2692" s="12"/>
      <c r="AM2692" s="44"/>
      <c r="AN2692" s="45"/>
      <c r="AO2692" s="12"/>
      <c r="AP2692" s="12"/>
      <c r="AQ2692" s="12"/>
      <c r="AR2692" s="12"/>
      <c r="AS2692" s="44"/>
      <c r="AT2692" s="45"/>
      <c r="AU2692" s="12"/>
      <c r="AV2692" s="12"/>
      <c r="AW2692" s="12"/>
      <c r="AX2692" s="12"/>
      <c r="AY2692" s="44"/>
      <c r="AZ2692" s="45"/>
      <c r="BA2692" s="12"/>
      <c r="BB2692" s="12"/>
      <c r="BC2692" s="12"/>
      <c r="BD2692" s="12"/>
      <c r="BE2692" s="44"/>
      <c r="BF2692" s="45"/>
      <c r="BG2692" s="12"/>
      <c r="BH2692" s="12"/>
      <c r="BI2692" s="12"/>
      <c r="BJ2692" s="12"/>
      <c r="BK2692" s="44"/>
      <c r="BL2692" s="45"/>
      <c r="BM2692" s="12"/>
      <c r="BN2692" s="12"/>
      <c r="BO2692" s="12"/>
      <c r="BP2692" s="12"/>
      <c r="BQ2692" s="48"/>
      <c r="BR2692" s="49"/>
      <c r="BS2692" s="13"/>
      <c r="BT2692" s="12"/>
      <c r="BV2692" s="14"/>
      <c r="BW2692" s="50"/>
      <c r="BX2692" s="54"/>
      <c r="BY2692" s="14"/>
      <c r="BZ2692" s="14"/>
      <c r="CA2692" s="14"/>
      <c r="CB2692" s="14"/>
      <c r="CC2692" s="14"/>
      <c r="CD2692" s="14"/>
      <c r="CE2692" s="14"/>
      <c r="CF2692" s="15"/>
      <c r="CG2692" s="14"/>
      <c r="CH2692" s="14"/>
      <c r="CI2692" s="50"/>
      <c r="CJ2692" s="54"/>
      <c r="CK2692" s="14"/>
      <c r="CL2692" s="14"/>
      <c r="CM2692" s="14"/>
      <c r="CN2692" s="14"/>
      <c r="CO2692" s="14"/>
      <c r="CP2692" s="14"/>
      <c r="CQ2692" s="14"/>
      <c r="CR2692" s="14"/>
      <c r="CS2692" s="14"/>
      <c r="CT2692" s="14"/>
      <c r="CU2692" s="16"/>
      <c r="CV2692" s="14"/>
      <c r="CW2692" s="50"/>
      <c r="CX2692" s="17"/>
    </row>
    <row r="2693" spans="4:102" x14ac:dyDescent="0.25">
      <c r="D2693" s="11"/>
      <c r="E2693" s="11"/>
      <c r="F2693" s="11"/>
      <c r="G2693" s="11"/>
      <c r="H2693" s="11"/>
      <c r="I2693" s="11"/>
      <c r="J2693" s="11"/>
      <c r="K2693" s="11"/>
      <c r="L2693" s="11"/>
      <c r="M2693" s="11"/>
      <c r="N2693" s="11"/>
      <c r="O2693" s="11"/>
      <c r="P2693" s="43"/>
      <c r="Q2693" s="11"/>
      <c r="R2693" s="11"/>
      <c r="S2693" s="11"/>
      <c r="T2693" s="11"/>
      <c r="U2693" s="11"/>
      <c r="V2693" s="11"/>
      <c r="W2693" s="11"/>
      <c r="X2693" s="12"/>
      <c r="Y2693" s="12"/>
      <c r="Z2693" s="12"/>
      <c r="AA2693" s="44"/>
      <c r="AB2693" s="45"/>
      <c r="AC2693" s="12"/>
      <c r="AD2693" s="12"/>
      <c r="AE2693" s="12"/>
      <c r="AF2693" s="12"/>
      <c r="AG2693" s="44"/>
      <c r="AH2693" s="45"/>
      <c r="AI2693" s="12"/>
      <c r="AJ2693" s="12"/>
      <c r="AK2693" s="12"/>
      <c r="AL2693" s="12"/>
      <c r="AM2693" s="44"/>
      <c r="AN2693" s="45"/>
      <c r="AO2693" s="12"/>
      <c r="AP2693" s="12"/>
      <c r="AQ2693" s="12"/>
      <c r="AR2693" s="12"/>
      <c r="AS2693" s="44"/>
      <c r="AT2693" s="45"/>
      <c r="AU2693" s="12"/>
      <c r="AV2693" s="12"/>
      <c r="AW2693" s="12"/>
      <c r="AX2693" s="12"/>
      <c r="AY2693" s="44"/>
      <c r="AZ2693" s="45"/>
      <c r="BA2693" s="12"/>
      <c r="BB2693" s="12"/>
      <c r="BC2693" s="12"/>
      <c r="BD2693" s="12"/>
      <c r="BE2693" s="44"/>
      <c r="BF2693" s="45"/>
      <c r="BG2693" s="12"/>
      <c r="BH2693" s="12"/>
      <c r="BI2693" s="12"/>
      <c r="BJ2693" s="12"/>
      <c r="BK2693" s="44"/>
      <c r="BL2693" s="45"/>
      <c r="BM2693" s="12"/>
      <c r="BN2693" s="12"/>
      <c r="BO2693" s="12"/>
      <c r="BP2693" s="12"/>
      <c r="BQ2693" s="48"/>
      <c r="BR2693" s="49"/>
      <c r="BS2693" s="13"/>
      <c r="BT2693" s="12"/>
      <c r="BV2693" s="14"/>
      <c r="BW2693" s="50"/>
      <c r="BX2693" s="54"/>
      <c r="BY2693" s="14"/>
      <c r="BZ2693" s="14"/>
      <c r="CA2693" s="14"/>
      <c r="CB2693" s="14"/>
      <c r="CC2693" s="14"/>
      <c r="CD2693" s="14"/>
      <c r="CE2693" s="14"/>
      <c r="CF2693" s="15"/>
      <c r="CG2693" s="14"/>
      <c r="CH2693" s="14"/>
      <c r="CI2693" s="50"/>
      <c r="CJ2693" s="54"/>
      <c r="CK2693" s="14"/>
      <c r="CL2693" s="14"/>
      <c r="CM2693" s="14"/>
      <c r="CN2693" s="14"/>
      <c r="CO2693" s="14"/>
      <c r="CP2693" s="14"/>
      <c r="CQ2693" s="14"/>
      <c r="CR2693" s="14"/>
      <c r="CS2693" s="14"/>
      <c r="CT2693" s="14"/>
      <c r="CU2693" s="16"/>
      <c r="CV2693" s="14"/>
      <c r="CW2693" s="50"/>
      <c r="CX2693" s="17"/>
    </row>
    <row r="2694" spans="4:102" x14ac:dyDescent="0.25">
      <c r="D2694" s="11"/>
      <c r="E2694" s="11"/>
      <c r="F2694" s="11"/>
      <c r="G2694" s="11"/>
      <c r="H2694" s="11"/>
      <c r="I2694" s="11"/>
      <c r="J2694" s="11"/>
      <c r="K2694" s="11"/>
      <c r="L2694" s="11"/>
      <c r="M2694" s="11"/>
      <c r="N2694" s="11"/>
      <c r="O2694" s="11"/>
      <c r="P2694" s="43"/>
      <c r="Q2694" s="11"/>
      <c r="R2694" s="11"/>
      <c r="S2694" s="11"/>
      <c r="T2694" s="11"/>
      <c r="U2694" s="11"/>
      <c r="V2694" s="11"/>
      <c r="W2694" s="11"/>
      <c r="X2694" s="12"/>
      <c r="Y2694" s="12"/>
      <c r="Z2694" s="12"/>
      <c r="AA2694" s="44"/>
      <c r="AB2694" s="45"/>
      <c r="AC2694" s="12"/>
      <c r="AD2694" s="12"/>
      <c r="AE2694" s="12"/>
      <c r="AF2694" s="12"/>
      <c r="AG2694" s="44"/>
      <c r="AH2694" s="45"/>
      <c r="AI2694" s="12"/>
      <c r="AJ2694" s="12"/>
      <c r="AK2694" s="12"/>
      <c r="AL2694" s="12"/>
      <c r="AM2694" s="44"/>
      <c r="AN2694" s="45"/>
      <c r="AO2694" s="12"/>
      <c r="AP2694" s="12"/>
      <c r="AQ2694" s="12"/>
      <c r="AR2694" s="12"/>
      <c r="AS2694" s="44"/>
      <c r="AT2694" s="45"/>
      <c r="AU2694" s="12"/>
      <c r="AV2694" s="12"/>
      <c r="AW2694" s="12"/>
      <c r="AX2694" s="12"/>
      <c r="AY2694" s="44"/>
      <c r="AZ2694" s="45"/>
      <c r="BA2694" s="12"/>
      <c r="BB2694" s="12"/>
      <c r="BC2694" s="12"/>
      <c r="BD2694" s="12"/>
      <c r="BE2694" s="44"/>
      <c r="BF2694" s="45"/>
      <c r="BG2694" s="12"/>
      <c r="BH2694" s="12"/>
      <c r="BI2694" s="12"/>
      <c r="BJ2694" s="12"/>
      <c r="BK2694" s="44"/>
      <c r="BL2694" s="45"/>
      <c r="BM2694" s="12"/>
      <c r="BN2694" s="12"/>
      <c r="BO2694" s="12"/>
      <c r="BP2694" s="12"/>
      <c r="BQ2694" s="48"/>
      <c r="BR2694" s="49"/>
      <c r="BS2694" s="13"/>
      <c r="BT2694" s="12"/>
      <c r="BV2694" s="14"/>
      <c r="BW2694" s="50"/>
      <c r="BX2694" s="54"/>
      <c r="BY2694" s="14"/>
      <c r="BZ2694" s="14"/>
      <c r="CA2694" s="14"/>
      <c r="CB2694" s="14"/>
      <c r="CC2694" s="14"/>
      <c r="CD2694" s="14"/>
      <c r="CE2694" s="14"/>
      <c r="CF2694" s="15"/>
      <c r="CG2694" s="14"/>
      <c r="CH2694" s="14"/>
      <c r="CI2694" s="50"/>
      <c r="CJ2694" s="54"/>
      <c r="CK2694" s="14"/>
      <c r="CL2694" s="14"/>
      <c r="CM2694" s="14"/>
      <c r="CN2694" s="14"/>
      <c r="CO2694" s="14"/>
      <c r="CP2694" s="14"/>
      <c r="CQ2694" s="14"/>
      <c r="CR2694" s="14"/>
      <c r="CS2694" s="14"/>
      <c r="CT2694" s="14"/>
      <c r="CU2694" s="16"/>
      <c r="CV2694" s="14"/>
      <c r="CW2694" s="50"/>
      <c r="CX2694" s="17"/>
    </row>
    <row r="2695" spans="4:102" x14ac:dyDescent="0.25">
      <c r="D2695" s="11"/>
      <c r="E2695" s="11"/>
      <c r="F2695" s="11"/>
      <c r="G2695" s="11"/>
      <c r="H2695" s="11"/>
      <c r="I2695" s="11"/>
      <c r="J2695" s="11"/>
      <c r="K2695" s="11"/>
      <c r="L2695" s="11"/>
      <c r="M2695" s="11"/>
      <c r="N2695" s="11"/>
      <c r="O2695" s="11"/>
      <c r="P2695" s="43"/>
      <c r="Q2695" s="11"/>
      <c r="R2695" s="11"/>
      <c r="S2695" s="11"/>
      <c r="T2695" s="11"/>
      <c r="U2695" s="11"/>
      <c r="V2695" s="11"/>
      <c r="W2695" s="11"/>
      <c r="X2695" s="12"/>
      <c r="Y2695" s="12"/>
      <c r="Z2695" s="12"/>
      <c r="AA2695" s="44"/>
      <c r="AB2695" s="45"/>
      <c r="AC2695" s="12"/>
      <c r="AD2695" s="12"/>
      <c r="AE2695" s="12"/>
      <c r="AF2695" s="12"/>
      <c r="AG2695" s="44"/>
      <c r="AH2695" s="45"/>
      <c r="AI2695" s="12"/>
      <c r="AJ2695" s="12"/>
      <c r="AK2695" s="12"/>
      <c r="AL2695" s="12"/>
      <c r="AM2695" s="44"/>
      <c r="AN2695" s="45"/>
      <c r="AO2695" s="12"/>
      <c r="AP2695" s="12"/>
      <c r="AQ2695" s="12"/>
      <c r="AR2695" s="12"/>
      <c r="AS2695" s="44"/>
      <c r="AT2695" s="45"/>
      <c r="AU2695" s="12"/>
      <c r="AV2695" s="12"/>
      <c r="AW2695" s="12"/>
      <c r="AX2695" s="12"/>
      <c r="AY2695" s="44"/>
      <c r="AZ2695" s="45"/>
      <c r="BA2695" s="12"/>
      <c r="BB2695" s="12"/>
      <c r="BC2695" s="12"/>
      <c r="BD2695" s="12"/>
      <c r="BE2695" s="44"/>
      <c r="BF2695" s="45"/>
      <c r="BG2695" s="12"/>
      <c r="BH2695" s="12"/>
      <c r="BI2695" s="12"/>
      <c r="BJ2695" s="12"/>
      <c r="BK2695" s="44"/>
      <c r="BL2695" s="45"/>
      <c r="BM2695" s="12"/>
      <c r="BN2695" s="12"/>
      <c r="BO2695" s="12"/>
      <c r="BP2695" s="12"/>
      <c r="BQ2695" s="48"/>
      <c r="BR2695" s="49"/>
      <c r="BS2695" s="13"/>
      <c r="BT2695" s="12"/>
      <c r="BV2695" s="14"/>
      <c r="BW2695" s="50"/>
      <c r="BX2695" s="54"/>
      <c r="BY2695" s="14"/>
      <c r="BZ2695" s="14"/>
      <c r="CA2695" s="14"/>
      <c r="CB2695" s="14"/>
      <c r="CC2695" s="14"/>
      <c r="CD2695" s="14"/>
      <c r="CE2695" s="14"/>
      <c r="CF2695" s="15"/>
      <c r="CG2695" s="14"/>
      <c r="CH2695" s="14"/>
      <c r="CI2695" s="50"/>
      <c r="CJ2695" s="54"/>
      <c r="CK2695" s="14"/>
      <c r="CL2695" s="14"/>
      <c r="CM2695" s="14"/>
      <c r="CN2695" s="14"/>
      <c r="CO2695" s="14"/>
      <c r="CP2695" s="14"/>
      <c r="CQ2695" s="14"/>
      <c r="CR2695" s="14"/>
      <c r="CS2695" s="14"/>
      <c r="CT2695" s="14"/>
      <c r="CU2695" s="16"/>
      <c r="CV2695" s="14"/>
      <c r="CW2695" s="50"/>
      <c r="CX2695" s="17"/>
    </row>
    <row r="2696" spans="4:102" x14ac:dyDescent="0.25">
      <c r="D2696" s="11"/>
      <c r="E2696" s="11"/>
      <c r="F2696" s="11"/>
      <c r="G2696" s="11"/>
      <c r="H2696" s="11"/>
      <c r="I2696" s="11"/>
      <c r="J2696" s="11"/>
      <c r="K2696" s="11"/>
      <c r="L2696" s="11"/>
      <c r="M2696" s="11"/>
      <c r="N2696" s="11"/>
      <c r="O2696" s="11"/>
      <c r="P2696" s="43"/>
      <c r="Q2696" s="11"/>
      <c r="R2696" s="11"/>
      <c r="S2696" s="11"/>
      <c r="T2696" s="11"/>
      <c r="U2696" s="11"/>
      <c r="V2696" s="11"/>
      <c r="W2696" s="11"/>
      <c r="X2696" s="12"/>
      <c r="Y2696" s="12"/>
      <c r="Z2696" s="12"/>
      <c r="AA2696" s="44"/>
      <c r="AB2696" s="45"/>
      <c r="AC2696" s="12"/>
      <c r="AD2696" s="12"/>
      <c r="AE2696" s="12"/>
      <c r="AF2696" s="12"/>
      <c r="AG2696" s="44"/>
      <c r="AH2696" s="45"/>
      <c r="AI2696" s="12"/>
      <c r="AJ2696" s="12"/>
      <c r="AK2696" s="12"/>
      <c r="AL2696" s="12"/>
      <c r="AM2696" s="44"/>
      <c r="AN2696" s="45"/>
      <c r="AO2696" s="12"/>
      <c r="AP2696" s="12"/>
      <c r="AQ2696" s="12"/>
      <c r="AR2696" s="12"/>
      <c r="AS2696" s="44"/>
      <c r="AT2696" s="45"/>
      <c r="AU2696" s="12"/>
      <c r="AV2696" s="12"/>
      <c r="AW2696" s="12"/>
      <c r="AX2696" s="12"/>
      <c r="AY2696" s="44"/>
      <c r="AZ2696" s="45"/>
      <c r="BA2696" s="12"/>
      <c r="BB2696" s="12"/>
      <c r="BC2696" s="12"/>
      <c r="BD2696" s="12"/>
      <c r="BE2696" s="44"/>
      <c r="BF2696" s="45"/>
      <c r="BG2696" s="12"/>
      <c r="BH2696" s="12"/>
      <c r="BI2696" s="12"/>
      <c r="BJ2696" s="12"/>
      <c r="BK2696" s="44"/>
      <c r="BL2696" s="45"/>
      <c r="BM2696" s="12"/>
      <c r="BN2696" s="12"/>
      <c r="BO2696" s="12"/>
      <c r="BP2696" s="12"/>
      <c r="BQ2696" s="48"/>
      <c r="BR2696" s="49"/>
      <c r="BS2696" s="13"/>
      <c r="BT2696" s="12"/>
      <c r="BV2696" s="14"/>
      <c r="BW2696" s="50"/>
      <c r="BX2696" s="54"/>
      <c r="BY2696" s="14"/>
      <c r="BZ2696" s="14"/>
      <c r="CA2696" s="14"/>
      <c r="CB2696" s="14"/>
      <c r="CC2696" s="14"/>
      <c r="CD2696" s="14"/>
      <c r="CE2696" s="14"/>
      <c r="CF2696" s="15"/>
      <c r="CG2696" s="14"/>
      <c r="CH2696" s="14"/>
      <c r="CI2696" s="50"/>
      <c r="CJ2696" s="54"/>
      <c r="CK2696" s="14"/>
      <c r="CL2696" s="14"/>
      <c r="CM2696" s="14"/>
      <c r="CN2696" s="14"/>
      <c r="CO2696" s="14"/>
      <c r="CP2696" s="14"/>
      <c r="CQ2696" s="14"/>
      <c r="CR2696" s="14"/>
      <c r="CS2696" s="14"/>
      <c r="CT2696" s="14"/>
      <c r="CU2696" s="16"/>
      <c r="CV2696" s="14"/>
      <c r="CW2696" s="50"/>
      <c r="CX2696" s="17"/>
    </row>
    <row r="2697" spans="4:102" x14ac:dyDescent="0.25">
      <c r="D2697" s="11"/>
      <c r="E2697" s="11"/>
      <c r="F2697" s="11"/>
      <c r="G2697" s="11"/>
      <c r="H2697" s="11"/>
      <c r="I2697" s="11"/>
      <c r="J2697" s="11"/>
      <c r="K2697" s="11"/>
      <c r="L2697" s="11"/>
      <c r="M2697" s="11"/>
      <c r="N2697" s="11"/>
      <c r="O2697" s="11"/>
      <c r="P2697" s="43"/>
      <c r="Q2697" s="11"/>
      <c r="R2697" s="11"/>
      <c r="S2697" s="11"/>
      <c r="T2697" s="11"/>
      <c r="U2697" s="11"/>
      <c r="V2697" s="11"/>
      <c r="W2697" s="11"/>
      <c r="X2697" s="12"/>
      <c r="Y2697" s="12"/>
      <c r="Z2697" s="12"/>
      <c r="AA2697" s="44"/>
      <c r="AB2697" s="45"/>
      <c r="AC2697" s="12"/>
      <c r="AD2697" s="12"/>
      <c r="AE2697" s="12"/>
      <c r="AF2697" s="12"/>
      <c r="AG2697" s="44"/>
      <c r="AH2697" s="45"/>
      <c r="AI2697" s="12"/>
      <c r="AJ2697" s="12"/>
      <c r="AK2697" s="12"/>
      <c r="AL2697" s="12"/>
      <c r="AM2697" s="44"/>
      <c r="AN2697" s="45"/>
      <c r="AO2697" s="12"/>
      <c r="AP2697" s="12"/>
      <c r="AQ2697" s="12"/>
      <c r="AR2697" s="12"/>
      <c r="AS2697" s="44"/>
      <c r="AT2697" s="45"/>
      <c r="AU2697" s="12"/>
      <c r="AV2697" s="12"/>
      <c r="AW2697" s="12"/>
      <c r="AX2697" s="12"/>
      <c r="AY2697" s="44"/>
      <c r="AZ2697" s="45"/>
      <c r="BA2697" s="12"/>
      <c r="BB2697" s="12"/>
      <c r="BC2697" s="12"/>
      <c r="BD2697" s="12"/>
      <c r="BE2697" s="44"/>
      <c r="BF2697" s="45"/>
      <c r="BG2697" s="12"/>
      <c r="BH2697" s="12"/>
      <c r="BI2697" s="12"/>
      <c r="BJ2697" s="12"/>
      <c r="BK2697" s="44"/>
      <c r="BL2697" s="45"/>
      <c r="BM2697" s="12"/>
      <c r="BN2697" s="12"/>
      <c r="BO2697" s="12"/>
      <c r="BP2697" s="12"/>
      <c r="BQ2697" s="48"/>
      <c r="BR2697" s="49"/>
      <c r="BS2697" s="13"/>
      <c r="BT2697" s="12"/>
      <c r="BV2697" s="14"/>
      <c r="BW2697" s="50"/>
      <c r="BX2697" s="54"/>
      <c r="BY2697" s="14"/>
      <c r="BZ2697" s="14"/>
      <c r="CA2697" s="14"/>
      <c r="CB2697" s="14"/>
      <c r="CC2697" s="14"/>
      <c r="CD2697" s="14"/>
      <c r="CE2697" s="14"/>
      <c r="CF2697" s="15"/>
      <c r="CG2697" s="14"/>
      <c r="CH2697" s="14"/>
      <c r="CI2697" s="50"/>
      <c r="CJ2697" s="54"/>
      <c r="CK2697" s="14"/>
      <c r="CL2697" s="14"/>
      <c r="CM2697" s="14"/>
      <c r="CN2697" s="14"/>
      <c r="CO2697" s="14"/>
      <c r="CP2697" s="14"/>
      <c r="CQ2697" s="14"/>
      <c r="CR2697" s="14"/>
      <c r="CS2697" s="14"/>
      <c r="CT2697" s="14"/>
      <c r="CU2697" s="16"/>
      <c r="CV2697" s="14"/>
      <c r="CW2697" s="50"/>
      <c r="CX2697" s="17"/>
    </row>
    <row r="2698" spans="4:102" x14ac:dyDescent="0.25">
      <c r="D2698" s="11"/>
      <c r="E2698" s="11"/>
      <c r="F2698" s="11"/>
      <c r="G2698" s="11"/>
      <c r="H2698" s="11"/>
      <c r="I2698" s="11"/>
      <c r="J2698" s="11"/>
      <c r="K2698" s="11"/>
      <c r="L2698" s="11"/>
      <c r="M2698" s="11"/>
      <c r="N2698" s="11"/>
      <c r="O2698" s="11"/>
      <c r="P2698" s="43"/>
      <c r="Q2698" s="11"/>
      <c r="R2698" s="11"/>
      <c r="S2698" s="11"/>
      <c r="T2698" s="11"/>
      <c r="U2698" s="11"/>
      <c r="V2698" s="11"/>
      <c r="W2698" s="11"/>
      <c r="X2698" s="12"/>
      <c r="Y2698" s="12"/>
      <c r="Z2698" s="12"/>
      <c r="AA2698" s="44"/>
      <c r="AB2698" s="45"/>
      <c r="AC2698" s="12"/>
      <c r="AD2698" s="12"/>
      <c r="AE2698" s="12"/>
      <c r="AF2698" s="12"/>
      <c r="AG2698" s="44"/>
      <c r="AH2698" s="45"/>
      <c r="AI2698" s="12"/>
      <c r="AJ2698" s="12"/>
      <c r="AK2698" s="12"/>
      <c r="AL2698" s="12"/>
      <c r="AM2698" s="44"/>
      <c r="AN2698" s="45"/>
      <c r="AO2698" s="12"/>
      <c r="AP2698" s="12"/>
      <c r="AQ2698" s="12"/>
      <c r="AR2698" s="12"/>
      <c r="AS2698" s="44"/>
      <c r="AT2698" s="45"/>
      <c r="AU2698" s="12"/>
      <c r="AV2698" s="12"/>
      <c r="AW2698" s="12"/>
      <c r="AX2698" s="12"/>
      <c r="AY2698" s="44"/>
      <c r="AZ2698" s="45"/>
      <c r="BA2698" s="12"/>
      <c r="BB2698" s="12"/>
      <c r="BC2698" s="12"/>
      <c r="BD2698" s="12"/>
      <c r="BE2698" s="44"/>
      <c r="BF2698" s="45"/>
      <c r="BG2698" s="12"/>
      <c r="BH2698" s="12"/>
      <c r="BI2698" s="12"/>
      <c r="BJ2698" s="12"/>
      <c r="BK2698" s="44"/>
      <c r="BL2698" s="45"/>
      <c r="BM2698" s="12"/>
      <c r="BN2698" s="12"/>
      <c r="BO2698" s="12"/>
      <c r="BP2698" s="12"/>
      <c r="BQ2698" s="48"/>
      <c r="BR2698" s="49"/>
      <c r="BS2698" s="13"/>
      <c r="BT2698" s="12"/>
      <c r="BV2698" s="14"/>
      <c r="BW2698" s="50"/>
      <c r="BX2698" s="54"/>
      <c r="BY2698" s="14"/>
      <c r="BZ2698" s="14"/>
      <c r="CA2698" s="14"/>
      <c r="CB2698" s="14"/>
      <c r="CC2698" s="14"/>
      <c r="CD2698" s="14"/>
      <c r="CE2698" s="14"/>
      <c r="CF2698" s="15"/>
      <c r="CG2698" s="14"/>
      <c r="CH2698" s="14"/>
      <c r="CI2698" s="50"/>
      <c r="CJ2698" s="54"/>
      <c r="CK2698" s="14"/>
      <c r="CL2698" s="14"/>
      <c r="CM2698" s="14"/>
      <c r="CN2698" s="14"/>
      <c r="CO2698" s="14"/>
      <c r="CP2698" s="14"/>
      <c r="CQ2698" s="14"/>
      <c r="CR2698" s="14"/>
      <c r="CS2698" s="14"/>
      <c r="CT2698" s="14"/>
      <c r="CU2698" s="16"/>
      <c r="CV2698" s="14"/>
      <c r="CW2698" s="50"/>
      <c r="CX2698" s="17"/>
    </row>
    <row r="2699" spans="4:102" x14ac:dyDescent="0.25">
      <c r="D2699" s="11"/>
      <c r="E2699" s="11"/>
      <c r="F2699" s="11"/>
      <c r="G2699" s="11"/>
      <c r="H2699" s="11"/>
      <c r="I2699" s="11"/>
      <c r="J2699" s="11"/>
      <c r="K2699" s="11"/>
      <c r="L2699" s="11"/>
      <c r="M2699" s="11"/>
      <c r="N2699" s="11"/>
      <c r="O2699" s="11"/>
      <c r="P2699" s="43"/>
      <c r="Q2699" s="11"/>
      <c r="R2699" s="11"/>
      <c r="S2699" s="11"/>
      <c r="T2699" s="11"/>
      <c r="U2699" s="11"/>
      <c r="V2699" s="11"/>
      <c r="W2699" s="11"/>
      <c r="X2699" s="12"/>
      <c r="Y2699" s="12"/>
      <c r="Z2699" s="12"/>
      <c r="AA2699" s="44"/>
      <c r="AB2699" s="45"/>
      <c r="AC2699" s="12"/>
      <c r="AD2699" s="12"/>
      <c r="AE2699" s="12"/>
      <c r="AF2699" s="12"/>
      <c r="AG2699" s="44"/>
      <c r="AH2699" s="45"/>
      <c r="AI2699" s="12"/>
      <c r="AJ2699" s="12"/>
      <c r="AK2699" s="12"/>
      <c r="AL2699" s="12"/>
      <c r="AM2699" s="44"/>
      <c r="AN2699" s="45"/>
      <c r="AO2699" s="12"/>
      <c r="AP2699" s="12"/>
      <c r="AQ2699" s="12"/>
      <c r="AR2699" s="12"/>
      <c r="AS2699" s="44"/>
      <c r="AT2699" s="45"/>
      <c r="AU2699" s="12"/>
      <c r="AV2699" s="12"/>
      <c r="AW2699" s="12"/>
      <c r="AX2699" s="12"/>
      <c r="AY2699" s="44"/>
      <c r="AZ2699" s="45"/>
      <c r="BA2699" s="12"/>
      <c r="BB2699" s="12"/>
      <c r="BC2699" s="12"/>
      <c r="BD2699" s="12"/>
      <c r="BE2699" s="44"/>
      <c r="BF2699" s="45"/>
      <c r="BG2699" s="12"/>
      <c r="BH2699" s="12"/>
      <c r="BI2699" s="12"/>
      <c r="BJ2699" s="12"/>
      <c r="BK2699" s="44"/>
      <c r="BL2699" s="45"/>
      <c r="BM2699" s="12"/>
      <c r="BN2699" s="12"/>
      <c r="BO2699" s="12"/>
      <c r="BP2699" s="12"/>
      <c r="BQ2699" s="48"/>
      <c r="BR2699" s="49"/>
      <c r="BS2699" s="13"/>
      <c r="BT2699" s="12"/>
      <c r="BV2699" s="14"/>
      <c r="BW2699" s="50"/>
      <c r="BX2699" s="54"/>
      <c r="BY2699" s="14"/>
      <c r="BZ2699" s="14"/>
      <c r="CA2699" s="14"/>
      <c r="CB2699" s="14"/>
      <c r="CC2699" s="14"/>
      <c r="CD2699" s="14"/>
      <c r="CE2699" s="14"/>
      <c r="CF2699" s="15"/>
      <c r="CG2699" s="14"/>
      <c r="CH2699" s="14"/>
      <c r="CI2699" s="50"/>
      <c r="CJ2699" s="54"/>
      <c r="CK2699" s="14"/>
      <c r="CL2699" s="14"/>
      <c r="CM2699" s="14"/>
      <c r="CN2699" s="14"/>
      <c r="CO2699" s="14"/>
      <c r="CP2699" s="14"/>
      <c r="CQ2699" s="14"/>
      <c r="CR2699" s="14"/>
      <c r="CS2699" s="14"/>
      <c r="CT2699" s="14"/>
      <c r="CU2699" s="16"/>
      <c r="CV2699" s="14"/>
      <c r="CW2699" s="50"/>
      <c r="CX2699" s="17"/>
    </row>
    <row r="2700" spans="4:102" x14ac:dyDescent="0.25">
      <c r="D2700" s="11"/>
      <c r="E2700" s="11"/>
      <c r="F2700" s="11"/>
      <c r="G2700" s="11"/>
      <c r="H2700" s="11"/>
      <c r="I2700" s="11"/>
      <c r="J2700" s="11"/>
      <c r="K2700" s="11"/>
      <c r="L2700" s="11"/>
      <c r="M2700" s="11"/>
      <c r="N2700" s="11"/>
      <c r="O2700" s="11"/>
      <c r="P2700" s="43"/>
      <c r="Q2700" s="11"/>
      <c r="R2700" s="11"/>
      <c r="S2700" s="11"/>
      <c r="T2700" s="11"/>
      <c r="U2700" s="11"/>
      <c r="V2700" s="11"/>
      <c r="W2700" s="11"/>
      <c r="X2700" s="12"/>
      <c r="Y2700" s="12"/>
      <c r="Z2700" s="12"/>
      <c r="AA2700" s="44"/>
      <c r="AB2700" s="45"/>
      <c r="AC2700" s="12"/>
      <c r="AD2700" s="12"/>
      <c r="AE2700" s="12"/>
      <c r="AF2700" s="12"/>
      <c r="AG2700" s="44"/>
      <c r="AH2700" s="45"/>
      <c r="AI2700" s="12"/>
      <c r="AJ2700" s="12"/>
      <c r="AK2700" s="12"/>
      <c r="AL2700" s="12"/>
      <c r="AM2700" s="44"/>
      <c r="AN2700" s="45"/>
      <c r="AO2700" s="12"/>
      <c r="AP2700" s="12"/>
      <c r="AQ2700" s="12"/>
      <c r="AR2700" s="12"/>
      <c r="AS2700" s="44"/>
      <c r="AT2700" s="45"/>
      <c r="AU2700" s="12"/>
      <c r="AV2700" s="12"/>
      <c r="AW2700" s="12"/>
      <c r="AX2700" s="12"/>
      <c r="AY2700" s="44"/>
      <c r="AZ2700" s="45"/>
      <c r="BA2700" s="12"/>
      <c r="BB2700" s="12"/>
      <c r="BC2700" s="12"/>
      <c r="BD2700" s="12"/>
      <c r="BE2700" s="44"/>
      <c r="BF2700" s="45"/>
      <c r="BG2700" s="12"/>
      <c r="BH2700" s="12"/>
      <c r="BI2700" s="12"/>
      <c r="BJ2700" s="12"/>
      <c r="BK2700" s="44"/>
      <c r="BL2700" s="45"/>
      <c r="BM2700" s="12"/>
      <c r="BN2700" s="12"/>
      <c r="BO2700" s="12"/>
      <c r="BP2700" s="12"/>
      <c r="BQ2700" s="48"/>
      <c r="BR2700" s="49"/>
      <c r="BS2700" s="13"/>
      <c r="BT2700" s="12"/>
      <c r="BV2700" s="14"/>
      <c r="BW2700" s="50"/>
      <c r="BX2700" s="54"/>
      <c r="BY2700" s="14"/>
      <c r="BZ2700" s="14"/>
      <c r="CA2700" s="14"/>
      <c r="CB2700" s="14"/>
      <c r="CC2700" s="14"/>
      <c r="CD2700" s="14"/>
      <c r="CE2700" s="14"/>
      <c r="CF2700" s="15"/>
      <c r="CG2700" s="14"/>
      <c r="CH2700" s="14"/>
      <c r="CI2700" s="50"/>
      <c r="CJ2700" s="54"/>
      <c r="CK2700" s="14"/>
      <c r="CL2700" s="14"/>
      <c r="CM2700" s="14"/>
      <c r="CN2700" s="14"/>
      <c r="CO2700" s="14"/>
      <c r="CP2700" s="14"/>
      <c r="CQ2700" s="14"/>
      <c r="CR2700" s="14"/>
      <c r="CS2700" s="14"/>
      <c r="CT2700" s="14"/>
      <c r="CU2700" s="16"/>
      <c r="CV2700" s="14"/>
      <c r="CW2700" s="50"/>
      <c r="CX2700" s="17"/>
    </row>
    <row r="2701" spans="4:102" x14ac:dyDescent="0.25">
      <c r="D2701" s="11"/>
      <c r="E2701" s="11"/>
      <c r="F2701" s="11"/>
      <c r="G2701" s="11"/>
      <c r="H2701" s="11"/>
      <c r="I2701" s="11"/>
      <c r="J2701" s="11"/>
      <c r="K2701" s="11"/>
      <c r="L2701" s="11"/>
      <c r="M2701" s="11"/>
      <c r="N2701" s="11"/>
      <c r="O2701" s="11"/>
      <c r="P2701" s="43"/>
      <c r="Q2701" s="11"/>
      <c r="R2701" s="11"/>
      <c r="S2701" s="11"/>
      <c r="T2701" s="11"/>
      <c r="U2701" s="11"/>
      <c r="V2701" s="11"/>
      <c r="W2701" s="11"/>
      <c r="X2701" s="12"/>
      <c r="Y2701" s="12"/>
      <c r="Z2701" s="12"/>
      <c r="AA2701" s="44"/>
      <c r="AB2701" s="45"/>
      <c r="AC2701" s="12"/>
      <c r="AD2701" s="12"/>
      <c r="AE2701" s="12"/>
      <c r="AF2701" s="12"/>
      <c r="AG2701" s="44"/>
      <c r="AH2701" s="45"/>
      <c r="AI2701" s="12"/>
      <c r="AJ2701" s="12"/>
      <c r="AK2701" s="12"/>
      <c r="AL2701" s="12"/>
      <c r="AM2701" s="44"/>
      <c r="AN2701" s="45"/>
      <c r="AO2701" s="12"/>
      <c r="AP2701" s="12"/>
      <c r="AQ2701" s="12"/>
      <c r="AR2701" s="12"/>
      <c r="AS2701" s="44"/>
      <c r="AT2701" s="45"/>
      <c r="AU2701" s="12"/>
      <c r="AV2701" s="12"/>
      <c r="AW2701" s="12"/>
      <c r="AX2701" s="12"/>
      <c r="AY2701" s="44"/>
      <c r="AZ2701" s="45"/>
      <c r="BA2701" s="12"/>
      <c r="BB2701" s="12"/>
      <c r="BC2701" s="12"/>
      <c r="BD2701" s="12"/>
      <c r="BE2701" s="44"/>
      <c r="BF2701" s="45"/>
      <c r="BG2701" s="12"/>
      <c r="BH2701" s="12"/>
      <c r="BI2701" s="12"/>
      <c r="BJ2701" s="12"/>
      <c r="BK2701" s="44"/>
      <c r="BL2701" s="45"/>
      <c r="BM2701" s="12"/>
      <c r="BN2701" s="12"/>
      <c r="BO2701" s="12"/>
      <c r="BP2701" s="12"/>
      <c r="BQ2701" s="48"/>
      <c r="BR2701" s="49"/>
      <c r="BS2701" s="13"/>
      <c r="BT2701" s="12"/>
      <c r="BV2701" s="14"/>
      <c r="BW2701" s="50"/>
      <c r="BX2701" s="54"/>
      <c r="BY2701" s="14"/>
      <c r="BZ2701" s="14"/>
      <c r="CA2701" s="14"/>
      <c r="CB2701" s="14"/>
      <c r="CC2701" s="14"/>
      <c r="CD2701" s="14"/>
      <c r="CE2701" s="14"/>
      <c r="CF2701" s="15"/>
      <c r="CG2701" s="14"/>
      <c r="CH2701" s="14"/>
      <c r="CI2701" s="50"/>
      <c r="CJ2701" s="54"/>
      <c r="CK2701" s="14"/>
      <c r="CL2701" s="14"/>
      <c r="CM2701" s="14"/>
      <c r="CN2701" s="14"/>
      <c r="CO2701" s="14"/>
      <c r="CP2701" s="14"/>
      <c r="CQ2701" s="14"/>
      <c r="CR2701" s="14"/>
      <c r="CS2701" s="14"/>
      <c r="CT2701" s="14"/>
      <c r="CU2701" s="16"/>
      <c r="CV2701" s="14"/>
      <c r="CW2701" s="50"/>
      <c r="CX2701" s="17"/>
    </row>
    <row r="2702" spans="4:102" x14ac:dyDescent="0.25">
      <c r="D2702" s="11"/>
      <c r="E2702" s="11"/>
      <c r="F2702" s="11"/>
      <c r="G2702" s="11"/>
      <c r="H2702" s="11"/>
      <c r="I2702" s="11"/>
      <c r="J2702" s="11"/>
      <c r="K2702" s="11"/>
      <c r="L2702" s="11"/>
      <c r="M2702" s="11"/>
      <c r="N2702" s="11"/>
      <c r="O2702" s="11"/>
      <c r="P2702" s="43"/>
      <c r="Q2702" s="11"/>
      <c r="R2702" s="11"/>
      <c r="S2702" s="11"/>
      <c r="T2702" s="11"/>
      <c r="U2702" s="11"/>
      <c r="V2702" s="11"/>
      <c r="W2702" s="11"/>
      <c r="X2702" s="12"/>
      <c r="Y2702" s="12"/>
      <c r="Z2702" s="12"/>
      <c r="AA2702" s="44"/>
      <c r="AB2702" s="45"/>
      <c r="AC2702" s="12"/>
      <c r="AD2702" s="12"/>
      <c r="AE2702" s="12"/>
      <c r="AF2702" s="12"/>
      <c r="AG2702" s="44"/>
      <c r="AH2702" s="45"/>
      <c r="AI2702" s="12"/>
      <c r="AJ2702" s="12"/>
      <c r="AK2702" s="12"/>
      <c r="AL2702" s="12"/>
      <c r="AM2702" s="44"/>
      <c r="AN2702" s="45"/>
      <c r="AO2702" s="12"/>
      <c r="AP2702" s="12"/>
      <c r="AQ2702" s="12"/>
      <c r="AR2702" s="12"/>
      <c r="AS2702" s="44"/>
      <c r="AT2702" s="45"/>
      <c r="AU2702" s="12"/>
      <c r="AV2702" s="12"/>
      <c r="AW2702" s="12"/>
      <c r="AX2702" s="12"/>
      <c r="AY2702" s="44"/>
      <c r="AZ2702" s="45"/>
      <c r="BA2702" s="12"/>
      <c r="BB2702" s="12"/>
      <c r="BC2702" s="12"/>
      <c r="BD2702" s="12"/>
      <c r="BE2702" s="44"/>
      <c r="BF2702" s="45"/>
      <c r="BG2702" s="12"/>
      <c r="BH2702" s="12"/>
      <c r="BI2702" s="12"/>
      <c r="BJ2702" s="12"/>
      <c r="BK2702" s="44"/>
      <c r="BL2702" s="45"/>
      <c r="BM2702" s="12"/>
      <c r="BN2702" s="12"/>
      <c r="BO2702" s="12"/>
      <c r="BP2702" s="12"/>
      <c r="BQ2702" s="48"/>
      <c r="BR2702" s="49"/>
      <c r="BS2702" s="13"/>
      <c r="BT2702" s="12"/>
      <c r="BV2702" s="14"/>
      <c r="BW2702" s="50"/>
      <c r="BX2702" s="54"/>
      <c r="BY2702" s="14"/>
      <c r="BZ2702" s="14"/>
      <c r="CA2702" s="14"/>
      <c r="CB2702" s="14"/>
      <c r="CC2702" s="14"/>
      <c r="CD2702" s="14"/>
      <c r="CE2702" s="14"/>
      <c r="CF2702" s="15"/>
      <c r="CG2702" s="14"/>
      <c r="CH2702" s="14"/>
      <c r="CI2702" s="50"/>
      <c r="CJ2702" s="54"/>
      <c r="CK2702" s="14"/>
      <c r="CL2702" s="14"/>
      <c r="CM2702" s="14"/>
      <c r="CN2702" s="14"/>
      <c r="CO2702" s="14"/>
      <c r="CP2702" s="14"/>
      <c r="CQ2702" s="14"/>
      <c r="CR2702" s="14"/>
      <c r="CS2702" s="14"/>
      <c r="CT2702" s="14"/>
      <c r="CU2702" s="16"/>
      <c r="CV2702" s="14"/>
      <c r="CW2702" s="50"/>
      <c r="CX2702" s="17"/>
    </row>
    <row r="2703" spans="4:102" x14ac:dyDescent="0.25">
      <c r="D2703" s="11"/>
      <c r="E2703" s="11"/>
      <c r="F2703" s="11"/>
      <c r="G2703" s="11"/>
      <c r="H2703" s="11"/>
      <c r="I2703" s="11"/>
      <c r="J2703" s="11"/>
      <c r="K2703" s="11"/>
      <c r="L2703" s="11"/>
      <c r="M2703" s="11"/>
      <c r="N2703" s="11"/>
      <c r="O2703" s="11"/>
      <c r="P2703" s="43"/>
      <c r="Q2703" s="11"/>
      <c r="R2703" s="11"/>
      <c r="S2703" s="11"/>
      <c r="T2703" s="11"/>
      <c r="U2703" s="11"/>
      <c r="V2703" s="11"/>
      <c r="W2703" s="11"/>
      <c r="X2703" s="12"/>
      <c r="Y2703" s="12"/>
      <c r="Z2703" s="12"/>
      <c r="AA2703" s="44"/>
      <c r="AB2703" s="45"/>
      <c r="AC2703" s="12"/>
      <c r="AD2703" s="12"/>
      <c r="AE2703" s="12"/>
      <c r="AF2703" s="12"/>
      <c r="AG2703" s="44"/>
      <c r="AH2703" s="45"/>
      <c r="AI2703" s="12"/>
      <c r="AJ2703" s="12"/>
      <c r="AK2703" s="12"/>
      <c r="AL2703" s="12"/>
      <c r="AM2703" s="44"/>
      <c r="AN2703" s="45"/>
      <c r="AO2703" s="12"/>
      <c r="AP2703" s="12"/>
      <c r="AQ2703" s="12"/>
      <c r="AR2703" s="12"/>
      <c r="AS2703" s="44"/>
      <c r="AT2703" s="45"/>
      <c r="AU2703" s="12"/>
      <c r="AV2703" s="12"/>
      <c r="AW2703" s="12"/>
      <c r="AX2703" s="12"/>
      <c r="AY2703" s="44"/>
      <c r="AZ2703" s="45"/>
      <c r="BA2703" s="12"/>
      <c r="BB2703" s="12"/>
      <c r="BC2703" s="12"/>
      <c r="BD2703" s="12"/>
      <c r="BE2703" s="44"/>
      <c r="BF2703" s="45"/>
      <c r="BG2703" s="12"/>
      <c r="BH2703" s="12"/>
      <c r="BI2703" s="12"/>
      <c r="BJ2703" s="12"/>
      <c r="BK2703" s="44"/>
      <c r="BL2703" s="45"/>
      <c r="BM2703" s="12"/>
      <c r="BN2703" s="12"/>
      <c r="BO2703" s="12"/>
      <c r="BP2703" s="12"/>
      <c r="BQ2703" s="48"/>
      <c r="BR2703" s="49"/>
      <c r="BS2703" s="13"/>
      <c r="BT2703" s="12"/>
      <c r="BV2703" s="14"/>
      <c r="BW2703" s="50"/>
      <c r="BX2703" s="54"/>
      <c r="BY2703" s="14"/>
      <c r="BZ2703" s="14"/>
      <c r="CA2703" s="14"/>
      <c r="CB2703" s="14"/>
      <c r="CC2703" s="14"/>
      <c r="CD2703" s="14"/>
      <c r="CE2703" s="14"/>
      <c r="CF2703" s="15"/>
      <c r="CG2703" s="14"/>
      <c r="CH2703" s="14"/>
      <c r="CI2703" s="50"/>
      <c r="CJ2703" s="54"/>
      <c r="CK2703" s="14"/>
      <c r="CL2703" s="14"/>
      <c r="CM2703" s="14"/>
      <c r="CN2703" s="14"/>
      <c r="CO2703" s="14"/>
      <c r="CP2703" s="14"/>
      <c r="CQ2703" s="14"/>
      <c r="CR2703" s="14"/>
      <c r="CS2703" s="14"/>
      <c r="CT2703" s="14"/>
      <c r="CU2703" s="16"/>
      <c r="CV2703" s="14"/>
      <c r="CW2703" s="50"/>
      <c r="CX2703" s="17"/>
    </row>
    <row r="2704" spans="4:102" x14ac:dyDescent="0.25">
      <c r="D2704" s="11"/>
      <c r="E2704" s="11"/>
      <c r="F2704" s="11"/>
      <c r="G2704" s="11"/>
      <c r="H2704" s="11"/>
      <c r="I2704" s="11"/>
      <c r="J2704" s="11"/>
      <c r="K2704" s="11"/>
      <c r="L2704" s="11"/>
      <c r="M2704" s="11"/>
      <c r="N2704" s="11"/>
      <c r="O2704" s="11"/>
      <c r="P2704" s="43"/>
      <c r="Q2704" s="11"/>
      <c r="R2704" s="11"/>
      <c r="S2704" s="11"/>
      <c r="T2704" s="11"/>
      <c r="U2704" s="11"/>
      <c r="V2704" s="11"/>
      <c r="W2704" s="11"/>
      <c r="X2704" s="12"/>
      <c r="Y2704" s="12"/>
      <c r="Z2704" s="12"/>
      <c r="AA2704" s="44"/>
      <c r="AB2704" s="45"/>
      <c r="AC2704" s="12"/>
      <c r="AD2704" s="12"/>
      <c r="AE2704" s="12"/>
      <c r="AF2704" s="12"/>
      <c r="AG2704" s="44"/>
      <c r="AH2704" s="45"/>
      <c r="AI2704" s="12"/>
      <c r="AJ2704" s="12"/>
      <c r="AK2704" s="12"/>
      <c r="AL2704" s="12"/>
      <c r="AM2704" s="44"/>
      <c r="AN2704" s="45"/>
      <c r="AO2704" s="12"/>
      <c r="AP2704" s="12"/>
      <c r="AQ2704" s="12"/>
      <c r="AR2704" s="12"/>
      <c r="AS2704" s="44"/>
      <c r="AT2704" s="45"/>
      <c r="AU2704" s="12"/>
      <c r="AV2704" s="12"/>
      <c r="AW2704" s="12"/>
      <c r="AX2704" s="12"/>
      <c r="AY2704" s="44"/>
      <c r="AZ2704" s="45"/>
      <c r="BA2704" s="12"/>
      <c r="BB2704" s="12"/>
      <c r="BC2704" s="12"/>
      <c r="BD2704" s="12"/>
      <c r="BE2704" s="44"/>
      <c r="BF2704" s="45"/>
      <c r="BG2704" s="12"/>
      <c r="BH2704" s="12"/>
      <c r="BI2704" s="12"/>
      <c r="BJ2704" s="12"/>
      <c r="BK2704" s="44"/>
      <c r="BL2704" s="45"/>
      <c r="BM2704" s="12"/>
      <c r="BN2704" s="12"/>
      <c r="BO2704" s="12"/>
      <c r="BP2704" s="12"/>
      <c r="BQ2704" s="48"/>
      <c r="BR2704" s="49"/>
      <c r="BS2704" s="13"/>
      <c r="BT2704" s="12"/>
      <c r="BV2704" s="14"/>
      <c r="BW2704" s="50"/>
      <c r="BX2704" s="54"/>
      <c r="BY2704" s="14"/>
      <c r="BZ2704" s="14"/>
      <c r="CA2704" s="14"/>
      <c r="CB2704" s="14"/>
      <c r="CC2704" s="14"/>
      <c r="CD2704" s="14"/>
      <c r="CE2704" s="14"/>
      <c r="CF2704" s="15"/>
      <c r="CG2704" s="14"/>
      <c r="CH2704" s="14"/>
      <c r="CI2704" s="50"/>
      <c r="CJ2704" s="54"/>
      <c r="CK2704" s="14"/>
      <c r="CL2704" s="14"/>
      <c r="CM2704" s="14"/>
      <c r="CN2704" s="14"/>
      <c r="CO2704" s="14"/>
      <c r="CP2704" s="14"/>
      <c r="CQ2704" s="14"/>
      <c r="CR2704" s="14"/>
      <c r="CS2704" s="14"/>
      <c r="CT2704" s="14"/>
      <c r="CU2704" s="16"/>
      <c r="CV2704" s="14"/>
      <c r="CW2704" s="50"/>
      <c r="CX2704" s="17"/>
    </row>
    <row r="2705" spans="4:102" x14ac:dyDescent="0.25">
      <c r="D2705" s="11"/>
      <c r="E2705" s="11"/>
      <c r="F2705" s="11"/>
      <c r="G2705" s="11"/>
      <c r="H2705" s="11"/>
      <c r="I2705" s="11"/>
      <c r="J2705" s="11"/>
      <c r="K2705" s="11"/>
      <c r="L2705" s="11"/>
      <c r="M2705" s="11"/>
      <c r="N2705" s="11"/>
      <c r="O2705" s="11"/>
      <c r="P2705" s="43"/>
      <c r="Q2705" s="11"/>
      <c r="R2705" s="11"/>
      <c r="S2705" s="11"/>
      <c r="T2705" s="11"/>
      <c r="U2705" s="11"/>
      <c r="V2705" s="11"/>
      <c r="W2705" s="11"/>
      <c r="X2705" s="12"/>
      <c r="Y2705" s="12"/>
      <c r="Z2705" s="12"/>
      <c r="AA2705" s="44"/>
      <c r="AB2705" s="45"/>
      <c r="AC2705" s="12"/>
      <c r="AD2705" s="12"/>
      <c r="AE2705" s="12"/>
      <c r="AF2705" s="12"/>
      <c r="AG2705" s="44"/>
      <c r="AH2705" s="45"/>
      <c r="AI2705" s="12"/>
      <c r="AJ2705" s="12"/>
      <c r="AK2705" s="12"/>
      <c r="AL2705" s="12"/>
      <c r="AM2705" s="44"/>
      <c r="AN2705" s="45"/>
      <c r="AO2705" s="12"/>
      <c r="AP2705" s="12"/>
      <c r="AQ2705" s="12"/>
      <c r="AR2705" s="12"/>
      <c r="AS2705" s="44"/>
      <c r="AT2705" s="45"/>
      <c r="AU2705" s="12"/>
      <c r="AV2705" s="12"/>
      <c r="AW2705" s="12"/>
      <c r="AX2705" s="12"/>
      <c r="AY2705" s="44"/>
      <c r="AZ2705" s="45"/>
      <c r="BA2705" s="12"/>
      <c r="BB2705" s="12"/>
      <c r="BC2705" s="12"/>
      <c r="BD2705" s="12"/>
      <c r="BE2705" s="44"/>
      <c r="BF2705" s="45"/>
      <c r="BG2705" s="12"/>
      <c r="BH2705" s="12"/>
      <c r="BI2705" s="12"/>
      <c r="BJ2705" s="12"/>
      <c r="BK2705" s="44"/>
      <c r="BL2705" s="45"/>
      <c r="BM2705" s="12"/>
      <c r="BN2705" s="12"/>
      <c r="BO2705" s="12"/>
      <c r="BP2705" s="12"/>
      <c r="BQ2705" s="48"/>
      <c r="BR2705" s="49"/>
      <c r="BS2705" s="13"/>
      <c r="BT2705" s="12"/>
      <c r="BV2705" s="14"/>
      <c r="BW2705" s="50"/>
      <c r="BX2705" s="54"/>
      <c r="BY2705" s="14"/>
      <c r="BZ2705" s="14"/>
      <c r="CA2705" s="14"/>
      <c r="CB2705" s="14"/>
      <c r="CC2705" s="14"/>
      <c r="CD2705" s="14"/>
      <c r="CE2705" s="14"/>
      <c r="CF2705" s="15"/>
      <c r="CG2705" s="14"/>
      <c r="CH2705" s="14"/>
      <c r="CI2705" s="50"/>
      <c r="CJ2705" s="54"/>
      <c r="CK2705" s="14"/>
      <c r="CL2705" s="14"/>
      <c r="CM2705" s="14"/>
      <c r="CN2705" s="14"/>
      <c r="CO2705" s="14"/>
      <c r="CP2705" s="14"/>
      <c r="CQ2705" s="14"/>
      <c r="CR2705" s="14"/>
      <c r="CS2705" s="14"/>
      <c r="CT2705" s="14"/>
      <c r="CU2705" s="16"/>
      <c r="CV2705" s="14"/>
      <c r="CW2705" s="50"/>
      <c r="CX2705" s="17"/>
    </row>
    <row r="2706" spans="4:102" x14ac:dyDescent="0.25">
      <c r="D2706" s="11"/>
      <c r="E2706" s="11"/>
      <c r="F2706" s="11"/>
      <c r="G2706" s="11"/>
      <c r="H2706" s="11"/>
      <c r="I2706" s="11"/>
      <c r="J2706" s="11"/>
      <c r="K2706" s="11"/>
      <c r="L2706" s="11"/>
      <c r="M2706" s="11"/>
      <c r="N2706" s="11"/>
      <c r="O2706" s="11"/>
      <c r="P2706" s="43"/>
      <c r="Q2706" s="11"/>
      <c r="R2706" s="11"/>
      <c r="S2706" s="11"/>
      <c r="T2706" s="11"/>
      <c r="U2706" s="11"/>
      <c r="V2706" s="11"/>
      <c r="W2706" s="11"/>
      <c r="X2706" s="12"/>
      <c r="Y2706" s="12"/>
      <c r="Z2706" s="12"/>
      <c r="AA2706" s="44"/>
      <c r="AB2706" s="45"/>
      <c r="AC2706" s="12"/>
      <c r="AD2706" s="12"/>
      <c r="AE2706" s="12"/>
      <c r="AF2706" s="12"/>
      <c r="AG2706" s="44"/>
      <c r="AH2706" s="45"/>
      <c r="AI2706" s="12"/>
      <c r="AJ2706" s="12"/>
      <c r="AK2706" s="12"/>
      <c r="AL2706" s="12"/>
      <c r="AM2706" s="44"/>
      <c r="AN2706" s="45"/>
      <c r="AO2706" s="12"/>
      <c r="AP2706" s="12"/>
      <c r="AQ2706" s="12"/>
      <c r="AR2706" s="12"/>
      <c r="AS2706" s="44"/>
      <c r="AT2706" s="45"/>
      <c r="AU2706" s="12"/>
      <c r="AV2706" s="12"/>
      <c r="AW2706" s="12"/>
      <c r="AX2706" s="12"/>
      <c r="AY2706" s="44"/>
      <c r="AZ2706" s="45"/>
      <c r="BA2706" s="12"/>
      <c r="BB2706" s="12"/>
      <c r="BC2706" s="12"/>
      <c r="BD2706" s="12"/>
      <c r="BE2706" s="44"/>
      <c r="BF2706" s="45"/>
      <c r="BG2706" s="12"/>
      <c r="BH2706" s="12"/>
      <c r="BI2706" s="12"/>
      <c r="BJ2706" s="12"/>
      <c r="BK2706" s="44"/>
      <c r="BL2706" s="45"/>
      <c r="BM2706" s="12"/>
      <c r="BN2706" s="12"/>
      <c r="BO2706" s="12"/>
      <c r="BP2706" s="12"/>
      <c r="BQ2706" s="48"/>
      <c r="BR2706" s="49"/>
      <c r="BS2706" s="13"/>
      <c r="BT2706" s="12"/>
      <c r="BV2706" s="14"/>
      <c r="BW2706" s="50"/>
      <c r="BX2706" s="54"/>
      <c r="BY2706" s="14"/>
      <c r="BZ2706" s="14"/>
      <c r="CA2706" s="14"/>
      <c r="CB2706" s="14"/>
      <c r="CC2706" s="14"/>
      <c r="CD2706" s="14"/>
      <c r="CE2706" s="14"/>
      <c r="CF2706" s="15"/>
      <c r="CG2706" s="14"/>
      <c r="CH2706" s="14"/>
      <c r="CI2706" s="50"/>
      <c r="CJ2706" s="54"/>
      <c r="CK2706" s="14"/>
      <c r="CL2706" s="14"/>
      <c r="CM2706" s="14"/>
      <c r="CN2706" s="14"/>
      <c r="CO2706" s="14"/>
      <c r="CP2706" s="14"/>
      <c r="CQ2706" s="14"/>
      <c r="CR2706" s="14"/>
      <c r="CS2706" s="14"/>
      <c r="CT2706" s="14"/>
      <c r="CU2706" s="16"/>
      <c r="CV2706" s="14"/>
      <c r="CW2706" s="50"/>
      <c r="CX2706" s="17"/>
    </row>
    <row r="2707" spans="4:102" x14ac:dyDescent="0.25">
      <c r="D2707" s="11"/>
      <c r="E2707" s="11"/>
      <c r="F2707" s="11"/>
      <c r="G2707" s="11"/>
      <c r="H2707" s="11"/>
      <c r="I2707" s="11"/>
      <c r="J2707" s="11"/>
      <c r="K2707" s="11"/>
      <c r="L2707" s="11"/>
      <c r="M2707" s="11"/>
      <c r="N2707" s="11"/>
      <c r="O2707" s="11"/>
      <c r="P2707" s="43"/>
      <c r="Q2707" s="11"/>
      <c r="R2707" s="11"/>
      <c r="S2707" s="11"/>
      <c r="T2707" s="11"/>
      <c r="U2707" s="11"/>
      <c r="V2707" s="11"/>
      <c r="W2707" s="11"/>
      <c r="X2707" s="12"/>
      <c r="Y2707" s="12"/>
      <c r="Z2707" s="12"/>
      <c r="AA2707" s="44"/>
      <c r="AB2707" s="45"/>
      <c r="AC2707" s="12"/>
      <c r="AD2707" s="12"/>
      <c r="AE2707" s="12"/>
      <c r="AF2707" s="12"/>
      <c r="AG2707" s="44"/>
      <c r="AH2707" s="45"/>
      <c r="AI2707" s="12"/>
      <c r="AJ2707" s="12"/>
      <c r="AK2707" s="12"/>
      <c r="AL2707" s="12"/>
      <c r="AM2707" s="44"/>
      <c r="AN2707" s="45"/>
      <c r="AO2707" s="12"/>
      <c r="AP2707" s="12"/>
      <c r="AQ2707" s="12"/>
      <c r="AR2707" s="12"/>
      <c r="AS2707" s="44"/>
      <c r="AT2707" s="45"/>
      <c r="AU2707" s="12"/>
      <c r="AV2707" s="12"/>
      <c r="AW2707" s="12"/>
      <c r="AX2707" s="12"/>
      <c r="AY2707" s="44"/>
      <c r="AZ2707" s="45"/>
      <c r="BA2707" s="12"/>
      <c r="BB2707" s="12"/>
      <c r="BC2707" s="12"/>
      <c r="BD2707" s="12"/>
      <c r="BE2707" s="44"/>
      <c r="BF2707" s="45"/>
      <c r="BG2707" s="12"/>
      <c r="BH2707" s="12"/>
      <c r="BI2707" s="12"/>
      <c r="BJ2707" s="12"/>
      <c r="BK2707" s="44"/>
      <c r="BL2707" s="45"/>
      <c r="BM2707" s="12"/>
      <c r="BN2707" s="12"/>
      <c r="BO2707" s="12"/>
      <c r="BP2707" s="12"/>
      <c r="BQ2707" s="48"/>
      <c r="BR2707" s="49"/>
      <c r="BS2707" s="13"/>
      <c r="BT2707" s="12"/>
      <c r="BV2707" s="14"/>
      <c r="BW2707" s="50"/>
      <c r="BX2707" s="54"/>
      <c r="BY2707" s="14"/>
      <c r="BZ2707" s="14"/>
      <c r="CA2707" s="14"/>
      <c r="CB2707" s="14"/>
      <c r="CC2707" s="14"/>
      <c r="CD2707" s="14"/>
      <c r="CE2707" s="14"/>
      <c r="CF2707" s="15"/>
      <c r="CG2707" s="14"/>
      <c r="CH2707" s="14"/>
      <c r="CI2707" s="50"/>
      <c r="CJ2707" s="54"/>
      <c r="CK2707" s="14"/>
      <c r="CL2707" s="14"/>
      <c r="CM2707" s="14"/>
      <c r="CN2707" s="14"/>
      <c r="CO2707" s="14"/>
      <c r="CP2707" s="14"/>
      <c r="CQ2707" s="14"/>
      <c r="CR2707" s="14"/>
      <c r="CS2707" s="14"/>
      <c r="CT2707" s="14"/>
      <c r="CU2707" s="16"/>
      <c r="CV2707" s="14"/>
      <c r="CW2707" s="50"/>
      <c r="CX2707" s="17"/>
    </row>
    <row r="2708" spans="4:102" x14ac:dyDescent="0.25">
      <c r="D2708" s="11"/>
      <c r="E2708" s="11"/>
      <c r="F2708" s="11"/>
      <c r="G2708" s="11"/>
      <c r="H2708" s="11"/>
      <c r="I2708" s="11"/>
      <c r="J2708" s="11"/>
      <c r="K2708" s="11"/>
      <c r="L2708" s="11"/>
      <c r="M2708" s="11"/>
      <c r="N2708" s="11"/>
      <c r="O2708" s="11"/>
      <c r="P2708" s="43"/>
      <c r="Q2708" s="11"/>
      <c r="R2708" s="11"/>
      <c r="S2708" s="11"/>
      <c r="T2708" s="11"/>
      <c r="U2708" s="11"/>
      <c r="V2708" s="11"/>
      <c r="W2708" s="11"/>
      <c r="X2708" s="12"/>
      <c r="Y2708" s="12"/>
      <c r="Z2708" s="12"/>
      <c r="AA2708" s="44"/>
      <c r="AB2708" s="45"/>
      <c r="AC2708" s="12"/>
      <c r="AD2708" s="12"/>
      <c r="AE2708" s="12"/>
      <c r="AF2708" s="12"/>
      <c r="AG2708" s="44"/>
      <c r="AH2708" s="45"/>
      <c r="AI2708" s="12"/>
      <c r="AJ2708" s="12"/>
      <c r="AK2708" s="12"/>
      <c r="AL2708" s="12"/>
      <c r="AM2708" s="44"/>
      <c r="AN2708" s="45"/>
      <c r="AO2708" s="12"/>
      <c r="AP2708" s="12"/>
      <c r="AQ2708" s="12"/>
      <c r="AR2708" s="12"/>
      <c r="AS2708" s="44"/>
      <c r="AT2708" s="45"/>
      <c r="AU2708" s="12"/>
      <c r="AV2708" s="12"/>
      <c r="AW2708" s="12"/>
      <c r="AX2708" s="12"/>
      <c r="AY2708" s="44"/>
      <c r="AZ2708" s="45"/>
      <c r="BA2708" s="12"/>
      <c r="BB2708" s="12"/>
      <c r="BC2708" s="12"/>
      <c r="BD2708" s="12"/>
      <c r="BE2708" s="44"/>
      <c r="BF2708" s="45"/>
      <c r="BG2708" s="12"/>
      <c r="BH2708" s="12"/>
      <c r="BI2708" s="12"/>
      <c r="BJ2708" s="12"/>
      <c r="BK2708" s="44"/>
      <c r="BL2708" s="45"/>
      <c r="BM2708" s="12"/>
      <c r="BN2708" s="12"/>
      <c r="BO2708" s="12"/>
      <c r="BP2708" s="12"/>
      <c r="BQ2708" s="48"/>
      <c r="BR2708" s="49"/>
      <c r="BS2708" s="13"/>
      <c r="BT2708" s="12"/>
      <c r="BV2708" s="14"/>
      <c r="BW2708" s="50"/>
      <c r="BX2708" s="54"/>
      <c r="BY2708" s="14"/>
      <c r="BZ2708" s="14"/>
      <c r="CA2708" s="14"/>
      <c r="CB2708" s="14"/>
      <c r="CC2708" s="14"/>
      <c r="CD2708" s="14"/>
      <c r="CE2708" s="14"/>
      <c r="CF2708" s="15"/>
      <c r="CG2708" s="14"/>
      <c r="CH2708" s="14"/>
      <c r="CI2708" s="50"/>
      <c r="CJ2708" s="54"/>
      <c r="CK2708" s="14"/>
      <c r="CL2708" s="14"/>
      <c r="CM2708" s="14"/>
      <c r="CN2708" s="14"/>
      <c r="CO2708" s="14"/>
      <c r="CP2708" s="14"/>
      <c r="CQ2708" s="14"/>
      <c r="CR2708" s="14"/>
      <c r="CS2708" s="14"/>
      <c r="CT2708" s="14"/>
      <c r="CU2708" s="16"/>
      <c r="CV2708" s="14"/>
      <c r="CW2708" s="50"/>
      <c r="CX2708" s="17"/>
    </row>
    <row r="2709" spans="4:102" x14ac:dyDescent="0.25">
      <c r="D2709" s="11"/>
      <c r="E2709" s="11"/>
      <c r="F2709" s="11"/>
      <c r="G2709" s="11"/>
      <c r="H2709" s="11"/>
      <c r="I2709" s="11"/>
      <c r="J2709" s="11"/>
      <c r="K2709" s="11"/>
      <c r="L2709" s="11"/>
      <c r="M2709" s="11"/>
      <c r="N2709" s="11"/>
      <c r="O2709" s="11"/>
      <c r="P2709" s="43"/>
      <c r="Q2709" s="11"/>
      <c r="R2709" s="11"/>
      <c r="S2709" s="11"/>
      <c r="T2709" s="11"/>
      <c r="U2709" s="11"/>
      <c r="V2709" s="11"/>
      <c r="W2709" s="11"/>
      <c r="X2709" s="12"/>
      <c r="Y2709" s="12"/>
      <c r="Z2709" s="12"/>
      <c r="AA2709" s="44"/>
      <c r="AB2709" s="45"/>
      <c r="AC2709" s="12"/>
      <c r="AD2709" s="12"/>
      <c r="AE2709" s="12"/>
      <c r="AF2709" s="12"/>
      <c r="AG2709" s="44"/>
      <c r="AH2709" s="45"/>
      <c r="AI2709" s="12"/>
      <c r="AJ2709" s="12"/>
      <c r="AK2709" s="12"/>
      <c r="AL2709" s="12"/>
      <c r="AM2709" s="44"/>
      <c r="AN2709" s="45"/>
      <c r="AO2709" s="12"/>
      <c r="AP2709" s="12"/>
      <c r="AQ2709" s="12"/>
      <c r="AR2709" s="12"/>
      <c r="AS2709" s="44"/>
      <c r="AT2709" s="45"/>
      <c r="AU2709" s="12"/>
      <c r="AV2709" s="12"/>
      <c r="AW2709" s="12"/>
      <c r="AX2709" s="12"/>
      <c r="AY2709" s="44"/>
      <c r="AZ2709" s="45"/>
      <c r="BA2709" s="12"/>
      <c r="BB2709" s="12"/>
      <c r="BC2709" s="12"/>
      <c r="BD2709" s="12"/>
      <c r="BE2709" s="44"/>
      <c r="BF2709" s="45"/>
      <c r="BG2709" s="12"/>
      <c r="BH2709" s="12"/>
      <c r="BI2709" s="12"/>
      <c r="BJ2709" s="12"/>
      <c r="BK2709" s="44"/>
      <c r="BL2709" s="45"/>
      <c r="BM2709" s="12"/>
      <c r="BN2709" s="12"/>
      <c r="BO2709" s="12"/>
      <c r="BP2709" s="12"/>
      <c r="BQ2709" s="48"/>
      <c r="BR2709" s="49"/>
      <c r="BS2709" s="13"/>
      <c r="BT2709" s="12"/>
      <c r="BV2709" s="14"/>
      <c r="BW2709" s="50"/>
      <c r="BX2709" s="54"/>
      <c r="BY2709" s="14"/>
      <c r="BZ2709" s="14"/>
      <c r="CA2709" s="14"/>
      <c r="CB2709" s="14"/>
      <c r="CC2709" s="14"/>
      <c r="CD2709" s="14"/>
      <c r="CE2709" s="14"/>
      <c r="CF2709" s="15"/>
      <c r="CG2709" s="14"/>
      <c r="CH2709" s="14"/>
      <c r="CI2709" s="50"/>
      <c r="CJ2709" s="54"/>
      <c r="CK2709" s="14"/>
      <c r="CL2709" s="14"/>
      <c r="CM2709" s="14"/>
      <c r="CN2709" s="14"/>
      <c r="CO2709" s="14"/>
      <c r="CP2709" s="14"/>
      <c r="CQ2709" s="14"/>
      <c r="CR2709" s="14"/>
      <c r="CS2709" s="14"/>
      <c r="CT2709" s="14"/>
      <c r="CU2709" s="16"/>
      <c r="CV2709" s="14"/>
      <c r="CW2709" s="50"/>
      <c r="CX2709" s="17"/>
    </row>
    <row r="2710" spans="4:102" x14ac:dyDescent="0.25">
      <c r="D2710" s="11"/>
      <c r="E2710" s="11"/>
      <c r="F2710" s="11"/>
      <c r="G2710" s="11"/>
      <c r="H2710" s="11"/>
      <c r="I2710" s="11"/>
      <c r="J2710" s="11"/>
      <c r="K2710" s="11"/>
      <c r="L2710" s="11"/>
      <c r="M2710" s="11"/>
      <c r="N2710" s="11"/>
      <c r="O2710" s="11"/>
      <c r="P2710" s="43"/>
      <c r="Q2710" s="11"/>
      <c r="R2710" s="11"/>
      <c r="S2710" s="11"/>
      <c r="T2710" s="11"/>
      <c r="U2710" s="11"/>
      <c r="V2710" s="11"/>
      <c r="W2710" s="11"/>
      <c r="X2710" s="12"/>
      <c r="Y2710" s="12"/>
      <c r="Z2710" s="12"/>
      <c r="AA2710" s="44"/>
      <c r="AB2710" s="45"/>
      <c r="AC2710" s="12"/>
      <c r="AD2710" s="12"/>
      <c r="AE2710" s="12"/>
      <c r="AF2710" s="12"/>
      <c r="AG2710" s="44"/>
      <c r="AH2710" s="45"/>
      <c r="AI2710" s="12"/>
      <c r="AJ2710" s="12"/>
      <c r="AK2710" s="12"/>
      <c r="AL2710" s="12"/>
      <c r="AM2710" s="44"/>
      <c r="AN2710" s="45"/>
      <c r="AO2710" s="12"/>
      <c r="AP2710" s="12"/>
      <c r="AQ2710" s="12"/>
      <c r="AR2710" s="12"/>
      <c r="AS2710" s="44"/>
      <c r="AT2710" s="45"/>
      <c r="AU2710" s="12"/>
      <c r="AV2710" s="12"/>
      <c r="AW2710" s="12"/>
      <c r="AX2710" s="12"/>
      <c r="AY2710" s="44"/>
      <c r="AZ2710" s="45"/>
      <c r="BA2710" s="12"/>
      <c r="BB2710" s="12"/>
      <c r="BC2710" s="12"/>
      <c r="BD2710" s="12"/>
      <c r="BE2710" s="44"/>
      <c r="BF2710" s="45"/>
      <c r="BG2710" s="12"/>
      <c r="BH2710" s="12"/>
      <c r="BI2710" s="12"/>
      <c r="BJ2710" s="12"/>
      <c r="BK2710" s="44"/>
      <c r="BL2710" s="45"/>
      <c r="BM2710" s="12"/>
      <c r="BN2710" s="12"/>
      <c r="BO2710" s="12"/>
      <c r="BP2710" s="12"/>
      <c r="BQ2710" s="48"/>
      <c r="BR2710" s="49"/>
      <c r="BS2710" s="13"/>
      <c r="BT2710" s="12"/>
      <c r="BV2710" s="14"/>
      <c r="BW2710" s="50"/>
      <c r="BX2710" s="54"/>
      <c r="BY2710" s="14"/>
      <c r="BZ2710" s="14"/>
      <c r="CA2710" s="14"/>
      <c r="CB2710" s="14"/>
      <c r="CC2710" s="14"/>
      <c r="CD2710" s="14"/>
      <c r="CE2710" s="14"/>
      <c r="CF2710" s="15"/>
      <c r="CG2710" s="14"/>
      <c r="CH2710" s="14"/>
      <c r="CI2710" s="50"/>
      <c r="CJ2710" s="54"/>
      <c r="CK2710" s="14"/>
      <c r="CL2710" s="14"/>
      <c r="CM2710" s="14"/>
      <c r="CN2710" s="14"/>
      <c r="CO2710" s="14"/>
      <c r="CP2710" s="14"/>
      <c r="CQ2710" s="14"/>
      <c r="CR2710" s="14"/>
      <c r="CS2710" s="14"/>
      <c r="CT2710" s="14"/>
      <c r="CU2710" s="16"/>
      <c r="CV2710" s="14"/>
      <c r="CW2710" s="50"/>
      <c r="CX2710" s="17"/>
    </row>
    <row r="2711" spans="4:102" x14ac:dyDescent="0.25">
      <c r="D2711" s="11"/>
      <c r="E2711" s="11"/>
      <c r="F2711" s="11"/>
      <c r="G2711" s="11"/>
      <c r="H2711" s="11"/>
      <c r="I2711" s="11"/>
      <c r="J2711" s="11"/>
      <c r="K2711" s="11"/>
      <c r="L2711" s="11"/>
      <c r="M2711" s="11"/>
      <c r="N2711" s="11"/>
      <c r="O2711" s="11"/>
      <c r="P2711" s="43"/>
      <c r="Q2711" s="11"/>
      <c r="R2711" s="11"/>
      <c r="S2711" s="11"/>
      <c r="T2711" s="11"/>
      <c r="U2711" s="11"/>
      <c r="V2711" s="11"/>
      <c r="W2711" s="11"/>
      <c r="X2711" s="12"/>
      <c r="Y2711" s="12"/>
      <c r="Z2711" s="12"/>
      <c r="AA2711" s="44"/>
      <c r="AB2711" s="45"/>
      <c r="AC2711" s="12"/>
      <c r="AD2711" s="12"/>
      <c r="AE2711" s="12"/>
      <c r="AF2711" s="12"/>
      <c r="AG2711" s="44"/>
      <c r="AH2711" s="45"/>
      <c r="AI2711" s="12"/>
      <c r="AJ2711" s="12"/>
      <c r="AK2711" s="12"/>
      <c r="AL2711" s="12"/>
      <c r="AM2711" s="44"/>
      <c r="AN2711" s="45"/>
      <c r="AO2711" s="12"/>
      <c r="AP2711" s="12"/>
      <c r="AQ2711" s="12"/>
      <c r="AR2711" s="12"/>
      <c r="AS2711" s="44"/>
      <c r="AT2711" s="45"/>
      <c r="AU2711" s="12"/>
      <c r="AV2711" s="12"/>
      <c r="AW2711" s="12"/>
      <c r="AX2711" s="12"/>
      <c r="AY2711" s="44"/>
      <c r="AZ2711" s="45"/>
      <c r="BA2711" s="12"/>
      <c r="BB2711" s="12"/>
      <c r="BC2711" s="12"/>
      <c r="BD2711" s="12"/>
      <c r="BE2711" s="44"/>
      <c r="BF2711" s="45"/>
      <c r="BG2711" s="12"/>
      <c r="BH2711" s="12"/>
      <c r="BI2711" s="12"/>
      <c r="BJ2711" s="12"/>
      <c r="BK2711" s="44"/>
      <c r="BL2711" s="45"/>
      <c r="BM2711" s="12"/>
      <c r="BN2711" s="12"/>
      <c r="BO2711" s="12"/>
      <c r="BP2711" s="12"/>
      <c r="BQ2711" s="48"/>
      <c r="BR2711" s="49"/>
      <c r="BS2711" s="13"/>
      <c r="BT2711" s="12"/>
      <c r="BV2711" s="14"/>
      <c r="BW2711" s="50"/>
      <c r="BX2711" s="54"/>
      <c r="BY2711" s="14"/>
      <c r="BZ2711" s="14"/>
      <c r="CA2711" s="14"/>
      <c r="CB2711" s="14"/>
      <c r="CC2711" s="14"/>
      <c r="CD2711" s="14"/>
      <c r="CE2711" s="14"/>
      <c r="CF2711" s="15"/>
      <c r="CG2711" s="14"/>
      <c r="CH2711" s="14"/>
      <c r="CI2711" s="50"/>
      <c r="CJ2711" s="54"/>
      <c r="CK2711" s="14"/>
      <c r="CL2711" s="14"/>
      <c r="CM2711" s="14"/>
      <c r="CN2711" s="14"/>
      <c r="CO2711" s="14"/>
      <c r="CP2711" s="14"/>
      <c r="CQ2711" s="14"/>
      <c r="CR2711" s="14"/>
      <c r="CS2711" s="14"/>
      <c r="CT2711" s="14"/>
      <c r="CU2711" s="16"/>
      <c r="CV2711" s="14"/>
      <c r="CW2711" s="50"/>
      <c r="CX2711" s="17"/>
    </row>
    <row r="2712" spans="4:102" x14ac:dyDescent="0.25">
      <c r="D2712" s="11"/>
      <c r="E2712" s="11"/>
      <c r="F2712" s="11"/>
      <c r="G2712" s="11"/>
      <c r="H2712" s="11"/>
      <c r="I2712" s="11"/>
      <c r="J2712" s="11"/>
      <c r="K2712" s="11"/>
      <c r="L2712" s="11"/>
      <c r="M2712" s="11"/>
      <c r="N2712" s="11"/>
      <c r="O2712" s="11"/>
      <c r="P2712" s="43"/>
      <c r="Q2712" s="11"/>
      <c r="R2712" s="11"/>
      <c r="S2712" s="11"/>
      <c r="T2712" s="11"/>
      <c r="U2712" s="11"/>
      <c r="V2712" s="11"/>
      <c r="W2712" s="11"/>
      <c r="X2712" s="12"/>
      <c r="Y2712" s="12"/>
      <c r="Z2712" s="12"/>
      <c r="AA2712" s="44"/>
      <c r="AB2712" s="45"/>
      <c r="AC2712" s="12"/>
      <c r="AD2712" s="12"/>
      <c r="AE2712" s="12"/>
      <c r="AF2712" s="12"/>
      <c r="AG2712" s="44"/>
      <c r="AH2712" s="45"/>
      <c r="AI2712" s="12"/>
      <c r="AJ2712" s="12"/>
      <c r="AK2712" s="12"/>
      <c r="AL2712" s="12"/>
      <c r="AM2712" s="44"/>
      <c r="AN2712" s="45"/>
      <c r="AO2712" s="12"/>
      <c r="AP2712" s="12"/>
      <c r="AQ2712" s="12"/>
      <c r="AR2712" s="12"/>
      <c r="AS2712" s="44"/>
      <c r="AT2712" s="45"/>
      <c r="AU2712" s="12"/>
      <c r="AV2712" s="12"/>
      <c r="AW2712" s="12"/>
      <c r="AX2712" s="12"/>
      <c r="AY2712" s="44"/>
      <c r="AZ2712" s="45"/>
      <c r="BA2712" s="12"/>
      <c r="BB2712" s="12"/>
      <c r="BC2712" s="12"/>
      <c r="BD2712" s="12"/>
      <c r="BE2712" s="44"/>
      <c r="BF2712" s="45"/>
      <c r="BG2712" s="12"/>
      <c r="BH2712" s="12"/>
      <c r="BI2712" s="12"/>
      <c r="BJ2712" s="12"/>
      <c r="BK2712" s="44"/>
      <c r="BL2712" s="45"/>
      <c r="BM2712" s="12"/>
      <c r="BN2712" s="12"/>
      <c r="BO2712" s="12"/>
      <c r="BP2712" s="12"/>
      <c r="BQ2712" s="48"/>
      <c r="BR2712" s="49"/>
      <c r="BS2712" s="13"/>
      <c r="BT2712" s="12"/>
      <c r="BV2712" s="14"/>
      <c r="BW2712" s="50"/>
      <c r="BX2712" s="54"/>
      <c r="BY2712" s="14"/>
      <c r="BZ2712" s="14"/>
      <c r="CA2712" s="14"/>
      <c r="CB2712" s="14"/>
      <c r="CC2712" s="14"/>
      <c r="CD2712" s="14"/>
      <c r="CE2712" s="14"/>
      <c r="CF2712" s="15"/>
      <c r="CG2712" s="14"/>
      <c r="CH2712" s="14"/>
      <c r="CI2712" s="50"/>
      <c r="CJ2712" s="54"/>
      <c r="CK2712" s="14"/>
      <c r="CL2712" s="14"/>
      <c r="CM2712" s="14"/>
      <c r="CN2712" s="14"/>
      <c r="CO2712" s="14"/>
      <c r="CP2712" s="14"/>
      <c r="CQ2712" s="14"/>
      <c r="CR2712" s="14"/>
      <c r="CS2712" s="14"/>
      <c r="CT2712" s="14"/>
      <c r="CU2712" s="16"/>
      <c r="CV2712" s="14"/>
      <c r="CW2712" s="50"/>
      <c r="CX2712" s="17"/>
    </row>
    <row r="2713" spans="4:102" x14ac:dyDescent="0.25">
      <c r="D2713" s="11"/>
      <c r="E2713" s="11"/>
      <c r="F2713" s="11"/>
      <c r="G2713" s="11"/>
      <c r="H2713" s="11"/>
      <c r="I2713" s="11"/>
      <c r="J2713" s="11"/>
      <c r="K2713" s="11"/>
      <c r="L2713" s="11"/>
      <c r="M2713" s="11"/>
      <c r="N2713" s="11"/>
      <c r="O2713" s="11"/>
      <c r="P2713" s="43"/>
      <c r="Q2713" s="11"/>
      <c r="R2713" s="11"/>
      <c r="S2713" s="11"/>
      <c r="T2713" s="11"/>
      <c r="U2713" s="11"/>
      <c r="V2713" s="11"/>
      <c r="W2713" s="11"/>
      <c r="X2713" s="12"/>
      <c r="Y2713" s="12"/>
      <c r="Z2713" s="12"/>
      <c r="AA2713" s="44"/>
      <c r="AB2713" s="45"/>
      <c r="AC2713" s="12"/>
      <c r="AD2713" s="12"/>
      <c r="AE2713" s="12"/>
      <c r="AF2713" s="12"/>
      <c r="AG2713" s="44"/>
      <c r="AH2713" s="45"/>
      <c r="AI2713" s="12"/>
      <c r="AJ2713" s="12"/>
      <c r="AK2713" s="12"/>
      <c r="AL2713" s="12"/>
      <c r="AM2713" s="44"/>
      <c r="AN2713" s="45"/>
      <c r="AO2713" s="12"/>
      <c r="AP2713" s="12"/>
      <c r="AQ2713" s="12"/>
      <c r="AR2713" s="12"/>
      <c r="AS2713" s="44"/>
      <c r="AT2713" s="45"/>
      <c r="AU2713" s="12"/>
      <c r="AV2713" s="12"/>
      <c r="AW2713" s="12"/>
      <c r="AX2713" s="12"/>
      <c r="AY2713" s="44"/>
      <c r="AZ2713" s="45"/>
      <c r="BA2713" s="12"/>
      <c r="BB2713" s="12"/>
      <c r="BC2713" s="12"/>
      <c r="BD2713" s="12"/>
      <c r="BE2713" s="44"/>
      <c r="BF2713" s="45"/>
      <c r="BG2713" s="12"/>
      <c r="BH2713" s="12"/>
      <c r="BI2713" s="12"/>
      <c r="BJ2713" s="12"/>
      <c r="BK2713" s="44"/>
      <c r="BL2713" s="45"/>
      <c r="BM2713" s="12"/>
      <c r="BN2713" s="12"/>
      <c r="BO2713" s="12"/>
      <c r="BP2713" s="12"/>
      <c r="BQ2713" s="48"/>
      <c r="BR2713" s="49"/>
      <c r="BS2713" s="13"/>
      <c r="BT2713" s="12"/>
      <c r="BV2713" s="14"/>
      <c r="BW2713" s="50"/>
      <c r="BX2713" s="54"/>
      <c r="BY2713" s="14"/>
      <c r="BZ2713" s="14"/>
      <c r="CA2713" s="14"/>
      <c r="CB2713" s="14"/>
      <c r="CC2713" s="14"/>
      <c r="CD2713" s="14"/>
      <c r="CE2713" s="14"/>
      <c r="CF2713" s="15"/>
      <c r="CG2713" s="14"/>
      <c r="CH2713" s="14"/>
      <c r="CI2713" s="50"/>
      <c r="CJ2713" s="54"/>
      <c r="CK2713" s="14"/>
      <c r="CL2713" s="14"/>
      <c r="CM2713" s="14"/>
      <c r="CN2713" s="14"/>
      <c r="CO2713" s="14"/>
      <c r="CP2713" s="14"/>
      <c r="CQ2713" s="14"/>
      <c r="CR2713" s="14"/>
      <c r="CS2713" s="14"/>
      <c r="CT2713" s="14"/>
      <c r="CU2713" s="16"/>
      <c r="CV2713" s="14"/>
      <c r="CW2713" s="50"/>
      <c r="CX2713" s="17"/>
    </row>
    <row r="2714" spans="4:102" x14ac:dyDescent="0.25">
      <c r="D2714" s="11"/>
      <c r="E2714" s="11"/>
      <c r="F2714" s="11"/>
      <c r="G2714" s="11"/>
      <c r="H2714" s="11"/>
      <c r="I2714" s="11"/>
      <c r="J2714" s="11"/>
      <c r="K2714" s="11"/>
      <c r="L2714" s="11"/>
      <c r="M2714" s="11"/>
      <c r="N2714" s="11"/>
      <c r="O2714" s="11"/>
      <c r="P2714" s="43"/>
      <c r="Q2714" s="11"/>
      <c r="R2714" s="11"/>
      <c r="S2714" s="11"/>
      <c r="T2714" s="11"/>
      <c r="U2714" s="11"/>
      <c r="V2714" s="11"/>
      <c r="W2714" s="11"/>
      <c r="X2714" s="12"/>
      <c r="Y2714" s="12"/>
      <c r="Z2714" s="12"/>
      <c r="AA2714" s="44"/>
      <c r="AB2714" s="45"/>
      <c r="AC2714" s="12"/>
      <c r="AD2714" s="12"/>
      <c r="AE2714" s="12"/>
      <c r="AF2714" s="12"/>
      <c r="AG2714" s="44"/>
      <c r="AH2714" s="45"/>
      <c r="AI2714" s="12"/>
      <c r="AJ2714" s="12"/>
      <c r="AK2714" s="12"/>
      <c r="AL2714" s="12"/>
      <c r="AM2714" s="44"/>
      <c r="AN2714" s="45"/>
      <c r="AO2714" s="12"/>
      <c r="AP2714" s="12"/>
      <c r="AQ2714" s="12"/>
      <c r="AR2714" s="12"/>
      <c r="AS2714" s="44"/>
      <c r="AT2714" s="45"/>
      <c r="AU2714" s="12"/>
      <c r="AV2714" s="12"/>
      <c r="AW2714" s="12"/>
      <c r="AX2714" s="12"/>
      <c r="AY2714" s="44"/>
      <c r="AZ2714" s="45"/>
      <c r="BA2714" s="12"/>
      <c r="BB2714" s="12"/>
      <c r="BC2714" s="12"/>
      <c r="BD2714" s="12"/>
      <c r="BE2714" s="44"/>
      <c r="BF2714" s="45"/>
      <c r="BG2714" s="12"/>
      <c r="BH2714" s="12"/>
      <c r="BI2714" s="12"/>
      <c r="BJ2714" s="12"/>
      <c r="BK2714" s="44"/>
      <c r="BL2714" s="45"/>
      <c r="BM2714" s="12"/>
      <c r="BN2714" s="12"/>
      <c r="BO2714" s="12"/>
      <c r="BP2714" s="12"/>
      <c r="BQ2714" s="48"/>
      <c r="BR2714" s="49"/>
      <c r="BS2714" s="13"/>
      <c r="BT2714" s="12"/>
      <c r="BV2714" s="14"/>
      <c r="BW2714" s="50"/>
      <c r="BX2714" s="54"/>
      <c r="BY2714" s="14"/>
      <c r="BZ2714" s="14"/>
      <c r="CA2714" s="14"/>
      <c r="CB2714" s="14"/>
      <c r="CC2714" s="14"/>
      <c r="CD2714" s="14"/>
      <c r="CE2714" s="14"/>
      <c r="CF2714" s="15"/>
      <c r="CG2714" s="14"/>
      <c r="CH2714" s="14"/>
      <c r="CI2714" s="50"/>
      <c r="CJ2714" s="54"/>
      <c r="CK2714" s="14"/>
      <c r="CL2714" s="14"/>
      <c r="CM2714" s="14"/>
      <c r="CN2714" s="14"/>
      <c r="CO2714" s="14"/>
      <c r="CP2714" s="14"/>
      <c r="CQ2714" s="14"/>
      <c r="CR2714" s="14"/>
      <c r="CS2714" s="14"/>
      <c r="CT2714" s="14"/>
      <c r="CU2714" s="16"/>
      <c r="CV2714" s="14"/>
      <c r="CW2714" s="50"/>
      <c r="CX2714" s="17"/>
    </row>
    <row r="2715" spans="4:102" x14ac:dyDescent="0.25">
      <c r="D2715" s="11"/>
      <c r="E2715" s="11"/>
      <c r="F2715" s="11"/>
      <c r="G2715" s="11"/>
      <c r="H2715" s="11"/>
      <c r="I2715" s="11"/>
      <c r="J2715" s="11"/>
      <c r="K2715" s="11"/>
      <c r="L2715" s="11"/>
      <c r="M2715" s="11"/>
      <c r="N2715" s="11"/>
      <c r="O2715" s="11"/>
      <c r="P2715" s="43"/>
      <c r="Q2715" s="11"/>
      <c r="R2715" s="11"/>
      <c r="S2715" s="11"/>
      <c r="T2715" s="11"/>
      <c r="U2715" s="11"/>
      <c r="V2715" s="11"/>
      <c r="W2715" s="11"/>
      <c r="X2715" s="12"/>
      <c r="Y2715" s="12"/>
      <c r="Z2715" s="12"/>
      <c r="AA2715" s="44"/>
      <c r="AB2715" s="45"/>
      <c r="AC2715" s="12"/>
      <c r="AD2715" s="12"/>
      <c r="AE2715" s="12"/>
      <c r="AF2715" s="12"/>
      <c r="AG2715" s="44"/>
      <c r="AH2715" s="45"/>
      <c r="AI2715" s="12"/>
      <c r="AJ2715" s="12"/>
      <c r="AK2715" s="12"/>
      <c r="AL2715" s="12"/>
      <c r="AM2715" s="44"/>
      <c r="AN2715" s="45"/>
      <c r="AO2715" s="12"/>
      <c r="AP2715" s="12"/>
      <c r="AQ2715" s="12"/>
      <c r="AR2715" s="12"/>
      <c r="AS2715" s="44"/>
      <c r="AT2715" s="45"/>
      <c r="AU2715" s="12"/>
      <c r="AV2715" s="12"/>
      <c r="AW2715" s="12"/>
      <c r="AX2715" s="12"/>
      <c r="AY2715" s="44"/>
      <c r="AZ2715" s="45"/>
      <c r="BA2715" s="12"/>
      <c r="BB2715" s="12"/>
      <c r="BC2715" s="12"/>
      <c r="BD2715" s="12"/>
      <c r="BE2715" s="44"/>
      <c r="BF2715" s="45"/>
      <c r="BG2715" s="12"/>
      <c r="BH2715" s="12"/>
      <c r="BI2715" s="12"/>
      <c r="BJ2715" s="12"/>
      <c r="BK2715" s="44"/>
      <c r="BL2715" s="45"/>
      <c r="BM2715" s="12"/>
      <c r="BN2715" s="12"/>
      <c r="BO2715" s="12"/>
      <c r="BP2715" s="12"/>
      <c r="BQ2715" s="48"/>
      <c r="BR2715" s="49"/>
      <c r="BS2715" s="13"/>
      <c r="BT2715" s="12"/>
      <c r="BV2715" s="14"/>
      <c r="BW2715" s="50"/>
      <c r="BX2715" s="54"/>
      <c r="BY2715" s="14"/>
      <c r="BZ2715" s="14"/>
      <c r="CA2715" s="14"/>
      <c r="CB2715" s="14"/>
      <c r="CC2715" s="14"/>
      <c r="CD2715" s="14"/>
      <c r="CE2715" s="14"/>
      <c r="CF2715" s="15"/>
      <c r="CG2715" s="14"/>
      <c r="CH2715" s="14"/>
      <c r="CI2715" s="50"/>
      <c r="CJ2715" s="54"/>
      <c r="CK2715" s="14"/>
      <c r="CL2715" s="14"/>
      <c r="CM2715" s="14"/>
      <c r="CN2715" s="14"/>
      <c r="CO2715" s="14"/>
      <c r="CP2715" s="14"/>
      <c r="CQ2715" s="14"/>
      <c r="CR2715" s="14"/>
      <c r="CS2715" s="14"/>
      <c r="CT2715" s="14"/>
      <c r="CU2715" s="16"/>
      <c r="CV2715" s="14"/>
      <c r="CW2715" s="50"/>
      <c r="CX2715" s="17"/>
    </row>
    <row r="2716" spans="4:102" x14ac:dyDescent="0.25">
      <c r="D2716" s="11"/>
      <c r="E2716" s="11"/>
      <c r="F2716" s="11"/>
      <c r="G2716" s="11"/>
      <c r="H2716" s="11"/>
      <c r="I2716" s="11"/>
      <c r="J2716" s="11"/>
      <c r="K2716" s="11"/>
      <c r="L2716" s="11"/>
      <c r="M2716" s="11"/>
      <c r="N2716" s="11"/>
      <c r="O2716" s="11"/>
      <c r="P2716" s="43"/>
      <c r="Q2716" s="11"/>
      <c r="R2716" s="11"/>
      <c r="S2716" s="11"/>
      <c r="T2716" s="11"/>
      <c r="U2716" s="11"/>
      <c r="V2716" s="11"/>
      <c r="W2716" s="11"/>
      <c r="X2716" s="12"/>
      <c r="Y2716" s="12"/>
      <c r="Z2716" s="12"/>
      <c r="AA2716" s="44"/>
      <c r="AB2716" s="45"/>
      <c r="AC2716" s="12"/>
      <c r="AD2716" s="12"/>
      <c r="AE2716" s="12"/>
      <c r="AF2716" s="12"/>
      <c r="AG2716" s="44"/>
      <c r="AH2716" s="45"/>
      <c r="AI2716" s="12"/>
      <c r="AJ2716" s="12"/>
      <c r="AK2716" s="12"/>
      <c r="AL2716" s="12"/>
      <c r="AM2716" s="44"/>
      <c r="AN2716" s="45"/>
      <c r="AO2716" s="12"/>
      <c r="AP2716" s="12"/>
      <c r="AQ2716" s="12"/>
      <c r="AR2716" s="12"/>
      <c r="AS2716" s="44"/>
      <c r="AT2716" s="45"/>
      <c r="AU2716" s="12"/>
      <c r="AV2716" s="12"/>
      <c r="AW2716" s="12"/>
      <c r="AX2716" s="12"/>
      <c r="AY2716" s="44"/>
      <c r="AZ2716" s="45"/>
      <c r="BA2716" s="12"/>
      <c r="BB2716" s="12"/>
      <c r="BC2716" s="12"/>
      <c r="BD2716" s="12"/>
      <c r="BE2716" s="44"/>
      <c r="BF2716" s="45"/>
      <c r="BG2716" s="12"/>
      <c r="BH2716" s="12"/>
      <c r="BI2716" s="12"/>
      <c r="BJ2716" s="12"/>
      <c r="BK2716" s="44"/>
      <c r="BL2716" s="45"/>
      <c r="BM2716" s="12"/>
      <c r="BN2716" s="12"/>
      <c r="BO2716" s="12"/>
      <c r="BP2716" s="12"/>
      <c r="BQ2716" s="48"/>
      <c r="BR2716" s="49"/>
      <c r="BS2716" s="13"/>
      <c r="BT2716" s="12"/>
      <c r="BV2716" s="14"/>
      <c r="BW2716" s="50"/>
      <c r="BX2716" s="54"/>
      <c r="BY2716" s="14"/>
      <c r="BZ2716" s="14"/>
      <c r="CA2716" s="14"/>
      <c r="CB2716" s="14"/>
      <c r="CC2716" s="14"/>
      <c r="CD2716" s="14"/>
      <c r="CE2716" s="14"/>
      <c r="CF2716" s="15"/>
      <c r="CG2716" s="14"/>
      <c r="CH2716" s="14"/>
      <c r="CI2716" s="50"/>
      <c r="CJ2716" s="54"/>
      <c r="CK2716" s="14"/>
      <c r="CL2716" s="14"/>
      <c r="CM2716" s="14"/>
      <c r="CN2716" s="14"/>
      <c r="CO2716" s="14"/>
      <c r="CP2716" s="14"/>
      <c r="CQ2716" s="14"/>
      <c r="CR2716" s="14"/>
      <c r="CS2716" s="14"/>
      <c r="CT2716" s="14"/>
      <c r="CU2716" s="16"/>
      <c r="CV2716" s="14"/>
      <c r="CW2716" s="50"/>
      <c r="CX2716" s="17"/>
    </row>
    <row r="2717" spans="4:102" x14ac:dyDescent="0.25">
      <c r="D2717" s="11"/>
      <c r="E2717" s="11"/>
      <c r="F2717" s="11"/>
      <c r="G2717" s="11"/>
      <c r="H2717" s="11"/>
      <c r="I2717" s="11"/>
      <c r="J2717" s="11"/>
      <c r="K2717" s="11"/>
      <c r="L2717" s="11"/>
      <c r="M2717" s="11"/>
      <c r="N2717" s="11"/>
      <c r="O2717" s="11"/>
      <c r="P2717" s="43"/>
      <c r="Q2717" s="11"/>
      <c r="R2717" s="11"/>
      <c r="S2717" s="11"/>
      <c r="T2717" s="11"/>
      <c r="U2717" s="11"/>
      <c r="V2717" s="11"/>
      <c r="W2717" s="11"/>
      <c r="X2717" s="12"/>
      <c r="Y2717" s="12"/>
      <c r="Z2717" s="12"/>
      <c r="AA2717" s="44"/>
      <c r="AB2717" s="45"/>
      <c r="AC2717" s="12"/>
      <c r="AD2717" s="12"/>
      <c r="AE2717" s="12"/>
      <c r="AF2717" s="12"/>
      <c r="AG2717" s="44"/>
      <c r="AH2717" s="45"/>
      <c r="AI2717" s="12"/>
      <c r="AJ2717" s="12"/>
      <c r="AK2717" s="12"/>
      <c r="AL2717" s="12"/>
      <c r="AM2717" s="44"/>
      <c r="AN2717" s="45"/>
      <c r="AO2717" s="12"/>
      <c r="AP2717" s="12"/>
      <c r="AQ2717" s="12"/>
      <c r="AR2717" s="12"/>
      <c r="AS2717" s="44"/>
      <c r="AT2717" s="45"/>
      <c r="AU2717" s="12"/>
      <c r="AV2717" s="12"/>
      <c r="AW2717" s="12"/>
      <c r="AX2717" s="12"/>
      <c r="AY2717" s="44"/>
      <c r="AZ2717" s="45"/>
      <c r="BA2717" s="12"/>
      <c r="BB2717" s="12"/>
      <c r="BC2717" s="12"/>
      <c r="BD2717" s="12"/>
      <c r="BE2717" s="44"/>
      <c r="BF2717" s="45"/>
      <c r="BG2717" s="12"/>
      <c r="BH2717" s="12"/>
      <c r="BI2717" s="12"/>
      <c r="BJ2717" s="12"/>
      <c r="BK2717" s="44"/>
      <c r="BL2717" s="45"/>
      <c r="BM2717" s="12"/>
      <c r="BN2717" s="12"/>
      <c r="BO2717" s="12"/>
      <c r="BP2717" s="12"/>
      <c r="BQ2717" s="48"/>
      <c r="BR2717" s="49"/>
      <c r="BS2717" s="13"/>
      <c r="BT2717" s="12"/>
      <c r="BV2717" s="14"/>
      <c r="BW2717" s="50"/>
      <c r="BX2717" s="54"/>
      <c r="BY2717" s="14"/>
      <c r="BZ2717" s="14"/>
      <c r="CA2717" s="14"/>
      <c r="CB2717" s="14"/>
      <c r="CC2717" s="14"/>
      <c r="CD2717" s="14"/>
      <c r="CE2717" s="14"/>
      <c r="CF2717" s="15"/>
      <c r="CG2717" s="14"/>
      <c r="CH2717" s="14"/>
      <c r="CI2717" s="50"/>
      <c r="CJ2717" s="54"/>
      <c r="CK2717" s="14"/>
      <c r="CL2717" s="14"/>
      <c r="CM2717" s="14"/>
      <c r="CN2717" s="14"/>
      <c r="CO2717" s="14"/>
      <c r="CP2717" s="14"/>
      <c r="CQ2717" s="14"/>
      <c r="CR2717" s="14"/>
      <c r="CS2717" s="14"/>
      <c r="CT2717" s="14"/>
      <c r="CU2717" s="16"/>
      <c r="CV2717" s="14"/>
      <c r="CW2717" s="50"/>
      <c r="CX2717" s="17"/>
    </row>
    <row r="2718" spans="4:102" x14ac:dyDescent="0.25">
      <c r="D2718" s="11"/>
      <c r="E2718" s="11"/>
      <c r="F2718" s="11"/>
      <c r="G2718" s="11"/>
      <c r="H2718" s="11"/>
      <c r="I2718" s="11"/>
      <c r="J2718" s="11"/>
      <c r="K2718" s="11"/>
      <c r="L2718" s="11"/>
      <c r="M2718" s="11"/>
      <c r="N2718" s="11"/>
      <c r="O2718" s="11"/>
      <c r="P2718" s="43"/>
      <c r="Q2718" s="11"/>
      <c r="R2718" s="11"/>
      <c r="S2718" s="11"/>
      <c r="T2718" s="11"/>
      <c r="U2718" s="11"/>
      <c r="V2718" s="11"/>
      <c r="W2718" s="11"/>
      <c r="X2718" s="12"/>
      <c r="Y2718" s="12"/>
      <c r="Z2718" s="12"/>
      <c r="AA2718" s="44"/>
      <c r="AB2718" s="45"/>
      <c r="AC2718" s="12"/>
      <c r="AD2718" s="12"/>
      <c r="AE2718" s="12"/>
      <c r="AF2718" s="12"/>
      <c r="AG2718" s="44"/>
      <c r="AH2718" s="45"/>
      <c r="AI2718" s="12"/>
      <c r="AJ2718" s="12"/>
      <c r="AK2718" s="12"/>
      <c r="AL2718" s="12"/>
      <c r="AM2718" s="44"/>
      <c r="AN2718" s="45"/>
      <c r="AO2718" s="12"/>
      <c r="AP2718" s="12"/>
      <c r="AQ2718" s="12"/>
      <c r="AR2718" s="12"/>
      <c r="AS2718" s="44"/>
      <c r="AT2718" s="45"/>
      <c r="AU2718" s="12"/>
      <c r="AV2718" s="12"/>
      <c r="AW2718" s="12"/>
      <c r="AX2718" s="12"/>
      <c r="AY2718" s="44"/>
      <c r="AZ2718" s="45"/>
      <c r="BA2718" s="12"/>
      <c r="BB2718" s="12"/>
      <c r="BC2718" s="12"/>
      <c r="BD2718" s="12"/>
      <c r="BE2718" s="44"/>
      <c r="BF2718" s="45"/>
      <c r="BG2718" s="12"/>
      <c r="BH2718" s="12"/>
      <c r="BI2718" s="12"/>
      <c r="BJ2718" s="12"/>
      <c r="BK2718" s="44"/>
      <c r="BL2718" s="45"/>
      <c r="BM2718" s="12"/>
      <c r="BN2718" s="12"/>
      <c r="BO2718" s="12"/>
      <c r="BP2718" s="12"/>
      <c r="BQ2718" s="48"/>
      <c r="BR2718" s="49"/>
      <c r="BS2718" s="13"/>
      <c r="BT2718" s="12"/>
      <c r="BV2718" s="14"/>
      <c r="BW2718" s="50"/>
      <c r="BX2718" s="54"/>
      <c r="BY2718" s="14"/>
      <c r="BZ2718" s="14"/>
      <c r="CA2718" s="14"/>
      <c r="CB2718" s="14"/>
      <c r="CC2718" s="14"/>
      <c r="CD2718" s="14"/>
      <c r="CE2718" s="14"/>
      <c r="CF2718" s="15"/>
      <c r="CG2718" s="14"/>
      <c r="CH2718" s="14"/>
      <c r="CI2718" s="50"/>
      <c r="CJ2718" s="54"/>
      <c r="CK2718" s="14"/>
      <c r="CL2718" s="14"/>
      <c r="CM2718" s="14"/>
      <c r="CN2718" s="14"/>
      <c r="CO2718" s="14"/>
      <c r="CP2718" s="14"/>
      <c r="CQ2718" s="14"/>
      <c r="CR2718" s="14"/>
      <c r="CS2718" s="14"/>
      <c r="CT2718" s="14"/>
      <c r="CU2718" s="16"/>
      <c r="CV2718" s="14"/>
      <c r="CW2718" s="50"/>
      <c r="CX2718" s="17"/>
    </row>
    <row r="2719" spans="4:102" x14ac:dyDescent="0.25">
      <c r="D2719" s="11"/>
      <c r="E2719" s="11"/>
      <c r="F2719" s="11"/>
      <c r="G2719" s="11"/>
      <c r="H2719" s="11"/>
      <c r="I2719" s="11"/>
      <c r="J2719" s="11"/>
      <c r="K2719" s="11"/>
      <c r="L2719" s="11"/>
      <c r="M2719" s="11"/>
      <c r="N2719" s="11"/>
      <c r="O2719" s="11"/>
      <c r="P2719" s="43"/>
      <c r="Q2719" s="11"/>
      <c r="R2719" s="11"/>
      <c r="S2719" s="11"/>
      <c r="T2719" s="11"/>
      <c r="U2719" s="11"/>
      <c r="V2719" s="11"/>
      <c r="W2719" s="11"/>
      <c r="X2719" s="12"/>
      <c r="Y2719" s="12"/>
      <c r="Z2719" s="12"/>
      <c r="AA2719" s="44"/>
      <c r="AB2719" s="45"/>
      <c r="AC2719" s="12"/>
      <c r="AD2719" s="12"/>
      <c r="AE2719" s="12"/>
      <c r="AF2719" s="12"/>
      <c r="AG2719" s="44"/>
      <c r="AH2719" s="45"/>
      <c r="AI2719" s="12"/>
      <c r="AJ2719" s="12"/>
      <c r="AK2719" s="12"/>
      <c r="AL2719" s="12"/>
      <c r="AM2719" s="44"/>
      <c r="AN2719" s="45"/>
      <c r="AO2719" s="12"/>
      <c r="AP2719" s="12"/>
      <c r="AQ2719" s="12"/>
      <c r="AR2719" s="12"/>
      <c r="AS2719" s="44"/>
      <c r="AT2719" s="45"/>
      <c r="AU2719" s="12"/>
      <c r="AV2719" s="12"/>
      <c r="AW2719" s="12"/>
      <c r="AX2719" s="12"/>
      <c r="AY2719" s="44"/>
      <c r="AZ2719" s="45"/>
      <c r="BA2719" s="12"/>
      <c r="BB2719" s="12"/>
      <c r="BC2719" s="12"/>
      <c r="BD2719" s="12"/>
      <c r="BE2719" s="44"/>
      <c r="BF2719" s="45"/>
      <c r="BG2719" s="12"/>
      <c r="BH2719" s="12"/>
      <c r="BI2719" s="12"/>
      <c r="BJ2719" s="12"/>
      <c r="BK2719" s="44"/>
      <c r="BL2719" s="45"/>
      <c r="BM2719" s="12"/>
      <c r="BN2719" s="12"/>
      <c r="BO2719" s="12"/>
      <c r="BP2719" s="12"/>
      <c r="BQ2719" s="48"/>
      <c r="BR2719" s="49"/>
      <c r="BS2719" s="13"/>
      <c r="BT2719" s="12"/>
      <c r="BV2719" s="14"/>
      <c r="BW2719" s="50"/>
      <c r="BX2719" s="54"/>
      <c r="BY2719" s="14"/>
      <c r="BZ2719" s="14"/>
      <c r="CA2719" s="14"/>
      <c r="CB2719" s="14"/>
      <c r="CC2719" s="14"/>
      <c r="CD2719" s="14"/>
      <c r="CE2719" s="14"/>
      <c r="CF2719" s="15"/>
      <c r="CG2719" s="14"/>
      <c r="CH2719" s="14"/>
      <c r="CI2719" s="50"/>
      <c r="CJ2719" s="54"/>
      <c r="CK2719" s="14"/>
      <c r="CL2719" s="14"/>
      <c r="CM2719" s="14"/>
      <c r="CN2719" s="14"/>
      <c r="CO2719" s="14"/>
      <c r="CP2719" s="14"/>
      <c r="CQ2719" s="14"/>
      <c r="CR2719" s="14"/>
      <c r="CS2719" s="14"/>
      <c r="CT2719" s="14"/>
      <c r="CU2719" s="16"/>
      <c r="CV2719" s="14"/>
      <c r="CW2719" s="50"/>
      <c r="CX2719" s="17"/>
    </row>
    <row r="2720" spans="4:102" x14ac:dyDescent="0.25">
      <c r="D2720" s="11"/>
      <c r="E2720" s="11"/>
      <c r="F2720" s="11"/>
      <c r="G2720" s="11"/>
      <c r="H2720" s="11"/>
      <c r="I2720" s="11"/>
      <c r="J2720" s="11"/>
      <c r="K2720" s="11"/>
      <c r="L2720" s="11"/>
      <c r="M2720" s="11"/>
      <c r="N2720" s="11"/>
      <c r="O2720" s="11"/>
      <c r="P2720" s="43"/>
      <c r="Q2720" s="11"/>
      <c r="R2720" s="11"/>
      <c r="S2720" s="11"/>
      <c r="T2720" s="11"/>
      <c r="U2720" s="11"/>
      <c r="V2720" s="11"/>
      <c r="W2720" s="11"/>
      <c r="X2720" s="12"/>
      <c r="Y2720" s="12"/>
      <c r="Z2720" s="12"/>
      <c r="AA2720" s="44"/>
      <c r="AB2720" s="45"/>
      <c r="AC2720" s="12"/>
      <c r="AD2720" s="12"/>
      <c r="AE2720" s="12"/>
      <c r="AF2720" s="12"/>
      <c r="AG2720" s="44"/>
      <c r="AH2720" s="45"/>
      <c r="AI2720" s="12"/>
      <c r="AJ2720" s="12"/>
      <c r="AK2720" s="12"/>
      <c r="AL2720" s="12"/>
      <c r="AM2720" s="44"/>
      <c r="AN2720" s="45"/>
      <c r="AO2720" s="12"/>
      <c r="AP2720" s="12"/>
      <c r="AQ2720" s="12"/>
      <c r="AR2720" s="12"/>
      <c r="AS2720" s="44"/>
      <c r="AT2720" s="45"/>
      <c r="AU2720" s="12"/>
      <c r="AV2720" s="12"/>
      <c r="AW2720" s="12"/>
      <c r="AX2720" s="12"/>
      <c r="AY2720" s="44"/>
      <c r="AZ2720" s="45"/>
      <c r="BA2720" s="12"/>
      <c r="BB2720" s="12"/>
      <c r="BC2720" s="12"/>
      <c r="BD2720" s="12"/>
      <c r="BE2720" s="44"/>
      <c r="BF2720" s="45"/>
      <c r="BG2720" s="12"/>
      <c r="BH2720" s="12"/>
      <c r="BI2720" s="12"/>
      <c r="BJ2720" s="12"/>
      <c r="BK2720" s="44"/>
      <c r="BL2720" s="45"/>
      <c r="BM2720" s="12"/>
      <c r="BN2720" s="12"/>
      <c r="BO2720" s="12"/>
      <c r="BP2720" s="12"/>
      <c r="BQ2720" s="48"/>
      <c r="BR2720" s="49"/>
      <c r="BS2720" s="13"/>
      <c r="BT2720" s="12"/>
      <c r="BV2720" s="14"/>
      <c r="BW2720" s="50"/>
      <c r="BX2720" s="54"/>
      <c r="BY2720" s="14"/>
      <c r="BZ2720" s="14"/>
      <c r="CA2720" s="14"/>
      <c r="CB2720" s="14"/>
      <c r="CC2720" s="14"/>
      <c r="CD2720" s="14"/>
      <c r="CE2720" s="14"/>
      <c r="CF2720" s="15"/>
      <c r="CG2720" s="14"/>
      <c r="CH2720" s="14"/>
      <c r="CI2720" s="50"/>
      <c r="CJ2720" s="54"/>
      <c r="CK2720" s="14"/>
      <c r="CL2720" s="14"/>
      <c r="CM2720" s="14"/>
      <c r="CN2720" s="14"/>
      <c r="CO2720" s="14"/>
      <c r="CP2720" s="14"/>
      <c r="CQ2720" s="14"/>
      <c r="CR2720" s="14"/>
      <c r="CS2720" s="14"/>
      <c r="CT2720" s="14"/>
      <c r="CU2720" s="16"/>
      <c r="CV2720" s="14"/>
      <c r="CW2720" s="50"/>
      <c r="CX2720" s="17"/>
    </row>
    <row r="2721" spans="4:102" x14ac:dyDescent="0.25">
      <c r="D2721" s="11"/>
      <c r="E2721" s="11"/>
      <c r="F2721" s="11"/>
      <c r="G2721" s="11"/>
      <c r="H2721" s="11"/>
      <c r="I2721" s="11"/>
      <c r="J2721" s="11"/>
      <c r="K2721" s="11"/>
      <c r="L2721" s="11"/>
      <c r="M2721" s="11"/>
      <c r="N2721" s="11"/>
      <c r="O2721" s="11"/>
      <c r="P2721" s="43"/>
      <c r="Q2721" s="11"/>
      <c r="R2721" s="11"/>
      <c r="S2721" s="11"/>
      <c r="T2721" s="11"/>
      <c r="U2721" s="11"/>
      <c r="V2721" s="11"/>
      <c r="W2721" s="11"/>
      <c r="X2721" s="12"/>
      <c r="Y2721" s="12"/>
      <c r="Z2721" s="12"/>
      <c r="AA2721" s="44"/>
      <c r="AB2721" s="45"/>
      <c r="AC2721" s="12"/>
      <c r="AD2721" s="12"/>
      <c r="AE2721" s="12"/>
      <c r="AF2721" s="12"/>
      <c r="AG2721" s="44"/>
      <c r="AH2721" s="45"/>
      <c r="AI2721" s="12"/>
      <c r="AJ2721" s="12"/>
      <c r="AK2721" s="12"/>
      <c r="AL2721" s="12"/>
      <c r="AM2721" s="44"/>
      <c r="AN2721" s="45"/>
      <c r="AO2721" s="12"/>
      <c r="AP2721" s="12"/>
      <c r="AQ2721" s="12"/>
      <c r="AR2721" s="12"/>
      <c r="AS2721" s="44"/>
      <c r="AT2721" s="45"/>
      <c r="AU2721" s="12"/>
      <c r="AV2721" s="12"/>
      <c r="AW2721" s="12"/>
      <c r="AX2721" s="12"/>
      <c r="AY2721" s="44"/>
      <c r="AZ2721" s="45"/>
      <c r="BA2721" s="12"/>
      <c r="BB2721" s="12"/>
      <c r="BC2721" s="12"/>
      <c r="BD2721" s="12"/>
      <c r="BE2721" s="44"/>
      <c r="BF2721" s="45"/>
      <c r="BG2721" s="12"/>
      <c r="BH2721" s="12"/>
      <c r="BI2721" s="12"/>
      <c r="BJ2721" s="12"/>
      <c r="BK2721" s="44"/>
      <c r="BL2721" s="45"/>
      <c r="BM2721" s="12"/>
      <c r="BN2721" s="12"/>
      <c r="BO2721" s="12"/>
      <c r="BP2721" s="12"/>
      <c r="BQ2721" s="48"/>
      <c r="BR2721" s="49"/>
      <c r="BS2721" s="13"/>
      <c r="BT2721" s="12"/>
      <c r="BV2721" s="14"/>
      <c r="BW2721" s="50"/>
      <c r="BX2721" s="54"/>
      <c r="BY2721" s="14"/>
      <c r="BZ2721" s="14"/>
      <c r="CA2721" s="14"/>
      <c r="CB2721" s="14"/>
      <c r="CC2721" s="14"/>
      <c r="CD2721" s="14"/>
      <c r="CE2721" s="14"/>
      <c r="CF2721" s="15"/>
      <c r="CG2721" s="14"/>
      <c r="CH2721" s="14"/>
      <c r="CI2721" s="50"/>
      <c r="CJ2721" s="54"/>
      <c r="CK2721" s="14"/>
      <c r="CL2721" s="14"/>
      <c r="CM2721" s="14"/>
      <c r="CN2721" s="14"/>
      <c r="CO2721" s="14"/>
      <c r="CP2721" s="14"/>
      <c r="CQ2721" s="14"/>
      <c r="CR2721" s="14"/>
      <c r="CS2721" s="14"/>
      <c r="CT2721" s="14"/>
      <c r="CU2721" s="16"/>
      <c r="CV2721" s="14"/>
      <c r="CW2721" s="50"/>
      <c r="CX2721" s="17"/>
    </row>
    <row r="2722" spans="4:102" x14ac:dyDescent="0.25">
      <c r="D2722" s="11"/>
      <c r="E2722" s="11"/>
      <c r="F2722" s="11"/>
      <c r="G2722" s="11"/>
      <c r="H2722" s="11"/>
      <c r="I2722" s="11"/>
      <c r="J2722" s="11"/>
      <c r="K2722" s="11"/>
      <c r="L2722" s="11"/>
      <c r="M2722" s="11"/>
      <c r="N2722" s="11"/>
      <c r="O2722" s="11"/>
      <c r="P2722" s="43"/>
      <c r="Q2722" s="11"/>
      <c r="R2722" s="11"/>
      <c r="S2722" s="11"/>
      <c r="T2722" s="11"/>
      <c r="U2722" s="11"/>
      <c r="V2722" s="11"/>
      <c r="W2722" s="11"/>
      <c r="X2722" s="12"/>
      <c r="Y2722" s="12"/>
      <c r="Z2722" s="12"/>
      <c r="AA2722" s="44"/>
      <c r="AB2722" s="45"/>
      <c r="AC2722" s="12"/>
      <c r="AD2722" s="12"/>
      <c r="AE2722" s="12"/>
      <c r="AF2722" s="12"/>
      <c r="AG2722" s="44"/>
      <c r="AH2722" s="45"/>
      <c r="AI2722" s="12"/>
      <c r="AJ2722" s="12"/>
      <c r="AK2722" s="12"/>
      <c r="AL2722" s="12"/>
      <c r="AM2722" s="44"/>
      <c r="AN2722" s="45"/>
      <c r="AO2722" s="12"/>
      <c r="AP2722" s="12"/>
      <c r="AQ2722" s="12"/>
      <c r="AR2722" s="12"/>
      <c r="AS2722" s="44"/>
      <c r="AT2722" s="45"/>
      <c r="AU2722" s="12"/>
      <c r="AV2722" s="12"/>
      <c r="AW2722" s="12"/>
      <c r="AX2722" s="12"/>
      <c r="AY2722" s="44"/>
      <c r="AZ2722" s="45"/>
      <c r="BA2722" s="12"/>
      <c r="BB2722" s="12"/>
      <c r="BC2722" s="12"/>
      <c r="BD2722" s="12"/>
      <c r="BE2722" s="44"/>
      <c r="BF2722" s="45"/>
      <c r="BG2722" s="12"/>
      <c r="BH2722" s="12"/>
      <c r="BI2722" s="12"/>
      <c r="BJ2722" s="12"/>
      <c r="BK2722" s="44"/>
      <c r="BL2722" s="45"/>
      <c r="BM2722" s="12"/>
      <c r="BN2722" s="12"/>
      <c r="BO2722" s="12"/>
      <c r="BP2722" s="12"/>
      <c r="BQ2722" s="48"/>
      <c r="BR2722" s="49"/>
      <c r="BS2722" s="13"/>
      <c r="BT2722" s="12"/>
      <c r="BV2722" s="14"/>
      <c r="BW2722" s="50"/>
      <c r="BX2722" s="54"/>
      <c r="BY2722" s="14"/>
      <c r="BZ2722" s="14"/>
      <c r="CA2722" s="14"/>
      <c r="CB2722" s="14"/>
      <c r="CC2722" s="14"/>
      <c r="CD2722" s="14"/>
      <c r="CE2722" s="14"/>
      <c r="CF2722" s="15"/>
      <c r="CG2722" s="14"/>
      <c r="CH2722" s="14"/>
      <c r="CI2722" s="50"/>
      <c r="CJ2722" s="54"/>
      <c r="CK2722" s="14"/>
      <c r="CL2722" s="14"/>
      <c r="CM2722" s="14"/>
      <c r="CN2722" s="14"/>
      <c r="CO2722" s="14"/>
      <c r="CP2722" s="14"/>
      <c r="CQ2722" s="14"/>
      <c r="CR2722" s="14"/>
      <c r="CS2722" s="14"/>
      <c r="CT2722" s="14"/>
      <c r="CU2722" s="16"/>
      <c r="CV2722" s="14"/>
      <c r="CW2722" s="50"/>
      <c r="CX2722" s="17"/>
    </row>
    <row r="2723" spans="4:102" x14ac:dyDescent="0.25">
      <c r="D2723" s="11"/>
      <c r="E2723" s="11"/>
      <c r="F2723" s="11"/>
      <c r="G2723" s="11"/>
      <c r="H2723" s="11"/>
      <c r="I2723" s="11"/>
      <c r="J2723" s="11"/>
      <c r="K2723" s="11"/>
      <c r="L2723" s="11"/>
      <c r="M2723" s="11"/>
      <c r="N2723" s="11"/>
      <c r="O2723" s="11"/>
      <c r="P2723" s="43"/>
      <c r="Q2723" s="11"/>
      <c r="R2723" s="11"/>
      <c r="S2723" s="11"/>
      <c r="T2723" s="11"/>
      <c r="U2723" s="11"/>
      <c r="V2723" s="11"/>
      <c r="W2723" s="11"/>
      <c r="X2723" s="12"/>
      <c r="Y2723" s="12"/>
      <c r="Z2723" s="12"/>
      <c r="AA2723" s="44"/>
      <c r="AB2723" s="45"/>
      <c r="AC2723" s="12"/>
      <c r="AD2723" s="12"/>
      <c r="AE2723" s="12"/>
      <c r="AF2723" s="12"/>
      <c r="AG2723" s="44"/>
      <c r="AH2723" s="45"/>
      <c r="AI2723" s="12"/>
      <c r="AJ2723" s="12"/>
      <c r="AK2723" s="12"/>
      <c r="AL2723" s="12"/>
      <c r="AM2723" s="44"/>
      <c r="AN2723" s="45"/>
      <c r="AO2723" s="12"/>
      <c r="AP2723" s="12"/>
      <c r="AQ2723" s="12"/>
      <c r="AR2723" s="12"/>
      <c r="AS2723" s="44"/>
      <c r="AT2723" s="45"/>
      <c r="AU2723" s="12"/>
      <c r="AV2723" s="12"/>
      <c r="AW2723" s="12"/>
      <c r="AX2723" s="12"/>
      <c r="AY2723" s="44"/>
      <c r="AZ2723" s="45"/>
      <c r="BA2723" s="12"/>
      <c r="BB2723" s="12"/>
      <c r="BC2723" s="12"/>
      <c r="BD2723" s="12"/>
      <c r="BE2723" s="44"/>
      <c r="BF2723" s="45"/>
      <c r="BG2723" s="12"/>
      <c r="BH2723" s="12"/>
      <c r="BI2723" s="12"/>
      <c r="BJ2723" s="12"/>
      <c r="BK2723" s="44"/>
      <c r="BL2723" s="45"/>
      <c r="BM2723" s="12"/>
      <c r="BN2723" s="12"/>
      <c r="BO2723" s="12"/>
      <c r="BP2723" s="12"/>
      <c r="BQ2723" s="48"/>
      <c r="BR2723" s="49"/>
      <c r="BS2723" s="13"/>
      <c r="BT2723" s="12"/>
      <c r="BV2723" s="14"/>
      <c r="BW2723" s="50"/>
      <c r="BX2723" s="54"/>
      <c r="BY2723" s="14"/>
      <c r="BZ2723" s="14"/>
      <c r="CA2723" s="14"/>
      <c r="CB2723" s="14"/>
      <c r="CC2723" s="14"/>
      <c r="CD2723" s="14"/>
      <c r="CE2723" s="14"/>
      <c r="CF2723" s="15"/>
      <c r="CG2723" s="14"/>
      <c r="CH2723" s="14"/>
      <c r="CI2723" s="50"/>
      <c r="CJ2723" s="54"/>
      <c r="CK2723" s="14"/>
      <c r="CL2723" s="14"/>
      <c r="CM2723" s="14"/>
      <c r="CN2723" s="14"/>
      <c r="CO2723" s="14"/>
      <c r="CP2723" s="14"/>
      <c r="CQ2723" s="14"/>
      <c r="CR2723" s="14"/>
      <c r="CS2723" s="14"/>
      <c r="CT2723" s="14"/>
      <c r="CU2723" s="16"/>
      <c r="CV2723" s="14"/>
      <c r="CW2723" s="50"/>
      <c r="CX2723" s="17"/>
    </row>
    <row r="2724" spans="4:102" x14ac:dyDescent="0.25">
      <c r="D2724" s="11"/>
      <c r="E2724" s="11"/>
      <c r="F2724" s="11"/>
      <c r="G2724" s="11"/>
      <c r="H2724" s="11"/>
      <c r="I2724" s="11"/>
      <c r="J2724" s="11"/>
      <c r="K2724" s="11"/>
      <c r="L2724" s="11"/>
      <c r="M2724" s="11"/>
      <c r="N2724" s="11"/>
      <c r="O2724" s="11"/>
      <c r="P2724" s="43"/>
      <c r="Q2724" s="11"/>
      <c r="R2724" s="11"/>
      <c r="S2724" s="11"/>
      <c r="T2724" s="11"/>
      <c r="U2724" s="11"/>
      <c r="V2724" s="11"/>
      <c r="W2724" s="11"/>
      <c r="X2724" s="12"/>
      <c r="Y2724" s="12"/>
      <c r="Z2724" s="12"/>
      <c r="AA2724" s="44"/>
      <c r="AB2724" s="45"/>
      <c r="AC2724" s="12"/>
      <c r="AD2724" s="12"/>
      <c r="AE2724" s="12"/>
      <c r="AF2724" s="12"/>
      <c r="AG2724" s="44"/>
      <c r="AH2724" s="45"/>
      <c r="AI2724" s="12"/>
      <c r="AJ2724" s="12"/>
      <c r="AK2724" s="12"/>
      <c r="AL2724" s="12"/>
      <c r="AM2724" s="44"/>
      <c r="AN2724" s="45"/>
      <c r="AO2724" s="12"/>
      <c r="AP2724" s="12"/>
      <c r="AQ2724" s="12"/>
      <c r="AR2724" s="12"/>
      <c r="AS2724" s="44"/>
      <c r="AT2724" s="45"/>
      <c r="AU2724" s="12"/>
      <c r="AV2724" s="12"/>
      <c r="AW2724" s="12"/>
      <c r="AX2724" s="12"/>
      <c r="AY2724" s="44"/>
      <c r="AZ2724" s="45"/>
      <c r="BA2724" s="12"/>
      <c r="BB2724" s="12"/>
      <c r="BC2724" s="12"/>
      <c r="BD2724" s="12"/>
      <c r="BE2724" s="44"/>
      <c r="BF2724" s="45"/>
      <c r="BG2724" s="12"/>
      <c r="BH2724" s="12"/>
      <c r="BI2724" s="12"/>
      <c r="BJ2724" s="12"/>
      <c r="BK2724" s="44"/>
      <c r="BL2724" s="45"/>
      <c r="BM2724" s="12"/>
      <c r="BN2724" s="12"/>
      <c r="BO2724" s="12"/>
      <c r="BP2724" s="12"/>
      <c r="BQ2724" s="48"/>
      <c r="BR2724" s="49"/>
      <c r="BS2724" s="13"/>
      <c r="BT2724" s="12"/>
      <c r="BV2724" s="14"/>
      <c r="BW2724" s="50"/>
      <c r="BX2724" s="54"/>
      <c r="BY2724" s="14"/>
      <c r="BZ2724" s="14"/>
      <c r="CA2724" s="14"/>
      <c r="CB2724" s="14"/>
      <c r="CC2724" s="14"/>
      <c r="CD2724" s="14"/>
      <c r="CE2724" s="14"/>
      <c r="CF2724" s="15"/>
      <c r="CG2724" s="14"/>
      <c r="CH2724" s="14"/>
      <c r="CI2724" s="50"/>
      <c r="CJ2724" s="54"/>
      <c r="CK2724" s="14"/>
      <c r="CL2724" s="14"/>
      <c r="CM2724" s="14"/>
      <c r="CN2724" s="14"/>
      <c r="CO2724" s="14"/>
      <c r="CP2724" s="14"/>
      <c r="CQ2724" s="14"/>
      <c r="CR2724" s="14"/>
      <c r="CS2724" s="14"/>
      <c r="CT2724" s="14"/>
      <c r="CU2724" s="16"/>
      <c r="CV2724" s="14"/>
      <c r="CW2724" s="50"/>
      <c r="CX2724" s="17"/>
    </row>
    <row r="2725" spans="4:102" x14ac:dyDescent="0.25">
      <c r="D2725" s="11"/>
      <c r="E2725" s="11"/>
      <c r="F2725" s="11"/>
      <c r="G2725" s="11"/>
      <c r="H2725" s="11"/>
      <c r="I2725" s="11"/>
      <c r="J2725" s="11"/>
      <c r="K2725" s="11"/>
      <c r="L2725" s="11"/>
      <c r="M2725" s="11"/>
      <c r="N2725" s="11"/>
      <c r="O2725" s="11"/>
      <c r="P2725" s="43"/>
      <c r="Q2725" s="11"/>
      <c r="R2725" s="11"/>
      <c r="S2725" s="11"/>
      <c r="T2725" s="11"/>
      <c r="U2725" s="11"/>
      <c r="V2725" s="11"/>
      <c r="W2725" s="11"/>
      <c r="X2725" s="12"/>
      <c r="Y2725" s="12"/>
      <c r="Z2725" s="12"/>
      <c r="AA2725" s="44"/>
      <c r="AB2725" s="45"/>
      <c r="AC2725" s="12"/>
      <c r="AD2725" s="12"/>
      <c r="AE2725" s="12"/>
      <c r="AF2725" s="12"/>
      <c r="AG2725" s="44"/>
      <c r="AH2725" s="45"/>
      <c r="AI2725" s="12"/>
      <c r="AJ2725" s="12"/>
      <c r="AK2725" s="12"/>
      <c r="AL2725" s="12"/>
      <c r="AM2725" s="44"/>
      <c r="AN2725" s="45"/>
      <c r="AO2725" s="12"/>
      <c r="AP2725" s="12"/>
      <c r="AQ2725" s="12"/>
      <c r="AR2725" s="12"/>
      <c r="AS2725" s="44"/>
      <c r="AT2725" s="45"/>
      <c r="AU2725" s="12"/>
      <c r="AV2725" s="12"/>
      <c r="AW2725" s="12"/>
      <c r="AX2725" s="12"/>
      <c r="AY2725" s="44"/>
      <c r="AZ2725" s="45"/>
      <c r="BA2725" s="12"/>
      <c r="BB2725" s="12"/>
      <c r="BC2725" s="12"/>
      <c r="BD2725" s="12"/>
      <c r="BE2725" s="44"/>
      <c r="BF2725" s="45"/>
      <c r="BG2725" s="12"/>
      <c r="BH2725" s="12"/>
      <c r="BI2725" s="12"/>
      <c r="BJ2725" s="12"/>
      <c r="BK2725" s="44"/>
      <c r="BL2725" s="45"/>
      <c r="BM2725" s="12"/>
      <c r="BN2725" s="12"/>
      <c r="BO2725" s="12"/>
      <c r="BP2725" s="12"/>
      <c r="BQ2725" s="48"/>
      <c r="BR2725" s="49"/>
      <c r="BS2725" s="13"/>
      <c r="BT2725" s="12"/>
      <c r="BV2725" s="14"/>
      <c r="BW2725" s="50"/>
      <c r="BX2725" s="54"/>
      <c r="BY2725" s="14"/>
      <c r="BZ2725" s="14"/>
      <c r="CA2725" s="14"/>
      <c r="CB2725" s="14"/>
      <c r="CC2725" s="14"/>
      <c r="CD2725" s="14"/>
      <c r="CE2725" s="14"/>
      <c r="CF2725" s="15"/>
      <c r="CG2725" s="14"/>
      <c r="CH2725" s="14"/>
      <c r="CI2725" s="50"/>
      <c r="CJ2725" s="54"/>
      <c r="CK2725" s="14"/>
      <c r="CL2725" s="14"/>
      <c r="CM2725" s="14"/>
      <c r="CN2725" s="14"/>
      <c r="CO2725" s="14"/>
      <c r="CP2725" s="14"/>
      <c r="CQ2725" s="14"/>
      <c r="CR2725" s="14"/>
      <c r="CS2725" s="14"/>
      <c r="CT2725" s="14"/>
      <c r="CU2725" s="16"/>
      <c r="CV2725" s="14"/>
      <c r="CW2725" s="50"/>
      <c r="CX2725" s="17"/>
    </row>
    <row r="2726" spans="4:102" x14ac:dyDescent="0.25">
      <c r="D2726" s="11"/>
      <c r="E2726" s="11"/>
      <c r="F2726" s="11"/>
      <c r="G2726" s="11"/>
      <c r="H2726" s="11"/>
      <c r="I2726" s="11"/>
      <c r="J2726" s="11"/>
      <c r="K2726" s="11"/>
      <c r="L2726" s="11"/>
      <c r="M2726" s="11"/>
      <c r="N2726" s="11"/>
      <c r="O2726" s="11"/>
      <c r="P2726" s="43"/>
      <c r="Q2726" s="11"/>
      <c r="R2726" s="11"/>
      <c r="S2726" s="11"/>
      <c r="T2726" s="11"/>
      <c r="U2726" s="11"/>
      <c r="V2726" s="11"/>
      <c r="W2726" s="11"/>
      <c r="X2726" s="12"/>
      <c r="Y2726" s="12"/>
      <c r="Z2726" s="12"/>
      <c r="AA2726" s="44"/>
      <c r="AB2726" s="45"/>
      <c r="AC2726" s="12"/>
      <c r="AD2726" s="12"/>
      <c r="AE2726" s="12"/>
      <c r="AF2726" s="12"/>
      <c r="AG2726" s="44"/>
      <c r="AH2726" s="45"/>
      <c r="AI2726" s="12"/>
      <c r="AJ2726" s="12"/>
      <c r="AK2726" s="12"/>
      <c r="AL2726" s="12"/>
      <c r="AM2726" s="44"/>
      <c r="AN2726" s="45"/>
      <c r="AO2726" s="12"/>
      <c r="AP2726" s="12"/>
      <c r="AQ2726" s="12"/>
      <c r="AR2726" s="12"/>
      <c r="AS2726" s="44"/>
      <c r="AT2726" s="45"/>
      <c r="AU2726" s="12"/>
      <c r="AV2726" s="12"/>
      <c r="AW2726" s="12"/>
      <c r="AX2726" s="12"/>
      <c r="AY2726" s="44"/>
      <c r="AZ2726" s="45"/>
      <c r="BA2726" s="12"/>
      <c r="BB2726" s="12"/>
      <c r="BC2726" s="12"/>
      <c r="BD2726" s="12"/>
      <c r="BE2726" s="44"/>
      <c r="BF2726" s="45"/>
      <c r="BG2726" s="12"/>
      <c r="BH2726" s="12"/>
      <c r="BI2726" s="12"/>
      <c r="BJ2726" s="12"/>
      <c r="BK2726" s="44"/>
      <c r="BL2726" s="45"/>
      <c r="BM2726" s="12"/>
      <c r="BN2726" s="12"/>
      <c r="BO2726" s="12"/>
      <c r="BP2726" s="12"/>
      <c r="BQ2726" s="48"/>
      <c r="BR2726" s="49"/>
      <c r="BS2726" s="13"/>
      <c r="BT2726" s="12"/>
      <c r="BV2726" s="14"/>
      <c r="BW2726" s="50"/>
      <c r="BX2726" s="54"/>
      <c r="BY2726" s="14"/>
      <c r="BZ2726" s="14"/>
      <c r="CA2726" s="14"/>
      <c r="CB2726" s="14"/>
      <c r="CC2726" s="14"/>
      <c r="CD2726" s="14"/>
      <c r="CE2726" s="14"/>
      <c r="CF2726" s="15"/>
      <c r="CG2726" s="14"/>
      <c r="CH2726" s="14"/>
      <c r="CI2726" s="50"/>
      <c r="CJ2726" s="54"/>
      <c r="CK2726" s="14"/>
      <c r="CL2726" s="14"/>
      <c r="CM2726" s="14"/>
      <c r="CN2726" s="14"/>
      <c r="CO2726" s="14"/>
      <c r="CP2726" s="14"/>
      <c r="CQ2726" s="14"/>
      <c r="CR2726" s="14"/>
      <c r="CS2726" s="14"/>
      <c r="CT2726" s="14"/>
      <c r="CU2726" s="16"/>
      <c r="CV2726" s="14"/>
      <c r="CW2726" s="50"/>
      <c r="CX2726" s="17"/>
    </row>
    <row r="2727" spans="4:102" x14ac:dyDescent="0.25">
      <c r="D2727" s="11"/>
      <c r="E2727" s="11"/>
      <c r="F2727" s="11"/>
      <c r="G2727" s="11"/>
      <c r="H2727" s="11"/>
      <c r="I2727" s="11"/>
      <c r="J2727" s="11"/>
      <c r="K2727" s="11"/>
      <c r="L2727" s="11"/>
      <c r="M2727" s="11"/>
      <c r="N2727" s="11"/>
      <c r="O2727" s="11"/>
      <c r="P2727" s="43"/>
      <c r="Q2727" s="11"/>
      <c r="R2727" s="11"/>
      <c r="S2727" s="11"/>
      <c r="T2727" s="11"/>
      <c r="U2727" s="11"/>
      <c r="V2727" s="11"/>
      <c r="W2727" s="11"/>
      <c r="X2727" s="12"/>
      <c r="Y2727" s="12"/>
      <c r="Z2727" s="12"/>
      <c r="AA2727" s="44"/>
      <c r="AB2727" s="45"/>
      <c r="AC2727" s="12"/>
      <c r="AD2727" s="12"/>
      <c r="AE2727" s="12"/>
      <c r="AF2727" s="12"/>
      <c r="AG2727" s="44"/>
      <c r="AH2727" s="45"/>
      <c r="AI2727" s="12"/>
      <c r="AJ2727" s="12"/>
      <c r="AK2727" s="12"/>
      <c r="AL2727" s="12"/>
      <c r="AM2727" s="44"/>
      <c r="AN2727" s="45"/>
      <c r="AO2727" s="12"/>
      <c r="AP2727" s="12"/>
      <c r="AQ2727" s="12"/>
      <c r="AR2727" s="12"/>
      <c r="AS2727" s="44"/>
      <c r="AT2727" s="45"/>
      <c r="AU2727" s="12"/>
      <c r="AV2727" s="12"/>
      <c r="AW2727" s="12"/>
      <c r="AX2727" s="12"/>
      <c r="AY2727" s="44"/>
      <c r="AZ2727" s="45"/>
      <c r="BA2727" s="12"/>
      <c r="BB2727" s="12"/>
      <c r="BC2727" s="12"/>
      <c r="BD2727" s="12"/>
      <c r="BE2727" s="44"/>
      <c r="BF2727" s="45"/>
      <c r="BG2727" s="12"/>
      <c r="BH2727" s="12"/>
      <c r="BI2727" s="12"/>
      <c r="BJ2727" s="12"/>
      <c r="BK2727" s="44"/>
      <c r="BL2727" s="45"/>
      <c r="BM2727" s="12"/>
      <c r="BN2727" s="12"/>
      <c r="BO2727" s="12"/>
      <c r="BP2727" s="12"/>
      <c r="BQ2727" s="48"/>
      <c r="BR2727" s="49"/>
      <c r="BS2727" s="13"/>
      <c r="BT2727" s="12"/>
      <c r="BV2727" s="14"/>
      <c r="BW2727" s="50"/>
      <c r="BX2727" s="54"/>
      <c r="BY2727" s="14"/>
      <c r="BZ2727" s="14"/>
      <c r="CA2727" s="14"/>
      <c r="CB2727" s="14"/>
      <c r="CC2727" s="14"/>
      <c r="CD2727" s="14"/>
      <c r="CE2727" s="14"/>
      <c r="CF2727" s="15"/>
      <c r="CG2727" s="14"/>
      <c r="CH2727" s="14"/>
      <c r="CI2727" s="50"/>
      <c r="CJ2727" s="54"/>
      <c r="CK2727" s="14"/>
      <c r="CL2727" s="14"/>
      <c r="CM2727" s="14"/>
      <c r="CN2727" s="14"/>
      <c r="CO2727" s="14"/>
      <c r="CP2727" s="14"/>
      <c r="CQ2727" s="14"/>
      <c r="CR2727" s="14"/>
      <c r="CS2727" s="14"/>
      <c r="CT2727" s="14"/>
      <c r="CU2727" s="16"/>
      <c r="CV2727" s="14"/>
      <c r="CW2727" s="50"/>
      <c r="CX2727" s="17"/>
    </row>
    <row r="2728" spans="4:102" x14ac:dyDescent="0.25">
      <c r="D2728" s="11"/>
      <c r="E2728" s="11"/>
      <c r="F2728" s="11"/>
      <c r="G2728" s="11"/>
      <c r="H2728" s="11"/>
      <c r="I2728" s="11"/>
      <c r="J2728" s="11"/>
      <c r="K2728" s="11"/>
      <c r="L2728" s="11"/>
      <c r="M2728" s="11"/>
      <c r="N2728" s="11"/>
      <c r="O2728" s="11"/>
      <c r="P2728" s="43"/>
      <c r="Q2728" s="11"/>
      <c r="R2728" s="11"/>
      <c r="S2728" s="11"/>
      <c r="T2728" s="11"/>
      <c r="U2728" s="11"/>
      <c r="V2728" s="11"/>
      <c r="W2728" s="11"/>
      <c r="X2728" s="12"/>
      <c r="Y2728" s="12"/>
      <c r="Z2728" s="12"/>
      <c r="AA2728" s="44"/>
      <c r="AB2728" s="45"/>
      <c r="AC2728" s="12"/>
      <c r="AD2728" s="12"/>
      <c r="AE2728" s="12"/>
      <c r="AF2728" s="12"/>
      <c r="AG2728" s="44"/>
      <c r="AH2728" s="45"/>
      <c r="AI2728" s="12"/>
      <c r="AJ2728" s="12"/>
      <c r="AK2728" s="12"/>
      <c r="AL2728" s="12"/>
      <c r="AM2728" s="44"/>
      <c r="AN2728" s="45"/>
      <c r="AO2728" s="12"/>
      <c r="AP2728" s="12"/>
      <c r="AQ2728" s="12"/>
      <c r="AR2728" s="12"/>
      <c r="AS2728" s="44"/>
      <c r="AT2728" s="45"/>
      <c r="AU2728" s="12"/>
      <c r="AV2728" s="12"/>
      <c r="AW2728" s="12"/>
      <c r="AX2728" s="12"/>
      <c r="AY2728" s="44"/>
      <c r="AZ2728" s="45"/>
      <c r="BA2728" s="12"/>
      <c r="BB2728" s="12"/>
      <c r="BC2728" s="12"/>
      <c r="BD2728" s="12"/>
      <c r="BE2728" s="44"/>
      <c r="BF2728" s="45"/>
      <c r="BG2728" s="12"/>
      <c r="BH2728" s="12"/>
      <c r="BI2728" s="12"/>
      <c r="BJ2728" s="12"/>
      <c r="BK2728" s="44"/>
      <c r="BL2728" s="45"/>
      <c r="BM2728" s="12"/>
      <c r="BN2728" s="12"/>
      <c r="BO2728" s="12"/>
      <c r="BP2728" s="12"/>
      <c r="BQ2728" s="48"/>
      <c r="BR2728" s="49"/>
      <c r="BS2728" s="13"/>
      <c r="BT2728" s="12"/>
      <c r="BV2728" s="14"/>
      <c r="BW2728" s="50"/>
      <c r="BX2728" s="54"/>
      <c r="BY2728" s="14"/>
      <c r="BZ2728" s="14"/>
      <c r="CA2728" s="14"/>
      <c r="CB2728" s="14"/>
      <c r="CC2728" s="14"/>
      <c r="CD2728" s="14"/>
      <c r="CE2728" s="14"/>
      <c r="CF2728" s="15"/>
      <c r="CG2728" s="14"/>
      <c r="CH2728" s="14"/>
      <c r="CI2728" s="50"/>
      <c r="CJ2728" s="54"/>
      <c r="CK2728" s="14"/>
      <c r="CL2728" s="14"/>
      <c r="CM2728" s="14"/>
      <c r="CN2728" s="14"/>
      <c r="CO2728" s="14"/>
      <c r="CP2728" s="14"/>
      <c r="CQ2728" s="14"/>
      <c r="CR2728" s="14"/>
      <c r="CS2728" s="14"/>
      <c r="CT2728" s="14"/>
      <c r="CU2728" s="16"/>
      <c r="CV2728" s="14"/>
      <c r="CW2728" s="50"/>
      <c r="CX2728" s="17"/>
    </row>
    <row r="2729" spans="4:102" x14ac:dyDescent="0.25">
      <c r="D2729" s="11"/>
      <c r="E2729" s="11"/>
      <c r="F2729" s="11"/>
      <c r="G2729" s="11"/>
      <c r="H2729" s="11"/>
      <c r="I2729" s="11"/>
      <c r="J2729" s="11"/>
      <c r="K2729" s="11"/>
      <c r="L2729" s="11"/>
      <c r="M2729" s="11"/>
      <c r="N2729" s="11"/>
      <c r="O2729" s="11"/>
      <c r="P2729" s="43"/>
      <c r="Q2729" s="11"/>
      <c r="R2729" s="11"/>
      <c r="S2729" s="11"/>
      <c r="T2729" s="11"/>
      <c r="U2729" s="11"/>
      <c r="V2729" s="11"/>
      <c r="W2729" s="11"/>
      <c r="X2729" s="12"/>
      <c r="Y2729" s="12"/>
      <c r="Z2729" s="12"/>
      <c r="AA2729" s="44"/>
      <c r="AB2729" s="45"/>
      <c r="AC2729" s="12"/>
      <c r="AD2729" s="12"/>
      <c r="AE2729" s="12"/>
      <c r="AF2729" s="12"/>
      <c r="AG2729" s="44"/>
      <c r="AH2729" s="45"/>
      <c r="AI2729" s="12"/>
      <c r="AJ2729" s="12"/>
      <c r="AK2729" s="12"/>
      <c r="AL2729" s="12"/>
      <c r="AM2729" s="44"/>
      <c r="AN2729" s="45"/>
      <c r="AO2729" s="12"/>
      <c r="AP2729" s="12"/>
      <c r="AQ2729" s="12"/>
      <c r="AR2729" s="12"/>
      <c r="AS2729" s="44"/>
      <c r="AT2729" s="45"/>
      <c r="AU2729" s="12"/>
      <c r="AV2729" s="12"/>
      <c r="AW2729" s="12"/>
      <c r="AX2729" s="12"/>
      <c r="AY2729" s="44"/>
      <c r="AZ2729" s="45"/>
      <c r="BA2729" s="12"/>
      <c r="BB2729" s="12"/>
      <c r="BC2729" s="12"/>
      <c r="BD2729" s="12"/>
      <c r="BE2729" s="44"/>
      <c r="BF2729" s="45"/>
      <c r="BG2729" s="12"/>
      <c r="BH2729" s="12"/>
      <c r="BI2729" s="12"/>
      <c r="BJ2729" s="12"/>
      <c r="BK2729" s="44"/>
      <c r="BL2729" s="45"/>
      <c r="BM2729" s="12"/>
      <c r="BN2729" s="12"/>
      <c r="BO2729" s="12"/>
      <c r="BP2729" s="12"/>
      <c r="BQ2729" s="48"/>
      <c r="BR2729" s="49"/>
      <c r="BS2729" s="13"/>
      <c r="BT2729" s="12"/>
      <c r="BV2729" s="14"/>
      <c r="BW2729" s="50"/>
      <c r="BX2729" s="54"/>
      <c r="BY2729" s="14"/>
      <c r="BZ2729" s="14"/>
      <c r="CA2729" s="14"/>
      <c r="CB2729" s="14"/>
      <c r="CC2729" s="14"/>
      <c r="CD2729" s="14"/>
      <c r="CE2729" s="14"/>
      <c r="CF2729" s="15"/>
      <c r="CG2729" s="14"/>
      <c r="CH2729" s="14"/>
      <c r="CI2729" s="50"/>
      <c r="CJ2729" s="54"/>
      <c r="CK2729" s="14"/>
      <c r="CL2729" s="14"/>
      <c r="CM2729" s="14"/>
      <c r="CN2729" s="14"/>
      <c r="CO2729" s="14"/>
      <c r="CP2729" s="14"/>
      <c r="CQ2729" s="14"/>
      <c r="CR2729" s="14"/>
      <c r="CS2729" s="14"/>
      <c r="CT2729" s="14"/>
      <c r="CU2729" s="16"/>
      <c r="CV2729" s="14"/>
      <c r="CW2729" s="50"/>
      <c r="CX2729" s="17"/>
    </row>
    <row r="2730" spans="4:102" x14ac:dyDescent="0.25">
      <c r="D2730" s="11"/>
      <c r="E2730" s="11"/>
      <c r="F2730" s="11"/>
      <c r="G2730" s="11"/>
      <c r="H2730" s="11"/>
      <c r="I2730" s="11"/>
      <c r="J2730" s="11"/>
      <c r="K2730" s="11"/>
      <c r="L2730" s="11"/>
      <c r="M2730" s="11"/>
      <c r="N2730" s="11"/>
      <c r="O2730" s="11"/>
      <c r="P2730" s="43"/>
      <c r="Q2730" s="11"/>
      <c r="R2730" s="11"/>
      <c r="S2730" s="11"/>
      <c r="T2730" s="11"/>
      <c r="U2730" s="11"/>
      <c r="V2730" s="11"/>
      <c r="W2730" s="11"/>
      <c r="X2730" s="12"/>
      <c r="Y2730" s="12"/>
      <c r="Z2730" s="12"/>
      <c r="AA2730" s="44"/>
      <c r="AB2730" s="45"/>
      <c r="AC2730" s="12"/>
      <c r="AD2730" s="12"/>
      <c r="AE2730" s="12"/>
      <c r="AF2730" s="12"/>
      <c r="AG2730" s="44"/>
      <c r="AH2730" s="45"/>
      <c r="AI2730" s="12"/>
      <c r="AJ2730" s="12"/>
      <c r="AK2730" s="12"/>
      <c r="AL2730" s="12"/>
      <c r="AM2730" s="44"/>
      <c r="AN2730" s="45"/>
      <c r="AO2730" s="12"/>
      <c r="AP2730" s="12"/>
      <c r="AQ2730" s="12"/>
      <c r="AR2730" s="12"/>
      <c r="AS2730" s="44"/>
      <c r="AT2730" s="45"/>
      <c r="AU2730" s="12"/>
      <c r="AV2730" s="12"/>
      <c r="AW2730" s="12"/>
      <c r="AX2730" s="12"/>
      <c r="AY2730" s="44"/>
      <c r="AZ2730" s="45"/>
      <c r="BA2730" s="12"/>
      <c r="BB2730" s="12"/>
      <c r="BC2730" s="12"/>
      <c r="BD2730" s="12"/>
      <c r="BE2730" s="44"/>
      <c r="BF2730" s="45"/>
      <c r="BG2730" s="12"/>
      <c r="BH2730" s="12"/>
      <c r="BI2730" s="12"/>
      <c r="BJ2730" s="12"/>
      <c r="BK2730" s="44"/>
      <c r="BL2730" s="45"/>
      <c r="BM2730" s="12"/>
      <c r="BN2730" s="12"/>
      <c r="BO2730" s="12"/>
      <c r="BP2730" s="12"/>
      <c r="BQ2730" s="48"/>
      <c r="BR2730" s="49"/>
      <c r="BS2730" s="13"/>
      <c r="BT2730" s="12"/>
      <c r="BV2730" s="14"/>
      <c r="BW2730" s="50"/>
      <c r="BX2730" s="54"/>
      <c r="BY2730" s="14"/>
      <c r="BZ2730" s="14"/>
      <c r="CA2730" s="14"/>
      <c r="CB2730" s="14"/>
      <c r="CC2730" s="14"/>
      <c r="CD2730" s="14"/>
      <c r="CE2730" s="14"/>
      <c r="CF2730" s="15"/>
      <c r="CG2730" s="14"/>
      <c r="CH2730" s="14"/>
      <c r="CI2730" s="50"/>
      <c r="CJ2730" s="54"/>
      <c r="CK2730" s="14"/>
      <c r="CL2730" s="14"/>
      <c r="CM2730" s="14"/>
      <c r="CN2730" s="14"/>
      <c r="CO2730" s="14"/>
      <c r="CP2730" s="14"/>
      <c r="CQ2730" s="14"/>
      <c r="CR2730" s="14"/>
      <c r="CS2730" s="14"/>
      <c r="CT2730" s="14"/>
      <c r="CU2730" s="16"/>
      <c r="CV2730" s="14"/>
      <c r="CW2730" s="50"/>
      <c r="CX2730" s="17"/>
    </row>
    <row r="2731" spans="4:102" x14ac:dyDescent="0.25">
      <c r="D2731" s="11"/>
      <c r="E2731" s="11"/>
      <c r="F2731" s="11"/>
      <c r="G2731" s="11"/>
      <c r="H2731" s="11"/>
      <c r="I2731" s="11"/>
      <c r="J2731" s="11"/>
      <c r="K2731" s="11"/>
      <c r="L2731" s="11"/>
      <c r="M2731" s="11"/>
      <c r="N2731" s="11"/>
      <c r="O2731" s="11"/>
      <c r="P2731" s="43"/>
      <c r="Q2731" s="11"/>
      <c r="R2731" s="11"/>
      <c r="S2731" s="11"/>
      <c r="T2731" s="11"/>
      <c r="U2731" s="11"/>
      <c r="V2731" s="11"/>
      <c r="W2731" s="11"/>
      <c r="X2731" s="12"/>
      <c r="Y2731" s="12"/>
      <c r="Z2731" s="12"/>
      <c r="AA2731" s="44"/>
      <c r="AB2731" s="45"/>
      <c r="AC2731" s="12"/>
      <c r="AD2731" s="12"/>
      <c r="AE2731" s="12"/>
      <c r="AF2731" s="12"/>
      <c r="AG2731" s="44"/>
      <c r="AH2731" s="45"/>
      <c r="AI2731" s="12"/>
      <c r="AJ2731" s="12"/>
      <c r="AK2731" s="12"/>
      <c r="AL2731" s="12"/>
      <c r="AM2731" s="44"/>
      <c r="AN2731" s="45"/>
      <c r="AO2731" s="12"/>
      <c r="AP2731" s="12"/>
      <c r="AQ2731" s="12"/>
      <c r="AR2731" s="12"/>
      <c r="AS2731" s="44"/>
      <c r="AT2731" s="45"/>
      <c r="AU2731" s="12"/>
      <c r="AV2731" s="12"/>
      <c r="AW2731" s="12"/>
      <c r="AX2731" s="12"/>
      <c r="AY2731" s="44"/>
      <c r="AZ2731" s="45"/>
      <c r="BA2731" s="12"/>
      <c r="BB2731" s="12"/>
      <c r="BC2731" s="12"/>
      <c r="BD2731" s="12"/>
      <c r="BE2731" s="44"/>
      <c r="BF2731" s="45"/>
      <c r="BG2731" s="12"/>
      <c r="BH2731" s="12"/>
      <c r="BI2731" s="12"/>
      <c r="BJ2731" s="12"/>
      <c r="BK2731" s="44"/>
      <c r="BL2731" s="45"/>
      <c r="BM2731" s="12"/>
      <c r="BN2731" s="12"/>
      <c r="BO2731" s="12"/>
      <c r="BP2731" s="12"/>
      <c r="BQ2731" s="48"/>
      <c r="BR2731" s="49"/>
      <c r="BS2731" s="13"/>
      <c r="BT2731" s="12"/>
      <c r="BV2731" s="14"/>
      <c r="BW2731" s="50"/>
      <c r="BX2731" s="54"/>
      <c r="BY2731" s="14"/>
      <c r="BZ2731" s="14"/>
      <c r="CA2731" s="14"/>
      <c r="CB2731" s="14"/>
      <c r="CC2731" s="14"/>
      <c r="CD2731" s="14"/>
      <c r="CE2731" s="14"/>
      <c r="CF2731" s="15"/>
      <c r="CG2731" s="14"/>
      <c r="CH2731" s="14"/>
      <c r="CI2731" s="50"/>
      <c r="CJ2731" s="54"/>
      <c r="CK2731" s="14"/>
      <c r="CL2731" s="14"/>
      <c r="CM2731" s="14"/>
      <c r="CN2731" s="14"/>
      <c r="CO2731" s="14"/>
      <c r="CP2731" s="14"/>
      <c r="CQ2731" s="14"/>
      <c r="CR2731" s="14"/>
      <c r="CS2731" s="14"/>
      <c r="CT2731" s="14"/>
      <c r="CU2731" s="16"/>
      <c r="CV2731" s="14"/>
      <c r="CW2731" s="50"/>
      <c r="CX2731" s="17"/>
    </row>
    <row r="2732" spans="4:102" x14ac:dyDescent="0.25">
      <c r="D2732" s="11"/>
      <c r="E2732" s="11"/>
      <c r="F2732" s="11"/>
      <c r="G2732" s="11"/>
      <c r="H2732" s="11"/>
      <c r="I2732" s="11"/>
      <c r="J2732" s="11"/>
      <c r="K2732" s="11"/>
      <c r="L2732" s="11"/>
      <c r="M2732" s="11"/>
      <c r="N2732" s="11"/>
      <c r="O2732" s="11"/>
      <c r="P2732" s="43"/>
      <c r="Q2732" s="11"/>
      <c r="R2732" s="11"/>
      <c r="S2732" s="11"/>
      <c r="T2732" s="11"/>
      <c r="U2732" s="11"/>
      <c r="V2732" s="11"/>
      <c r="W2732" s="11"/>
      <c r="X2732" s="12"/>
      <c r="Y2732" s="12"/>
      <c r="Z2732" s="12"/>
      <c r="AA2732" s="44"/>
      <c r="AB2732" s="45"/>
      <c r="AC2732" s="12"/>
      <c r="AD2732" s="12"/>
      <c r="AE2732" s="12"/>
      <c r="AF2732" s="12"/>
      <c r="AG2732" s="44"/>
      <c r="AH2732" s="45"/>
      <c r="AI2732" s="12"/>
      <c r="AJ2732" s="12"/>
      <c r="AK2732" s="12"/>
      <c r="AL2732" s="12"/>
      <c r="AM2732" s="44"/>
      <c r="AN2732" s="45"/>
      <c r="AO2732" s="12"/>
      <c r="AP2732" s="12"/>
      <c r="AQ2732" s="12"/>
      <c r="AR2732" s="12"/>
      <c r="AS2732" s="44"/>
      <c r="AT2732" s="45"/>
      <c r="AU2732" s="12"/>
      <c r="AV2732" s="12"/>
      <c r="AW2732" s="12"/>
      <c r="AX2732" s="12"/>
      <c r="AY2732" s="44"/>
      <c r="AZ2732" s="45"/>
      <c r="BA2732" s="12"/>
      <c r="BB2732" s="12"/>
      <c r="BC2732" s="12"/>
      <c r="BD2732" s="12"/>
      <c r="BE2732" s="44"/>
      <c r="BF2732" s="45"/>
      <c r="BG2732" s="12"/>
      <c r="BH2732" s="12"/>
      <c r="BI2732" s="12"/>
      <c r="BJ2732" s="12"/>
      <c r="BK2732" s="44"/>
      <c r="BL2732" s="45"/>
      <c r="BM2732" s="12"/>
      <c r="BN2732" s="12"/>
      <c r="BO2732" s="12"/>
      <c r="BP2732" s="12"/>
      <c r="BQ2732" s="48"/>
      <c r="BR2732" s="49"/>
      <c r="BS2732" s="13"/>
      <c r="BT2732" s="12"/>
      <c r="BV2732" s="14"/>
      <c r="BW2732" s="50"/>
      <c r="BX2732" s="54"/>
      <c r="BY2732" s="14"/>
      <c r="BZ2732" s="14"/>
      <c r="CA2732" s="14"/>
      <c r="CB2732" s="14"/>
      <c r="CC2732" s="14"/>
      <c r="CD2732" s="14"/>
      <c r="CE2732" s="14"/>
      <c r="CF2732" s="15"/>
      <c r="CG2732" s="14"/>
      <c r="CH2732" s="14"/>
      <c r="CI2732" s="50"/>
      <c r="CJ2732" s="54"/>
      <c r="CK2732" s="14"/>
      <c r="CL2732" s="14"/>
      <c r="CM2732" s="14"/>
      <c r="CN2732" s="14"/>
      <c r="CO2732" s="14"/>
      <c r="CP2732" s="14"/>
      <c r="CQ2732" s="14"/>
      <c r="CR2732" s="14"/>
      <c r="CS2732" s="14"/>
      <c r="CT2732" s="14"/>
      <c r="CU2732" s="16"/>
      <c r="CV2732" s="14"/>
      <c r="CW2732" s="50"/>
      <c r="CX2732" s="17"/>
    </row>
    <row r="2733" spans="4:102" x14ac:dyDescent="0.25">
      <c r="D2733" s="11"/>
      <c r="E2733" s="11"/>
      <c r="F2733" s="11"/>
      <c r="G2733" s="11"/>
      <c r="H2733" s="11"/>
      <c r="I2733" s="11"/>
      <c r="J2733" s="11"/>
      <c r="K2733" s="11"/>
      <c r="L2733" s="11"/>
      <c r="M2733" s="11"/>
      <c r="N2733" s="11"/>
      <c r="O2733" s="11"/>
      <c r="P2733" s="43"/>
      <c r="Q2733" s="11"/>
      <c r="R2733" s="11"/>
      <c r="S2733" s="11"/>
      <c r="T2733" s="11"/>
      <c r="U2733" s="11"/>
      <c r="V2733" s="11"/>
      <c r="W2733" s="11"/>
      <c r="X2733" s="12"/>
      <c r="Y2733" s="12"/>
      <c r="Z2733" s="12"/>
      <c r="AA2733" s="44"/>
      <c r="AB2733" s="45"/>
      <c r="AC2733" s="12"/>
      <c r="AD2733" s="12"/>
      <c r="AE2733" s="12"/>
      <c r="AF2733" s="12"/>
      <c r="AG2733" s="44"/>
      <c r="AH2733" s="45"/>
      <c r="AI2733" s="12"/>
      <c r="AJ2733" s="12"/>
      <c r="AK2733" s="12"/>
      <c r="AL2733" s="12"/>
      <c r="AM2733" s="44"/>
      <c r="AN2733" s="45"/>
      <c r="AO2733" s="12"/>
      <c r="AP2733" s="12"/>
      <c r="AQ2733" s="12"/>
      <c r="AR2733" s="12"/>
      <c r="AS2733" s="44"/>
      <c r="AT2733" s="45"/>
      <c r="AU2733" s="12"/>
      <c r="AV2733" s="12"/>
      <c r="AW2733" s="12"/>
      <c r="AX2733" s="12"/>
      <c r="AY2733" s="44"/>
      <c r="AZ2733" s="45"/>
      <c r="BA2733" s="12"/>
      <c r="BB2733" s="12"/>
      <c r="BC2733" s="12"/>
      <c r="BD2733" s="12"/>
      <c r="BE2733" s="44"/>
      <c r="BF2733" s="45"/>
      <c r="BG2733" s="12"/>
      <c r="BH2733" s="12"/>
      <c r="BI2733" s="12"/>
      <c r="BJ2733" s="12"/>
      <c r="BK2733" s="44"/>
      <c r="BL2733" s="45"/>
      <c r="BM2733" s="12"/>
      <c r="BN2733" s="12"/>
      <c r="BO2733" s="12"/>
      <c r="BP2733" s="12"/>
      <c r="BQ2733" s="48"/>
      <c r="BR2733" s="49"/>
      <c r="BS2733" s="13"/>
      <c r="BT2733" s="12"/>
      <c r="BV2733" s="14"/>
      <c r="BW2733" s="50"/>
      <c r="BX2733" s="54"/>
      <c r="BY2733" s="14"/>
      <c r="BZ2733" s="14"/>
      <c r="CA2733" s="14"/>
      <c r="CB2733" s="14"/>
      <c r="CC2733" s="14"/>
      <c r="CD2733" s="14"/>
      <c r="CE2733" s="14"/>
      <c r="CF2733" s="15"/>
      <c r="CG2733" s="14"/>
      <c r="CH2733" s="14"/>
      <c r="CI2733" s="50"/>
      <c r="CJ2733" s="54"/>
      <c r="CK2733" s="14"/>
      <c r="CL2733" s="14"/>
      <c r="CM2733" s="14"/>
      <c r="CN2733" s="14"/>
      <c r="CO2733" s="14"/>
      <c r="CP2733" s="14"/>
      <c r="CQ2733" s="14"/>
      <c r="CR2733" s="14"/>
      <c r="CS2733" s="14"/>
      <c r="CT2733" s="14"/>
      <c r="CU2733" s="16"/>
      <c r="CV2733" s="14"/>
      <c r="CW2733" s="50"/>
      <c r="CX2733" s="17"/>
    </row>
    <row r="2734" spans="4:102" x14ac:dyDescent="0.25">
      <c r="D2734" s="11"/>
      <c r="E2734" s="11"/>
      <c r="F2734" s="11"/>
      <c r="G2734" s="11"/>
      <c r="H2734" s="11"/>
      <c r="I2734" s="11"/>
      <c r="J2734" s="11"/>
      <c r="K2734" s="11"/>
      <c r="L2734" s="11"/>
      <c r="M2734" s="11"/>
      <c r="N2734" s="11"/>
      <c r="O2734" s="11"/>
      <c r="P2734" s="43"/>
      <c r="Q2734" s="11"/>
      <c r="R2734" s="11"/>
      <c r="S2734" s="11"/>
      <c r="T2734" s="11"/>
      <c r="U2734" s="11"/>
      <c r="V2734" s="11"/>
      <c r="W2734" s="11"/>
      <c r="X2734" s="12"/>
      <c r="Y2734" s="12"/>
      <c r="Z2734" s="12"/>
      <c r="AA2734" s="44"/>
      <c r="AB2734" s="45"/>
      <c r="AC2734" s="12"/>
      <c r="AD2734" s="12"/>
      <c r="AE2734" s="12"/>
      <c r="AF2734" s="12"/>
      <c r="AG2734" s="44"/>
      <c r="AH2734" s="45"/>
      <c r="AI2734" s="12"/>
      <c r="AJ2734" s="12"/>
      <c r="AK2734" s="12"/>
      <c r="AL2734" s="12"/>
      <c r="AM2734" s="44"/>
      <c r="AN2734" s="45"/>
      <c r="AO2734" s="12"/>
      <c r="AP2734" s="12"/>
      <c r="AQ2734" s="12"/>
      <c r="AR2734" s="12"/>
      <c r="AS2734" s="44"/>
      <c r="AT2734" s="45"/>
      <c r="AU2734" s="12"/>
      <c r="AV2734" s="12"/>
      <c r="AW2734" s="12"/>
      <c r="AX2734" s="12"/>
      <c r="AY2734" s="44"/>
      <c r="AZ2734" s="45"/>
      <c r="BA2734" s="12"/>
      <c r="BB2734" s="12"/>
      <c r="BC2734" s="12"/>
      <c r="BD2734" s="12"/>
      <c r="BE2734" s="44"/>
      <c r="BF2734" s="45"/>
      <c r="BG2734" s="12"/>
      <c r="BH2734" s="12"/>
      <c r="BI2734" s="12"/>
      <c r="BJ2734" s="12"/>
      <c r="BK2734" s="44"/>
      <c r="BL2734" s="45"/>
      <c r="BM2734" s="12"/>
      <c r="BN2734" s="12"/>
      <c r="BO2734" s="12"/>
      <c r="BP2734" s="12"/>
      <c r="BQ2734" s="48"/>
      <c r="BR2734" s="49"/>
      <c r="BS2734" s="13"/>
      <c r="BT2734" s="12"/>
      <c r="BV2734" s="14"/>
      <c r="BW2734" s="50"/>
      <c r="BX2734" s="54"/>
      <c r="BY2734" s="14"/>
      <c r="BZ2734" s="14"/>
      <c r="CA2734" s="14"/>
      <c r="CB2734" s="14"/>
      <c r="CC2734" s="14"/>
      <c r="CD2734" s="14"/>
      <c r="CE2734" s="14"/>
      <c r="CF2734" s="15"/>
      <c r="CG2734" s="14"/>
      <c r="CH2734" s="14"/>
      <c r="CI2734" s="50"/>
      <c r="CJ2734" s="54"/>
      <c r="CK2734" s="14"/>
      <c r="CL2734" s="14"/>
      <c r="CM2734" s="14"/>
      <c r="CN2734" s="14"/>
      <c r="CO2734" s="14"/>
      <c r="CP2734" s="14"/>
      <c r="CQ2734" s="14"/>
      <c r="CR2734" s="14"/>
      <c r="CS2734" s="14"/>
      <c r="CT2734" s="14"/>
      <c r="CU2734" s="16"/>
      <c r="CV2734" s="14"/>
      <c r="CW2734" s="50"/>
      <c r="CX2734" s="17"/>
    </row>
    <row r="2735" spans="4:102" x14ac:dyDescent="0.25">
      <c r="D2735" s="11"/>
      <c r="E2735" s="11"/>
      <c r="F2735" s="11"/>
      <c r="G2735" s="11"/>
      <c r="H2735" s="11"/>
      <c r="I2735" s="11"/>
      <c r="J2735" s="11"/>
      <c r="K2735" s="11"/>
      <c r="L2735" s="11"/>
      <c r="M2735" s="11"/>
      <c r="N2735" s="11"/>
      <c r="O2735" s="11"/>
      <c r="P2735" s="43"/>
      <c r="Q2735" s="11"/>
      <c r="R2735" s="11"/>
      <c r="S2735" s="11"/>
      <c r="T2735" s="11"/>
      <c r="U2735" s="11"/>
      <c r="V2735" s="11"/>
      <c r="W2735" s="11"/>
      <c r="X2735" s="12"/>
      <c r="Y2735" s="12"/>
      <c r="Z2735" s="12"/>
      <c r="AA2735" s="44"/>
      <c r="AB2735" s="45"/>
      <c r="AC2735" s="12"/>
      <c r="AD2735" s="12"/>
      <c r="AE2735" s="12"/>
      <c r="AF2735" s="12"/>
      <c r="AG2735" s="44"/>
      <c r="AH2735" s="45"/>
      <c r="AI2735" s="12"/>
      <c r="AJ2735" s="12"/>
      <c r="AK2735" s="12"/>
      <c r="AL2735" s="12"/>
      <c r="AM2735" s="44"/>
      <c r="AN2735" s="45"/>
      <c r="AO2735" s="12"/>
      <c r="AP2735" s="12"/>
      <c r="AQ2735" s="12"/>
      <c r="AR2735" s="12"/>
      <c r="AS2735" s="44"/>
      <c r="AT2735" s="45"/>
      <c r="AU2735" s="12"/>
      <c r="AV2735" s="12"/>
      <c r="AW2735" s="12"/>
      <c r="AX2735" s="12"/>
      <c r="AY2735" s="44"/>
      <c r="AZ2735" s="45"/>
      <c r="BA2735" s="12"/>
      <c r="BB2735" s="12"/>
      <c r="BC2735" s="12"/>
      <c r="BD2735" s="12"/>
      <c r="BE2735" s="44"/>
      <c r="BF2735" s="45"/>
      <c r="BG2735" s="12"/>
      <c r="BH2735" s="12"/>
      <c r="BI2735" s="12"/>
      <c r="BJ2735" s="12"/>
      <c r="BK2735" s="44"/>
      <c r="BL2735" s="45"/>
      <c r="BM2735" s="12"/>
      <c r="BN2735" s="12"/>
      <c r="BO2735" s="12"/>
      <c r="BP2735" s="12"/>
      <c r="BQ2735" s="48"/>
      <c r="BR2735" s="49"/>
      <c r="BS2735" s="13"/>
      <c r="BT2735" s="12"/>
      <c r="BV2735" s="14"/>
      <c r="BW2735" s="50"/>
      <c r="BX2735" s="54"/>
      <c r="BY2735" s="14"/>
      <c r="BZ2735" s="14"/>
      <c r="CA2735" s="14"/>
      <c r="CB2735" s="14"/>
      <c r="CC2735" s="14"/>
      <c r="CD2735" s="14"/>
      <c r="CE2735" s="14"/>
      <c r="CF2735" s="15"/>
      <c r="CG2735" s="14"/>
      <c r="CH2735" s="14"/>
      <c r="CI2735" s="50"/>
      <c r="CJ2735" s="54"/>
      <c r="CK2735" s="14"/>
      <c r="CL2735" s="14"/>
      <c r="CM2735" s="14"/>
      <c r="CN2735" s="14"/>
      <c r="CO2735" s="14"/>
      <c r="CP2735" s="14"/>
      <c r="CQ2735" s="14"/>
      <c r="CR2735" s="14"/>
      <c r="CS2735" s="14"/>
      <c r="CT2735" s="14"/>
      <c r="CU2735" s="16"/>
      <c r="CV2735" s="14"/>
      <c r="CW2735" s="50"/>
      <c r="CX2735" s="17"/>
    </row>
    <row r="2736" spans="4:102" x14ac:dyDescent="0.25">
      <c r="D2736" s="11"/>
      <c r="E2736" s="11"/>
      <c r="F2736" s="11"/>
      <c r="G2736" s="11"/>
      <c r="H2736" s="11"/>
      <c r="I2736" s="11"/>
      <c r="J2736" s="11"/>
      <c r="K2736" s="11"/>
      <c r="L2736" s="11"/>
      <c r="M2736" s="11"/>
      <c r="N2736" s="11"/>
      <c r="O2736" s="11"/>
      <c r="P2736" s="43"/>
      <c r="Q2736" s="11"/>
      <c r="R2736" s="11"/>
      <c r="S2736" s="11"/>
      <c r="T2736" s="11"/>
      <c r="U2736" s="11"/>
      <c r="V2736" s="11"/>
      <c r="W2736" s="11"/>
      <c r="X2736" s="12"/>
      <c r="Y2736" s="12"/>
      <c r="Z2736" s="12"/>
      <c r="AA2736" s="44"/>
      <c r="AB2736" s="45"/>
      <c r="AC2736" s="12"/>
      <c r="AD2736" s="12"/>
      <c r="AE2736" s="12"/>
      <c r="AF2736" s="12"/>
      <c r="AG2736" s="44"/>
      <c r="AH2736" s="45"/>
      <c r="AI2736" s="12"/>
      <c r="AJ2736" s="12"/>
      <c r="AK2736" s="12"/>
      <c r="AL2736" s="12"/>
      <c r="AM2736" s="44"/>
      <c r="AN2736" s="45"/>
      <c r="AO2736" s="12"/>
      <c r="AP2736" s="12"/>
      <c r="AQ2736" s="12"/>
      <c r="AR2736" s="12"/>
      <c r="AS2736" s="44"/>
      <c r="AT2736" s="45"/>
      <c r="AU2736" s="12"/>
      <c r="AV2736" s="12"/>
      <c r="AW2736" s="12"/>
      <c r="AX2736" s="12"/>
      <c r="AY2736" s="44"/>
      <c r="AZ2736" s="45"/>
      <c r="BA2736" s="12"/>
      <c r="BB2736" s="12"/>
      <c r="BC2736" s="12"/>
      <c r="BD2736" s="12"/>
      <c r="BE2736" s="44"/>
      <c r="BF2736" s="45"/>
      <c r="BG2736" s="12"/>
      <c r="BH2736" s="12"/>
      <c r="BI2736" s="12"/>
      <c r="BJ2736" s="12"/>
      <c r="BK2736" s="44"/>
      <c r="BL2736" s="45"/>
      <c r="BM2736" s="12"/>
      <c r="BN2736" s="12"/>
      <c r="BO2736" s="12"/>
      <c r="BP2736" s="12"/>
      <c r="BQ2736" s="48"/>
      <c r="BR2736" s="49"/>
      <c r="BS2736" s="13"/>
      <c r="BT2736" s="12"/>
      <c r="BV2736" s="14"/>
      <c r="BW2736" s="50"/>
      <c r="BX2736" s="54"/>
      <c r="BY2736" s="14"/>
      <c r="BZ2736" s="14"/>
      <c r="CA2736" s="14"/>
      <c r="CB2736" s="14"/>
      <c r="CC2736" s="14"/>
      <c r="CD2736" s="14"/>
      <c r="CE2736" s="14"/>
      <c r="CF2736" s="15"/>
      <c r="CG2736" s="14"/>
      <c r="CH2736" s="14"/>
      <c r="CI2736" s="50"/>
      <c r="CJ2736" s="54"/>
      <c r="CK2736" s="14"/>
      <c r="CL2736" s="14"/>
      <c r="CM2736" s="14"/>
      <c r="CN2736" s="14"/>
      <c r="CO2736" s="14"/>
      <c r="CP2736" s="14"/>
      <c r="CQ2736" s="14"/>
      <c r="CR2736" s="14"/>
      <c r="CS2736" s="14"/>
      <c r="CT2736" s="14"/>
      <c r="CU2736" s="16"/>
      <c r="CV2736" s="14"/>
      <c r="CW2736" s="50"/>
      <c r="CX2736" s="17"/>
    </row>
    <row r="2737" spans="4:102" x14ac:dyDescent="0.25">
      <c r="D2737" s="11"/>
      <c r="E2737" s="11"/>
      <c r="F2737" s="11"/>
      <c r="G2737" s="11"/>
      <c r="H2737" s="11"/>
      <c r="I2737" s="11"/>
      <c r="J2737" s="11"/>
      <c r="K2737" s="11"/>
      <c r="L2737" s="11"/>
      <c r="M2737" s="11"/>
      <c r="N2737" s="11"/>
      <c r="O2737" s="11"/>
      <c r="P2737" s="43"/>
      <c r="Q2737" s="11"/>
      <c r="R2737" s="11"/>
      <c r="S2737" s="11"/>
      <c r="T2737" s="11"/>
      <c r="U2737" s="11"/>
      <c r="V2737" s="11"/>
      <c r="W2737" s="11"/>
      <c r="X2737" s="12"/>
      <c r="Y2737" s="12"/>
      <c r="Z2737" s="12"/>
      <c r="AA2737" s="44"/>
      <c r="AB2737" s="45"/>
      <c r="AC2737" s="12"/>
      <c r="AD2737" s="12"/>
      <c r="AE2737" s="12"/>
      <c r="AF2737" s="12"/>
      <c r="AG2737" s="44"/>
      <c r="AH2737" s="45"/>
      <c r="AI2737" s="12"/>
      <c r="AJ2737" s="12"/>
      <c r="AK2737" s="12"/>
      <c r="AL2737" s="12"/>
      <c r="AM2737" s="44"/>
      <c r="AN2737" s="45"/>
      <c r="AO2737" s="12"/>
      <c r="AP2737" s="12"/>
      <c r="AQ2737" s="12"/>
      <c r="AR2737" s="12"/>
      <c r="AS2737" s="44"/>
      <c r="AT2737" s="45"/>
      <c r="AU2737" s="12"/>
      <c r="AV2737" s="12"/>
      <c r="AW2737" s="12"/>
      <c r="AX2737" s="12"/>
      <c r="AY2737" s="44"/>
      <c r="AZ2737" s="45"/>
      <c r="BA2737" s="12"/>
      <c r="BB2737" s="12"/>
      <c r="BC2737" s="12"/>
      <c r="BD2737" s="12"/>
      <c r="BE2737" s="44"/>
      <c r="BF2737" s="45"/>
      <c r="BG2737" s="12"/>
      <c r="BH2737" s="12"/>
      <c r="BI2737" s="12"/>
      <c r="BJ2737" s="12"/>
      <c r="BK2737" s="44"/>
      <c r="BL2737" s="45"/>
      <c r="BM2737" s="12"/>
      <c r="BN2737" s="12"/>
      <c r="BO2737" s="12"/>
      <c r="BP2737" s="12"/>
      <c r="BQ2737" s="48"/>
      <c r="BR2737" s="49"/>
      <c r="BS2737" s="13"/>
      <c r="BT2737" s="12"/>
      <c r="BV2737" s="14"/>
      <c r="BW2737" s="50"/>
      <c r="BX2737" s="54"/>
      <c r="BY2737" s="14"/>
      <c r="BZ2737" s="14"/>
      <c r="CA2737" s="14"/>
      <c r="CB2737" s="14"/>
      <c r="CC2737" s="14"/>
      <c r="CD2737" s="14"/>
      <c r="CE2737" s="14"/>
      <c r="CF2737" s="15"/>
      <c r="CG2737" s="14"/>
      <c r="CH2737" s="14"/>
      <c r="CI2737" s="50"/>
      <c r="CJ2737" s="54"/>
      <c r="CK2737" s="14"/>
      <c r="CL2737" s="14"/>
      <c r="CM2737" s="14"/>
      <c r="CN2737" s="14"/>
      <c r="CO2737" s="14"/>
      <c r="CP2737" s="14"/>
      <c r="CQ2737" s="14"/>
      <c r="CR2737" s="14"/>
      <c r="CS2737" s="14"/>
      <c r="CT2737" s="14"/>
      <c r="CU2737" s="16"/>
      <c r="CV2737" s="14"/>
      <c r="CW2737" s="50"/>
      <c r="CX2737" s="17"/>
    </row>
    <row r="2738" spans="4:102" x14ac:dyDescent="0.25">
      <c r="D2738" s="11"/>
      <c r="E2738" s="11"/>
      <c r="F2738" s="11"/>
      <c r="G2738" s="11"/>
      <c r="H2738" s="11"/>
      <c r="I2738" s="11"/>
      <c r="J2738" s="11"/>
      <c r="K2738" s="11"/>
      <c r="L2738" s="11"/>
      <c r="M2738" s="11"/>
      <c r="N2738" s="11"/>
      <c r="O2738" s="11"/>
      <c r="P2738" s="43"/>
      <c r="Q2738" s="11"/>
      <c r="R2738" s="11"/>
      <c r="S2738" s="11"/>
      <c r="T2738" s="11"/>
      <c r="U2738" s="11"/>
      <c r="V2738" s="11"/>
      <c r="W2738" s="11"/>
      <c r="X2738" s="12"/>
      <c r="Y2738" s="12"/>
      <c r="Z2738" s="12"/>
      <c r="AA2738" s="44"/>
      <c r="AB2738" s="45"/>
      <c r="AC2738" s="12"/>
      <c r="AD2738" s="12"/>
      <c r="AE2738" s="12"/>
      <c r="AF2738" s="12"/>
      <c r="AG2738" s="44"/>
      <c r="AH2738" s="45"/>
      <c r="AI2738" s="12"/>
      <c r="AJ2738" s="12"/>
      <c r="AK2738" s="12"/>
      <c r="AL2738" s="12"/>
      <c r="AM2738" s="44"/>
      <c r="AN2738" s="45"/>
      <c r="AO2738" s="12"/>
      <c r="AP2738" s="12"/>
      <c r="AQ2738" s="12"/>
      <c r="AR2738" s="12"/>
      <c r="AS2738" s="44"/>
      <c r="AT2738" s="45"/>
      <c r="AU2738" s="12"/>
      <c r="AV2738" s="12"/>
      <c r="AW2738" s="12"/>
      <c r="AX2738" s="12"/>
      <c r="AY2738" s="44"/>
      <c r="AZ2738" s="45"/>
      <c r="BA2738" s="12"/>
      <c r="BB2738" s="12"/>
      <c r="BC2738" s="12"/>
      <c r="BD2738" s="12"/>
      <c r="BE2738" s="44"/>
      <c r="BF2738" s="45"/>
      <c r="BG2738" s="12"/>
      <c r="BH2738" s="12"/>
      <c r="BI2738" s="12"/>
      <c r="BJ2738" s="12"/>
      <c r="BK2738" s="44"/>
      <c r="BL2738" s="45"/>
      <c r="BM2738" s="12"/>
      <c r="BN2738" s="12"/>
      <c r="BO2738" s="12"/>
      <c r="BP2738" s="12"/>
      <c r="BQ2738" s="48"/>
      <c r="BR2738" s="49"/>
      <c r="BS2738" s="13"/>
      <c r="BT2738" s="12"/>
      <c r="BV2738" s="14"/>
      <c r="BW2738" s="50"/>
      <c r="BX2738" s="54"/>
      <c r="BY2738" s="14"/>
      <c r="BZ2738" s="14"/>
      <c r="CA2738" s="14"/>
      <c r="CB2738" s="14"/>
      <c r="CC2738" s="14"/>
      <c r="CD2738" s="14"/>
      <c r="CE2738" s="14"/>
      <c r="CF2738" s="15"/>
      <c r="CG2738" s="14"/>
      <c r="CH2738" s="14"/>
      <c r="CI2738" s="50"/>
      <c r="CJ2738" s="54"/>
      <c r="CK2738" s="14"/>
      <c r="CL2738" s="14"/>
      <c r="CM2738" s="14"/>
      <c r="CN2738" s="14"/>
      <c r="CO2738" s="14"/>
      <c r="CP2738" s="14"/>
      <c r="CQ2738" s="14"/>
      <c r="CR2738" s="14"/>
      <c r="CS2738" s="14"/>
      <c r="CT2738" s="14"/>
      <c r="CU2738" s="16"/>
      <c r="CV2738" s="14"/>
      <c r="CW2738" s="50"/>
      <c r="CX2738" s="17"/>
    </row>
    <row r="2739" spans="4:102" x14ac:dyDescent="0.25">
      <c r="D2739" s="11"/>
      <c r="E2739" s="11"/>
      <c r="F2739" s="11"/>
      <c r="G2739" s="11"/>
      <c r="H2739" s="11"/>
      <c r="I2739" s="11"/>
      <c r="J2739" s="11"/>
      <c r="K2739" s="11"/>
      <c r="L2739" s="11"/>
      <c r="M2739" s="11"/>
      <c r="N2739" s="11"/>
      <c r="O2739" s="11"/>
      <c r="P2739" s="43"/>
      <c r="Q2739" s="11"/>
      <c r="R2739" s="11"/>
      <c r="S2739" s="11"/>
      <c r="T2739" s="11"/>
      <c r="U2739" s="11"/>
      <c r="V2739" s="11"/>
      <c r="W2739" s="11"/>
      <c r="X2739" s="12"/>
      <c r="Y2739" s="12"/>
      <c r="Z2739" s="12"/>
      <c r="AA2739" s="44"/>
      <c r="AB2739" s="45"/>
      <c r="AC2739" s="12"/>
      <c r="AD2739" s="12"/>
      <c r="AE2739" s="12"/>
      <c r="AF2739" s="12"/>
      <c r="AG2739" s="44"/>
      <c r="AH2739" s="45"/>
      <c r="AI2739" s="12"/>
      <c r="AJ2739" s="12"/>
      <c r="AK2739" s="12"/>
      <c r="AL2739" s="12"/>
      <c r="AM2739" s="44"/>
      <c r="AN2739" s="45"/>
      <c r="AO2739" s="12"/>
      <c r="AP2739" s="12"/>
      <c r="AQ2739" s="12"/>
      <c r="AR2739" s="12"/>
      <c r="AS2739" s="44"/>
      <c r="AT2739" s="45"/>
      <c r="AU2739" s="12"/>
      <c r="AV2739" s="12"/>
      <c r="AW2739" s="12"/>
      <c r="AX2739" s="12"/>
      <c r="AY2739" s="44"/>
      <c r="AZ2739" s="45"/>
      <c r="BA2739" s="12"/>
      <c r="BB2739" s="12"/>
      <c r="BC2739" s="12"/>
      <c r="BD2739" s="12"/>
      <c r="BE2739" s="44"/>
      <c r="BF2739" s="45"/>
      <c r="BG2739" s="12"/>
      <c r="BH2739" s="12"/>
      <c r="BI2739" s="12"/>
      <c r="BJ2739" s="12"/>
      <c r="BK2739" s="44"/>
      <c r="BL2739" s="45"/>
      <c r="BM2739" s="12"/>
      <c r="BN2739" s="12"/>
      <c r="BO2739" s="12"/>
      <c r="BP2739" s="12"/>
      <c r="BQ2739" s="48"/>
      <c r="BR2739" s="49"/>
      <c r="BS2739" s="13"/>
      <c r="BT2739" s="12"/>
      <c r="BV2739" s="14"/>
      <c r="BW2739" s="50"/>
      <c r="BX2739" s="54"/>
      <c r="BY2739" s="14"/>
      <c r="BZ2739" s="14"/>
      <c r="CA2739" s="14"/>
      <c r="CB2739" s="14"/>
      <c r="CC2739" s="14"/>
      <c r="CD2739" s="14"/>
      <c r="CE2739" s="14"/>
      <c r="CF2739" s="15"/>
      <c r="CG2739" s="14"/>
      <c r="CH2739" s="14"/>
      <c r="CI2739" s="50"/>
      <c r="CJ2739" s="54"/>
      <c r="CK2739" s="14"/>
      <c r="CL2739" s="14"/>
      <c r="CM2739" s="14"/>
      <c r="CN2739" s="14"/>
      <c r="CO2739" s="14"/>
      <c r="CP2739" s="14"/>
      <c r="CQ2739" s="14"/>
      <c r="CR2739" s="14"/>
      <c r="CS2739" s="14"/>
      <c r="CT2739" s="14"/>
      <c r="CU2739" s="16"/>
      <c r="CV2739" s="14"/>
      <c r="CW2739" s="50"/>
      <c r="CX2739" s="17"/>
    </row>
    <row r="2740" spans="4:102" x14ac:dyDescent="0.25">
      <c r="D2740" s="11"/>
      <c r="E2740" s="11"/>
      <c r="F2740" s="11"/>
      <c r="G2740" s="11"/>
      <c r="H2740" s="11"/>
      <c r="I2740" s="11"/>
      <c r="J2740" s="11"/>
      <c r="K2740" s="11"/>
      <c r="L2740" s="11"/>
      <c r="M2740" s="11"/>
      <c r="N2740" s="11"/>
      <c r="O2740" s="11"/>
      <c r="P2740" s="43"/>
      <c r="Q2740" s="11"/>
      <c r="R2740" s="11"/>
      <c r="S2740" s="11"/>
      <c r="T2740" s="11"/>
      <c r="U2740" s="11"/>
      <c r="V2740" s="11"/>
      <c r="W2740" s="11"/>
      <c r="X2740" s="12"/>
      <c r="Y2740" s="12"/>
      <c r="Z2740" s="12"/>
      <c r="AA2740" s="44"/>
      <c r="AB2740" s="45"/>
      <c r="AC2740" s="12"/>
      <c r="AD2740" s="12"/>
      <c r="AE2740" s="12"/>
      <c r="AF2740" s="12"/>
      <c r="AG2740" s="44"/>
      <c r="AH2740" s="45"/>
      <c r="AI2740" s="12"/>
      <c r="AJ2740" s="12"/>
      <c r="AK2740" s="12"/>
      <c r="AL2740" s="12"/>
      <c r="AM2740" s="44"/>
      <c r="AN2740" s="45"/>
      <c r="AO2740" s="12"/>
      <c r="AP2740" s="12"/>
      <c r="AQ2740" s="12"/>
      <c r="AR2740" s="12"/>
      <c r="AS2740" s="44"/>
      <c r="AT2740" s="45"/>
      <c r="AU2740" s="12"/>
      <c r="AV2740" s="12"/>
      <c r="AW2740" s="12"/>
      <c r="AX2740" s="12"/>
      <c r="AY2740" s="44"/>
      <c r="AZ2740" s="45"/>
      <c r="BA2740" s="12"/>
      <c r="BB2740" s="12"/>
      <c r="BC2740" s="12"/>
      <c r="BD2740" s="12"/>
      <c r="BE2740" s="44"/>
      <c r="BF2740" s="45"/>
      <c r="BG2740" s="12"/>
      <c r="BH2740" s="12"/>
      <c r="BI2740" s="12"/>
      <c r="BJ2740" s="12"/>
      <c r="BK2740" s="44"/>
      <c r="BL2740" s="45"/>
      <c r="BM2740" s="12"/>
      <c r="BN2740" s="12"/>
      <c r="BO2740" s="12"/>
      <c r="BP2740" s="12"/>
      <c r="BQ2740" s="48"/>
      <c r="BR2740" s="49"/>
      <c r="BS2740" s="13"/>
      <c r="BT2740" s="12"/>
      <c r="BV2740" s="14"/>
      <c r="BW2740" s="50"/>
      <c r="BX2740" s="54"/>
      <c r="BY2740" s="14"/>
      <c r="BZ2740" s="14"/>
      <c r="CA2740" s="14"/>
      <c r="CB2740" s="14"/>
      <c r="CC2740" s="14"/>
      <c r="CD2740" s="14"/>
      <c r="CE2740" s="14"/>
      <c r="CF2740" s="15"/>
      <c r="CG2740" s="14"/>
      <c r="CH2740" s="14"/>
      <c r="CI2740" s="50"/>
      <c r="CJ2740" s="54"/>
      <c r="CK2740" s="14"/>
      <c r="CL2740" s="14"/>
      <c r="CM2740" s="14"/>
      <c r="CN2740" s="14"/>
      <c r="CO2740" s="14"/>
      <c r="CP2740" s="14"/>
      <c r="CQ2740" s="14"/>
      <c r="CR2740" s="14"/>
      <c r="CS2740" s="14"/>
      <c r="CT2740" s="14"/>
      <c r="CU2740" s="16"/>
      <c r="CV2740" s="14"/>
      <c r="CW2740" s="50"/>
      <c r="CX2740" s="17"/>
    </row>
    <row r="2741" spans="4:102" x14ac:dyDescent="0.25">
      <c r="D2741" s="11"/>
      <c r="E2741" s="11"/>
      <c r="F2741" s="11"/>
      <c r="G2741" s="11"/>
      <c r="H2741" s="11"/>
      <c r="I2741" s="11"/>
      <c r="J2741" s="11"/>
      <c r="K2741" s="11"/>
      <c r="L2741" s="11"/>
      <c r="M2741" s="11"/>
      <c r="N2741" s="11"/>
      <c r="O2741" s="11"/>
      <c r="P2741" s="43"/>
      <c r="Q2741" s="11"/>
      <c r="R2741" s="11"/>
      <c r="S2741" s="11"/>
      <c r="T2741" s="11"/>
      <c r="U2741" s="11"/>
      <c r="V2741" s="11"/>
      <c r="W2741" s="11"/>
      <c r="X2741" s="12"/>
      <c r="Y2741" s="12"/>
      <c r="Z2741" s="12"/>
      <c r="AA2741" s="44"/>
      <c r="AB2741" s="45"/>
      <c r="AC2741" s="12"/>
      <c r="AD2741" s="12"/>
      <c r="AE2741" s="12"/>
      <c r="AF2741" s="12"/>
      <c r="AG2741" s="44"/>
      <c r="AH2741" s="45"/>
      <c r="AI2741" s="12"/>
      <c r="AJ2741" s="12"/>
      <c r="AK2741" s="12"/>
      <c r="AL2741" s="12"/>
      <c r="AM2741" s="44"/>
      <c r="AN2741" s="45"/>
      <c r="AO2741" s="12"/>
      <c r="AP2741" s="12"/>
      <c r="AQ2741" s="12"/>
      <c r="AR2741" s="12"/>
      <c r="AS2741" s="44"/>
      <c r="AT2741" s="45"/>
      <c r="AU2741" s="12"/>
      <c r="AV2741" s="12"/>
      <c r="AW2741" s="12"/>
      <c r="AX2741" s="12"/>
      <c r="AY2741" s="44"/>
      <c r="AZ2741" s="45"/>
      <c r="BA2741" s="12"/>
      <c r="BB2741" s="12"/>
      <c r="BC2741" s="12"/>
      <c r="BD2741" s="12"/>
      <c r="BE2741" s="44"/>
      <c r="BF2741" s="45"/>
      <c r="BG2741" s="12"/>
      <c r="BH2741" s="12"/>
      <c r="BI2741" s="12"/>
      <c r="BJ2741" s="12"/>
      <c r="BK2741" s="44"/>
      <c r="BL2741" s="45"/>
      <c r="BM2741" s="12"/>
      <c r="BN2741" s="12"/>
      <c r="BO2741" s="12"/>
      <c r="BP2741" s="12"/>
      <c r="BQ2741" s="48"/>
      <c r="BR2741" s="49"/>
      <c r="BS2741" s="13"/>
      <c r="BT2741" s="12"/>
      <c r="BV2741" s="14"/>
      <c r="BW2741" s="50"/>
      <c r="BX2741" s="54"/>
      <c r="BY2741" s="14"/>
      <c r="BZ2741" s="14"/>
      <c r="CA2741" s="14"/>
      <c r="CB2741" s="14"/>
      <c r="CC2741" s="14"/>
      <c r="CD2741" s="14"/>
      <c r="CE2741" s="14"/>
      <c r="CF2741" s="15"/>
      <c r="CG2741" s="14"/>
      <c r="CH2741" s="14"/>
      <c r="CI2741" s="50"/>
      <c r="CJ2741" s="54"/>
      <c r="CK2741" s="14"/>
      <c r="CL2741" s="14"/>
      <c r="CM2741" s="14"/>
      <c r="CN2741" s="14"/>
      <c r="CO2741" s="14"/>
      <c r="CP2741" s="14"/>
      <c r="CQ2741" s="14"/>
      <c r="CR2741" s="14"/>
      <c r="CS2741" s="14"/>
      <c r="CT2741" s="14"/>
      <c r="CU2741" s="16"/>
      <c r="CV2741" s="14"/>
      <c r="CW2741" s="50"/>
      <c r="CX2741" s="17"/>
    </row>
    <row r="2742" spans="4:102" x14ac:dyDescent="0.25">
      <c r="D2742" s="11"/>
      <c r="E2742" s="11"/>
      <c r="F2742" s="11"/>
      <c r="G2742" s="11"/>
      <c r="H2742" s="11"/>
      <c r="I2742" s="11"/>
      <c r="J2742" s="11"/>
      <c r="K2742" s="11"/>
      <c r="L2742" s="11"/>
      <c r="M2742" s="11"/>
      <c r="N2742" s="11"/>
      <c r="O2742" s="11"/>
      <c r="P2742" s="43"/>
      <c r="Q2742" s="11"/>
      <c r="R2742" s="11"/>
      <c r="S2742" s="11"/>
      <c r="T2742" s="11"/>
      <c r="U2742" s="11"/>
      <c r="V2742" s="11"/>
      <c r="W2742" s="11"/>
      <c r="X2742" s="12"/>
      <c r="Y2742" s="12"/>
      <c r="Z2742" s="12"/>
      <c r="AA2742" s="44"/>
      <c r="AB2742" s="45"/>
      <c r="AC2742" s="12"/>
      <c r="AD2742" s="12"/>
      <c r="AE2742" s="12"/>
      <c r="AF2742" s="12"/>
      <c r="AG2742" s="44"/>
      <c r="AH2742" s="45"/>
      <c r="AI2742" s="12"/>
      <c r="AJ2742" s="12"/>
      <c r="AK2742" s="12"/>
      <c r="AL2742" s="12"/>
      <c r="AM2742" s="44"/>
      <c r="AN2742" s="45"/>
      <c r="AO2742" s="12"/>
      <c r="AP2742" s="12"/>
      <c r="AQ2742" s="12"/>
      <c r="AR2742" s="12"/>
      <c r="AS2742" s="44"/>
      <c r="AT2742" s="45"/>
      <c r="AU2742" s="12"/>
      <c r="AV2742" s="12"/>
      <c r="AW2742" s="12"/>
      <c r="AX2742" s="12"/>
      <c r="AY2742" s="44"/>
      <c r="AZ2742" s="45"/>
      <c r="BA2742" s="12"/>
      <c r="BB2742" s="12"/>
      <c r="BC2742" s="12"/>
      <c r="BD2742" s="12"/>
      <c r="BE2742" s="44"/>
      <c r="BF2742" s="45"/>
      <c r="BG2742" s="12"/>
      <c r="BH2742" s="12"/>
      <c r="BI2742" s="12"/>
      <c r="BJ2742" s="12"/>
      <c r="BK2742" s="44"/>
      <c r="BL2742" s="45"/>
      <c r="BM2742" s="12"/>
      <c r="BN2742" s="12"/>
      <c r="BO2742" s="12"/>
      <c r="BP2742" s="12"/>
      <c r="BQ2742" s="48"/>
      <c r="BR2742" s="49"/>
      <c r="BS2742" s="13"/>
      <c r="BT2742" s="12"/>
      <c r="BV2742" s="14"/>
      <c r="BW2742" s="50"/>
      <c r="BX2742" s="54"/>
      <c r="BY2742" s="14"/>
      <c r="BZ2742" s="14"/>
      <c r="CA2742" s="14"/>
      <c r="CB2742" s="14"/>
      <c r="CC2742" s="14"/>
      <c r="CD2742" s="14"/>
      <c r="CE2742" s="14"/>
      <c r="CF2742" s="15"/>
      <c r="CG2742" s="14"/>
      <c r="CH2742" s="14"/>
      <c r="CI2742" s="50"/>
      <c r="CJ2742" s="54"/>
      <c r="CK2742" s="14"/>
      <c r="CL2742" s="14"/>
      <c r="CM2742" s="14"/>
      <c r="CN2742" s="14"/>
      <c r="CO2742" s="14"/>
      <c r="CP2742" s="14"/>
      <c r="CQ2742" s="14"/>
      <c r="CR2742" s="14"/>
      <c r="CS2742" s="14"/>
      <c r="CT2742" s="14"/>
      <c r="CU2742" s="16"/>
      <c r="CV2742" s="14"/>
      <c r="CW2742" s="50"/>
      <c r="CX2742" s="17"/>
    </row>
    <row r="2743" spans="4:102" x14ac:dyDescent="0.25">
      <c r="D2743" s="11"/>
      <c r="E2743" s="11"/>
      <c r="F2743" s="11"/>
      <c r="G2743" s="11"/>
      <c r="H2743" s="11"/>
      <c r="I2743" s="11"/>
      <c r="J2743" s="11"/>
      <c r="K2743" s="11"/>
      <c r="L2743" s="11"/>
      <c r="M2743" s="11"/>
      <c r="N2743" s="11"/>
      <c r="O2743" s="11"/>
      <c r="P2743" s="43"/>
      <c r="Q2743" s="11"/>
      <c r="R2743" s="11"/>
      <c r="S2743" s="11"/>
      <c r="T2743" s="11"/>
      <c r="U2743" s="11"/>
      <c r="V2743" s="11"/>
      <c r="W2743" s="11"/>
      <c r="X2743" s="12"/>
      <c r="Y2743" s="12"/>
      <c r="Z2743" s="12"/>
      <c r="AA2743" s="44"/>
      <c r="AB2743" s="45"/>
      <c r="AC2743" s="12"/>
      <c r="AD2743" s="12"/>
      <c r="AE2743" s="12"/>
      <c r="AF2743" s="12"/>
      <c r="AG2743" s="44"/>
      <c r="AH2743" s="45"/>
      <c r="AI2743" s="12"/>
      <c r="AJ2743" s="12"/>
      <c r="AK2743" s="12"/>
      <c r="AL2743" s="12"/>
      <c r="AM2743" s="44"/>
      <c r="AN2743" s="45"/>
      <c r="AO2743" s="12"/>
      <c r="AP2743" s="12"/>
      <c r="AQ2743" s="12"/>
      <c r="AR2743" s="12"/>
      <c r="AS2743" s="44"/>
      <c r="AT2743" s="45"/>
      <c r="AU2743" s="12"/>
      <c r="AV2743" s="12"/>
      <c r="AW2743" s="12"/>
      <c r="AX2743" s="12"/>
      <c r="AY2743" s="44"/>
      <c r="AZ2743" s="45"/>
      <c r="BA2743" s="12"/>
      <c r="BB2743" s="12"/>
      <c r="BC2743" s="12"/>
      <c r="BD2743" s="12"/>
      <c r="BE2743" s="44"/>
      <c r="BF2743" s="45"/>
      <c r="BG2743" s="12"/>
      <c r="BH2743" s="12"/>
      <c r="BI2743" s="12"/>
      <c r="BJ2743" s="12"/>
      <c r="BK2743" s="44"/>
      <c r="BL2743" s="45"/>
      <c r="BM2743" s="12"/>
      <c r="BN2743" s="12"/>
      <c r="BO2743" s="12"/>
      <c r="BP2743" s="12"/>
      <c r="BQ2743" s="48"/>
      <c r="BR2743" s="49"/>
      <c r="BS2743" s="13"/>
      <c r="BT2743" s="12"/>
      <c r="BV2743" s="14"/>
      <c r="BW2743" s="50"/>
      <c r="BX2743" s="54"/>
      <c r="BY2743" s="14"/>
      <c r="BZ2743" s="14"/>
      <c r="CA2743" s="14"/>
      <c r="CB2743" s="14"/>
      <c r="CC2743" s="14"/>
      <c r="CD2743" s="14"/>
      <c r="CE2743" s="14"/>
      <c r="CF2743" s="15"/>
      <c r="CG2743" s="14"/>
      <c r="CH2743" s="14"/>
      <c r="CI2743" s="50"/>
      <c r="CJ2743" s="54"/>
      <c r="CK2743" s="14"/>
      <c r="CL2743" s="14"/>
      <c r="CM2743" s="14"/>
      <c r="CN2743" s="14"/>
      <c r="CO2743" s="14"/>
      <c r="CP2743" s="14"/>
      <c r="CQ2743" s="14"/>
      <c r="CR2743" s="14"/>
      <c r="CS2743" s="14"/>
      <c r="CT2743" s="14"/>
      <c r="CU2743" s="16"/>
      <c r="CV2743" s="14"/>
      <c r="CW2743" s="50"/>
      <c r="CX2743" s="17"/>
    </row>
    <row r="2744" spans="4:102" x14ac:dyDescent="0.25">
      <c r="D2744" s="11"/>
      <c r="E2744" s="11"/>
      <c r="F2744" s="11"/>
      <c r="G2744" s="11"/>
      <c r="H2744" s="11"/>
      <c r="I2744" s="11"/>
      <c r="J2744" s="11"/>
      <c r="K2744" s="11"/>
      <c r="L2744" s="11"/>
      <c r="M2744" s="11"/>
      <c r="N2744" s="11"/>
      <c r="O2744" s="11"/>
      <c r="P2744" s="43"/>
      <c r="Q2744" s="11"/>
      <c r="R2744" s="11"/>
      <c r="S2744" s="11"/>
      <c r="T2744" s="11"/>
      <c r="U2744" s="11"/>
      <c r="V2744" s="11"/>
      <c r="W2744" s="11"/>
      <c r="X2744" s="12"/>
      <c r="Y2744" s="12"/>
      <c r="Z2744" s="12"/>
      <c r="AA2744" s="44"/>
      <c r="AB2744" s="45"/>
      <c r="AC2744" s="12"/>
      <c r="AD2744" s="12"/>
      <c r="AE2744" s="12"/>
      <c r="AF2744" s="12"/>
      <c r="AG2744" s="44"/>
      <c r="AH2744" s="45"/>
      <c r="AI2744" s="12"/>
      <c r="AJ2744" s="12"/>
      <c r="AK2744" s="12"/>
      <c r="AL2744" s="12"/>
      <c r="AM2744" s="44"/>
      <c r="AN2744" s="45"/>
      <c r="AO2744" s="12"/>
      <c r="AP2744" s="12"/>
      <c r="AQ2744" s="12"/>
      <c r="AR2744" s="12"/>
      <c r="AS2744" s="44"/>
      <c r="AT2744" s="45"/>
      <c r="AU2744" s="12"/>
      <c r="AV2744" s="12"/>
      <c r="AW2744" s="12"/>
      <c r="AX2744" s="12"/>
      <c r="AY2744" s="44"/>
      <c r="AZ2744" s="45"/>
      <c r="BA2744" s="12"/>
      <c r="BB2744" s="12"/>
      <c r="BC2744" s="12"/>
      <c r="BD2744" s="12"/>
      <c r="BE2744" s="44"/>
      <c r="BF2744" s="45"/>
      <c r="BG2744" s="12"/>
      <c r="BH2744" s="12"/>
      <c r="BI2744" s="12"/>
      <c r="BJ2744" s="12"/>
      <c r="BK2744" s="44"/>
      <c r="BL2744" s="45"/>
      <c r="BM2744" s="12"/>
      <c r="BN2744" s="12"/>
      <c r="BO2744" s="12"/>
      <c r="BP2744" s="12"/>
      <c r="BQ2744" s="48"/>
      <c r="BR2744" s="49"/>
      <c r="BS2744" s="13"/>
      <c r="BT2744" s="12"/>
      <c r="BV2744" s="14"/>
      <c r="BW2744" s="50"/>
      <c r="BX2744" s="54"/>
      <c r="BY2744" s="14"/>
      <c r="BZ2744" s="14"/>
      <c r="CA2744" s="14"/>
      <c r="CB2744" s="14"/>
      <c r="CC2744" s="14"/>
      <c r="CD2744" s="14"/>
      <c r="CE2744" s="14"/>
      <c r="CF2744" s="15"/>
      <c r="CG2744" s="14"/>
      <c r="CH2744" s="14"/>
      <c r="CI2744" s="50"/>
      <c r="CJ2744" s="54"/>
      <c r="CK2744" s="14"/>
      <c r="CL2744" s="14"/>
      <c r="CM2744" s="14"/>
      <c r="CN2744" s="14"/>
      <c r="CO2744" s="14"/>
      <c r="CP2744" s="14"/>
      <c r="CQ2744" s="14"/>
      <c r="CR2744" s="14"/>
      <c r="CS2744" s="14"/>
      <c r="CT2744" s="14"/>
      <c r="CU2744" s="16"/>
      <c r="CV2744" s="14"/>
      <c r="CW2744" s="50"/>
      <c r="CX2744" s="17"/>
    </row>
    <row r="2745" spans="4:102" x14ac:dyDescent="0.25">
      <c r="D2745" s="11"/>
      <c r="E2745" s="11"/>
      <c r="F2745" s="11"/>
      <c r="G2745" s="11"/>
      <c r="H2745" s="11"/>
      <c r="I2745" s="11"/>
      <c r="J2745" s="11"/>
      <c r="K2745" s="11"/>
      <c r="L2745" s="11"/>
      <c r="M2745" s="11"/>
      <c r="N2745" s="11"/>
      <c r="O2745" s="11"/>
      <c r="P2745" s="43"/>
      <c r="Q2745" s="11"/>
      <c r="R2745" s="11"/>
      <c r="S2745" s="11"/>
      <c r="T2745" s="11"/>
      <c r="U2745" s="11"/>
      <c r="V2745" s="11"/>
      <c r="W2745" s="11"/>
      <c r="X2745" s="12"/>
      <c r="Y2745" s="12"/>
      <c r="Z2745" s="12"/>
      <c r="AA2745" s="44"/>
      <c r="AB2745" s="45"/>
      <c r="AC2745" s="12"/>
      <c r="AD2745" s="12"/>
      <c r="AE2745" s="12"/>
      <c r="AF2745" s="12"/>
      <c r="AG2745" s="44"/>
      <c r="AH2745" s="45"/>
      <c r="AI2745" s="12"/>
      <c r="AJ2745" s="12"/>
      <c r="AK2745" s="12"/>
      <c r="AL2745" s="12"/>
      <c r="AM2745" s="44"/>
      <c r="AN2745" s="45"/>
      <c r="AO2745" s="12"/>
      <c r="AP2745" s="12"/>
      <c r="AQ2745" s="12"/>
      <c r="AR2745" s="12"/>
      <c r="AS2745" s="44"/>
      <c r="AT2745" s="45"/>
      <c r="AU2745" s="12"/>
      <c r="AV2745" s="12"/>
      <c r="AW2745" s="12"/>
      <c r="AX2745" s="12"/>
      <c r="AY2745" s="44"/>
      <c r="AZ2745" s="45"/>
      <c r="BA2745" s="12"/>
      <c r="BB2745" s="12"/>
      <c r="BC2745" s="12"/>
      <c r="BD2745" s="12"/>
      <c r="BE2745" s="44"/>
      <c r="BF2745" s="45"/>
      <c r="BG2745" s="12"/>
      <c r="BH2745" s="12"/>
      <c r="BI2745" s="12"/>
      <c r="BJ2745" s="12"/>
      <c r="BK2745" s="44"/>
      <c r="BL2745" s="45"/>
      <c r="BM2745" s="12"/>
      <c r="BN2745" s="12"/>
      <c r="BO2745" s="12"/>
      <c r="BP2745" s="12"/>
      <c r="BQ2745" s="48"/>
      <c r="BR2745" s="49"/>
      <c r="BS2745" s="13"/>
      <c r="BT2745" s="12"/>
      <c r="BV2745" s="14"/>
      <c r="BW2745" s="50"/>
      <c r="BX2745" s="54"/>
      <c r="BY2745" s="14"/>
      <c r="BZ2745" s="14"/>
      <c r="CA2745" s="14"/>
      <c r="CB2745" s="14"/>
      <c r="CC2745" s="14"/>
      <c r="CD2745" s="14"/>
      <c r="CE2745" s="14"/>
      <c r="CF2745" s="15"/>
      <c r="CG2745" s="14"/>
      <c r="CH2745" s="14"/>
      <c r="CI2745" s="50"/>
      <c r="CJ2745" s="54"/>
      <c r="CK2745" s="14"/>
      <c r="CL2745" s="14"/>
      <c r="CM2745" s="14"/>
      <c r="CN2745" s="14"/>
      <c r="CO2745" s="14"/>
      <c r="CP2745" s="14"/>
      <c r="CQ2745" s="14"/>
      <c r="CR2745" s="14"/>
      <c r="CS2745" s="14"/>
      <c r="CT2745" s="14"/>
      <c r="CU2745" s="16"/>
      <c r="CV2745" s="14"/>
      <c r="CW2745" s="50"/>
      <c r="CX2745" s="17"/>
    </row>
    <row r="2746" spans="4:102" x14ac:dyDescent="0.25">
      <c r="D2746" s="11"/>
      <c r="E2746" s="11"/>
      <c r="F2746" s="11"/>
      <c r="G2746" s="11"/>
      <c r="H2746" s="11"/>
      <c r="I2746" s="11"/>
      <c r="J2746" s="11"/>
      <c r="K2746" s="11"/>
      <c r="L2746" s="11"/>
      <c r="M2746" s="11"/>
      <c r="N2746" s="11"/>
      <c r="O2746" s="11"/>
      <c r="P2746" s="43"/>
      <c r="Q2746" s="11"/>
      <c r="R2746" s="11"/>
      <c r="S2746" s="11"/>
      <c r="T2746" s="11"/>
      <c r="U2746" s="11"/>
      <c r="V2746" s="11"/>
      <c r="W2746" s="11"/>
      <c r="X2746" s="12"/>
      <c r="Y2746" s="12"/>
      <c r="Z2746" s="12"/>
      <c r="AA2746" s="44"/>
      <c r="AB2746" s="45"/>
      <c r="AC2746" s="12"/>
      <c r="AD2746" s="12"/>
      <c r="AE2746" s="12"/>
      <c r="AF2746" s="12"/>
      <c r="AG2746" s="44"/>
      <c r="AH2746" s="45"/>
      <c r="AI2746" s="12"/>
      <c r="AJ2746" s="12"/>
      <c r="AK2746" s="12"/>
      <c r="AL2746" s="12"/>
      <c r="AM2746" s="44"/>
      <c r="AN2746" s="45"/>
      <c r="AO2746" s="12"/>
      <c r="AP2746" s="12"/>
      <c r="AQ2746" s="12"/>
      <c r="AR2746" s="12"/>
      <c r="AS2746" s="44"/>
      <c r="AT2746" s="45"/>
      <c r="AU2746" s="12"/>
      <c r="AV2746" s="12"/>
      <c r="AW2746" s="12"/>
      <c r="AX2746" s="12"/>
      <c r="AY2746" s="44"/>
      <c r="AZ2746" s="45"/>
      <c r="BA2746" s="12"/>
      <c r="BB2746" s="12"/>
      <c r="BC2746" s="12"/>
      <c r="BD2746" s="12"/>
      <c r="BE2746" s="44"/>
      <c r="BF2746" s="45"/>
      <c r="BG2746" s="12"/>
      <c r="BH2746" s="12"/>
      <c r="BI2746" s="12"/>
      <c r="BJ2746" s="12"/>
      <c r="BK2746" s="44"/>
      <c r="BL2746" s="45"/>
      <c r="BM2746" s="12"/>
      <c r="BN2746" s="12"/>
      <c r="BO2746" s="12"/>
      <c r="BP2746" s="12"/>
      <c r="BQ2746" s="48"/>
      <c r="BR2746" s="49"/>
      <c r="BS2746" s="13"/>
      <c r="BT2746" s="12"/>
      <c r="BV2746" s="14"/>
      <c r="BW2746" s="50"/>
      <c r="BX2746" s="54"/>
      <c r="BY2746" s="14"/>
      <c r="BZ2746" s="14"/>
      <c r="CA2746" s="14"/>
      <c r="CB2746" s="14"/>
      <c r="CC2746" s="14"/>
      <c r="CD2746" s="14"/>
      <c r="CE2746" s="14"/>
      <c r="CF2746" s="15"/>
      <c r="CG2746" s="14"/>
      <c r="CH2746" s="14"/>
      <c r="CI2746" s="50"/>
      <c r="CJ2746" s="54"/>
      <c r="CK2746" s="14"/>
      <c r="CL2746" s="14"/>
      <c r="CM2746" s="14"/>
      <c r="CN2746" s="14"/>
      <c r="CO2746" s="14"/>
      <c r="CP2746" s="14"/>
      <c r="CQ2746" s="14"/>
      <c r="CR2746" s="14"/>
      <c r="CS2746" s="14"/>
      <c r="CT2746" s="14"/>
      <c r="CU2746" s="16"/>
      <c r="CV2746" s="14"/>
      <c r="CW2746" s="50"/>
      <c r="CX2746" s="17"/>
    </row>
    <row r="2747" spans="4:102" x14ac:dyDescent="0.25">
      <c r="D2747" s="11"/>
      <c r="E2747" s="11"/>
      <c r="F2747" s="11"/>
      <c r="G2747" s="11"/>
      <c r="H2747" s="11"/>
      <c r="I2747" s="11"/>
      <c r="J2747" s="11"/>
      <c r="K2747" s="11"/>
      <c r="L2747" s="11"/>
      <c r="M2747" s="11"/>
      <c r="N2747" s="11"/>
      <c r="O2747" s="11"/>
      <c r="P2747" s="43"/>
      <c r="Q2747" s="11"/>
      <c r="R2747" s="11"/>
      <c r="S2747" s="11"/>
      <c r="T2747" s="11"/>
      <c r="U2747" s="11"/>
      <c r="V2747" s="11"/>
      <c r="W2747" s="11"/>
      <c r="X2747" s="12"/>
      <c r="Y2747" s="12"/>
      <c r="Z2747" s="12"/>
      <c r="AA2747" s="44"/>
      <c r="AB2747" s="45"/>
      <c r="AC2747" s="12"/>
      <c r="AD2747" s="12"/>
      <c r="AE2747" s="12"/>
      <c r="AF2747" s="12"/>
      <c r="AG2747" s="44"/>
      <c r="AH2747" s="45"/>
      <c r="AI2747" s="12"/>
      <c r="AJ2747" s="12"/>
      <c r="AK2747" s="12"/>
      <c r="AL2747" s="12"/>
      <c r="AM2747" s="44"/>
      <c r="AN2747" s="45"/>
      <c r="AO2747" s="12"/>
      <c r="AP2747" s="12"/>
      <c r="AQ2747" s="12"/>
      <c r="AR2747" s="12"/>
      <c r="AS2747" s="44"/>
      <c r="AT2747" s="45"/>
      <c r="AU2747" s="12"/>
      <c r="AV2747" s="12"/>
      <c r="AW2747" s="12"/>
      <c r="AX2747" s="12"/>
      <c r="AY2747" s="44"/>
      <c r="AZ2747" s="45"/>
      <c r="BA2747" s="12"/>
      <c r="BB2747" s="12"/>
      <c r="BC2747" s="12"/>
      <c r="BD2747" s="12"/>
      <c r="BE2747" s="44"/>
      <c r="BF2747" s="45"/>
      <c r="BG2747" s="12"/>
      <c r="BH2747" s="12"/>
      <c r="BI2747" s="12"/>
      <c r="BJ2747" s="12"/>
      <c r="BK2747" s="44"/>
      <c r="BL2747" s="45"/>
      <c r="BM2747" s="12"/>
      <c r="BN2747" s="12"/>
      <c r="BO2747" s="12"/>
      <c r="BP2747" s="12"/>
      <c r="BQ2747" s="48"/>
      <c r="BR2747" s="49"/>
      <c r="BS2747" s="13"/>
      <c r="BT2747" s="12"/>
      <c r="BV2747" s="14"/>
      <c r="BW2747" s="50"/>
      <c r="BX2747" s="54"/>
      <c r="BY2747" s="14"/>
      <c r="BZ2747" s="14"/>
      <c r="CA2747" s="14"/>
      <c r="CB2747" s="14"/>
      <c r="CC2747" s="14"/>
      <c r="CD2747" s="14"/>
      <c r="CE2747" s="14"/>
      <c r="CF2747" s="15"/>
      <c r="CG2747" s="14"/>
      <c r="CH2747" s="14"/>
      <c r="CI2747" s="50"/>
      <c r="CJ2747" s="54"/>
      <c r="CK2747" s="14"/>
      <c r="CL2747" s="14"/>
      <c r="CM2747" s="14"/>
      <c r="CN2747" s="14"/>
      <c r="CO2747" s="14"/>
      <c r="CP2747" s="14"/>
      <c r="CQ2747" s="14"/>
      <c r="CR2747" s="14"/>
      <c r="CS2747" s="14"/>
      <c r="CT2747" s="14"/>
      <c r="CU2747" s="16"/>
      <c r="CV2747" s="14"/>
      <c r="CW2747" s="50"/>
      <c r="CX2747" s="17"/>
    </row>
    <row r="2748" spans="4:102" x14ac:dyDescent="0.25">
      <c r="D2748" s="11"/>
      <c r="E2748" s="11"/>
      <c r="F2748" s="11"/>
      <c r="G2748" s="11"/>
      <c r="H2748" s="11"/>
      <c r="I2748" s="11"/>
      <c r="J2748" s="11"/>
      <c r="K2748" s="11"/>
      <c r="L2748" s="11"/>
      <c r="M2748" s="11"/>
      <c r="N2748" s="11"/>
      <c r="O2748" s="11"/>
      <c r="P2748" s="43"/>
      <c r="Q2748" s="11"/>
      <c r="R2748" s="11"/>
      <c r="S2748" s="11"/>
      <c r="T2748" s="11"/>
      <c r="U2748" s="11"/>
      <c r="V2748" s="11"/>
      <c r="W2748" s="11"/>
      <c r="X2748" s="12"/>
      <c r="Y2748" s="12"/>
      <c r="Z2748" s="12"/>
      <c r="AA2748" s="44"/>
      <c r="AB2748" s="45"/>
      <c r="AC2748" s="12"/>
      <c r="AD2748" s="12"/>
      <c r="AE2748" s="12"/>
      <c r="AF2748" s="12"/>
      <c r="AG2748" s="44"/>
      <c r="AH2748" s="45"/>
      <c r="AI2748" s="12"/>
      <c r="AJ2748" s="12"/>
      <c r="AK2748" s="12"/>
      <c r="AL2748" s="12"/>
      <c r="AM2748" s="44"/>
      <c r="AN2748" s="45"/>
      <c r="AO2748" s="12"/>
      <c r="AP2748" s="12"/>
      <c r="AQ2748" s="12"/>
      <c r="AR2748" s="12"/>
      <c r="AS2748" s="44"/>
      <c r="AT2748" s="45"/>
      <c r="AU2748" s="12"/>
      <c r="AV2748" s="12"/>
      <c r="AW2748" s="12"/>
      <c r="AX2748" s="12"/>
      <c r="AY2748" s="44"/>
      <c r="AZ2748" s="45"/>
      <c r="BA2748" s="12"/>
      <c r="BB2748" s="12"/>
      <c r="BC2748" s="12"/>
      <c r="BD2748" s="12"/>
      <c r="BE2748" s="44"/>
      <c r="BF2748" s="45"/>
      <c r="BG2748" s="12"/>
      <c r="BH2748" s="12"/>
      <c r="BI2748" s="12"/>
      <c r="BJ2748" s="12"/>
      <c r="BK2748" s="44"/>
      <c r="BL2748" s="45"/>
      <c r="BM2748" s="12"/>
      <c r="BN2748" s="12"/>
      <c r="BO2748" s="12"/>
      <c r="BP2748" s="12"/>
      <c r="BQ2748" s="48"/>
      <c r="BR2748" s="49"/>
      <c r="BS2748" s="13"/>
      <c r="BT2748" s="12"/>
      <c r="BV2748" s="14"/>
      <c r="BW2748" s="50"/>
      <c r="BX2748" s="54"/>
      <c r="BY2748" s="14"/>
      <c r="BZ2748" s="14"/>
      <c r="CA2748" s="14"/>
      <c r="CB2748" s="14"/>
      <c r="CC2748" s="14"/>
      <c r="CD2748" s="14"/>
      <c r="CE2748" s="14"/>
      <c r="CF2748" s="15"/>
      <c r="CG2748" s="14"/>
      <c r="CH2748" s="14"/>
      <c r="CI2748" s="50"/>
      <c r="CJ2748" s="54"/>
      <c r="CK2748" s="14"/>
      <c r="CL2748" s="14"/>
      <c r="CM2748" s="14"/>
      <c r="CN2748" s="14"/>
      <c r="CO2748" s="14"/>
      <c r="CP2748" s="14"/>
      <c r="CQ2748" s="14"/>
      <c r="CR2748" s="14"/>
      <c r="CS2748" s="14"/>
      <c r="CT2748" s="14"/>
      <c r="CU2748" s="16"/>
      <c r="CV2748" s="14"/>
      <c r="CW2748" s="50"/>
      <c r="CX2748" s="17"/>
    </row>
    <row r="2749" spans="4:102" x14ac:dyDescent="0.25">
      <c r="D2749" s="11"/>
      <c r="E2749" s="11"/>
      <c r="F2749" s="11"/>
      <c r="G2749" s="11"/>
      <c r="H2749" s="11"/>
      <c r="I2749" s="11"/>
      <c r="J2749" s="11"/>
      <c r="K2749" s="11"/>
      <c r="L2749" s="11"/>
      <c r="M2749" s="11"/>
      <c r="N2749" s="11"/>
      <c r="O2749" s="11"/>
      <c r="P2749" s="43"/>
      <c r="Q2749" s="11"/>
      <c r="R2749" s="11"/>
      <c r="S2749" s="11"/>
      <c r="T2749" s="11"/>
      <c r="U2749" s="11"/>
      <c r="V2749" s="11"/>
      <c r="W2749" s="11"/>
      <c r="X2749" s="12"/>
      <c r="Y2749" s="12"/>
      <c r="Z2749" s="12"/>
      <c r="AA2749" s="44"/>
      <c r="AB2749" s="45"/>
      <c r="AC2749" s="12"/>
      <c r="AD2749" s="12"/>
      <c r="AE2749" s="12"/>
      <c r="AF2749" s="12"/>
      <c r="AG2749" s="44"/>
      <c r="AH2749" s="45"/>
      <c r="AI2749" s="12"/>
      <c r="AJ2749" s="12"/>
      <c r="AK2749" s="12"/>
      <c r="AL2749" s="12"/>
      <c r="AM2749" s="44"/>
      <c r="AN2749" s="45"/>
      <c r="AO2749" s="12"/>
      <c r="AP2749" s="12"/>
      <c r="AQ2749" s="12"/>
      <c r="AR2749" s="12"/>
      <c r="AS2749" s="44"/>
      <c r="AT2749" s="45"/>
      <c r="AU2749" s="12"/>
      <c r="AV2749" s="12"/>
      <c r="AW2749" s="12"/>
      <c r="AX2749" s="12"/>
      <c r="AY2749" s="44"/>
      <c r="AZ2749" s="45"/>
      <c r="BA2749" s="12"/>
      <c r="BB2749" s="12"/>
      <c r="BC2749" s="12"/>
      <c r="BD2749" s="12"/>
      <c r="BE2749" s="44"/>
      <c r="BF2749" s="45"/>
      <c r="BG2749" s="12"/>
      <c r="BH2749" s="12"/>
      <c r="BI2749" s="12"/>
      <c r="BJ2749" s="12"/>
      <c r="BK2749" s="44"/>
      <c r="BL2749" s="45"/>
      <c r="BM2749" s="12"/>
      <c r="BN2749" s="12"/>
      <c r="BO2749" s="12"/>
      <c r="BP2749" s="12"/>
      <c r="BQ2749" s="48"/>
      <c r="BR2749" s="49"/>
      <c r="BS2749" s="13"/>
      <c r="BT2749" s="12"/>
      <c r="BV2749" s="14"/>
      <c r="BW2749" s="50"/>
      <c r="BX2749" s="54"/>
      <c r="BY2749" s="14"/>
      <c r="BZ2749" s="14"/>
      <c r="CA2749" s="14"/>
      <c r="CB2749" s="14"/>
      <c r="CC2749" s="14"/>
      <c r="CD2749" s="14"/>
      <c r="CE2749" s="14"/>
      <c r="CF2749" s="15"/>
      <c r="CG2749" s="14"/>
      <c r="CH2749" s="14"/>
      <c r="CI2749" s="50"/>
      <c r="CJ2749" s="54"/>
      <c r="CK2749" s="14"/>
      <c r="CL2749" s="14"/>
      <c r="CM2749" s="14"/>
      <c r="CN2749" s="14"/>
      <c r="CO2749" s="14"/>
      <c r="CP2749" s="14"/>
      <c r="CQ2749" s="14"/>
      <c r="CR2749" s="14"/>
      <c r="CS2749" s="14"/>
      <c r="CT2749" s="14"/>
      <c r="CU2749" s="16"/>
      <c r="CV2749" s="14"/>
      <c r="CW2749" s="50"/>
      <c r="CX2749" s="17"/>
    </row>
    <row r="2750" spans="4:102" x14ac:dyDescent="0.25">
      <c r="D2750" s="11"/>
      <c r="E2750" s="11"/>
      <c r="F2750" s="11"/>
      <c r="G2750" s="11"/>
      <c r="H2750" s="11"/>
      <c r="I2750" s="11"/>
      <c r="J2750" s="11"/>
      <c r="K2750" s="11"/>
      <c r="L2750" s="11"/>
      <c r="M2750" s="11"/>
      <c r="N2750" s="11"/>
      <c r="O2750" s="11"/>
      <c r="P2750" s="43"/>
      <c r="Q2750" s="11"/>
      <c r="R2750" s="11"/>
      <c r="S2750" s="11"/>
      <c r="T2750" s="11"/>
      <c r="U2750" s="11"/>
      <c r="V2750" s="11"/>
      <c r="W2750" s="11"/>
      <c r="X2750" s="12"/>
      <c r="Y2750" s="12"/>
      <c r="Z2750" s="12"/>
      <c r="AA2750" s="44"/>
      <c r="AB2750" s="45"/>
      <c r="AC2750" s="12"/>
      <c r="AD2750" s="12"/>
      <c r="AE2750" s="12"/>
      <c r="AF2750" s="12"/>
      <c r="AG2750" s="44"/>
      <c r="AH2750" s="45"/>
      <c r="AI2750" s="12"/>
      <c r="AJ2750" s="12"/>
      <c r="AK2750" s="12"/>
      <c r="AL2750" s="12"/>
      <c r="AM2750" s="44"/>
      <c r="AN2750" s="45"/>
      <c r="AO2750" s="12"/>
      <c r="AP2750" s="12"/>
      <c r="AQ2750" s="12"/>
      <c r="AR2750" s="12"/>
      <c r="AS2750" s="44"/>
      <c r="AT2750" s="45"/>
      <c r="AU2750" s="12"/>
      <c r="AV2750" s="12"/>
      <c r="AW2750" s="12"/>
      <c r="AX2750" s="12"/>
      <c r="AY2750" s="44"/>
      <c r="AZ2750" s="45"/>
      <c r="BA2750" s="12"/>
      <c r="BB2750" s="12"/>
      <c r="BC2750" s="12"/>
      <c r="BD2750" s="12"/>
      <c r="BE2750" s="44"/>
      <c r="BF2750" s="45"/>
      <c r="BG2750" s="12"/>
      <c r="BH2750" s="12"/>
      <c r="BI2750" s="12"/>
      <c r="BJ2750" s="12"/>
      <c r="BK2750" s="44"/>
      <c r="BL2750" s="45"/>
      <c r="BM2750" s="12"/>
      <c r="BN2750" s="12"/>
      <c r="BO2750" s="12"/>
      <c r="BP2750" s="12"/>
      <c r="BQ2750" s="48"/>
      <c r="BR2750" s="49"/>
      <c r="BS2750" s="13"/>
      <c r="BT2750" s="12"/>
      <c r="BV2750" s="14"/>
      <c r="BW2750" s="50"/>
      <c r="BX2750" s="54"/>
      <c r="BY2750" s="14"/>
      <c r="BZ2750" s="14"/>
      <c r="CA2750" s="14"/>
      <c r="CB2750" s="14"/>
      <c r="CC2750" s="14"/>
      <c r="CD2750" s="14"/>
      <c r="CE2750" s="14"/>
      <c r="CF2750" s="15"/>
      <c r="CG2750" s="14"/>
      <c r="CH2750" s="14"/>
      <c r="CI2750" s="50"/>
      <c r="CJ2750" s="54"/>
      <c r="CK2750" s="14"/>
      <c r="CL2750" s="14"/>
      <c r="CM2750" s="14"/>
      <c r="CN2750" s="14"/>
      <c r="CO2750" s="14"/>
      <c r="CP2750" s="14"/>
      <c r="CQ2750" s="14"/>
      <c r="CR2750" s="14"/>
      <c r="CS2750" s="14"/>
      <c r="CT2750" s="14"/>
      <c r="CU2750" s="16"/>
      <c r="CV2750" s="14"/>
      <c r="CW2750" s="50"/>
      <c r="CX2750" s="17"/>
    </row>
    <row r="2751" spans="4:102" x14ac:dyDescent="0.25">
      <c r="D2751" s="11"/>
      <c r="E2751" s="11"/>
      <c r="F2751" s="11"/>
      <c r="G2751" s="11"/>
      <c r="H2751" s="11"/>
      <c r="I2751" s="11"/>
      <c r="J2751" s="11"/>
      <c r="K2751" s="11"/>
      <c r="L2751" s="11"/>
      <c r="M2751" s="11"/>
      <c r="N2751" s="11"/>
      <c r="O2751" s="11"/>
      <c r="P2751" s="43"/>
      <c r="Q2751" s="11"/>
      <c r="R2751" s="11"/>
      <c r="S2751" s="11"/>
      <c r="T2751" s="11"/>
      <c r="U2751" s="11"/>
      <c r="V2751" s="11"/>
      <c r="W2751" s="11"/>
      <c r="X2751" s="12"/>
      <c r="Y2751" s="12"/>
      <c r="Z2751" s="12"/>
      <c r="AA2751" s="44"/>
      <c r="AB2751" s="45"/>
      <c r="AC2751" s="12"/>
      <c r="AD2751" s="12"/>
      <c r="AE2751" s="12"/>
      <c r="AF2751" s="12"/>
      <c r="AG2751" s="44"/>
      <c r="AH2751" s="45"/>
      <c r="AI2751" s="12"/>
      <c r="AJ2751" s="12"/>
      <c r="AK2751" s="12"/>
      <c r="AL2751" s="12"/>
      <c r="AM2751" s="44"/>
      <c r="AN2751" s="45"/>
      <c r="AO2751" s="12"/>
      <c r="AP2751" s="12"/>
      <c r="AQ2751" s="12"/>
      <c r="AR2751" s="12"/>
      <c r="AS2751" s="44"/>
      <c r="AT2751" s="45"/>
      <c r="AU2751" s="12"/>
      <c r="AV2751" s="12"/>
      <c r="AW2751" s="12"/>
      <c r="AX2751" s="12"/>
      <c r="AY2751" s="44"/>
      <c r="AZ2751" s="45"/>
      <c r="BA2751" s="12"/>
      <c r="BB2751" s="12"/>
      <c r="BC2751" s="12"/>
      <c r="BD2751" s="12"/>
      <c r="BE2751" s="44"/>
      <c r="BF2751" s="45"/>
      <c r="BG2751" s="12"/>
      <c r="BH2751" s="12"/>
      <c r="BI2751" s="12"/>
      <c r="BJ2751" s="12"/>
      <c r="BK2751" s="44"/>
      <c r="BL2751" s="45"/>
      <c r="BM2751" s="12"/>
      <c r="BN2751" s="12"/>
      <c r="BO2751" s="12"/>
      <c r="BP2751" s="12"/>
      <c r="BQ2751" s="48"/>
      <c r="BR2751" s="49"/>
      <c r="BS2751" s="13"/>
      <c r="BT2751" s="12"/>
      <c r="BV2751" s="14"/>
      <c r="BW2751" s="50"/>
      <c r="BX2751" s="54"/>
      <c r="BY2751" s="14"/>
      <c r="BZ2751" s="14"/>
      <c r="CA2751" s="14"/>
      <c r="CB2751" s="14"/>
      <c r="CC2751" s="14"/>
      <c r="CD2751" s="14"/>
      <c r="CE2751" s="14"/>
      <c r="CF2751" s="15"/>
      <c r="CG2751" s="14"/>
      <c r="CH2751" s="14"/>
      <c r="CI2751" s="50"/>
      <c r="CJ2751" s="54"/>
      <c r="CK2751" s="14"/>
      <c r="CL2751" s="14"/>
      <c r="CM2751" s="14"/>
      <c r="CN2751" s="14"/>
      <c r="CO2751" s="14"/>
      <c r="CP2751" s="14"/>
      <c r="CQ2751" s="14"/>
      <c r="CR2751" s="14"/>
      <c r="CS2751" s="14"/>
      <c r="CT2751" s="14"/>
      <c r="CU2751" s="16"/>
      <c r="CV2751" s="14"/>
      <c r="CW2751" s="50"/>
      <c r="CX2751" s="17"/>
    </row>
    <row r="2752" spans="4:102" x14ac:dyDescent="0.25">
      <c r="D2752" s="11"/>
      <c r="E2752" s="11"/>
      <c r="F2752" s="11"/>
      <c r="G2752" s="11"/>
      <c r="H2752" s="11"/>
      <c r="I2752" s="11"/>
      <c r="J2752" s="11"/>
      <c r="K2752" s="11"/>
      <c r="L2752" s="11"/>
      <c r="M2752" s="11"/>
      <c r="N2752" s="11"/>
      <c r="O2752" s="11"/>
      <c r="P2752" s="43"/>
      <c r="Q2752" s="11"/>
      <c r="R2752" s="11"/>
      <c r="S2752" s="11"/>
      <c r="T2752" s="11"/>
      <c r="U2752" s="11"/>
      <c r="V2752" s="11"/>
      <c r="W2752" s="11"/>
      <c r="X2752" s="12"/>
      <c r="Y2752" s="12"/>
      <c r="Z2752" s="12"/>
      <c r="AA2752" s="44"/>
      <c r="AB2752" s="45"/>
      <c r="AC2752" s="12"/>
      <c r="AD2752" s="12"/>
      <c r="AE2752" s="12"/>
      <c r="AF2752" s="12"/>
      <c r="AG2752" s="44"/>
      <c r="AH2752" s="45"/>
      <c r="AI2752" s="12"/>
      <c r="AJ2752" s="12"/>
      <c r="AK2752" s="12"/>
      <c r="AL2752" s="12"/>
      <c r="AM2752" s="44"/>
      <c r="AN2752" s="45"/>
      <c r="AO2752" s="12"/>
      <c r="AP2752" s="12"/>
      <c r="AQ2752" s="12"/>
      <c r="AR2752" s="12"/>
      <c r="AS2752" s="44"/>
      <c r="AT2752" s="45"/>
      <c r="AU2752" s="12"/>
      <c r="AV2752" s="12"/>
      <c r="AW2752" s="12"/>
      <c r="AX2752" s="12"/>
      <c r="AY2752" s="44"/>
      <c r="AZ2752" s="45"/>
      <c r="BA2752" s="12"/>
      <c r="BB2752" s="12"/>
      <c r="BC2752" s="12"/>
      <c r="BD2752" s="12"/>
      <c r="BE2752" s="44"/>
      <c r="BF2752" s="45"/>
      <c r="BG2752" s="12"/>
      <c r="BH2752" s="12"/>
      <c r="BI2752" s="12"/>
      <c r="BJ2752" s="12"/>
      <c r="BK2752" s="44"/>
      <c r="BL2752" s="45"/>
      <c r="BM2752" s="12"/>
      <c r="BN2752" s="12"/>
      <c r="BO2752" s="12"/>
      <c r="BP2752" s="12"/>
      <c r="BQ2752" s="48"/>
      <c r="BR2752" s="49"/>
      <c r="BS2752" s="13"/>
      <c r="BT2752" s="12"/>
      <c r="BV2752" s="14"/>
      <c r="BW2752" s="50"/>
      <c r="BX2752" s="54"/>
      <c r="BY2752" s="14"/>
      <c r="BZ2752" s="14"/>
      <c r="CA2752" s="14"/>
      <c r="CB2752" s="14"/>
      <c r="CC2752" s="14"/>
      <c r="CD2752" s="14"/>
      <c r="CE2752" s="14"/>
      <c r="CF2752" s="15"/>
      <c r="CG2752" s="14"/>
      <c r="CH2752" s="14"/>
      <c r="CI2752" s="50"/>
      <c r="CJ2752" s="54"/>
      <c r="CK2752" s="14"/>
      <c r="CL2752" s="14"/>
      <c r="CM2752" s="14"/>
      <c r="CN2752" s="14"/>
      <c r="CO2752" s="14"/>
      <c r="CP2752" s="14"/>
      <c r="CQ2752" s="14"/>
      <c r="CR2752" s="14"/>
      <c r="CS2752" s="14"/>
      <c r="CT2752" s="14"/>
      <c r="CU2752" s="16"/>
      <c r="CV2752" s="14"/>
      <c r="CW2752" s="50"/>
      <c r="CX2752" s="17"/>
    </row>
    <row r="2753" spans="4:102" x14ac:dyDescent="0.25">
      <c r="D2753" s="11"/>
      <c r="E2753" s="11"/>
      <c r="F2753" s="11"/>
      <c r="G2753" s="11"/>
      <c r="H2753" s="11"/>
      <c r="I2753" s="11"/>
      <c r="J2753" s="11"/>
      <c r="K2753" s="11"/>
      <c r="L2753" s="11"/>
      <c r="M2753" s="11"/>
      <c r="N2753" s="11"/>
      <c r="O2753" s="11"/>
      <c r="P2753" s="43"/>
      <c r="Q2753" s="11"/>
      <c r="R2753" s="11"/>
      <c r="S2753" s="11"/>
      <c r="T2753" s="11"/>
      <c r="U2753" s="11"/>
      <c r="V2753" s="11"/>
      <c r="W2753" s="11"/>
      <c r="X2753" s="12"/>
      <c r="Y2753" s="12"/>
      <c r="Z2753" s="12"/>
      <c r="AA2753" s="44"/>
      <c r="AB2753" s="45"/>
      <c r="AC2753" s="12"/>
      <c r="AD2753" s="12"/>
      <c r="AE2753" s="12"/>
      <c r="AF2753" s="12"/>
      <c r="AG2753" s="44"/>
      <c r="AH2753" s="45"/>
      <c r="AI2753" s="12"/>
      <c r="AJ2753" s="12"/>
      <c r="AK2753" s="12"/>
      <c r="AL2753" s="12"/>
      <c r="AM2753" s="44"/>
      <c r="AN2753" s="45"/>
      <c r="AO2753" s="12"/>
      <c r="AP2753" s="12"/>
      <c r="AQ2753" s="12"/>
      <c r="AR2753" s="12"/>
      <c r="AS2753" s="44"/>
      <c r="AT2753" s="45"/>
      <c r="AU2753" s="12"/>
      <c r="AV2753" s="12"/>
      <c r="AW2753" s="12"/>
      <c r="AX2753" s="12"/>
      <c r="AY2753" s="44"/>
      <c r="AZ2753" s="45"/>
      <c r="BA2753" s="12"/>
      <c r="BB2753" s="12"/>
      <c r="BC2753" s="12"/>
      <c r="BD2753" s="12"/>
      <c r="BE2753" s="44"/>
      <c r="BF2753" s="45"/>
      <c r="BG2753" s="12"/>
      <c r="BH2753" s="12"/>
      <c r="BI2753" s="12"/>
      <c r="BJ2753" s="12"/>
      <c r="BK2753" s="44"/>
      <c r="BL2753" s="45"/>
      <c r="BM2753" s="12"/>
      <c r="BN2753" s="12"/>
      <c r="BO2753" s="12"/>
      <c r="BP2753" s="12"/>
      <c r="BQ2753" s="48"/>
      <c r="BR2753" s="49"/>
      <c r="BS2753" s="13"/>
      <c r="BT2753" s="12"/>
      <c r="BV2753" s="14"/>
      <c r="BW2753" s="50"/>
      <c r="BX2753" s="54"/>
      <c r="BY2753" s="14"/>
      <c r="BZ2753" s="14"/>
      <c r="CA2753" s="14"/>
      <c r="CB2753" s="14"/>
      <c r="CC2753" s="14"/>
      <c r="CD2753" s="14"/>
      <c r="CE2753" s="14"/>
      <c r="CF2753" s="15"/>
      <c r="CG2753" s="14"/>
      <c r="CH2753" s="14"/>
      <c r="CI2753" s="50"/>
      <c r="CJ2753" s="54"/>
      <c r="CK2753" s="14"/>
      <c r="CL2753" s="14"/>
      <c r="CM2753" s="14"/>
      <c r="CN2753" s="14"/>
      <c r="CO2753" s="14"/>
      <c r="CP2753" s="14"/>
      <c r="CQ2753" s="14"/>
      <c r="CR2753" s="14"/>
      <c r="CS2753" s="14"/>
      <c r="CT2753" s="14"/>
      <c r="CU2753" s="16"/>
      <c r="CV2753" s="14"/>
      <c r="CW2753" s="50"/>
      <c r="CX2753" s="17"/>
    </row>
    <row r="2754" spans="4:102" x14ac:dyDescent="0.25">
      <c r="D2754" s="11"/>
      <c r="E2754" s="11"/>
      <c r="F2754" s="11"/>
      <c r="G2754" s="11"/>
      <c r="H2754" s="11"/>
      <c r="I2754" s="11"/>
      <c r="J2754" s="11"/>
      <c r="K2754" s="11"/>
      <c r="L2754" s="11"/>
      <c r="M2754" s="11"/>
      <c r="N2754" s="11"/>
      <c r="O2754" s="11"/>
      <c r="P2754" s="43"/>
      <c r="Q2754" s="11"/>
      <c r="R2754" s="11"/>
      <c r="S2754" s="11"/>
      <c r="T2754" s="11"/>
      <c r="U2754" s="11"/>
      <c r="V2754" s="11"/>
      <c r="W2754" s="11"/>
      <c r="X2754" s="12"/>
      <c r="Y2754" s="12"/>
      <c r="Z2754" s="12"/>
      <c r="AA2754" s="44"/>
      <c r="AB2754" s="45"/>
      <c r="AC2754" s="12"/>
      <c r="AD2754" s="12"/>
      <c r="AE2754" s="12"/>
      <c r="AF2754" s="12"/>
      <c r="AG2754" s="44"/>
      <c r="AH2754" s="45"/>
      <c r="AI2754" s="12"/>
      <c r="AJ2754" s="12"/>
      <c r="AK2754" s="12"/>
      <c r="AL2754" s="12"/>
      <c r="AM2754" s="44"/>
      <c r="AN2754" s="45"/>
      <c r="AO2754" s="12"/>
      <c r="AP2754" s="12"/>
      <c r="AQ2754" s="12"/>
      <c r="AR2754" s="12"/>
      <c r="AS2754" s="44"/>
      <c r="AT2754" s="45"/>
      <c r="AU2754" s="12"/>
      <c r="AV2754" s="12"/>
      <c r="AW2754" s="12"/>
      <c r="AX2754" s="12"/>
      <c r="AY2754" s="44"/>
      <c r="AZ2754" s="45"/>
      <c r="BA2754" s="12"/>
      <c r="BB2754" s="12"/>
      <c r="BC2754" s="12"/>
      <c r="BD2754" s="12"/>
      <c r="BE2754" s="44"/>
      <c r="BF2754" s="45"/>
      <c r="BG2754" s="12"/>
      <c r="BH2754" s="12"/>
      <c r="BI2754" s="12"/>
      <c r="BJ2754" s="12"/>
      <c r="BK2754" s="44"/>
      <c r="BL2754" s="45"/>
      <c r="BM2754" s="12"/>
      <c r="BN2754" s="12"/>
      <c r="BO2754" s="12"/>
      <c r="BP2754" s="12"/>
      <c r="BQ2754" s="48"/>
      <c r="BR2754" s="49"/>
      <c r="BS2754" s="13"/>
      <c r="BT2754" s="12"/>
      <c r="BV2754" s="14"/>
      <c r="BW2754" s="50"/>
      <c r="BX2754" s="54"/>
      <c r="BY2754" s="14"/>
      <c r="BZ2754" s="14"/>
      <c r="CA2754" s="14"/>
      <c r="CB2754" s="14"/>
      <c r="CC2754" s="14"/>
      <c r="CD2754" s="14"/>
      <c r="CE2754" s="14"/>
      <c r="CF2754" s="15"/>
      <c r="CG2754" s="14"/>
      <c r="CH2754" s="14"/>
      <c r="CI2754" s="50"/>
      <c r="CJ2754" s="54"/>
      <c r="CK2754" s="14"/>
      <c r="CL2754" s="14"/>
      <c r="CM2754" s="14"/>
      <c r="CN2754" s="14"/>
      <c r="CO2754" s="14"/>
      <c r="CP2754" s="14"/>
      <c r="CQ2754" s="14"/>
      <c r="CR2754" s="14"/>
      <c r="CS2754" s="14"/>
      <c r="CT2754" s="14"/>
      <c r="CU2754" s="16"/>
      <c r="CV2754" s="14"/>
      <c r="CW2754" s="50"/>
      <c r="CX2754" s="17"/>
    </row>
    <row r="2755" spans="4:102" x14ac:dyDescent="0.25">
      <c r="D2755" s="11"/>
      <c r="E2755" s="11"/>
      <c r="F2755" s="11"/>
      <c r="G2755" s="11"/>
      <c r="H2755" s="11"/>
      <c r="I2755" s="11"/>
      <c r="J2755" s="11"/>
      <c r="K2755" s="11"/>
      <c r="L2755" s="11"/>
      <c r="M2755" s="11"/>
      <c r="N2755" s="11"/>
      <c r="O2755" s="11"/>
      <c r="P2755" s="43"/>
      <c r="Q2755" s="11"/>
      <c r="R2755" s="11"/>
      <c r="S2755" s="11"/>
      <c r="T2755" s="11"/>
      <c r="U2755" s="11"/>
      <c r="V2755" s="11"/>
      <c r="W2755" s="11"/>
      <c r="X2755" s="12"/>
      <c r="Y2755" s="12"/>
      <c r="Z2755" s="12"/>
      <c r="AA2755" s="44"/>
      <c r="AB2755" s="45"/>
      <c r="AC2755" s="12"/>
      <c r="AD2755" s="12"/>
      <c r="AE2755" s="12"/>
      <c r="AF2755" s="12"/>
      <c r="AG2755" s="44"/>
      <c r="AH2755" s="45"/>
      <c r="AI2755" s="12"/>
      <c r="AJ2755" s="12"/>
      <c r="AK2755" s="12"/>
      <c r="AL2755" s="12"/>
      <c r="AM2755" s="44"/>
      <c r="AN2755" s="45"/>
      <c r="AO2755" s="12"/>
      <c r="AP2755" s="12"/>
      <c r="AQ2755" s="12"/>
      <c r="AR2755" s="12"/>
      <c r="AS2755" s="44"/>
      <c r="AT2755" s="45"/>
      <c r="AU2755" s="12"/>
      <c r="AV2755" s="12"/>
      <c r="AW2755" s="12"/>
      <c r="AX2755" s="12"/>
      <c r="AY2755" s="44"/>
      <c r="AZ2755" s="45"/>
      <c r="BA2755" s="12"/>
      <c r="BB2755" s="12"/>
      <c r="BC2755" s="12"/>
      <c r="BD2755" s="12"/>
      <c r="BE2755" s="44"/>
      <c r="BF2755" s="45"/>
      <c r="BG2755" s="12"/>
      <c r="BH2755" s="12"/>
      <c r="BI2755" s="12"/>
      <c r="BJ2755" s="12"/>
      <c r="BK2755" s="44"/>
      <c r="BL2755" s="45"/>
      <c r="BM2755" s="12"/>
      <c r="BN2755" s="12"/>
      <c r="BO2755" s="12"/>
      <c r="BP2755" s="12"/>
      <c r="BQ2755" s="48"/>
      <c r="BR2755" s="49"/>
      <c r="BS2755" s="13"/>
      <c r="BT2755" s="12"/>
      <c r="BV2755" s="14"/>
      <c r="BW2755" s="50"/>
      <c r="BX2755" s="54"/>
      <c r="BY2755" s="14"/>
      <c r="BZ2755" s="14"/>
      <c r="CA2755" s="14"/>
      <c r="CB2755" s="14"/>
      <c r="CC2755" s="14"/>
      <c r="CD2755" s="14"/>
      <c r="CE2755" s="14"/>
      <c r="CF2755" s="15"/>
      <c r="CG2755" s="14"/>
      <c r="CH2755" s="14"/>
      <c r="CI2755" s="50"/>
      <c r="CJ2755" s="54"/>
      <c r="CK2755" s="14"/>
      <c r="CL2755" s="14"/>
      <c r="CM2755" s="14"/>
      <c r="CN2755" s="14"/>
      <c r="CO2755" s="14"/>
      <c r="CP2755" s="14"/>
      <c r="CQ2755" s="14"/>
      <c r="CR2755" s="14"/>
      <c r="CS2755" s="14"/>
      <c r="CT2755" s="14"/>
      <c r="CU2755" s="16"/>
      <c r="CV2755" s="14"/>
      <c r="CW2755" s="50"/>
      <c r="CX2755" s="17"/>
    </row>
    <row r="2756" spans="4:102" x14ac:dyDescent="0.25">
      <c r="D2756" s="11"/>
      <c r="E2756" s="11"/>
      <c r="F2756" s="11"/>
      <c r="G2756" s="11"/>
      <c r="H2756" s="11"/>
      <c r="I2756" s="11"/>
      <c r="J2756" s="11"/>
      <c r="K2756" s="11"/>
      <c r="L2756" s="11"/>
      <c r="M2756" s="11"/>
      <c r="N2756" s="11"/>
      <c r="O2756" s="11"/>
      <c r="P2756" s="43"/>
      <c r="Q2756" s="11"/>
      <c r="R2756" s="11"/>
      <c r="S2756" s="11"/>
      <c r="T2756" s="11"/>
      <c r="U2756" s="11"/>
      <c r="V2756" s="11"/>
      <c r="W2756" s="11"/>
      <c r="X2756" s="12"/>
      <c r="Y2756" s="12"/>
      <c r="Z2756" s="12"/>
      <c r="AA2756" s="44"/>
      <c r="AB2756" s="45"/>
      <c r="AC2756" s="12"/>
      <c r="AD2756" s="12"/>
      <c r="AE2756" s="12"/>
      <c r="AF2756" s="12"/>
      <c r="AG2756" s="44"/>
      <c r="AH2756" s="45"/>
      <c r="AI2756" s="12"/>
      <c r="AJ2756" s="12"/>
      <c r="AK2756" s="12"/>
      <c r="AL2756" s="12"/>
      <c r="AM2756" s="44"/>
      <c r="AN2756" s="45"/>
      <c r="AO2756" s="12"/>
      <c r="AP2756" s="12"/>
      <c r="AQ2756" s="12"/>
      <c r="AR2756" s="12"/>
      <c r="AS2756" s="44"/>
      <c r="AT2756" s="45"/>
      <c r="AU2756" s="12"/>
      <c r="AV2756" s="12"/>
      <c r="AW2756" s="12"/>
      <c r="AX2756" s="12"/>
      <c r="AY2756" s="44"/>
      <c r="AZ2756" s="45"/>
      <c r="BA2756" s="12"/>
      <c r="BB2756" s="12"/>
      <c r="BC2756" s="12"/>
      <c r="BD2756" s="12"/>
      <c r="BE2756" s="44"/>
      <c r="BF2756" s="45"/>
      <c r="BG2756" s="12"/>
      <c r="BH2756" s="12"/>
      <c r="BI2756" s="12"/>
      <c r="BJ2756" s="12"/>
      <c r="BK2756" s="44"/>
      <c r="BL2756" s="45"/>
      <c r="BM2756" s="12"/>
      <c r="BN2756" s="12"/>
      <c r="BO2756" s="12"/>
      <c r="BP2756" s="12"/>
      <c r="BQ2756" s="48"/>
      <c r="BR2756" s="49"/>
      <c r="BS2756" s="13"/>
      <c r="BT2756" s="12"/>
      <c r="BV2756" s="14"/>
      <c r="BW2756" s="50"/>
      <c r="BX2756" s="54"/>
      <c r="BY2756" s="14"/>
      <c r="BZ2756" s="14"/>
      <c r="CA2756" s="14"/>
      <c r="CB2756" s="14"/>
      <c r="CC2756" s="14"/>
      <c r="CD2756" s="14"/>
      <c r="CE2756" s="14"/>
      <c r="CF2756" s="15"/>
      <c r="CG2756" s="14"/>
      <c r="CH2756" s="14"/>
      <c r="CI2756" s="50"/>
      <c r="CJ2756" s="54"/>
      <c r="CK2756" s="14"/>
      <c r="CL2756" s="14"/>
      <c r="CM2756" s="14"/>
      <c r="CN2756" s="14"/>
      <c r="CO2756" s="14"/>
      <c r="CP2756" s="14"/>
      <c r="CQ2756" s="14"/>
      <c r="CR2756" s="14"/>
      <c r="CS2756" s="14"/>
      <c r="CT2756" s="14"/>
      <c r="CU2756" s="16"/>
      <c r="CV2756" s="14"/>
      <c r="CW2756" s="50"/>
      <c r="CX2756" s="17"/>
    </row>
    <row r="2757" spans="4:102" x14ac:dyDescent="0.25">
      <c r="D2757" s="11"/>
      <c r="E2757" s="11"/>
      <c r="F2757" s="11"/>
      <c r="G2757" s="11"/>
      <c r="H2757" s="11"/>
      <c r="I2757" s="11"/>
      <c r="J2757" s="11"/>
      <c r="K2757" s="11"/>
      <c r="L2757" s="11"/>
      <c r="M2757" s="11"/>
      <c r="N2757" s="11"/>
      <c r="O2757" s="11"/>
      <c r="P2757" s="43"/>
      <c r="Q2757" s="11"/>
      <c r="R2757" s="11"/>
      <c r="S2757" s="11"/>
      <c r="T2757" s="11"/>
      <c r="U2757" s="11"/>
      <c r="V2757" s="11"/>
      <c r="W2757" s="11"/>
      <c r="X2757" s="12"/>
      <c r="Y2757" s="12"/>
      <c r="Z2757" s="12"/>
      <c r="AA2757" s="44"/>
      <c r="AB2757" s="45"/>
      <c r="AC2757" s="12"/>
      <c r="AD2757" s="12"/>
      <c r="AE2757" s="12"/>
      <c r="AF2757" s="12"/>
      <c r="AG2757" s="44"/>
      <c r="AH2757" s="45"/>
      <c r="AI2757" s="12"/>
      <c r="AJ2757" s="12"/>
      <c r="AK2757" s="12"/>
      <c r="AL2757" s="12"/>
      <c r="AM2757" s="44"/>
      <c r="AN2757" s="45"/>
      <c r="AO2757" s="12"/>
      <c r="AP2757" s="12"/>
      <c r="AQ2757" s="12"/>
      <c r="AR2757" s="12"/>
      <c r="AS2757" s="44"/>
      <c r="AT2757" s="45"/>
      <c r="AU2757" s="12"/>
      <c r="AV2757" s="12"/>
      <c r="AW2757" s="12"/>
      <c r="AX2757" s="12"/>
      <c r="AY2757" s="44"/>
      <c r="AZ2757" s="45"/>
      <c r="BA2757" s="12"/>
      <c r="BB2757" s="12"/>
      <c r="BC2757" s="12"/>
      <c r="BD2757" s="12"/>
      <c r="BE2757" s="44"/>
      <c r="BF2757" s="45"/>
      <c r="BG2757" s="12"/>
      <c r="BH2757" s="12"/>
      <c r="BI2757" s="12"/>
      <c r="BJ2757" s="12"/>
      <c r="BK2757" s="44"/>
      <c r="BL2757" s="45"/>
      <c r="BM2757" s="12"/>
      <c r="BN2757" s="12"/>
      <c r="BO2757" s="12"/>
      <c r="BP2757" s="12"/>
      <c r="BQ2757" s="48"/>
      <c r="BR2757" s="49"/>
      <c r="BS2757" s="13"/>
      <c r="BT2757" s="12"/>
      <c r="BV2757" s="14"/>
      <c r="BW2757" s="50"/>
      <c r="BX2757" s="54"/>
      <c r="BY2757" s="14"/>
      <c r="BZ2757" s="14"/>
      <c r="CA2757" s="14"/>
      <c r="CB2757" s="14"/>
      <c r="CC2757" s="14"/>
      <c r="CD2757" s="14"/>
      <c r="CE2757" s="14"/>
      <c r="CF2757" s="15"/>
      <c r="CG2757" s="14"/>
      <c r="CH2757" s="14"/>
      <c r="CI2757" s="50"/>
      <c r="CJ2757" s="54"/>
      <c r="CK2757" s="14"/>
      <c r="CL2757" s="14"/>
      <c r="CM2757" s="14"/>
      <c r="CN2757" s="14"/>
      <c r="CO2757" s="14"/>
      <c r="CP2757" s="14"/>
      <c r="CQ2757" s="14"/>
      <c r="CR2757" s="14"/>
      <c r="CS2757" s="14"/>
      <c r="CT2757" s="14"/>
      <c r="CU2757" s="16"/>
      <c r="CV2757" s="14"/>
      <c r="CW2757" s="50"/>
      <c r="CX2757" s="17"/>
    </row>
    <row r="2758" spans="4:102" x14ac:dyDescent="0.25">
      <c r="BV2758" s="14"/>
      <c r="BW2758" s="50"/>
      <c r="BX2758" s="54"/>
      <c r="BY2758" s="14"/>
      <c r="BZ2758" s="14"/>
      <c r="CA2758" s="14"/>
      <c r="CB2758" s="14"/>
      <c r="CC2758" s="14"/>
      <c r="CD2758" s="14"/>
      <c r="CE2758" s="14"/>
      <c r="CF2758" s="15"/>
      <c r="CG2758" s="14"/>
      <c r="CH2758" s="14"/>
      <c r="CI2758" s="50"/>
      <c r="CJ2758" s="54"/>
      <c r="CK2758" s="14"/>
      <c r="CL2758" s="14"/>
      <c r="CM2758" s="14"/>
      <c r="CN2758" s="14"/>
      <c r="CO2758" s="14"/>
      <c r="CP2758" s="14"/>
      <c r="CQ2758" s="14"/>
      <c r="CR2758" s="14"/>
      <c r="CS2758" s="14"/>
      <c r="CT2758" s="14"/>
      <c r="CU2758" s="16"/>
      <c r="CV2758" s="14"/>
      <c r="CW2758" s="50"/>
      <c r="CX2758" s="17"/>
    </row>
    <row r="2759" spans="4:102" x14ac:dyDescent="0.25">
      <c r="BV2759" s="14"/>
      <c r="BW2759" s="50"/>
      <c r="BX2759" s="54"/>
      <c r="BY2759" s="14"/>
      <c r="BZ2759" s="14"/>
      <c r="CA2759" s="14"/>
      <c r="CB2759" s="14"/>
      <c r="CC2759" s="14"/>
      <c r="CD2759" s="14"/>
      <c r="CE2759" s="14"/>
      <c r="CF2759" s="15"/>
      <c r="CG2759" s="14"/>
      <c r="CH2759" s="14"/>
      <c r="CI2759" s="50"/>
      <c r="CJ2759" s="54"/>
      <c r="CK2759" s="14"/>
      <c r="CL2759" s="14"/>
      <c r="CM2759" s="14"/>
      <c r="CN2759" s="14"/>
      <c r="CO2759" s="14"/>
      <c r="CP2759" s="14"/>
      <c r="CQ2759" s="14"/>
      <c r="CR2759" s="14"/>
      <c r="CS2759" s="14"/>
      <c r="CT2759" s="14"/>
      <c r="CU2759" s="16"/>
      <c r="CV2759" s="14"/>
      <c r="CW2759" s="50"/>
      <c r="CX2759" s="17"/>
    </row>
    <row r="2760" spans="4:102" x14ac:dyDescent="0.25">
      <c r="BV2760" s="14"/>
      <c r="BW2760" s="50"/>
      <c r="BX2760" s="54"/>
      <c r="BY2760" s="14"/>
      <c r="BZ2760" s="14"/>
      <c r="CA2760" s="14"/>
      <c r="CB2760" s="14"/>
      <c r="CC2760" s="14"/>
      <c r="CD2760" s="14"/>
      <c r="CE2760" s="14"/>
      <c r="CF2760" s="15"/>
      <c r="CG2760" s="14"/>
      <c r="CH2760" s="14"/>
      <c r="CI2760" s="50"/>
      <c r="CJ2760" s="54"/>
      <c r="CK2760" s="14"/>
      <c r="CL2760" s="14"/>
      <c r="CM2760" s="14"/>
      <c r="CN2760" s="14"/>
      <c r="CO2760" s="14"/>
      <c r="CP2760" s="14"/>
      <c r="CQ2760" s="14"/>
      <c r="CR2760" s="14"/>
      <c r="CS2760" s="14"/>
      <c r="CT2760" s="14"/>
      <c r="CU2760" s="16"/>
      <c r="CV2760" s="14"/>
      <c r="CW2760" s="50"/>
      <c r="CX2760" s="17"/>
    </row>
    <row r="2761" spans="4:102" x14ac:dyDescent="0.25">
      <c r="BV2761" s="14"/>
      <c r="BW2761" s="50"/>
      <c r="BX2761" s="54"/>
      <c r="BY2761" s="14"/>
      <c r="BZ2761" s="14"/>
      <c r="CA2761" s="14"/>
      <c r="CB2761" s="14"/>
      <c r="CC2761" s="14"/>
      <c r="CD2761" s="14"/>
      <c r="CE2761" s="14"/>
      <c r="CF2761" s="15"/>
      <c r="CG2761" s="14"/>
      <c r="CH2761" s="14"/>
      <c r="CI2761" s="50"/>
      <c r="CJ2761" s="54"/>
      <c r="CK2761" s="14"/>
      <c r="CL2761" s="14"/>
      <c r="CM2761" s="14"/>
      <c r="CN2761" s="14"/>
      <c r="CO2761" s="14"/>
      <c r="CP2761" s="14"/>
      <c r="CQ2761" s="14"/>
      <c r="CR2761" s="14"/>
      <c r="CS2761" s="14"/>
      <c r="CT2761" s="14"/>
      <c r="CU2761" s="16"/>
      <c r="CV2761" s="14"/>
      <c r="CW2761" s="50"/>
      <c r="CX2761" s="17"/>
    </row>
    <row r="2762" spans="4:102" x14ac:dyDescent="0.25">
      <c r="BV2762" s="14"/>
      <c r="BW2762" s="50"/>
      <c r="BX2762" s="54"/>
      <c r="BY2762" s="14"/>
      <c r="BZ2762" s="14"/>
      <c r="CA2762" s="14"/>
      <c r="CB2762" s="14"/>
      <c r="CC2762" s="14"/>
      <c r="CD2762" s="14"/>
      <c r="CE2762" s="14"/>
      <c r="CF2762" s="15"/>
      <c r="CG2762" s="14"/>
      <c r="CH2762" s="14"/>
      <c r="CI2762" s="50"/>
      <c r="CJ2762" s="54"/>
      <c r="CK2762" s="14"/>
      <c r="CL2762" s="14"/>
      <c r="CM2762" s="14"/>
      <c r="CN2762" s="14"/>
      <c r="CO2762" s="14"/>
      <c r="CP2762" s="14"/>
      <c r="CQ2762" s="14"/>
      <c r="CR2762" s="14"/>
      <c r="CS2762" s="14"/>
      <c r="CT2762" s="14"/>
      <c r="CU2762" s="16"/>
      <c r="CV2762" s="14"/>
      <c r="CW2762" s="50"/>
      <c r="CX2762" s="17"/>
    </row>
    <row r="2763" spans="4:102" x14ac:dyDescent="0.25">
      <c r="BV2763" s="14"/>
      <c r="BW2763" s="50"/>
      <c r="BX2763" s="54"/>
      <c r="BY2763" s="14"/>
      <c r="BZ2763" s="14"/>
      <c r="CA2763" s="14"/>
      <c r="CB2763" s="14"/>
      <c r="CC2763" s="14"/>
      <c r="CD2763" s="14"/>
      <c r="CE2763" s="14"/>
      <c r="CF2763" s="15"/>
      <c r="CG2763" s="14"/>
      <c r="CH2763" s="14"/>
      <c r="CI2763" s="50"/>
      <c r="CJ2763" s="54"/>
      <c r="CK2763" s="14"/>
      <c r="CL2763" s="14"/>
      <c r="CM2763" s="14"/>
      <c r="CN2763" s="14"/>
      <c r="CO2763" s="14"/>
      <c r="CP2763" s="14"/>
      <c r="CQ2763" s="14"/>
      <c r="CR2763" s="14"/>
      <c r="CS2763" s="14"/>
      <c r="CT2763" s="14"/>
      <c r="CU2763" s="16"/>
      <c r="CV2763" s="14"/>
      <c r="CW2763" s="50"/>
      <c r="CX2763" s="17"/>
    </row>
    <row r="2764" spans="4:102" x14ac:dyDescent="0.25">
      <c r="BV2764" s="14"/>
      <c r="BW2764" s="50"/>
      <c r="BX2764" s="54"/>
      <c r="BY2764" s="14"/>
      <c r="BZ2764" s="14"/>
      <c r="CA2764" s="14"/>
      <c r="CB2764" s="14"/>
      <c r="CC2764" s="14"/>
      <c r="CD2764" s="14"/>
      <c r="CE2764" s="14"/>
      <c r="CF2764" s="15"/>
      <c r="CG2764" s="14"/>
      <c r="CH2764" s="14"/>
      <c r="CI2764" s="50"/>
      <c r="CJ2764" s="54"/>
      <c r="CK2764" s="14"/>
      <c r="CL2764" s="14"/>
      <c r="CM2764" s="14"/>
      <c r="CN2764" s="14"/>
      <c r="CO2764" s="14"/>
      <c r="CP2764" s="14"/>
      <c r="CQ2764" s="14"/>
      <c r="CR2764" s="14"/>
      <c r="CS2764" s="14"/>
      <c r="CT2764" s="14"/>
      <c r="CU2764" s="16"/>
      <c r="CV2764" s="14"/>
      <c r="CW2764" s="50"/>
      <c r="CX2764" s="17"/>
    </row>
    <row r="2765" spans="4:102" x14ac:dyDescent="0.25">
      <c r="BV2765" s="14"/>
      <c r="BW2765" s="50"/>
      <c r="BX2765" s="54"/>
      <c r="BY2765" s="14"/>
      <c r="BZ2765" s="14"/>
      <c r="CA2765" s="14"/>
      <c r="CB2765" s="14"/>
      <c r="CC2765" s="14"/>
      <c r="CD2765" s="14"/>
      <c r="CE2765" s="14"/>
      <c r="CF2765" s="15"/>
      <c r="CG2765" s="14"/>
      <c r="CH2765" s="14"/>
      <c r="CI2765" s="50"/>
      <c r="CJ2765" s="54"/>
      <c r="CK2765" s="14"/>
      <c r="CL2765" s="14"/>
      <c r="CM2765" s="14"/>
      <c r="CN2765" s="14"/>
      <c r="CO2765" s="14"/>
      <c r="CP2765" s="14"/>
      <c r="CQ2765" s="14"/>
      <c r="CR2765" s="14"/>
      <c r="CS2765" s="14"/>
      <c r="CT2765" s="14"/>
      <c r="CU2765" s="16"/>
      <c r="CV2765" s="14"/>
      <c r="CW2765" s="50"/>
      <c r="CX2765" s="17"/>
    </row>
    <row r="2766" spans="4:102" x14ac:dyDescent="0.25">
      <c r="BV2766" s="14"/>
      <c r="BW2766" s="50"/>
      <c r="BX2766" s="54"/>
      <c r="BY2766" s="14"/>
      <c r="BZ2766" s="14"/>
      <c r="CA2766" s="14"/>
      <c r="CB2766" s="14"/>
      <c r="CC2766" s="14"/>
      <c r="CD2766" s="14"/>
      <c r="CE2766" s="14"/>
      <c r="CF2766" s="15"/>
      <c r="CG2766" s="14"/>
      <c r="CH2766" s="14"/>
      <c r="CI2766" s="50"/>
      <c r="CJ2766" s="54"/>
      <c r="CK2766" s="14"/>
      <c r="CL2766" s="14"/>
      <c r="CM2766" s="14"/>
      <c r="CN2766" s="14"/>
      <c r="CO2766" s="14"/>
      <c r="CP2766" s="14"/>
      <c r="CQ2766" s="14"/>
      <c r="CR2766" s="14"/>
      <c r="CS2766" s="14"/>
      <c r="CT2766" s="14"/>
      <c r="CU2766" s="16"/>
      <c r="CV2766" s="14"/>
      <c r="CW2766" s="50"/>
      <c r="CX2766" s="17"/>
    </row>
    <row r="2767" spans="4:102" x14ac:dyDescent="0.25">
      <c r="BV2767" s="14"/>
      <c r="BW2767" s="50"/>
      <c r="BX2767" s="54"/>
      <c r="BY2767" s="14"/>
      <c r="BZ2767" s="14"/>
      <c r="CA2767" s="14"/>
      <c r="CB2767" s="14"/>
      <c r="CC2767" s="14"/>
      <c r="CD2767" s="14"/>
      <c r="CE2767" s="14"/>
      <c r="CF2767" s="15"/>
      <c r="CG2767" s="14"/>
      <c r="CH2767" s="14"/>
      <c r="CI2767" s="50"/>
      <c r="CJ2767" s="54"/>
      <c r="CK2767" s="14"/>
      <c r="CL2767" s="14"/>
      <c r="CM2767" s="14"/>
      <c r="CN2767" s="14"/>
      <c r="CO2767" s="14"/>
      <c r="CP2767" s="14"/>
      <c r="CQ2767" s="14"/>
      <c r="CR2767" s="14"/>
      <c r="CS2767" s="14"/>
      <c r="CT2767" s="14"/>
      <c r="CU2767" s="16"/>
      <c r="CV2767" s="14"/>
      <c r="CW2767" s="50"/>
      <c r="CX2767" s="17"/>
    </row>
    <row r="2768" spans="4:102" x14ac:dyDescent="0.25">
      <c r="BV2768" s="14"/>
      <c r="BW2768" s="50"/>
      <c r="BX2768" s="54"/>
      <c r="BY2768" s="14"/>
      <c r="BZ2768" s="14"/>
      <c r="CA2768" s="14"/>
      <c r="CB2768" s="14"/>
      <c r="CC2768" s="14"/>
      <c r="CD2768" s="14"/>
      <c r="CE2768" s="14"/>
      <c r="CF2768" s="15"/>
      <c r="CG2768" s="14"/>
      <c r="CH2768" s="14"/>
      <c r="CI2768" s="50"/>
      <c r="CJ2768" s="54"/>
      <c r="CK2768" s="14"/>
      <c r="CL2768" s="14"/>
      <c r="CM2768" s="14"/>
      <c r="CN2768" s="14"/>
      <c r="CO2768" s="14"/>
      <c r="CP2768" s="14"/>
      <c r="CQ2768" s="14"/>
      <c r="CR2768" s="14"/>
      <c r="CS2768" s="14"/>
      <c r="CT2768" s="14"/>
      <c r="CU2768" s="16"/>
      <c r="CV2768" s="14"/>
      <c r="CW2768" s="50"/>
      <c r="CX2768" s="17"/>
    </row>
    <row r="2769" spans="74:102" x14ac:dyDescent="0.25">
      <c r="BV2769" s="14"/>
      <c r="BW2769" s="50"/>
      <c r="BX2769" s="54"/>
      <c r="BY2769" s="14"/>
      <c r="BZ2769" s="14"/>
      <c r="CA2769" s="14"/>
      <c r="CB2769" s="14"/>
      <c r="CC2769" s="14"/>
      <c r="CD2769" s="14"/>
      <c r="CE2769" s="14"/>
      <c r="CF2769" s="15"/>
      <c r="CG2769" s="14"/>
      <c r="CH2769" s="14"/>
      <c r="CI2769" s="50"/>
      <c r="CJ2769" s="54"/>
      <c r="CK2769" s="14"/>
      <c r="CL2769" s="14"/>
      <c r="CM2769" s="14"/>
      <c r="CN2769" s="14"/>
      <c r="CO2769" s="14"/>
      <c r="CP2769" s="14"/>
      <c r="CQ2769" s="14"/>
      <c r="CR2769" s="14"/>
      <c r="CS2769" s="14"/>
      <c r="CT2769" s="14"/>
      <c r="CU2769" s="16"/>
      <c r="CV2769" s="14"/>
      <c r="CW2769" s="50"/>
      <c r="CX2769" s="17"/>
    </row>
    <row r="2770" spans="74:102" x14ac:dyDescent="0.25">
      <c r="BV2770" s="14"/>
      <c r="BW2770" s="50"/>
      <c r="BX2770" s="54"/>
      <c r="BY2770" s="14"/>
      <c r="BZ2770" s="14"/>
      <c r="CA2770" s="14"/>
      <c r="CB2770" s="14"/>
      <c r="CC2770" s="14"/>
      <c r="CD2770" s="14"/>
      <c r="CE2770" s="14"/>
      <c r="CF2770" s="15"/>
      <c r="CG2770" s="14"/>
      <c r="CH2770" s="14"/>
      <c r="CI2770" s="50"/>
      <c r="CJ2770" s="54"/>
      <c r="CK2770" s="14"/>
      <c r="CL2770" s="14"/>
      <c r="CM2770" s="14"/>
      <c r="CN2770" s="14"/>
      <c r="CO2770" s="14"/>
      <c r="CP2770" s="14"/>
      <c r="CQ2770" s="14"/>
      <c r="CR2770" s="14"/>
      <c r="CS2770" s="14"/>
      <c r="CT2770" s="14"/>
      <c r="CU2770" s="16"/>
      <c r="CV2770" s="14"/>
      <c r="CW2770" s="50"/>
      <c r="CX2770" s="17"/>
    </row>
    <row r="2771" spans="74:102" x14ac:dyDescent="0.25">
      <c r="BV2771" s="14"/>
      <c r="BW2771" s="50"/>
      <c r="BX2771" s="54"/>
      <c r="BY2771" s="14"/>
      <c r="BZ2771" s="14"/>
      <c r="CA2771" s="14"/>
      <c r="CB2771" s="14"/>
      <c r="CC2771" s="14"/>
      <c r="CD2771" s="14"/>
      <c r="CE2771" s="14"/>
      <c r="CF2771" s="15"/>
      <c r="CG2771" s="14"/>
      <c r="CH2771" s="14"/>
      <c r="CI2771" s="50"/>
      <c r="CJ2771" s="54"/>
      <c r="CK2771" s="14"/>
      <c r="CL2771" s="14"/>
      <c r="CM2771" s="14"/>
      <c r="CN2771" s="14"/>
      <c r="CO2771" s="14"/>
      <c r="CP2771" s="14"/>
      <c r="CQ2771" s="14"/>
      <c r="CR2771" s="14"/>
      <c r="CS2771" s="14"/>
      <c r="CT2771" s="14"/>
      <c r="CU2771" s="16"/>
      <c r="CV2771" s="14"/>
      <c r="CW2771" s="50"/>
      <c r="CX2771" s="17"/>
    </row>
    <row r="2772" spans="74:102" x14ac:dyDescent="0.25">
      <c r="BV2772" s="14"/>
      <c r="BW2772" s="50"/>
      <c r="BX2772" s="54"/>
      <c r="BY2772" s="14"/>
      <c r="BZ2772" s="14"/>
      <c r="CA2772" s="14"/>
      <c r="CB2772" s="14"/>
      <c r="CC2772" s="14"/>
      <c r="CD2772" s="14"/>
      <c r="CE2772" s="14"/>
      <c r="CF2772" s="15"/>
      <c r="CG2772" s="14"/>
      <c r="CH2772" s="14"/>
      <c r="CI2772" s="50"/>
      <c r="CJ2772" s="54"/>
      <c r="CK2772" s="14"/>
      <c r="CL2772" s="14"/>
      <c r="CM2772" s="14"/>
      <c r="CN2772" s="14"/>
      <c r="CO2772" s="14"/>
      <c r="CP2772" s="14"/>
      <c r="CQ2772" s="14"/>
      <c r="CR2772" s="14"/>
      <c r="CS2772" s="14"/>
      <c r="CT2772" s="14"/>
      <c r="CU2772" s="16"/>
      <c r="CV2772" s="14"/>
      <c r="CW2772" s="50"/>
      <c r="CX2772" s="17"/>
    </row>
    <row r="2773" spans="74:102" x14ac:dyDescent="0.25">
      <c r="BV2773" s="14"/>
      <c r="BW2773" s="50"/>
      <c r="BX2773" s="54"/>
      <c r="BY2773" s="14"/>
      <c r="BZ2773" s="14"/>
      <c r="CA2773" s="14"/>
      <c r="CB2773" s="14"/>
      <c r="CC2773" s="14"/>
      <c r="CD2773" s="14"/>
      <c r="CE2773" s="14"/>
      <c r="CF2773" s="15"/>
      <c r="CG2773" s="14"/>
      <c r="CH2773" s="14"/>
      <c r="CI2773" s="50"/>
      <c r="CJ2773" s="54"/>
      <c r="CK2773" s="14"/>
      <c r="CL2773" s="14"/>
      <c r="CM2773" s="14"/>
      <c r="CN2773" s="14"/>
      <c r="CO2773" s="14"/>
      <c r="CP2773" s="14"/>
      <c r="CQ2773" s="14"/>
      <c r="CR2773" s="14"/>
      <c r="CS2773" s="14"/>
      <c r="CT2773" s="14"/>
      <c r="CU2773" s="16"/>
      <c r="CV2773" s="14"/>
      <c r="CW2773" s="50"/>
      <c r="CX2773" s="17"/>
    </row>
    <row r="2774" spans="74:102" x14ac:dyDescent="0.25">
      <c r="BV2774" s="14"/>
      <c r="BW2774" s="50"/>
      <c r="BX2774" s="54"/>
      <c r="BY2774" s="14"/>
      <c r="BZ2774" s="14"/>
      <c r="CA2774" s="14"/>
      <c r="CB2774" s="14"/>
      <c r="CC2774" s="14"/>
      <c r="CD2774" s="14"/>
      <c r="CE2774" s="14"/>
      <c r="CF2774" s="15"/>
      <c r="CG2774" s="14"/>
      <c r="CH2774" s="14"/>
      <c r="CI2774" s="50"/>
      <c r="CJ2774" s="54"/>
      <c r="CK2774" s="14"/>
      <c r="CL2774" s="14"/>
      <c r="CM2774" s="14"/>
      <c r="CN2774" s="14"/>
      <c r="CO2774" s="14"/>
      <c r="CP2774" s="14"/>
      <c r="CQ2774" s="14"/>
      <c r="CR2774" s="14"/>
      <c r="CS2774" s="14"/>
      <c r="CT2774" s="14"/>
      <c r="CU2774" s="16"/>
      <c r="CV2774" s="14"/>
      <c r="CW2774" s="50"/>
      <c r="CX2774" s="17"/>
    </row>
    <row r="2775" spans="74:102" x14ac:dyDescent="0.25">
      <c r="BV2775" s="14"/>
      <c r="BW2775" s="50"/>
      <c r="BX2775" s="54"/>
      <c r="BY2775" s="14"/>
      <c r="BZ2775" s="14"/>
      <c r="CA2775" s="14"/>
      <c r="CB2775" s="14"/>
      <c r="CC2775" s="14"/>
      <c r="CD2775" s="14"/>
      <c r="CE2775" s="14"/>
      <c r="CF2775" s="15"/>
      <c r="CG2775" s="14"/>
      <c r="CH2775" s="14"/>
      <c r="CI2775" s="50"/>
      <c r="CJ2775" s="54"/>
      <c r="CK2775" s="14"/>
      <c r="CL2775" s="14"/>
      <c r="CM2775" s="14"/>
      <c r="CN2775" s="14"/>
      <c r="CO2775" s="14"/>
      <c r="CP2775" s="14"/>
      <c r="CQ2775" s="14"/>
      <c r="CR2775" s="14"/>
      <c r="CS2775" s="14"/>
      <c r="CT2775" s="14"/>
      <c r="CU2775" s="16"/>
      <c r="CV2775" s="14"/>
      <c r="CW2775" s="50"/>
      <c r="CX2775" s="17"/>
    </row>
    <row r="2776" spans="74:102" x14ac:dyDescent="0.25">
      <c r="BV2776" s="14"/>
      <c r="BW2776" s="50"/>
      <c r="BX2776" s="54"/>
      <c r="BY2776" s="14"/>
      <c r="BZ2776" s="14"/>
      <c r="CA2776" s="14"/>
      <c r="CB2776" s="14"/>
      <c r="CC2776" s="14"/>
      <c r="CD2776" s="14"/>
      <c r="CE2776" s="14"/>
      <c r="CF2776" s="15"/>
      <c r="CG2776" s="14"/>
      <c r="CH2776" s="14"/>
      <c r="CI2776" s="50"/>
      <c r="CJ2776" s="54"/>
      <c r="CK2776" s="14"/>
      <c r="CL2776" s="14"/>
      <c r="CM2776" s="14"/>
      <c r="CN2776" s="14"/>
      <c r="CO2776" s="14"/>
      <c r="CP2776" s="14"/>
      <c r="CQ2776" s="14"/>
      <c r="CR2776" s="14"/>
      <c r="CS2776" s="14"/>
      <c r="CT2776" s="14"/>
      <c r="CU2776" s="16"/>
      <c r="CV2776" s="14"/>
      <c r="CW2776" s="50"/>
      <c r="CX2776" s="17"/>
    </row>
    <row r="2777" spans="74:102" x14ac:dyDescent="0.25">
      <c r="BV2777" s="14"/>
      <c r="BW2777" s="50"/>
      <c r="BX2777" s="54"/>
      <c r="BY2777" s="14"/>
      <c r="BZ2777" s="14"/>
      <c r="CA2777" s="14"/>
      <c r="CB2777" s="14"/>
      <c r="CC2777" s="14"/>
      <c r="CD2777" s="14"/>
      <c r="CE2777" s="14"/>
      <c r="CF2777" s="15"/>
      <c r="CG2777" s="14"/>
      <c r="CH2777" s="14"/>
      <c r="CI2777" s="50"/>
      <c r="CJ2777" s="54"/>
      <c r="CK2777" s="14"/>
      <c r="CL2777" s="14"/>
      <c r="CM2777" s="14"/>
      <c r="CN2777" s="14"/>
      <c r="CO2777" s="14"/>
      <c r="CP2777" s="14"/>
      <c r="CQ2777" s="14"/>
      <c r="CR2777" s="14"/>
      <c r="CS2777" s="14"/>
      <c r="CT2777" s="14"/>
      <c r="CU2777" s="16"/>
      <c r="CV2777" s="14"/>
      <c r="CW2777" s="50"/>
      <c r="CX2777" s="17"/>
    </row>
    <row r="2778" spans="74:102" x14ac:dyDescent="0.25">
      <c r="BV2778" s="14"/>
      <c r="BW2778" s="50"/>
      <c r="BX2778" s="54"/>
      <c r="BY2778" s="14"/>
      <c r="BZ2778" s="14"/>
      <c r="CA2778" s="14"/>
      <c r="CB2778" s="14"/>
      <c r="CC2778" s="14"/>
      <c r="CD2778" s="14"/>
      <c r="CE2778" s="14"/>
      <c r="CF2778" s="15"/>
      <c r="CG2778" s="14"/>
      <c r="CH2778" s="14"/>
      <c r="CI2778" s="50"/>
      <c r="CJ2778" s="54"/>
      <c r="CK2778" s="14"/>
      <c r="CL2778" s="14"/>
      <c r="CM2778" s="14"/>
      <c r="CN2778" s="14"/>
      <c r="CO2778" s="14"/>
      <c r="CP2778" s="14"/>
      <c r="CQ2778" s="14"/>
      <c r="CR2778" s="14"/>
      <c r="CS2778" s="14"/>
      <c r="CT2778" s="14"/>
      <c r="CU2778" s="16"/>
      <c r="CV2778" s="14"/>
      <c r="CW2778" s="50"/>
      <c r="CX2778" s="17"/>
    </row>
    <row r="2779" spans="74:102" x14ac:dyDescent="0.25">
      <c r="BV2779" s="14"/>
      <c r="BW2779" s="50"/>
      <c r="BX2779" s="54"/>
      <c r="BY2779" s="14"/>
      <c r="BZ2779" s="14"/>
      <c r="CA2779" s="14"/>
      <c r="CB2779" s="14"/>
      <c r="CC2779" s="14"/>
      <c r="CD2779" s="14"/>
      <c r="CE2779" s="14"/>
      <c r="CF2779" s="15"/>
      <c r="CG2779" s="14"/>
      <c r="CH2779" s="14"/>
      <c r="CI2779" s="50"/>
      <c r="CJ2779" s="54"/>
      <c r="CK2779" s="14"/>
      <c r="CL2779" s="14"/>
      <c r="CM2779" s="14"/>
      <c r="CN2779" s="14"/>
      <c r="CO2779" s="14"/>
      <c r="CP2779" s="14"/>
      <c r="CQ2779" s="14"/>
      <c r="CR2779" s="14"/>
      <c r="CS2779" s="14"/>
      <c r="CT2779" s="14"/>
      <c r="CU2779" s="16"/>
      <c r="CV2779" s="14"/>
      <c r="CW2779" s="50"/>
      <c r="CX2779" s="17"/>
    </row>
    <row r="2780" spans="74:102" x14ac:dyDescent="0.25">
      <c r="BV2780" s="14"/>
      <c r="BW2780" s="50"/>
      <c r="BX2780" s="54"/>
      <c r="BY2780" s="14"/>
      <c r="BZ2780" s="14"/>
      <c r="CA2780" s="14"/>
      <c r="CB2780" s="14"/>
      <c r="CC2780" s="14"/>
      <c r="CD2780" s="14"/>
      <c r="CE2780" s="14"/>
      <c r="CF2780" s="15"/>
      <c r="CG2780" s="14"/>
      <c r="CH2780" s="14"/>
      <c r="CI2780" s="50"/>
      <c r="CJ2780" s="54"/>
      <c r="CK2780" s="14"/>
      <c r="CL2780" s="14"/>
      <c r="CM2780" s="14"/>
      <c r="CN2780" s="14"/>
      <c r="CO2780" s="14"/>
      <c r="CP2780" s="14"/>
      <c r="CQ2780" s="14"/>
      <c r="CR2780" s="14"/>
      <c r="CS2780" s="14"/>
      <c r="CT2780" s="14"/>
      <c r="CU2780" s="16"/>
      <c r="CV2780" s="14"/>
      <c r="CW2780" s="50"/>
      <c r="CX2780" s="17"/>
    </row>
    <row r="2781" spans="74:102" x14ac:dyDescent="0.25">
      <c r="BV2781" s="14"/>
      <c r="BW2781" s="50"/>
      <c r="BX2781" s="54"/>
      <c r="BY2781" s="14"/>
      <c r="BZ2781" s="14"/>
      <c r="CA2781" s="14"/>
      <c r="CB2781" s="14"/>
      <c r="CC2781" s="14"/>
      <c r="CD2781" s="14"/>
      <c r="CE2781" s="14"/>
      <c r="CF2781" s="15"/>
      <c r="CG2781" s="14"/>
      <c r="CH2781" s="14"/>
      <c r="CI2781" s="50"/>
      <c r="CJ2781" s="54"/>
      <c r="CK2781" s="14"/>
      <c r="CL2781" s="14"/>
      <c r="CM2781" s="14"/>
      <c r="CN2781" s="14"/>
      <c r="CO2781" s="14"/>
      <c r="CP2781" s="14"/>
      <c r="CQ2781" s="14"/>
      <c r="CR2781" s="14"/>
      <c r="CS2781" s="14"/>
      <c r="CT2781" s="14"/>
      <c r="CU2781" s="16"/>
      <c r="CV2781" s="14"/>
      <c r="CW2781" s="50"/>
      <c r="CX2781" s="17"/>
    </row>
    <row r="2782" spans="74:102" x14ac:dyDescent="0.25">
      <c r="BV2782" s="14"/>
      <c r="BW2782" s="50"/>
      <c r="BX2782" s="54"/>
      <c r="BY2782" s="14"/>
      <c r="BZ2782" s="14"/>
      <c r="CA2782" s="14"/>
      <c r="CB2782" s="14"/>
      <c r="CC2782" s="14"/>
      <c r="CD2782" s="14"/>
      <c r="CE2782" s="14"/>
      <c r="CF2782" s="15"/>
      <c r="CG2782" s="14"/>
      <c r="CH2782" s="14"/>
      <c r="CI2782" s="50"/>
      <c r="CJ2782" s="54"/>
      <c r="CK2782" s="14"/>
      <c r="CL2782" s="14"/>
      <c r="CM2782" s="14"/>
      <c r="CN2782" s="14"/>
      <c r="CO2782" s="14"/>
      <c r="CP2782" s="14"/>
      <c r="CQ2782" s="14"/>
      <c r="CR2782" s="14"/>
      <c r="CS2782" s="14"/>
      <c r="CT2782" s="14"/>
      <c r="CU2782" s="16"/>
      <c r="CV2782" s="14"/>
      <c r="CW2782" s="50"/>
      <c r="CX2782" s="17"/>
    </row>
    <row r="2783" spans="74:102" x14ac:dyDescent="0.25">
      <c r="BV2783" s="14"/>
      <c r="BW2783" s="50"/>
      <c r="BX2783" s="54"/>
      <c r="BY2783" s="14"/>
      <c r="BZ2783" s="14"/>
      <c r="CA2783" s="14"/>
      <c r="CB2783" s="14"/>
      <c r="CC2783" s="14"/>
      <c r="CD2783" s="14"/>
      <c r="CE2783" s="14"/>
      <c r="CF2783" s="15"/>
      <c r="CG2783" s="14"/>
      <c r="CH2783" s="14"/>
      <c r="CI2783" s="50"/>
      <c r="CJ2783" s="54"/>
      <c r="CK2783" s="14"/>
      <c r="CL2783" s="14"/>
      <c r="CM2783" s="14"/>
      <c r="CN2783" s="14"/>
      <c r="CO2783" s="14"/>
      <c r="CP2783" s="14"/>
      <c r="CQ2783" s="14"/>
      <c r="CR2783" s="14"/>
      <c r="CS2783" s="14"/>
      <c r="CT2783" s="14"/>
      <c r="CU2783" s="16"/>
      <c r="CV2783" s="14"/>
      <c r="CW2783" s="50"/>
      <c r="CX2783" s="17"/>
    </row>
    <row r="2784" spans="74:102" x14ac:dyDescent="0.25">
      <c r="BV2784" s="14"/>
      <c r="BW2784" s="50"/>
      <c r="BX2784" s="54"/>
      <c r="BY2784" s="14"/>
      <c r="BZ2784" s="14"/>
      <c r="CA2784" s="14"/>
      <c r="CB2784" s="14"/>
      <c r="CC2784" s="14"/>
      <c r="CD2784" s="14"/>
      <c r="CE2784" s="14"/>
      <c r="CF2784" s="15"/>
      <c r="CG2784" s="14"/>
      <c r="CH2784" s="14"/>
      <c r="CI2784" s="50"/>
      <c r="CJ2784" s="54"/>
      <c r="CK2784" s="14"/>
      <c r="CL2784" s="14"/>
      <c r="CM2784" s="14"/>
      <c r="CN2784" s="14"/>
      <c r="CO2784" s="14"/>
      <c r="CP2784" s="14"/>
      <c r="CQ2784" s="14"/>
      <c r="CR2784" s="14"/>
      <c r="CS2784" s="14"/>
      <c r="CT2784" s="14"/>
      <c r="CU2784" s="16"/>
      <c r="CV2784" s="14"/>
      <c r="CW2784" s="50"/>
      <c r="CX2784" s="17"/>
    </row>
    <row r="2785" spans="74:102" x14ac:dyDescent="0.25">
      <c r="BV2785" s="14"/>
      <c r="BW2785" s="50"/>
      <c r="BX2785" s="54"/>
      <c r="BY2785" s="14"/>
      <c r="BZ2785" s="14"/>
      <c r="CA2785" s="14"/>
      <c r="CB2785" s="14"/>
      <c r="CC2785" s="14"/>
      <c r="CD2785" s="14"/>
      <c r="CE2785" s="14"/>
      <c r="CF2785" s="15"/>
      <c r="CG2785" s="14"/>
      <c r="CH2785" s="14"/>
      <c r="CI2785" s="50"/>
      <c r="CJ2785" s="54"/>
      <c r="CK2785" s="14"/>
      <c r="CL2785" s="14"/>
      <c r="CM2785" s="14"/>
      <c r="CN2785" s="14"/>
      <c r="CO2785" s="14"/>
      <c r="CP2785" s="14"/>
      <c r="CQ2785" s="14"/>
      <c r="CR2785" s="14"/>
      <c r="CS2785" s="14"/>
      <c r="CT2785" s="14"/>
      <c r="CU2785" s="16"/>
      <c r="CV2785" s="14"/>
      <c r="CW2785" s="50"/>
      <c r="CX2785" s="17"/>
    </row>
    <row r="2786" spans="74:102" x14ac:dyDescent="0.25">
      <c r="BV2786" s="14"/>
      <c r="BW2786" s="50"/>
      <c r="BX2786" s="54"/>
      <c r="BY2786" s="14"/>
      <c r="BZ2786" s="14"/>
      <c r="CA2786" s="14"/>
      <c r="CB2786" s="14"/>
      <c r="CC2786" s="14"/>
      <c r="CD2786" s="14"/>
      <c r="CE2786" s="14"/>
      <c r="CF2786" s="15"/>
      <c r="CG2786" s="14"/>
      <c r="CH2786" s="14"/>
      <c r="CI2786" s="50"/>
      <c r="CJ2786" s="54"/>
      <c r="CK2786" s="14"/>
      <c r="CL2786" s="14"/>
      <c r="CM2786" s="14"/>
      <c r="CN2786" s="14"/>
      <c r="CO2786" s="14"/>
      <c r="CP2786" s="14"/>
      <c r="CQ2786" s="14"/>
      <c r="CR2786" s="14"/>
      <c r="CS2786" s="14"/>
      <c r="CT2786" s="14"/>
      <c r="CU2786" s="16"/>
      <c r="CV2786" s="14"/>
      <c r="CW2786" s="50"/>
      <c r="CX2786" s="17"/>
    </row>
    <row r="2787" spans="74:102" x14ac:dyDescent="0.25">
      <c r="BV2787" s="14"/>
      <c r="BW2787" s="50"/>
      <c r="BX2787" s="54"/>
      <c r="BY2787" s="14"/>
      <c r="BZ2787" s="14"/>
      <c r="CA2787" s="14"/>
      <c r="CB2787" s="14"/>
      <c r="CC2787" s="14"/>
      <c r="CD2787" s="14"/>
      <c r="CE2787" s="14"/>
      <c r="CF2787" s="15"/>
      <c r="CG2787" s="14"/>
      <c r="CH2787" s="14"/>
      <c r="CI2787" s="50"/>
      <c r="CJ2787" s="54"/>
      <c r="CK2787" s="14"/>
      <c r="CL2787" s="14"/>
      <c r="CM2787" s="14"/>
      <c r="CN2787" s="14"/>
      <c r="CO2787" s="14"/>
      <c r="CP2787" s="14"/>
      <c r="CQ2787" s="14"/>
      <c r="CR2787" s="14"/>
      <c r="CS2787" s="14"/>
      <c r="CT2787" s="14"/>
      <c r="CU2787" s="16"/>
      <c r="CV2787" s="14"/>
      <c r="CW2787" s="50"/>
      <c r="CX2787" s="17"/>
    </row>
    <row r="2788" spans="74:102" x14ac:dyDescent="0.25">
      <c r="BV2788" s="14"/>
      <c r="BW2788" s="50"/>
      <c r="BX2788" s="54"/>
      <c r="BY2788" s="14"/>
      <c r="BZ2788" s="14"/>
      <c r="CA2788" s="14"/>
      <c r="CB2788" s="14"/>
      <c r="CC2788" s="14"/>
      <c r="CD2788" s="14"/>
      <c r="CE2788" s="14"/>
      <c r="CF2788" s="15"/>
      <c r="CG2788" s="14"/>
      <c r="CH2788" s="14"/>
      <c r="CI2788" s="50"/>
      <c r="CJ2788" s="54"/>
      <c r="CK2788" s="14"/>
      <c r="CL2788" s="14"/>
      <c r="CM2788" s="14"/>
      <c r="CN2788" s="14"/>
      <c r="CO2788" s="14"/>
      <c r="CP2788" s="14"/>
      <c r="CQ2788" s="14"/>
      <c r="CR2788" s="14"/>
      <c r="CS2788" s="14"/>
      <c r="CT2788" s="14"/>
      <c r="CU2788" s="16"/>
      <c r="CV2788" s="14"/>
      <c r="CW2788" s="50"/>
      <c r="CX2788" s="17"/>
    </row>
    <row r="2789" spans="74:102" x14ac:dyDescent="0.25">
      <c r="BV2789" s="14"/>
      <c r="BW2789" s="50"/>
      <c r="BX2789" s="54"/>
      <c r="BY2789" s="14"/>
      <c r="BZ2789" s="14"/>
      <c r="CA2789" s="14"/>
      <c r="CB2789" s="14"/>
      <c r="CC2789" s="14"/>
      <c r="CD2789" s="14"/>
      <c r="CE2789" s="14"/>
      <c r="CF2789" s="15"/>
      <c r="CG2789" s="14"/>
      <c r="CH2789" s="14"/>
      <c r="CI2789" s="50"/>
      <c r="CJ2789" s="54"/>
      <c r="CK2789" s="14"/>
      <c r="CL2789" s="14"/>
      <c r="CM2789" s="14"/>
      <c r="CN2789" s="14"/>
      <c r="CO2789" s="14"/>
      <c r="CP2789" s="14"/>
      <c r="CQ2789" s="14"/>
      <c r="CR2789" s="14"/>
      <c r="CS2789" s="14"/>
      <c r="CT2789" s="14"/>
      <c r="CU2789" s="16"/>
      <c r="CV2789" s="14"/>
      <c r="CW2789" s="50"/>
      <c r="CX2789" s="17"/>
    </row>
    <row r="2790" spans="74:102" x14ac:dyDescent="0.25">
      <c r="BV2790" s="14"/>
      <c r="BW2790" s="50"/>
      <c r="BX2790" s="54"/>
      <c r="BY2790" s="14"/>
      <c r="BZ2790" s="14"/>
      <c r="CA2790" s="14"/>
      <c r="CB2790" s="14"/>
      <c r="CC2790" s="14"/>
      <c r="CD2790" s="14"/>
      <c r="CE2790" s="14"/>
      <c r="CF2790" s="15"/>
      <c r="CG2790" s="14"/>
      <c r="CH2790" s="14"/>
      <c r="CI2790" s="50"/>
      <c r="CJ2790" s="54"/>
      <c r="CK2790" s="14"/>
      <c r="CL2790" s="14"/>
      <c r="CM2790" s="14"/>
      <c r="CN2790" s="14"/>
      <c r="CO2790" s="14"/>
      <c r="CP2790" s="14"/>
      <c r="CQ2790" s="14"/>
      <c r="CR2790" s="14"/>
      <c r="CS2790" s="14"/>
      <c r="CT2790" s="14"/>
      <c r="CU2790" s="16"/>
      <c r="CV2790" s="14"/>
      <c r="CW2790" s="50"/>
      <c r="CX2790" s="17"/>
    </row>
    <row r="2791" spans="74:102" x14ac:dyDescent="0.25">
      <c r="BV2791" s="14"/>
      <c r="BW2791" s="50"/>
      <c r="BX2791" s="54"/>
      <c r="BY2791" s="14"/>
      <c r="BZ2791" s="14"/>
      <c r="CA2791" s="14"/>
      <c r="CB2791" s="14"/>
      <c r="CC2791" s="14"/>
      <c r="CD2791" s="14"/>
      <c r="CE2791" s="14"/>
      <c r="CF2791" s="15"/>
      <c r="CG2791" s="14"/>
      <c r="CH2791" s="14"/>
      <c r="CI2791" s="50"/>
      <c r="CJ2791" s="54"/>
      <c r="CK2791" s="14"/>
      <c r="CL2791" s="14"/>
      <c r="CM2791" s="14"/>
      <c r="CN2791" s="14"/>
      <c r="CO2791" s="14"/>
      <c r="CP2791" s="14"/>
      <c r="CQ2791" s="14"/>
      <c r="CR2791" s="14"/>
      <c r="CS2791" s="14"/>
      <c r="CT2791" s="14"/>
      <c r="CU2791" s="16"/>
      <c r="CV2791" s="14"/>
      <c r="CW2791" s="50"/>
      <c r="CX2791" s="17"/>
    </row>
    <row r="2792" spans="74:102" x14ac:dyDescent="0.25">
      <c r="BV2792" s="14"/>
      <c r="BW2792" s="50"/>
      <c r="BX2792" s="54"/>
      <c r="BY2792" s="14"/>
      <c r="BZ2792" s="14"/>
      <c r="CA2792" s="14"/>
      <c r="CB2792" s="14"/>
      <c r="CC2792" s="14"/>
      <c r="CD2792" s="14"/>
      <c r="CE2792" s="14"/>
      <c r="CF2792" s="15"/>
      <c r="CG2792" s="14"/>
      <c r="CH2792" s="14"/>
      <c r="CI2792" s="50"/>
      <c r="CJ2792" s="54"/>
      <c r="CK2792" s="14"/>
      <c r="CL2792" s="14"/>
      <c r="CM2792" s="14"/>
      <c r="CN2792" s="14"/>
      <c r="CO2792" s="14"/>
      <c r="CP2792" s="14"/>
      <c r="CQ2792" s="14"/>
      <c r="CR2792" s="14"/>
      <c r="CS2792" s="14"/>
      <c r="CT2792" s="14"/>
      <c r="CU2792" s="16"/>
      <c r="CV2792" s="14"/>
      <c r="CW2792" s="50"/>
      <c r="CX2792" s="17"/>
    </row>
    <row r="2793" spans="74:102" x14ac:dyDescent="0.25">
      <c r="BV2793" s="14"/>
      <c r="BW2793" s="50"/>
      <c r="BX2793" s="54"/>
      <c r="BY2793" s="14"/>
      <c r="BZ2793" s="14"/>
      <c r="CA2793" s="14"/>
      <c r="CB2793" s="14"/>
      <c r="CC2793" s="14"/>
      <c r="CD2793" s="14"/>
      <c r="CE2793" s="14"/>
      <c r="CF2793" s="15"/>
      <c r="CG2793" s="14"/>
      <c r="CH2793" s="14"/>
      <c r="CI2793" s="50"/>
      <c r="CJ2793" s="54"/>
      <c r="CK2793" s="14"/>
      <c r="CL2793" s="14"/>
      <c r="CM2793" s="14"/>
      <c r="CN2793" s="14"/>
      <c r="CO2793" s="14"/>
      <c r="CP2793" s="14"/>
      <c r="CQ2793" s="14"/>
      <c r="CR2793" s="14"/>
      <c r="CS2793" s="14"/>
      <c r="CT2793" s="14"/>
      <c r="CU2793" s="16"/>
      <c r="CV2793" s="14"/>
      <c r="CW2793" s="50"/>
      <c r="CX2793" s="17"/>
    </row>
    <row r="2794" spans="74:102" x14ac:dyDescent="0.25">
      <c r="BV2794" s="14"/>
      <c r="BW2794" s="50"/>
      <c r="BX2794" s="54"/>
      <c r="BY2794" s="14"/>
      <c r="BZ2794" s="14"/>
      <c r="CA2794" s="14"/>
      <c r="CB2794" s="14"/>
      <c r="CC2794" s="14"/>
      <c r="CD2794" s="14"/>
      <c r="CE2794" s="14"/>
      <c r="CF2794" s="15"/>
      <c r="CG2794" s="14"/>
      <c r="CH2794" s="14"/>
      <c r="CI2794" s="50"/>
      <c r="CJ2794" s="54"/>
      <c r="CK2794" s="14"/>
      <c r="CL2794" s="14"/>
      <c r="CM2794" s="14"/>
      <c r="CN2794" s="14"/>
      <c r="CO2794" s="14"/>
      <c r="CP2794" s="14"/>
      <c r="CQ2794" s="14"/>
      <c r="CR2794" s="14"/>
      <c r="CS2794" s="14"/>
      <c r="CT2794" s="14"/>
      <c r="CU2794" s="16"/>
      <c r="CV2794" s="14"/>
      <c r="CW2794" s="50"/>
      <c r="CX2794" s="17"/>
    </row>
    <row r="2795" spans="74:102" x14ac:dyDescent="0.25">
      <c r="BV2795" s="14"/>
      <c r="BW2795" s="50"/>
      <c r="BX2795" s="54"/>
      <c r="BY2795" s="14"/>
      <c r="BZ2795" s="14"/>
      <c r="CA2795" s="14"/>
      <c r="CB2795" s="14"/>
      <c r="CC2795" s="14"/>
      <c r="CD2795" s="14"/>
      <c r="CE2795" s="14"/>
      <c r="CF2795" s="15"/>
      <c r="CG2795" s="14"/>
      <c r="CH2795" s="14"/>
      <c r="CI2795" s="50"/>
      <c r="CJ2795" s="54"/>
      <c r="CK2795" s="14"/>
      <c r="CL2795" s="14"/>
      <c r="CM2795" s="14"/>
      <c r="CN2795" s="14"/>
      <c r="CO2795" s="14"/>
      <c r="CP2795" s="14"/>
      <c r="CQ2795" s="14"/>
      <c r="CR2795" s="14"/>
      <c r="CS2795" s="14"/>
      <c r="CT2795" s="14"/>
      <c r="CU2795" s="16"/>
      <c r="CV2795" s="14"/>
      <c r="CW2795" s="50"/>
      <c r="CX2795" s="17"/>
    </row>
    <row r="2796" spans="74:102" x14ac:dyDescent="0.25">
      <c r="BV2796" s="14"/>
      <c r="BW2796" s="50"/>
      <c r="BX2796" s="54"/>
      <c r="BY2796" s="14"/>
      <c r="BZ2796" s="14"/>
      <c r="CA2796" s="14"/>
      <c r="CB2796" s="14"/>
      <c r="CC2796" s="14"/>
      <c r="CD2796" s="14"/>
      <c r="CE2796" s="14"/>
      <c r="CF2796" s="15"/>
      <c r="CG2796" s="14"/>
      <c r="CH2796" s="14"/>
      <c r="CI2796" s="50"/>
      <c r="CJ2796" s="54"/>
      <c r="CK2796" s="14"/>
      <c r="CL2796" s="14"/>
      <c r="CM2796" s="14"/>
      <c r="CN2796" s="14"/>
      <c r="CO2796" s="14"/>
      <c r="CP2796" s="14"/>
      <c r="CQ2796" s="14"/>
      <c r="CR2796" s="14"/>
      <c r="CS2796" s="14"/>
      <c r="CT2796" s="14"/>
      <c r="CU2796" s="16"/>
      <c r="CV2796" s="14"/>
      <c r="CW2796" s="50"/>
      <c r="CX2796" s="17"/>
    </row>
    <row r="2797" spans="74:102" x14ac:dyDescent="0.25">
      <c r="BV2797" s="14"/>
      <c r="BW2797" s="50"/>
      <c r="BX2797" s="54"/>
      <c r="BY2797" s="14"/>
      <c r="BZ2797" s="14"/>
      <c r="CA2797" s="14"/>
      <c r="CB2797" s="14"/>
      <c r="CC2797" s="14"/>
      <c r="CD2797" s="14"/>
      <c r="CE2797" s="14"/>
      <c r="CF2797" s="15"/>
      <c r="CG2797" s="14"/>
      <c r="CH2797" s="14"/>
      <c r="CI2797" s="50"/>
      <c r="CJ2797" s="54"/>
      <c r="CK2797" s="14"/>
      <c r="CL2797" s="14"/>
      <c r="CM2797" s="14"/>
      <c r="CN2797" s="14"/>
      <c r="CO2797" s="14"/>
      <c r="CP2797" s="14"/>
      <c r="CQ2797" s="14"/>
      <c r="CR2797" s="14"/>
      <c r="CS2797" s="14"/>
      <c r="CT2797" s="14"/>
      <c r="CU2797" s="16"/>
      <c r="CV2797" s="14"/>
      <c r="CW2797" s="50"/>
      <c r="CX2797" s="17"/>
    </row>
    <row r="2798" spans="74:102" x14ac:dyDescent="0.25">
      <c r="BV2798" s="14"/>
      <c r="BW2798" s="50"/>
      <c r="BX2798" s="54"/>
      <c r="BY2798" s="14"/>
      <c r="BZ2798" s="14"/>
      <c r="CA2798" s="14"/>
      <c r="CB2798" s="14"/>
      <c r="CC2798" s="14"/>
      <c r="CD2798" s="14"/>
      <c r="CE2798" s="14"/>
      <c r="CF2798" s="15"/>
      <c r="CG2798" s="14"/>
      <c r="CH2798" s="14"/>
      <c r="CI2798" s="50"/>
      <c r="CJ2798" s="54"/>
      <c r="CK2798" s="14"/>
      <c r="CL2798" s="14"/>
      <c r="CM2798" s="14"/>
      <c r="CN2798" s="14"/>
      <c r="CO2798" s="14"/>
      <c r="CP2798" s="14"/>
      <c r="CQ2798" s="14"/>
      <c r="CR2798" s="14"/>
      <c r="CS2798" s="14"/>
      <c r="CT2798" s="14"/>
      <c r="CU2798" s="16"/>
      <c r="CV2798" s="14"/>
      <c r="CW2798" s="50"/>
      <c r="CX2798" s="17"/>
    </row>
    <row r="2799" spans="74:102" x14ac:dyDescent="0.25">
      <c r="BV2799" s="14"/>
      <c r="BW2799" s="50"/>
      <c r="BX2799" s="54"/>
      <c r="BY2799" s="14"/>
      <c r="BZ2799" s="14"/>
      <c r="CA2799" s="14"/>
      <c r="CB2799" s="14"/>
      <c r="CC2799" s="14"/>
      <c r="CD2799" s="14"/>
      <c r="CE2799" s="14"/>
      <c r="CF2799" s="15"/>
      <c r="CG2799" s="14"/>
      <c r="CH2799" s="14"/>
      <c r="CI2799" s="50"/>
      <c r="CJ2799" s="54"/>
      <c r="CK2799" s="14"/>
      <c r="CL2799" s="14"/>
      <c r="CM2799" s="14"/>
      <c r="CN2799" s="14"/>
      <c r="CO2799" s="14"/>
      <c r="CP2799" s="14"/>
      <c r="CQ2799" s="14"/>
      <c r="CR2799" s="14"/>
      <c r="CS2799" s="14"/>
      <c r="CT2799" s="14"/>
      <c r="CU2799" s="16"/>
      <c r="CV2799" s="14"/>
      <c r="CW2799" s="50"/>
      <c r="CX2799" s="17"/>
    </row>
    <row r="2800" spans="74:102" x14ac:dyDescent="0.25">
      <c r="BV2800" s="14"/>
      <c r="BW2800" s="50"/>
      <c r="BX2800" s="54"/>
      <c r="BY2800" s="14"/>
      <c r="BZ2800" s="14"/>
      <c r="CA2800" s="14"/>
      <c r="CB2800" s="14"/>
      <c r="CC2800" s="14"/>
      <c r="CD2800" s="14"/>
      <c r="CE2800" s="14"/>
      <c r="CF2800" s="15"/>
      <c r="CG2800" s="14"/>
      <c r="CH2800" s="14"/>
      <c r="CI2800" s="50"/>
      <c r="CJ2800" s="54"/>
      <c r="CK2800" s="14"/>
      <c r="CL2800" s="14"/>
      <c r="CM2800" s="14"/>
      <c r="CN2800" s="14"/>
      <c r="CO2800" s="14"/>
      <c r="CP2800" s="14"/>
      <c r="CQ2800" s="14"/>
      <c r="CR2800" s="14"/>
      <c r="CS2800" s="14"/>
      <c r="CT2800" s="14"/>
      <c r="CU2800" s="16"/>
      <c r="CV2800" s="14"/>
      <c r="CW2800" s="50"/>
      <c r="CX2800" s="17"/>
    </row>
    <row r="2801" spans="74:102" x14ac:dyDescent="0.25">
      <c r="BV2801" s="14"/>
      <c r="BW2801" s="50"/>
      <c r="BX2801" s="54"/>
      <c r="BY2801" s="14"/>
      <c r="BZ2801" s="14"/>
      <c r="CA2801" s="14"/>
      <c r="CB2801" s="14"/>
      <c r="CC2801" s="14"/>
      <c r="CD2801" s="14"/>
      <c r="CE2801" s="14"/>
      <c r="CF2801" s="15"/>
      <c r="CG2801" s="14"/>
      <c r="CH2801" s="14"/>
      <c r="CI2801" s="50"/>
      <c r="CJ2801" s="54"/>
      <c r="CK2801" s="14"/>
      <c r="CL2801" s="14"/>
      <c r="CM2801" s="14"/>
      <c r="CN2801" s="14"/>
      <c r="CO2801" s="14"/>
      <c r="CP2801" s="14"/>
      <c r="CQ2801" s="14"/>
      <c r="CR2801" s="14"/>
      <c r="CS2801" s="14"/>
      <c r="CT2801" s="14"/>
      <c r="CU2801" s="16"/>
      <c r="CV2801" s="14"/>
      <c r="CW2801" s="50"/>
      <c r="CX2801" s="17"/>
    </row>
    <row r="2802" spans="74:102" x14ac:dyDescent="0.25">
      <c r="BV2802" s="14"/>
      <c r="BW2802" s="50"/>
      <c r="BX2802" s="54"/>
      <c r="BY2802" s="14"/>
      <c r="BZ2802" s="14"/>
      <c r="CA2802" s="14"/>
      <c r="CB2802" s="14"/>
      <c r="CC2802" s="14"/>
      <c r="CD2802" s="14"/>
      <c r="CE2802" s="14"/>
      <c r="CF2802" s="15"/>
      <c r="CG2802" s="14"/>
      <c r="CH2802" s="14"/>
      <c r="CI2802" s="50"/>
      <c r="CJ2802" s="54"/>
      <c r="CK2802" s="14"/>
      <c r="CL2802" s="14"/>
      <c r="CM2802" s="14"/>
      <c r="CN2802" s="14"/>
      <c r="CO2802" s="14"/>
      <c r="CP2802" s="14"/>
      <c r="CQ2802" s="14"/>
      <c r="CR2802" s="14"/>
      <c r="CS2802" s="14"/>
      <c r="CT2802" s="14"/>
      <c r="CU2802" s="16"/>
      <c r="CV2802" s="14"/>
      <c r="CW2802" s="50"/>
      <c r="CX2802" s="17"/>
    </row>
    <row r="2803" spans="74:102" x14ac:dyDescent="0.25">
      <c r="BV2803" s="14"/>
      <c r="BW2803" s="50"/>
      <c r="BX2803" s="54"/>
      <c r="BY2803" s="14"/>
      <c r="BZ2803" s="14"/>
      <c r="CA2803" s="14"/>
      <c r="CB2803" s="14"/>
      <c r="CC2803" s="14"/>
      <c r="CD2803" s="14"/>
      <c r="CE2803" s="14"/>
      <c r="CF2803" s="15"/>
      <c r="CG2803" s="14"/>
      <c r="CH2803" s="14"/>
      <c r="CI2803" s="50"/>
      <c r="CJ2803" s="54"/>
      <c r="CK2803" s="14"/>
      <c r="CL2803" s="14"/>
      <c r="CM2803" s="14"/>
      <c r="CN2803" s="14"/>
      <c r="CO2803" s="14"/>
      <c r="CP2803" s="14"/>
      <c r="CQ2803" s="14"/>
      <c r="CR2803" s="14"/>
      <c r="CS2803" s="14"/>
      <c r="CT2803" s="14"/>
      <c r="CU2803" s="16"/>
      <c r="CV2803" s="14"/>
      <c r="CW2803" s="50"/>
      <c r="CX2803" s="17"/>
    </row>
    <row r="2804" spans="74:102" x14ac:dyDescent="0.25">
      <c r="BV2804" s="14"/>
      <c r="BW2804" s="50"/>
      <c r="BX2804" s="54"/>
      <c r="BY2804" s="14"/>
      <c r="BZ2804" s="14"/>
      <c r="CA2804" s="14"/>
      <c r="CB2804" s="14"/>
      <c r="CC2804" s="14"/>
      <c r="CD2804" s="14"/>
      <c r="CE2804" s="14"/>
      <c r="CF2804" s="15"/>
      <c r="CG2804" s="14"/>
      <c r="CH2804" s="14"/>
      <c r="CI2804" s="50"/>
      <c r="CJ2804" s="54"/>
      <c r="CK2804" s="14"/>
      <c r="CL2804" s="14"/>
      <c r="CM2804" s="14"/>
      <c r="CN2804" s="14"/>
      <c r="CO2804" s="14"/>
      <c r="CP2804" s="14"/>
      <c r="CQ2804" s="14"/>
      <c r="CR2804" s="14"/>
      <c r="CS2804" s="14"/>
      <c r="CT2804" s="14"/>
      <c r="CU2804" s="16"/>
      <c r="CV2804" s="14"/>
      <c r="CW2804" s="50"/>
      <c r="CX2804" s="17"/>
    </row>
    <row r="2805" spans="74:102" x14ac:dyDescent="0.25">
      <c r="BV2805" s="14"/>
      <c r="BW2805" s="50"/>
      <c r="BX2805" s="54"/>
      <c r="BY2805" s="14"/>
      <c r="BZ2805" s="14"/>
      <c r="CA2805" s="14"/>
      <c r="CB2805" s="14"/>
      <c r="CC2805" s="14"/>
      <c r="CD2805" s="14"/>
      <c r="CE2805" s="14"/>
      <c r="CF2805" s="15"/>
      <c r="CG2805" s="14"/>
      <c r="CH2805" s="14"/>
      <c r="CI2805" s="50"/>
      <c r="CJ2805" s="54"/>
      <c r="CK2805" s="14"/>
      <c r="CL2805" s="14"/>
      <c r="CM2805" s="14"/>
      <c r="CN2805" s="14"/>
      <c r="CO2805" s="14"/>
      <c r="CP2805" s="14"/>
      <c r="CQ2805" s="14"/>
      <c r="CR2805" s="14"/>
      <c r="CS2805" s="14"/>
      <c r="CT2805" s="14"/>
      <c r="CU2805" s="16"/>
      <c r="CV2805" s="14"/>
      <c r="CW2805" s="50"/>
      <c r="CX2805" s="17"/>
    </row>
    <row r="2806" spans="74:102" x14ac:dyDescent="0.25">
      <c r="BV2806" s="14"/>
      <c r="BW2806" s="50"/>
      <c r="BX2806" s="54"/>
      <c r="BY2806" s="14"/>
      <c r="BZ2806" s="14"/>
      <c r="CA2806" s="14"/>
      <c r="CB2806" s="14"/>
      <c r="CC2806" s="14"/>
      <c r="CD2806" s="14"/>
      <c r="CE2806" s="14"/>
      <c r="CF2806" s="15"/>
      <c r="CG2806" s="14"/>
      <c r="CH2806" s="14"/>
      <c r="CI2806" s="50"/>
      <c r="CJ2806" s="54"/>
      <c r="CK2806" s="14"/>
      <c r="CL2806" s="14"/>
      <c r="CM2806" s="14"/>
      <c r="CN2806" s="14"/>
      <c r="CO2806" s="14"/>
      <c r="CP2806" s="14"/>
      <c r="CQ2806" s="14"/>
      <c r="CR2806" s="14"/>
      <c r="CS2806" s="14"/>
      <c r="CT2806" s="14"/>
      <c r="CU2806" s="16"/>
      <c r="CV2806" s="14"/>
      <c r="CW2806" s="50"/>
      <c r="CX2806" s="17"/>
    </row>
    <row r="2807" spans="74:102" x14ac:dyDescent="0.25">
      <c r="BV2807" s="14"/>
      <c r="BW2807" s="50"/>
      <c r="BX2807" s="54"/>
      <c r="BY2807" s="14"/>
      <c r="BZ2807" s="14"/>
      <c r="CA2807" s="14"/>
      <c r="CB2807" s="14"/>
      <c r="CC2807" s="14"/>
      <c r="CD2807" s="14"/>
      <c r="CE2807" s="14"/>
      <c r="CF2807" s="15"/>
      <c r="CG2807" s="14"/>
      <c r="CH2807" s="14"/>
      <c r="CI2807" s="50"/>
      <c r="CJ2807" s="54"/>
      <c r="CK2807" s="14"/>
      <c r="CL2807" s="14"/>
      <c r="CM2807" s="14"/>
      <c r="CN2807" s="14"/>
      <c r="CO2807" s="14"/>
      <c r="CP2807" s="14"/>
      <c r="CQ2807" s="14"/>
      <c r="CR2807" s="14"/>
      <c r="CS2807" s="14"/>
      <c r="CT2807" s="14"/>
      <c r="CU2807" s="16"/>
      <c r="CV2807" s="14"/>
      <c r="CW2807" s="50"/>
      <c r="CX2807" s="17"/>
    </row>
    <row r="2808" spans="74:102" x14ac:dyDescent="0.25">
      <c r="BV2808" s="14"/>
      <c r="BW2808" s="50"/>
      <c r="BX2808" s="54"/>
      <c r="BY2808" s="14"/>
      <c r="BZ2808" s="14"/>
      <c r="CA2808" s="14"/>
      <c r="CB2808" s="14"/>
      <c r="CC2808" s="14"/>
      <c r="CD2808" s="14"/>
      <c r="CE2808" s="14"/>
      <c r="CF2808" s="15"/>
      <c r="CG2808" s="14"/>
      <c r="CH2808" s="14"/>
      <c r="CI2808" s="50"/>
      <c r="CJ2808" s="54"/>
      <c r="CK2808" s="14"/>
      <c r="CL2808" s="14"/>
      <c r="CM2808" s="14"/>
      <c r="CN2808" s="14"/>
      <c r="CO2808" s="14"/>
      <c r="CP2808" s="14"/>
      <c r="CQ2808" s="14"/>
      <c r="CR2808" s="14"/>
      <c r="CS2808" s="14"/>
      <c r="CT2808" s="14"/>
      <c r="CU2808" s="16"/>
      <c r="CV2808" s="14"/>
      <c r="CW2808" s="50"/>
      <c r="CX2808" s="17"/>
    </row>
    <row r="2809" spans="74:102" x14ac:dyDescent="0.25">
      <c r="BV2809" s="14"/>
      <c r="BW2809" s="50"/>
      <c r="BX2809" s="54"/>
      <c r="BY2809" s="14"/>
      <c r="BZ2809" s="14"/>
      <c r="CA2809" s="14"/>
      <c r="CB2809" s="14"/>
      <c r="CC2809" s="14"/>
      <c r="CD2809" s="14"/>
      <c r="CE2809" s="14"/>
      <c r="CF2809" s="15"/>
      <c r="CG2809" s="14"/>
      <c r="CH2809" s="14"/>
      <c r="CI2809" s="50"/>
      <c r="CJ2809" s="54"/>
      <c r="CK2809" s="14"/>
      <c r="CL2809" s="14"/>
      <c r="CM2809" s="14"/>
      <c r="CN2809" s="14"/>
      <c r="CO2809" s="14"/>
      <c r="CP2809" s="14"/>
      <c r="CQ2809" s="14"/>
      <c r="CR2809" s="14"/>
      <c r="CS2809" s="14"/>
      <c r="CT2809" s="14"/>
      <c r="CU2809" s="16"/>
      <c r="CV2809" s="14"/>
      <c r="CW2809" s="50"/>
      <c r="CX2809" s="17"/>
    </row>
    <row r="2810" spans="74:102" x14ac:dyDescent="0.25">
      <c r="BV2810" s="14"/>
      <c r="BW2810" s="50"/>
      <c r="BX2810" s="54"/>
      <c r="BY2810" s="14"/>
      <c r="BZ2810" s="14"/>
      <c r="CA2810" s="14"/>
      <c r="CB2810" s="14"/>
      <c r="CC2810" s="14"/>
      <c r="CD2810" s="14"/>
      <c r="CE2810" s="14"/>
      <c r="CF2810" s="15"/>
      <c r="CG2810" s="14"/>
      <c r="CH2810" s="14"/>
      <c r="CI2810" s="50"/>
      <c r="CJ2810" s="54"/>
      <c r="CK2810" s="14"/>
      <c r="CL2810" s="14"/>
      <c r="CM2810" s="14"/>
      <c r="CN2810" s="14"/>
      <c r="CO2810" s="14"/>
      <c r="CP2810" s="14"/>
      <c r="CQ2810" s="14"/>
      <c r="CR2810" s="14"/>
      <c r="CS2810" s="14"/>
      <c r="CT2810" s="14"/>
      <c r="CU2810" s="16"/>
      <c r="CV2810" s="14"/>
      <c r="CW2810" s="50"/>
      <c r="CX2810" s="17"/>
    </row>
    <row r="2811" spans="74:102" x14ac:dyDescent="0.25">
      <c r="BV2811" s="14"/>
      <c r="BW2811" s="50"/>
      <c r="BX2811" s="54"/>
      <c r="BY2811" s="14"/>
      <c r="BZ2811" s="14"/>
      <c r="CA2811" s="14"/>
      <c r="CB2811" s="14"/>
      <c r="CC2811" s="14"/>
      <c r="CD2811" s="14"/>
      <c r="CE2811" s="14"/>
      <c r="CF2811" s="15"/>
      <c r="CG2811" s="14"/>
      <c r="CH2811" s="14"/>
      <c r="CI2811" s="50"/>
      <c r="CJ2811" s="54"/>
      <c r="CK2811" s="14"/>
      <c r="CL2811" s="14"/>
      <c r="CM2811" s="14"/>
      <c r="CN2811" s="14"/>
      <c r="CO2811" s="14"/>
      <c r="CP2811" s="14"/>
      <c r="CQ2811" s="14"/>
      <c r="CR2811" s="14"/>
      <c r="CS2811" s="14"/>
      <c r="CT2811" s="14"/>
      <c r="CU2811" s="16"/>
      <c r="CV2811" s="14"/>
      <c r="CW2811" s="50"/>
      <c r="CX2811" s="17"/>
    </row>
    <row r="2812" spans="74:102" x14ac:dyDescent="0.25">
      <c r="BV2812" s="14"/>
      <c r="BW2812" s="50"/>
      <c r="BX2812" s="54"/>
      <c r="BY2812" s="14"/>
      <c r="BZ2812" s="14"/>
      <c r="CA2812" s="14"/>
      <c r="CB2812" s="14"/>
      <c r="CC2812" s="14"/>
      <c r="CD2812" s="14"/>
      <c r="CE2812" s="14"/>
      <c r="CF2812" s="15"/>
      <c r="CG2812" s="14"/>
      <c r="CH2812" s="14"/>
      <c r="CI2812" s="50"/>
      <c r="CJ2812" s="54"/>
      <c r="CK2812" s="14"/>
      <c r="CL2812" s="14"/>
      <c r="CM2812" s="14"/>
      <c r="CN2812" s="14"/>
      <c r="CO2812" s="14"/>
      <c r="CP2812" s="14"/>
      <c r="CQ2812" s="14"/>
      <c r="CR2812" s="14"/>
      <c r="CS2812" s="14"/>
      <c r="CT2812" s="14"/>
      <c r="CU2812" s="16"/>
      <c r="CV2812" s="14"/>
      <c r="CW2812" s="50"/>
      <c r="CX2812" s="17"/>
    </row>
    <row r="2813" spans="74:102" x14ac:dyDescent="0.25">
      <c r="BV2813" s="14"/>
      <c r="BW2813" s="50"/>
      <c r="BX2813" s="54"/>
      <c r="BY2813" s="14"/>
      <c r="BZ2813" s="14"/>
      <c r="CA2813" s="14"/>
      <c r="CB2813" s="14"/>
      <c r="CC2813" s="14"/>
      <c r="CD2813" s="14"/>
      <c r="CE2813" s="14"/>
      <c r="CF2813" s="15"/>
      <c r="CG2813" s="14"/>
      <c r="CH2813" s="14"/>
      <c r="CI2813" s="50"/>
      <c r="CJ2813" s="54"/>
      <c r="CK2813" s="14"/>
      <c r="CL2813" s="14"/>
      <c r="CM2813" s="14"/>
      <c r="CN2813" s="14"/>
      <c r="CO2813" s="14"/>
      <c r="CP2813" s="14"/>
      <c r="CQ2813" s="14"/>
      <c r="CR2813" s="14"/>
      <c r="CS2813" s="14"/>
      <c r="CT2813" s="14"/>
      <c r="CU2813" s="16"/>
      <c r="CV2813" s="14"/>
      <c r="CW2813" s="50"/>
      <c r="CX2813" s="17"/>
    </row>
    <row r="2814" spans="74:102" x14ac:dyDescent="0.25">
      <c r="BV2814" s="14"/>
      <c r="BW2814" s="50"/>
      <c r="BX2814" s="54"/>
      <c r="BY2814" s="14"/>
      <c r="BZ2814" s="14"/>
      <c r="CA2814" s="14"/>
      <c r="CB2814" s="14"/>
      <c r="CC2814" s="14"/>
      <c r="CD2814" s="14"/>
      <c r="CE2814" s="14"/>
      <c r="CF2814" s="15"/>
      <c r="CG2814" s="14"/>
      <c r="CH2814" s="14"/>
      <c r="CI2814" s="50"/>
      <c r="CJ2814" s="54"/>
      <c r="CK2814" s="14"/>
      <c r="CL2814" s="14"/>
      <c r="CM2814" s="14"/>
      <c r="CN2814" s="14"/>
      <c r="CO2814" s="14"/>
      <c r="CP2814" s="14"/>
      <c r="CQ2814" s="14"/>
      <c r="CR2814" s="14"/>
      <c r="CS2814" s="14"/>
      <c r="CT2814" s="14"/>
      <c r="CU2814" s="16"/>
      <c r="CV2814" s="14"/>
      <c r="CW2814" s="50"/>
      <c r="CX2814" s="17"/>
    </row>
    <row r="2815" spans="74:102" x14ac:dyDescent="0.25">
      <c r="BV2815" s="14"/>
      <c r="BW2815" s="50"/>
      <c r="BX2815" s="54"/>
      <c r="BY2815" s="14"/>
      <c r="BZ2815" s="14"/>
      <c r="CA2815" s="14"/>
      <c r="CB2815" s="14"/>
      <c r="CC2815" s="14"/>
      <c r="CD2815" s="14"/>
      <c r="CE2815" s="14"/>
      <c r="CF2815" s="15"/>
      <c r="CG2815" s="14"/>
      <c r="CH2815" s="14"/>
      <c r="CI2815" s="50"/>
      <c r="CJ2815" s="54"/>
      <c r="CK2815" s="14"/>
      <c r="CL2815" s="14"/>
      <c r="CM2815" s="14"/>
      <c r="CN2815" s="14"/>
      <c r="CO2815" s="14"/>
      <c r="CP2815" s="14"/>
      <c r="CQ2815" s="14"/>
      <c r="CR2815" s="14"/>
      <c r="CS2815" s="14"/>
      <c r="CT2815" s="14"/>
      <c r="CU2815" s="16"/>
      <c r="CV2815" s="14"/>
      <c r="CW2815" s="50"/>
      <c r="CX2815" s="17"/>
    </row>
    <row r="2816" spans="74:102" x14ac:dyDescent="0.25">
      <c r="BV2816" s="14"/>
      <c r="BW2816" s="50"/>
      <c r="BX2816" s="54"/>
      <c r="BY2816" s="14"/>
      <c r="BZ2816" s="14"/>
      <c r="CA2816" s="14"/>
      <c r="CB2816" s="14"/>
      <c r="CC2816" s="14"/>
      <c r="CD2816" s="14"/>
      <c r="CE2816" s="14"/>
      <c r="CF2816" s="15"/>
      <c r="CG2816" s="14"/>
      <c r="CH2816" s="14"/>
      <c r="CI2816" s="50"/>
      <c r="CJ2816" s="54"/>
      <c r="CK2816" s="14"/>
      <c r="CL2816" s="14"/>
      <c r="CM2816" s="14"/>
      <c r="CN2816" s="14"/>
      <c r="CO2816" s="14"/>
      <c r="CP2816" s="14"/>
      <c r="CQ2816" s="14"/>
      <c r="CR2816" s="14"/>
      <c r="CS2816" s="14"/>
      <c r="CT2816" s="14"/>
      <c r="CU2816" s="16"/>
      <c r="CV2816" s="14"/>
      <c r="CW2816" s="50"/>
      <c r="CX2816" s="17"/>
    </row>
    <row r="2817" spans="74:102" x14ac:dyDescent="0.25">
      <c r="BV2817" s="14"/>
      <c r="BW2817" s="50"/>
      <c r="BX2817" s="54"/>
      <c r="BY2817" s="14"/>
      <c r="BZ2817" s="14"/>
      <c r="CA2817" s="14"/>
      <c r="CB2817" s="14"/>
      <c r="CC2817" s="14"/>
      <c r="CD2817" s="14"/>
      <c r="CE2817" s="14"/>
      <c r="CF2817" s="15"/>
      <c r="CG2817" s="14"/>
      <c r="CH2817" s="14"/>
      <c r="CI2817" s="50"/>
      <c r="CJ2817" s="54"/>
      <c r="CK2817" s="14"/>
      <c r="CL2817" s="14"/>
      <c r="CM2817" s="14"/>
      <c r="CN2817" s="14"/>
      <c r="CO2817" s="14"/>
      <c r="CP2817" s="14"/>
      <c r="CQ2817" s="14"/>
      <c r="CR2817" s="14"/>
      <c r="CS2817" s="14"/>
      <c r="CT2817" s="14"/>
      <c r="CU2817" s="16"/>
      <c r="CV2817" s="14"/>
      <c r="CW2817" s="50"/>
      <c r="CX2817" s="17"/>
    </row>
    <row r="2818" spans="74:102" x14ac:dyDescent="0.25">
      <c r="BV2818" s="14"/>
      <c r="BW2818" s="50"/>
      <c r="BX2818" s="54"/>
      <c r="BY2818" s="14"/>
      <c r="BZ2818" s="14"/>
      <c r="CA2818" s="14"/>
      <c r="CB2818" s="14"/>
      <c r="CC2818" s="14"/>
      <c r="CD2818" s="14"/>
      <c r="CE2818" s="14"/>
      <c r="CF2818" s="15"/>
      <c r="CG2818" s="14"/>
      <c r="CH2818" s="14"/>
      <c r="CI2818" s="50"/>
      <c r="CJ2818" s="54"/>
      <c r="CK2818" s="14"/>
      <c r="CL2818" s="14"/>
      <c r="CM2818" s="14"/>
      <c r="CN2818" s="14"/>
      <c r="CO2818" s="14"/>
      <c r="CP2818" s="14"/>
      <c r="CQ2818" s="14"/>
      <c r="CR2818" s="14"/>
      <c r="CS2818" s="14"/>
      <c r="CT2818" s="14"/>
      <c r="CU2818" s="16"/>
      <c r="CV2818" s="14"/>
      <c r="CW2818" s="50"/>
      <c r="CX2818" s="17"/>
    </row>
    <row r="2819" spans="74:102" x14ac:dyDescent="0.25">
      <c r="BV2819" s="14"/>
      <c r="BW2819" s="50"/>
      <c r="BX2819" s="54"/>
      <c r="BY2819" s="14"/>
      <c r="BZ2819" s="14"/>
      <c r="CA2819" s="14"/>
      <c r="CB2819" s="14"/>
      <c r="CC2819" s="14"/>
      <c r="CD2819" s="14"/>
      <c r="CE2819" s="14"/>
      <c r="CF2819" s="15"/>
      <c r="CG2819" s="14"/>
      <c r="CH2819" s="14"/>
      <c r="CI2819" s="50"/>
      <c r="CJ2819" s="54"/>
      <c r="CK2819" s="14"/>
      <c r="CL2819" s="14"/>
      <c r="CM2819" s="14"/>
      <c r="CN2819" s="14"/>
      <c r="CO2819" s="14"/>
      <c r="CP2819" s="14"/>
      <c r="CQ2819" s="14"/>
      <c r="CR2819" s="14"/>
      <c r="CS2819" s="14"/>
      <c r="CT2819" s="14"/>
      <c r="CU2819" s="16"/>
      <c r="CV2819" s="14"/>
      <c r="CW2819" s="50"/>
      <c r="CX2819" s="17"/>
    </row>
    <row r="2820" spans="74:102" x14ac:dyDescent="0.25">
      <c r="BV2820" s="14"/>
      <c r="BW2820" s="50"/>
      <c r="BX2820" s="54"/>
      <c r="BY2820" s="14"/>
      <c r="BZ2820" s="14"/>
      <c r="CA2820" s="14"/>
      <c r="CB2820" s="14"/>
      <c r="CC2820" s="14"/>
      <c r="CD2820" s="14"/>
      <c r="CE2820" s="14"/>
      <c r="CF2820" s="15"/>
      <c r="CG2820" s="14"/>
      <c r="CH2820" s="14"/>
      <c r="CI2820" s="50"/>
      <c r="CJ2820" s="54"/>
      <c r="CK2820" s="14"/>
      <c r="CL2820" s="14"/>
      <c r="CM2820" s="14"/>
      <c r="CN2820" s="14"/>
      <c r="CO2820" s="14"/>
      <c r="CP2820" s="14"/>
      <c r="CQ2820" s="14"/>
      <c r="CR2820" s="14"/>
      <c r="CS2820" s="14"/>
      <c r="CT2820" s="14"/>
      <c r="CU2820" s="16"/>
      <c r="CV2820" s="14"/>
      <c r="CW2820" s="50"/>
      <c r="CX2820" s="17"/>
    </row>
    <row r="2821" spans="74:102" x14ac:dyDescent="0.25">
      <c r="BV2821" s="14"/>
      <c r="BW2821" s="50"/>
      <c r="BX2821" s="54"/>
      <c r="BY2821" s="14"/>
      <c r="BZ2821" s="14"/>
      <c r="CA2821" s="14"/>
      <c r="CB2821" s="14"/>
      <c r="CC2821" s="14"/>
      <c r="CD2821" s="14"/>
      <c r="CE2821" s="14"/>
      <c r="CF2821" s="15"/>
      <c r="CG2821" s="14"/>
      <c r="CH2821" s="14"/>
      <c r="CI2821" s="50"/>
      <c r="CJ2821" s="54"/>
      <c r="CK2821" s="14"/>
      <c r="CL2821" s="14"/>
      <c r="CM2821" s="14"/>
      <c r="CN2821" s="14"/>
      <c r="CO2821" s="14"/>
      <c r="CP2821" s="14"/>
      <c r="CQ2821" s="14"/>
      <c r="CR2821" s="14"/>
      <c r="CS2821" s="14"/>
      <c r="CT2821" s="14"/>
      <c r="CU2821" s="16"/>
      <c r="CV2821" s="14"/>
      <c r="CW2821" s="50"/>
      <c r="CX2821" s="17"/>
    </row>
    <row r="2822" spans="74:102" x14ac:dyDescent="0.25">
      <c r="BV2822" s="14"/>
      <c r="BW2822" s="50"/>
      <c r="BX2822" s="54"/>
      <c r="BY2822" s="14"/>
      <c r="BZ2822" s="14"/>
      <c r="CA2822" s="14"/>
      <c r="CB2822" s="14"/>
      <c r="CC2822" s="14"/>
      <c r="CD2822" s="14"/>
      <c r="CE2822" s="14"/>
      <c r="CF2822" s="15"/>
      <c r="CG2822" s="14"/>
      <c r="CH2822" s="14"/>
      <c r="CI2822" s="50"/>
      <c r="CJ2822" s="54"/>
      <c r="CK2822" s="14"/>
      <c r="CL2822" s="14"/>
      <c r="CM2822" s="14"/>
      <c r="CN2822" s="14"/>
      <c r="CO2822" s="14"/>
      <c r="CP2822" s="14"/>
      <c r="CQ2822" s="14"/>
      <c r="CR2822" s="14"/>
      <c r="CS2822" s="14"/>
      <c r="CT2822" s="14"/>
      <c r="CU2822" s="16"/>
      <c r="CV2822" s="14"/>
      <c r="CW2822" s="50"/>
      <c r="CX2822" s="17"/>
    </row>
    <row r="2823" spans="74:102" x14ac:dyDescent="0.25">
      <c r="BV2823" s="14"/>
      <c r="BW2823" s="50"/>
      <c r="BX2823" s="54"/>
      <c r="BY2823" s="14"/>
      <c r="BZ2823" s="14"/>
      <c r="CA2823" s="14"/>
      <c r="CB2823" s="14"/>
      <c r="CC2823" s="14"/>
      <c r="CD2823" s="14"/>
      <c r="CE2823" s="14"/>
      <c r="CF2823" s="15"/>
      <c r="CG2823" s="14"/>
      <c r="CH2823" s="14"/>
      <c r="CI2823" s="50"/>
      <c r="CJ2823" s="54"/>
      <c r="CK2823" s="14"/>
      <c r="CL2823" s="14"/>
      <c r="CM2823" s="14"/>
      <c r="CN2823" s="14"/>
      <c r="CO2823" s="14"/>
      <c r="CP2823" s="14"/>
      <c r="CQ2823" s="14"/>
      <c r="CR2823" s="14"/>
      <c r="CS2823" s="14"/>
      <c r="CT2823" s="14"/>
      <c r="CU2823" s="16"/>
      <c r="CV2823" s="14"/>
      <c r="CW2823" s="50"/>
      <c r="CX2823" s="17"/>
    </row>
    <row r="2824" spans="74:102" x14ac:dyDescent="0.25">
      <c r="BV2824" s="14"/>
      <c r="BW2824" s="50"/>
      <c r="BX2824" s="54"/>
      <c r="BY2824" s="14"/>
      <c r="BZ2824" s="14"/>
      <c r="CA2824" s="14"/>
      <c r="CB2824" s="14"/>
      <c r="CC2824" s="14"/>
      <c r="CD2824" s="14"/>
      <c r="CE2824" s="14"/>
      <c r="CF2824" s="15"/>
      <c r="CG2824" s="14"/>
      <c r="CH2824" s="14"/>
      <c r="CI2824" s="50"/>
      <c r="CJ2824" s="54"/>
      <c r="CK2824" s="14"/>
      <c r="CL2824" s="14"/>
      <c r="CM2824" s="14"/>
      <c r="CN2824" s="14"/>
      <c r="CO2824" s="14"/>
      <c r="CP2824" s="14"/>
      <c r="CQ2824" s="14"/>
      <c r="CR2824" s="14"/>
      <c r="CS2824" s="14"/>
      <c r="CT2824" s="14"/>
      <c r="CU2824" s="16"/>
      <c r="CV2824" s="14"/>
      <c r="CW2824" s="50"/>
      <c r="CX2824" s="17"/>
    </row>
    <row r="2825" spans="74:102" x14ac:dyDescent="0.25">
      <c r="BV2825" s="14"/>
      <c r="BW2825" s="50"/>
      <c r="BX2825" s="54"/>
      <c r="BY2825" s="14"/>
      <c r="BZ2825" s="14"/>
      <c r="CA2825" s="14"/>
      <c r="CB2825" s="14"/>
      <c r="CC2825" s="14"/>
      <c r="CD2825" s="14"/>
      <c r="CE2825" s="14"/>
      <c r="CF2825" s="15"/>
      <c r="CG2825" s="14"/>
      <c r="CH2825" s="14"/>
      <c r="CI2825" s="50"/>
      <c r="CJ2825" s="54"/>
      <c r="CK2825" s="14"/>
      <c r="CL2825" s="14"/>
      <c r="CM2825" s="14"/>
      <c r="CN2825" s="14"/>
      <c r="CO2825" s="14"/>
      <c r="CP2825" s="14"/>
      <c r="CQ2825" s="14"/>
      <c r="CR2825" s="14"/>
      <c r="CS2825" s="14"/>
      <c r="CT2825" s="14"/>
      <c r="CU2825" s="16"/>
      <c r="CV2825" s="14"/>
      <c r="CW2825" s="50"/>
      <c r="CX2825" s="17"/>
    </row>
    <row r="2826" spans="74:102" x14ac:dyDescent="0.25">
      <c r="BV2826" s="14"/>
      <c r="BW2826" s="50"/>
      <c r="BX2826" s="54"/>
      <c r="BY2826" s="14"/>
      <c r="BZ2826" s="14"/>
      <c r="CA2826" s="14"/>
      <c r="CB2826" s="14"/>
      <c r="CC2826" s="14"/>
      <c r="CD2826" s="14"/>
      <c r="CE2826" s="14"/>
      <c r="CF2826" s="15"/>
      <c r="CG2826" s="14"/>
      <c r="CH2826" s="14"/>
      <c r="CI2826" s="50"/>
      <c r="CJ2826" s="54"/>
      <c r="CK2826" s="14"/>
      <c r="CL2826" s="14"/>
      <c r="CM2826" s="14"/>
      <c r="CN2826" s="14"/>
      <c r="CO2826" s="14"/>
      <c r="CP2826" s="14"/>
      <c r="CQ2826" s="14"/>
      <c r="CR2826" s="14"/>
      <c r="CS2826" s="14"/>
      <c r="CT2826" s="14"/>
      <c r="CU2826" s="16"/>
      <c r="CV2826" s="14"/>
      <c r="CW2826" s="50"/>
      <c r="CX2826" s="17"/>
    </row>
    <row r="2827" spans="74:102" x14ac:dyDescent="0.25">
      <c r="BV2827" s="14"/>
      <c r="BW2827" s="50"/>
      <c r="BX2827" s="54"/>
      <c r="BY2827" s="14"/>
      <c r="BZ2827" s="14"/>
      <c r="CA2827" s="14"/>
      <c r="CB2827" s="14"/>
      <c r="CC2827" s="14"/>
      <c r="CD2827" s="14"/>
      <c r="CE2827" s="14"/>
      <c r="CF2827" s="15"/>
      <c r="CG2827" s="14"/>
      <c r="CH2827" s="14"/>
      <c r="CI2827" s="50"/>
      <c r="CJ2827" s="54"/>
      <c r="CK2827" s="14"/>
      <c r="CL2827" s="14"/>
      <c r="CM2827" s="14"/>
      <c r="CN2827" s="14"/>
      <c r="CO2827" s="14"/>
      <c r="CP2827" s="14"/>
      <c r="CQ2827" s="14"/>
      <c r="CR2827" s="14"/>
      <c r="CS2827" s="14"/>
      <c r="CT2827" s="14"/>
      <c r="CU2827" s="16"/>
      <c r="CV2827" s="14"/>
      <c r="CW2827" s="50"/>
      <c r="CX2827" s="17"/>
    </row>
    <row r="2828" spans="74:102" x14ac:dyDescent="0.25">
      <c r="BV2828" s="14"/>
      <c r="BW2828" s="50"/>
      <c r="BX2828" s="54"/>
      <c r="BY2828" s="14"/>
      <c r="BZ2828" s="14"/>
      <c r="CA2828" s="14"/>
      <c r="CB2828" s="14"/>
      <c r="CC2828" s="14"/>
      <c r="CD2828" s="14"/>
      <c r="CE2828" s="14"/>
      <c r="CF2828" s="15"/>
      <c r="CG2828" s="14"/>
      <c r="CH2828" s="14"/>
      <c r="CI2828" s="50"/>
      <c r="CJ2828" s="54"/>
      <c r="CK2828" s="14"/>
      <c r="CL2828" s="14"/>
      <c r="CM2828" s="14"/>
      <c r="CN2828" s="14"/>
      <c r="CO2828" s="14"/>
      <c r="CP2828" s="14"/>
      <c r="CQ2828" s="14"/>
      <c r="CR2828" s="14"/>
      <c r="CS2828" s="14"/>
      <c r="CT2828" s="14"/>
      <c r="CU2828" s="16"/>
      <c r="CV2828" s="14"/>
      <c r="CW2828" s="50"/>
      <c r="CX2828" s="17"/>
    </row>
    <row r="2829" spans="74:102" x14ac:dyDescent="0.25">
      <c r="BV2829" s="14"/>
      <c r="BW2829" s="50"/>
      <c r="BX2829" s="54"/>
      <c r="BY2829" s="14"/>
      <c r="BZ2829" s="14"/>
      <c r="CA2829" s="14"/>
      <c r="CB2829" s="14"/>
      <c r="CC2829" s="14"/>
      <c r="CD2829" s="14"/>
      <c r="CE2829" s="14"/>
      <c r="CF2829" s="15"/>
      <c r="CG2829" s="14"/>
      <c r="CH2829" s="14"/>
      <c r="CI2829" s="50"/>
      <c r="CJ2829" s="54"/>
      <c r="CK2829" s="14"/>
      <c r="CL2829" s="14"/>
      <c r="CM2829" s="14"/>
      <c r="CN2829" s="14"/>
      <c r="CO2829" s="14"/>
      <c r="CP2829" s="14"/>
      <c r="CQ2829" s="14"/>
      <c r="CR2829" s="14"/>
      <c r="CS2829" s="14"/>
      <c r="CT2829" s="14"/>
      <c r="CU2829" s="16"/>
      <c r="CV2829" s="14"/>
      <c r="CW2829" s="50"/>
      <c r="CX2829" s="17"/>
    </row>
    <row r="2830" spans="74:102" x14ac:dyDescent="0.25">
      <c r="BV2830" s="14"/>
      <c r="BW2830" s="50"/>
      <c r="BX2830" s="54"/>
      <c r="BY2830" s="14"/>
      <c r="BZ2830" s="14"/>
      <c r="CA2830" s="14"/>
      <c r="CB2830" s="14"/>
      <c r="CC2830" s="14"/>
      <c r="CD2830" s="14"/>
      <c r="CE2830" s="14"/>
      <c r="CF2830" s="15"/>
      <c r="CG2830" s="14"/>
      <c r="CH2830" s="14"/>
      <c r="CI2830" s="50"/>
      <c r="CJ2830" s="54"/>
      <c r="CK2830" s="14"/>
      <c r="CL2830" s="14"/>
      <c r="CM2830" s="14"/>
      <c r="CN2830" s="14"/>
      <c r="CO2830" s="14"/>
      <c r="CP2830" s="14"/>
      <c r="CQ2830" s="14"/>
      <c r="CR2830" s="14"/>
      <c r="CS2830" s="14"/>
      <c r="CT2830" s="14"/>
      <c r="CU2830" s="16"/>
      <c r="CV2830" s="14"/>
      <c r="CW2830" s="50"/>
      <c r="CX2830" s="17"/>
    </row>
    <row r="2831" spans="74:102" x14ac:dyDescent="0.25">
      <c r="BV2831" s="14"/>
      <c r="BW2831" s="50"/>
      <c r="BX2831" s="54"/>
      <c r="BY2831" s="14"/>
      <c r="BZ2831" s="14"/>
      <c r="CA2831" s="14"/>
      <c r="CB2831" s="14"/>
      <c r="CC2831" s="14"/>
      <c r="CD2831" s="14"/>
      <c r="CE2831" s="14"/>
      <c r="CF2831" s="15"/>
      <c r="CG2831" s="14"/>
      <c r="CH2831" s="14"/>
      <c r="CI2831" s="50"/>
      <c r="CJ2831" s="54"/>
      <c r="CK2831" s="14"/>
      <c r="CL2831" s="14"/>
      <c r="CM2831" s="14"/>
      <c r="CN2831" s="14"/>
      <c r="CO2831" s="14"/>
      <c r="CP2831" s="14"/>
      <c r="CQ2831" s="14"/>
      <c r="CR2831" s="14"/>
      <c r="CS2831" s="14"/>
      <c r="CT2831" s="14"/>
      <c r="CU2831" s="16"/>
      <c r="CV2831" s="14"/>
      <c r="CW2831" s="50"/>
      <c r="CX2831" s="17"/>
    </row>
    <row r="2832" spans="74:102" x14ac:dyDescent="0.25">
      <c r="BV2832" s="14"/>
      <c r="BW2832" s="50"/>
      <c r="BX2832" s="54"/>
      <c r="BY2832" s="14"/>
      <c r="BZ2832" s="14"/>
      <c r="CA2832" s="14"/>
      <c r="CB2832" s="14"/>
      <c r="CC2832" s="14"/>
      <c r="CD2832" s="14"/>
      <c r="CE2832" s="14"/>
      <c r="CF2832" s="15"/>
      <c r="CG2832" s="14"/>
      <c r="CH2832" s="14"/>
      <c r="CI2832" s="50"/>
      <c r="CJ2832" s="54"/>
      <c r="CK2832" s="14"/>
      <c r="CL2832" s="14"/>
      <c r="CM2832" s="14"/>
      <c r="CN2832" s="14"/>
      <c r="CO2832" s="14"/>
      <c r="CP2832" s="14"/>
      <c r="CQ2832" s="14"/>
      <c r="CR2832" s="14"/>
      <c r="CS2832" s="14"/>
      <c r="CT2832" s="14"/>
      <c r="CU2832" s="16"/>
      <c r="CV2832" s="14"/>
      <c r="CW2832" s="50"/>
      <c r="CX2832" s="17"/>
    </row>
    <row r="2833" spans="74:102" x14ac:dyDescent="0.25">
      <c r="BV2833" s="14"/>
      <c r="BW2833" s="50"/>
      <c r="BX2833" s="54"/>
      <c r="BY2833" s="14"/>
      <c r="BZ2833" s="14"/>
      <c r="CA2833" s="14"/>
      <c r="CB2833" s="14"/>
      <c r="CC2833" s="14"/>
      <c r="CD2833" s="14"/>
      <c r="CE2833" s="14"/>
      <c r="CF2833" s="15"/>
      <c r="CG2833" s="14"/>
      <c r="CH2833" s="14"/>
      <c r="CI2833" s="50"/>
      <c r="CJ2833" s="54"/>
      <c r="CK2833" s="14"/>
      <c r="CL2833" s="14"/>
      <c r="CM2833" s="14"/>
      <c r="CN2833" s="14"/>
      <c r="CO2833" s="14"/>
      <c r="CP2833" s="14"/>
      <c r="CQ2833" s="14"/>
      <c r="CR2833" s="14"/>
      <c r="CS2833" s="14"/>
      <c r="CT2833" s="14"/>
      <c r="CU2833" s="16"/>
      <c r="CV2833" s="14"/>
      <c r="CW2833" s="50"/>
      <c r="CX2833" s="17"/>
    </row>
    <row r="2834" spans="74:102" x14ac:dyDescent="0.25">
      <c r="BV2834" s="14"/>
      <c r="BW2834" s="50"/>
      <c r="BX2834" s="54"/>
      <c r="BY2834" s="14"/>
      <c r="BZ2834" s="14"/>
      <c r="CA2834" s="14"/>
      <c r="CB2834" s="14"/>
      <c r="CC2834" s="14"/>
      <c r="CD2834" s="14"/>
      <c r="CE2834" s="14"/>
      <c r="CF2834" s="15"/>
      <c r="CG2834" s="14"/>
      <c r="CH2834" s="14"/>
      <c r="CI2834" s="50"/>
      <c r="CJ2834" s="54"/>
      <c r="CK2834" s="14"/>
      <c r="CL2834" s="14"/>
      <c r="CM2834" s="14"/>
      <c r="CN2834" s="14"/>
      <c r="CO2834" s="14"/>
      <c r="CP2834" s="14"/>
      <c r="CQ2834" s="14"/>
      <c r="CR2834" s="14"/>
      <c r="CS2834" s="14"/>
      <c r="CT2834" s="14"/>
      <c r="CU2834" s="16"/>
      <c r="CV2834" s="14"/>
      <c r="CW2834" s="50"/>
      <c r="CX2834" s="17"/>
    </row>
    <row r="2835" spans="74:102" x14ac:dyDescent="0.25">
      <c r="BV2835" s="14"/>
      <c r="BW2835" s="50"/>
      <c r="BX2835" s="54"/>
      <c r="BY2835" s="14"/>
      <c r="BZ2835" s="14"/>
      <c r="CA2835" s="14"/>
      <c r="CB2835" s="14"/>
      <c r="CC2835" s="14"/>
      <c r="CD2835" s="14"/>
      <c r="CE2835" s="14"/>
      <c r="CF2835" s="15"/>
      <c r="CG2835" s="14"/>
      <c r="CH2835" s="14"/>
      <c r="CI2835" s="50"/>
      <c r="CJ2835" s="54"/>
      <c r="CK2835" s="14"/>
      <c r="CL2835" s="14"/>
      <c r="CM2835" s="14"/>
      <c r="CN2835" s="14"/>
      <c r="CO2835" s="14"/>
      <c r="CP2835" s="14"/>
      <c r="CQ2835" s="14"/>
      <c r="CR2835" s="14"/>
      <c r="CS2835" s="14"/>
      <c r="CT2835" s="14"/>
      <c r="CU2835" s="16"/>
      <c r="CV2835" s="14"/>
      <c r="CW2835" s="50"/>
      <c r="CX2835" s="17"/>
    </row>
    <row r="2836" spans="74:102" x14ac:dyDescent="0.25">
      <c r="BV2836" s="14"/>
      <c r="BW2836" s="50"/>
      <c r="BX2836" s="54"/>
      <c r="BY2836" s="14"/>
      <c r="BZ2836" s="14"/>
      <c r="CA2836" s="14"/>
      <c r="CB2836" s="14"/>
      <c r="CC2836" s="14"/>
      <c r="CD2836" s="14"/>
      <c r="CE2836" s="14"/>
      <c r="CF2836" s="15"/>
      <c r="CG2836" s="14"/>
      <c r="CH2836" s="14"/>
      <c r="CI2836" s="50"/>
      <c r="CJ2836" s="54"/>
      <c r="CK2836" s="14"/>
      <c r="CL2836" s="14"/>
      <c r="CM2836" s="14"/>
      <c r="CN2836" s="14"/>
      <c r="CO2836" s="14"/>
      <c r="CP2836" s="14"/>
      <c r="CQ2836" s="14"/>
      <c r="CR2836" s="14"/>
      <c r="CS2836" s="14"/>
      <c r="CT2836" s="14"/>
      <c r="CU2836" s="16"/>
      <c r="CV2836" s="14"/>
      <c r="CW2836" s="50"/>
      <c r="CX2836" s="17"/>
    </row>
    <row r="2837" spans="74:102" x14ac:dyDescent="0.25">
      <c r="BV2837" s="14"/>
      <c r="BW2837" s="50"/>
      <c r="BX2837" s="54"/>
      <c r="BY2837" s="14"/>
      <c r="BZ2837" s="14"/>
      <c r="CA2837" s="14"/>
      <c r="CB2837" s="14"/>
      <c r="CC2837" s="14"/>
      <c r="CD2837" s="14"/>
      <c r="CE2837" s="14"/>
      <c r="CF2837" s="15"/>
      <c r="CG2837" s="14"/>
      <c r="CH2837" s="14"/>
      <c r="CI2837" s="50"/>
      <c r="CJ2837" s="54"/>
      <c r="CK2837" s="14"/>
      <c r="CL2837" s="14"/>
      <c r="CM2837" s="14"/>
      <c r="CN2837" s="14"/>
      <c r="CO2837" s="14"/>
      <c r="CP2837" s="14"/>
      <c r="CQ2837" s="14"/>
      <c r="CR2837" s="14"/>
      <c r="CS2837" s="14"/>
      <c r="CT2837" s="14"/>
      <c r="CU2837" s="16"/>
      <c r="CV2837" s="14"/>
      <c r="CW2837" s="50"/>
      <c r="CX2837" s="17"/>
    </row>
    <row r="2838" spans="74:102" x14ac:dyDescent="0.25">
      <c r="BV2838" s="14"/>
      <c r="BW2838" s="50"/>
      <c r="BX2838" s="54"/>
      <c r="BY2838" s="14"/>
      <c r="BZ2838" s="14"/>
      <c r="CA2838" s="14"/>
      <c r="CB2838" s="14"/>
      <c r="CC2838" s="14"/>
      <c r="CD2838" s="14"/>
      <c r="CE2838" s="14"/>
      <c r="CF2838" s="15"/>
      <c r="CG2838" s="14"/>
      <c r="CH2838" s="14"/>
      <c r="CI2838" s="50"/>
      <c r="CJ2838" s="54"/>
      <c r="CK2838" s="14"/>
      <c r="CL2838" s="14"/>
      <c r="CM2838" s="14"/>
      <c r="CN2838" s="14"/>
      <c r="CO2838" s="14"/>
      <c r="CP2838" s="14"/>
      <c r="CQ2838" s="14"/>
      <c r="CR2838" s="14"/>
      <c r="CS2838" s="14"/>
      <c r="CT2838" s="14"/>
      <c r="CU2838" s="16"/>
      <c r="CV2838" s="14"/>
      <c r="CW2838" s="50"/>
      <c r="CX2838" s="17"/>
    </row>
    <row r="2839" spans="74:102" x14ac:dyDescent="0.25">
      <c r="BV2839" s="14"/>
      <c r="BW2839" s="50"/>
      <c r="BX2839" s="54"/>
      <c r="BY2839" s="14"/>
      <c r="BZ2839" s="14"/>
      <c r="CA2839" s="14"/>
      <c r="CB2839" s="14"/>
      <c r="CC2839" s="14"/>
      <c r="CD2839" s="14"/>
      <c r="CE2839" s="14"/>
      <c r="CF2839" s="15"/>
      <c r="CG2839" s="14"/>
      <c r="CH2839" s="14"/>
      <c r="CI2839" s="50"/>
      <c r="CJ2839" s="54"/>
      <c r="CK2839" s="14"/>
      <c r="CL2839" s="14"/>
      <c r="CM2839" s="14"/>
      <c r="CN2839" s="14"/>
      <c r="CO2839" s="14"/>
      <c r="CP2839" s="14"/>
      <c r="CQ2839" s="14"/>
      <c r="CR2839" s="14"/>
      <c r="CS2839" s="14"/>
      <c r="CT2839" s="14"/>
      <c r="CU2839" s="16"/>
      <c r="CV2839" s="14"/>
      <c r="CW2839" s="50"/>
      <c r="CX2839" s="17"/>
    </row>
    <row r="2840" spans="74:102" x14ac:dyDescent="0.25">
      <c r="BV2840" s="14"/>
      <c r="BW2840" s="50"/>
      <c r="BX2840" s="54"/>
      <c r="BY2840" s="14"/>
      <c r="BZ2840" s="14"/>
      <c r="CA2840" s="14"/>
      <c r="CB2840" s="14"/>
      <c r="CC2840" s="14"/>
      <c r="CD2840" s="14"/>
      <c r="CE2840" s="14"/>
      <c r="CF2840" s="15"/>
      <c r="CG2840" s="14"/>
      <c r="CH2840" s="14"/>
      <c r="CI2840" s="50"/>
      <c r="CJ2840" s="54"/>
      <c r="CK2840" s="14"/>
      <c r="CL2840" s="14"/>
      <c r="CM2840" s="14"/>
      <c r="CN2840" s="14"/>
      <c r="CO2840" s="14"/>
      <c r="CP2840" s="14"/>
      <c r="CQ2840" s="14"/>
      <c r="CR2840" s="14"/>
      <c r="CS2840" s="14"/>
      <c r="CT2840" s="14"/>
      <c r="CU2840" s="16"/>
      <c r="CV2840" s="14"/>
      <c r="CW2840" s="50"/>
      <c r="CX2840" s="17"/>
    </row>
    <row r="2841" spans="74:102" x14ac:dyDescent="0.25">
      <c r="BV2841" s="14"/>
      <c r="BW2841" s="50"/>
      <c r="BX2841" s="54"/>
      <c r="BY2841" s="14"/>
      <c r="BZ2841" s="14"/>
      <c r="CA2841" s="14"/>
      <c r="CB2841" s="14"/>
      <c r="CC2841" s="14"/>
      <c r="CD2841" s="14"/>
      <c r="CE2841" s="14"/>
      <c r="CF2841" s="15"/>
      <c r="CG2841" s="14"/>
      <c r="CH2841" s="14"/>
      <c r="CI2841" s="50"/>
      <c r="CJ2841" s="54"/>
      <c r="CK2841" s="14"/>
      <c r="CL2841" s="14"/>
      <c r="CM2841" s="14"/>
      <c r="CN2841" s="14"/>
      <c r="CO2841" s="14"/>
      <c r="CP2841" s="14"/>
      <c r="CQ2841" s="14"/>
      <c r="CR2841" s="14"/>
      <c r="CS2841" s="14"/>
      <c r="CT2841" s="14"/>
      <c r="CU2841" s="16"/>
      <c r="CV2841" s="14"/>
      <c r="CW2841" s="50"/>
      <c r="CX2841" s="17"/>
    </row>
    <row r="2842" spans="74:102" x14ac:dyDescent="0.25">
      <c r="BV2842" s="14"/>
      <c r="BW2842" s="50"/>
      <c r="BX2842" s="54"/>
      <c r="BY2842" s="14"/>
      <c r="BZ2842" s="14"/>
      <c r="CA2842" s="14"/>
      <c r="CB2842" s="14"/>
      <c r="CC2842" s="14"/>
      <c r="CD2842" s="14"/>
      <c r="CE2842" s="14"/>
      <c r="CF2842" s="15"/>
      <c r="CG2842" s="14"/>
      <c r="CH2842" s="14"/>
      <c r="CI2842" s="50"/>
      <c r="CJ2842" s="54"/>
      <c r="CK2842" s="14"/>
      <c r="CL2842" s="14"/>
      <c r="CM2842" s="14"/>
      <c r="CN2842" s="14"/>
      <c r="CO2842" s="14"/>
      <c r="CP2842" s="14"/>
      <c r="CQ2842" s="14"/>
      <c r="CR2842" s="14"/>
      <c r="CS2842" s="14"/>
      <c r="CT2842" s="14"/>
      <c r="CU2842" s="16"/>
      <c r="CV2842" s="14"/>
      <c r="CW2842" s="50"/>
      <c r="CX2842" s="17"/>
    </row>
    <row r="2843" spans="74:102" x14ac:dyDescent="0.25">
      <c r="BV2843" s="14"/>
      <c r="BW2843" s="50"/>
      <c r="BX2843" s="54"/>
      <c r="BY2843" s="14"/>
      <c r="BZ2843" s="14"/>
      <c r="CA2843" s="14"/>
      <c r="CB2843" s="14"/>
      <c r="CC2843" s="14"/>
      <c r="CD2843" s="14"/>
      <c r="CE2843" s="14"/>
      <c r="CF2843" s="15"/>
      <c r="CG2843" s="14"/>
      <c r="CH2843" s="14"/>
      <c r="CI2843" s="50"/>
      <c r="CJ2843" s="54"/>
      <c r="CK2843" s="14"/>
      <c r="CL2843" s="14"/>
      <c r="CM2843" s="14"/>
      <c r="CN2843" s="14"/>
      <c r="CO2843" s="14"/>
      <c r="CP2843" s="14"/>
      <c r="CQ2843" s="14"/>
      <c r="CR2843" s="14"/>
      <c r="CS2843" s="14"/>
      <c r="CT2843" s="14"/>
      <c r="CU2843" s="16"/>
      <c r="CV2843" s="14"/>
      <c r="CW2843" s="50"/>
      <c r="CX2843" s="17"/>
    </row>
    <row r="2844" spans="74:102" x14ac:dyDescent="0.25">
      <c r="BV2844" s="14"/>
      <c r="BW2844" s="50"/>
      <c r="BX2844" s="54"/>
      <c r="BY2844" s="14"/>
      <c r="BZ2844" s="14"/>
      <c r="CA2844" s="14"/>
      <c r="CB2844" s="14"/>
      <c r="CC2844" s="14"/>
      <c r="CD2844" s="14"/>
      <c r="CE2844" s="14"/>
      <c r="CF2844" s="15"/>
      <c r="CG2844" s="14"/>
      <c r="CH2844" s="14"/>
      <c r="CI2844" s="50"/>
      <c r="CJ2844" s="54"/>
      <c r="CK2844" s="14"/>
      <c r="CL2844" s="14"/>
      <c r="CM2844" s="14"/>
      <c r="CN2844" s="14"/>
      <c r="CO2844" s="14"/>
      <c r="CP2844" s="14"/>
      <c r="CQ2844" s="14"/>
      <c r="CR2844" s="14"/>
      <c r="CS2844" s="14"/>
      <c r="CT2844" s="14"/>
      <c r="CU2844" s="16"/>
      <c r="CV2844" s="14"/>
      <c r="CW2844" s="50"/>
      <c r="CX2844" s="17"/>
    </row>
    <row r="2845" spans="74:102" x14ac:dyDescent="0.25">
      <c r="BV2845" s="14"/>
      <c r="BW2845" s="50"/>
      <c r="BX2845" s="54"/>
      <c r="BY2845" s="14"/>
      <c r="BZ2845" s="14"/>
      <c r="CA2845" s="14"/>
      <c r="CB2845" s="14"/>
      <c r="CC2845" s="14"/>
      <c r="CD2845" s="14"/>
      <c r="CE2845" s="14"/>
      <c r="CF2845" s="15"/>
      <c r="CG2845" s="14"/>
      <c r="CH2845" s="14"/>
      <c r="CI2845" s="50"/>
      <c r="CJ2845" s="54"/>
      <c r="CK2845" s="14"/>
      <c r="CL2845" s="14"/>
      <c r="CM2845" s="14"/>
      <c r="CN2845" s="14"/>
      <c r="CO2845" s="14"/>
      <c r="CP2845" s="14"/>
      <c r="CQ2845" s="14"/>
      <c r="CR2845" s="14"/>
      <c r="CS2845" s="14"/>
      <c r="CT2845" s="14"/>
      <c r="CU2845" s="16"/>
      <c r="CV2845" s="14"/>
      <c r="CW2845" s="50"/>
      <c r="CX2845" s="17"/>
    </row>
    <row r="2846" spans="74:102" x14ac:dyDescent="0.25">
      <c r="BV2846" s="14"/>
      <c r="BW2846" s="50"/>
      <c r="BX2846" s="54"/>
      <c r="BY2846" s="14"/>
      <c r="BZ2846" s="14"/>
      <c r="CA2846" s="14"/>
      <c r="CB2846" s="14"/>
      <c r="CC2846" s="14"/>
      <c r="CD2846" s="14"/>
      <c r="CE2846" s="14"/>
      <c r="CF2846" s="15"/>
      <c r="CG2846" s="14"/>
      <c r="CH2846" s="14"/>
      <c r="CI2846" s="50"/>
      <c r="CJ2846" s="54"/>
      <c r="CK2846" s="14"/>
      <c r="CL2846" s="14"/>
      <c r="CM2846" s="14"/>
      <c r="CN2846" s="14"/>
      <c r="CO2846" s="14"/>
      <c r="CP2846" s="14"/>
      <c r="CQ2846" s="14"/>
      <c r="CR2846" s="14"/>
      <c r="CS2846" s="14"/>
      <c r="CT2846" s="14"/>
      <c r="CU2846" s="16"/>
      <c r="CV2846" s="14"/>
      <c r="CW2846" s="50"/>
      <c r="CX2846" s="17"/>
    </row>
    <row r="2847" spans="74:102" x14ac:dyDescent="0.25">
      <c r="BV2847" s="14"/>
      <c r="BW2847" s="50"/>
      <c r="BX2847" s="54"/>
      <c r="BY2847" s="14"/>
      <c r="BZ2847" s="14"/>
      <c r="CA2847" s="14"/>
      <c r="CB2847" s="14"/>
      <c r="CC2847" s="14"/>
      <c r="CD2847" s="14"/>
      <c r="CE2847" s="14"/>
      <c r="CF2847" s="15"/>
      <c r="CG2847" s="14"/>
      <c r="CH2847" s="14"/>
      <c r="CI2847" s="50"/>
      <c r="CJ2847" s="54"/>
      <c r="CK2847" s="14"/>
      <c r="CL2847" s="14"/>
      <c r="CM2847" s="14"/>
      <c r="CN2847" s="14"/>
      <c r="CO2847" s="14"/>
      <c r="CP2847" s="14"/>
      <c r="CQ2847" s="14"/>
      <c r="CR2847" s="14"/>
      <c r="CS2847" s="14"/>
      <c r="CT2847" s="14"/>
      <c r="CU2847" s="16"/>
      <c r="CV2847" s="14"/>
      <c r="CW2847" s="50"/>
      <c r="CX2847" s="17"/>
    </row>
    <row r="2848" spans="74:102" x14ac:dyDescent="0.25">
      <c r="BV2848" s="14"/>
      <c r="BW2848" s="50"/>
      <c r="BX2848" s="54"/>
      <c r="BY2848" s="14"/>
      <c r="BZ2848" s="14"/>
      <c r="CA2848" s="14"/>
      <c r="CB2848" s="14"/>
      <c r="CC2848" s="14"/>
      <c r="CD2848" s="14"/>
      <c r="CE2848" s="14"/>
      <c r="CF2848" s="15"/>
      <c r="CG2848" s="14"/>
      <c r="CH2848" s="14"/>
      <c r="CI2848" s="50"/>
      <c r="CJ2848" s="54"/>
      <c r="CK2848" s="14"/>
      <c r="CL2848" s="14"/>
      <c r="CM2848" s="14"/>
      <c r="CN2848" s="14"/>
      <c r="CO2848" s="14"/>
      <c r="CP2848" s="14"/>
      <c r="CQ2848" s="14"/>
      <c r="CR2848" s="14"/>
      <c r="CS2848" s="14"/>
      <c r="CT2848" s="14"/>
      <c r="CU2848" s="16"/>
      <c r="CV2848" s="14"/>
      <c r="CW2848" s="50"/>
      <c r="CX2848" s="17"/>
    </row>
    <row r="2849" spans="74:102" x14ac:dyDescent="0.25">
      <c r="BV2849" s="14"/>
      <c r="BW2849" s="50"/>
      <c r="BX2849" s="54"/>
      <c r="BY2849" s="14"/>
      <c r="BZ2849" s="14"/>
      <c r="CA2849" s="14"/>
      <c r="CB2849" s="14"/>
      <c r="CC2849" s="14"/>
      <c r="CD2849" s="14"/>
      <c r="CE2849" s="14"/>
      <c r="CF2849" s="15"/>
      <c r="CG2849" s="14"/>
      <c r="CH2849" s="14"/>
      <c r="CI2849" s="50"/>
      <c r="CJ2849" s="54"/>
      <c r="CK2849" s="14"/>
      <c r="CL2849" s="14"/>
      <c r="CM2849" s="14"/>
      <c r="CN2849" s="14"/>
      <c r="CO2849" s="14"/>
      <c r="CP2849" s="14"/>
      <c r="CQ2849" s="14"/>
      <c r="CR2849" s="14"/>
      <c r="CS2849" s="14"/>
      <c r="CT2849" s="14"/>
      <c r="CU2849" s="16"/>
      <c r="CV2849" s="14"/>
      <c r="CW2849" s="50"/>
      <c r="CX2849" s="17"/>
    </row>
    <row r="2850" spans="74:102" x14ac:dyDescent="0.25">
      <c r="BV2850" s="14"/>
      <c r="BW2850" s="50"/>
      <c r="BX2850" s="54"/>
      <c r="BY2850" s="14"/>
      <c r="BZ2850" s="14"/>
      <c r="CA2850" s="14"/>
      <c r="CB2850" s="14"/>
      <c r="CC2850" s="14"/>
      <c r="CD2850" s="14"/>
      <c r="CE2850" s="14"/>
      <c r="CF2850" s="15"/>
      <c r="CG2850" s="14"/>
      <c r="CH2850" s="14"/>
      <c r="CI2850" s="50"/>
      <c r="CJ2850" s="54"/>
      <c r="CK2850" s="14"/>
      <c r="CL2850" s="14"/>
      <c r="CM2850" s="14"/>
      <c r="CN2850" s="14"/>
      <c r="CO2850" s="14"/>
      <c r="CP2850" s="14"/>
      <c r="CQ2850" s="14"/>
      <c r="CR2850" s="14"/>
      <c r="CS2850" s="14"/>
      <c r="CT2850" s="14"/>
      <c r="CU2850" s="16"/>
      <c r="CV2850" s="14"/>
      <c r="CW2850" s="50"/>
      <c r="CX2850" s="17"/>
    </row>
    <row r="2851" spans="74:102" x14ac:dyDescent="0.25">
      <c r="BV2851" s="14"/>
      <c r="BW2851" s="50"/>
      <c r="BX2851" s="54"/>
      <c r="BY2851" s="14"/>
      <c r="BZ2851" s="14"/>
      <c r="CA2851" s="14"/>
      <c r="CB2851" s="14"/>
      <c r="CC2851" s="14"/>
      <c r="CD2851" s="14"/>
      <c r="CE2851" s="14"/>
      <c r="CF2851" s="15"/>
      <c r="CG2851" s="14"/>
      <c r="CH2851" s="14"/>
      <c r="CI2851" s="50"/>
      <c r="CJ2851" s="54"/>
      <c r="CK2851" s="14"/>
      <c r="CL2851" s="14"/>
      <c r="CM2851" s="14"/>
      <c r="CN2851" s="14"/>
      <c r="CO2851" s="14"/>
      <c r="CP2851" s="14"/>
      <c r="CQ2851" s="14"/>
      <c r="CR2851" s="14"/>
      <c r="CS2851" s="14"/>
      <c r="CT2851" s="14"/>
      <c r="CU2851" s="16"/>
      <c r="CV2851" s="14"/>
      <c r="CW2851" s="50"/>
      <c r="CX2851" s="17"/>
    </row>
    <row r="2852" spans="74:102" x14ac:dyDescent="0.25">
      <c r="BV2852" s="14"/>
      <c r="BW2852" s="50"/>
      <c r="BX2852" s="54"/>
      <c r="BY2852" s="14"/>
      <c r="BZ2852" s="14"/>
      <c r="CA2852" s="14"/>
      <c r="CB2852" s="14"/>
      <c r="CC2852" s="14"/>
      <c r="CD2852" s="14"/>
      <c r="CE2852" s="14"/>
      <c r="CF2852" s="15"/>
      <c r="CG2852" s="14"/>
      <c r="CH2852" s="14"/>
      <c r="CI2852" s="50"/>
      <c r="CJ2852" s="54"/>
      <c r="CK2852" s="14"/>
      <c r="CL2852" s="14"/>
      <c r="CM2852" s="14"/>
      <c r="CN2852" s="14"/>
      <c r="CO2852" s="14"/>
      <c r="CP2852" s="14"/>
      <c r="CQ2852" s="14"/>
      <c r="CR2852" s="14"/>
      <c r="CS2852" s="14"/>
      <c r="CT2852" s="14"/>
      <c r="CU2852" s="16"/>
      <c r="CV2852" s="14"/>
      <c r="CW2852" s="50"/>
      <c r="CX2852" s="17"/>
    </row>
    <row r="2853" spans="74:102" x14ac:dyDescent="0.25">
      <c r="BV2853" s="14"/>
      <c r="BW2853" s="50"/>
      <c r="BX2853" s="54"/>
      <c r="BY2853" s="14"/>
      <c r="BZ2853" s="14"/>
      <c r="CA2853" s="14"/>
      <c r="CB2853" s="14"/>
      <c r="CC2853" s="14"/>
      <c r="CD2853" s="14"/>
      <c r="CE2853" s="14"/>
      <c r="CF2853" s="15"/>
      <c r="CG2853" s="14"/>
      <c r="CH2853" s="14"/>
      <c r="CI2853" s="50"/>
      <c r="CJ2853" s="54"/>
      <c r="CK2853" s="14"/>
      <c r="CL2853" s="14"/>
      <c r="CM2853" s="14"/>
      <c r="CN2853" s="14"/>
      <c r="CO2853" s="14"/>
      <c r="CP2853" s="14"/>
      <c r="CQ2853" s="14"/>
      <c r="CR2853" s="14"/>
      <c r="CS2853" s="14"/>
      <c r="CT2853" s="14"/>
      <c r="CU2853" s="16"/>
      <c r="CV2853" s="14"/>
      <c r="CW2853" s="50"/>
      <c r="CX2853" s="17"/>
    </row>
    <row r="2854" spans="74:102" x14ac:dyDescent="0.25">
      <c r="BV2854" s="14"/>
      <c r="BW2854" s="50"/>
      <c r="BX2854" s="54"/>
      <c r="BY2854" s="14"/>
      <c r="BZ2854" s="14"/>
      <c r="CA2854" s="14"/>
      <c r="CB2854" s="14"/>
      <c r="CC2854" s="14"/>
      <c r="CD2854" s="14"/>
      <c r="CE2854" s="14"/>
      <c r="CF2854" s="15"/>
      <c r="CG2854" s="14"/>
      <c r="CH2854" s="14"/>
      <c r="CI2854" s="50"/>
      <c r="CJ2854" s="54"/>
      <c r="CK2854" s="14"/>
      <c r="CL2854" s="14"/>
      <c r="CM2854" s="14"/>
      <c r="CN2854" s="14"/>
      <c r="CO2854" s="14"/>
      <c r="CP2854" s="14"/>
      <c r="CQ2854" s="14"/>
      <c r="CR2854" s="14"/>
      <c r="CS2854" s="14"/>
      <c r="CT2854" s="14"/>
      <c r="CU2854" s="16"/>
      <c r="CV2854" s="14"/>
      <c r="CW2854" s="50"/>
      <c r="CX2854" s="17"/>
    </row>
    <row r="2855" spans="74:102" x14ac:dyDescent="0.25">
      <c r="BV2855" s="14"/>
      <c r="BW2855" s="50"/>
      <c r="BX2855" s="54"/>
      <c r="BY2855" s="14"/>
      <c r="BZ2855" s="14"/>
      <c r="CA2855" s="14"/>
      <c r="CB2855" s="14"/>
      <c r="CC2855" s="14"/>
      <c r="CD2855" s="14"/>
      <c r="CE2855" s="14"/>
      <c r="CF2855" s="15"/>
      <c r="CG2855" s="14"/>
      <c r="CH2855" s="14"/>
      <c r="CI2855" s="50"/>
      <c r="CJ2855" s="54"/>
      <c r="CK2855" s="14"/>
      <c r="CL2855" s="14"/>
      <c r="CM2855" s="14"/>
      <c r="CN2855" s="14"/>
      <c r="CO2855" s="14"/>
      <c r="CP2855" s="14"/>
      <c r="CQ2855" s="14"/>
      <c r="CR2855" s="14"/>
      <c r="CS2855" s="14"/>
      <c r="CT2855" s="14"/>
      <c r="CU2855" s="16"/>
      <c r="CV2855" s="14"/>
      <c r="CW2855" s="50"/>
      <c r="CX2855" s="17"/>
    </row>
    <row r="2856" spans="74:102" x14ac:dyDescent="0.25">
      <c r="BV2856" s="14"/>
      <c r="BW2856" s="50"/>
      <c r="BX2856" s="54"/>
      <c r="BY2856" s="14"/>
      <c r="BZ2856" s="14"/>
      <c r="CA2856" s="14"/>
      <c r="CB2856" s="14"/>
      <c r="CC2856" s="14"/>
      <c r="CD2856" s="14"/>
      <c r="CE2856" s="14"/>
      <c r="CF2856" s="15"/>
      <c r="CG2856" s="14"/>
      <c r="CH2856" s="14"/>
      <c r="CI2856" s="50"/>
      <c r="CJ2856" s="54"/>
      <c r="CK2856" s="14"/>
      <c r="CL2856" s="14"/>
      <c r="CM2856" s="14"/>
      <c r="CN2856" s="14"/>
      <c r="CO2856" s="14"/>
      <c r="CP2856" s="14"/>
      <c r="CQ2856" s="14"/>
      <c r="CR2856" s="14"/>
      <c r="CS2856" s="14"/>
      <c r="CT2856" s="14"/>
      <c r="CU2856" s="16"/>
      <c r="CV2856" s="14"/>
      <c r="CW2856" s="50"/>
      <c r="CX2856" s="17"/>
    </row>
    <row r="2857" spans="74:102" x14ac:dyDescent="0.25">
      <c r="BV2857" s="14"/>
      <c r="BW2857" s="50"/>
      <c r="BX2857" s="54"/>
      <c r="BY2857" s="14"/>
      <c r="BZ2857" s="14"/>
      <c r="CA2857" s="14"/>
      <c r="CB2857" s="14"/>
      <c r="CC2857" s="14"/>
      <c r="CD2857" s="14"/>
      <c r="CE2857" s="14"/>
      <c r="CF2857" s="15"/>
      <c r="CG2857" s="14"/>
      <c r="CH2857" s="14"/>
      <c r="CI2857" s="50"/>
      <c r="CJ2857" s="54"/>
      <c r="CK2857" s="14"/>
      <c r="CL2857" s="14"/>
      <c r="CM2857" s="14"/>
      <c r="CN2857" s="14"/>
      <c r="CO2857" s="14"/>
      <c r="CP2857" s="14"/>
      <c r="CQ2857" s="14"/>
      <c r="CR2857" s="14"/>
      <c r="CS2857" s="14"/>
      <c r="CT2857" s="14"/>
      <c r="CU2857" s="16"/>
      <c r="CV2857" s="14"/>
      <c r="CW2857" s="50"/>
      <c r="CX2857" s="17"/>
    </row>
    <row r="2858" spans="74:102" x14ac:dyDescent="0.25">
      <c r="BV2858" s="14"/>
      <c r="BW2858" s="50"/>
      <c r="BX2858" s="54"/>
      <c r="BY2858" s="14"/>
      <c r="BZ2858" s="14"/>
      <c r="CA2858" s="14"/>
      <c r="CB2858" s="14"/>
      <c r="CC2858" s="14"/>
      <c r="CD2858" s="14"/>
      <c r="CE2858" s="14"/>
      <c r="CF2858" s="15"/>
      <c r="CG2858" s="14"/>
      <c r="CH2858" s="14"/>
      <c r="CI2858" s="50"/>
      <c r="CJ2858" s="54"/>
      <c r="CK2858" s="14"/>
      <c r="CL2858" s="14"/>
      <c r="CM2858" s="14"/>
      <c r="CN2858" s="14"/>
      <c r="CO2858" s="14"/>
      <c r="CP2858" s="14"/>
      <c r="CQ2858" s="14"/>
      <c r="CR2858" s="14"/>
      <c r="CS2858" s="14"/>
      <c r="CT2858" s="14"/>
      <c r="CU2858" s="16"/>
      <c r="CV2858" s="14"/>
      <c r="CW2858" s="50"/>
      <c r="CX2858" s="17"/>
    </row>
    <row r="2859" spans="74:102" x14ac:dyDescent="0.25">
      <c r="BV2859" s="14"/>
      <c r="BW2859" s="50"/>
      <c r="BX2859" s="54"/>
      <c r="BY2859" s="14"/>
      <c r="BZ2859" s="14"/>
      <c r="CA2859" s="14"/>
      <c r="CB2859" s="14"/>
      <c r="CC2859" s="14"/>
      <c r="CD2859" s="14"/>
      <c r="CE2859" s="14"/>
      <c r="CF2859" s="15"/>
      <c r="CG2859" s="14"/>
      <c r="CH2859" s="14"/>
      <c r="CI2859" s="50"/>
      <c r="CJ2859" s="54"/>
      <c r="CK2859" s="14"/>
      <c r="CL2859" s="14"/>
      <c r="CM2859" s="14"/>
      <c r="CN2859" s="14"/>
      <c r="CO2859" s="14"/>
      <c r="CP2859" s="14"/>
      <c r="CQ2859" s="14"/>
      <c r="CR2859" s="14"/>
      <c r="CS2859" s="14"/>
      <c r="CT2859" s="14"/>
      <c r="CU2859" s="16"/>
      <c r="CV2859" s="14"/>
      <c r="CW2859" s="50"/>
      <c r="CX2859" s="17"/>
    </row>
    <row r="2860" spans="74:102" x14ac:dyDescent="0.25">
      <c r="BV2860" s="14"/>
      <c r="BW2860" s="50"/>
      <c r="BX2860" s="54"/>
      <c r="BY2860" s="14"/>
      <c r="BZ2860" s="14"/>
      <c r="CA2860" s="14"/>
      <c r="CB2860" s="14"/>
      <c r="CC2860" s="14"/>
      <c r="CD2860" s="14"/>
      <c r="CE2860" s="14"/>
      <c r="CF2860" s="15"/>
      <c r="CG2860" s="14"/>
      <c r="CH2860" s="14"/>
      <c r="CI2860" s="50"/>
      <c r="CJ2860" s="54"/>
      <c r="CK2860" s="14"/>
      <c r="CL2860" s="14"/>
      <c r="CM2860" s="14"/>
      <c r="CN2860" s="14"/>
      <c r="CO2860" s="14"/>
      <c r="CP2860" s="14"/>
      <c r="CQ2860" s="14"/>
      <c r="CR2860" s="14"/>
      <c r="CS2860" s="14"/>
      <c r="CT2860" s="14"/>
      <c r="CU2860" s="16"/>
      <c r="CV2860" s="14"/>
      <c r="CW2860" s="50"/>
      <c r="CX2860" s="17"/>
    </row>
    <row r="2861" spans="74:102" x14ac:dyDescent="0.25">
      <c r="BV2861" s="14"/>
      <c r="BW2861" s="50"/>
      <c r="BX2861" s="54"/>
      <c r="BY2861" s="14"/>
      <c r="BZ2861" s="14"/>
      <c r="CA2861" s="14"/>
      <c r="CB2861" s="14"/>
      <c r="CC2861" s="14"/>
      <c r="CD2861" s="14"/>
      <c r="CE2861" s="14"/>
      <c r="CF2861" s="15"/>
      <c r="CG2861" s="14"/>
      <c r="CH2861" s="14"/>
      <c r="CI2861" s="50"/>
      <c r="CJ2861" s="54"/>
      <c r="CK2861" s="14"/>
      <c r="CL2861" s="14"/>
      <c r="CM2861" s="14"/>
      <c r="CN2861" s="14"/>
      <c r="CO2861" s="14"/>
      <c r="CP2861" s="14"/>
      <c r="CQ2861" s="14"/>
      <c r="CR2861" s="14"/>
      <c r="CS2861" s="14"/>
      <c r="CT2861" s="14"/>
      <c r="CU2861" s="16"/>
      <c r="CV2861" s="14"/>
      <c r="CW2861" s="50"/>
      <c r="CX2861" s="17"/>
    </row>
    <row r="2862" spans="74:102" x14ac:dyDescent="0.25">
      <c r="BV2862" s="14"/>
      <c r="BW2862" s="50"/>
      <c r="BX2862" s="54"/>
      <c r="BY2862" s="14"/>
      <c r="BZ2862" s="14"/>
      <c r="CA2862" s="14"/>
      <c r="CB2862" s="14"/>
      <c r="CC2862" s="14"/>
      <c r="CD2862" s="14"/>
      <c r="CE2862" s="14"/>
      <c r="CF2862" s="15"/>
      <c r="CG2862" s="14"/>
      <c r="CH2862" s="14"/>
      <c r="CI2862" s="50"/>
      <c r="CJ2862" s="54"/>
      <c r="CK2862" s="14"/>
      <c r="CL2862" s="14"/>
      <c r="CM2862" s="14"/>
      <c r="CN2862" s="14"/>
      <c r="CO2862" s="14"/>
      <c r="CP2862" s="14"/>
      <c r="CQ2862" s="14"/>
      <c r="CR2862" s="14"/>
      <c r="CS2862" s="14"/>
      <c r="CT2862" s="14"/>
      <c r="CU2862" s="16"/>
      <c r="CV2862" s="14"/>
      <c r="CW2862" s="50"/>
      <c r="CX2862" s="17"/>
    </row>
    <row r="2863" spans="74:102" x14ac:dyDescent="0.25">
      <c r="BV2863" s="14"/>
      <c r="BW2863" s="50"/>
      <c r="BX2863" s="54"/>
      <c r="BY2863" s="14"/>
      <c r="BZ2863" s="14"/>
      <c r="CA2863" s="14"/>
      <c r="CB2863" s="14"/>
      <c r="CC2863" s="14"/>
      <c r="CD2863" s="14"/>
      <c r="CE2863" s="14"/>
      <c r="CF2863" s="15"/>
      <c r="CG2863" s="14"/>
      <c r="CH2863" s="14"/>
      <c r="CI2863" s="50"/>
      <c r="CJ2863" s="54"/>
      <c r="CK2863" s="14"/>
      <c r="CL2863" s="14"/>
      <c r="CM2863" s="14"/>
      <c r="CN2863" s="14"/>
      <c r="CO2863" s="14"/>
      <c r="CP2863" s="14"/>
      <c r="CQ2863" s="14"/>
      <c r="CR2863" s="14"/>
      <c r="CS2863" s="14"/>
      <c r="CT2863" s="14"/>
      <c r="CU2863" s="16"/>
      <c r="CV2863" s="14"/>
      <c r="CW2863" s="50"/>
      <c r="CX2863" s="17"/>
    </row>
    <row r="2864" spans="74:102" x14ac:dyDescent="0.25">
      <c r="BV2864" s="14"/>
      <c r="BW2864" s="50"/>
      <c r="BX2864" s="54"/>
      <c r="BY2864" s="14"/>
      <c r="BZ2864" s="14"/>
      <c r="CA2864" s="14"/>
      <c r="CB2864" s="14"/>
      <c r="CC2864" s="14"/>
      <c r="CD2864" s="14"/>
      <c r="CE2864" s="14"/>
      <c r="CF2864" s="15"/>
      <c r="CG2864" s="14"/>
      <c r="CH2864" s="14"/>
      <c r="CI2864" s="50"/>
      <c r="CJ2864" s="54"/>
      <c r="CK2864" s="14"/>
      <c r="CL2864" s="14"/>
      <c r="CM2864" s="14"/>
      <c r="CN2864" s="14"/>
      <c r="CO2864" s="14"/>
      <c r="CP2864" s="14"/>
      <c r="CQ2864" s="14"/>
      <c r="CR2864" s="14"/>
      <c r="CS2864" s="14"/>
      <c r="CT2864" s="14"/>
      <c r="CU2864" s="16"/>
      <c r="CV2864" s="14"/>
      <c r="CW2864" s="50"/>
      <c r="CX2864" s="17"/>
    </row>
    <row r="2865" spans="74:102" x14ac:dyDescent="0.25">
      <c r="BV2865" s="14"/>
      <c r="BW2865" s="50"/>
      <c r="BX2865" s="54"/>
      <c r="BY2865" s="14"/>
      <c r="BZ2865" s="14"/>
      <c r="CA2865" s="14"/>
      <c r="CB2865" s="14"/>
      <c r="CC2865" s="14"/>
      <c r="CD2865" s="14"/>
      <c r="CE2865" s="14"/>
      <c r="CF2865" s="15"/>
      <c r="CG2865" s="14"/>
      <c r="CH2865" s="14"/>
      <c r="CI2865" s="50"/>
      <c r="CJ2865" s="54"/>
      <c r="CK2865" s="14"/>
      <c r="CL2865" s="14"/>
      <c r="CM2865" s="14"/>
      <c r="CN2865" s="14"/>
      <c r="CO2865" s="14"/>
      <c r="CP2865" s="14"/>
      <c r="CQ2865" s="14"/>
      <c r="CR2865" s="14"/>
      <c r="CS2865" s="14"/>
      <c r="CT2865" s="14"/>
      <c r="CU2865" s="16"/>
      <c r="CV2865" s="14"/>
      <c r="CW2865" s="50"/>
      <c r="CX2865" s="17"/>
    </row>
    <row r="2866" spans="74:102" x14ac:dyDescent="0.25">
      <c r="BV2866" s="14"/>
      <c r="BW2866" s="50"/>
      <c r="BX2866" s="54"/>
      <c r="BY2866" s="14"/>
      <c r="BZ2866" s="14"/>
      <c r="CA2866" s="14"/>
      <c r="CB2866" s="14"/>
      <c r="CC2866" s="14"/>
      <c r="CD2866" s="14"/>
      <c r="CE2866" s="14"/>
      <c r="CF2866" s="15"/>
      <c r="CG2866" s="14"/>
      <c r="CH2866" s="14"/>
      <c r="CI2866" s="50"/>
      <c r="CJ2866" s="54"/>
      <c r="CK2866" s="14"/>
      <c r="CL2866" s="14"/>
      <c r="CM2866" s="14"/>
      <c r="CN2866" s="14"/>
      <c r="CO2866" s="14"/>
      <c r="CP2866" s="14"/>
      <c r="CQ2866" s="14"/>
      <c r="CR2866" s="14"/>
      <c r="CS2866" s="14"/>
      <c r="CT2866" s="14"/>
      <c r="CU2866" s="16"/>
      <c r="CV2866" s="14"/>
      <c r="CW2866" s="50"/>
      <c r="CX2866" s="17"/>
    </row>
    <row r="2867" spans="74:102" x14ac:dyDescent="0.25">
      <c r="BV2867" s="14"/>
      <c r="BW2867" s="50"/>
      <c r="BX2867" s="54"/>
      <c r="BY2867" s="14"/>
      <c r="BZ2867" s="14"/>
      <c r="CA2867" s="14"/>
      <c r="CB2867" s="14"/>
      <c r="CC2867" s="14"/>
      <c r="CD2867" s="14"/>
      <c r="CE2867" s="14"/>
      <c r="CF2867" s="15"/>
      <c r="CG2867" s="14"/>
      <c r="CH2867" s="14"/>
      <c r="CI2867" s="50"/>
      <c r="CJ2867" s="54"/>
      <c r="CK2867" s="14"/>
      <c r="CL2867" s="14"/>
      <c r="CM2867" s="14"/>
      <c r="CN2867" s="14"/>
      <c r="CO2867" s="14"/>
      <c r="CP2867" s="14"/>
      <c r="CQ2867" s="14"/>
      <c r="CR2867" s="14"/>
      <c r="CS2867" s="14"/>
      <c r="CT2867" s="14"/>
      <c r="CU2867" s="16"/>
      <c r="CV2867" s="14"/>
      <c r="CW2867" s="50"/>
      <c r="CX2867" s="17"/>
    </row>
    <row r="2868" spans="74:102" x14ac:dyDescent="0.25">
      <c r="BV2868" s="14"/>
      <c r="BW2868" s="50"/>
      <c r="BX2868" s="54"/>
      <c r="BY2868" s="14"/>
      <c r="BZ2868" s="14"/>
      <c r="CA2868" s="14"/>
      <c r="CB2868" s="14"/>
      <c r="CC2868" s="14"/>
      <c r="CD2868" s="14"/>
      <c r="CE2868" s="14"/>
      <c r="CF2868" s="15"/>
      <c r="CG2868" s="14"/>
      <c r="CH2868" s="14"/>
      <c r="CI2868" s="50"/>
      <c r="CJ2868" s="54"/>
      <c r="CK2868" s="14"/>
      <c r="CL2868" s="14"/>
      <c r="CM2868" s="14"/>
      <c r="CN2868" s="14"/>
      <c r="CO2868" s="14"/>
      <c r="CP2868" s="14"/>
      <c r="CQ2868" s="14"/>
      <c r="CR2868" s="14"/>
      <c r="CS2868" s="14"/>
      <c r="CT2868" s="14"/>
      <c r="CU2868" s="16"/>
      <c r="CV2868" s="14"/>
      <c r="CW2868" s="50"/>
      <c r="CX2868" s="17"/>
    </row>
    <row r="2869" spans="74:102" x14ac:dyDescent="0.25">
      <c r="BV2869" s="14"/>
      <c r="BW2869" s="50"/>
      <c r="BX2869" s="54"/>
      <c r="BY2869" s="14"/>
      <c r="BZ2869" s="14"/>
      <c r="CA2869" s="14"/>
      <c r="CB2869" s="14"/>
      <c r="CC2869" s="14"/>
      <c r="CD2869" s="14"/>
      <c r="CE2869" s="14"/>
      <c r="CF2869" s="15"/>
      <c r="CG2869" s="14"/>
      <c r="CH2869" s="14"/>
      <c r="CI2869" s="50"/>
      <c r="CJ2869" s="54"/>
      <c r="CK2869" s="14"/>
      <c r="CL2869" s="14"/>
      <c r="CM2869" s="14"/>
      <c r="CN2869" s="14"/>
      <c r="CO2869" s="14"/>
      <c r="CP2869" s="14"/>
      <c r="CQ2869" s="14"/>
      <c r="CR2869" s="14"/>
      <c r="CS2869" s="14"/>
      <c r="CT2869" s="14"/>
      <c r="CU2869" s="16"/>
      <c r="CV2869" s="14"/>
      <c r="CW2869" s="50"/>
      <c r="CX2869" s="17"/>
    </row>
    <row r="2870" spans="74:102" x14ac:dyDescent="0.25">
      <c r="BV2870" s="14"/>
      <c r="BW2870" s="50"/>
      <c r="BX2870" s="54"/>
      <c r="BY2870" s="14"/>
      <c r="BZ2870" s="14"/>
      <c r="CA2870" s="14"/>
      <c r="CB2870" s="14"/>
      <c r="CC2870" s="14"/>
      <c r="CD2870" s="14"/>
      <c r="CE2870" s="14"/>
      <c r="CF2870" s="15"/>
      <c r="CG2870" s="14"/>
      <c r="CH2870" s="14"/>
      <c r="CI2870" s="50"/>
      <c r="CJ2870" s="54"/>
      <c r="CK2870" s="14"/>
      <c r="CL2870" s="14"/>
      <c r="CM2870" s="14"/>
      <c r="CN2870" s="14"/>
      <c r="CO2870" s="14"/>
      <c r="CP2870" s="14"/>
      <c r="CQ2870" s="14"/>
      <c r="CR2870" s="14"/>
      <c r="CS2870" s="14"/>
      <c r="CT2870" s="14"/>
      <c r="CU2870" s="16"/>
      <c r="CV2870" s="14"/>
      <c r="CW2870" s="50"/>
      <c r="CX2870" s="17"/>
    </row>
    <row r="2871" spans="74:102" x14ac:dyDescent="0.25">
      <c r="BV2871" s="14"/>
      <c r="BW2871" s="50"/>
      <c r="BX2871" s="54"/>
      <c r="BY2871" s="14"/>
      <c r="BZ2871" s="14"/>
      <c r="CA2871" s="14"/>
      <c r="CB2871" s="14"/>
      <c r="CC2871" s="14"/>
      <c r="CD2871" s="14"/>
      <c r="CE2871" s="14"/>
      <c r="CF2871" s="15"/>
      <c r="CG2871" s="14"/>
      <c r="CH2871" s="14"/>
      <c r="CI2871" s="50"/>
      <c r="CJ2871" s="54"/>
      <c r="CK2871" s="14"/>
      <c r="CL2871" s="14"/>
      <c r="CM2871" s="14"/>
      <c r="CN2871" s="14"/>
      <c r="CO2871" s="14"/>
      <c r="CP2871" s="14"/>
      <c r="CQ2871" s="14"/>
      <c r="CR2871" s="14"/>
      <c r="CS2871" s="14"/>
      <c r="CT2871" s="14"/>
      <c r="CU2871" s="16"/>
      <c r="CV2871" s="14"/>
      <c r="CW2871" s="50"/>
      <c r="CX2871" s="17"/>
    </row>
    <row r="2872" spans="74:102" x14ac:dyDescent="0.25">
      <c r="BV2872" s="14"/>
      <c r="BW2872" s="50"/>
      <c r="BX2872" s="54"/>
      <c r="BY2872" s="14"/>
      <c r="BZ2872" s="14"/>
      <c r="CA2872" s="14"/>
      <c r="CB2872" s="14"/>
      <c r="CC2872" s="14"/>
      <c r="CD2872" s="14"/>
      <c r="CE2872" s="14"/>
      <c r="CF2872" s="15"/>
      <c r="CG2872" s="14"/>
      <c r="CH2872" s="14"/>
      <c r="CI2872" s="50"/>
      <c r="CJ2872" s="54"/>
      <c r="CK2872" s="14"/>
      <c r="CL2872" s="14"/>
      <c r="CM2872" s="14"/>
      <c r="CN2872" s="14"/>
      <c r="CO2872" s="14"/>
      <c r="CP2872" s="14"/>
      <c r="CQ2872" s="14"/>
      <c r="CR2872" s="14"/>
      <c r="CS2872" s="14"/>
      <c r="CT2872" s="14"/>
      <c r="CU2872" s="16"/>
      <c r="CV2872" s="14"/>
      <c r="CW2872" s="50"/>
      <c r="CX2872" s="17"/>
    </row>
    <row r="2873" spans="74:102" x14ac:dyDescent="0.25">
      <c r="BV2873" s="14"/>
      <c r="BW2873" s="50"/>
      <c r="BX2873" s="54"/>
      <c r="BY2873" s="14"/>
      <c r="BZ2873" s="14"/>
      <c r="CA2873" s="14"/>
      <c r="CB2873" s="14"/>
      <c r="CC2873" s="14"/>
      <c r="CD2873" s="14"/>
      <c r="CE2873" s="14"/>
      <c r="CF2873" s="15"/>
      <c r="CG2873" s="14"/>
      <c r="CH2873" s="14"/>
      <c r="CI2873" s="50"/>
      <c r="CJ2873" s="54"/>
      <c r="CK2873" s="14"/>
      <c r="CL2873" s="14"/>
      <c r="CM2873" s="14"/>
      <c r="CN2873" s="14"/>
      <c r="CO2873" s="14"/>
      <c r="CP2873" s="14"/>
      <c r="CQ2873" s="14"/>
      <c r="CR2873" s="14"/>
      <c r="CS2873" s="14"/>
      <c r="CT2873" s="14"/>
      <c r="CU2873" s="16"/>
      <c r="CV2873" s="14"/>
      <c r="CW2873" s="50"/>
      <c r="CX2873" s="17"/>
    </row>
    <row r="2874" spans="74:102" x14ac:dyDescent="0.25">
      <c r="BV2874" s="14"/>
      <c r="BW2874" s="50"/>
      <c r="BX2874" s="54"/>
      <c r="BY2874" s="14"/>
      <c r="BZ2874" s="14"/>
      <c r="CA2874" s="14"/>
      <c r="CB2874" s="14"/>
      <c r="CC2874" s="14"/>
      <c r="CD2874" s="14"/>
      <c r="CE2874" s="14"/>
      <c r="CF2874" s="15"/>
      <c r="CG2874" s="14"/>
      <c r="CH2874" s="14"/>
      <c r="CI2874" s="50"/>
      <c r="CJ2874" s="54"/>
      <c r="CK2874" s="14"/>
      <c r="CL2874" s="14"/>
      <c r="CM2874" s="14"/>
      <c r="CN2874" s="14"/>
      <c r="CO2874" s="14"/>
      <c r="CP2874" s="14"/>
      <c r="CQ2874" s="14"/>
      <c r="CR2874" s="14"/>
      <c r="CS2874" s="14"/>
      <c r="CT2874" s="14"/>
      <c r="CU2874" s="16"/>
      <c r="CV2874" s="14"/>
      <c r="CW2874" s="50"/>
      <c r="CX2874" s="17"/>
    </row>
    <row r="2875" spans="74:102" x14ac:dyDescent="0.25">
      <c r="BV2875" s="14"/>
      <c r="BW2875" s="50"/>
      <c r="BX2875" s="54"/>
      <c r="BY2875" s="14"/>
      <c r="BZ2875" s="14"/>
      <c r="CA2875" s="14"/>
      <c r="CB2875" s="14"/>
      <c r="CC2875" s="14"/>
      <c r="CD2875" s="14"/>
      <c r="CE2875" s="14"/>
      <c r="CF2875" s="15"/>
      <c r="CG2875" s="14"/>
      <c r="CH2875" s="14"/>
      <c r="CI2875" s="50"/>
      <c r="CJ2875" s="54"/>
      <c r="CK2875" s="14"/>
      <c r="CL2875" s="14"/>
      <c r="CM2875" s="14"/>
      <c r="CN2875" s="14"/>
      <c r="CO2875" s="14"/>
      <c r="CP2875" s="14"/>
      <c r="CQ2875" s="14"/>
      <c r="CR2875" s="14"/>
      <c r="CS2875" s="14"/>
      <c r="CT2875" s="14"/>
      <c r="CU2875" s="16"/>
      <c r="CV2875" s="14"/>
      <c r="CW2875" s="50"/>
      <c r="CX2875" s="17"/>
    </row>
    <row r="2876" spans="74:102" x14ac:dyDescent="0.25">
      <c r="BV2876" s="14"/>
      <c r="BW2876" s="50"/>
      <c r="BX2876" s="54"/>
      <c r="BY2876" s="14"/>
      <c r="BZ2876" s="14"/>
      <c r="CA2876" s="14"/>
      <c r="CB2876" s="14"/>
      <c r="CC2876" s="14"/>
      <c r="CD2876" s="14"/>
      <c r="CE2876" s="14"/>
      <c r="CF2876" s="15"/>
      <c r="CG2876" s="14"/>
      <c r="CH2876" s="14"/>
      <c r="CI2876" s="50"/>
      <c r="CJ2876" s="54"/>
      <c r="CK2876" s="14"/>
      <c r="CL2876" s="14"/>
      <c r="CM2876" s="14"/>
      <c r="CN2876" s="14"/>
      <c r="CO2876" s="14"/>
      <c r="CP2876" s="14"/>
      <c r="CQ2876" s="14"/>
      <c r="CR2876" s="14"/>
      <c r="CS2876" s="14"/>
      <c r="CT2876" s="14"/>
      <c r="CU2876" s="16"/>
      <c r="CV2876" s="14"/>
      <c r="CW2876" s="50"/>
      <c r="CX2876" s="17"/>
    </row>
    <row r="2877" spans="74:102" x14ac:dyDescent="0.25">
      <c r="BV2877" s="14"/>
      <c r="BW2877" s="50"/>
      <c r="BX2877" s="54"/>
      <c r="BY2877" s="14"/>
      <c r="BZ2877" s="14"/>
      <c r="CA2877" s="14"/>
      <c r="CB2877" s="14"/>
      <c r="CC2877" s="14"/>
      <c r="CD2877" s="14"/>
      <c r="CE2877" s="14"/>
      <c r="CF2877" s="15"/>
      <c r="CG2877" s="14"/>
      <c r="CH2877" s="14"/>
      <c r="CI2877" s="50"/>
      <c r="CJ2877" s="54"/>
      <c r="CK2877" s="14"/>
      <c r="CL2877" s="14"/>
      <c r="CM2877" s="14"/>
      <c r="CN2877" s="14"/>
      <c r="CO2877" s="14"/>
      <c r="CP2877" s="14"/>
      <c r="CQ2877" s="14"/>
      <c r="CR2877" s="14"/>
      <c r="CS2877" s="14"/>
      <c r="CT2877" s="14"/>
      <c r="CU2877" s="16"/>
      <c r="CV2877" s="14"/>
      <c r="CW2877" s="50"/>
      <c r="CX2877" s="17"/>
    </row>
    <row r="2878" spans="74:102" x14ac:dyDescent="0.25">
      <c r="BV2878" s="14"/>
      <c r="BW2878" s="50"/>
      <c r="BX2878" s="54"/>
      <c r="BY2878" s="14"/>
      <c r="BZ2878" s="14"/>
      <c r="CA2878" s="14"/>
      <c r="CB2878" s="14"/>
      <c r="CC2878" s="14"/>
      <c r="CD2878" s="14"/>
      <c r="CE2878" s="14"/>
      <c r="CF2878" s="15"/>
      <c r="CG2878" s="14"/>
      <c r="CH2878" s="14"/>
      <c r="CI2878" s="50"/>
      <c r="CJ2878" s="54"/>
      <c r="CK2878" s="14"/>
      <c r="CL2878" s="14"/>
      <c r="CM2878" s="14"/>
      <c r="CN2878" s="14"/>
      <c r="CO2878" s="14"/>
      <c r="CP2878" s="14"/>
      <c r="CQ2878" s="14"/>
      <c r="CR2878" s="14"/>
      <c r="CS2878" s="14"/>
      <c r="CT2878" s="14"/>
      <c r="CU2878" s="16"/>
      <c r="CV2878" s="14"/>
      <c r="CW2878" s="50"/>
      <c r="CX2878" s="17"/>
    </row>
    <row r="2879" spans="74:102" x14ac:dyDescent="0.25">
      <c r="BV2879" s="14"/>
      <c r="BW2879" s="50"/>
      <c r="BX2879" s="54"/>
      <c r="BY2879" s="14"/>
      <c r="BZ2879" s="14"/>
      <c r="CA2879" s="14"/>
      <c r="CB2879" s="14"/>
      <c r="CC2879" s="14"/>
      <c r="CD2879" s="14"/>
      <c r="CE2879" s="14"/>
      <c r="CF2879" s="15"/>
      <c r="CG2879" s="14"/>
      <c r="CH2879" s="14"/>
      <c r="CI2879" s="50"/>
      <c r="CJ2879" s="54"/>
      <c r="CK2879" s="14"/>
      <c r="CL2879" s="14"/>
      <c r="CM2879" s="14"/>
      <c r="CN2879" s="14"/>
      <c r="CO2879" s="14"/>
      <c r="CP2879" s="14"/>
      <c r="CQ2879" s="14"/>
      <c r="CR2879" s="14"/>
      <c r="CS2879" s="14"/>
      <c r="CT2879" s="14"/>
      <c r="CU2879" s="16"/>
      <c r="CV2879" s="14"/>
      <c r="CW2879" s="50"/>
      <c r="CX2879" s="17"/>
    </row>
    <row r="2880" spans="74:102" x14ac:dyDescent="0.25">
      <c r="BV2880" s="14"/>
      <c r="BW2880" s="50"/>
      <c r="BX2880" s="54"/>
      <c r="BY2880" s="14"/>
      <c r="BZ2880" s="14"/>
      <c r="CA2880" s="14"/>
      <c r="CB2880" s="14"/>
      <c r="CC2880" s="14"/>
      <c r="CD2880" s="14"/>
      <c r="CE2880" s="14"/>
      <c r="CF2880" s="15"/>
      <c r="CG2880" s="14"/>
      <c r="CH2880" s="14"/>
      <c r="CI2880" s="50"/>
      <c r="CJ2880" s="54"/>
      <c r="CK2880" s="14"/>
      <c r="CL2880" s="14"/>
      <c r="CM2880" s="14"/>
      <c r="CN2880" s="14"/>
      <c r="CO2880" s="14"/>
      <c r="CP2880" s="14"/>
      <c r="CQ2880" s="14"/>
      <c r="CR2880" s="14"/>
      <c r="CS2880" s="14"/>
      <c r="CT2880" s="14"/>
      <c r="CU2880" s="16"/>
      <c r="CV2880" s="14"/>
      <c r="CW2880" s="50"/>
      <c r="CX2880" s="17"/>
    </row>
    <row r="2881" spans="74:102" x14ac:dyDescent="0.25">
      <c r="BV2881" s="14"/>
      <c r="BW2881" s="50"/>
      <c r="BX2881" s="54"/>
      <c r="BY2881" s="14"/>
      <c r="BZ2881" s="14"/>
      <c r="CA2881" s="14"/>
      <c r="CB2881" s="14"/>
      <c r="CC2881" s="14"/>
      <c r="CD2881" s="14"/>
      <c r="CE2881" s="14"/>
      <c r="CF2881" s="15"/>
      <c r="CG2881" s="14"/>
      <c r="CH2881" s="14"/>
      <c r="CI2881" s="50"/>
      <c r="CJ2881" s="54"/>
      <c r="CK2881" s="14"/>
      <c r="CL2881" s="14"/>
      <c r="CM2881" s="14"/>
      <c r="CN2881" s="14"/>
      <c r="CO2881" s="14"/>
      <c r="CP2881" s="14"/>
      <c r="CQ2881" s="14"/>
      <c r="CR2881" s="14"/>
      <c r="CS2881" s="14"/>
      <c r="CT2881" s="14"/>
      <c r="CU2881" s="16"/>
      <c r="CV2881" s="14"/>
      <c r="CW2881" s="50"/>
      <c r="CX2881" s="17"/>
    </row>
    <row r="2882" spans="74:102" x14ac:dyDescent="0.25">
      <c r="BV2882" s="14"/>
      <c r="BW2882" s="50"/>
      <c r="BX2882" s="54"/>
      <c r="BY2882" s="14"/>
      <c r="BZ2882" s="14"/>
      <c r="CA2882" s="14"/>
      <c r="CB2882" s="14"/>
      <c r="CC2882" s="14"/>
      <c r="CD2882" s="14"/>
      <c r="CE2882" s="14"/>
      <c r="CF2882" s="15"/>
      <c r="CG2882" s="14"/>
      <c r="CH2882" s="14"/>
      <c r="CI2882" s="50"/>
      <c r="CJ2882" s="54"/>
      <c r="CK2882" s="14"/>
      <c r="CL2882" s="14"/>
      <c r="CM2882" s="14"/>
      <c r="CN2882" s="14"/>
      <c r="CO2882" s="14"/>
      <c r="CP2882" s="14"/>
      <c r="CQ2882" s="14"/>
      <c r="CR2882" s="14"/>
      <c r="CS2882" s="14"/>
      <c r="CT2882" s="14"/>
      <c r="CU2882" s="16"/>
      <c r="CV2882" s="14"/>
      <c r="CW2882" s="50"/>
      <c r="CX2882" s="17"/>
    </row>
    <row r="2883" spans="74:102" x14ac:dyDescent="0.25">
      <c r="BV2883" s="14"/>
      <c r="BW2883" s="50"/>
      <c r="BX2883" s="54"/>
      <c r="BY2883" s="14"/>
      <c r="BZ2883" s="14"/>
      <c r="CA2883" s="14"/>
      <c r="CB2883" s="14"/>
      <c r="CC2883" s="14"/>
      <c r="CD2883" s="14"/>
      <c r="CE2883" s="14"/>
      <c r="CF2883" s="15"/>
      <c r="CG2883" s="14"/>
      <c r="CH2883" s="14"/>
      <c r="CI2883" s="50"/>
      <c r="CJ2883" s="54"/>
      <c r="CK2883" s="14"/>
      <c r="CL2883" s="14"/>
      <c r="CM2883" s="14"/>
      <c r="CN2883" s="14"/>
      <c r="CO2883" s="14"/>
      <c r="CP2883" s="14"/>
      <c r="CQ2883" s="14"/>
      <c r="CR2883" s="14"/>
      <c r="CS2883" s="14"/>
      <c r="CT2883" s="14"/>
      <c r="CU2883" s="16"/>
      <c r="CV2883" s="14"/>
      <c r="CW2883" s="50"/>
      <c r="CX2883" s="17"/>
    </row>
    <row r="2884" spans="74:102" x14ac:dyDescent="0.25">
      <c r="BV2884" s="14"/>
      <c r="BW2884" s="50"/>
      <c r="BX2884" s="54"/>
      <c r="BY2884" s="14"/>
      <c r="BZ2884" s="14"/>
      <c r="CA2884" s="14"/>
      <c r="CB2884" s="14"/>
      <c r="CC2884" s="14"/>
      <c r="CD2884" s="14"/>
      <c r="CE2884" s="14"/>
      <c r="CF2884" s="15"/>
      <c r="CG2884" s="14"/>
      <c r="CH2884" s="14"/>
      <c r="CI2884" s="50"/>
      <c r="CJ2884" s="54"/>
      <c r="CK2884" s="14"/>
      <c r="CL2884" s="14"/>
      <c r="CM2884" s="14"/>
      <c r="CN2884" s="14"/>
      <c r="CO2884" s="14"/>
      <c r="CP2884" s="14"/>
      <c r="CQ2884" s="14"/>
      <c r="CR2884" s="14"/>
      <c r="CS2884" s="14"/>
      <c r="CT2884" s="14"/>
      <c r="CU2884" s="16"/>
      <c r="CV2884" s="14"/>
      <c r="CW2884" s="50"/>
      <c r="CX2884" s="17"/>
    </row>
    <row r="2885" spans="74:102" x14ac:dyDescent="0.25">
      <c r="BV2885" s="14"/>
      <c r="BW2885" s="50"/>
      <c r="BX2885" s="54"/>
      <c r="BY2885" s="14"/>
      <c r="BZ2885" s="14"/>
      <c r="CA2885" s="14"/>
      <c r="CB2885" s="14"/>
      <c r="CC2885" s="14"/>
      <c r="CD2885" s="14"/>
      <c r="CE2885" s="14"/>
      <c r="CF2885" s="15"/>
      <c r="CG2885" s="14"/>
      <c r="CH2885" s="14"/>
      <c r="CI2885" s="50"/>
      <c r="CJ2885" s="54"/>
      <c r="CK2885" s="14"/>
      <c r="CL2885" s="14"/>
      <c r="CM2885" s="14"/>
      <c r="CN2885" s="14"/>
      <c r="CO2885" s="14"/>
      <c r="CP2885" s="14"/>
      <c r="CQ2885" s="14"/>
      <c r="CR2885" s="14"/>
      <c r="CS2885" s="14"/>
      <c r="CT2885" s="14"/>
      <c r="CU2885" s="16"/>
      <c r="CV2885" s="14"/>
      <c r="CW2885" s="50"/>
      <c r="CX2885" s="17"/>
    </row>
    <row r="2886" spans="74:102" x14ac:dyDescent="0.25">
      <c r="BV2886" s="14"/>
      <c r="BW2886" s="50"/>
      <c r="BX2886" s="54"/>
      <c r="BY2886" s="14"/>
      <c r="BZ2886" s="14"/>
      <c r="CA2886" s="14"/>
      <c r="CB2886" s="14"/>
      <c r="CC2886" s="14"/>
      <c r="CD2886" s="14"/>
      <c r="CE2886" s="14"/>
      <c r="CF2886" s="15"/>
      <c r="CG2886" s="14"/>
      <c r="CH2886" s="14"/>
      <c r="CI2886" s="50"/>
      <c r="CJ2886" s="54"/>
      <c r="CK2886" s="14"/>
      <c r="CL2886" s="14"/>
      <c r="CM2886" s="14"/>
      <c r="CN2886" s="14"/>
      <c r="CO2886" s="14"/>
      <c r="CP2886" s="14"/>
      <c r="CQ2886" s="14"/>
      <c r="CR2886" s="14"/>
      <c r="CS2886" s="14"/>
      <c r="CT2886" s="14"/>
      <c r="CU2886" s="16"/>
      <c r="CV2886" s="14"/>
      <c r="CW2886" s="50"/>
      <c r="CX2886" s="17"/>
    </row>
    <row r="2887" spans="74:102" x14ac:dyDescent="0.25">
      <c r="BV2887" s="14"/>
      <c r="BW2887" s="50"/>
      <c r="BX2887" s="54"/>
      <c r="BY2887" s="14"/>
      <c r="BZ2887" s="14"/>
      <c r="CA2887" s="14"/>
      <c r="CB2887" s="14"/>
      <c r="CC2887" s="14"/>
      <c r="CD2887" s="14"/>
      <c r="CE2887" s="14"/>
      <c r="CF2887" s="15"/>
      <c r="CG2887" s="14"/>
      <c r="CH2887" s="14"/>
      <c r="CI2887" s="50"/>
      <c r="CJ2887" s="54"/>
      <c r="CK2887" s="14"/>
      <c r="CL2887" s="14"/>
      <c r="CM2887" s="14"/>
      <c r="CN2887" s="14"/>
      <c r="CO2887" s="14"/>
      <c r="CP2887" s="14"/>
      <c r="CQ2887" s="14"/>
      <c r="CR2887" s="14"/>
      <c r="CS2887" s="14"/>
      <c r="CT2887" s="14"/>
      <c r="CU2887" s="16"/>
      <c r="CV2887" s="14"/>
      <c r="CW2887" s="50"/>
      <c r="CX2887" s="17"/>
    </row>
    <row r="2888" spans="74:102" x14ac:dyDescent="0.25">
      <c r="BV2888" s="14"/>
      <c r="BW2888" s="50"/>
      <c r="BX2888" s="54"/>
      <c r="BY2888" s="14"/>
      <c r="BZ2888" s="14"/>
      <c r="CA2888" s="14"/>
      <c r="CB2888" s="14"/>
      <c r="CC2888" s="14"/>
      <c r="CD2888" s="14"/>
      <c r="CE2888" s="14"/>
      <c r="CF2888" s="15"/>
      <c r="CG2888" s="14"/>
      <c r="CH2888" s="14"/>
      <c r="CI2888" s="50"/>
      <c r="CJ2888" s="54"/>
      <c r="CK2888" s="14"/>
      <c r="CL2888" s="14"/>
      <c r="CM2888" s="14"/>
      <c r="CN2888" s="14"/>
      <c r="CO2888" s="14"/>
      <c r="CP2888" s="14"/>
      <c r="CQ2888" s="14"/>
      <c r="CR2888" s="14"/>
      <c r="CS2888" s="14"/>
      <c r="CT2888" s="14"/>
      <c r="CU2888" s="16"/>
      <c r="CV2888" s="14"/>
      <c r="CW2888" s="50"/>
      <c r="CX2888" s="17"/>
    </row>
    <row r="2889" spans="74:102" x14ac:dyDescent="0.25">
      <c r="BV2889" s="14"/>
      <c r="BW2889" s="50"/>
      <c r="BX2889" s="54"/>
      <c r="BY2889" s="14"/>
      <c r="BZ2889" s="14"/>
      <c r="CA2889" s="14"/>
      <c r="CB2889" s="14"/>
      <c r="CC2889" s="14"/>
      <c r="CD2889" s="14"/>
      <c r="CE2889" s="14"/>
      <c r="CF2889" s="15"/>
      <c r="CG2889" s="14"/>
      <c r="CH2889" s="14"/>
      <c r="CI2889" s="50"/>
      <c r="CJ2889" s="54"/>
      <c r="CK2889" s="14"/>
      <c r="CL2889" s="14"/>
      <c r="CM2889" s="14"/>
      <c r="CN2889" s="14"/>
      <c r="CO2889" s="14"/>
      <c r="CP2889" s="14"/>
      <c r="CQ2889" s="14"/>
      <c r="CR2889" s="14"/>
      <c r="CS2889" s="14"/>
      <c r="CT2889" s="14"/>
      <c r="CU2889" s="16"/>
      <c r="CV2889" s="14"/>
      <c r="CW2889" s="50"/>
      <c r="CX2889" s="17"/>
    </row>
    <row r="2890" spans="74:102" x14ac:dyDescent="0.25">
      <c r="BV2890" s="14"/>
      <c r="BW2890" s="50"/>
      <c r="BX2890" s="54"/>
      <c r="BY2890" s="14"/>
      <c r="BZ2890" s="14"/>
      <c r="CA2890" s="14"/>
      <c r="CB2890" s="14"/>
      <c r="CC2890" s="14"/>
      <c r="CD2890" s="14"/>
      <c r="CE2890" s="14"/>
      <c r="CF2890" s="15"/>
      <c r="CG2890" s="14"/>
      <c r="CH2890" s="14"/>
      <c r="CI2890" s="50"/>
      <c r="CJ2890" s="54"/>
      <c r="CK2890" s="14"/>
      <c r="CL2890" s="14"/>
      <c r="CM2890" s="14"/>
      <c r="CN2890" s="14"/>
      <c r="CO2890" s="14"/>
      <c r="CP2890" s="14"/>
      <c r="CQ2890" s="14"/>
      <c r="CR2890" s="14"/>
      <c r="CS2890" s="14"/>
      <c r="CT2890" s="14"/>
      <c r="CU2890" s="16"/>
      <c r="CV2890" s="14"/>
      <c r="CW2890" s="50"/>
      <c r="CX2890" s="17"/>
    </row>
    <row r="2891" spans="74:102" x14ac:dyDescent="0.25">
      <c r="BV2891" s="14"/>
      <c r="BW2891" s="50"/>
      <c r="BX2891" s="54"/>
      <c r="BY2891" s="14"/>
      <c r="BZ2891" s="14"/>
      <c r="CA2891" s="14"/>
      <c r="CB2891" s="14"/>
      <c r="CC2891" s="14"/>
      <c r="CD2891" s="14"/>
      <c r="CE2891" s="14"/>
      <c r="CF2891" s="15"/>
      <c r="CG2891" s="14"/>
      <c r="CH2891" s="14"/>
      <c r="CI2891" s="50"/>
      <c r="CJ2891" s="54"/>
      <c r="CK2891" s="14"/>
      <c r="CL2891" s="14"/>
      <c r="CM2891" s="14"/>
      <c r="CN2891" s="14"/>
      <c r="CO2891" s="14"/>
      <c r="CP2891" s="14"/>
      <c r="CQ2891" s="14"/>
      <c r="CR2891" s="14"/>
      <c r="CS2891" s="14"/>
      <c r="CT2891" s="14"/>
      <c r="CU2891" s="16"/>
      <c r="CV2891" s="14"/>
      <c r="CW2891" s="50"/>
      <c r="CX2891" s="17"/>
    </row>
    <row r="2892" spans="74:102" x14ac:dyDescent="0.25">
      <c r="BV2892" s="14"/>
      <c r="BW2892" s="50"/>
      <c r="BX2892" s="54"/>
      <c r="BY2892" s="14"/>
      <c r="BZ2892" s="14"/>
      <c r="CA2892" s="14"/>
      <c r="CB2892" s="14"/>
      <c r="CC2892" s="14"/>
      <c r="CD2892" s="14"/>
      <c r="CE2892" s="14"/>
      <c r="CF2892" s="15"/>
      <c r="CG2892" s="14"/>
      <c r="CH2892" s="14"/>
      <c r="CI2892" s="50"/>
      <c r="CJ2892" s="54"/>
      <c r="CK2892" s="14"/>
      <c r="CL2892" s="14"/>
      <c r="CM2892" s="14"/>
      <c r="CN2892" s="14"/>
      <c r="CO2892" s="14"/>
      <c r="CP2892" s="14"/>
      <c r="CQ2892" s="14"/>
      <c r="CR2892" s="14"/>
      <c r="CS2892" s="14"/>
      <c r="CT2892" s="14"/>
      <c r="CU2892" s="16"/>
      <c r="CV2892" s="14"/>
      <c r="CW2892" s="50"/>
      <c r="CX2892" s="17"/>
    </row>
    <row r="2893" spans="74:102" x14ac:dyDescent="0.25">
      <c r="BV2893" s="14"/>
      <c r="BW2893" s="50"/>
      <c r="BX2893" s="54"/>
      <c r="BY2893" s="14"/>
      <c r="BZ2893" s="14"/>
      <c r="CA2893" s="14"/>
      <c r="CB2893" s="14"/>
      <c r="CC2893" s="14"/>
      <c r="CD2893" s="14"/>
      <c r="CE2893" s="14"/>
      <c r="CF2893" s="15"/>
      <c r="CG2893" s="14"/>
      <c r="CH2893" s="14"/>
      <c r="CI2893" s="50"/>
      <c r="CJ2893" s="54"/>
      <c r="CK2893" s="14"/>
      <c r="CL2893" s="14"/>
      <c r="CM2893" s="14"/>
      <c r="CN2893" s="14"/>
      <c r="CO2893" s="14"/>
      <c r="CP2893" s="14"/>
      <c r="CQ2893" s="14"/>
      <c r="CR2893" s="14"/>
      <c r="CS2893" s="14"/>
      <c r="CT2893" s="14"/>
      <c r="CU2893" s="16"/>
      <c r="CV2893" s="14"/>
      <c r="CW2893" s="50"/>
      <c r="CX2893" s="17"/>
    </row>
    <row r="2894" spans="74:102" x14ac:dyDescent="0.25">
      <c r="BV2894" s="14"/>
      <c r="BW2894" s="50"/>
      <c r="BX2894" s="54"/>
      <c r="BY2894" s="14"/>
      <c r="BZ2894" s="14"/>
      <c r="CA2894" s="14"/>
      <c r="CB2894" s="14"/>
      <c r="CC2894" s="14"/>
      <c r="CD2894" s="14"/>
      <c r="CE2894" s="14"/>
      <c r="CF2894" s="15"/>
      <c r="CG2894" s="14"/>
      <c r="CH2894" s="14"/>
      <c r="CI2894" s="50"/>
      <c r="CJ2894" s="54"/>
      <c r="CK2894" s="14"/>
      <c r="CL2894" s="14"/>
      <c r="CM2894" s="14"/>
      <c r="CN2894" s="14"/>
      <c r="CO2894" s="14"/>
      <c r="CP2894" s="14"/>
      <c r="CQ2894" s="14"/>
      <c r="CR2894" s="14"/>
      <c r="CS2894" s="14"/>
      <c r="CT2894" s="14"/>
      <c r="CU2894" s="16"/>
      <c r="CV2894" s="14"/>
      <c r="CW2894" s="50"/>
      <c r="CX2894" s="17"/>
    </row>
    <row r="2895" spans="74:102" x14ac:dyDescent="0.25">
      <c r="BV2895" s="14"/>
      <c r="BW2895" s="50"/>
      <c r="BX2895" s="54"/>
      <c r="BY2895" s="14"/>
      <c r="BZ2895" s="14"/>
      <c r="CA2895" s="14"/>
      <c r="CB2895" s="14"/>
      <c r="CC2895" s="14"/>
      <c r="CD2895" s="14"/>
      <c r="CE2895" s="14"/>
      <c r="CF2895" s="15"/>
      <c r="CG2895" s="14"/>
      <c r="CH2895" s="14"/>
      <c r="CI2895" s="50"/>
      <c r="CJ2895" s="54"/>
      <c r="CK2895" s="14"/>
      <c r="CL2895" s="14"/>
      <c r="CM2895" s="14"/>
      <c r="CN2895" s="14"/>
      <c r="CO2895" s="14"/>
      <c r="CP2895" s="14"/>
      <c r="CQ2895" s="14"/>
      <c r="CR2895" s="14"/>
      <c r="CS2895" s="14"/>
      <c r="CT2895" s="14"/>
      <c r="CU2895" s="16"/>
      <c r="CV2895" s="14"/>
      <c r="CW2895" s="50"/>
      <c r="CX2895" s="17"/>
    </row>
    <row r="2896" spans="74:102" x14ac:dyDescent="0.25">
      <c r="BV2896" s="14"/>
      <c r="BW2896" s="50"/>
      <c r="BX2896" s="54"/>
      <c r="BY2896" s="14"/>
      <c r="BZ2896" s="14"/>
      <c r="CA2896" s="14"/>
      <c r="CB2896" s="14"/>
      <c r="CC2896" s="14"/>
      <c r="CD2896" s="14"/>
      <c r="CE2896" s="14"/>
      <c r="CF2896" s="15"/>
      <c r="CG2896" s="14"/>
      <c r="CH2896" s="14"/>
      <c r="CI2896" s="50"/>
      <c r="CJ2896" s="54"/>
      <c r="CK2896" s="14"/>
      <c r="CL2896" s="14"/>
      <c r="CM2896" s="14"/>
      <c r="CN2896" s="14"/>
      <c r="CO2896" s="14"/>
      <c r="CP2896" s="14"/>
      <c r="CQ2896" s="14"/>
      <c r="CR2896" s="14"/>
      <c r="CS2896" s="14"/>
      <c r="CT2896" s="14"/>
      <c r="CU2896" s="16"/>
      <c r="CV2896" s="14"/>
      <c r="CW2896" s="50"/>
      <c r="CX2896" s="17"/>
    </row>
    <row r="2897" spans="74:102" x14ac:dyDescent="0.25">
      <c r="BV2897" s="14"/>
      <c r="BW2897" s="50"/>
      <c r="BX2897" s="54"/>
      <c r="BY2897" s="14"/>
      <c r="BZ2897" s="14"/>
      <c r="CA2897" s="14"/>
      <c r="CB2897" s="14"/>
      <c r="CC2897" s="14"/>
      <c r="CD2897" s="14"/>
      <c r="CE2897" s="14"/>
      <c r="CF2897" s="15"/>
      <c r="CG2897" s="14"/>
      <c r="CH2897" s="14"/>
      <c r="CI2897" s="50"/>
      <c r="CJ2897" s="54"/>
      <c r="CK2897" s="14"/>
      <c r="CL2897" s="14"/>
      <c r="CM2897" s="14"/>
      <c r="CN2897" s="14"/>
      <c r="CO2897" s="14"/>
      <c r="CP2897" s="14"/>
      <c r="CQ2897" s="14"/>
      <c r="CR2897" s="14"/>
      <c r="CS2897" s="14"/>
      <c r="CT2897" s="14"/>
      <c r="CU2897" s="16"/>
      <c r="CV2897" s="14"/>
      <c r="CW2897" s="50"/>
      <c r="CX2897" s="17"/>
    </row>
    <row r="2898" spans="74:102" x14ac:dyDescent="0.25">
      <c r="BV2898" s="14"/>
      <c r="BW2898" s="50"/>
      <c r="BX2898" s="54"/>
      <c r="BY2898" s="14"/>
      <c r="BZ2898" s="14"/>
      <c r="CA2898" s="14"/>
      <c r="CB2898" s="14"/>
      <c r="CC2898" s="14"/>
      <c r="CD2898" s="14"/>
      <c r="CE2898" s="14"/>
      <c r="CF2898" s="15"/>
      <c r="CG2898" s="14"/>
      <c r="CH2898" s="14"/>
      <c r="CI2898" s="50"/>
      <c r="CJ2898" s="54"/>
      <c r="CK2898" s="14"/>
      <c r="CL2898" s="14"/>
      <c r="CM2898" s="14"/>
      <c r="CN2898" s="14"/>
      <c r="CO2898" s="14"/>
      <c r="CP2898" s="14"/>
      <c r="CQ2898" s="14"/>
      <c r="CR2898" s="14"/>
      <c r="CS2898" s="14"/>
      <c r="CT2898" s="14"/>
      <c r="CU2898" s="16"/>
      <c r="CV2898" s="14"/>
      <c r="CW2898" s="50"/>
      <c r="CX2898" s="17"/>
    </row>
    <row r="2899" spans="74:102" x14ac:dyDescent="0.25">
      <c r="BV2899" s="14"/>
      <c r="BW2899" s="50"/>
      <c r="BX2899" s="54"/>
      <c r="BY2899" s="14"/>
      <c r="BZ2899" s="14"/>
      <c r="CA2899" s="14"/>
      <c r="CB2899" s="14"/>
      <c r="CC2899" s="14"/>
      <c r="CD2899" s="14"/>
      <c r="CE2899" s="14"/>
      <c r="CF2899" s="15"/>
      <c r="CG2899" s="14"/>
      <c r="CH2899" s="14"/>
      <c r="CI2899" s="50"/>
      <c r="CJ2899" s="54"/>
      <c r="CK2899" s="14"/>
      <c r="CL2899" s="14"/>
      <c r="CM2899" s="14"/>
      <c r="CN2899" s="14"/>
      <c r="CO2899" s="14"/>
      <c r="CP2899" s="14"/>
      <c r="CQ2899" s="14"/>
      <c r="CR2899" s="14"/>
      <c r="CS2899" s="14"/>
      <c r="CT2899" s="14"/>
      <c r="CU2899" s="16"/>
      <c r="CV2899" s="14"/>
      <c r="CW2899" s="50"/>
      <c r="CX2899" s="17"/>
    </row>
    <row r="2900" spans="74:102" x14ac:dyDescent="0.25">
      <c r="BV2900" s="14"/>
      <c r="BW2900" s="50"/>
      <c r="BX2900" s="54"/>
      <c r="BY2900" s="14"/>
      <c r="BZ2900" s="14"/>
      <c r="CA2900" s="14"/>
      <c r="CB2900" s="14"/>
      <c r="CC2900" s="14"/>
      <c r="CD2900" s="14"/>
      <c r="CE2900" s="14"/>
      <c r="CF2900" s="15"/>
      <c r="CG2900" s="14"/>
      <c r="CH2900" s="14"/>
      <c r="CI2900" s="50"/>
      <c r="CJ2900" s="54"/>
      <c r="CK2900" s="14"/>
      <c r="CL2900" s="14"/>
      <c r="CM2900" s="14"/>
      <c r="CN2900" s="14"/>
      <c r="CO2900" s="14"/>
      <c r="CP2900" s="14"/>
      <c r="CQ2900" s="14"/>
      <c r="CR2900" s="14"/>
      <c r="CS2900" s="14"/>
      <c r="CT2900" s="14"/>
      <c r="CU2900" s="16"/>
      <c r="CV2900" s="14"/>
      <c r="CW2900" s="50"/>
      <c r="CX2900" s="17"/>
    </row>
    <row r="2901" spans="74:102" x14ac:dyDescent="0.25">
      <c r="BV2901" s="14"/>
      <c r="BW2901" s="50"/>
      <c r="BX2901" s="54"/>
      <c r="BY2901" s="14"/>
      <c r="BZ2901" s="14"/>
      <c r="CA2901" s="14"/>
      <c r="CB2901" s="14"/>
      <c r="CC2901" s="14"/>
      <c r="CD2901" s="14"/>
      <c r="CE2901" s="14"/>
      <c r="CF2901" s="15"/>
      <c r="CG2901" s="14"/>
      <c r="CH2901" s="14"/>
      <c r="CI2901" s="50"/>
      <c r="CJ2901" s="54"/>
      <c r="CK2901" s="14"/>
      <c r="CL2901" s="14"/>
      <c r="CM2901" s="14"/>
      <c r="CN2901" s="14"/>
      <c r="CO2901" s="14"/>
      <c r="CP2901" s="14"/>
      <c r="CQ2901" s="14"/>
      <c r="CR2901" s="14"/>
      <c r="CS2901" s="14"/>
      <c r="CT2901" s="14"/>
      <c r="CU2901" s="16"/>
      <c r="CV2901" s="14"/>
      <c r="CW2901" s="50"/>
      <c r="CX2901" s="17"/>
    </row>
    <row r="2902" spans="74:102" x14ac:dyDescent="0.25">
      <c r="BV2902" s="14"/>
      <c r="BW2902" s="50"/>
      <c r="BX2902" s="54"/>
      <c r="BY2902" s="14"/>
      <c r="BZ2902" s="14"/>
      <c r="CA2902" s="14"/>
      <c r="CB2902" s="14"/>
      <c r="CC2902" s="14"/>
      <c r="CD2902" s="14"/>
      <c r="CE2902" s="14"/>
      <c r="CF2902" s="15"/>
      <c r="CG2902" s="14"/>
      <c r="CH2902" s="14"/>
      <c r="CI2902" s="50"/>
      <c r="CJ2902" s="54"/>
      <c r="CK2902" s="14"/>
      <c r="CL2902" s="14"/>
      <c r="CM2902" s="14"/>
      <c r="CN2902" s="14"/>
      <c r="CO2902" s="14"/>
      <c r="CP2902" s="14"/>
      <c r="CQ2902" s="14"/>
      <c r="CR2902" s="14"/>
      <c r="CS2902" s="14"/>
      <c r="CT2902" s="14"/>
      <c r="CU2902" s="16"/>
      <c r="CV2902" s="14"/>
      <c r="CW2902" s="50"/>
      <c r="CX2902" s="17"/>
    </row>
    <row r="2903" spans="74:102" x14ac:dyDescent="0.25">
      <c r="BV2903" s="14"/>
      <c r="BW2903" s="50"/>
      <c r="BX2903" s="54"/>
      <c r="BY2903" s="14"/>
      <c r="BZ2903" s="14"/>
      <c r="CA2903" s="14"/>
      <c r="CB2903" s="14"/>
      <c r="CC2903" s="14"/>
      <c r="CD2903" s="14"/>
      <c r="CE2903" s="14"/>
      <c r="CF2903" s="15"/>
      <c r="CG2903" s="14"/>
      <c r="CH2903" s="14"/>
      <c r="CI2903" s="50"/>
      <c r="CJ2903" s="54"/>
      <c r="CK2903" s="14"/>
      <c r="CL2903" s="14"/>
      <c r="CM2903" s="14"/>
      <c r="CN2903" s="14"/>
      <c r="CO2903" s="14"/>
      <c r="CP2903" s="14"/>
      <c r="CQ2903" s="14"/>
      <c r="CR2903" s="14"/>
      <c r="CS2903" s="14"/>
      <c r="CT2903" s="14"/>
      <c r="CU2903" s="16"/>
      <c r="CV2903" s="14"/>
      <c r="CW2903" s="50"/>
      <c r="CX2903" s="17"/>
    </row>
    <row r="2904" spans="74:102" x14ac:dyDescent="0.25">
      <c r="BV2904" s="14"/>
      <c r="BW2904" s="50"/>
      <c r="BX2904" s="54"/>
      <c r="BY2904" s="14"/>
      <c r="BZ2904" s="14"/>
      <c r="CA2904" s="14"/>
      <c r="CB2904" s="14"/>
      <c r="CC2904" s="14"/>
      <c r="CD2904" s="14"/>
      <c r="CE2904" s="14"/>
      <c r="CF2904" s="15"/>
      <c r="CG2904" s="14"/>
      <c r="CH2904" s="14"/>
      <c r="CI2904" s="50"/>
      <c r="CJ2904" s="54"/>
      <c r="CK2904" s="14"/>
      <c r="CL2904" s="14"/>
      <c r="CM2904" s="14"/>
      <c r="CN2904" s="14"/>
      <c r="CO2904" s="14"/>
      <c r="CP2904" s="14"/>
      <c r="CQ2904" s="14"/>
      <c r="CR2904" s="14"/>
      <c r="CS2904" s="14"/>
      <c r="CT2904" s="14"/>
      <c r="CU2904" s="16"/>
      <c r="CV2904" s="14"/>
      <c r="CW2904" s="50"/>
      <c r="CX2904" s="17"/>
    </row>
    <row r="2905" spans="74:102" x14ac:dyDescent="0.25">
      <c r="BV2905" s="14"/>
      <c r="BW2905" s="50"/>
      <c r="BX2905" s="54"/>
      <c r="BY2905" s="14"/>
      <c r="BZ2905" s="14"/>
      <c r="CA2905" s="14"/>
      <c r="CB2905" s="14"/>
      <c r="CC2905" s="14"/>
      <c r="CD2905" s="14"/>
      <c r="CE2905" s="14"/>
      <c r="CF2905" s="15"/>
      <c r="CG2905" s="14"/>
      <c r="CH2905" s="14"/>
      <c r="CI2905" s="50"/>
      <c r="CJ2905" s="54"/>
      <c r="CK2905" s="14"/>
      <c r="CL2905" s="14"/>
      <c r="CM2905" s="14"/>
      <c r="CN2905" s="14"/>
      <c r="CO2905" s="14"/>
      <c r="CP2905" s="14"/>
      <c r="CQ2905" s="14"/>
      <c r="CR2905" s="14"/>
      <c r="CS2905" s="14"/>
      <c r="CT2905" s="14"/>
      <c r="CU2905" s="16"/>
      <c r="CV2905" s="14"/>
      <c r="CW2905" s="50"/>
      <c r="CX2905" s="17"/>
    </row>
    <row r="2906" spans="74:102" x14ac:dyDescent="0.25">
      <c r="BV2906" s="14"/>
      <c r="BW2906" s="50"/>
      <c r="BX2906" s="54"/>
      <c r="BY2906" s="14"/>
      <c r="BZ2906" s="14"/>
      <c r="CA2906" s="14"/>
      <c r="CB2906" s="14"/>
      <c r="CC2906" s="14"/>
      <c r="CD2906" s="14"/>
      <c r="CE2906" s="14"/>
      <c r="CF2906" s="15"/>
      <c r="CG2906" s="14"/>
      <c r="CH2906" s="14"/>
      <c r="CI2906" s="50"/>
      <c r="CJ2906" s="54"/>
      <c r="CK2906" s="14"/>
      <c r="CL2906" s="14"/>
      <c r="CM2906" s="14"/>
      <c r="CN2906" s="14"/>
      <c r="CO2906" s="14"/>
      <c r="CP2906" s="14"/>
      <c r="CQ2906" s="14"/>
      <c r="CR2906" s="14"/>
      <c r="CS2906" s="14"/>
      <c r="CT2906" s="14"/>
      <c r="CU2906" s="16"/>
      <c r="CV2906" s="14"/>
      <c r="CW2906" s="50"/>
      <c r="CX2906" s="17"/>
    </row>
    <row r="2907" spans="74:102" x14ac:dyDescent="0.25">
      <c r="BV2907" s="14"/>
      <c r="BW2907" s="50"/>
      <c r="BX2907" s="54"/>
      <c r="BY2907" s="14"/>
      <c r="BZ2907" s="14"/>
      <c r="CA2907" s="14"/>
      <c r="CB2907" s="14"/>
      <c r="CC2907" s="14"/>
      <c r="CD2907" s="14"/>
      <c r="CE2907" s="14"/>
      <c r="CF2907" s="15"/>
      <c r="CG2907" s="14"/>
      <c r="CH2907" s="14"/>
      <c r="CI2907" s="50"/>
      <c r="CJ2907" s="54"/>
      <c r="CK2907" s="14"/>
      <c r="CL2907" s="14"/>
      <c r="CM2907" s="14"/>
      <c r="CN2907" s="14"/>
      <c r="CO2907" s="14"/>
      <c r="CP2907" s="14"/>
      <c r="CQ2907" s="14"/>
      <c r="CR2907" s="14"/>
      <c r="CS2907" s="14"/>
      <c r="CT2907" s="14"/>
      <c r="CU2907" s="16"/>
      <c r="CV2907" s="14"/>
      <c r="CW2907" s="50"/>
      <c r="CX2907" s="17"/>
    </row>
    <row r="2908" spans="74:102" x14ac:dyDescent="0.25">
      <c r="BV2908" s="14"/>
      <c r="BW2908" s="50"/>
      <c r="BX2908" s="54"/>
      <c r="BY2908" s="14"/>
      <c r="BZ2908" s="14"/>
      <c r="CA2908" s="14"/>
      <c r="CB2908" s="14"/>
      <c r="CC2908" s="14"/>
      <c r="CD2908" s="14"/>
      <c r="CE2908" s="14"/>
      <c r="CF2908" s="15"/>
      <c r="CG2908" s="14"/>
      <c r="CH2908" s="14"/>
      <c r="CI2908" s="50"/>
      <c r="CJ2908" s="54"/>
      <c r="CK2908" s="14"/>
      <c r="CL2908" s="14"/>
      <c r="CM2908" s="14"/>
      <c r="CN2908" s="14"/>
      <c r="CO2908" s="14"/>
      <c r="CP2908" s="14"/>
      <c r="CQ2908" s="14"/>
      <c r="CR2908" s="14"/>
      <c r="CS2908" s="14"/>
      <c r="CT2908" s="14"/>
      <c r="CU2908" s="16"/>
      <c r="CV2908" s="14"/>
      <c r="CW2908" s="50"/>
      <c r="CX2908" s="17"/>
    </row>
    <row r="2909" spans="74:102" x14ac:dyDescent="0.25">
      <c r="BV2909" s="14"/>
      <c r="BW2909" s="50"/>
      <c r="BX2909" s="54"/>
      <c r="BY2909" s="14"/>
      <c r="BZ2909" s="14"/>
      <c r="CA2909" s="14"/>
      <c r="CB2909" s="14"/>
      <c r="CC2909" s="14"/>
      <c r="CD2909" s="14"/>
      <c r="CE2909" s="14"/>
      <c r="CF2909" s="15"/>
      <c r="CG2909" s="14"/>
      <c r="CH2909" s="14"/>
      <c r="CI2909" s="50"/>
      <c r="CJ2909" s="54"/>
      <c r="CK2909" s="14"/>
      <c r="CL2909" s="14"/>
      <c r="CM2909" s="14"/>
      <c r="CN2909" s="14"/>
      <c r="CO2909" s="14"/>
      <c r="CP2909" s="14"/>
      <c r="CQ2909" s="14"/>
      <c r="CR2909" s="14"/>
      <c r="CS2909" s="14"/>
      <c r="CT2909" s="14"/>
      <c r="CU2909" s="16"/>
      <c r="CV2909" s="14"/>
      <c r="CW2909" s="50"/>
      <c r="CX2909" s="17"/>
    </row>
    <row r="2910" spans="74:102" x14ac:dyDescent="0.25">
      <c r="BV2910" s="14"/>
      <c r="BW2910" s="50"/>
      <c r="BX2910" s="54"/>
      <c r="BY2910" s="14"/>
      <c r="BZ2910" s="14"/>
      <c r="CA2910" s="14"/>
      <c r="CB2910" s="14"/>
      <c r="CC2910" s="14"/>
      <c r="CD2910" s="14"/>
      <c r="CE2910" s="14"/>
      <c r="CF2910" s="15"/>
      <c r="CG2910" s="14"/>
      <c r="CH2910" s="14"/>
      <c r="CI2910" s="50"/>
      <c r="CJ2910" s="54"/>
      <c r="CK2910" s="14"/>
      <c r="CL2910" s="14"/>
      <c r="CM2910" s="14"/>
      <c r="CN2910" s="14"/>
      <c r="CO2910" s="14"/>
      <c r="CP2910" s="14"/>
      <c r="CQ2910" s="14"/>
      <c r="CR2910" s="14"/>
      <c r="CS2910" s="14"/>
      <c r="CT2910" s="14"/>
      <c r="CU2910" s="16"/>
      <c r="CV2910" s="14"/>
      <c r="CW2910" s="50"/>
      <c r="CX2910" s="17"/>
    </row>
    <row r="2911" spans="74:102" x14ac:dyDescent="0.25">
      <c r="BV2911" s="14"/>
      <c r="BW2911" s="50"/>
      <c r="BX2911" s="54"/>
      <c r="BY2911" s="14"/>
      <c r="BZ2911" s="14"/>
      <c r="CA2911" s="14"/>
      <c r="CB2911" s="14"/>
      <c r="CC2911" s="14"/>
      <c r="CD2911" s="14"/>
      <c r="CE2911" s="14"/>
      <c r="CF2911" s="15"/>
      <c r="CG2911" s="14"/>
      <c r="CH2911" s="14"/>
      <c r="CI2911" s="50"/>
      <c r="CJ2911" s="54"/>
      <c r="CK2911" s="14"/>
      <c r="CL2911" s="14"/>
      <c r="CM2911" s="14"/>
      <c r="CN2911" s="14"/>
      <c r="CO2911" s="14"/>
      <c r="CP2911" s="14"/>
      <c r="CQ2911" s="14"/>
      <c r="CR2911" s="14"/>
      <c r="CS2911" s="14"/>
      <c r="CT2911" s="14"/>
      <c r="CU2911" s="16"/>
      <c r="CV2911" s="14"/>
      <c r="CW2911" s="50"/>
      <c r="CX2911" s="17"/>
    </row>
    <row r="2912" spans="74:102" x14ac:dyDescent="0.25">
      <c r="BV2912" s="14"/>
      <c r="BW2912" s="50"/>
      <c r="BX2912" s="54"/>
      <c r="BY2912" s="14"/>
      <c r="BZ2912" s="14"/>
      <c r="CA2912" s="14"/>
      <c r="CB2912" s="14"/>
      <c r="CC2912" s="14"/>
      <c r="CD2912" s="14"/>
      <c r="CE2912" s="14"/>
      <c r="CF2912" s="15"/>
      <c r="CG2912" s="14"/>
      <c r="CH2912" s="14"/>
      <c r="CI2912" s="50"/>
      <c r="CJ2912" s="54"/>
      <c r="CK2912" s="14"/>
      <c r="CL2912" s="14"/>
      <c r="CM2912" s="14"/>
      <c r="CN2912" s="14"/>
      <c r="CO2912" s="14"/>
      <c r="CP2912" s="14"/>
      <c r="CQ2912" s="14"/>
      <c r="CR2912" s="14"/>
      <c r="CS2912" s="14"/>
      <c r="CT2912" s="14"/>
      <c r="CU2912" s="16"/>
      <c r="CV2912" s="14"/>
      <c r="CW2912" s="50"/>
      <c r="CX2912" s="17"/>
    </row>
    <row r="2913" spans="74:102" x14ac:dyDescent="0.25">
      <c r="BV2913" s="14"/>
      <c r="BW2913" s="50"/>
      <c r="BX2913" s="54"/>
      <c r="BY2913" s="14"/>
      <c r="BZ2913" s="14"/>
      <c r="CA2913" s="14"/>
      <c r="CB2913" s="14"/>
      <c r="CC2913" s="14"/>
      <c r="CD2913" s="14"/>
      <c r="CE2913" s="14"/>
      <c r="CF2913" s="15"/>
      <c r="CG2913" s="14"/>
      <c r="CH2913" s="14"/>
      <c r="CI2913" s="50"/>
      <c r="CJ2913" s="54"/>
      <c r="CK2913" s="14"/>
      <c r="CL2913" s="14"/>
      <c r="CM2913" s="14"/>
      <c r="CN2913" s="14"/>
      <c r="CO2913" s="14"/>
      <c r="CP2913" s="14"/>
      <c r="CQ2913" s="14"/>
      <c r="CR2913" s="14"/>
      <c r="CS2913" s="14"/>
      <c r="CT2913" s="14"/>
      <c r="CU2913" s="16"/>
      <c r="CV2913" s="14"/>
      <c r="CW2913" s="50"/>
      <c r="CX2913" s="17"/>
    </row>
    <row r="2914" spans="74:102" x14ac:dyDescent="0.25">
      <c r="BV2914" s="14"/>
      <c r="BW2914" s="50"/>
      <c r="BX2914" s="54"/>
      <c r="BY2914" s="14"/>
      <c r="BZ2914" s="14"/>
      <c r="CA2914" s="14"/>
      <c r="CB2914" s="14"/>
      <c r="CC2914" s="14"/>
      <c r="CD2914" s="14"/>
      <c r="CE2914" s="14"/>
      <c r="CF2914" s="15"/>
      <c r="CG2914" s="14"/>
      <c r="CH2914" s="14"/>
      <c r="CI2914" s="50"/>
      <c r="CJ2914" s="54"/>
      <c r="CK2914" s="14"/>
      <c r="CL2914" s="14"/>
      <c r="CM2914" s="14"/>
      <c r="CN2914" s="14"/>
      <c r="CO2914" s="14"/>
      <c r="CP2914" s="14"/>
      <c r="CQ2914" s="14"/>
      <c r="CR2914" s="14"/>
      <c r="CS2914" s="14"/>
      <c r="CT2914" s="14"/>
      <c r="CU2914" s="16"/>
      <c r="CV2914" s="14"/>
      <c r="CW2914" s="50"/>
      <c r="CX2914" s="17"/>
    </row>
    <row r="2915" spans="74:102" x14ac:dyDescent="0.25">
      <c r="BV2915" s="14"/>
      <c r="BW2915" s="50"/>
      <c r="BX2915" s="54"/>
      <c r="BY2915" s="14"/>
      <c r="BZ2915" s="14"/>
      <c r="CA2915" s="14"/>
      <c r="CB2915" s="14"/>
      <c r="CC2915" s="14"/>
      <c r="CD2915" s="14"/>
      <c r="CE2915" s="14"/>
      <c r="CF2915" s="15"/>
      <c r="CG2915" s="14"/>
      <c r="CH2915" s="14"/>
      <c r="CI2915" s="50"/>
      <c r="CJ2915" s="54"/>
      <c r="CK2915" s="14"/>
      <c r="CL2915" s="14"/>
      <c r="CM2915" s="14"/>
      <c r="CN2915" s="14"/>
      <c r="CO2915" s="14"/>
      <c r="CP2915" s="14"/>
      <c r="CQ2915" s="14"/>
      <c r="CR2915" s="14"/>
      <c r="CS2915" s="14"/>
      <c r="CT2915" s="14"/>
      <c r="CU2915" s="16"/>
      <c r="CV2915" s="14"/>
      <c r="CW2915" s="50"/>
      <c r="CX2915" s="17"/>
    </row>
    <row r="2916" spans="74:102" x14ac:dyDescent="0.25">
      <c r="BV2916" s="14"/>
      <c r="BW2916" s="50"/>
      <c r="BX2916" s="54"/>
      <c r="BY2916" s="14"/>
      <c r="BZ2916" s="14"/>
      <c r="CA2916" s="14"/>
      <c r="CB2916" s="14"/>
      <c r="CC2916" s="14"/>
      <c r="CD2916" s="14"/>
      <c r="CE2916" s="14"/>
      <c r="CF2916" s="15"/>
      <c r="CG2916" s="14"/>
      <c r="CH2916" s="14"/>
      <c r="CI2916" s="50"/>
      <c r="CJ2916" s="54"/>
      <c r="CK2916" s="14"/>
      <c r="CL2916" s="14"/>
      <c r="CM2916" s="14"/>
      <c r="CN2916" s="14"/>
      <c r="CO2916" s="14"/>
      <c r="CP2916" s="14"/>
      <c r="CQ2916" s="14"/>
      <c r="CR2916" s="14"/>
      <c r="CS2916" s="14"/>
      <c r="CT2916" s="14"/>
      <c r="CU2916" s="16"/>
      <c r="CV2916" s="14"/>
      <c r="CW2916" s="50"/>
      <c r="CX2916" s="17"/>
    </row>
    <row r="2917" spans="74:102" x14ac:dyDescent="0.25">
      <c r="BV2917" s="14"/>
      <c r="BW2917" s="50"/>
      <c r="BX2917" s="54"/>
      <c r="BY2917" s="14"/>
      <c r="BZ2917" s="14"/>
      <c r="CA2917" s="14"/>
      <c r="CB2917" s="14"/>
      <c r="CC2917" s="14"/>
      <c r="CD2917" s="14"/>
      <c r="CE2917" s="14"/>
      <c r="CF2917" s="15"/>
      <c r="CG2917" s="14"/>
      <c r="CH2917" s="14"/>
      <c r="CI2917" s="50"/>
      <c r="CJ2917" s="54"/>
      <c r="CK2917" s="14"/>
      <c r="CL2917" s="14"/>
      <c r="CM2917" s="14"/>
      <c r="CN2917" s="14"/>
      <c r="CO2917" s="14"/>
      <c r="CP2917" s="14"/>
      <c r="CQ2917" s="14"/>
      <c r="CR2917" s="14"/>
      <c r="CS2917" s="14"/>
      <c r="CT2917" s="14"/>
      <c r="CU2917" s="16"/>
      <c r="CV2917" s="14"/>
      <c r="CW2917" s="50"/>
      <c r="CX2917" s="17"/>
    </row>
    <row r="2918" spans="74:102" x14ac:dyDescent="0.25">
      <c r="BV2918" s="14"/>
      <c r="BW2918" s="50"/>
      <c r="BX2918" s="54"/>
      <c r="BY2918" s="14"/>
      <c r="BZ2918" s="14"/>
      <c r="CA2918" s="14"/>
      <c r="CB2918" s="14"/>
      <c r="CC2918" s="14"/>
      <c r="CD2918" s="14"/>
      <c r="CE2918" s="14"/>
      <c r="CF2918" s="15"/>
      <c r="CG2918" s="14"/>
      <c r="CH2918" s="14"/>
      <c r="CI2918" s="50"/>
      <c r="CJ2918" s="54"/>
      <c r="CK2918" s="14"/>
      <c r="CL2918" s="14"/>
      <c r="CM2918" s="14"/>
      <c r="CN2918" s="14"/>
      <c r="CO2918" s="14"/>
      <c r="CP2918" s="14"/>
      <c r="CQ2918" s="14"/>
      <c r="CR2918" s="14"/>
      <c r="CS2918" s="14"/>
      <c r="CT2918" s="14"/>
      <c r="CU2918" s="16"/>
      <c r="CV2918" s="14"/>
      <c r="CW2918" s="50"/>
      <c r="CX2918" s="17"/>
    </row>
    <row r="2919" spans="74:102" x14ac:dyDescent="0.25">
      <c r="BV2919" s="14"/>
      <c r="BW2919" s="50"/>
      <c r="BX2919" s="54"/>
      <c r="BY2919" s="14"/>
      <c r="BZ2919" s="14"/>
      <c r="CA2919" s="14"/>
      <c r="CB2919" s="14"/>
      <c r="CC2919" s="14"/>
      <c r="CD2919" s="14"/>
      <c r="CE2919" s="14"/>
      <c r="CF2919" s="15"/>
      <c r="CG2919" s="14"/>
      <c r="CH2919" s="14"/>
      <c r="CI2919" s="50"/>
      <c r="CJ2919" s="54"/>
      <c r="CK2919" s="14"/>
      <c r="CL2919" s="14"/>
      <c r="CM2919" s="14"/>
      <c r="CN2919" s="14"/>
      <c r="CO2919" s="14"/>
      <c r="CP2919" s="14"/>
      <c r="CQ2919" s="14"/>
      <c r="CR2919" s="14"/>
      <c r="CS2919" s="14"/>
      <c r="CT2919" s="14"/>
      <c r="CU2919" s="16"/>
      <c r="CV2919" s="14"/>
      <c r="CW2919" s="50"/>
      <c r="CX2919" s="17"/>
    </row>
    <row r="2920" spans="74:102" x14ac:dyDescent="0.25">
      <c r="BV2920" s="14"/>
      <c r="BW2920" s="50"/>
      <c r="BX2920" s="54"/>
      <c r="BY2920" s="14"/>
      <c r="BZ2920" s="14"/>
      <c r="CA2920" s="14"/>
      <c r="CB2920" s="14"/>
      <c r="CC2920" s="14"/>
      <c r="CD2920" s="14"/>
      <c r="CE2920" s="14"/>
      <c r="CF2920" s="15"/>
      <c r="CG2920" s="14"/>
      <c r="CH2920" s="14"/>
      <c r="CI2920" s="50"/>
      <c r="CJ2920" s="54"/>
      <c r="CK2920" s="14"/>
      <c r="CL2920" s="14"/>
      <c r="CM2920" s="14"/>
      <c r="CN2920" s="14"/>
      <c r="CO2920" s="14"/>
      <c r="CP2920" s="14"/>
      <c r="CQ2920" s="14"/>
      <c r="CR2920" s="14"/>
      <c r="CS2920" s="14"/>
      <c r="CT2920" s="14"/>
      <c r="CU2920" s="16"/>
      <c r="CV2920" s="14"/>
      <c r="CW2920" s="50"/>
      <c r="CX2920" s="17"/>
    </row>
    <row r="2921" spans="74:102" x14ac:dyDescent="0.25">
      <c r="BV2921" s="14"/>
      <c r="BW2921" s="50"/>
      <c r="BX2921" s="54"/>
      <c r="BY2921" s="14"/>
      <c r="BZ2921" s="14"/>
      <c r="CA2921" s="14"/>
      <c r="CB2921" s="14"/>
      <c r="CC2921" s="14"/>
      <c r="CD2921" s="14"/>
      <c r="CE2921" s="14"/>
      <c r="CF2921" s="15"/>
      <c r="CG2921" s="14"/>
      <c r="CH2921" s="14"/>
      <c r="CI2921" s="50"/>
      <c r="CJ2921" s="54"/>
      <c r="CK2921" s="14"/>
      <c r="CL2921" s="14"/>
      <c r="CM2921" s="14"/>
      <c r="CN2921" s="14"/>
      <c r="CO2921" s="14"/>
      <c r="CP2921" s="14"/>
      <c r="CQ2921" s="14"/>
      <c r="CR2921" s="14"/>
      <c r="CS2921" s="14"/>
      <c r="CT2921" s="14"/>
      <c r="CU2921" s="16"/>
      <c r="CV2921" s="14"/>
      <c r="CW2921" s="50"/>
      <c r="CX2921" s="17"/>
    </row>
    <row r="2922" spans="74:102" x14ac:dyDescent="0.25">
      <c r="BV2922" s="14"/>
      <c r="BW2922" s="50"/>
      <c r="BX2922" s="54"/>
      <c r="BY2922" s="14"/>
      <c r="BZ2922" s="14"/>
      <c r="CA2922" s="14"/>
      <c r="CB2922" s="14"/>
      <c r="CC2922" s="14"/>
      <c r="CD2922" s="14"/>
      <c r="CE2922" s="14"/>
      <c r="CF2922" s="15"/>
      <c r="CG2922" s="14"/>
      <c r="CH2922" s="14"/>
      <c r="CI2922" s="50"/>
      <c r="CJ2922" s="54"/>
      <c r="CK2922" s="14"/>
      <c r="CL2922" s="14"/>
      <c r="CM2922" s="14"/>
      <c r="CN2922" s="14"/>
      <c r="CO2922" s="14"/>
      <c r="CP2922" s="14"/>
      <c r="CQ2922" s="14"/>
      <c r="CR2922" s="14"/>
      <c r="CS2922" s="14"/>
      <c r="CT2922" s="14"/>
      <c r="CU2922" s="16"/>
      <c r="CV2922" s="14"/>
      <c r="CW2922" s="50"/>
      <c r="CX2922" s="17"/>
    </row>
    <row r="2923" spans="74:102" x14ac:dyDescent="0.25">
      <c r="BV2923" s="14"/>
      <c r="BW2923" s="50"/>
      <c r="BX2923" s="54"/>
      <c r="BY2923" s="14"/>
      <c r="BZ2923" s="14"/>
      <c r="CA2923" s="14"/>
      <c r="CB2923" s="14"/>
      <c r="CC2923" s="14"/>
      <c r="CD2923" s="14"/>
      <c r="CE2923" s="14"/>
      <c r="CF2923" s="15"/>
      <c r="CG2923" s="14"/>
      <c r="CH2923" s="14"/>
      <c r="CI2923" s="50"/>
      <c r="CJ2923" s="54"/>
      <c r="CK2923" s="14"/>
      <c r="CL2923" s="14"/>
      <c r="CM2923" s="14"/>
      <c r="CN2923" s="14"/>
      <c r="CO2923" s="14"/>
      <c r="CP2923" s="14"/>
      <c r="CQ2923" s="14"/>
      <c r="CR2923" s="14"/>
      <c r="CS2923" s="14"/>
      <c r="CT2923" s="14"/>
      <c r="CU2923" s="16"/>
      <c r="CV2923" s="14"/>
      <c r="CW2923" s="50"/>
      <c r="CX2923" s="17"/>
    </row>
    <row r="2924" spans="74:102" x14ac:dyDescent="0.25">
      <c r="BV2924" s="14"/>
      <c r="BW2924" s="50"/>
      <c r="BX2924" s="54"/>
      <c r="BY2924" s="14"/>
      <c r="BZ2924" s="14"/>
      <c r="CA2924" s="14"/>
      <c r="CB2924" s="14"/>
      <c r="CC2924" s="14"/>
      <c r="CD2924" s="14"/>
      <c r="CE2924" s="14"/>
      <c r="CF2924" s="15"/>
      <c r="CG2924" s="14"/>
      <c r="CH2924" s="14"/>
      <c r="CI2924" s="50"/>
      <c r="CJ2924" s="54"/>
      <c r="CK2924" s="14"/>
      <c r="CL2924" s="14"/>
      <c r="CM2924" s="14"/>
      <c r="CN2924" s="14"/>
      <c r="CO2924" s="14"/>
      <c r="CP2924" s="14"/>
      <c r="CQ2924" s="14"/>
      <c r="CR2924" s="14"/>
      <c r="CS2924" s="14"/>
      <c r="CT2924" s="14"/>
      <c r="CU2924" s="16"/>
      <c r="CV2924" s="14"/>
      <c r="CW2924" s="50"/>
      <c r="CX2924" s="17"/>
    </row>
    <row r="2925" spans="74:102" x14ac:dyDescent="0.25">
      <c r="BV2925" s="14"/>
      <c r="BW2925" s="50"/>
      <c r="BX2925" s="54"/>
      <c r="BY2925" s="14"/>
      <c r="BZ2925" s="14"/>
      <c r="CA2925" s="14"/>
      <c r="CB2925" s="14"/>
      <c r="CC2925" s="14"/>
      <c r="CD2925" s="14"/>
      <c r="CE2925" s="14"/>
      <c r="CF2925" s="15"/>
      <c r="CG2925" s="14"/>
      <c r="CH2925" s="14"/>
      <c r="CI2925" s="50"/>
      <c r="CJ2925" s="54"/>
      <c r="CK2925" s="14"/>
      <c r="CL2925" s="14"/>
      <c r="CM2925" s="14"/>
      <c r="CN2925" s="14"/>
      <c r="CO2925" s="14"/>
      <c r="CP2925" s="14"/>
      <c r="CQ2925" s="14"/>
      <c r="CR2925" s="14"/>
      <c r="CS2925" s="14"/>
      <c r="CT2925" s="14"/>
      <c r="CU2925" s="16"/>
      <c r="CV2925" s="14"/>
      <c r="CW2925" s="50"/>
      <c r="CX2925" s="17"/>
    </row>
    <row r="2926" spans="74:102" x14ac:dyDescent="0.25">
      <c r="BV2926" s="14"/>
      <c r="BW2926" s="50"/>
      <c r="BX2926" s="54"/>
      <c r="BY2926" s="14"/>
      <c r="BZ2926" s="14"/>
      <c r="CA2926" s="14"/>
      <c r="CB2926" s="14"/>
      <c r="CC2926" s="14"/>
      <c r="CD2926" s="14"/>
      <c r="CE2926" s="14"/>
      <c r="CF2926" s="15"/>
      <c r="CG2926" s="14"/>
      <c r="CH2926" s="14"/>
      <c r="CI2926" s="50"/>
      <c r="CJ2926" s="54"/>
      <c r="CK2926" s="14"/>
      <c r="CL2926" s="14"/>
      <c r="CM2926" s="14"/>
      <c r="CN2926" s="14"/>
      <c r="CO2926" s="14"/>
      <c r="CP2926" s="14"/>
      <c r="CQ2926" s="14"/>
      <c r="CR2926" s="14"/>
      <c r="CS2926" s="14"/>
      <c r="CT2926" s="14"/>
      <c r="CU2926" s="16"/>
      <c r="CV2926" s="14"/>
      <c r="CW2926" s="50"/>
      <c r="CX2926" s="17"/>
    </row>
    <row r="2927" spans="74:102" x14ac:dyDescent="0.25">
      <c r="BV2927" s="14"/>
      <c r="BW2927" s="50"/>
      <c r="BX2927" s="54"/>
      <c r="BY2927" s="14"/>
      <c r="BZ2927" s="14"/>
      <c r="CA2927" s="14"/>
      <c r="CB2927" s="14"/>
      <c r="CC2927" s="14"/>
      <c r="CD2927" s="14"/>
      <c r="CE2927" s="14"/>
      <c r="CF2927" s="15"/>
      <c r="CG2927" s="14"/>
      <c r="CH2927" s="14"/>
      <c r="CI2927" s="50"/>
      <c r="CJ2927" s="54"/>
      <c r="CK2927" s="14"/>
      <c r="CL2927" s="14"/>
      <c r="CM2927" s="14"/>
      <c r="CN2927" s="14"/>
      <c r="CO2927" s="14"/>
      <c r="CP2927" s="14"/>
      <c r="CQ2927" s="14"/>
      <c r="CR2927" s="14"/>
      <c r="CS2927" s="14"/>
      <c r="CT2927" s="14"/>
      <c r="CU2927" s="16"/>
      <c r="CV2927" s="14"/>
      <c r="CW2927" s="50"/>
      <c r="CX2927" s="17"/>
    </row>
    <row r="2928" spans="74:102" x14ac:dyDescent="0.25">
      <c r="BV2928" s="14"/>
      <c r="BW2928" s="50"/>
      <c r="BX2928" s="54"/>
      <c r="BY2928" s="14"/>
      <c r="BZ2928" s="14"/>
      <c r="CA2928" s="14"/>
      <c r="CB2928" s="14"/>
      <c r="CC2928" s="14"/>
      <c r="CD2928" s="14"/>
      <c r="CE2928" s="14"/>
      <c r="CF2928" s="15"/>
      <c r="CG2928" s="14"/>
      <c r="CH2928" s="14"/>
      <c r="CI2928" s="50"/>
      <c r="CJ2928" s="54"/>
      <c r="CK2928" s="14"/>
      <c r="CL2928" s="14"/>
      <c r="CM2928" s="14"/>
      <c r="CN2928" s="14"/>
      <c r="CO2928" s="14"/>
      <c r="CP2928" s="14"/>
      <c r="CQ2928" s="14"/>
      <c r="CR2928" s="14"/>
      <c r="CS2928" s="14"/>
      <c r="CT2928" s="14"/>
      <c r="CU2928" s="16"/>
      <c r="CV2928" s="14"/>
      <c r="CW2928" s="50"/>
      <c r="CX2928" s="17"/>
    </row>
    <row r="2929" spans="74:102" x14ac:dyDescent="0.25">
      <c r="BV2929" s="14"/>
      <c r="BW2929" s="50"/>
      <c r="BX2929" s="54"/>
      <c r="BY2929" s="14"/>
      <c r="BZ2929" s="14"/>
      <c r="CA2929" s="14"/>
      <c r="CB2929" s="14"/>
      <c r="CC2929" s="14"/>
      <c r="CD2929" s="14"/>
      <c r="CE2929" s="14"/>
      <c r="CF2929" s="15"/>
      <c r="CG2929" s="14"/>
      <c r="CH2929" s="14"/>
      <c r="CI2929" s="50"/>
      <c r="CJ2929" s="54"/>
      <c r="CK2929" s="14"/>
      <c r="CL2929" s="14"/>
      <c r="CM2929" s="14"/>
      <c r="CN2929" s="14"/>
      <c r="CO2929" s="14"/>
      <c r="CP2929" s="14"/>
      <c r="CQ2929" s="14"/>
      <c r="CR2929" s="14"/>
      <c r="CS2929" s="14"/>
      <c r="CT2929" s="14"/>
      <c r="CU2929" s="16"/>
      <c r="CV2929" s="14"/>
      <c r="CW2929" s="50"/>
      <c r="CX2929" s="17"/>
    </row>
    <row r="2930" spans="74:102" x14ac:dyDescent="0.25">
      <c r="BV2930" s="14"/>
      <c r="BW2930" s="50"/>
      <c r="BX2930" s="54"/>
      <c r="BY2930" s="14"/>
      <c r="BZ2930" s="14"/>
      <c r="CA2930" s="14"/>
      <c r="CB2930" s="14"/>
      <c r="CC2930" s="14"/>
      <c r="CD2930" s="14"/>
      <c r="CE2930" s="14"/>
      <c r="CF2930" s="15"/>
      <c r="CG2930" s="14"/>
      <c r="CH2930" s="14"/>
      <c r="CI2930" s="50"/>
      <c r="CJ2930" s="54"/>
      <c r="CK2930" s="14"/>
      <c r="CL2930" s="14"/>
      <c r="CM2930" s="14"/>
      <c r="CN2930" s="14"/>
      <c r="CO2930" s="14"/>
      <c r="CP2930" s="14"/>
      <c r="CQ2930" s="14"/>
      <c r="CR2930" s="14"/>
      <c r="CS2930" s="14"/>
      <c r="CT2930" s="14"/>
      <c r="CU2930" s="16"/>
      <c r="CV2930" s="14"/>
      <c r="CW2930" s="50"/>
      <c r="CX2930" s="17"/>
    </row>
    <row r="2931" spans="74:102" x14ac:dyDescent="0.25">
      <c r="BV2931" s="14"/>
      <c r="BW2931" s="50"/>
      <c r="BX2931" s="54"/>
      <c r="BY2931" s="14"/>
      <c r="BZ2931" s="14"/>
      <c r="CA2931" s="14"/>
      <c r="CB2931" s="14"/>
      <c r="CC2931" s="14"/>
      <c r="CD2931" s="14"/>
      <c r="CE2931" s="14"/>
      <c r="CF2931" s="15"/>
      <c r="CG2931" s="14"/>
      <c r="CH2931" s="14"/>
      <c r="CI2931" s="50"/>
      <c r="CJ2931" s="54"/>
      <c r="CK2931" s="14"/>
      <c r="CL2931" s="14"/>
      <c r="CM2931" s="14"/>
      <c r="CN2931" s="14"/>
      <c r="CO2931" s="14"/>
      <c r="CP2931" s="14"/>
      <c r="CQ2931" s="14"/>
      <c r="CR2931" s="14"/>
      <c r="CS2931" s="14"/>
      <c r="CT2931" s="14"/>
      <c r="CU2931" s="16"/>
      <c r="CV2931" s="14"/>
      <c r="CW2931" s="50"/>
      <c r="CX2931" s="17"/>
    </row>
    <row r="2932" spans="74:102" x14ac:dyDescent="0.25">
      <c r="BV2932" s="14"/>
      <c r="BW2932" s="50"/>
      <c r="BX2932" s="54"/>
      <c r="BY2932" s="14"/>
      <c r="BZ2932" s="14"/>
      <c r="CA2932" s="14"/>
      <c r="CB2932" s="14"/>
      <c r="CC2932" s="14"/>
      <c r="CD2932" s="14"/>
      <c r="CE2932" s="14"/>
      <c r="CF2932" s="15"/>
      <c r="CG2932" s="14"/>
      <c r="CH2932" s="14"/>
      <c r="CI2932" s="50"/>
      <c r="CJ2932" s="54"/>
      <c r="CK2932" s="14"/>
      <c r="CL2932" s="14"/>
      <c r="CM2932" s="14"/>
      <c r="CN2932" s="14"/>
      <c r="CO2932" s="14"/>
      <c r="CP2932" s="14"/>
      <c r="CQ2932" s="14"/>
      <c r="CR2932" s="14"/>
      <c r="CS2932" s="14"/>
      <c r="CT2932" s="14"/>
      <c r="CU2932" s="16"/>
      <c r="CV2932" s="14"/>
      <c r="CW2932" s="50"/>
      <c r="CX2932" s="17"/>
    </row>
    <row r="2933" spans="74:102" x14ac:dyDescent="0.25">
      <c r="BV2933" s="14"/>
      <c r="BW2933" s="50"/>
      <c r="BX2933" s="54"/>
      <c r="BY2933" s="14"/>
      <c r="BZ2933" s="14"/>
      <c r="CA2933" s="14"/>
      <c r="CB2933" s="14"/>
      <c r="CC2933" s="14"/>
      <c r="CD2933" s="14"/>
      <c r="CE2933" s="14"/>
      <c r="CF2933" s="15"/>
      <c r="CG2933" s="14"/>
      <c r="CH2933" s="14"/>
      <c r="CI2933" s="50"/>
      <c r="CJ2933" s="54"/>
      <c r="CK2933" s="14"/>
      <c r="CL2933" s="14"/>
      <c r="CM2933" s="14"/>
      <c r="CN2933" s="14"/>
      <c r="CO2933" s="14"/>
      <c r="CP2933" s="14"/>
      <c r="CQ2933" s="14"/>
      <c r="CR2933" s="14"/>
      <c r="CS2933" s="14"/>
      <c r="CT2933" s="14"/>
      <c r="CU2933" s="16"/>
      <c r="CV2933" s="14"/>
      <c r="CW2933" s="50"/>
      <c r="CX2933" s="17"/>
    </row>
    <row r="2934" spans="74:102" x14ac:dyDescent="0.25">
      <c r="BV2934" s="14"/>
      <c r="BW2934" s="50"/>
      <c r="BX2934" s="54"/>
      <c r="BY2934" s="14"/>
      <c r="BZ2934" s="14"/>
      <c r="CA2934" s="14"/>
      <c r="CB2934" s="14"/>
      <c r="CC2934" s="14"/>
      <c r="CD2934" s="14"/>
      <c r="CE2934" s="14"/>
      <c r="CF2934" s="15"/>
      <c r="CG2934" s="14"/>
      <c r="CH2934" s="14"/>
      <c r="CI2934" s="50"/>
      <c r="CJ2934" s="54"/>
      <c r="CK2934" s="14"/>
      <c r="CL2934" s="14"/>
      <c r="CM2934" s="14"/>
      <c r="CN2934" s="14"/>
      <c r="CO2934" s="14"/>
      <c r="CP2934" s="14"/>
      <c r="CQ2934" s="14"/>
      <c r="CR2934" s="14"/>
      <c r="CS2934" s="14"/>
      <c r="CT2934" s="14"/>
      <c r="CU2934" s="16"/>
      <c r="CV2934" s="14"/>
      <c r="CW2934" s="50"/>
      <c r="CX2934" s="17"/>
    </row>
    <row r="2935" spans="74:102" x14ac:dyDescent="0.25">
      <c r="BV2935" s="14"/>
      <c r="BW2935" s="50"/>
      <c r="BX2935" s="54"/>
      <c r="BY2935" s="14"/>
      <c r="BZ2935" s="14"/>
      <c r="CA2935" s="14"/>
      <c r="CB2935" s="14"/>
      <c r="CC2935" s="14"/>
      <c r="CD2935" s="14"/>
      <c r="CE2935" s="14"/>
      <c r="CF2935" s="15"/>
      <c r="CG2935" s="14"/>
      <c r="CH2935" s="14"/>
      <c r="CI2935" s="50"/>
      <c r="CJ2935" s="54"/>
      <c r="CK2935" s="14"/>
      <c r="CL2935" s="14"/>
      <c r="CM2935" s="14"/>
      <c r="CN2935" s="14"/>
      <c r="CO2935" s="14"/>
      <c r="CP2935" s="14"/>
      <c r="CQ2935" s="14"/>
      <c r="CR2935" s="14"/>
      <c r="CS2935" s="14"/>
      <c r="CT2935" s="14"/>
      <c r="CU2935" s="16"/>
      <c r="CV2935" s="14"/>
      <c r="CW2935" s="50"/>
      <c r="CX2935" s="17"/>
    </row>
    <row r="2936" spans="74:102" x14ac:dyDescent="0.25">
      <c r="BV2936" s="14"/>
      <c r="BW2936" s="50"/>
      <c r="BX2936" s="54"/>
      <c r="BY2936" s="14"/>
      <c r="BZ2936" s="14"/>
      <c r="CA2936" s="14"/>
      <c r="CB2936" s="14"/>
      <c r="CC2936" s="14"/>
      <c r="CD2936" s="14"/>
      <c r="CE2936" s="14"/>
      <c r="CF2936" s="15"/>
      <c r="CG2936" s="14"/>
      <c r="CH2936" s="14"/>
      <c r="CI2936" s="50"/>
      <c r="CJ2936" s="54"/>
      <c r="CK2936" s="14"/>
      <c r="CL2936" s="14"/>
      <c r="CM2936" s="14"/>
      <c r="CN2936" s="14"/>
      <c r="CO2936" s="14"/>
      <c r="CP2936" s="14"/>
      <c r="CQ2936" s="14"/>
      <c r="CR2936" s="14"/>
      <c r="CS2936" s="14"/>
      <c r="CT2936" s="14"/>
      <c r="CU2936" s="16"/>
      <c r="CV2936" s="14"/>
      <c r="CW2936" s="50"/>
      <c r="CX2936" s="17"/>
    </row>
    <row r="2937" spans="74:102" x14ac:dyDescent="0.25">
      <c r="BV2937" s="14"/>
      <c r="BW2937" s="50"/>
      <c r="BX2937" s="54"/>
      <c r="BY2937" s="14"/>
      <c r="BZ2937" s="14"/>
      <c r="CA2937" s="14"/>
      <c r="CB2937" s="14"/>
      <c r="CC2937" s="14"/>
      <c r="CD2937" s="14"/>
      <c r="CE2937" s="14"/>
      <c r="CF2937" s="15"/>
      <c r="CG2937" s="14"/>
      <c r="CH2937" s="14"/>
      <c r="CI2937" s="50"/>
      <c r="CJ2937" s="54"/>
      <c r="CK2937" s="14"/>
      <c r="CL2937" s="14"/>
      <c r="CM2937" s="14"/>
      <c r="CN2937" s="14"/>
      <c r="CO2937" s="14"/>
      <c r="CP2937" s="14"/>
      <c r="CQ2937" s="14"/>
      <c r="CR2937" s="14"/>
      <c r="CS2937" s="14"/>
      <c r="CT2937" s="14"/>
      <c r="CU2937" s="16"/>
      <c r="CV2937" s="14"/>
      <c r="CW2937" s="50"/>
      <c r="CX2937" s="17"/>
    </row>
    <row r="2938" spans="74:102" x14ac:dyDescent="0.25">
      <c r="BV2938" s="14"/>
      <c r="BW2938" s="50"/>
      <c r="BX2938" s="54"/>
      <c r="BY2938" s="14"/>
      <c r="BZ2938" s="14"/>
      <c r="CA2938" s="14"/>
      <c r="CB2938" s="14"/>
      <c r="CC2938" s="14"/>
      <c r="CD2938" s="14"/>
      <c r="CE2938" s="14"/>
      <c r="CF2938" s="15"/>
      <c r="CG2938" s="14"/>
      <c r="CH2938" s="14"/>
      <c r="CI2938" s="50"/>
      <c r="CJ2938" s="54"/>
      <c r="CK2938" s="14"/>
      <c r="CL2938" s="14"/>
      <c r="CM2938" s="14"/>
      <c r="CN2938" s="14"/>
      <c r="CO2938" s="14"/>
      <c r="CP2938" s="14"/>
      <c r="CQ2938" s="14"/>
      <c r="CR2938" s="14"/>
      <c r="CS2938" s="14"/>
      <c r="CT2938" s="14"/>
      <c r="CU2938" s="16"/>
      <c r="CV2938" s="14"/>
      <c r="CW2938" s="50"/>
      <c r="CX2938" s="17"/>
    </row>
    <row r="2939" spans="74:102" x14ac:dyDescent="0.25">
      <c r="BV2939" s="14"/>
      <c r="BW2939" s="50"/>
      <c r="BX2939" s="54"/>
      <c r="BY2939" s="14"/>
      <c r="BZ2939" s="14"/>
      <c r="CA2939" s="14"/>
      <c r="CB2939" s="14"/>
      <c r="CC2939" s="14"/>
      <c r="CD2939" s="14"/>
      <c r="CE2939" s="14"/>
      <c r="CF2939" s="15"/>
      <c r="CG2939" s="14"/>
      <c r="CH2939" s="14"/>
      <c r="CI2939" s="50"/>
      <c r="CJ2939" s="54"/>
      <c r="CK2939" s="14"/>
      <c r="CL2939" s="14"/>
      <c r="CM2939" s="14"/>
      <c r="CN2939" s="14"/>
      <c r="CO2939" s="14"/>
      <c r="CP2939" s="14"/>
      <c r="CQ2939" s="14"/>
      <c r="CR2939" s="14"/>
      <c r="CS2939" s="14"/>
      <c r="CT2939" s="14"/>
      <c r="CU2939" s="16"/>
      <c r="CV2939" s="14"/>
      <c r="CW2939" s="50"/>
      <c r="CX2939" s="17"/>
    </row>
    <row r="2940" spans="74:102" x14ac:dyDescent="0.25">
      <c r="BV2940" s="14"/>
      <c r="BW2940" s="50"/>
      <c r="BX2940" s="54"/>
      <c r="BY2940" s="14"/>
      <c r="BZ2940" s="14"/>
      <c r="CA2940" s="14"/>
      <c r="CB2940" s="14"/>
      <c r="CC2940" s="14"/>
      <c r="CD2940" s="14"/>
      <c r="CE2940" s="14"/>
      <c r="CF2940" s="15"/>
      <c r="CG2940" s="14"/>
      <c r="CH2940" s="14"/>
      <c r="CI2940" s="50"/>
      <c r="CJ2940" s="54"/>
      <c r="CK2940" s="14"/>
      <c r="CL2940" s="14"/>
      <c r="CM2940" s="14"/>
      <c r="CN2940" s="14"/>
      <c r="CO2940" s="14"/>
      <c r="CP2940" s="14"/>
      <c r="CQ2940" s="14"/>
      <c r="CR2940" s="14"/>
      <c r="CS2940" s="14"/>
      <c r="CT2940" s="14"/>
      <c r="CU2940" s="16"/>
      <c r="CV2940" s="14"/>
      <c r="CW2940" s="50"/>
      <c r="CX2940" s="17"/>
    </row>
    <row r="2941" spans="74:102" x14ac:dyDescent="0.25">
      <c r="BV2941" s="14"/>
      <c r="BW2941" s="50"/>
      <c r="BX2941" s="54"/>
      <c r="BY2941" s="14"/>
      <c r="BZ2941" s="14"/>
      <c r="CA2941" s="14"/>
      <c r="CB2941" s="14"/>
      <c r="CC2941" s="14"/>
      <c r="CD2941" s="14"/>
      <c r="CE2941" s="14"/>
      <c r="CF2941" s="15"/>
      <c r="CG2941" s="14"/>
      <c r="CH2941" s="14"/>
      <c r="CI2941" s="50"/>
      <c r="CJ2941" s="54"/>
      <c r="CK2941" s="14"/>
      <c r="CL2941" s="14"/>
      <c r="CM2941" s="14"/>
      <c r="CN2941" s="14"/>
      <c r="CO2941" s="14"/>
      <c r="CP2941" s="14"/>
      <c r="CQ2941" s="14"/>
      <c r="CR2941" s="14"/>
      <c r="CS2941" s="14"/>
      <c r="CT2941" s="14"/>
      <c r="CU2941" s="16"/>
      <c r="CV2941" s="14"/>
      <c r="CW2941" s="50"/>
      <c r="CX2941" s="17"/>
    </row>
    <row r="2942" spans="74:102" x14ac:dyDescent="0.25">
      <c r="BV2942" s="14"/>
      <c r="BW2942" s="50"/>
      <c r="BX2942" s="54"/>
      <c r="BY2942" s="14"/>
      <c r="BZ2942" s="14"/>
      <c r="CA2942" s="14"/>
      <c r="CB2942" s="14"/>
      <c r="CC2942" s="14"/>
      <c r="CD2942" s="14"/>
      <c r="CE2942" s="14"/>
      <c r="CF2942" s="15"/>
      <c r="CG2942" s="14"/>
      <c r="CH2942" s="14"/>
      <c r="CI2942" s="50"/>
      <c r="CJ2942" s="54"/>
      <c r="CK2942" s="14"/>
      <c r="CL2942" s="14"/>
      <c r="CM2942" s="14"/>
      <c r="CN2942" s="14"/>
      <c r="CO2942" s="14"/>
      <c r="CP2942" s="14"/>
      <c r="CQ2942" s="14"/>
      <c r="CR2942" s="14"/>
      <c r="CS2942" s="14"/>
      <c r="CT2942" s="14"/>
      <c r="CU2942" s="16"/>
      <c r="CV2942" s="14"/>
      <c r="CW2942" s="50"/>
      <c r="CX2942" s="17"/>
    </row>
    <row r="2943" spans="74:102" x14ac:dyDescent="0.25">
      <c r="BV2943" s="14"/>
      <c r="BW2943" s="50"/>
      <c r="BX2943" s="54"/>
      <c r="BY2943" s="14"/>
      <c r="BZ2943" s="14"/>
      <c r="CA2943" s="14"/>
      <c r="CB2943" s="14"/>
      <c r="CC2943" s="14"/>
      <c r="CD2943" s="14"/>
      <c r="CE2943" s="14"/>
      <c r="CF2943" s="15"/>
      <c r="CG2943" s="14"/>
      <c r="CH2943" s="14"/>
      <c r="CI2943" s="50"/>
      <c r="CJ2943" s="54"/>
      <c r="CK2943" s="14"/>
      <c r="CL2943" s="14"/>
      <c r="CM2943" s="14"/>
      <c r="CN2943" s="14"/>
      <c r="CO2943" s="14"/>
      <c r="CP2943" s="14"/>
      <c r="CQ2943" s="14"/>
      <c r="CR2943" s="14"/>
      <c r="CS2943" s="14"/>
      <c r="CT2943" s="14"/>
      <c r="CU2943" s="16"/>
      <c r="CV2943" s="14"/>
      <c r="CW2943" s="50"/>
      <c r="CX2943" s="17"/>
    </row>
    <row r="2944" spans="74:102" x14ac:dyDescent="0.25">
      <c r="BV2944" s="14"/>
      <c r="BW2944" s="50"/>
      <c r="BX2944" s="54"/>
      <c r="BY2944" s="14"/>
      <c r="BZ2944" s="14"/>
      <c r="CA2944" s="14"/>
      <c r="CB2944" s="14"/>
      <c r="CC2944" s="14"/>
      <c r="CD2944" s="14"/>
      <c r="CE2944" s="14"/>
      <c r="CF2944" s="15"/>
      <c r="CG2944" s="14"/>
      <c r="CH2944" s="14"/>
      <c r="CI2944" s="50"/>
      <c r="CJ2944" s="54"/>
      <c r="CK2944" s="14"/>
      <c r="CL2944" s="14"/>
      <c r="CM2944" s="14"/>
      <c r="CN2944" s="14"/>
      <c r="CO2944" s="14"/>
      <c r="CP2944" s="14"/>
      <c r="CQ2944" s="14"/>
      <c r="CR2944" s="14"/>
      <c r="CS2944" s="14"/>
      <c r="CT2944" s="14"/>
      <c r="CU2944" s="16"/>
      <c r="CV2944" s="14"/>
      <c r="CW2944" s="50"/>
      <c r="CX2944" s="17"/>
    </row>
    <row r="2945" spans="74:102" x14ac:dyDescent="0.25">
      <c r="BV2945" s="14"/>
      <c r="BW2945" s="50"/>
      <c r="BX2945" s="54"/>
      <c r="BY2945" s="14"/>
      <c r="BZ2945" s="14"/>
      <c r="CA2945" s="14"/>
      <c r="CB2945" s="14"/>
      <c r="CC2945" s="14"/>
      <c r="CD2945" s="14"/>
      <c r="CE2945" s="14"/>
      <c r="CF2945" s="15"/>
      <c r="CG2945" s="14"/>
      <c r="CH2945" s="14"/>
      <c r="CI2945" s="50"/>
      <c r="CJ2945" s="54"/>
      <c r="CK2945" s="14"/>
      <c r="CL2945" s="14"/>
      <c r="CM2945" s="14"/>
      <c r="CN2945" s="14"/>
      <c r="CO2945" s="14"/>
      <c r="CP2945" s="14"/>
      <c r="CQ2945" s="14"/>
      <c r="CR2945" s="14"/>
      <c r="CS2945" s="14"/>
      <c r="CT2945" s="14"/>
      <c r="CU2945" s="16"/>
      <c r="CV2945" s="14"/>
      <c r="CW2945" s="50"/>
      <c r="CX2945" s="17"/>
    </row>
    <row r="2946" spans="74:102" x14ac:dyDescent="0.25">
      <c r="BV2946" s="14"/>
      <c r="BW2946" s="50"/>
      <c r="BX2946" s="54"/>
      <c r="BY2946" s="14"/>
      <c r="BZ2946" s="14"/>
      <c r="CA2946" s="14"/>
      <c r="CB2946" s="14"/>
      <c r="CC2946" s="14"/>
      <c r="CD2946" s="14"/>
      <c r="CE2946" s="14"/>
      <c r="CF2946" s="15"/>
      <c r="CG2946" s="14"/>
      <c r="CH2946" s="14"/>
      <c r="CI2946" s="50"/>
      <c r="CJ2946" s="54"/>
      <c r="CK2946" s="14"/>
      <c r="CL2946" s="14"/>
      <c r="CM2946" s="14"/>
      <c r="CN2946" s="14"/>
      <c r="CO2946" s="14"/>
      <c r="CP2946" s="14"/>
      <c r="CQ2946" s="14"/>
      <c r="CR2946" s="14"/>
      <c r="CS2946" s="14"/>
      <c r="CT2946" s="14"/>
      <c r="CU2946" s="16"/>
      <c r="CV2946" s="14"/>
      <c r="CW2946" s="50"/>
      <c r="CX2946" s="17"/>
    </row>
    <row r="2947" spans="74:102" x14ac:dyDescent="0.25">
      <c r="BV2947" s="14"/>
      <c r="BW2947" s="50"/>
      <c r="BX2947" s="54"/>
      <c r="BY2947" s="14"/>
      <c r="BZ2947" s="14"/>
      <c r="CA2947" s="14"/>
      <c r="CB2947" s="14"/>
      <c r="CC2947" s="14"/>
      <c r="CD2947" s="14"/>
      <c r="CE2947" s="14"/>
      <c r="CF2947" s="15"/>
      <c r="CG2947" s="14"/>
      <c r="CH2947" s="14"/>
      <c r="CI2947" s="50"/>
      <c r="CJ2947" s="54"/>
      <c r="CK2947" s="14"/>
      <c r="CL2947" s="14"/>
      <c r="CM2947" s="14"/>
      <c r="CN2947" s="14"/>
      <c r="CO2947" s="14"/>
      <c r="CP2947" s="14"/>
      <c r="CQ2947" s="14"/>
      <c r="CR2947" s="14"/>
      <c r="CS2947" s="14"/>
      <c r="CT2947" s="14"/>
      <c r="CU2947" s="16"/>
      <c r="CV2947" s="14"/>
      <c r="CW2947" s="50"/>
      <c r="CX2947" s="17"/>
    </row>
    <row r="2948" spans="74:102" x14ac:dyDescent="0.25">
      <c r="BV2948" s="14"/>
      <c r="BW2948" s="50"/>
      <c r="BX2948" s="54"/>
      <c r="BY2948" s="14"/>
      <c r="BZ2948" s="14"/>
      <c r="CA2948" s="14"/>
      <c r="CB2948" s="14"/>
      <c r="CC2948" s="14"/>
      <c r="CD2948" s="14"/>
      <c r="CE2948" s="14"/>
      <c r="CF2948" s="15"/>
      <c r="CG2948" s="14"/>
      <c r="CH2948" s="14"/>
      <c r="CI2948" s="50"/>
      <c r="CJ2948" s="54"/>
      <c r="CK2948" s="14"/>
      <c r="CL2948" s="14"/>
      <c r="CM2948" s="14"/>
      <c r="CN2948" s="14"/>
      <c r="CO2948" s="14"/>
      <c r="CP2948" s="14"/>
      <c r="CQ2948" s="14"/>
      <c r="CR2948" s="14"/>
      <c r="CS2948" s="14"/>
      <c r="CT2948" s="14"/>
      <c r="CU2948" s="16"/>
      <c r="CV2948" s="14"/>
      <c r="CW2948" s="50"/>
      <c r="CX2948" s="17"/>
    </row>
    <row r="2949" spans="74:102" x14ac:dyDescent="0.25">
      <c r="BV2949" s="14"/>
      <c r="BW2949" s="50"/>
      <c r="BX2949" s="54"/>
      <c r="BY2949" s="14"/>
      <c r="BZ2949" s="14"/>
      <c r="CA2949" s="14"/>
      <c r="CB2949" s="14"/>
      <c r="CC2949" s="14"/>
      <c r="CD2949" s="14"/>
      <c r="CE2949" s="14"/>
      <c r="CF2949" s="15"/>
      <c r="CG2949" s="14"/>
      <c r="CH2949" s="14"/>
      <c r="CI2949" s="50"/>
      <c r="CJ2949" s="54"/>
      <c r="CK2949" s="14"/>
      <c r="CL2949" s="14"/>
      <c r="CM2949" s="14"/>
      <c r="CN2949" s="14"/>
      <c r="CO2949" s="14"/>
      <c r="CP2949" s="14"/>
      <c r="CQ2949" s="14"/>
      <c r="CR2949" s="14"/>
      <c r="CS2949" s="14"/>
      <c r="CT2949" s="14"/>
      <c r="CU2949" s="16"/>
      <c r="CV2949" s="14"/>
      <c r="CW2949" s="50"/>
      <c r="CX2949" s="17"/>
    </row>
    <row r="2950" spans="74:102" x14ac:dyDescent="0.25">
      <c r="BV2950" s="14"/>
      <c r="BW2950" s="50"/>
      <c r="BX2950" s="54"/>
      <c r="BY2950" s="14"/>
      <c r="BZ2950" s="14"/>
      <c r="CA2950" s="14"/>
      <c r="CB2950" s="14"/>
      <c r="CC2950" s="14"/>
      <c r="CD2950" s="14"/>
      <c r="CE2950" s="14"/>
      <c r="CF2950" s="15"/>
      <c r="CG2950" s="14"/>
      <c r="CH2950" s="14"/>
      <c r="CI2950" s="50"/>
      <c r="CJ2950" s="54"/>
      <c r="CK2950" s="14"/>
      <c r="CL2950" s="14"/>
      <c r="CM2950" s="14"/>
      <c r="CN2950" s="14"/>
      <c r="CO2950" s="14"/>
      <c r="CP2950" s="14"/>
      <c r="CQ2950" s="14"/>
      <c r="CR2950" s="14"/>
      <c r="CS2950" s="14"/>
      <c r="CT2950" s="14"/>
      <c r="CU2950" s="16"/>
      <c r="CV2950" s="14"/>
      <c r="CW2950" s="50"/>
      <c r="CX2950" s="17"/>
    </row>
    <row r="2951" spans="74:102" x14ac:dyDescent="0.25">
      <c r="BV2951" s="14"/>
      <c r="BW2951" s="50"/>
      <c r="BX2951" s="54"/>
      <c r="BY2951" s="14"/>
      <c r="BZ2951" s="14"/>
      <c r="CA2951" s="14"/>
      <c r="CB2951" s="14"/>
      <c r="CC2951" s="14"/>
      <c r="CD2951" s="14"/>
      <c r="CE2951" s="14"/>
      <c r="CF2951" s="15"/>
      <c r="CG2951" s="14"/>
      <c r="CH2951" s="14"/>
      <c r="CI2951" s="50"/>
      <c r="CJ2951" s="54"/>
      <c r="CK2951" s="14"/>
      <c r="CL2951" s="14"/>
      <c r="CM2951" s="14"/>
      <c r="CN2951" s="14"/>
      <c r="CO2951" s="14"/>
      <c r="CP2951" s="14"/>
      <c r="CQ2951" s="14"/>
      <c r="CR2951" s="14"/>
      <c r="CS2951" s="14"/>
      <c r="CT2951" s="14"/>
      <c r="CU2951" s="16"/>
      <c r="CV2951" s="14"/>
      <c r="CW2951" s="50"/>
      <c r="CX2951" s="17"/>
    </row>
    <row r="2952" spans="74:102" x14ac:dyDescent="0.25">
      <c r="BV2952" s="14"/>
      <c r="BW2952" s="50"/>
      <c r="BX2952" s="54"/>
      <c r="BY2952" s="14"/>
      <c r="BZ2952" s="14"/>
      <c r="CA2952" s="14"/>
      <c r="CB2952" s="14"/>
      <c r="CC2952" s="14"/>
      <c r="CD2952" s="14"/>
      <c r="CE2952" s="14"/>
      <c r="CF2952" s="15"/>
      <c r="CG2952" s="14"/>
      <c r="CH2952" s="14"/>
      <c r="CI2952" s="50"/>
      <c r="CJ2952" s="54"/>
      <c r="CK2952" s="14"/>
      <c r="CL2952" s="14"/>
      <c r="CM2952" s="14"/>
      <c r="CN2952" s="14"/>
      <c r="CO2952" s="14"/>
      <c r="CP2952" s="14"/>
      <c r="CQ2952" s="14"/>
      <c r="CR2952" s="14"/>
      <c r="CS2952" s="14"/>
      <c r="CT2952" s="14"/>
      <c r="CU2952" s="16"/>
      <c r="CV2952" s="14"/>
      <c r="CW2952" s="50"/>
      <c r="CX2952" s="17"/>
    </row>
    <row r="2953" spans="74:102" x14ac:dyDescent="0.25">
      <c r="BV2953" s="14"/>
      <c r="BW2953" s="50"/>
      <c r="BX2953" s="54"/>
      <c r="BY2953" s="14"/>
      <c r="BZ2953" s="14"/>
      <c r="CA2953" s="14"/>
      <c r="CB2953" s="14"/>
      <c r="CC2953" s="14"/>
      <c r="CD2953" s="14"/>
      <c r="CE2953" s="14"/>
      <c r="CF2953" s="15"/>
      <c r="CG2953" s="14"/>
      <c r="CH2953" s="14"/>
      <c r="CI2953" s="50"/>
      <c r="CJ2953" s="54"/>
      <c r="CK2953" s="14"/>
      <c r="CL2953" s="14"/>
      <c r="CM2953" s="14"/>
      <c r="CN2953" s="14"/>
      <c r="CO2953" s="14"/>
      <c r="CP2953" s="14"/>
      <c r="CQ2953" s="14"/>
      <c r="CR2953" s="14"/>
      <c r="CS2953" s="14"/>
      <c r="CT2953" s="14"/>
      <c r="CU2953" s="16"/>
      <c r="CV2953" s="14"/>
      <c r="CW2953" s="50"/>
      <c r="CX2953" s="17"/>
    </row>
    <row r="2954" spans="74:102" x14ac:dyDescent="0.25">
      <c r="BV2954" s="14"/>
      <c r="BW2954" s="50"/>
      <c r="BX2954" s="54"/>
      <c r="BY2954" s="14"/>
      <c r="BZ2954" s="14"/>
      <c r="CA2954" s="14"/>
      <c r="CB2954" s="14"/>
      <c r="CC2954" s="14"/>
      <c r="CD2954" s="14"/>
      <c r="CE2954" s="14"/>
      <c r="CF2954" s="15"/>
      <c r="CG2954" s="14"/>
      <c r="CH2954" s="14"/>
      <c r="CI2954" s="50"/>
      <c r="CJ2954" s="54"/>
      <c r="CK2954" s="14"/>
      <c r="CL2954" s="14"/>
      <c r="CM2954" s="14"/>
      <c r="CN2954" s="14"/>
      <c r="CO2954" s="14"/>
      <c r="CP2954" s="14"/>
      <c r="CQ2954" s="14"/>
      <c r="CR2954" s="14"/>
      <c r="CS2954" s="14"/>
      <c r="CT2954" s="14"/>
      <c r="CU2954" s="16"/>
      <c r="CV2954" s="14"/>
      <c r="CW2954" s="50"/>
      <c r="CX2954" s="17"/>
    </row>
    <row r="2955" spans="74:102" x14ac:dyDescent="0.25">
      <c r="BV2955" s="14"/>
      <c r="BW2955" s="50"/>
      <c r="BX2955" s="54"/>
      <c r="BY2955" s="14"/>
      <c r="BZ2955" s="14"/>
      <c r="CA2955" s="14"/>
      <c r="CB2955" s="14"/>
      <c r="CC2955" s="14"/>
      <c r="CD2955" s="14"/>
      <c r="CE2955" s="14"/>
      <c r="CF2955" s="15"/>
      <c r="CG2955" s="14"/>
      <c r="CH2955" s="14"/>
      <c r="CI2955" s="50"/>
      <c r="CJ2955" s="54"/>
      <c r="CK2955" s="14"/>
      <c r="CL2955" s="14"/>
      <c r="CM2955" s="14"/>
      <c r="CN2955" s="14"/>
      <c r="CO2955" s="14"/>
      <c r="CP2955" s="14"/>
      <c r="CQ2955" s="14"/>
      <c r="CR2955" s="14"/>
      <c r="CS2955" s="14"/>
      <c r="CT2955" s="14"/>
      <c r="CU2955" s="16"/>
      <c r="CV2955" s="14"/>
      <c r="CW2955" s="50"/>
      <c r="CX2955" s="17"/>
    </row>
    <row r="2956" spans="74:102" x14ac:dyDescent="0.25">
      <c r="BV2956" s="14"/>
      <c r="BW2956" s="50"/>
      <c r="BX2956" s="54"/>
      <c r="BY2956" s="14"/>
      <c r="BZ2956" s="14"/>
      <c r="CA2956" s="14"/>
      <c r="CB2956" s="14"/>
      <c r="CC2956" s="14"/>
      <c r="CD2956" s="14"/>
      <c r="CE2956" s="14"/>
      <c r="CF2956" s="15"/>
      <c r="CG2956" s="14"/>
      <c r="CH2956" s="14"/>
      <c r="CI2956" s="50"/>
      <c r="CJ2956" s="54"/>
      <c r="CK2956" s="14"/>
      <c r="CL2956" s="14"/>
      <c r="CM2956" s="14"/>
      <c r="CN2956" s="14"/>
      <c r="CO2956" s="14"/>
      <c r="CP2956" s="14"/>
      <c r="CQ2956" s="14"/>
      <c r="CR2956" s="14"/>
      <c r="CS2956" s="14"/>
      <c r="CT2956" s="14"/>
      <c r="CU2956" s="16"/>
      <c r="CV2956" s="14"/>
      <c r="CW2956" s="50"/>
      <c r="CX2956" s="17"/>
    </row>
    <row r="2957" spans="74:102" x14ac:dyDescent="0.25">
      <c r="BV2957" s="14"/>
      <c r="BW2957" s="50"/>
      <c r="BX2957" s="54"/>
      <c r="BY2957" s="14"/>
      <c r="BZ2957" s="14"/>
      <c r="CA2957" s="14"/>
      <c r="CB2957" s="14"/>
      <c r="CC2957" s="14"/>
      <c r="CD2957" s="14"/>
      <c r="CE2957" s="14"/>
      <c r="CF2957" s="15"/>
      <c r="CG2957" s="14"/>
      <c r="CH2957" s="14"/>
      <c r="CI2957" s="50"/>
      <c r="CJ2957" s="54"/>
      <c r="CK2957" s="14"/>
      <c r="CL2957" s="14"/>
      <c r="CM2957" s="14"/>
      <c r="CN2957" s="14"/>
      <c r="CO2957" s="14"/>
      <c r="CP2957" s="14"/>
      <c r="CQ2957" s="14"/>
      <c r="CR2957" s="14"/>
      <c r="CS2957" s="14"/>
      <c r="CT2957" s="14"/>
      <c r="CU2957" s="16"/>
      <c r="CV2957" s="14"/>
      <c r="CW2957" s="50"/>
      <c r="CX2957" s="17"/>
    </row>
    <row r="2958" spans="74:102" x14ac:dyDescent="0.25">
      <c r="BV2958" s="14"/>
      <c r="BW2958" s="50"/>
      <c r="BX2958" s="54"/>
      <c r="BY2958" s="14"/>
      <c r="BZ2958" s="14"/>
      <c r="CA2958" s="14"/>
      <c r="CB2958" s="14"/>
      <c r="CC2958" s="14"/>
      <c r="CD2958" s="14"/>
      <c r="CE2958" s="14"/>
      <c r="CF2958" s="15"/>
      <c r="CG2958" s="14"/>
      <c r="CH2958" s="14"/>
      <c r="CI2958" s="50"/>
      <c r="CJ2958" s="54"/>
      <c r="CK2958" s="14"/>
      <c r="CL2958" s="14"/>
      <c r="CM2958" s="14"/>
      <c r="CN2958" s="14"/>
      <c r="CO2958" s="14"/>
      <c r="CP2958" s="14"/>
      <c r="CQ2958" s="14"/>
      <c r="CR2958" s="14"/>
      <c r="CS2958" s="14"/>
      <c r="CT2958" s="14"/>
      <c r="CU2958" s="16"/>
      <c r="CV2958" s="14"/>
      <c r="CW2958" s="50"/>
      <c r="CX2958" s="17"/>
    </row>
    <row r="2959" spans="74:102" x14ac:dyDescent="0.25">
      <c r="BV2959" s="14"/>
      <c r="BW2959" s="50"/>
      <c r="BX2959" s="54"/>
      <c r="BY2959" s="14"/>
      <c r="BZ2959" s="14"/>
      <c r="CA2959" s="14"/>
      <c r="CB2959" s="14"/>
      <c r="CC2959" s="14"/>
      <c r="CD2959" s="14"/>
      <c r="CE2959" s="14"/>
      <c r="CF2959" s="15"/>
      <c r="CG2959" s="14"/>
      <c r="CH2959" s="14"/>
      <c r="CI2959" s="50"/>
      <c r="CJ2959" s="54"/>
      <c r="CK2959" s="14"/>
      <c r="CL2959" s="14"/>
      <c r="CM2959" s="14"/>
      <c r="CN2959" s="14"/>
      <c r="CO2959" s="14"/>
      <c r="CP2959" s="14"/>
      <c r="CQ2959" s="14"/>
      <c r="CR2959" s="14"/>
      <c r="CS2959" s="14"/>
      <c r="CT2959" s="14"/>
      <c r="CU2959" s="16"/>
      <c r="CV2959" s="14"/>
      <c r="CW2959" s="50"/>
      <c r="CX2959" s="17"/>
    </row>
    <row r="2960" spans="74:102" x14ac:dyDescent="0.25">
      <c r="BV2960" s="14"/>
      <c r="BW2960" s="50"/>
      <c r="BX2960" s="54"/>
      <c r="BY2960" s="14"/>
      <c r="BZ2960" s="14"/>
      <c r="CA2960" s="14"/>
      <c r="CB2960" s="14"/>
      <c r="CC2960" s="14"/>
      <c r="CD2960" s="14"/>
      <c r="CE2960" s="14"/>
      <c r="CF2960" s="15"/>
      <c r="CG2960" s="14"/>
      <c r="CH2960" s="14"/>
      <c r="CI2960" s="50"/>
      <c r="CJ2960" s="54"/>
      <c r="CK2960" s="14"/>
      <c r="CL2960" s="14"/>
      <c r="CM2960" s="14"/>
      <c r="CN2960" s="14"/>
      <c r="CO2960" s="14"/>
      <c r="CP2960" s="14"/>
      <c r="CQ2960" s="14"/>
      <c r="CR2960" s="14"/>
      <c r="CS2960" s="14"/>
      <c r="CT2960" s="14"/>
      <c r="CU2960" s="16"/>
      <c r="CV2960" s="14"/>
      <c r="CW2960" s="50"/>
      <c r="CX2960" s="17"/>
    </row>
    <row r="2961" spans="74:102" x14ac:dyDescent="0.25">
      <c r="BV2961" s="14"/>
      <c r="BW2961" s="50"/>
      <c r="BX2961" s="54"/>
      <c r="BY2961" s="14"/>
      <c r="BZ2961" s="14"/>
      <c r="CA2961" s="14"/>
      <c r="CB2961" s="14"/>
      <c r="CC2961" s="14"/>
      <c r="CD2961" s="14"/>
      <c r="CE2961" s="14"/>
      <c r="CF2961" s="15"/>
      <c r="CG2961" s="14"/>
      <c r="CH2961" s="14"/>
      <c r="CI2961" s="50"/>
      <c r="CJ2961" s="54"/>
      <c r="CK2961" s="14"/>
      <c r="CL2961" s="14"/>
      <c r="CM2961" s="14"/>
      <c r="CN2961" s="14"/>
      <c r="CO2961" s="14"/>
      <c r="CP2961" s="14"/>
      <c r="CQ2961" s="14"/>
      <c r="CR2961" s="14"/>
      <c r="CS2961" s="14"/>
      <c r="CT2961" s="14"/>
      <c r="CU2961" s="16"/>
      <c r="CV2961" s="14"/>
      <c r="CW2961" s="50"/>
      <c r="CX2961" s="17"/>
    </row>
    <row r="2962" spans="74:102" x14ac:dyDescent="0.25">
      <c r="BV2962" s="14"/>
      <c r="BW2962" s="50"/>
      <c r="BX2962" s="54"/>
      <c r="BY2962" s="14"/>
      <c r="BZ2962" s="14"/>
      <c r="CA2962" s="14"/>
      <c r="CB2962" s="14"/>
      <c r="CC2962" s="14"/>
      <c r="CD2962" s="14"/>
      <c r="CE2962" s="14"/>
      <c r="CF2962" s="15"/>
      <c r="CG2962" s="14"/>
      <c r="CH2962" s="14"/>
      <c r="CI2962" s="50"/>
      <c r="CJ2962" s="54"/>
      <c r="CK2962" s="14"/>
      <c r="CL2962" s="14"/>
      <c r="CM2962" s="14"/>
      <c r="CN2962" s="14"/>
      <c r="CO2962" s="14"/>
      <c r="CP2962" s="14"/>
      <c r="CQ2962" s="14"/>
      <c r="CR2962" s="14"/>
      <c r="CS2962" s="14"/>
      <c r="CT2962" s="14"/>
      <c r="CU2962" s="16"/>
      <c r="CV2962" s="14"/>
      <c r="CW2962" s="50"/>
      <c r="CX2962" s="17"/>
    </row>
    <row r="2963" spans="74:102" x14ac:dyDescent="0.25">
      <c r="BV2963" s="14"/>
      <c r="BW2963" s="50"/>
      <c r="BX2963" s="54"/>
      <c r="BY2963" s="14"/>
      <c r="BZ2963" s="14"/>
      <c r="CA2963" s="14"/>
      <c r="CB2963" s="14"/>
      <c r="CC2963" s="14"/>
      <c r="CD2963" s="14"/>
      <c r="CE2963" s="14"/>
      <c r="CF2963" s="15"/>
      <c r="CG2963" s="14"/>
      <c r="CH2963" s="14"/>
      <c r="CI2963" s="50"/>
      <c r="CJ2963" s="54"/>
      <c r="CK2963" s="14"/>
      <c r="CL2963" s="14"/>
      <c r="CM2963" s="14"/>
      <c r="CN2963" s="14"/>
      <c r="CO2963" s="14"/>
      <c r="CP2963" s="14"/>
      <c r="CQ2963" s="14"/>
      <c r="CR2963" s="14"/>
      <c r="CS2963" s="14"/>
      <c r="CT2963" s="14"/>
      <c r="CU2963" s="16"/>
      <c r="CV2963" s="14"/>
      <c r="CW2963" s="50"/>
      <c r="CX2963" s="17"/>
    </row>
    <row r="2964" spans="74:102" x14ac:dyDescent="0.25">
      <c r="BV2964" s="14"/>
      <c r="BW2964" s="50"/>
      <c r="BX2964" s="54"/>
      <c r="BY2964" s="14"/>
      <c r="BZ2964" s="14"/>
      <c r="CA2964" s="14"/>
      <c r="CB2964" s="14"/>
      <c r="CC2964" s="14"/>
      <c r="CD2964" s="14"/>
      <c r="CE2964" s="14"/>
      <c r="CF2964" s="15"/>
      <c r="CG2964" s="14"/>
      <c r="CH2964" s="14"/>
      <c r="CI2964" s="50"/>
      <c r="CJ2964" s="54"/>
      <c r="CK2964" s="14"/>
      <c r="CL2964" s="14"/>
      <c r="CM2964" s="14"/>
      <c r="CN2964" s="14"/>
      <c r="CO2964" s="14"/>
      <c r="CP2964" s="14"/>
      <c r="CQ2964" s="14"/>
      <c r="CR2964" s="14"/>
      <c r="CS2964" s="14"/>
      <c r="CT2964" s="14"/>
      <c r="CU2964" s="16"/>
      <c r="CV2964" s="14"/>
      <c r="CW2964" s="50"/>
      <c r="CX2964" s="17"/>
    </row>
    <row r="2965" spans="74:102" x14ac:dyDescent="0.25">
      <c r="BV2965" s="14"/>
      <c r="BW2965" s="50"/>
      <c r="BX2965" s="54"/>
      <c r="BY2965" s="14"/>
      <c r="BZ2965" s="14"/>
      <c r="CA2965" s="14"/>
      <c r="CB2965" s="14"/>
      <c r="CC2965" s="14"/>
      <c r="CD2965" s="14"/>
      <c r="CE2965" s="14"/>
      <c r="CF2965" s="15"/>
      <c r="CG2965" s="14"/>
      <c r="CH2965" s="14"/>
      <c r="CI2965" s="50"/>
      <c r="CJ2965" s="54"/>
      <c r="CK2965" s="14"/>
      <c r="CL2965" s="14"/>
      <c r="CM2965" s="14"/>
      <c r="CN2965" s="14"/>
      <c r="CO2965" s="14"/>
      <c r="CP2965" s="14"/>
      <c r="CQ2965" s="14"/>
      <c r="CR2965" s="14"/>
      <c r="CS2965" s="14"/>
      <c r="CT2965" s="14"/>
      <c r="CU2965" s="16"/>
      <c r="CV2965" s="14"/>
      <c r="CW2965" s="50"/>
      <c r="CX2965" s="17"/>
    </row>
    <row r="2966" spans="74:102" x14ac:dyDescent="0.25">
      <c r="BV2966" s="14"/>
      <c r="BW2966" s="50"/>
      <c r="BX2966" s="54"/>
      <c r="BY2966" s="14"/>
      <c r="BZ2966" s="14"/>
      <c r="CA2966" s="14"/>
      <c r="CB2966" s="14"/>
      <c r="CC2966" s="14"/>
      <c r="CD2966" s="14"/>
      <c r="CE2966" s="14"/>
      <c r="CF2966" s="15"/>
      <c r="CG2966" s="14"/>
      <c r="CH2966" s="14"/>
      <c r="CI2966" s="50"/>
      <c r="CJ2966" s="54"/>
      <c r="CK2966" s="14"/>
      <c r="CL2966" s="14"/>
      <c r="CM2966" s="14"/>
      <c r="CN2966" s="14"/>
      <c r="CO2966" s="14"/>
      <c r="CP2966" s="14"/>
      <c r="CQ2966" s="14"/>
      <c r="CR2966" s="14"/>
      <c r="CS2966" s="14"/>
      <c r="CT2966" s="14"/>
      <c r="CU2966" s="16"/>
      <c r="CV2966" s="14"/>
      <c r="CW2966" s="50"/>
      <c r="CX2966" s="17"/>
    </row>
    <row r="2967" spans="74:102" x14ac:dyDescent="0.25">
      <c r="BV2967" s="14"/>
      <c r="BW2967" s="50"/>
      <c r="BX2967" s="54"/>
      <c r="BY2967" s="14"/>
      <c r="BZ2967" s="14"/>
      <c r="CA2967" s="14"/>
      <c r="CB2967" s="14"/>
      <c r="CC2967" s="14"/>
      <c r="CD2967" s="14"/>
      <c r="CE2967" s="14"/>
      <c r="CF2967" s="15"/>
      <c r="CG2967" s="14"/>
      <c r="CH2967" s="14"/>
      <c r="CI2967" s="50"/>
      <c r="CJ2967" s="54"/>
      <c r="CK2967" s="14"/>
      <c r="CL2967" s="14"/>
      <c r="CM2967" s="14"/>
      <c r="CN2967" s="14"/>
      <c r="CO2967" s="14"/>
      <c r="CP2967" s="14"/>
      <c r="CQ2967" s="14"/>
      <c r="CR2967" s="14"/>
      <c r="CS2967" s="14"/>
      <c r="CT2967" s="14"/>
      <c r="CU2967" s="16"/>
      <c r="CV2967" s="14"/>
      <c r="CW2967" s="50"/>
      <c r="CX2967" s="17"/>
    </row>
    <row r="2968" spans="74:102" x14ac:dyDescent="0.25">
      <c r="BV2968" s="14"/>
      <c r="BW2968" s="50"/>
      <c r="BX2968" s="54"/>
      <c r="BY2968" s="14"/>
      <c r="BZ2968" s="14"/>
      <c r="CA2968" s="14"/>
      <c r="CB2968" s="14"/>
      <c r="CC2968" s="14"/>
      <c r="CD2968" s="14"/>
      <c r="CE2968" s="14"/>
      <c r="CF2968" s="15"/>
      <c r="CG2968" s="14"/>
      <c r="CH2968" s="14"/>
      <c r="CI2968" s="50"/>
      <c r="CJ2968" s="54"/>
      <c r="CK2968" s="14"/>
      <c r="CL2968" s="14"/>
      <c r="CM2968" s="14"/>
      <c r="CN2968" s="14"/>
      <c r="CO2968" s="14"/>
      <c r="CP2968" s="14"/>
      <c r="CQ2968" s="14"/>
      <c r="CR2968" s="14"/>
      <c r="CS2968" s="14"/>
      <c r="CT2968" s="14"/>
      <c r="CU2968" s="16"/>
      <c r="CV2968" s="14"/>
      <c r="CW2968" s="50"/>
      <c r="CX2968" s="17"/>
    </row>
    <row r="2969" spans="74:102" x14ac:dyDescent="0.25">
      <c r="BV2969" s="14"/>
      <c r="BW2969" s="50"/>
      <c r="BX2969" s="54"/>
      <c r="BY2969" s="14"/>
      <c r="BZ2969" s="14"/>
      <c r="CA2969" s="14"/>
      <c r="CB2969" s="14"/>
      <c r="CC2969" s="14"/>
      <c r="CD2969" s="14"/>
      <c r="CE2969" s="14"/>
      <c r="CF2969" s="15"/>
      <c r="CG2969" s="14"/>
      <c r="CH2969" s="14"/>
      <c r="CI2969" s="50"/>
      <c r="CJ2969" s="54"/>
      <c r="CK2969" s="14"/>
      <c r="CL2969" s="14"/>
      <c r="CM2969" s="14"/>
      <c r="CN2969" s="14"/>
      <c r="CO2969" s="14"/>
      <c r="CP2969" s="14"/>
      <c r="CQ2969" s="14"/>
      <c r="CR2969" s="14"/>
      <c r="CS2969" s="14"/>
      <c r="CT2969" s="14"/>
      <c r="CU2969" s="16"/>
      <c r="CV2969" s="14"/>
      <c r="CW2969" s="50"/>
      <c r="CX2969" s="17"/>
    </row>
    <row r="2970" spans="74:102" x14ac:dyDescent="0.25">
      <c r="BV2970" s="14"/>
      <c r="BW2970" s="50"/>
      <c r="BX2970" s="54"/>
      <c r="BY2970" s="14"/>
      <c r="BZ2970" s="14"/>
      <c r="CA2970" s="14"/>
      <c r="CB2970" s="14"/>
      <c r="CC2970" s="14"/>
      <c r="CD2970" s="14"/>
      <c r="CE2970" s="14"/>
      <c r="CF2970" s="15"/>
      <c r="CG2970" s="14"/>
      <c r="CH2970" s="14"/>
      <c r="CI2970" s="50"/>
      <c r="CJ2970" s="54"/>
      <c r="CK2970" s="14"/>
      <c r="CL2970" s="14"/>
      <c r="CM2970" s="14"/>
      <c r="CN2970" s="14"/>
      <c r="CO2970" s="14"/>
      <c r="CP2970" s="14"/>
      <c r="CQ2970" s="14"/>
      <c r="CR2970" s="14"/>
      <c r="CS2970" s="14"/>
      <c r="CT2970" s="14"/>
      <c r="CU2970" s="16"/>
      <c r="CV2970" s="14"/>
      <c r="CW2970" s="50"/>
      <c r="CX2970" s="17"/>
    </row>
    <row r="2971" spans="74:102" x14ac:dyDescent="0.25">
      <c r="BV2971" s="14"/>
      <c r="BW2971" s="50"/>
      <c r="BX2971" s="54"/>
      <c r="BY2971" s="14"/>
      <c r="BZ2971" s="14"/>
      <c r="CA2971" s="14"/>
      <c r="CB2971" s="14"/>
      <c r="CC2971" s="14"/>
      <c r="CD2971" s="14"/>
      <c r="CE2971" s="14"/>
      <c r="CF2971" s="15"/>
      <c r="CG2971" s="14"/>
      <c r="CH2971" s="14"/>
      <c r="CI2971" s="50"/>
      <c r="CJ2971" s="54"/>
      <c r="CK2971" s="14"/>
      <c r="CL2971" s="14"/>
      <c r="CM2971" s="14"/>
      <c r="CN2971" s="14"/>
      <c r="CO2971" s="14"/>
      <c r="CP2971" s="14"/>
      <c r="CQ2971" s="14"/>
      <c r="CR2971" s="14"/>
      <c r="CS2971" s="14"/>
      <c r="CT2971" s="14"/>
      <c r="CU2971" s="16"/>
      <c r="CV2971" s="14"/>
      <c r="CW2971" s="50"/>
      <c r="CX2971" s="17"/>
    </row>
    <row r="2972" spans="74:102" x14ac:dyDescent="0.25">
      <c r="BV2972" s="14"/>
      <c r="BW2972" s="50"/>
      <c r="BX2972" s="54"/>
      <c r="BY2972" s="14"/>
      <c r="BZ2972" s="14"/>
      <c r="CA2972" s="14"/>
      <c r="CB2972" s="14"/>
      <c r="CC2972" s="14"/>
      <c r="CD2972" s="14"/>
      <c r="CE2972" s="14"/>
      <c r="CF2972" s="15"/>
      <c r="CG2972" s="14"/>
      <c r="CH2972" s="14"/>
      <c r="CI2972" s="50"/>
      <c r="CJ2972" s="54"/>
      <c r="CK2972" s="14"/>
      <c r="CL2972" s="14"/>
      <c r="CM2972" s="14"/>
      <c r="CN2972" s="14"/>
      <c r="CO2972" s="14"/>
      <c r="CP2972" s="14"/>
      <c r="CQ2972" s="14"/>
      <c r="CR2972" s="14"/>
      <c r="CS2972" s="14"/>
      <c r="CT2972" s="14"/>
      <c r="CU2972" s="16"/>
      <c r="CV2972" s="14"/>
      <c r="CW2972" s="50"/>
      <c r="CX2972" s="17"/>
    </row>
    <row r="2973" spans="74:102" x14ac:dyDescent="0.25">
      <c r="BV2973" s="14"/>
      <c r="BW2973" s="50"/>
      <c r="BX2973" s="54"/>
      <c r="BY2973" s="14"/>
      <c r="BZ2973" s="14"/>
      <c r="CA2973" s="14"/>
      <c r="CB2973" s="14"/>
      <c r="CC2973" s="14"/>
      <c r="CD2973" s="14"/>
      <c r="CE2973" s="14"/>
      <c r="CF2973" s="15"/>
      <c r="CG2973" s="14"/>
      <c r="CH2973" s="14"/>
      <c r="CI2973" s="50"/>
      <c r="CJ2973" s="54"/>
      <c r="CK2973" s="14"/>
      <c r="CL2973" s="14"/>
      <c r="CM2973" s="14"/>
      <c r="CN2973" s="14"/>
      <c r="CO2973" s="14"/>
      <c r="CP2973" s="14"/>
      <c r="CQ2973" s="14"/>
      <c r="CR2973" s="14"/>
      <c r="CS2973" s="14"/>
      <c r="CT2973" s="14"/>
      <c r="CU2973" s="16"/>
      <c r="CV2973" s="14"/>
      <c r="CW2973" s="50"/>
      <c r="CX2973" s="17"/>
    </row>
    <row r="2974" spans="74:102" x14ac:dyDescent="0.25">
      <c r="BV2974" s="14"/>
      <c r="BW2974" s="50"/>
      <c r="BX2974" s="54"/>
      <c r="BY2974" s="14"/>
      <c r="BZ2974" s="14"/>
      <c r="CA2974" s="14"/>
      <c r="CB2974" s="14"/>
      <c r="CC2974" s="14"/>
      <c r="CD2974" s="14"/>
      <c r="CE2974" s="14"/>
      <c r="CF2974" s="15"/>
      <c r="CG2974" s="14"/>
      <c r="CH2974" s="14"/>
      <c r="CI2974" s="50"/>
      <c r="CJ2974" s="54"/>
      <c r="CK2974" s="14"/>
      <c r="CL2974" s="14"/>
      <c r="CM2974" s="14"/>
      <c r="CN2974" s="14"/>
      <c r="CO2974" s="14"/>
      <c r="CP2974" s="14"/>
      <c r="CQ2974" s="14"/>
      <c r="CR2974" s="14"/>
      <c r="CS2974" s="14"/>
      <c r="CT2974" s="14"/>
      <c r="CU2974" s="16"/>
      <c r="CV2974" s="14"/>
      <c r="CW2974" s="50"/>
      <c r="CX2974" s="17"/>
    </row>
    <row r="2975" spans="74:102" x14ac:dyDescent="0.25">
      <c r="BV2975" s="14"/>
      <c r="BW2975" s="50"/>
      <c r="BX2975" s="54"/>
      <c r="BY2975" s="14"/>
      <c r="BZ2975" s="14"/>
      <c r="CA2975" s="14"/>
      <c r="CB2975" s="14"/>
      <c r="CC2975" s="14"/>
      <c r="CD2975" s="14"/>
      <c r="CE2975" s="14"/>
      <c r="CF2975" s="15"/>
      <c r="CG2975" s="14"/>
      <c r="CH2975" s="14"/>
      <c r="CI2975" s="50"/>
      <c r="CJ2975" s="54"/>
      <c r="CK2975" s="14"/>
      <c r="CL2975" s="14"/>
      <c r="CM2975" s="14"/>
      <c r="CN2975" s="14"/>
      <c r="CO2975" s="14"/>
      <c r="CP2975" s="14"/>
      <c r="CQ2975" s="14"/>
      <c r="CR2975" s="14"/>
      <c r="CS2975" s="14"/>
      <c r="CT2975" s="14"/>
      <c r="CU2975" s="16"/>
      <c r="CV2975" s="14"/>
      <c r="CW2975" s="50"/>
      <c r="CX2975" s="17"/>
    </row>
    <row r="2976" spans="74:102" x14ac:dyDescent="0.25">
      <c r="BV2976" s="14"/>
      <c r="BW2976" s="50"/>
      <c r="BX2976" s="54"/>
      <c r="BY2976" s="14"/>
      <c r="BZ2976" s="14"/>
      <c r="CA2976" s="14"/>
      <c r="CB2976" s="14"/>
      <c r="CC2976" s="14"/>
      <c r="CD2976" s="14"/>
      <c r="CE2976" s="14"/>
      <c r="CF2976" s="15"/>
      <c r="CG2976" s="14"/>
      <c r="CH2976" s="14"/>
      <c r="CI2976" s="50"/>
      <c r="CJ2976" s="54"/>
      <c r="CK2976" s="14"/>
      <c r="CL2976" s="14"/>
      <c r="CM2976" s="14"/>
      <c r="CN2976" s="14"/>
      <c r="CO2976" s="14"/>
      <c r="CP2976" s="14"/>
      <c r="CQ2976" s="14"/>
      <c r="CR2976" s="14"/>
      <c r="CS2976" s="14"/>
      <c r="CT2976" s="14"/>
      <c r="CU2976" s="16"/>
      <c r="CV2976" s="14"/>
      <c r="CW2976" s="50"/>
      <c r="CX2976" s="17"/>
    </row>
    <row r="2977" spans="74:102" x14ac:dyDescent="0.25">
      <c r="BV2977" s="14"/>
      <c r="BW2977" s="50"/>
      <c r="BX2977" s="54"/>
      <c r="BY2977" s="14"/>
      <c r="BZ2977" s="14"/>
      <c r="CA2977" s="14"/>
      <c r="CB2977" s="14"/>
      <c r="CC2977" s="14"/>
      <c r="CD2977" s="14"/>
      <c r="CE2977" s="14"/>
      <c r="CF2977" s="15"/>
      <c r="CG2977" s="14"/>
      <c r="CH2977" s="14"/>
      <c r="CI2977" s="50"/>
      <c r="CJ2977" s="54"/>
      <c r="CK2977" s="14"/>
      <c r="CL2977" s="14"/>
      <c r="CM2977" s="14"/>
      <c r="CN2977" s="14"/>
      <c r="CO2977" s="14"/>
      <c r="CP2977" s="14"/>
      <c r="CQ2977" s="14"/>
      <c r="CR2977" s="14"/>
      <c r="CS2977" s="14"/>
      <c r="CT2977" s="14"/>
      <c r="CU2977" s="16"/>
      <c r="CV2977" s="14"/>
      <c r="CW2977" s="50"/>
      <c r="CX2977" s="17"/>
    </row>
    <row r="2978" spans="74:102" x14ac:dyDescent="0.25">
      <c r="BV2978" s="14"/>
      <c r="BW2978" s="50"/>
      <c r="BX2978" s="54"/>
      <c r="BY2978" s="14"/>
      <c r="BZ2978" s="14"/>
      <c r="CA2978" s="14"/>
      <c r="CB2978" s="14"/>
      <c r="CC2978" s="14"/>
      <c r="CD2978" s="14"/>
      <c r="CE2978" s="14"/>
      <c r="CF2978" s="15"/>
      <c r="CG2978" s="14"/>
      <c r="CH2978" s="14"/>
      <c r="CI2978" s="50"/>
      <c r="CJ2978" s="54"/>
      <c r="CK2978" s="14"/>
      <c r="CL2978" s="14"/>
      <c r="CM2978" s="14"/>
      <c r="CN2978" s="14"/>
      <c r="CO2978" s="14"/>
      <c r="CP2978" s="14"/>
      <c r="CQ2978" s="14"/>
      <c r="CR2978" s="14"/>
      <c r="CS2978" s="14"/>
      <c r="CT2978" s="14"/>
      <c r="CU2978" s="16"/>
      <c r="CV2978" s="14"/>
      <c r="CW2978" s="50"/>
      <c r="CX2978" s="17"/>
    </row>
    <row r="2979" spans="74:102" x14ac:dyDescent="0.25">
      <c r="BV2979" s="14"/>
      <c r="BW2979" s="50"/>
      <c r="BX2979" s="54"/>
      <c r="BY2979" s="14"/>
      <c r="BZ2979" s="14"/>
      <c r="CA2979" s="14"/>
      <c r="CB2979" s="14"/>
      <c r="CC2979" s="14"/>
      <c r="CD2979" s="14"/>
      <c r="CE2979" s="14"/>
      <c r="CF2979" s="15"/>
      <c r="CG2979" s="14"/>
      <c r="CH2979" s="14"/>
      <c r="CI2979" s="50"/>
      <c r="CJ2979" s="54"/>
      <c r="CK2979" s="14"/>
      <c r="CL2979" s="14"/>
      <c r="CM2979" s="14"/>
      <c r="CN2979" s="14"/>
      <c r="CO2979" s="14"/>
      <c r="CP2979" s="14"/>
      <c r="CQ2979" s="14"/>
      <c r="CR2979" s="14"/>
      <c r="CS2979" s="14"/>
      <c r="CT2979" s="14"/>
      <c r="CU2979" s="16"/>
      <c r="CV2979" s="14"/>
      <c r="CW2979" s="50"/>
      <c r="CX2979" s="17"/>
    </row>
    <row r="2980" spans="74:102" x14ac:dyDescent="0.25">
      <c r="BV2980" s="14"/>
      <c r="BW2980" s="50"/>
      <c r="BX2980" s="54"/>
      <c r="BY2980" s="14"/>
      <c r="BZ2980" s="14"/>
      <c r="CA2980" s="14"/>
      <c r="CB2980" s="14"/>
      <c r="CC2980" s="14"/>
      <c r="CD2980" s="14"/>
      <c r="CE2980" s="14"/>
      <c r="CF2980" s="15"/>
      <c r="CG2980" s="14"/>
      <c r="CH2980" s="14"/>
      <c r="CI2980" s="50"/>
      <c r="CJ2980" s="54"/>
      <c r="CK2980" s="14"/>
      <c r="CL2980" s="14"/>
      <c r="CM2980" s="14"/>
      <c r="CN2980" s="14"/>
      <c r="CO2980" s="14"/>
      <c r="CP2980" s="14"/>
      <c r="CQ2980" s="14"/>
      <c r="CR2980" s="14"/>
      <c r="CS2980" s="14"/>
      <c r="CT2980" s="14"/>
      <c r="CU2980" s="16"/>
      <c r="CV2980" s="14"/>
      <c r="CW2980" s="50"/>
      <c r="CX2980" s="17"/>
    </row>
    <row r="2981" spans="74:102" x14ac:dyDescent="0.25">
      <c r="BV2981" s="14"/>
      <c r="BW2981" s="50"/>
      <c r="BX2981" s="54"/>
      <c r="BY2981" s="14"/>
      <c r="BZ2981" s="14"/>
      <c r="CA2981" s="14"/>
      <c r="CB2981" s="14"/>
      <c r="CC2981" s="14"/>
      <c r="CD2981" s="14"/>
      <c r="CE2981" s="14"/>
      <c r="CF2981" s="15"/>
      <c r="CG2981" s="14"/>
      <c r="CH2981" s="14"/>
      <c r="CI2981" s="50"/>
      <c r="CJ2981" s="54"/>
      <c r="CK2981" s="14"/>
      <c r="CL2981" s="14"/>
      <c r="CM2981" s="14"/>
      <c r="CN2981" s="14"/>
      <c r="CO2981" s="14"/>
      <c r="CP2981" s="14"/>
      <c r="CQ2981" s="14"/>
      <c r="CR2981" s="14"/>
      <c r="CS2981" s="14"/>
      <c r="CT2981" s="14"/>
      <c r="CU2981" s="16"/>
      <c r="CV2981" s="14"/>
      <c r="CW2981" s="50"/>
      <c r="CX2981" s="17"/>
    </row>
    <row r="2982" spans="74:102" x14ac:dyDescent="0.25">
      <c r="BV2982" s="14"/>
      <c r="BW2982" s="50"/>
      <c r="BX2982" s="54"/>
      <c r="BY2982" s="14"/>
      <c r="BZ2982" s="14"/>
      <c r="CA2982" s="14"/>
      <c r="CB2982" s="14"/>
      <c r="CC2982" s="14"/>
      <c r="CD2982" s="14"/>
      <c r="CE2982" s="14"/>
      <c r="CF2982" s="15"/>
      <c r="CG2982" s="14"/>
      <c r="CH2982" s="14"/>
      <c r="CI2982" s="50"/>
      <c r="CJ2982" s="54"/>
      <c r="CK2982" s="14"/>
      <c r="CL2982" s="14"/>
      <c r="CM2982" s="14"/>
      <c r="CN2982" s="14"/>
      <c r="CO2982" s="14"/>
      <c r="CP2982" s="14"/>
      <c r="CQ2982" s="14"/>
      <c r="CR2982" s="14"/>
      <c r="CS2982" s="14"/>
      <c r="CT2982" s="14"/>
      <c r="CU2982" s="16"/>
      <c r="CV2982" s="14"/>
      <c r="CW2982" s="50"/>
      <c r="CX2982" s="17"/>
    </row>
    <row r="2983" spans="74:102" x14ac:dyDescent="0.25">
      <c r="BV2983" s="14"/>
      <c r="BW2983" s="50"/>
      <c r="BX2983" s="54"/>
      <c r="BY2983" s="14"/>
      <c r="BZ2983" s="14"/>
      <c r="CA2983" s="14"/>
      <c r="CB2983" s="14"/>
      <c r="CC2983" s="14"/>
      <c r="CD2983" s="14"/>
      <c r="CE2983" s="14"/>
      <c r="CF2983" s="15"/>
      <c r="CG2983" s="14"/>
      <c r="CH2983" s="14"/>
      <c r="CI2983" s="50"/>
      <c r="CJ2983" s="54"/>
      <c r="CK2983" s="14"/>
      <c r="CL2983" s="14"/>
      <c r="CM2983" s="14"/>
      <c r="CN2983" s="14"/>
      <c r="CO2983" s="14"/>
      <c r="CP2983" s="14"/>
      <c r="CQ2983" s="14"/>
      <c r="CR2983" s="14"/>
      <c r="CS2983" s="14"/>
      <c r="CT2983" s="14"/>
      <c r="CU2983" s="16"/>
      <c r="CV2983" s="14"/>
      <c r="CW2983" s="50"/>
      <c r="CX2983" s="17"/>
    </row>
    <row r="2984" spans="74:102" x14ac:dyDescent="0.25">
      <c r="BV2984" s="14"/>
      <c r="BW2984" s="50"/>
      <c r="BX2984" s="54"/>
      <c r="BY2984" s="14"/>
      <c r="BZ2984" s="14"/>
      <c r="CA2984" s="14"/>
      <c r="CB2984" s="14"/>
      <c r="CC2984" s="14"/>
      <c r="CD2984" s="14"/>
      <c r="CE2984" s="14"/>
      <c r="CF2984" s="15"/>
      <c r="CG2984" s="14"/>
      <c r="CH2984" s="14"/>
      <c r="CI2984" s="50"/>
      <c r="CJ2984" s="54"/>
      <c r="CK2984" s="14"/>
      <c r="CL2984" s="14"/>
      <c r="CM2984" s="14"/>
      <c r="CN2984" s="14"/>
      <c r="CO2984" s="14"/>
      <c r="CP2984" s="14"/>
      <c r="CQ2984" s="14"/>
      <c r="CR2984" s="14"/>
      <c r="CS2984" s="14"/>
      <c r="CT2984" s="14"/>
      <c r="CU2984" s="16"/>
      <c r="CV2984" s="14"/>
      <c r="CW2984" s="50"/>
      <c r="CX2984" s="17"/>
    </row>
    <row r="2985" spans="74:102" x14ac:dyDescent="0.25">
      <c r="BV2985" s="14"/>
      <c r="BW2985" s="50"/>
      <c r="BX2985" s="54"/>
      <c r="BY2985" s="14"/>
      <c r="BZ2985" s="14"/>
      <c r="CA2985" s="14"/>
      <c r="CB2985" s="14"/>
      <c r="CC2985" s="14"/>
      <c r="CD2985" s="14"/>
      <c r="CE2985" s="14"/>
      <c r="CF2985" s="15"/>
      <c r="CG2985" s="14"/>
      <c r="CH2985" s="14"/>
      <c r="CI2985" s="50"/>
      <c r="CJ2985" s="54"/>
      <c r="CK2985" s="14"/>
      <c r="CL2985" s="14"/>
      <c r="CM2985" s="14"/>
      <c r="CN2985" s="14"/>
      <c r="CO2985" s="14"/>
      <c r="CP2985" s="14"/>
      <c r="CQ2985" s="14"/>
      <c r="CR2985" s="14"/>
      <c r="CS2985" s="14"/>
      <c r="CT2985" s="14"/>
      <c r="CU2985" s="16"/>
      <c r="CV2985" s="14"/>
      <c r="CW2985" s="50"/>
      <c r="CX2985" s="17"/>
    </row>
    <row r="2986" spans="74:102" x14ac:dyDescent="0.25">
      <c r="BV2986" s="14"/>
      <c r="BW2986" s="50"/>
      <c r="BX2986" s="54"/>
      <c r="BY2986" s="14"/>
      <c r="BZ2986" s="14"/>
      <c r="CA2986" s="14"/>
      <c r="CB2986" s="14"/>
      <c r="CC2986" s="14"/>
      <c r="CD2986" s="14"/>
      <c r="CE2986" s="14"/>
      <c r="CF2986" s="15"/>
      <c r="CG2986" s="14"/>
      <c r="CH2986" s="14"/>
      <c r="CI2986" s="50"/>
      <c r="CJ2986" s="54"/>
      <c r="CK2986" s="14"/>
      <c r="CL2986" s="14"/>
      <c r="CM2986" s="14"/>
      <c r="CN2986" s="14"/>
      <c r="CO2986" s="14"/>
      <c r="CP2986" s="14"/>
      <c r="CQ2986" s="14"/>
      <c r="CR2986" s="14"/>
      <c r="CS2986" s="14"/>
      <c r="CT2986" s="14"/>
      <c r="CU2986" s="16"/>
      <c r="CV2986" s="14"/>
      <c r="CW2986" s="50"/>
      <c r="CX2986" s="17"/>
    </row>
    <row r="2987" spans="74:102" x14ac:dyDescent="0.25">
      <c r="BV2987" s="14"/>
      <c r="BW2987" s="50"/>
      <c r="BX2987" s="54"/>
      <c r="BY2987" s="14"/>
      <c r="BZ2987" s="14"/>
      <c r="CA2987" s="14"/>
      <c r="CB2987" s="14"/>
      <c r="CC2987" s="14"/>
      <c r="CD2987" s="14"/>
      <c r="CE2987" s="14"/>
      <c r="CF2987" s="15"/>
      <c r="CG2987" s="14"/>
      <c r="CH2987" s="14"/>
      <c r="CI2987" s="50"/>
      <c r="CJ2987" s="54"/>
      <c r="CK2987" s="14"/>
      <c r="CL2987" s="14"/>
      <c r="CM2987" s="14"/>
      <c r="CN2987" s="14"/>
      <c r="CO2987" s="14"/>
      <c r="CP2987" s="14"/>
      <c r="CQ2987" s="14"/>
      <c r="CR2987" s="14"/>
      <c r="CS2987" s="14"/>
      <c r="CT2987" s="14"/>
      <c r="CU2987" s="16"/>
      <c r="CV2987" s="14"/>
      <c r="CW2987" s="50"/>
      <c r="CX2987" s="17"/>
    </row>
    <row r="2988" spans="74:102" x14ac:dyDescent="0.25">
      <c r="BV2988" s="14"/>
      <c r="BW2988" s="50"/>
      <c r="BX2988" s="54"/>
      <c r="BY2988" s="14"/>
      <c r="BZ2988" s="14"/>
      <c r="CA2988" s="14"/>
      <c r="CB2988" s="14"/>
      <c r="CC2988" s="14"/>
      <c r="CD2988" s="14"/>
      <c r="CE2988" s="14"/>
      <c r="CF2988" s="15"/>
      <c r="CG2988" s="14"/>
      <c r="CH2988" s="14"/>
      <c r="CI2988" s="50"/>
      <c r="CJ2988" s="54"/>
      <c r="CK2988" s="14"/>
      <c r="CL2988" s="14"/>
      <c r="CM2988" s="14"/>
      <c r="CN2988" s="14"/>
      <c r="CO2988" s="14"/>
      <c r="CP2988" s="14"/>
      <c r="CQ2988" s="14"/>
      <c r="CR2988" s="14"/>
      <c r="CS2988" s="14"/>
      <c r="CT2988" s="14"/>
      <c r="CU2988" s="16"/>
      <c r="CV2988" s="14"/>
      <c r="CW2988" s="50"/>
      <c r="CX2988" s="17"/>
    </row>
    <row r="2989" spans="74:102" x14ac:dyDescent="0.25">
      <c r="BV2989" s="14"/>
      <c r="BW2989" s="50"/>
      <c r="BX2989" s="54"/>
      <c r="BY2989" s="14"/>
      <c r="BZ2989" s="14"/>
      <c r="CA2989" s="14"/>
      <c r="CB2989" s="14"/>
      <c r="CC2989" s="14"/>
      <c r="CD2989" s="14"/>
      <c r="CE2989" s="14"/>
      <c r="CF2989" s="15"/>
      <c r="CG2989" s="14"/>
      <c r="CH2989" s="14"/>
      <c r="CI2989" s="50"/>
      <c r="CJ2989" s="54"/>
      <c r="CK2989" s="14"/>
      <c r="CL2989" s="14"/>
      <c r="CM2989" s="14"/>
      <c r="CN2989" s="14"/>
      <c r="CO2989" s="14"/>
      <c r="CP2989" s="14"/>
      <c r="CQ2989" s="14"/>
      <c r="CR2989" s="14"/>
      <c r="CS2989" s="14"/>
      <c r="CT2989" s="14"/>
      <c r="CU2989" s="16"/>
      <c r="CV2989" s="14"/>
      <c r="CW2989" s="50"/>
      <c r="CX2989" s="17"/>
    </row>
    <row r="2990" spans="74:102" x14ac:dyDescent="0.25">
      <c r="BV2990" s="14"/>
      <c r="BW2990" s="50"/>
      <c r="BX2990" s="54"/>
      <c r="BY2990" s="14"/>
      <c r="BZ2990" s="14"/>
      <c r="CA2990" s="14"/>
      <c r="CB2990" s="14"/>
      <c r="CC2990" s="14"/>
      <c r="CD2990" s="14"/>
      <c r="CE2990" s="14"/>
      <c r="CF2990" s="15"/>
      <c r="CG2990" s="14"/>
      <c r="CH2990" s="14"/>
      <c r="CI2990" s="50"/>
      <c r="CJ2990" s="54"/>
      <c r="CK2990" s="14"/>
      <c r="CL2990" s="14"/>
      <c r="CM2990" s="14"/>
      <c r="CN2990" s="14"/>
      <c r="CO2990" s="14"/>
      <c r="CP2990" s="14"/>
      <c r="CQ2990" s="14"/>
      <c r="CR2990" s="14"/>
      <c r="CS2990" s="14"/>
      <c r="CT2990" s="14"/>
      <c r="CU2990" s="16"/>
      <c r="CV2990" s="14"/>
      <c r="CW2990" s="50"/>
      <c r="CX2990" s="17"/>
    </row>
    <row r="2991" spans="74:102" x14ac:dyDescent="0.25">
      <c r="BV2991" s="14"/>
      <c r="BW2991" s="50"/>
      <c r="BX2991" s="54"/>
      <c r="BY2991" s="14"/>
      <c r="BZ2991" s="14"/>
      <c r="CA2991" s="14"/>
      <c r="CB2991" s="14"/>
      <c r="CC2991" s="14"/>
      <c r="CD2991" s="14"/>
      <c r="CE2991" s="14"/>
      <c r="CF2991" s="15"/>
      <c r="CG2991" s="14"/>
      <c r="CH2991" s="14"/>
      <c r="CI2991" s="50"/>
      <c r="CJ2991" s="54"/>
      <c r="CK2991" s="14"/>
      <c r="CL2991" s="14"/>
      <c r="CM2991" s="14"/>
      <c r="CN2991" s="14"/>
      <c r="CO2991" s="14"/>
      <c r="CP2991" s="14"/>
      <c r="CQ2991" s="14"/>
      <c r="CR2991" s="14"/>
      <c r="CS2991" s="14"/>
      <c r="CT2991" s="14"/>
      <c r="CU2991" s="16"/>
      <c r="CV2991" s="14"/>
      <c r="CW2991" s="50"/>
      <c r="CX2991" s="17"/>
    </row>
    <row r="2992" spans="74:102" x14ac:dyDescent="0.25">
      <c r="BV2992" s="14"/>
      <c r="BW2992" s="50"/>
      <c r="BX2992" s="54"/>
      <c r="BY2992" s="14"/>
      <c r="BZ2992" s="14"/>
      <c r="CA2992" s="14"/>
      <c r="CB2992" s="14"/>
      <c r="CC2992" s="14"/>
      <c r="CD2992" s="14"/>
      <c r="CE2992" s="14"/>
      <c r="CF2992" s="15"/>
      <c r="CG2992" s="14"/>
      <c r="CH2992" s="14"/>
      <c r="CI2992" s="50"/>
      <c r="CJ2992" s="54"/>
      <c r="CK2992" s="14"/>
      <c r="CL2992" s="14"/>
      <c r="CM2992" s="14"/>
      <c r="CN2992" s="14"/>
      <c r="CO2992" s="14"/>
      <c r="CP2992" s="14"/>
      <c r="CQ2992" s="14"/>
      <c r="CR2992" s="14"/>
      <c r="CS2992" s="14"/>
      <c r="CT2992" s="14"/>
      <c r="CU2992" s="16"/>
      <c r="CV2992" s="14"/>
      <c r="CW2992" s="50"/>
      <c r="CX2992" s="17"/>
    </row>
    <row r="2993" spans="74:102" x14ac:dyDescent="0.25">
      <c r="BV2993" s="14"/>
      <c r="BW2993" s="50"/>
      <c r="BX2993" s="54"/>
      <c r="BY2993" s="14"/>
      <c r="BZ2993" s="14"/>
      <c r="CA2993" s="14"/>
      <c r="CB2993" s="14"/>
      <c r="CC2993" s="14"/>
      <c r="CD2993" s="14"/>
      <c r="CE2993" s="14"/>
      <c r="CF2993" s="15"/>
      <c r="CG2993" s="14"/>
      <c r="CH2993" s="14"/>
      <c r="CI2993" s="50"/>
      <c r="CJ2993" s="54"/>
      <c r="CK2993" s="14"/>
      <c r="CL2993" s="14"/>
      <c r="CM2993" s="14"/>
      <c r="CN2993" s="14"/>
      <c r="CO2993" s="14"/>
      <c r="CP2993" s="14"/>
      <c r="CQ2993" s="14"/>
      <c r="CR2993" s="14"/>
      <c r="CS2993" s="14"/>
      <c r="CT2993" s="14"/>
      <c r="CU2993" s="16"/>
      <c r="CV2993" s="14"/>
      <c r="CW2993" s="50"/>
      <c r="CX2993" s="17"/>
    </row>
    <row r="2994" spans="74:102" x14ac:dyDescent="0.25">
      <c r="BV2994" s="14"/>
      <c r="BW2994" s="50"/>
      <c r="BX2994" s="54"/>
      <c r="BY2994" s="14"/>
      <c r="BZ2994" s="14"/>
      <c r="CA2994" s="14"/>
      <c r="CB2994" s="14"/>
      <c r="CC2994" s="14"/>
      <c r="CD2994" s="14"/>
      <c r="CE2994" s="14"/>
      <c r="CF2994" s="15"/>
      <c r="CG2994" s="14"/>
      <c r="CH2994" s="14"/>
      <c r="CI2994" s="50"/>
      <c r="CJ2994" s="54"/>
      <c r="CK2994" s="14"/>
      <c r="CL2994" s="14"/>
      <c r="CM2994" s="14"/>
      <c r="CN2994" s="14"/>
      <c r="CO2994" s="14"/>
      <c r="CP2994" s="14"/>
      <c r="CQ2994" s="14"/>
      <c r="CR2994" s="14"/>
      <c r="CS2994" s="14"/>
      <c r="CT2994" s="14"/>
      <c r="CU2994" s="16"/>
      <c r="CV2994" s="14"/>
      <c r="CW2994" s="50"/>
      <c r="CX2994" s="17"/>
    </row>
    <row r="2995" spans="74:102" x14ac:dyDescent="0.25">
      <c r="BV2995" s="14"/>
      <c r="BW2995" s="50"/>
      <c r="BX2995" s="54"/>
      <c r="BY2995" s="14"/>
      <c r="BZ2995" s="14"/>
      <c r="CA2995" s="14"/>
      <c r="CB2995" s="14"/>
      <c r="CC2995" s="14"/>
      <c r="CD2995" s="14"/>
      <c r="CE2995" s="14"/>
      <c r="CF2995" s="15"/>
      <c r="CG2995" s="14"/>
      <c r="CH2995" s="14"/>
      <c r="CI2995" s="50"/>
      <c r="CJ2995" s="54"/>
      <c r="CK2995" s="14"/>
      <c r="CL2995" s="14"/>
      <c r="CM2995" s="14"/>
      <c r="CN2995" s="14"/>
      <c r="CO2995" s="14"/>
      <c r="CP2995" s="14"/>
      <c r="CQ2995" s="14"/>
      <c r="CR2995" s="14"/>
      <c r="CS2995" s="14"/>
      <c r="CT2995" s="14"/>
      <c r="CU2995" s="16"/>
      <c r="CV2995" s="14"/>
      <c r="CW2995" s="50"/>
      <c r="CX2995" s="17"/>
    </row>
    <row r="2996" spans="74:102" x14ac:dyDescent="0.25">
      <c r="BV2996" s="14"/>
      <c r="BW2996" s="50"/>
      <c r="BX2996" s="54"/>
      <c r="BY2996" s="14"/>
      <c r="BZ2996" s="14"/>
      <c r="CA2996" s="14"/>
      <c r="CB2996" s="14"/>
      <c r="CC2996" s="14"/>
      <c r="CD2996" s="14"/>
      <c r="CE2996" s="14"/>
      <c r="CF2996" s="15"/>
      <c r="CG2996" s="14"/>
      <c r="CH2996" s="14"/>
      <c r="CI2996" s="50"/>
      <c r="CJ2996" s="54"/>
      <c r="CK2996" s="14"/>
      <c r="CL2996" s="14"/>
      <c r="CM2996" s="14"/>
      <c r="CN2996" s="14"/>
      <c r="CO2996" s="14"/>
      <c r="CP2996" s="14"/>
      <c r="CQ2996" s="14"/>
      <c r="CR2996" s="14"/>
      <c r="CS2996" s="14"/>
      <c r="CT2996" s="14"/>
      <c r="CU2996" s="16"/>
      <c r="CV2996" s="14"/>
      <c r="CW2996" s="50"/>
      <c r="CX2996" s="17"/>
    </row>
    <row r="2997" spans="74:102" x14ac:dyDescent="0.25">
      <c r="BV2997" s="14"/>
      <c r="BW2997" s="50"/>
      <c r="BX2997" s="54"/>
      <c r="BY2997" s="14"/>
      <c r="BZ2997" s="14"/>
      <c r="CA2997" s="14"/>
      <c r="CB2997" s="14"/>
      <c r="CC2997" s="14"/>
      <c r="CD2997" s="14"/>
      <c r="CE2997" s="14"/>
      <c r="CF2997" s="15"/>
      <c r="CG2997" s="14"/>
      <c r="CH2997" s="14"/>
      <c r="CI2997" s="50"/>
      <c r="CJ2997" s="54"/>
      <c r="CK2997" s="14"/>
      <c r="CL2997" s="14"/>
      <c r="CM2997" s="14"/>
      <c r="CN2997" s="14"/>
      <c r="CO2997" s="14"/>
      <c r="CP2997" s="14"/>
      <c r="CQ2997" s="14"/>
      <c r="CR2997" s="14"/>
      <c r="CS2997" s="14"/>
      <c r="CT2997" s="14"/>
      <c r="CU2997" s="16"/>
      <c r="CV2997" s="14"/>
      <c r="CW2997" s="50"/>
      <c r="CX2997" s="17"/>
    </row>
    <row r="2998" spans="74:102" x14ac:dyDescent="0.25">
      <c r="BV2998" s="14"/>
      <c r="BW2998" s="50"/>
      <c r="BX2998" s="54"/>
      <c r="BY2998" s="14"/>
      <c r="BZ2998" s="14"/>
      <c r="CA2998" s="14"/>
      <c r="CB2998" s="14"/>
      <c r="CC2998" s="14"/>
      <c r="CD2998" s="14"/>
      <c r="CE2998" s="14"/>
      <c r="CF2998" s="15"/>
      <c r="CG2998" s="14"/>
      <c r="CH2998" s="14"/>
      <c r="CI2998" s="50"/>
      <c r="CJ2998" s="54"/>
      <c r="CK2998" s="14"/>
      <c r="CL2998" s="14"/>
      <c r="CM2998" s="14"/>
      <c r="CN2998" s="14"/>
      <c r="CO2998" s="14"/>
      <c r="CP2998" s="14"/>
      <c r="CQ2998" s="14"/>
      <c r="CR2998" s="14"/>
      <c r="CS2998" s="14"/>
      <c r="CT2998" s="14"/>
      <c r="CU2998" s="16"/>
      <c r="CV2998" s="14"/>
      <c r="CW2998" s="50"/>
      <c r="CX2998" s="17"/>
    </row>
    <row r="2999" spans="74:102" x14ac:dyDescent="0.25">
      <c r="BV2999" s="14"/>
      <c r="BW2999" s="50"/>
      <c r="BX2999" s="54"/>
      <c r="BY2999" s="14"/>
      <c r="BZ2999" s="14"/>
      <c r="CA2999" s="14"/>
      <c r="CB2999" s="14"/>
      <c r="CC2999" s="14"/>
      <c r="CD2999" s="14"/>
      <c r="CE2999" s="14"/>
      <c r="CF2999" s="15"/>
      <c r="CG2999" s="14"/>
      <c r="CH2999" s="14"/>
      <c r="CI2999" s="50"/>
      <c r="CJ2999" s="54"/>
      <c r="CK2999" s="14"/>
      <c r="CL2999" s="14"/>
      <c r="CM2999" s="14"/>
      <c r="CN2999" s="14"/>
      <c r="CO2999" s="14"/>
      <c r="CP2999" s="14"/>
      <c r="CQ2999" s="14"/>
      <c r="CR2999" s="14"/>
      <c r="CS2999" s="14"/>
      <c r="CT2999" s="14"/>
      <c r="CU2999" s="16"/>
      <c r="CV2999" s="14"/>
      <c r="CW2999" s="50"/>
      <c r="CX2999" s="17"/>
    </row>
    <row r="3000" spans="74:102" x14ac:dyDescent="0.25">
      <c r="BV3000" s="14"/>
      <c r="BW3000" s="50"/>
      <c r="BX3000" s="54"/>
      <c r="BY3000" s="14"/>
      <c r="BZ3000" s="14"/>
      <c r="CA3000" s="14"/>
      <c r="CB3000" s="14"/>
      <c r="CC3000" s="14"/>
      <c r="CD3000" s="14"/>
      <c r="CE3000" s="14"/>
      <c r="CF3000" s="15"/>
      <c r="CG3000" s="14"/>
      <c r="CH3000" s="14"/>
      <c r="CI3000" s="50"/>
      <c r="CJ3000" s="54"/>
      <c r="CK3000" s="14"/>
      <c r="CL3000" s="14"/>
      <c r="CM3000" s="14"/>
      <c r="CN3000" s="14"/>
      <c r="CO3000" s="14"/>
      <c r="CP3000" s="14"/>
      <c r="CQ3000" s="14"/>
      <c r="CR3000" s="14"/>
      <c r="CS3000" s="14"/>
      <c r="CT3000" s="14"/>
      <c r="CU3000" s="16"/>
      <c r="CV3000" s="14"/>
      <c r="CW3000" s="50"/>
      <c r="CX3000" s="17"/>
    </row>
    <row r="3001" spans="74:102" x14ac:dyDescent="0.25">
      <c r="BV3001" s="14"/>
      <c r="BW3001" s="50"/>
      <c r="BX3001" s="54"/>
      <c r="BY3001" s="14"/>
      <c r="BZ3001" s="14"/>
      <c r="CA3001" s="14"/>
      <c r="CB3001" s="14"/>
      <c r="CC3001" s="14"/>
      <c r="CD3001" s="14"/>
      <c r="CE3001" s="14"/>
      <c r="CF3001" s="15"/>
      <c r="CG3001" s="14"/>
      <c r="CH3001" s="14"/>
      <c r="CI3001" s="50"/>
      <c r="CJ3001" s="54"/>
      <c r="CK3001" s="14"/>
      <c r="CL3001" s="14"/>
      <c r="CM3001" s="14"/>
      <c r="CN3001" s="14"/>
      <c r="CO3001" s="14"/>
      <c r="CP3001" s="14"/>
      <c r="CQ3001" s="14"/>
      <c r="CR3001" s="14"/>
      <c r="CS3001" s="14"/>
      <c r="CT3001" s="14"/>
      <c r="CU3001" s="16"/>
      <c r="CV3001" s="14"/>
      <c r="CW3001" s="50"/>
      <c r="CX3001" s="17"/>
    </row>
    <row r="3002" spans="74:102" x14ac:dyDescent="0.25">
      <c r="BV3002" s="14"/>
      <c r="BW3002" s="50"/>
      <c r="BX3002" s="54"/>
      <c r="BY3002" s="14"/>
      <c r="BZ3002" s="14"/>
      <c r="CA3002" s="14"/>
      <c r="CB3002" s="14"/>
      <c r="CC3002" s="14"/>
      <c r="CD3002" s="14"/>
      <c r="CE3002" s="14"/>
      <c r="CF3002" s="15"/>
      <c r="CG3002" s="14"/>
      <c r="CH3002" s="14"/>
      <c r="CI3002" s="50"/>
      <c r="CJ3002" s="54"/>
      <c r="CK3002" s="14"/>
      <c r="CL3002" s="14"/>
      <c r="CM3002" s="14"/>
      <c r="CN3002" s="14"/>
      <c r="CO3002" s="14"/>
      <c r="CP3002" s="14"/>
      <c r="CQ3002" s="14"/>
      <c r="CR3002" s="14"/>
      <c r="CS3002" s="14"/>
      <c r="CT3002" s="14"/>
      <c r="CU3002" s="16"/>
      <c r="CV3002" s="14"/>
      <c r="CW3002" s="50"/>
      <c r="CX3002" s="17"/>
    </row>
    <row r="3003" spans="74:102" x14ac:dyDescent="0.25">
      <c r="BV3003" s="14"/>
      <c r="BW3003" s="50"/>
      <c r="BX3003" s="54"/>
      <c r="BY3003" s="14"/>
      <c r="BZ3003" s="14"/>
      <c r="CA3003" s="14"/>
      <c r="CB3003" s="14"/>
      <c r="CC3003" s="14"/>
      <c r="CD3003" s="14"/>
      <c r="CE3003" s="14"/>
      <c r="CF3003" s="15"/>
      <c r="CG3003" s="14"/>
      <c r="CH3003" s="14"/>
      <c r="CI3003" s="50"/>
      <c r="CJ3003" s="54"/>
      <c r="CK3003" s="14"/>
      <c r="CL3003" s="14"/>
      <c r="CM3003" s="14"/>
      <c r="CN3003" s="14"/>
      <c r="CO3003" s="14"/>
      <c r="CP3003" s="14"/>
      <c r="CQ3003" s="14"/>
      <c r="CR3003" s="14"/>
      <c r="CS3003" s="14"/>
      <c r="CT3003" s="14"/>
      <c r="CU3003" s="16"/>
      <c r="CV3003" s="14"/>
      <c r="CW3003" s="50"/>
      <c r="CX3003" s="17"/>
    </row>
    <row r="3004" spans="74:102" x14ac:dyDescent="0.25">
      <c r="BV3004" s="14"/>
      <c r="BW3004" s="50"/>
      <c r="BX3004" s="54"/>
      <c r="BY3004" s="14"/>
      <c r="BZ3004" s="14"/>
      <c r="CA3004" s="14"/>
      <c r="CB3004" s="14"/>
      <c r="CC3004" s="14"/>
      <c r="CD3004" s="14"/>
      <c r="CE3004" s="14"/>
      <c r="CF3004" s="15"/>
      <c r="CG3004" s="14"/>
      <c r="CH3004" s="14"/>
      <c r="CI3004" s="50"/>
      <c r="CJ3004" s="54"/>
      <c r="CK3004" s="14"/>
      <c r="CL3004" s="14"/>
      <c r="CM3004" s="14"/>
      <c r="CN3004" s="14"/>
      <c r="CO3004" s="14"/>
      <c r="CP3004" s="14"/>
      <c r="CQ3004" s="14"/>
      <c r="CR3004" s="14"/>
      <c r="CS3004" s="14"/>
      <c r="CT3004" s="14"/>
      <c r="CU3004" s="16"/>
      <c r="CV3004" s="14"/>
      <c r="CW3004" s="50"/>
      <c r="CX3004" s="17"/>
    </row>
    <row r="3005" spans="74:102" x14ac:dyDescent="0.25">
      <c r="BV3005" s="14"/>
      <c r="BW3005" s="50"/>
      <c r="BX3005" s="54"/>
      <c r="BY3005" s="14"/>
      <c r="BZ3005" s="14"/>
      <c r="CA3005" s="14"/>
      <c r="CB3005" s="14"/>
      <c r="CC3005" s="14"/>
      <c r="CD3005" s="14"/>
      <c r="CE3005" s="14"/>
      <c r="CF3005" s="15"/>
      <c r="CG3005" s="14"/>
      <c r="CH3005" s="14"/>
      <c r="CI3005" s="50"/>
      <c r="CJ3005" s="54"/>
      <c r="CK3005" s="14"/>
      <c r="CL3005" s="14"/>
      <c r="CM3005" s="14"/>
      <c r="CN3005" s="14"/>
      <c r="CO3005" s="14"/>
      <c r="CP3005" s="14"/>
      <c r="CQ3005" s="14"/>
      <c r="CR3005" s="14"/>
      <c r="CS3005" s="14"/>
      <c r="CT3005" s="14"/>
      <c r="CU3005" s="16"/>
      <c r="CV3005" s="14"/>
      <c r="CW3005" s="50"/>
      <c r="CX3005" s="17"/>
    </row>
    <row r="3006" spans="74:102" x14ac:dyDescent="0.25">
      <c r="BV3006" s="14"/>
      <c r="BW3006" s="50"/>
      <c r="BX3006" s="54"/>
      <c r="BY3006" s="14"/>
      <c r="BZ3006" s="14"/>
      <c r="CA3006" s="14"/>
      <c r="CB3006" s="14"/>
      <c r="CC3006" s="14"/>
      <c r="CD3006" s="14"/>
      <c r="CE3006" s="14"/>
      <c r="CF3006" s="15"/>
      <c r="CG3006" s="14"/>
      <c r="CH3006" s="14"/>
      <c r="CI3006" s="50"/>
      <c r="CJ3006" s="54"/>
      <c r="CK3006" s="14"/>
      <c r="CL3006" s="14"/>
      <c r="CM3006" s="14"/>
      <c r="CN3006" s="14"/>
      <c r="CO3006" s="14"/>
      <c r="CP3006" s="14"/>
      <c r="CQ3006" s="14"/>
      <c r="CR3006" s="14"/>
      <c r="CS3006" s="14"/>
      <c r="CT3006" s="14"/>
      <c r="CU3006" s="16"/>
      <c r="CV3006" s="14"/>
      <c r="CW3006" s="50"/>
      <c r="CX3006" s="17"/>
    </row>
    <row r="3007" spans="74:102" x14ac:dyDescent="0.25">
      <c r="BV3007" s="14"/>
      <c r="BW3007" s="50"/>
      <c r="BX3007" s="54"/>
      <c r="BY3007" s="14"/>
      <c r="BZ3007" s="14"/>
      <c r="CA3007" s="14"/>
      <c r="CB3007" s="14"/>
      <c r="CC3007" s="14"/>
      <c r="CD3007" s="14"/>
      <c r="CE3007" s="14"/>
      <c r="CF3007" s="15"/>
      <c r="CG3007" s="14"/>
      <c r="CH3007" s="14"/>
      <c r="CI3007" s="50"/>
      <c r="CJ3007" s="54"/>
      <c r="CK3007" s="14"/>
      <c r="CL3007" s="14"/>
      <c r="CM3007" s="14"/>
      <c r="CN3007" s="14"/>
      <c r="CO3007" s="14"/>
      <c r="CP3007" s="14"/>
      <c r="CQ3007" s="14"/>
      <c r="CR3007" s="14"/>
      <c r="CS3007" s="14"/>
      <c r="CT3007" s="14"/>
      <c r="CU3007" s="16"/>
      <c r="CV3007" s="14"/>
      <c r="CW3007" s="50"/>
      <c r="CX3007" s="17"/>
    </row>
    <row r="3008" spans="74:102" x14ac:dyDescent="0.25">
      <c r="BV3008" s="14"/>
      <c r="BW3008" s="50"/>
      <c r="BX3008" s="54"/>
      <c r="BY3008" s="14"/>
      <c r="BZ3008" s="14"/>
      <c r="CA3008" s="14"/>
      <c r="CB3008" s="14"/>
      <c r="CC3008" s="14"/>
      <c r="CD3008" s="14"/>
      <c r="CE3008" s="14"/>
      <c r="CF3008" s="15"/>
      <c r="CG3008" s="14"/>
      <c r="CH3008" s="14"/>
      <c r="CI3008" s="50"/>
      <c r="CJ3008" s="54"/>
      <c r="CK3008" s="14"/>
      <c r="CL3008" s="14"/>
      <c r="CM3008" s="14"/>
      <c r="CN3008" s="14"/>
      <c r="CO3008" s="14"/>
      <c r="CP3008" s="14"/>
      <c r="CQ3008" s="14"/>
      <c r="CR3008" s="14"/>
      <c r="CS3008" s="14"/>
      <c r="CT3008" s="14"/>
      <c r="CU3008" s="16"/>
      <c r="CV3008" s="14"/>
      <c r="CW3008" s="50"/>
      <c r="CX3008" s="17"/>
    </row>
    <row r="3009" spans="74:102" x14ac:dyDescent="0.25">
      <c r="BV3009" s="14"/>
      <c r="BW3009" s="50"/>
      <c r="BX3009" s="54"/>
      <c r="BY3009" s="14"/>
      <c r="BZ3009" s="14"/>
      <c r="CA3009" s="14"/>
      <c r="CB3009" s="14"/>
      <c r="CC3009" s="14"/>
      <c r="CD3009" s="14"/>
      <c r="CE3009" s="14"/>
      <c r="CF3009" s="15"/>
      <c r="CG3009" s="14"/>
      <c r="CH3009" s="14"/>
      <c r="CI3009" s="50"/>
      <c r="CJ3009" s="54"/>
      <c r="CK3009" s="14"/>
      <c r="CL3009" s="14"/>
      <c r="CM3009" s="14"/>
      <c r="CN3009" s="14"/>
      <c r="CO3009" s="14"/>
      <c r="CP3009" s="14"/>
      <c r="CQ3009" s="14"/>
      <c r="CR3009" s="14"/>
      <c r="CS3009" s="14"/>
      <c r="CT3009" s="14"/>
      <c r="CU3009" s="16"/>
      <c r="CV3009" s="14"/>
      <c r="CW3009" s="50"/>
      <c r="CX3009" s="17"/>
    </row>
    <row r="3010" spans="74:102" x14ac:dyDescent="0.25">
      <c r="BV3010" s="14"/>
      <c r="BW3010" s="50"/>
      <c r="BX3010" s="54"/>
      <c r="BY3010" s="14"/>
      <c r="BZ3010" s="14"/>
      <c r="CA3010" s="14"/>
      <c r="CB3010" s="14"/>
      <c r="CC3010" s="14"/>
      <c r="CD3010" s="14"/>
      <c r="CE3010" s="14"/>
      <c r="CF3010" s="15"/>
      <c r="CG3010" s="14"/>
      <c r="CH3010" s="14"/>
      <c r="CI3010" s="50"/>
      <c r="CJ3010" s="54"/>
      <c r="CK3010" s="14"/>
      <c r="CL3010" s="14"/>
      <c r="CM3010" s="14"/>
      <c r="CN3010" s="14"/>
      <c r="CO3010" s="14"/>
      <c r="CP3010" s="14"/>
      <c r="CQ3010" s="14"/>
      <c r="CR3010" s="14"/>
      <c r="CS3010" s="14"/>
      <c r="CT3010" s="14"/>
      <c r="CU3010" s="16"/>
      <c r="CV3010" s="14"/>
      <c r="CW3010" s="50"/>
      <c r="CX3010" s="17"/>
    </row>
    <row r="3011" spans="74:102" x14ac:dyDescent="0.25">
      <c r="BV3011" s="14"/>
      <c r="BW3011" s="50"/>
      <c r="BX3011" s="54"/>
      <c r="BY3011" s="14"/>
      <c r="BZ3011" s="14"/>
      <c r="CA3011" s="14"/>
      <c r="CB3011" s="14"/>
      <c r="CC3011" s="14"/>
      <c r="CD3011" s="14"/>
      <c r="CE3011" s="14"/>
      <c r="CF3011" s="15"/>
      <c r="CG3011" s="14"/>
      <c r="CH3011" s="14"/>
      <c r="CI3011" s="50"/>
      <c r="CJ3011" s="54"/>
      <c r="CK3011" s="14"/>
      <c r="CL3011" s="14"/>
      <c r="CM3011" s="14"/>
      <c r="CN3011" s="14"/>
      <c r="CO3011" s="14"/>
      <c r="CP3011" s="14"/>
      <c r="CQ3011" s="14"/>
      <c r="CR3011" s="14"/>
      <c r="CS3011" s="14"/>
      <c r="CT3011" s="14"/>
      <c r="CU3011" s="16"/>
      <c r="CV3011" s="14"/>
      <c r="CW3011" s="50"/>
      <c r="CX3011" s="17"/>
    </row>
    <row r="3012" spans="74:102" x14ac:dyDescent="0.25">
      <c r="BV3012" s="14"/>
      <c r="BW3012" s="50"/>
      <c r="BX3012" s="54"/>
      <c r="BY3012" s="14"/>
      <c r="BZ3012" s="14"/>
      <c r="CA3012" s="14"/>
      <c r="CB3012" s="14"/>
      <c r="CC3012" s="14"/>
      <c r="CD3012" s="14"/>
      <c r="CE3012" s="14"/>
      <c r="CF3012" s="15"/>
      <c r="CG3012" s="14"/>
      <c r="CH3012" s="14"/>
      <c r="CI3012" s="50"/>
      <c r="CJ3012" s="54"/>
      <c r="CK3012" s="14"/>
      <c r="CL3012" s="14"/>
      <c r="CM3012" s="14"/>
      <c r="CN3012" s="14"/>
      <c r="CO3012" s="14"/>
      <c r="CP3012" s="14"/>
      <c r="CQ3012" s="14"/>
      <c r="CR3012" s="14"/>
      <c r="CS3012" s="14"/>
      <c r="CT3012" s="14"/>
      <c r="CU3012" s="16"/>
      <c r="CV3012" s="14"/>
      <c r="CW3012" s="50"/>
      <c r="CX3012" s="17"/>
    </row>
    <row r="3013" spans="74:102" x14ac:dyDescent="0.25">
      <c r="BV3013" s="14"/>
      <c r="BW3013" s="50"/>
      <c r="BX3013" s="54"/>
      <c r="BY3013" s="14"/>
      <c r="BZ3013" s="14"/>
      <c r="CA3013" s="14"/>
      <c r="CB3013" s="14"/>
      <c r="CC3013" s="14"/>
      <c r="CD3013" s="14"/>
      <c r="CE3013" s="14"/>
      <c r="CF3013" s="15"/>
      <c r="CG3013" s="14"/>
      <c r="CH3013" s="14"/>
      <c r="CI3013" s="50"/>
      <c r="CJ3013" s="54"/>
      <c r="CK3013" s="14"/>
      <c r="CL3013" s="14"/>
      <c r="CM3013" s="14"/>
      <c r="CN3013" s="14"/>
      <c r="CO3013" s="14"/>
      <c r="CP3013" s="14"/>
      <c r="CQ3013" s="14"/>
      <c r="CR3013" s="14"/>
      <c r="CS3013" s="14"/>
      <c r="CT3013" s="14"/>
      <c r="CU3013" s="16"/>
      <c r="CV3013" s="14"/>
      <c r="CW3013" s="50"/>
      <c r="CX3013" s="17"/>
    </row>
    <row r="3014" spans="74:102" x14ac:dyDescent="0.25">
      <c r="BV3014" s="14"/>
      <c r="BW3014" s="50"/>
      <c r="BX3014" s="54"/>
      <c r="BY3014" s="14"/>
      <c r="BZ3014" s="14"/>
      <c r="CA3014" s="14"/>
      <c r="CB3014" s="14"/>
      <c r="CC3014" s="14"/>
      <c r="CD3014" s="14"/>
      <c r="CE3014" s="14"/>
      <c r="CF3014" s="15"/>
      <c r="CG3014" s="14"/>
      <c r="CH3014" s="14"/>
      <c r="CI3014" s="50"/>
      <c r="CJ3014" s="54"/>
      <c r="CK3014" s="14"/>
      <c r="CL3014" s="14"/>
      <c r="CM3014" s="14"/>
      <c r="CN3014" s="14"/>
      <c r="CO3014" s="14"/>
      <c r="CP3014" s="14"/>
      <c r="CQ3014" s="14"/>
      <c r="CR3014" s="14"/>
      <c r="CS3014" s="14"/>
      <c r="CT3014" s="14"/>
      <c r="CU3014" s="16"/>
      <c r="CV3014" s="14"/>
      <c r="CW3014" s="50"/>
      <c r="CX3014" s="17"/>
    </row>
    <row r="3015" spans="74:102" x14ac:dyDescent="0.25">
      <c r="BV3015" s="14"/>
      <c r="BW3015" s="50"/>
      <c r="BX3015" s="54"/>
      <c r="BY3015" s="14"/>
      <c r="BZ3015" s="14"/>
      <c r="CA3015" s="14"/>
      <c r="CB3015" s="14"/>
      <c r="CC3015" s="14"/>
      <c r="CD3015" s="14"/>
      <c r="CE3015" s="14"/>
      <c r="CF3015" s="15"/>
      <c r="CG3015" s="14"/>
      <c r="CH3015" s="14"/>
      <c r="CI3015" s="50"/>
      <c r="CJ3015" s="54"/>
      <c r="CK3015" s="14"/>
      <c r="CL3015" s="14"/>
      <c r="CM3015" s="14"/>
      <c r="CN3015" s="14"/>
      <c r="CO3015" s="14"/>
      <c r="CP3015" s="14"/>
      <c r="CQ3015" s="14"/>
      <c r="CR3015" s="14"/>
      <c r="CS3015" s="14"/>
      <c r="CT3015" s="14"/>
      <c r="CU3015" s="16"/>
      <c r="CV3015" s="14"/>
      <c r="CW3015" s="50"/>
      <c r="CX3015" s="17"/>
    </row>
    <row r="3016" spans="74:102" x14ac:dyDescent="0.25">
      <c r="BV3016" s="14"/>
      <c r="BW3016" s="50"/>
      <c r="BX3016" s="54"/>
      <c r="BY3016" s="14"/>
      <c r="BZ3016" s="14"/>
      <c r="CA3016" s="14"/>
      <c r="CB3016" s="14"/>
      <c r="CC3016" s="14"/>
      <c r="CD3016" s="14"/>
      <c r="CE3016" s="14"/>
      <c r="CF3016" s="15"/>
      <c r="CG3016" s="14"/>
      <c r="CH3016" s="14"/>
      <c r="CI3016" s="50"/>
      <c r="CJ3016" s="54"/>
      <c r="CK3016" s="14"/>
      <c r="CL3016" s="14"/>
      <c r="CM3016" s="14"/>
      <c r="CN3016" s="14"/>
      <c r="CO3016" s="14"/>
      <c r="CP3016" s="14"/>
      <c r="CQ3016" s="14"/>
      <c r="CR3016" s="14"/>
      <c r="CS3016" s="14"/>
      <c r="CT3016" s="14"/>
      <c r="CU3016" s="16"/>
      <c r="CV3016" s="14"/>
      <c r="CW3016" s="50"/>
      <c r="CX3016" s="17"/>
    </row>
    <row r="3017" spans="74:102" x14ac:dyDescent="0.25">
      <c r="BV3017" s="14"/>
      <c r="BW3017" s="50"/>
      <c r="BX3017" s="54"/>
      <c r="BY3017" s="14"/>
      <c r="BZ3017" s="14"/>
      <c r="CA3017" s="14"/>
      <c r="CB3017" s="14"/>
      <c r="CC3017" s="14"/>
      <c r="CD3017" s="14"/>
      <c r="CE3017" s="14"/>
      <c r="CF3017" s="15"/>
      <c r="CG3017" s="14"/>
      <c r="CH3017" s="14"/>
      <c r="CI3017" s="50"/>
      <c r="CJ3017" s="54"/>
      <c r="CK3017" s="14"/>
      <c r="CL3017" s="14"/>
      <c r="CM3017" s="14"/>
      <c r="CN3017" s="14"/>
      <c r="CO3017" s="14"/>
      <c r="CP3017" s="14"/>
      <c r="CQ3017" s="14"/>
      <c r="CR3017" s="14"/>
      <c r="CS3017" s="14"/>
      <c r="CT3017" s="14"/>
      <c r="CU3017" s="16"/>
      <c r="CV3017" s="14"/>
      <c r="CW3017" s="50"/>
      <c r="CX3017" s="17"/>
    </row>
    <row r="3018" spans="74:102" x14ac:dyDescent="0.25">
      <c r="BV3018" s="14"/>
      <c r="BW3018" s="50"/>
      <c r="BX3018" s="54"/>
      <c r="BY3018" s="14"/>
      <c r="BZ3018" s="14"/>
      <c r="CA3018" s="14"/>
      <c r="CB3018" s="14"/>
      <c r="CC3018" s="14"/>
      <c r="CD3018" s="14"/>
      <c r="CE3018" s="14"/>
      <c r="CF3018" s="15"/>
      <c r="CG3018" s="14"/>
      <c r="CH3018" s="14"/>
      <c r="CI3018" s="50"/>
      <c r="CJ3018" s="54"/>
      <c r="CK3018" s="14"/>
      <c r="CL3018" s="14"/>
      <c r="CM3018" s="14"/>
      <c r="CN3018" s="14"/>
      <c r="CO3018" s="14"/>
      <c r="CP3018" s="14"/>
      <c r="CQ3018" s="14"/>
      <c r="CR3018" s="14"/>
      <c r="CS3018" s="14"/>
      <c r="CT3018" s="14"/>
      <c r="CU3018" s="16"/>
      <c r="CV3018" s="14"/>
      <c r="CW3018" s="50"/>
      <c r="CX3018" s="17"/>
    </row>
    <row r="3019" spans="74:102" x14ac:dyDescent="0.25">
      <c r="BV3019" s="14"/>
      <c r="BW3019" s="50"/>
      <c r="BX3019" s="54"/>
      <c r="BY3019" s="14"/>
      <c r="BZ3019" s="14"/>
      <c r="CA3019" s="14"/>
      <c r="CB3019" s="14"/>
      <c r="CC3019" s="14"/>
      <c r="CD3019" s="14"/>
      <c r="CE3019" s="14"/>
      <c r="CF3019" s="15"/>
      <c r="CG3019" s="14"/>
      <c r="CH3019" s="14"/>
      <c r="CI3019" s="50"/>
      <c r="CJ3019" s="54"/>
      <c r="CK3019" s="14"/>
      <c r="CL3019" s="14"/>
      <c r="CM3019" s="14"/>
      <c r="CN3019" s="14"/>
      <c r="CO3019" s="14"/>
      <c r="CP3019" s="14"/>
      <c r="CQ3019" s="14"/>
      <c r="CR3019" s="14"/>
      <c r="CS3019" s="14"/>
      <c r="CT3019" s="14"/>
      <c r="CU3019" s="16"/>
      <c r="CV3019" s="14"/>
      <c r="CW3019" s="50"/>
      <c r="CX3019" s="17"/>
    </row>
    <row r="3020" spans="74:102" x14ac:dyDescent="0.25">
      <c r="BV3020" s="14"/>
      <c r="BW3020" s="50"/>
      <c r="BX3020" s="54"/>
      <c r="BY3020" s="14"/>
      <c r="BZ3020" s="14"/>
      <c r="CA3020" s="14"/>
      <c r="CB3020" s="14"/>
      <c r="CC3020" s="14"/>
      <c r="CD3020" s="14"/>
      <c r="CE3020" s="14"/>
      <c r="CF3020" s="15"/>
      <c r="CG3020" s="14"/>
      <c r="CH3020" s="14"/>
      <c r="CI3020" s="50"/>
      <c r="CJ3020" s="54"/>
      <c r="CK3020" s="14"/>
      <c r="CL3020" s="14"/>
      <c r="CM3020" s="14"/>
      <c r="CN3020" s="14"/>
      <c r="CO3020" s="14"/>
      <c r="CP3020" s="14"/>
      <c r="CQ3020" s="14"/>
      <c r="CR3020" s="14"/>
      <c r="CS3020" s="14"/>
      <c r="CT3020" s="14"/>
      <c r="CU3020" s="16"/>
      <c r="CV3020" s="14"/>
      <c r="CW3020" s="50"/>
      <c r="CX3020" s="17"/>
    </row>
    <row r="3021" spans="74:102" x14ac:dyDescent="0.25">
      <c r="BV3021" s="14"/>
      <c r="BW3021" s="50"/>
      <c r="BX3021" s="54"/>
      <c r="BY3021" s="14"/>
      <c r="BZ3021" s="14"/>
      <c r="CA3021" s="14"/>
      <c r="CB3021" s="14"/>
      <c r="CC3021" s="14"/>
      <c r="CD3021" s="14"/>
      <c r="CE3021" s="14"/>
      <c r="CF3021" s="15"/>
      <c r="CG3021" s="14"/>
      <c r="CH3021" s="14"/>
      <c r="CI3021" s="50"/>
      <c r="CJ3021" s="54"/>
      <c r="CK3021" s="14"/>
      <c r="CL3021" s="14"/>
      <c r="CM3021" s="14"/>
      <c r="CN3021" s="14"/>
      <c r="CO3021" s="14"/>
      <c r="CP3021" s="14"/>
      <c r="CQ3021" s="14"/>
      <c r="CR3021" s="14"/>
      <c r="CS3021" s="14"/>
      <c r="CT3021" s="14"/>
      <c r="CU3021" s="16"/>
      <c r="CV3021" s="14"/>
      <c r="CW3021" s="50"/>
      <c r="CX3021" s="17"/>
    </row>
    <row r="3022" spans="74:102" x14ac:dyDescent="0.25">
      <c r="BV3022" s="14"/>
      <c r="BW3022" s="50"/>
      <c r="BX3022" s="54"/>
      <c r="BY3022" s="14"/>
      <c r="BZ3022" s="14"/>
      <c r="CA3022" s="14"/>
      <c r="CB3022" s="14"/>
      <c r="CC3022" s="14"/>
      <c r="CD3022" s="14"/>
      <c r="CE3022" s="14"/>
      <c r="CF3022" s="15"/>
      <c r="CG3022" s="14"/>
      <c r="CH3022" s="14"/>
      <c r="CI3022" s="50"/>
      <c r="CJ3022" s="54"/>
      <c r="CK3022" s="14"/>
      <c r="CL3022" s="14"/>
      <c r="CM3022" s="14"/>
      <c r="CN3022" s="14"/>
      <c r="CO3022" s="14"/>
      <c r="CP3022" s="14"/>
      <c r="CQ3022" s="14"/>
      <c r="CR3022" s="14"/>
      <c r="CS3022" s="14"/>
      <c r="CT3022" s="14"/>
      <c r="CU3022" s="16"/>
      <c r="CV3022" s="14"/>
      <c r="CW3022" s="50"/>
      <c r="CX3022" s="17"/>
    </row>
    <row r="3023" spans="74:102" x14ac:dyDescent="0.25">
      <c r="BV3023" s="14"/>
      <c r="BW3023" s="50"/>
      <c r="BX3023" s="54"/>
      <c r="BY3023" s="14"/>
      <c r="BZ3023" s="14"/>
      <c r="CA3023" s="14"/>
      <c r="CB3023" s="14"/>
      <c r="CC3023" s="14"/>
      <c r="CD3023" s="14"/>
      <c r="CE3023" s="14"/>
      <c r="CF3023" s="15"/>
      <c r="CG3023" s="14"/>
      <c r="CH3023" s="14"/>
      <c r="CI3023" s="50"/>
      <c r="CJ3023" s="54"/>
      <c r="CK3023" s="14"/>
      <c r="CL3023" s="14"/>
      <c r="CM3023" s="14"/>
      <c r="CN3023" s="14"/>
      <c r="CO3023" s="14"/>
      <c r="CP3023" s="14"/>
      <c r="CQ3023" s="14"/>
      <c r="CR3023" s="14"/>
      <c r="CS3023" s="14"/>
      <c r="CT3023" s="14"/>
      <c r="CU3023" s="16"/>
      <c r="CV3023" s="14"/>
      <c r="CW3023" s="50"/>
      <c r="CX3023" s="17"/>
    </row>
    <row r="3024" spans="74:102" x14ac:dyDescent="0.25">
      <c r="BV3024" s="14"/>
      <c r="BW3024" s="50"/>
      <c r="BX3024" s="54"/>
      <c r="BY3024" s="14"/>
      <c r="BZ3024" s="14"/>
      <c r="CA3024" s="14"/>
      <c r="CB3024" s="14"/>
      <c r="CC3024" s="14"/>
      <c r="CD3024" s="14"/>
      <c r="CE3024" s="14"/>
      <c r="CF3024" s="15"/>
      <c r="CG3024" s="14"/>
      <c r="CH3024" s="14"/>
      <c r="CI3024" s="50"/>
      <c r="CJ3024" s="54"/>
      <c r="CK3024" s="14"/>
      <c r="CL3024" s="14"/>
      <c r="CM3024" s="14"/>
      <c r="CN3024" s="14"/>
      <c r="CO3024" s="14"/>
      <c r="CP3024" s="14"/>
      <c r="CQ3024" s="14"/>
      <c r="CR3024" s="14"/>
      <c r="CS3024" s="14"/>
      <c r="CT3024" s="14"/>
      <c r="CU3024" s="16"/>
      <c r="CV3024" s="14"/>
      <c r="CW3024" s="50"/>
      <c r="CX3024" s="17"/>
    </row>
    <row r="3025" spans="74:102" x14ac:dyDescent="0.25">
      <c r="BV3025" s="14"/>
      <c r="BW3025" s="50"/>
      <c r="BX3025" s="54"/>
      <c r="BY3025" s="14"/>
      <c r="BZ3025" s="14"/>
      <c r="CA3025" s="14"/>
      <c r="CB3025" s="14"/>
      <c r="CC3025" s="14"/>
      <c r="CD3025" s="14"/>
      <c r="CE3025" s="14"/>
      <c r="CF3025" s="15"/>
      <c r="CG3025" s="14"/>
      <c r="CH3025" s="14"/>
      <c r="CI3025" s="50"/>
      <c r="CJ3025" s="54"/>
      <c r="CK3025" s="14"/>
      <c r="CL3025" s="14"/>
      <c r="CM3025" s="14"/>
      <c r="CN3025" s="14"/>
      <c r="CO3025" s="14"/>
      <c r="CP3025" s="14"/>
      <c r="CQ3025" s="14"/>
      <c r="CR3025" s="14"/>
      <c r="CS3025" s="14"/>
      <c r="CT3025" s="14"/>
      <c r="CU3025" s="16"/>
      <c r="CV3025" s="14"/>
      <c r="CW3025" s="50"/>
      <c r="CX3025" s="17"/>
    </row>
    <row r="3026" spans="74:102" x14ac:dyDescent="0.25">
      <c r="BV3026" s="14"/>
      <c r="BW3026" s="50"/>
      <c r="BX3026" s="54"/>
      <c r="BY3026" s="14"/>
      <c r="BZ3026" s="14"/>
      <c r="CA3026" s="14"/>
      <c r="CB3026" s="14"/>
      <c r="CC3026" s="14"/>
      <c r="CD3026" s="14"/>
      <c r="CE3026" s="14"/>
      <c r="CF3026" s="15"/>
      <c r="CG3026" s="14"/>
      <c r="CH3026" s="14"/>
      <c r="CI3026" s="50"/>
      <c r="CJ3026" s="54"/>
      <c r="CK3026" s="14"/>
      <c r="CL3026" s="14"/>
      <c r="CM3026" s="14"/>
      <c r="CN3026" s="14"/>
      <c r="CO3026" s="14"/>
      <c r="CP3026" s="14"/>
      <c r="CQ3026" s="14"/>
      <c r="CR3026" s="14"/>
      <c r="CS3026" s="14"/>
      <c r="CT3026" s="14"/>
      <c r="CU3026" s="16"/>
      <c r="CV3026" s="14"/>
      <c r="CW3026" s="50"/>
      <c r="CX3026" s="17"/>
    </row>
    <row r="3027" spans="74:102" x14ac:dyDescent="0.25">
      <c r="BV3027" s="14"/>
      <c r="BW3027" s="50"/>
      <c r="BX3027" s="54"/>
      <c r="BY3027" s="14"/>
      <c r="BZ3027" s="14"/>
      <c r="CA3027" s="14"/>
      <c r="CB3027" s="14"/>
      <c r="CC3027" s="14"/>
      <c r="CD3027" s="14"/>
      <c r="CE3027" s="14"/>
      <c r="CF3027" s="15"/>
      <c r="CG3027" s="14"/>
      <c r="CH3027" s="14"/>
      <c r="CI3027" s="50"/>
      <c r="CJ3027" s="54"/>
      <c r="CK3027" s="14"/>
      <c r="CL3027" s="14"/>
      <c r="CM3027" s="14"/>
      <c r="CN3027" s="14"/>
      <c r="CO3027" s="14"/>
      <c r="CP3027" s="14"/>
      <c r="CQ3027" s="14"/>
      <c r="CR3027" s="14"/>
      <c r="CS3027" s="14"/>
      <c r="CT3027" s="14"/>
      <c r="CU3027" s="16"/>
      <c r="CV3027" s="14"/>
      <c r="CW3027" s="50"/>
      <c r="CX3027" s="17"/>
    </row>
    <row r="3028" spans="74:102" x14ac:dyDescent="0.25">
      <c r="BV3028" s="14"/>
      <c r="BW3028" s="50"/>
      <c r="BX3028" s="54"/>
      <c r="BY3028" s="14"/>
      <c r="BZ3028" s="14"/>
      <c r="CA3028" s="14"/>
      <c r="CB3028" s="14"/>
      <c r="CC3028" s="14"/>
      <c r="CD3028" s="14"/>
      <c r="CE3028" s="14"/>
      <c r="CF3028" s="15"/>
      <c r="CG3028" s="14"/>
      <c r="CH3028" s="14"/>
      <c r="CI3028" s="50"/>
      <c r="CJ3028" s="54"/>
      <c r="CK3028" s="14"/>
      <c r="CL3028" s="14"/>
      <c r="CM3028" s="14"/>
      <c r="CN3028" s="14"/>
      <c r="CO3028" s="14"/>
      <c r="CP3028" s="14"/>
      <c r="CQ3028" s="14"/>
      <c r="CR3028" s="14"/>
      <c r="CS3028" s="14"/>
      <c r="CT3028" s="14"/>
      <c r="CU3028" s="16"/>
      <c r="CV3028" s="14"/>
      <c r="CW3028" s="50"/>
      <c r="CX3028" s="17"/>
    </row>
    <row r="3029" spans="74:102" x14ac:dyDescent="0.25">
      <c r="BV3029" s="14"/>
      <c r="BW3029" s="50"/>
      <c r="BX3029" s="54"/>
      <c r="BY3029" s="14"/>
      <c r="BZ3029" s="14"/>
      <c r="CA3029" s="14"/>
      <c r="CB3029" s="14"/>
      <c r="CC3029" s="14"/>
      <c r="CD3029" s="14"/>
      <c r="CE3029" s="14"/>
      <c r="CF3029" s="15"/>
      <c r="CG3029" s="14"/>
      <c r="CH3029" s="14"/>
      <c r="CI3029" s="50"/>
      <c r="CJ3029" s="54"/>
      <c r="CK3029" s="14"/>
      <c r="CL3029" s="14"/>
      <c r="CM3029" s="14"/>
      <c r="CN3029" s="14"/>
      <c r="CO3029" s="14"/>
      <c r="CP3029" s="14"/>
      <c r="CQ3029" s="14"/>
      <c r="CR3029" s="14"/>
      <c r="CS3029" s="14"/>
      <c r="CT3029" s="14"/>
      <c r="CU3029" s="16"/>
      <c r="CV3029" s="14"/>
      <c r="CW3029" s="50"/>
      <c r="CX3029" s="17"/>
    </row>
    <row r="3030" spans="74:102" x14ac:dyDescent="0.25">
      <c r="BV3030" s="14"/>
      <c r="BW3030" s="50"/>
      <c r="BX3030" s="54"/>
      <c r="BY3030" s="14"/>
      <c r="BZ3030" s="14"/>
      <c r="CA3030" s="14"/>
      <c r="CB3030" s="14"/>
      <c r="CC3030" s="14"/>
      <c r="CD3030" s="14"/>
      <c r="CE3030" s="14"/>
      <c r="CF3030" s="15"/>
      <c r="CG3030" s="14"/>
      <c r="CH3030" s="14"/>
      <c r="CI3030" s="50"/>
      <c r="CJ3030" s="54"/>
      <c r="CK3030" s="14"/>
      <c r="CL3030" s="14"/>
      <c r="CM3030" s="14"/>
      <c r="CN3030" s="14"/>
      <c r="CO3030" s="14"/>
      <c r="CP3030" s="14"/>
      <c r="CQ3030" s="14"/>
      <c r="CR3030" s="14"/>
      <c r="CS3030" s="14"/>
      <c r="CT3030" s="14"/>
      <c r="CU3030" s="16"/>
      <c r="CV3030" s="14"/>
      <c r="CW3030" s="50"/>
      <c r="CX3030" s="17"/>
    </row>
    <row r="3031" spans="74:102" x14ac:dyDescent="0.25">
      <c r="BV3031" s="14"/>
      <c r="BW3031" s="50"/>
      <c r="BX3031" s="54"/>
      <c r="BY3031" s="14"/>
      <c r="BZ3031" s="14"/>
      <c r="CA3031" s="14"/>
      <c r="CB3031" s="14"/>
      <c r="CC3031" s="14"/>
      <c r="CD3031" s="14"/>
      <c r="CE3031" s="14"/>
      <c r="CF3031" s="15"/>
      <c r="CG3031" s="14"/>
      <c r="CH3031" s="14"/>
      <c r="CI3031" s="50"/>
      <c r="CJ3031" s="54"/>
      <c r="CK3031" s="14"/>
      <c r="CL3031" s="14"/>
      <c r="CM3031" s="14"/>
      <c r="CN3031" s="14"/>
      <c r="CO3031" s="14"/>
      <c r="CP3031" s="14"/>
      <c r="CQ3031" s="14"/>
      <c r="CR3031" s="14"/>
      <c r="CS3031" s="14"/>
      <c r="CT3031" s="14"/>
      <c r="CU3031" s="16"/>
      <c r="CV3031" s="14"/>
      <c r="CW3031" s="50"/>
      <c r="CX3031" s="17"/>
    </row>
    <row r="3032" spans="74:102" x14ac:dyDescent="0.25">
      <c r="BV3032" s="14"/>
      <c r="BW3032" s="50"/>
      <c r="BX3032" s="54"/>
      <c r="BY3032" s="14"/>
      <c r="BZ3032" s="14"/>
      <c r="CA3032" s="14"/>
      <c r="CB3032" s="14"/>
      <c r="CC3032" s="14"/>
      <c r="CD3032" s="14"/>
      <c r="CE3032" s="14"/>
      <c r="CF3032" s="15"/>
      <c r="CG3032" s="14"/>
      <c r="CH3032" s="14"/>
      <c r="CI3032" s="50"/>
      <c r="CJ3032" s="54"/>
      <c r="CK3032" s="14"/>
      <c r="CL3032" s="14"/>
      <c r="CM3032" s="14"/>
      <c r="CN3032" s="14"/>
      <c r="CO3032" s="14"/>
      <c r="CP3032" s="14"/>
      <c r="CQ3032" s="14"/>
      <c r="CR3032" s="14"/>
      <c r="CS3032" s="14"/>
      <c r="CT3032" s="14"/>
      <c r="CU3032" s="16"/>
      <c r="CV3032" s="14"/>
      <c r="CW3032" s="50"/>
      <c r="CX3032" s="17"/>
    </row>
    <row r="3033" spans="74:102" x14ac:dyDescent="0.25">
      <c r="BV3033" s="14"/>
      <c r="BW3033" s="50"/>
      <c r="BX3033" s="54"/>
      <c r="BY3033" s="14"/>
      <c r="BZ3033" s="14"/>
      <c r="CA3033" s="14"/>
      <c r="CB3033" s="14"/>
      <c r="CC3033" s="14"/>
      <c r="CD3033" s="14"/>
      <c r="CE3033" s="14"/>
      <c r="CF3033" s="15"/>
      <c r="CG3033" s="14"/>
      <c r="CH3033" s="14"/>
      <c r="CI3033" s="50"/>
      <c r="CJ3033" s="54"/>
      <c r="CK3033" s="14"/>
      <c r="CL3033" s="14"/>
      <c r="CM3033" s="14"/>
      <c r="CN3033" s="14"/>
      <c r="CO3033" s="14"/>
      <c r="CP3033" s="14"/>
      <c r="CQ3033" s="14"/>
      <c r="CR3033" s="14"/>
      <c r="CS3033" s="14"/>
      <c r="CT3033" s="14"/>
      <c r="CU3033" s="16"/>
      <c r="CV3033" s="14"/>
      <c r="CW3033" s="50"/>
      <c r="CX3033" s="17"/>
    </row>
    <row r="3034" spans="74:102" x14ac:dyDescent="0.25">
      <c r="BV3034" s="14"/>
      <c r="BW3034" s="50"/>
      <c r="BX3034" s="54"/>
      <c r="BY3034" s="14"/>
      <c r="BZ3034" s="14"/>
      <c r="CA3034" s="14"/>
      <c r="CB3034" s="14"/>
      <c r="CC3034" s="14"/>
      <c r="CD3034" s="14"/>
      <c r="CE3034" s="14"/>
      <c r="CF3034" s="15"/>
      <c r="CG3034" s="14"/>
      <c r="CH3034" s="14"/>
      <c r="CI3034" s="50"/>
      <c r="CJ3034" s="54"/>
      <c r="CK3034" s="14"/>
      <c r="CL3034" s="14"/>
      <c r="CM3034" s="14"/>
      <c r="CN3034" s="14"/>
      <c r="CO3034" s="14"/>
      <c r="CP3034" s="14"/>
      <c r="CQ3034" s="14"/>
      <c r="CR3034" s="14"/>
      <c r="CS3034" s="14"/>
      <c r="CT3034" s="14"/>
      <c r="CU3034" s="16"/>
      <c r="CV3034" s="14"/>
      <c r="CW3034" s="50"/>
      <c r="CX3034" s="17"/>
    </row>
    <row r="3035" spans="74:102" x14ac:dyDescent="0.25">
      <c r="BV3035" s="14"/>
      <c r="BW3035" s="50"/>
      <c r="BX3035" s="54"/>
      <c r="BY3035" s="14"/>
      <c r="BZ3035" s="14"/>
      <c r="CA3035" s="14"/>
      <c r="CB3035" s="14"/>
      <c r="CC3035" s="14"/>
      <c r="CD3035" s="14"/>
      <c r="CE3035" s="14"/>
      <c r="CF3035" s="15"/>
      <c r="CG3035" s="14"/>
      <c r="CH3035" s="14"/>
      <c r="CI3035" s="50"/>
      <c r="CJ3035" s="54"/>
      <c r="CK3035" s="14"/>
      <c r="CL3035" s="14"/>
      <c r="CM3035" s="14"/>
      <c r="CN3035" s="14"/>
      <c r="CO3035" s="14"/>
      <c r="CP3035" s="14"/>
      <c r="CQ3035" s="14"/>
      <c r="CR3035" s="14"/>
      <c r="CS3035" s="14"/>
      <c r="CT3035" s="14"/>
      <c r="CU3035" s="16"/>
      <c r="CV3035" s="14"/>
      <c r="CW3035" s="50"/>
      <c r="CX3035" s="17"/>
    </row>
    <row r="3036" spans="74:102" x14ac:dyDescent="0.25">
      <c r="BV3036" s="14"/>
      <c r="BW3036" s="50"/>
      <c r="BX3036" s="54"/>
      <c r="BY3036" s="14"/>
      <c r="BZ3036" s="14"/>
      <c r="CA3036" s="14"/>
      <c r="CB3036" s="14"/>
      <c r="CC3036" s="14"/>
      <c r="CD3036" s="14"/>
      <c r="CE3036" s="14"/>
      <c r="CF3036" s="15"/>
      <c r="CG3036" s="14"/>
      <c r="CH3036" s="14"/>
      <c r="CI3036" s="50"/>
      <c r="CJ3036" s="54"/>
      <c r="CK3036" s="14"/>
      <c r="CL3036" s="14"/>
      <c r="CM3036" s="14"/>
      <c r="CN3036" s="14"/>
      <c r="CO3036" s="14"/>
      <c r="CP3036" s="14"/>
      <c r="CQ3036" s="14"/>
      <c r="CR3036" s="14"/>
      <c r="CS3036" s="14"/>
      <c r="CT3036" s="14"/>
      <c r="CU3036" s="16"/>
      <c r="CV3036" s="14"/>
      <c r="CW3036" s="50"/>
      <c r="CX3036" s="17"/>
    </row>
    <row r="3037" spans="74:102" x14ac:dyDescent="0.25">
      <c r="BV3037" s="14"/>
      <c r="BW3037" s="50"/>
      <c r="BX3037" s="54"/>
      <c r="BY3037" s="14"/>
      <c r="BZ3037" s="14"/>
      <c r="CA3037" s="14"/>
      <c r="CB3037" s="14"/>
      <c r="CC3037" s="14"/>
      <c r="CD3037" s="14"/>
      <c r="CE3037" s="14"/>
      <c r="CF3037" s="15"/>
      <c r="CG3037" s="14"/>
      <c r="CH3037" s="14"/>
      <c r="CI3037" s="50"/>
      <c r="CJ3037" s="54"/>
      <c r="CK3037" s="14"/>
      <c r="CL3037" s="14"/>
      <c r="CM3037" s="14"/>
      <c r="CN3037" s="14"/>
      <c r="CO3037" s="14"/>
      <c r="CP3037" s="14"/>
      <c r="CQ3037" s="14"/>
      <c r="CR3037" s="14"/>
      <c r="CS3037" s="14"/>
      <c r="CT3037" s="14"/>
      <c r="CU3037" s="16"/>
      <c r="CV3037" s="14"/>
      <c r="CW3037" s="50"/>
      <c r="CX3037" s="17"/>
    </row>
    <row r="3038" spans="74:102" x14ac:dyDescent="0.25">
      <c r="BV3038" s="14"/>
      <c r="BW3038" s="50"/>
      <c r="BX3038" s="54"/>
      <c r="BY3038" s="14"/>
      <c r="BZ3038" s="14"/>
      <c r="CA3038" s="14"/>
      <c r="CB3038" s="14"/>
      <c r="CC3038" s="14"/>
      <c r="CD3038" s="14"/>
      <c r="CE3038" s="14"/>
      <c r="CF3038" s="15"/>
      <c r="CG3038" s="14"/>
      <c r="CH3038" s="14"/>
      <c r="CI3038" s="50"/>
      <c r="CJ3038" s="54"/>
      <c r="CK3038" s="14"/>
      <c r="CL3038" s="14"/>
      <c r="CM3038" s="14"/>
      <c r="CN3038" s="14"/>
      <c r="CO3038" s="14"/>
      <c r="CP3038" s="14"/>
      <c r="CQ3038" s="14"/>
      <c r="CR3038" s="14"/>
      <c r="CS3038" s="14"/>
      <c r="CT3038" s="14"/>
      <c r="CU3038" s="16"/>
      <c r="CV3038" s="14"/>
      <c r="CW3038" s="50"/>
      <c r="CX3038" s="17"/>
    </row>
    <row r="3039" spans="74:102" x14ac:dyDescent="0.25">
      <c r="BV3039" s="14"/>
      <c r="BW3039" s="50"/>
      <c r="BX3039" s="54"/>
      <c r="BY3039" s="14"/>
      <c r="BZ3039" s="14"/>
      <c r="CA3039" s="14"/>
      <c r="CB3039" s="14"/>
      <c r="CC3039" s="14"/>
      <c r="CD3039" s="14"/>
      <c r="CE3039" s="14"/>
      <c r="CF3039" s="15"/>
      <c r="CG3039" s="14"/>
      <c r="CH3039" s="14"/>
      <c r="CI3039" s="50"/>
      <c r="CJ3039" s="54"/>
      <c r="CK3039" s="14"/>
      <c r="CL3039" s="14"/>
      <c r="CM3039" s="14"/>
      <c r="CN3039" s="14"/>
      <c r="CO3039" s="14"/>
      <c r="CP3039" s="14"/>
      <c r="CQ3039" s="14"/>
      <c r="CR3039" s="14"/>
      <c r="CS3039" s="14"/>
      <c r="CT3039" s="14"/>
      <c r="CU3039" s="16"/>
      <c r="CV3039" s="14"/>
      <c r="CW3039" s="50"/>
      <c r="CX3039" s="17"/>
    </row>
    <row r="3040" spans="74:102" x14ac:dyDescent="0.25">
      <c r="BV3040" s="14"/>
      <c r="BW3040" s="50"/>
      <c r="BX3040" s="54"/>
      <c r="BY3040" s="14"/>
      <c r="BZ3040" s="14"/>
      <c r="CA3040" s="14"/>
      <c r="CB3040" s="14"/>
      <c r="CC3040" s="14"/>
      <c r="CD3040" s="14"/>
      <c r="CE3040" s="14"/>
      <c r="CF3040" s="15"/>
      <c r="CG3040" s="14"/>
      <c r="CH3040" s="14"/>
      <c r="CI3040" s="50"/>
      <c r="CJ3040" s="54"/>
      <c r="CK3040" s="14"/>
      <c r="CL3040" s="14"/>
      <c r="CM3040" s="14"/>
      <c r="CN3040" s="14"/>
      <c r="CO3040" s="14"/>
      <c r="CP3040" s="14"/>
      <c r="CQ3040" s="14"/>
      <c r="CR3040" s="14"/>
      <c r="CS3040" s="14"/>
      <c r="CT3040" s="14"/>
      <c r="CU3040" s="16"/>
      <c r="CV3040" s="14"/>
      <c r="CW3040" s="50"/>
      <c r="CX3040" s="17"/>
    </row>
    <row r="3041" spans="73:102" x14ac:dyDescent="0.25">
      <c r="BV3041" s="14"/>
      <c r="BW3041" s="50"/>
      <c r="BX3041" s="54"/>
      <c r="BY3041" s="14"/>
      <c r="BZ3041" s="14"/>
      <c r="CA3041" s="14"/>
      <c r="CB3041" s="14"/>
      <c r="CC3041" s="14"/>
      <c r="CD3041" s="14"/>
      <c r="CE3041" s="14"/>
      <c r="CF3041" s="15"/>
      <c r="CG3041" s="14"/>
      <c r="CH3041" s="14"/>
      <c r="CI3041" s="50"/>
      <c r="CJ3041" s="54"/>
      <c r="CK3041" s="14"/>
      <c r="CL3041" s="14"/>
      <c r="CM3041" s="14"/>
      <c r="CN3041" s="14"/>
      <c r="CO3041" s="14"/>
      <c r="CP3041" s="14"/>
      <c r="CQ3041" s="14"/>
      <c r="CR3041" s="14"/>
      <c r="CS3041" s="14"/>
      <c r="CT3041" s="14"/>
      <c r="CU3041" s="16"/>
      <c r="CV3041" s="14"/>
      <c r="CW3041" s="50"/>
      <c r="CX3041" s="17"/>
    </row>
    <row r="3042" spans="73:102" x14ac:dyDescent="0.25">
      <c r="BV3042" s="14"/>
      <c r="BW3042" s="50"/>
      <c r="BX3042" s="54"/>
      <c r="BY3042" s="14"/>
      <c r="BZ3042" s="14"/>
      <c r="CA3042" s="14"/>
      <c r="CB3042" s="14"/>
      <c r="CC3042" s="14"/>
      <c r="CD3042" s="14"/>
      <c r="CE3042" s="14"/>
      <c r="CF3042" s="15"/>
      <c r="CG3042" s="14"/>
      <c r="CH3042" s="14"/>
      <c r="CI3042" s="50"/>
      <c r="CJ3042" s="54"/>
      <c r="CK3042" s="14"/>
      <c r="CL3042" s="14"/>
      <c r="CM3042" s="14"/>
      <c r="CN3042" s="14"/>
      <c r="CO3042" s="14"/>
      <c r="CP3042" s="14"/>
      <c r="CQ3042" s="14"/>
      <c r="CR3042" s="14"/>
      <c r="CS3042" s="14"/>
      <c r="CT3042" s="14"/>
      <c r="CU3042" s="16"/>
      <c r="CV3042" s="14"/>
      <c r="CW3042" s="50"/>
      <c r="CX3042" s="17"/>
    </row>
    <row r="3043" spans="73:102" x14ac:dyDescent="0.25">
      <c r="BV3043" s="14"/>
      <c r="BW3043" s="50"/>
      <c r="BX3043" s="54"/>
      <c r="BY3043" s="14"/>
      <c r="BZ3043" s="14"/>
      <c r="CA3043" s="14"/>
      <c r="CB3043" s="14"/>
      <c r="CC3043" s="14"/>
      <c r="CD3043" s="14"/>
      <c r="CE3043" s="14"/>
      <c r="CF3043" s="15"/>
      <c r="CG3043" s="14"/>
      <c r="CH3043" s="14"/>
      <c r="CI3043" s="50"/>
      <c r="CJ3043" s="54"/>
      <c r="CK3043" s="14"/>
      <c r="CL3043" s="14"/>
      <c r="CM3043" s="14"/>
      <c r="CN3043" s="14"/>
      <c r="CO3043" s="14"/>
      <c r="CP3043" s="14"/>
      <c r="CQ3043" s="14"/>
      <c r="CR3043" s="14"/>
      <c r="CS3043" s="14"/>
      <c r="CT3043" s="14"/>
      <c r="CU3043" s="16"/>
      <c r="CV3043" s="14"/>
      <c r="CW3043" s="50"/>
      <c r="CX3043" s="17"/>
    </row>
    <row r="3044" spans="73:102" x14ac:dyDescent="0.25">
      <c r="BV3044" s="14"/>
      <c r="BW3044" s="50"/>
      <c r="BX3044" s="54"/>
      <c r="BY3044" s="14"/>
      <c r="BZ3044" s="14"/>
      <c r="CA3044" s="14"/>
      <c r="CB3044" s="14"/>
      <c r="CC3044" s="14"/>
      <c r="CD3044" s="14"/>
      <c r="CE3044" s="14"/>
      <c r="CF3044" s="15"/>
      <c r="CG3044" s="14"/>
      <c r="CH3044" s="14"/>
      <c r="CI3044" s="50"/>
      <c r="CJ3044" s="54"/>
      <c r="CK3044" s="14"/>
      <c r="CL3044" s="14"/>
      <c r="CM3044" s="14"/>
      <c r="CN3044" s="14"/>
      <c r="CO3044" s="14"/>
      <c r="CP3044" s="14"/>
      <c r="CQ3044" s="14"/>
      <c r="CR3044" s="14"/>
      <c r="CS3044" s="14"/>
      <c r="CT3044" s="14"/>
      <c r="CU3044" s="16"/>
      <c r="CV3044" s="14"/>
      <c r="CW3044" s="50"/>
      <c r="CX3044" s="17"/>
    </row>
    <row r="3045" spans="73:102" x14ac:dyDescent="0.25">
      <c r="BV3045" s="14"/>
      <c r="BW3045" s="50"/>
      <c r="BX3045" s="54"/>
      <c r="BY3045" s="14"/>
      <c r="BZ3045" s="14"/>
      <c r="CA3045" s="14"/>
      <c r="CB3045" s="14"/>
      <c r="CC3045" s="14"/>
      <c r="CD3045" s="14"/>
      <c r="CE3045" s="14"/>
      <c r="CF3045" s="15"/>
      <c r="CG3045" s="14"/>
      <c r="CH3045" s="14"/>
      <c r="CI3045" s="50"/>
      <c r="CJ3045" s="54"/>
      <c r="CK3045" s="14"/>
      <c r="CL3045" s="14"/>
      <c r="CM3045" s="14"/>
      <c r="CN3045" s="14"/>
      <c r="CO3045" s="14"/>
      <c r="CP3045" s="14"/>
      <c r="CQ3045" s="14"/>
      <c r="CR3045" s="14"/>
      <c r="CS3045" s="14"/>
      <c r="CT3045" s="14"/>
      <c r="CU3045" s="16"/>
      <c r="CV3045" s="14"/>
      <c r="CW3045" s="50"/>
      <c r="CX3045" s="17"/>
    </row>
    <row r="3046" spans="73:102" x14ac:dyDescent="0.25">
      <c r="BV3046" s="14"/>
      <c r="BW3046" s="50"/>
      <c r="BX3046" s="54"/>
      <c r="BY3046" s="14"/>
      <c r="BZ3046" s="14"/>
      <c r="CA3046" s="14"/>
      <c r="CB3046" s="14"/>
      <c r="CC3046" s="14"/>
      <c r="CD3046" s="14"/>
      <c r="CE3046" s="14"/>
      <c r="CF3046" s="15"/>
      <c r="CG3046" s="14"/>
      <c r="CH3046" s="14"/>
      <c r="CI3046" s="50"/>
      <c r="CJ3046" s="54"/>
      <c r="CK3046" s="14"/>
      <c r="CL3046" s="14"/>
      <c r="CM3046" s="14"/>
      <c r="CN3046" s="14"/>
      <c r="CO3046" s="14"/>
      <c r="CP3046" s="14"/>
      <c r="CQ3046" s="14"/>
      <c r="CR3046" s="14"/>
      <c r="CS3046" s="14"/>
      <c r="CT3046" s="14"/>
      <c r="CU3046" s="16"/>
      <c r="CV3046" s="14"/>
      <c r="CW3046" s="50"/>
      <c r="CX3046" s="17"/>
    </row>
    <row r="3047" spans="73:102" x14ac:dyDescent="0.25">
      <c r="BV3047" s="14"/>
      <c r="BW3047" s="50"/>
      <c r="BX3047" s="54"/>
      <c r="BY3047" s="14"/>
      <c r="BZ3047" s="14"/>
      <c r="CA3047" s="14"/>
      <c r="CB3047" s="14"/>
      <c r="CC3047" s="14"/>
      <c r="CD3047" s="14"/>
      <c r="CE3047" s="14"/>
      <c r="CF3047" s="15"/>
      <c r="CG3047" s="14"/>
      <c r="CH3047" s="14"/>
      <c r="CI3047" s="50"/>
      <c r="CJ3047" s="54"/>
      <c r="CK3047" s="14"/>
      <c r="CL3047" s="14"/>
      <c r="CM3047" s="14"/>
      <c r="CN3047" s="14"/>
      <c r="CO3047" s="14"/>
      <c r="CP3047" s="14"/>
      <c r="CQ3047" s="14"/>
      <c r="CR3047" s="14"/>
      <c r="CS3047" s="14"/>
      <c r="CT3047" s="14"/>
      <c r="CU3047" s="16"/>
      <c r="CV3047" s="14"/>
      <c r="CW3047" s="50"/>
      <c r="CX3047" s="17"/>
    </row>
    <row r="3048" spans="73:102" x14ac:dyDescent="0.25">
      <c r="BV3048" s="14"/>
      <c r="BW3048" s="50"/>
      <c r="BX3048" s="54"/>
      <c r="BY3048" s="14"/>
      <c r="BZ3048" s="14"/>
      <c r="CA3048" s="14"/>
      <c r="CB3048" s="14"/>
      <c r="CC3048" s="14"/>
      <c r="CD3048" s="14"/>
      <c r="CE3048" s="14"/>
      <c r="CF3048" s="15"/>
      <c r="CG3048" s="14"/>
      <c r="CH3048" s="14"/>
      <c r="CI3048" s="50"/>
      <c r="CJ3048" s="54"/>
      <c r="CK3048" s="14"/>
      <c r="CL3048" s="14"/>
      <c r="CM3048" s="14"/>
      <c r="CN3048" s="14"/>
      <c r="CO3048" s="14"/>
      <c r="CP3048" s="14"/>
      <c r="CQ3048" s="14"/>
      <c r="CR3048" s="14"/>
      <c r="CS3048" s="14"/>
      <c r="CT3048" s="14"/>
      <c r="CU3048" s="16"/>
      <c r="CV3048" s="14"/>
      <c r="CW3048" s="50"/>
      <c r="CX3048" s="17"/>
    </row>
    <row r="3049" spans="73:102" x14ac:dyDescent="0.25">
      <c r="BV3049" s="14"/>
      <c r="BW3049" s="50"/>
      <c r="BX3049" s="54"/>
      <c r="BY3049" s="14"/>
      <c r="BZ3049" s="14"/>
      <c r="CA3049" s="14"/>
      <c r="CB3049" s="14"/>
      <c r="CC3049" s="14"/>
      <c r="CD3049" s="14"/>
      <c r="CE3049" s="14"/>
      <c r="CF3049" s="15"/>
      <c r="CG3049" s="14"/>
      <c r="CH3049" s="14"/>
      <c r="CI3049" s="50"/>
      <c r="CJ3049" s="54"/>
      <c r="CK3049" s="14"/>
      <c r="CL3049" s="14"/>
      <c r="CM3049" s="14"/>
      <c r="CN3049" s="14"/>
      <c r="CO3049" s="14"/>
      <c r="CP3049" s="14"/>
      <c r="CQ3049" s="14"/>
      <c r="CR3049" s="14"/>
      <c r="CS3049" s="14"/>
      <c r="CT3049" s="14"/>
      <c r="CU3049" s="16"/>
      <c r="CV3049" s="14"/>
      <c r="CW3049" s="50"/>
      <c r="CX3049" s="17"/>
    </row>
    <row r="3050" spans="73:102" x14ac:dyDescent="0.25">
      <c r="BV3050" s="14"/>
      <c r="BW3050" s="50"/>
      <c r="BX3050" s="54"/>
      <c r="BY3050" s="14"/>
      <c r="BZ3050" s="14"/>
      <c r="CA3050" s="14"/>
      <c r="CB3050" s="14"/>
      <c r="CC3050" s="14"/>
      <c r="CD3050" s="14"/>
      <c r="CE3050" s="14"/>
      <c r="CF3050" s="15"/>
      <c r="CG3050" s="14"/>
      <c r="CH3050" s="14"/>
      <c r="CI3050" s="50"/>
      <c r="CJ3050" s="54"/>
      <c r="CK3050" s="14"/>
      <c r="CL3050" s="14"/>
      <c r="CM3050" s="14"/>
      <c r="CN3050" s="14"/>
      <c r="CO3050" s="14"/>
      <c r="CP3050" s="14"/>
      <c r="CQ3050" s="14"/>
      <c r="CR3050" s="14"/>
      <c r="CS3050" s="14"/>
      <c r="CT3050" s="14"/>
      <c r="CU3050" s="16"/>
      <c r="CV3050" s="14"/>
      <c r="CW3050" s="50"/>
      <c r="CX3050" s="17"/>
    </row>
    <row r="3051" spans="73:102" x14ac:dyDescent="0.25">
      <c r="BV3051" s="14"/>
      <c r="BW3051" s="50"/>
      <c r="BX3051" s="54"/>
      <c r="BY3051" s="14"/>
      <c r="BZ3051" s="14"/>
      <c r="CA3051" s="14"/>
      <c r="CB3051" s="14"/>
      <c r="CC3051" s="14"/>
      <c r="CD3051" s="14"/>
      <c r="CE3051" s="14"/>
      <c r="CF3051" s="15"/>
      <c r="CG3051" s="14"/>
      <c r="CH3051" s="14"/>
      <c r="CI3051" s="50"/>
      <c r="CJ3051" s="54"/>
      <c r="CK3051" s="14"/>
      <c r="CL3051" s="14"/>
      <c r="CM3051" s="14"/>
      <c r="CN3051" s="14"/>
      <c r="CO3051" s="14"/>
      <c r="CP3051" s="14"/>
      <c r="CQ3051" s="14"/>
      <c r="CR3051" s="14"/>
      <c r="CS3051" s="14"/>
      <c r="CT3051" s="14"/>
      <c r="CU3051" s="16"/>
      <c r="CV3051" s="14"/>
      <c r="CW3051" s="50"/>
      <c r="CX3051" s="17"/>
    </row>
    <row r="3052" spans="73:102" x14ac:dyDescent="0.25">
      <c r="BV3052" s="14"/>
      <c r="BW3052" s="50"/>
      <c r="BX3052" s="54"/>
      <c r="BY3052" s="14"/>
      <c r="BZ3052" s="14"/>
      <c r="CA3052" s="14"/>
      <c r="CB3052" s="14"/>
      <c r="CC3052" s="14"/>
      <c r="CD3052" s="14"/>
      <c r="CE3052" s="14"/>
      <c r="CF3052" s="15"/>
      <c r="CG3052" s="14"/>
      <c r="CH3052" s="14"/>
      <c r="CI3052" s="50"/>
      <c r="CJ3052" s="54"/>
      <c r="CK3052" s="14"/>
      <c r="CL3052" s="14"/>
      <c r="CM3052" s="14"/>
      <c r="CN3052" s="14"/>
      <c r="CO3052" s="14"/>
      <c r="CP3052" s="14"/>
      <c r="CQ3052" s="14"/>
      <c r="CR3052" s="14"/>
      <c r="CS3052" s="14"/>
      <c r="CT3052" s="14"/>
      <c r="CU3052" s="16"/>
      <c r="CV3052" s="14"/>
      <c r="CW3052" s="50"/>
      <c r="CX3052" s="17"/>
    </row>
    <row r="3053" spans="73:102" x14ac:dyDescent="0.25">
      <c r="BV3053" s="14"/>
      <c r="BW3053" s="50"/>
      <c r="BX3053" s="54"/>
      <c r="BY3053" s="14"/>
      <c r="BZ3053" s="14"/>
      <c r="CA3053" s="14"/>
      <c r="CB3053" s="14"/>
      <c r="CC3053" s="14"/>
      <c r="CD3053" s="14"/>
      <c r="CE3053" s="14"/>
      <c r="CF3053" s="15"/>
      <c r="CG3053" s="14"/>
      <c r="CH3053" s="14"/>
      <c r="CI3053" s="50"/>
      <c r="CJ3053" s="54"/>
      <c r="CK3053" s="14"/>
      <c r="CL3053" s="14"/>
      <c r="CM3053" s="14"/>
      <c r="CN3053" s="14"/>
      <c r="CO3053" s="14"/>
      <c r="CP3053" s="14"/>
      <c r="CQ3053" s="14"/>
      <c r="CR3053" s="14"/>
      <c r="CS3053" s="14"/>
      <c r="CT3053" s="14"/>
      <c r="CU3053" s="16"/>
      <c r="CV3053" s="14"/>
      <c r="CW3053" s="50"/>
      <c r="CX3053" s="17"/>
    </row>
    <row r="3054" spans="73:102" x14ac:dyDescent="0.25">
      <c r="BV3054" s="14"/>
      <c r="BW3054" s="50"/>
      <c r="BX3054" s="54"/>
      <c r="BY3054" s="14"/>
      <c r="BZ3054" s="14"/>
      <c r="CA3054" s="14"/>
      <c r="CB3054" s="14"/>
      <c r="CC3054" s="14"/>
      <c r="CD3054" s="14"/>
      <c r="CE3054" s="14"/>
      <c r="CF3054" s="15"/>
      <c r="CG3054" s="14"/>
      <c r="CH3054" s="14"/>
      <c r="CI3054" s="50"/>
      <c r="CJ3054" s="54"/>
      <c r="CK3054" s="14"/>
      <c r="CL3054" s="14"/>
      <c r="CM3054" s="14"/>
      <c r="CN3054" s="14"/>
      <c r="CO3054" s="14"/>
      <c r="CP3054" s="14"/>
      <c r="CQ3054" s="14"/>
      <c r="CR3054" s="14"/>
      <c r="CS3054" s="14"/>
      <c r="CT3054" s="14"/>
      <c r="CU3054" s="16"/>
      <c r="CV3054" s="14"/>
      <c r="CW3054" s="50"/>
      <c r="CX3054" s="17"/>
    </row>
    <row r="3055" spans="73:102" x14ac:dyDescent="0.25">
      <c r="BU3055" s="10">
        <f>Таблица1[[#This Row],[Lкан_леб,мм]]</f>
        <v>0</v>
      </c>
      <c r="BV3055" s="10">
        <f>Таблица1[[#This Row],[Lкан_леб,мм]]</f>
        <v>0</v>
      </c>
      <c r="BW3055" s="27">
        <f>Таблица1[[#This Row],[угол обхв4]]+Таблица1[[#This Row],[Lдуг 3,мм]]</f>
        <v>0</v>
      </c>
      <c r="BX3055" s="55">
        <f>Таблица1[[#This Row],[угол обхв5]]+Таблица1[[#This Row],[Y5, мм]]</f>
        <v>0</v>
      </c>
      <c r="BY3055" s="17">
        <f>Таблица1[[#This Row],[угол обхв6]]+Таблица1[[#This Row],[Lдуг 4,мм]]</f>
        <v>0</v>
      </c>
      <c r="BZ3055" s="17">
        <f>Таблица1[[#This Row],[Т1]]+Таблица1[[#This Row],[X6, мм]]</f>
        <v>0</v>
      </c>
      <c r="CA3055" s="17">
        <f>Таблица1[[#This Row],[Т2]]+Таблица1[[#This Row],[Lдуг 5,мм]]</f>
        <v>0</v>
      </c>
      <c r="CB3055" s="17">
        <f>Таблица1[[#This Row],[Т3]]+Таблица1[[#This Row],[Y6, мм]]</f>
        <v>0</v>
      </c>
      <c r="CC3055" s="17">
        <f>Таблица1[[#This Row],[Т4]]+Таблица1[[#This Row],[Lдуг 6,мм]]</f>
        <v>0</v>
      </c>
      <c r="CD3055" s="17">
        <f>Таблица1[[#This Row],[Т5]]+Таблица1[[#This Row],[Lдуг 1,мм]]</f>
        <v>0</v>
      </c>
      <c r="CE3055" s="17">
        <f>Таблица1[[#This Row],[Т6]]+Таблица1[[#This Row],[Lпрям1, мм]]</f>
        <v>0</v>
      </c>
      <c r="CF3055" s="18">
        <f>Таблица1[[#This Row],[Т7]]+Таблица1[[#This Row],[Lдуг 2,мм]]</f>
        <v>0</v>
      </c>
      <c r="CG3055" s="17">
        <f>Таблица1[[#This Row],[Т8]]+Таблица1[[#This Row],[Lпрям2, мм]]</f>
        <v>0</v>
      </c>
      <c r="CH3055" s="17">
        <f>Таблица1[[#This Row],[Т9]]-Таблица1[[#This Row],[Т9]]</f>
        <v>0</v>
      </c>
      <c r="CI3055" s="56">
        <f>Таблица1[[#This Row],[Т9]]-Таблица1[[#This Row],[Т8]]</f>
        <v>0</v>
      </c>
      <c r="CJ3055" s="55">
        <f>Таблица1[[#This Row],[Т9]]-Таблица1[[#This Row],[Т7]]</f>
        <v>0</v>
      </c>
      <c r="CK3055" s="17">
        <f>Таблица1[[#This Row],[Т9]]-Таблица1[[#This Row],[Т6]]</f>
        <v>0</v>
      </c>
      <c r="CL3055" s="17">
        <f>Таблица1[[#This Row],[Т9]]-Таблица1[[#This Row],[Т5]]</f>
        <v>0</v>
      </c>
      <c r="CM3055" s="17">
        <f>Таблица1[[#This Row],[Т9]]-Таблица1[[#This Row],[Т4]]</f>
        <v>0</v>
      </c>
      <c r="CN3055" s="17">
        <f>Таблица1[[#This Row],[Т9]]-Таблица1[[#This Row],[Т3]]</f>
        <v>0</v>
      </c>
      <c r="CO3055" s="17">
        <f>Таблица1[[#This Row],[Т9]]-Таблица1[[#This Row],[Т2]]</f>
        <v>0</v>
      </c>
      <c r="CP3055" s="17">
        <f>Таблица1[[#This Row],[Т9]]-Таблица1[[#This Row],[Т1]]</f>
        <v>0</v>
      </c>
      <c r="CQ3055" s="17">
        <f>Таблица1[[#This Row],[Т9]]-Таблица1[[#This Row],[угол обхв6]]</f>
        <v>0</v>
      </c>
      <c r="CR3055" s="17">
        <f>Таблица1[[#This Row],[Т9]]-Таблица1[[#This Row],[угол обхв5]]</f>
        <v>0</v>
      </c>
      <c r="CS3055" s="17">
        <f>Таблица1[[#This Row],[Т9]]-Таблица1[[#This Row],[угол обхв4]]</f>
        <v>0</v>
      </c>
      <c r="CT3055" s="19">
        <f>Таблица1[[#This Row],[Lкан_прям, мм]]+Таблица1[[#This Row],[Lкан_дуг, мм]]+Таблица1[[#This Row],[Lкан_леб,мм]]</f>
        <v>0</v>
      </c>
      <c r="CU3055" s="11">
        <f>Таблица1[[#This Row],[Lкан_леб,мм]]</f>
        <v>0</v>
      </c>
      <c r="CV3055" s="17">
        <f>2534431-(Таблица1[[#This Row],[Т23]]+Таблица1[[#This Row],[угол обхв3]])</f>
        <v>2534431</v>
      </c>
      <c r="CW3055" s="56">
        <f>CW3494-Таблица1[[#This Row],[Суммарная длина каната]]</f>
        <v>-2534431</v>
      </c>
    </row>
    <row r="3056" spans="73:102" x14ac:dyDescent="0.25">
      <c r="BU3056" s="10">
        <f>Таблица1[[#This Row],[Lкан_леб,мм]]</f>
        <v>0</v>
      </c>
      <c r="BV3056" s="10">
        <f>Таблица1[[#This Row],[Lкан_леб,мм]]</f>
        <v>0</v>
      </c>
      <c r="BW3056" s="27">
        <f>Таблица1[[#This Row],[угол обхв4]]+Таблица1[[#This Row],[Lдуг 3,мм]]</f>
        <v>0</v>
      </c>
      <c r="BX3056" s="55">
        <f>Таблица1[[#This Row],[угол обхв5]]+Таблица1[[#This Row],[Y5, мм]]</f>
        <v>0</v>
      </c>
      <c r="BY3056" s="17">
        <f>Таблица1[[#This Row],[угол обхв6]]+Таблица1[[#This Row],[Lдуг 4,мм]]</f>
        <v>0</v>
      </c>
      <c r="BZ3056" s="17">
        <f>Таблица1[[#This Row],[Т1]]+Таблица1[[#This Row],[X6, мм]]</f>
        <v>0</v>
      </c>
      <c r="CA3056" s="17">
        <f>Таблица1[[#This Row],[Т2]]+Таблица1[[#This Row],[Lдуг 5,мм]]</f>
        <v>0</v>
      </c>
      <c r="CB3056" s="17">
        <f>Таблица1[[#This Row],[Т3]]+Таблица1[[#This Row],[Y6, мм]]</f>
        <v>0</v>
      </c>
      <c r="CC3056" s="17">
        <f>Таблица1[[#This Row],[Т4]]+Таблица1[[#This Row],[Lдуг 6,мм]]</f>
        <v>0</v>
      </c>
      <c r="CD3056" s="17">
        <f>Таблица1[[#This Row],[Т5]]+Таблица1[[#This Row],[Lдуг 1,мм]]</f>
        <v>0</v>
      </c>
      <c r="CE3056" s="17">
        <f>Таблица1[[#This Row],[Т6]]+Таблица1[[#This Row],[Lпрям1, мм]]</f>
        <v>0</v>
      </c>
      <c r="CF3056" s="18">
        <f>Таблица1[[#This Row],[Т7]]+Таблица1[[#This Row],[Lдуг 2,мм]]</f>
        <v>0</v>
      </c>
      <c r="CG3056" s="17">
        <f>Таблица1[[#This Row],[Т8]]+Таблица1[[#This Row],[Lпрям2, мм]]</f>
        <v>0</v>
      </c>
      <c r="CH3056" s="17">
        <f>Таблица1[[#This Row],[Т9]]-Таблица1[[#This Row],[Т9]]</f>
        <v>0</v>
      </c>
      <c r="CI3056" s="56">
        <f>Таблица1[[#This Row],[Т9]]-Таблица1[[#This Row],[Т8]]</f>
        <v>0</v>
      </c>
      <c r="CJ3056" s="55">
        <f>Таблица1[[#This Row],[Т9]]-Таблица1[[#This Row],[Т7]]</f>
        <v>0</v>
      </c>
      <c r="CK3056" s="17">
        <f>Таблица1[[#This Row],[Т9]]-Таблица1[[#This Row],[Т6]]</f>
        <v>0</v>
      </c>
      <c r="CL3056" s="17">
        <f>Таблица1[[#This Row],[Т9]]-Таблица1[[#This Row],[Т5]]</f>
        <v>0</v>
      </c>
      <c r="CM3056" s="17">
        <f>Таблица1[[#This Row],[Т9]]-Таблица1[[#This Row],[Т4]]</f>
        <v>0</v>
      </c>
      <c r="CN3056" s="17">
        <f>Таблица1[[#This Row],[Т9]]-Таблица1[[#This Row],[Т3]]</f>
        <v>0</v>
      </c>
      <c r="CO3056" s="17">
        <f>Таблица1[[#This Row],[Т9]]-Таблица1[[#This Row],[Т2]]</f>
        <v>0</v>
      </c>
      <c r="CP3056" s="17">
        <f>Таблица1[[#This Row],[Т9]]-Таблица1[[#This Row],[Т1]]</f>
        <v>0</v>
      </c>
      <c r="CQ3056" s="17">
        <f>Таблица1[[#This Row],[Т9]]-Таблица1[[#This Row],[угол обхв6]]</f>
        <v>0</v>
      </c>
      <c r="CR3056" s="17">
        <f>Таблица1[[#This Row],[Т9]]-Таблица1[[#This Row],[угол обхв5]]</f>
        <v>0</v>
      </c>
      <c r="CS3056" s="17">
        <f>Таблица1[[#This Row],[Т9]]-Таблица1[[#This Row],[угол обхв4]]</f>
        <v>0</v>
      </c>
      <c r="CT3056" s="19">
        <f>Таблица1[[#This Row],[Lкан_прям, мм]]+Таблица1[[#This Row],[Lкан_дуг, мм]]+Таблица1[[#This Row],[Lкан_леб,мм]]</f>
        <v>0</v>
      </c>
      <c r="CU3056" s="11">
        <f>Таблица1[[#This Row],[Lкан_леб,мм]]</f>
        <v>0</v>
      </c>
      <c r="CV3056" s="17">
        <f>2534431-(Таблица1[[#This Row],[Т23]]+Таблица1[[#This Row],[угол обхв3]])</f>
        <v>2534431</v>
      </c>
      <c r="CW3056" s="56">
        <f>CW3495-Таблица1[[#This Row],[Суммарная длина каната]]</f>
        <v>-2534431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5051"/>
  <sheetViews>
    <sheetView workbookViewId="0">
      <selection activeCell="P13" sqref="P13"/>
    </sheetView>
  </sheetViews>
  <sheetFormatPr defaultRowHeight="15" x14ac:dyDescent="0.25"/>
  <cols>
    <col min="1" max="1" width="12.85546875" customWidth="1"/>
    <col min="2" max="2" width="13.140625" customWidth="1"/>
    <col min="3" max="3" width="12.85546875" customWidth="1"/>
    <col min="4" max="5" width="16.28515625" bestFit="1" customWidth="1"/>
    <col min="6" max="7" width="11.85546875" customWidth="1"/>
    <col min="8" max="8" width="13.7109375" bestFit="1" customWidth="1"/>
    <col min="9" max="9" width="14.7109375" bestFit="1" customWidth="1"/>
    <col min="10" max="10" width="13.7109375" bestFit="1" customWidth="1"/>
    <col min="11" max="13" width="14.7109375" bestFit="1" customWidth="1"/>
    <col min="14" max="14" width="12.5703125" bestFit="1" customWidth="1"/>
    <col min="18" max="18" width="11.140625" customWidth="1"/>
    <col min="19" max="19" width="12.42578125" customWidth="1"/>
  </cols>
  <sheetData>
    <row r="1" spans="1:19" ht="30" x14ac:dyDescent="0.25">
      <c r="A1" s="3" t="s">
        <v>10</v>
      </c>
      <c r="B1" s="3" t="s">
        <v>11</v>
      </c>
      <c r="C1" s="3" t="s">
        <v>12</v>
      </c>
      <c r="D1" s="3" t="s">
        <v>13</v>
      </c>
      <c r="E1" s="3" t="s">
        <v>14</v>
      </c>
      <c r="F1" s="3" t="s">
        <v>15</v>
      </c>
      <c r="G1" s="3" t="s">
        <v>16</v>
      </c>
      <c r="H1" s="1" t="s">
        <v>20</v>
      </c>
      <c r="I1" s="1" t="s">
        <v>7</v>
      </c>
      <c r="J1" s="1" t="s">
        <v>8</v>
      </c>
      <c r="K1" s="1" t="s">
        <v>9</v>
      </c>
      <c r="L1" s="1" t="s">
        <v>17</v>
      </c>
      <c r="M1" s="2" t="s">
        <v>18</v>
      </c>
      <c r="N1" s="2" t="s">
        <v>19</v>
      </c>
      <c r="O1" s="1" t="s">
        <v>4</v>
      </c>
      <c r="P1" s="1" t="s">
        <v>5</v>
      </c>
      <c r="Q1" s="1" t="s">
        <v>0</v>
      </c>
      <c r="R1" s="5" t="s">
        <v>21</v>
      </c>
      <c r="S1" s="2" t="s">
        <v>22</v>
      </c>
    </row>
    <row r="2" spans="1:19" x14ac:dyDescent="0.25">
      <c r="A2" s="4">
        <v>-3322.4999999999995</v>
      </c>
      <c r="B2" s="4">
        <v>-2811.96</v>
      </c>
      <c r="C2" s="4">
        <v>1851.78072304271</v>
      </c>
      <c r="D2" s="4">
        <v>3503437.9014297938</v>
      </c>
      <c r="E2" s="4">
        <v>0</v>
      </c>
      <c r="F2" s="4">
        <v>0</v>
      </c>
      <c r="G2" s="4">
        <v>1886.299816366688</v>
      </c>
      <c r="H2" s="4">
        <v>1693.3419019331595</v>
      </c>
      <c r="I2" s="4">
        <v>20163.69913321477</v>
      </c>
      <c r="J2" s="4">
        <v>4785.24129737146</v>
      </c>
      <c r="K2" s="4">
        <v>3503437.9014297938</v>
      </c>
      <c r="L2" s="4">
        <v>3528386.84186038</v>
      </c>
      <c r="M2" s="4">
        <v>383237.40431975917</v>
      </c>
      <c r="N2" s="4">
        <v>1434.9999999999998</v>
      </c>
      <c r="O2" s="4">
        <v>50</v>
      </c>
      <c r="P2" s="4">
        <v>40.01</v>
      </c>
      <c r="Q2" s="4">
        <v>1</v>
      </c>
      <c r="R2">
        <v>0</v>
      </c>
      <c r="S2">
        <v>0</v>
      </c>
    </row>
    <row r="3" spans="1:19" x14ac:dyDescent="0.25">
      <c r="A3" s="4">
        <v>-3279.9999999999995</v>
      </c>
      <c r="B3" s="4">
        <v>-914.66</v>
      </c>
      <c r="C3" s="4">
        <v>1435</v>
      </c>
      <c r="D3" s="4">
        <v>3505324.2012461605</v>
      </c>
      <c r="E3" s="4">
        <v>84.978996441334615</v>
      </c>
      <c r="F3" s="4">
        <v>1064.1696555107656</v>
      </c>
      <c r="G3" s="4">
        <v>3722</v>
      </c>
      <c r="M3">
        <v>782375.8501994384</v>
      </c>
      <c r="N3">
        <v>1494.5401032918148</v>
      </c>
      <c r="R3">
        <v>69387.755102040814</v>
      </c>
      <c r="S3">
        <v>0</v>
      </c>
    </row>
    <row r="4" spans="1:19" x14ac:dyDescent="0.25">
      <c r="A4" s="4">
        <v>-7002</v>
      </c>
      <c r="B4" s="4">
        <v>520.34</v>
      </c>
      <c r="C4" s="4">
        <v>1435</v>
      </c>
      <c r="D4" s="4">
        <v>3506388.3709016712</v>
      </c>
      <c r="E4" s="4">
        <v>89.996893965312992</v>
      </c>
      <c r="F4" s="4">
        <v>1127.0074684186504</v>
      </c>
      <c r="G4" s="4">
        <v>1844.6600027105269</v>
      </c>
      <c r="M4">
        <v>1197415.3376390382</v>
      </c>
      <c r="N4">
        <v>1554.0802065836299</v>
      </c>
      <c r="R4">
        <v>138775.51020408163</v>
      </c>
      <c r="S4">
        <v>0</v>
      </c>
    </row>
    <row r="5" spans="1:19" x14ac:dyDescent="0.25">
      <c r="A5" s="4">
        <v>-7002.1</v>
      </c>
      <c r="B5" s="4">
        <v>2365</v>
      </c>
      <c r="C5" s="4">
        <v>1435</v>
      </c>
      <c r="D5" s="4">
        <v>3510110.3709016717</v>
      </c>
      <c r="E5" s="4">
        <v>90.003106034687036</v>
      </c>
      <c r="F5" s="4">
        <v>1127.0852605320267</v>
      </c>
      <c r="G5" s="4">
        <v>750.10000000000059</v>
      </c>
      <c r="M5">
        <v>1628355.866638558</v>
      </c>
      <c r="N5">
        <v>1613.6203098754449</v>
      </c>
      <c r="R5">
        <v>208163.26530612243</v>
      </c>
      <c r="S5">
        <v>0</v>
      </c>
    </row>
    <row r="6" spans="1:19" x14ac:dyDescent="0.25">
      <c r="A6" s="4">
        <v>-6252</v>
      </c>
      <c r="B6" s="4">
        <v>3799.9999999999995</v>
      </c>
      <c r="C6" s="4">
        <v>1435</v>
      </c>
      <c r="D6" s="4">
        <v>3511237.3783700899</v>
      </c>
      <c r="E6" s="4">
        <v>13.572899959339072</v>
      </c>
      <c r="F6" s="4">
        <v>169.96986171733965</v>
      </c>
      <c r="G6" s="4">
        <v>10267.290237124727</v>
      </c>
      <c r="M6">
        <v>2075197.4371979982</v>
      </c>
      <c r="N6">
        <v>1673.16041316726</v>
      </c>
      <c r="R6">
        <v>277551.02040816325</v>
      </c>
      <c r="S6">
        <v>0</v>
      </c>
    </row>
    <row r="7" spans="1:19" x14ac:dyDescent="0.25">
      <c r="A7" s="4">
        <v>4065.3156824388602</v>
      </c>
      <c r="B7" s="4">
        <v>4814.6284651328797</v>
      </c>
      <c r="C7" s="4">
        <v>1435</v>
      </c>
      <c r="D7" s="4">
        <v>3513082.0383728002</v>
      </c>
      <c r="E7" s="4">
        <v>103.57232700154391</v>
      </c>
      <c r="F7" s="4">
        <v>1297.0090511926778</v>
      </c>
      <c r="G7" s="4">
        <v>1693.3490770128271</v>
      </c>
      <c r="M7">
        <v>2537940.0493173585</v>
      </c>
      <c r="N7">
        <v>1732.7005164590748</v>
      </c>
      <c r="R7">
        <v>346938.77551020408</v>
      </c>
      <c r="S7">
        <v>0</v>
      </c>
    </row>
    <row r="8" spans="1:19" x14ac:dyDescent="0.25">
      <c r="A8" s="4">
        <v>4782.8321158937551</v>
      </c>
      <c r="B8" s="4">
        <v>3121.2865631997201</v>
      </c>
      <c r="C8" s="4">
        <v>1E-3</v>
      </c>
      <c r="D8" s="4">
        <v>3514209.1236333326</v>
      </c>
      <c r="M8">
        <v>3016583.7029966386</v>
      </c>
      <c r="N8">
        <v>1792.2406197508897</v>
      </c>
      <c r="R8">
        <v>416326.53061224491</v>
      </c>
      <c r="S8">
        <v>0</v>
      </c>
    </row>
    <row r="9" spans="1:19" x14ac:dyDescent="0.25">
      <c r="D9" s="4">
        <v>3514959.2236333326</v>
      </c>
      <c r="M9">
        <v>3511128.3982358389</v>
      </c>
      <c r="N9">
        <v>1851.7807230427047</v>
      </c>
      <c r="R9">
        <v>485714.2857142858</v>
      </c>
      <c r="S9">
        <v>0</v>
      </c>
    </row>
    <row r="10" spans="1:19" x14ac:dyDescent="0.25">
      <c r="D10" s="4">
        <v>3515129.1934950501</v>
      </c>
      <c r="R10">
        <v>555102.04081632663</v>
      </c>
      <c r="S10">
        <v>0</v>
      </c>
    </row>
    <row r="11" spans="1:19" x14ac:dyDescent="0.25">
      <c r="D11" s="4">
        <v>3525396.4837321746</v>
      </c>
      <c r="R11">
        <v>624489.79591836745</v>
      </c>
      <c r="S11">
        <v>0</v>
      </c>
    </row>
    <row r="12" spans="1:19" x14ac:dyDescent="0.25">
      <c r="D12" s="4">
        <v>3526693.4927833672</v>
      </c>
      <c r="R12">
        <v>693877.55102040828</v>
      </c>
      <c r="S12">
        <v>0</v>
      </c>
    </row>
    <row r="13" spans="1:19" x14ac:dyDescent="0.25">
      <c r="D13" s="4">
        <v>3528386.84186038</v>
      </c>
      <c r="R13">
        <v>763265.30612244911</v>
      </c>
      <c r="S13">
        <v>0</v>
      </c>
    </row>
    <row r="14" spans="1:19" x14ac:dyDescent="0.25">
      <c r="R14">
        <v>832653.06122448994</v>
      </c>
      <c r="S14">
        <v>0</v>
      </c>
    </row>
    <row r="15" spans="1:19" x14ac:dyDescent="0.25">
      <c r="R15">
        <v>902040.81632653077</v>
      </c>
      <c r="S15">
        <v>0</v>
      </c>
    </row>
    <row r="16" spans="1:19" x14ac:dyDescent="0.25">
      <c r="R16">
        <v>971428.57142857159</v>
      </c>
      <c r="S16">
        <v>0</v>
      </c>
    </row>
    <row r="17" spans="18:19" x14ac:dyDescent="0.25">
      <c r="R17">
        <v>1040816.3265306125</v>
      </c>
      <c r="S17">
        <v>0</v>
      </c>
    </row>
    <row r="18" spans="18:19" x14ac:dyDescent="0.25">
      <c r="R18">
        <v>1110204.0816326533</v>
      </c>
      <c r="S18">
        <v>0</v>
      </c>
    </row>
    <row r="19" spans="18:19" x14ac:dyDescent="0.25">
      <c r="R19">
        <v>1179591.836734694</v>
      </c>
      <c r="S19">
        <v>0</v>
      </c>
    </row>
    <row r="20" spans="18:19" x14ac:dyDescent="0.25">
      <c r="R20">
        <v>1248979.5918367347</v>
      </c>
      <c r="S20">
        <v>0</v>
      </c>
    </row>
    <row r="21" spans="18:19" x14ac:dyDescent="0.25">
      <c r="R21">
        <v>1318367.3469387754</v>
      </c>
      <c r="S21">
        <v>0</v>
      </c>
    </row>
    <row r="22" spans="18:19" x14ac:dyDescent="0.25">
      <c r="R22">
        <v>1387755.1020408161</v>
      </c>
      <c r="S22">
        <v>0</v>
      </c>
    </row>
    <row r="23" spans="18:19" x14ac:dyDescent="0.25">
      <c r="R23">
        <v>1457142.8571428568</v>
      </c>
      <c r="S23">
        <v>0</v>
      </c>
    </row>
    <row r="24" spans="18:19" x14ac:dyDescent="0.25">
      <c r="R24">
        <v>1526530.6122448975</v>
      </c>
      <c r="S24">
        <v>0</v>
      </c>
    </row>
    <row r="25" spans="18:19" x14ac:dyDescent="0.25">
      <c r="R25">
        <v>1595918.3673469382</v>
      </c>
      <c r="S25">
        <v>0</v>
      </c>
    </row>
    <row r="26" spans="18:19" x14ac:dyDescent="0.25">
      <c r="R26">
        <v>1665306.1224489789</v>
      </c>
      <c r="S26">
        <v>0</v>
      </c>
    </row>
    <row r="27" spans="18:19" x14ac:dyDescent="0.25">
      <c r="R27">
        <v>1734693.8775510197</v>
      </c>
      <c r="S27">
        <v>0</v>
      </c>
    </row>
    <row r="28" spans="18:19" x14ac:dyDescent="0.25">
      <c r="R28">
        <v>1804081.6326530606</v>
      </c>
      <c r="S28">
        <v>0</v>
      </c>
    </row>
    <row r="29" spans="18:19" x14ac:dyDescent="0.25">
      <c r="R29">
        <v>1873469.3877551013</v>
      </c>
      <c r="S29">
        <v>0</v>
      </c>
    </row>
    <row r="30" spans="18:19" x14ac:dyDescent="0.25">
      <c r="R30">
        <v>1942857.142857142</v>
      </c>
      <c r="S30">
        <v>0</v>
      </c>
    </row>
    <row r="31" spans="18:19" x14ac:dyDescent="0.25">
      <c r="R31">
        <v>2012244.8979591827</v>
      </c>
      <c r="S31">
        <v>0</v>
      </c>
    </row>
    <row r="32" spans="18:19" x14ac:dyDescent="0.25">
      <c r="R32">
        <v>2081632.6530612237</v>
      </c>
      <c r="S32">
        <v>0</v>
      </c>
    </row>
    <row r="33" spans="18:19" x14ac:dyDescent="0.25">
      <c r="R33">
        <v>2151020.4081632644</v>
      </c>
      <c r="S33">
        <v>0</v>
      </c>
    </row>
    <row r="34" spans="18:19" x14ac:dyDescent="0.25">
      <c r="R34">
        <v>2220408.1632653056</v>
      </c>
      <c r="S34">
        <v>0</v>
      </c>
    </row>
    <row r="35" spans="18:19" x14ac:dyDescent="0.25">
      <c r="R35">
        <v>2289795.9183673463</v>
      </c>
      <c r="S35">
        <v>0</v>
      </c>
    </row>
    <row r="36" spans="18:19" x14ac:dyDescent="0.25">
      <c r="R36">
        <v>2359183.6734693875</v>
      </c>
      <c r="S36">
        <v>0</v>
      </c>
    </row>
    <row r="37" spans="18:19" x14ac:dyDescent="0.25">
      <c r="R37">
        <v>2428571.4285714282</v>
      </c>
      <c r="S37">
        <v>0</v>
      </c>
    </row>
    <row r="38" spans="18:19" x14ac:dyDescent="0.25">
      <c r="R38">
        <v>2497959.1836734693</v>
      </c>
      <c r="S38">
        <v>0</v>
      </c>
    </row>
    <row r="39" spans="18:19" x14ac:dyDescent="0.25">
      <c r="R39">
        <v>2567346.9387755105</v>
      </c>
      <c r="S39">
        <v>0</v>
      </c>
    </row>
    <row r="40" spans="18:19" x14ac:dyDescent="0.25">
      <c r="R40">
        <v>2636734.6938775512</v>
      </c>
      <c r="S40">
        <v>0</v>
      </c>
    </row>
    <row r="41" spans="18:19" x14ac:dyDescent="0.25">
      <c r="R41">
        <v>2706122.4489795924</v>
      </c>
      <c r="S41">
        <v>0</v>
      </c>
    </row>
    <row r="42" spans="18:19" x14ac:dyDescent="0.25">
      <c r="R42">
        <v>2775510.2040816331</v>
      </c>
      <c r="S42">
        <v>0</v>
      </c>
    </row>
    <row r="43" spans="18:19" x14ac:dyDescent="0.25">
      <c r="R43">
        <v>2844897.9591836743</v>
      </c>
      <c r="S43">
        <v>0</v>
      </c>
    </row>
    <row r="44" spans="18:19" x14ac:dyDescent="0.25">
      <c r="R44">
        <v>2914285.714285715</v>
      </c>
      <c r="S44">
        <v>0</v>
      </c>
    </row>
    <row r="45" spans="18:19" x14ac:dyDescent="0.25">
      <c r="R45">
        <v>2983673.4693877562</v>
      </c>
      <c r="S45">
        <v>0</v>
      </c>
    </row>
    <row r="46" spans="18:19" x14ac:dyDescent="0.25">
      <c r="R46">
        <v>3053061.2244897969</v>
      </c>
      <c r="S46">
        <v>0</v>
      </c>
    </row>
    <row r="47" spans="18:19" x14ac:dyDescent="0.25">
      <c r="R47">
        <v>3122448.9795918381</v>
      </c>
      <c r="S47">
        <v>0</v>
      </c>
    </row>
    <row r="48" spans="18:19" x14ac:dyDescent="0.25">
      <c r="R48">
        <v>3191836.7346938788</v>
      </c>
      <c r="S48">
        <v>0</v>
      </c>
    </row>
    <row r="49" spans="18:19" x14ac:dyDescent="0.25">
      <c r="R49">
        <v>3261224.48979592</v>
      </c>
      <c r="S49">
        <v>0</v>
      </c>
    </row>
    <row r="50" spans="18:19" x14ac:dyDescent="0.25">
      <c r="R50">
        <v>3330612.2448979607</v>
      </c>
      <c r="S50">
        <v>0</v>
      </c>
    </row>
    <row r="51" spans="18:19" x14ac:dyDescent="0.25">
      <c r="R51">
        <v>3400000.0000000019</v>
      </c>
      <c r="S51">
        <v>0</v>
      </c>
    </row>
    <row r="52" spans="18:19" x14ac:dyDescent="0.25">
      <c r="R52">
        <v>3400100</v>
      </c>
      <c r="S52">
        <v>0</v>
      </c>
    </row>
    <row r="53" spans="18:19" x14ac:dyDescent="0.25">
      <c r="R53">
        <v>3400125.6625008723</v>
      </c>
      <c r="S53">
        <v>0</v>
      </c>
    </row>
    <row r="54" spans="18:19" x14ac:dyDescent="0.25">
      <c r="R54">
        <v>3400151.3250017446</v>
      </c>
      <c r="S54">
        <v>0</v>
      </c>
    </row>
    <row r="55" spans="18:19" x14ac:dyDescent="0.25">
      <c r="R55">
        <v>3400176.9875026168</v>
      </c>
      <c r="S55">
        <v>0</v>
      </c>
    </row>
    <row r="56" spans="18:19" x14ac:dyDescent="0.25">
      <c r="R56">
        <v>3400202.6500034896</v>
      </c>
      <c r="S56">
        <v>0</v>
      </c>
    </row>
    <row r="57" spans="18:19" x14ac:dyDescent="0.25">
      <c r="R57">
        <v>3400228.3125043618</v>
      </c>
      <c r="S57">
        <v>0</v>
      </c>
    </row>
    <row r="58" spans="18:19" x14ac:dyDescent="0.25">
      <c r="R58">
        <v>3400253.9750052341</v>
      </c>
      <c r="S58">
        <v>0</v>
      </c>
    </row>
    <row r="59" spans="18:19" x14ac:dyDescent="0.25">
      <c r="R59">
        <v>3400279.6375061064</v>
      </c>
      <c r="S59">
        <v>0</v>
      </c>
    </row>
    <row r="60" spans="18:19" x14ac:dyDescent="0.25">
      <c r="R60">
        <v>3400305.3000069791</v>
      </c>
      <c r="S60">
        <v>0</v>
      </c>
    </row>
    <row r="61" spans="18:19" x14ac:dyDescent="0.25">
      <c r="R61">
        <v>3400330.9625078514</v>
      </c>
      <c r="S61">
        <v>0</v>
      </c>
    </row>
    <row r="62" spans="18:19" x14ac:dyDescent="0.25">
      <c r="R62">
        <v>3400356.6250087237</v>
      </c>
      <c r="S62">
        <v>0</v>
      </c>
    </row>
    <row r="63" spans="18:19" x14ac:dyDescent="0.25">
      <c r="R63">
        <v>3400382.287509596</v>
      </c>
      <c r="S63">
        <v>0</v>
      </c>
    </row>
    <row r="64" spans="18:19" x14ac:dyDescent="0.25">
      <c r="R64">
        <v>3400407.9500104683</v>
      </c>
      <c r="S64">
        <v>0</v>
      </c>
    </row>
    <row r="65" spans="18:19" x14ac:dyDescent="0.25">
      <c r="R65">
        <v>3400433.612511341</v>
      </c>
      <c r="S65">
        <v>0</v>
      </c>
    </row>
    <row r="66" spans="18:19" x14ac:dyDescent="0.25">
      <c r="R66">
        <v>3400459.2750122133</v>
      </c>
      <c r="S66">
        <v>0</v>
      </c>
    </row>
    <row r="67" spans="18:19" x14ac:dyDescent="0.25">
      <c r="R67">
        <v>3400484.9375130855</v>
      </c>
      <c r="S67">
        <v>0</v>
      </c>
    </row>
    <row r="68" spans="18:19" x14ac:dyDescent="0.25">
      <c r="R68">
        <v>3400510.6000139578</v>
      </c>
      <c r="S68">
        <v>0</v>
      </c>
    </row>
    <row r="69" spans="18:19" x14ac:dyDescent="0.25">
      <c r="R69">
        <v>3400536.2625148306</v>
      </c>
      <c r="S69">
        <v>0</v>
      </c>
    </row>
    <row r="70" spans="18:19" x14ac:dyDescent="0.25">
      <c r="R70">
        <v>3400561.9250157028</v>
      </c>
      <c r="S70">
        <v>0</v>
      </c>
    </row>
    <row r="71" spans="18:19" x14ac:dyDescent="0.25">
      <c r="R71">
        <v>3400587.5875165751</v>
      </c>
      <c r="S71">
        <v>0</v>
      </c>
    </row>
    <row r="72" spans="18:19" x14ac:dyDescent="0.25">
      <c r="R72">
        <v>3400613.2500174474</v>
      </c>
      <c r="S72">
        <v>0</v>
      </c>
    </row>
    <row r="73" spans="18:19" x14ac:dyDescent="0.25">
      <c r="R73">
        <v>3400638.9125183201</v>
      </c>
      <c r="S73">
        <v>0</v>
      </c>
    </row>
    <row r="74" spans="18:19" x14ac:dyDescent="0.25">
      <c r="R74">
        <v>3400664.5750191924</v>
      </c>
      <c r="S74">
        <v>0</v>
      </c>
    </row>
    <row r="75" spans="18:19" x14ac:dyDescent="0.25">
      <c r="R75">
        <v>3400690.2375200647</v>
      </c>
      <c r="S75">
        <v>0</v>
      </c>
    </row>
    <row r="76" spans="18:19" x14ac:dyDescent="0.25">
      <c r="R76">
        <v>3400715.900020937</v>
      </c>
      <c r="S76">
        <v>0</v>
      </c>
    </row>
    <row r="77" spans="18:19" x14ac:dyDescent="0.25">
      <c r="R77">
        <v>3400741.5625218097</v>
      </c>
      <c r="S77">
        <v>0</v>
      </c>
    </row>
    <row r="78" spans="18:19" x14ac:dyDescent="0.25">
      <c r="R78">
        <v>3400767.225022682</v>
      </c>
      <c r="S78">
        <v>0</v>
      </c>
    </row>
    <row r="79" spans="18:19" x14ac:dyDescent="0.25">
      <c r="R79">
        <v>3400792.8875235543</v>
      </c>
      <c r="S79">
        <v>0</v>
      </c>
    </row>
    <row r="80" spans="18:19" x14ac:dyDescent="0.25">
      <c r="R80">
        <v>3400818.5500244265</v>
      </c>
      <c r="S80">
        <v>0</v>
      </c>
    </row>
    <row r="81" spans="18:19" x14ac:dyDescent="0.25">
      <c r="R81">
        <v>3400844.2125252988</v>
      </c>
      <c r="S81">
        <v>0</v>
      </c>
    </row>
    <row r="82" spans="18:19" x14ac:dyDescent="0.25">
      <c r="R82">
        <v>3400869.8750261716</v>
      </c>
      <c r="S82">
        <v>0</v>
      </c>
    </row>
    <row r="83" spans="18:19" x14ac:dyDescent="0.25">
      <c r="R83">
        <v>3400895.5375270438</v>
      </c>
      <c r="S83">
        <v>0</v>
      </c>
    </row>
    <row r="84" spans="18:19" x14ac:dyDescent="0.25">
      <c r="R84">
        <v>3400921.2000279161</v>
      </c>
      <c r="S84">
        <v>0</v>
      </c>
    </row>
    <row r="85" spans="18:19" x14ac:dyDescent="0.25">
      <c r="R85">
        <v>3400946.8625287884</v>
      </c>
      <c r="S85">
        <v>0</v>
      </c>
    </row>
    <row r="86" spans="18:19" x14ac:dyDescent="0.25">
      <c r="R86">
        <v>3400972.5250296611</v>
      </c>
      <c r="S86">
        <v>0</v>
      </c>
    </row>
    <row r="87" spans="18:19" x14ac:dyDescent="0.25">
      <c r="R87">
        <v>3400998.1875305334</v>
      </c>
      <c r="S87">
        <v>0</v>
      </c>
    </row>
    <row r="88" spans="18:19" x14ac:dyDescent="0.25">
      <c r="R88">
        <v>3401023.8500314057</v>
      </c>
      <c r="S88">
        <v>0</v>
      </c>
    </row>
    <row r="89" spans="18:19" x14ac:dyDescent="0.25">
      <c r="R89">
        <v>3401049.512532278</v>
      </c>
      <c r="S89">
        <v>0</v>
      </c>
    </row>
    <row r="90" spans="18:19" x14ac:dyDescent="0.25">
      <c r="R90">
        <v>3401075.1750331507</v>
      </c>
      <c r="S90">
        <v>0</v>
      </c>
    </row>
    <row r="91" spans="18:19" x14ac:dyDescent="0.25">
      <c r="R91">
        <v>3401100.837534023</v>
      </c>
      <c r="S91">
        <v>0</v>
      </c>
    </row>
    <row r="92" spans="18:19" x14ac:dyDescent="0.25">
      <c r="R92">
        <v>3401126.5000348953</v>
      </c>
      <c r="S92">
        <v>0</v>
      </c>
    </row>
    <row r="93" spans="18:19" x14ac:dyDescent="0.25">
      <c r="R93">
        <v>3401152.1625357675</v>
      </c>
      <c r="S93">
        <v>0</v>
      </c>
    </row>
    <row r="94" spans="18:19" x14ac:dyDescent="0.25">
      <c r="R94">
        <v>3401177.8250366398</v>
      </c>
      <c r="S94">
        <v>0</v>
      </c>
    </row>
    <row r="95" spans="18:19" x14ac:dyDescent="0.25">
      <c r="R95">
        <v>3401203.4875375126</v>
      </c>
      <c r="S95">
        <v>0</v>
      </c>
    </row>
    <row r="96" spans="18:19" x14ac:dyDescent="0.25">
      <c r="R96">
        <v>3401229.1500383848</v>
      </c>
      <c r="S96">
        <v>0</v>
      </c>
    </row>
    <row r="97" spans="18:19" x14ac:dyDescent="0.25">
      <c r="R97">
        <v>3401254.8125392571</v>
      </c>
      <c r="S97">
        <v>0</v>
      </c>
    </row>
    <row r="98" spans="18:19" x14ac:dyDescent="0.25">
      <c r="R98">
        <v>3401280.4750401294</v>
      </c>
      <c r="S98">
        <v>0</v>
      </c>
    </row>
    <row r="99" spans="18:19" x14ac:dyDescent="0.25">
      <c r="R99">
        <v>3401306.1375410021</v>
      </c>
      <c r="S99">
        <v>0</v>
      </c>
    </row>
    <row r="100" spans="18:19" x14ac:dyDescent="0.25">
      <c r="R100">
        <v>3401331.8000418744</v>
      </c>
      <c r="S100">
        <v>0</v>
      </c>
    </row>
    <row r="101" spans="18:19" x14ac:dyDescent="0.25">
      <c r="R101">
        <v>3401357.4625427467</v>
      </c>
      <c r="S101">
        <v>0</v>
      </c>
    </row>
    <row r="102" spans="18:19" x14ac:dyDescent="0.25">
      <c r="R102">
        <v>3401383.125043619</v>
      </c>
      <c r="S102">
        <v>0</v>
      </c>
    </row>
    <row r="103" spans="18:19" x14ac:dyDescent="0.25">
      <c r="R103">
        <v>3401408.7875444917</v>
      </c>
      <c r="S103">
        <v>0</v>
      </c>
    </row>
    <row r="104" spans="18:19" x14ac:dyDescent="0.25">
      <c r="R104">
        <v>3401434.450045364</v>
      </c>
      <c r="S104">
        <v>0</v>
      </c>
    </row>
    <row r="105" spans="18:19" x14ac:dyDescent="0.25">
      <c r="R105">
        <v>3401460.1125462363</v>
      </c>
      <c r="S105">
        <v>0</v>
      </c>
    </row>
    <row r="106" spans="18:19" x14ac:dyDescent="0.25">
      <c r="R106">
        <v>3401485.7750471085</v>
      </c>
      <c r="S106">
        <v>0</v>
      </c>
    </row>
    <row r="107" spans="18:19" x14ac:dyDescent="0.25">
      <c r="R107">
        <v>3401511.4375479813</v>
      </c>
      <c r="S107">
        <v>0</v>
      </c>
    </row>
    <row r="108" spans="18:19" x14ac:dyDescent="0.25">
      <c r="R108">
        <v>3401537.1000488536</v>
      </c>
      <c r="S108">
        <v>0</v>
      </c>
    </row>
    <row r="109" spans="18:19" x14ac:dyDescent="0.25">
      <c r="R109">
        <v>3401562.7625497258</v>
      </c>
      <c r="S109">
        <v>0</v>
      </c>
    </row>
    <row r="110" spans="18:19" x14ac:dyDescent="0.25">
      <c r="R110">
        <v>3401588.4250505981</v>
      </c>
      <c r="S110">
        <v>0</v>
      </c>
    </row>
    <row r="111" spans="18:19" x14ac:dyDescent="0.25">
      <c r="R111">
        <v>3401614.0875514704</v>
      </c>
      <c r="S111">
        <v>0</v>
      </c>
    </row>
    <row r="112" spans="18:19" x14ac:dyDescent="0.25">
      <c r="R112">
        <v>3401639.7500523431</v>
      </c>
      <c r="S112">
        <v>0</v>
      </c>
    </row>
    <row r="113" spans="18:19" x14ac:dyDescent="0.25">
      <c r="R113">
        <v>3401665.4125532154</v>
      </c>
      <c r="S113">
        <v>0</v>
      </c>
    </row>
    <row r="114" spans="18:19" x14ac:dyDescent="0.25">
      <c r="R114">
        <v>3401691.0750540877</v>
      </c>
      <c r="S114">
        <v>0</v>
      </c>
    </row>
    <row r="115" spans="18:19" x14ac:dyDescent="0.25">
      <c r="R115">
        <v>3401716.73755496</v>
      </c>
      <c r="S115">
        <v>0</v>
      </c>
    </row>
    <row r="116" spans="18:19" x14ac:dyDescent="0.25">
      <c r="R116">
        <v>3401742.4000558327</v>
      </c>
      <c r="S116">
        <v>0</v>
      </c>
    </row>
    <row r="117" spans="18:19" x14ac:dyDescent="0.25">
      <c r="R117">
        <v>3401768.062556705</v>
      </c>
      <c r="S117">
        <v>0</v>
      </c>
    </row>
    <row r="118" spans="18:19" x14ac:dyDescent="0.25">
      <c r="R118">
        <v>3401793.7250575772</v>
      </c>
      <c r="S118">
        <v>0</v>
      </c>
    </row>
    <row r="119" spans="18:19" x14ac:dyDescent="0.25">
      <c r="R119">
        <v>3401819.3875584495</v>
      </c>
      <c r="S119">
        <v>0</v>
      </c>
    </row>
    <row r="120" spans="18:19" x14ac:dyDescent="0.25">
      <c r="R120">
        <v>3401845.0500593223</v>
      </c>
      <c r="S120">
        <v>0</v>
      </c>
    </row>
    <row r="121" spans="18:19" x14ac:dyDescent="0.25">
      <c r="R121">
        <v>3401870.7125601945</v>
      </c>
      <c r="S121">
        <v>0</v>
      </c>
    </row>
    <row r="122" spans="18:19" x14ac:dyDescent="0.25">
      <c r="R122">
        <v>3401896.3750610668</v>
      </c>
      <c r="S122">
        <v>0</v>
      </c>
    </row>
    <row r="123" spans="18:19" x14ac:dyDescent="0.25">
      <c r="R123">
        <v>3401922.0375619391</v>
      </c>
      <c r="S123">
        <v>0</v>
      </c>
    </row>
    <row r="124" spans="18:19" x14ac:dyDescent="0.25">
      <c r="R124">
        <v>3401947.7000628118</v>
      </c>
      <c r="S124">
        <v>0</v>
      </c>
    </row>
    <row r="125" spans="18:19" x14ac:dyDescent="0.25">
      <c r="R125">
        <v>3401973.3625636841</v>
      </c>
      <c r="S125">
        <v>0</v>
      </c>
    </row>
    <row r="126" spans="18:19" x14ac:dyDescent="0.25">
      <c r="R126">
        <v>3401999.0250645564</v>
      </c>
      <c r="S126">
        <v>0</v>
      </c>
    </row>
    <row r="127" spans="18:19" x14ac:dyDescent="0.25">
      <c r="R127">
        <v>3402024.6875654287</v>
      </c>
      <c r="S127">
        <v>0</v>
      </c>
    </row>
    <row r="128" spans="18:19" x14ac:dyDescent="0.25">
      <c r="R128">
        <v>3402050.3500663009</v>
      </c>
      <c r="S128">
        <v>0</v>
      </c>
    </row>
    <row r="129" spans="18:19" x14ac:dyDescent="0.25">
      <c r="R129">
        <v>3402076.0125671737</v>
      </c>
      <c r="S129">
        <v>0</v>
      </c>
    </row>
    <row r="130" spans="18:19" x14ac:dyDescent="0.25">
      <c r="R130">
        <v>3402101.675068046</v>
      </c>
      <c r="S130">
        <v>0</v>
      </c>
    </row>
    <row r="131" spans="18:19" x14ac:dyDescent="0.25">
      <c r="R131">
        <v>3402127.3375689182</v>
      </c>
      <c r="S131">
        <v>0</v>
      </c>
    </row>
    <row r="132" spans="18:19" x14ac:dyDescent="0.25">
      <c r="R132">
        <v>3402153.0000697905</v>
      </c>
      <c r="S132">
        <v>0</v>
      </c>
    </row>
    <row r="133" spans="18:19" x14ac:dyDescent="0.25">
      <c r="R133">
        <v>3402178.6625706633</v>
      </c>
      <c r="S133">
        <v>0</v>
      </c>
    </row>
    <row r="134" spans="18:19" x14ac:dyDescent="0.25">
      <c r="R134">
        <v>3402204.3250715355</v>
      </c>
      <c r="S134">
        <v>0</v>
      </c>
    </row>
    <row r="135" spans="18:19" x14ac:dyDescent="0.25">
      <c r="R135">
        <v>3402229.9875724078</v>
      </c>
      <c r="S135">
        <v>0</v>
      </c>
    </row>
    <row r="136" spans="18:19" x14ac:dyDescent="0.25">
      <c r="R136">
        <v>3402255.6500732801</v>
      </c>
      <c r="S136">
        <v>0</v>
      </c>
    </row>
    <row r="137" spans="18:19" x14ac:dyDescent="0.25">
      <c r="R137">
        <v>3402281.3125741528</v>
      </c>
      <c r="S137">
        <v>0</v>
      </c>
    </row>
    <row r="138" spans="18:19" x14ac:dyDescent="0.25">
      <c r="R138">
        <v>3402306.9750750251</v>
      </c>
      <c r="S138">
        <v>0</v>
      </c>
    </row>
    <row r="139" spans="18:19" x14ac:dyDescent="0.25">
      <c r="R139">
        <v>3402332.6375758974</v>
      </c>
      <c r="S139">
        <v>0</v>
      </c>
    </row>
    <row r="140" spans="18:19" x14ac:dyDescent="0.25">
      <c r="R140">
        <v>3402358.3000767697</v>
      </c>
      <c r="S140">
        <v>0</v>
      </c>
    </row>
    <row r="141" spans="18:19" x14ac:dyDescent="0.25">
      <c r="R141">
        <v>3402383.9625776424</v>
      </c>
      <c r="S141">
        <v>0</v>
      </c>
    </row>
    <row r="142" spans="18:19" x14ac:dyDescent="0.25">
      <c r="R142">
        <v>3402409.6250785147</v>
      </c>
      <c r="S142">
        <v>0</v>
      </c>
    </row>
    <row r="143" spans="18:19" x14ac:dyDescent="0.25">
      <c r="R143">
        <v>3402435.287579387</v>
      </c>
      <c r="S143">
        <v>0</v>
      </c>
    </row>
    <row r="144" spans="18:19" x14ac:dyDescent="0.25">
      <c r="R144">
        <v>3402460.9500802592</v>
      </c>
      <c r="S144">
        <v>0</v>
      </c>
    </row>
    <row r="145" spans="18:19" x14ac:dyDescent="0.25">
      <c r="R145">
        <v>3402486.6125811315</v>
      </c>
      <c r="S145">
        <v>0</v>
      </c>
    </row>
    <row r="146" spans="18:19" x14ac:dyDescent="0.25">
      <c r="R146">
        <v>3402512.2750820043</v>
      </c>
      <c r="S146">
        <v>0</v>
      </c>
    </row>
    <row r="147" spans="18:19" x14ac:dyDescent="0.25">
      <c r="R147">
        <v>3402537.9375828765</v>
      </c>
      <c r="S147">
        <v>0</v>
      </c>
    </row>
    <row r="148" spans="18:19" x14ac:dyDescent="0.25">
      <c r="R148">
        <v>3402563.6000837488</v>
      </c>
      <c r="S148">
        <v>0</v>
      </c>
    </row>
    <row r="149" spans="18:19" x14ac:dyDescent="0.25">
      <c r="R149">
        <v>3402589.2625846211</v>
      </c>
      <c r="S149">
        <v>0</v>
      </c>
    </row>
    <row r="150" spans="18:19" x14ac:dyDescent="0.25">
      <c r="R150">
        <v>3402614.9250854938</v>
      </c>
      <c r="S150">
        <v>0</v>
      </c>
    </row>
    <row r="151" spans="18:19" x14ac:dyDescent="0.25">
      <c r="R151">
        <v>3402640.5875863661</v>
      </c>
      <c r="S151">
        <v>0</v>
      </c>
    </row>
    <row r="152" spans="18:19" x14ac:dyDescent="0.25">
      <c r="R152">
        <v>3402666.2500872384</v>
      </c>
      <c r="S152">
        <v>0</v>
      </c>
    </row>
    <row r="153" spans="18:19" x14ac:dyDescent="0.25">
      <c r="R153">
        <v>3402691.9125881107</v>
      </c>
      <c r="S153">
        <v>0</v>
      </c>
    </row>
    <row r="154" spans="18:19" x14ac:dyDescent="0.25">
      <c r="R154">
        <v>3402717.5750889834</v>
      </c>
      <c r="S154">
        <v>0</v>
      </c>
    </row>
    <row r="155" spans="18:19" x14ac:dyDescent="0.25">
      <c r="R155">
        <v>3402743.2375898557</v>
      </c>
      <c r="S155">
        <v>0</v>
      </c>
    </row>
    <row r="156" spans="18:19" x14ac:dyDescent="0.25">
      <c r="R156">
        <v>3402768.900090728</v>
      </c>
      <c r="S156">
        <v>0</v>
      </c>
    </row>
    <row r="157" spans="18:19" x14ac:dyDescent="0.25">
      <c r="R157">
        <v>3402794.5625916002</v>
      </c>
      <c r="S157">
        <v>0</v>
      </c>
    </row>
    <row r="158" spans="18:19" x14ac:dyDescent="0.25">
      <c r="R158">
        <v>3402820.2250924725</v>
      </c>
      <c r="S158">
        <v>0</v>
      </c>
    </row>
    <row r="159" spans="18:19" x14ac:dyDescent="0.25">
      <c r="R159">
        <v>3402845.8875933453</v>
      </c>
      <c r="S159">
        <v>0</v>
      </c>
    </row>
    <row r="160" spans="18:19" x14ac:dyDescent="0.25">
      <c r="R160">
        <v>3402871.5500942175</v>
      </c>
      <c r="S160">
        <v>0</v>
      </c>
    </row>
    <row r="161" spans="18:19" x14ac:dyDescent="0.25">
      <c r="R161">
        <v>3402897.2125950898</v>
      </c>
      <c r="S161">
        <v>0</v>
      </c>
    </row>
    <row r="162" spans="18:19" x14ac:dyDescent="0.25">
      <c r="R162">
        <v>3402922.8750959621</v>
      </c>
      <c r="S162">
        <v>0</v>
      </c>
    </row>
    <row r="163" spans="18:19" x14ac:dyDescent="0.25">
      <c r="R163">
        <v>3402948.5375968348</v>
      </c>
      <c r="S163">
        <v>0</v>
      </c>
    </row>
    <row r="164" spans="18:19" x14ac:dyDescent="0.25">
      <c r="R164">
        <v>3402974.2000977071</v>
      </c>
      <c r="S164">
        <v>0</v>
      </c>
    </row>
    <row r="165" spans="18:19" x14ac:dyDescent="0.25">
      <c r="R165">
        <v>3402999.8625985794</v>
      </c>
      <c r="S165">
        <v>0</v>
      </c>
    </row>
    <row r="166" spans="18:19" x14ac:dyDescent="0.25">
      <c r="R166">
        <v>3403025.5250994517</v>
      </c>
      <c r="S166">
        <v>0</v>
      </c>
    </row>
    <row r="167" spans="18:19" x14ac:dyDescent="0.25">
      <c r="R167">
        <v>3403051.1876003244</v>
      </c>
      <c r="S167">
        <v>0</v>
      </c>
    </row>
    <row r="168" spans="18:19" x14ac:dyDescent="0.25">
      <c r="R168">
        <v>3403076.8501011967</v>
      </c>
      <c r="S168">
        <v>0</v>
      </c>
    </row>
    <row r="169" spans="18:19" x14ac:dyDescent="0.25">
      <c r="R169">
        <v>3403102.5126020689</v>
      </c>
      <c r="S169">
        <v>0</v>
      </c>
    </row>
    <row r="170" spans="18:19" x14ac:dyDescent="0.25">
      <c r="R170">
        <v>3403128.1751029412</v>
      </c>
      <c r="S170">
        <v>0</v>
      </c>
    </row>
    <row r="171" spans="18:19" x14ac:dyDescent="0.25">
      <c r="R171">
        <v>3403153.837603814</v>
      </c>
      <c r="S171">
        <v>0</v>
      </c>
    </row>
    <row r="172" spans="18:19" x14ac:dyDescent="0.25">
      <c r="R172">
        <v>3403179.5001046862</v>
      </c>
      <c r="S172">
        <v>0</v>
      </c>
    </row>
    <row r="173" spans="18:19" x14ac:dyDescent="0.25">
      <c r="R173">
        <v>3403205.1626055585</v>
      </c>
      <c r="S173">
        <v>0</v>
      </c>
    </row>
    <row r="174" spans="18:19" x14ac:dyDescent="0.25">
      <c r="R174">
        <v>3403230.8251064308</v>
      </c>
      <c r="S174">
        <v>0</v>
      </c>
    </row>
    <row r="175" spans="18:19" x14ac:dyDescent="0.25">
      <c r="R175">
        <v>3403256.4876073031</v>
      </c>
      <c r="S175">
        <v>0</v>
      </c>
    </row>
    <row r="176" spans="18:19" x14ac:dyDescent="0.25">
      <c r="R176">
        <v>3403282.1501081758</v>
      </c>
      <c r="S176">
        <v>0</v>
      </c>
    </row>
    <row r="177" spans="18:19" x14ac:dyDescent="0.25">
      <c r="R177">
        <v>3403307.8126090481</v>
      </c>
      <c r="S177">
        <v>0</v>
      </c>
    </row>
    <row r="178" spans="18:19" x14ac:dyDescent="0.25">
      <c r="R178">
        <v>3403333.4751099204</v>
      </c>
      <c r="S178">
        <v>0</v>
      </c>
    </row>
    <row r="179" spans="18:19" x14ac:dyDescent="0.25">
      <c r="R179">
        <v>3403359.1376107926</v>
      </c>
      <c r="S179">
        <v>0</v>
      </c>
    </row>
    <row r="180" spans="18:19" x14ac:dyDescent="0.25">
      <c r="R180">
        <v>3403384.8001116654</v>
      </c>
      <c r="S180">
        <v>0</v>
      </c>
    </row>
    <row r="181" spans="18:19" x14ac:dyDescent="0.25">
      <c r="R181">
        <v>3403410.4626125377</v>
      </c>
      <c r="S181">
        <v>0</v>
      </c>
    </row>
    <row r="182" spans="18:19" x14ac:dyDescent="0.25">
      <c r="R182">
        <v>3403436.1251134099</v>
      </c>
      <c r="S182">
        <v>0</v>
      </c>
    </row>
    <row r="183" spans="18:19" x14ac:dyDescent="0.25">
      <c r="R183">
        <v>3403461.7876142822</v>
      </c>
      <c r="S183">
        <v>0</v>
      </c>
    </row>
    <row r="184" spans="18:19" x14ac:dyDescent="0.25">
      <c r="R184">
        <v>3403487.450115155</v>
      </c>
      <c r="S184">
        <v>0</v>
      </c>
    </row>
    <row r="185" spans="18:19" x14ac:dyDescent="0.25">
      <c r="R185">
        <v>3403513.1126160272</v>
      </c>
      <c r="S185">
        <v>0</v>
      </c>
    </row>
    <row r="186" spans="18:19" x14ac:dyDescent="0.25">
      <c r="R186">
        <v>3403538.7751168995</v>
      </c>
      <c r="S186">
        <v>0</v>
      </c>
    </row>
    <row r="187" spans="18:19" x14ac:dyDescent="0.25">
      <c r="R187">
        <v>3403564.4376177718</v>
      </c>
      <c r="S187">
        <v>0</v>
      </c>
    </row>
    <row r="188" spans="18:19" x14ac:dyDescent="0.25">
      <c r="R188">
        <v>3403590.1001186445</v>
      </c>
      <c r="S188">
        <v>0</v>
      </c>
    </row>
    <row r="189" spans="18:19" x14ac:dyDescent="0.25">
      <c r="R189">
        <v>3403615.7626195168</v>
      </c>
      <c r="S189">
        <v>0</v>
      </c>
    </row>
    <row r="190" spans="18:19" x14ac:dyDescent="0.25">
      <c r="R190">
        <v>3403641.4251203891</v>
      </c>
      <c r="S190">
        <v>0</v>
      </c>
    </row>
    <row r="191" spans="18:19" x14ac:dyDescent="0.25">
      <c r="R191">
        <v>3403667.0876212614</v>
      </c>
      <c r="S191">
        <v>0</v>
      </c>
    </row>
    <row r="192" spans="18:19" x14ac:dyDescent="0.25">
      <c r="R192">
        <v>3403692.7501221336</v>
      </c>
      <c r="S192">
        <v>0</v>
      </c>
    </row>
    <row r="193" spans="18:19" x14ac:dyDescent="0.25">
      <c r="R193">
        <v>3403718.4126230064</v>
      </c>
      <c r="S193">
        <v>0</v>
      </c>
    </row>
    <row r="194" spans="18:19" x14ac:dyDescent="0.25">
      <c r="R194">
        <v>3403744.0751238787</v>
      </c>
      <c r="S194">
        <v>0</v>
      </c>
    </row>
    <row r="195" spans="18:19" x14ac:dyDescent="0.25">
      <c r="R195">
        <v>3403769.7376247509</v>
      </c>
      <c r="S195">
        <v>0</v>
      </c>
    </row>
    <row r="196" spans="18:19" x14ac:dyDescent="0.25">
      <c r="R196">
        <v>3403795.4001256232</v>
      </c>
      <c r="S196">
        <v>0</v>
      </c>
    </row>
    <row r="197" spans="18:19" x14ac:dyDescent="0.25">
      <c r="R197">
        <v>3403821.062626496</v>
      </c>
      <c r="S197">
        <v>0</v>
      </c>
    </row>
    <row r="198" spans="18:19" x14ac:dyDescent="0.25">
      <c r="R198">
        <v>3403846.7251273682</v>
      </c>
      <c r="S198">
        <v>0</v>
      </c>
    </row>
    <row r="199" spans="18:19" x14ac:dyDescent="0.25">
      <c r="R199">
        <v>3403872.3876282405</v>
      </c>
      <c r="S199">
        <v>0</v>
      </c>
    </row>
    <row r="200" spans="18:19" x14ac:dyDescent="0.25">
      <c r="R200">
        <v>3403898.0501291128</v>
      </c>
      <c r="S200">
        <v>0</v>
      </c>
    </row>
    <row r="201" spans="18:19" x14ac:dyDescent="0.25">
      <c r="R201">
        <v>3403923.7126299855</v>
      </c>
      <c r="S201">
        <v>0</v>
      </c>
    </row>
    <row r="202" spans="18:19" x14ac:dyDescent="0.25">
      <c r="R202">
        <v>3403949.3751308578</v>
      </c>
      <c r="S202">
        <v>0</v>
      </c>
    </row>
    <row r="203" spans="18:19" x14ac:dyDescent="0.25">
      <c r="R203">
        <v>3403975.0376317301</v>
      </c>
      <c r="S203">
        <v>0</v>
      </c>
    </row>
    <row r="204" spans="18:19" x14ac:dyDescent="0.25">
      <c r="R204">
        <v>3404000.7001326024</v>
      </c>
      <c r="S204">
        <v>0</v>
      </c>
    </row>
    <row r="205" spans="18:19" x14ac:dyDescent="0.25">
      <c r="R205">
        <v>3404026.3626334751</v>
      </c>
      <c r="S205">
        <v>0</v>
      </c>
    </row>
    <row r="206" spans="18:19" x14ac:dyDescent="0.25">
      <c r="R206">
        <v>3404052.0251343474</v>
      </c>
      <c r="S206">
        <v>0</v>
      </c>
    </row>
    <row r="207" spans="18:19" x14ac:dyDescent="0.25">
      <c r="R207">
        <v>3404077.6876352197</v>
      </c>
      <c r="S207">
        <v>0</v>
      </c>
    </row>
    <row r="208" spans="18:19" x14ac:dyDescent="0.25">
      <c r="R208">
        <v>3404103.3501360919</v>
      </c>
      <c r="S208">
        <v>0</v>
      </c>
    </row>
    <row r="209" spans="18:19" x14ac:dyDescent="0.25">
      <c r="R209">
        <v>3404129.0126369642</v>
      </c>
      <c r="S209">
        <v>0</v>
      </c>
    </row>
    <row r="210" spans="18:19" x14ac:dyDescent="0.25">
      <c r="R210">
        <v>3404154.675137837</v>
      </c>
      <c r="S210">
        <v>0</v>
      </c>
    </row>
    <row r="211" spans="18:19" x14ac:dyDescent="0.25">
      <c r="R211">
        <v>3404180.3376387092</v>
      </c>
      <c r="S211">
        <v>0</v>
      </c>
    </row>
    <row r="212" spans="18:19" x14ac:dyDescent="0.25">
      <c r="R212">
        <v>3404206.0001395815</v>
      </c>
      <c r="S212">
        <v>0</v>
      </c>
    </row>
    <row r="213" spans="18:19" x14ac:dyDescent="0.25">
      <c r="R213">
        <v>3404231.6626404538</v>
      </c>
      <c r="S213">
        <v>0</v>
      </c>
    </row>
    <row r="214" spans="18:19" x14ac:dyDescent="0.25">
      <c r="R214">
        <v>3404257.3251413265</v>
      </c>
      <c r="S214">
        <v>0</v>
      </c>
    </row>
    <row r="215" spans="18:19" x14ac:dyDescent="0.25">
      <c r="R215">
        <v>3404282.9876421988</v>
      </c>
      <c r="S215">
        <v>0</v>
      </c>
    </row>
    <row r="216" spans="18:19" x14ac:dyDescent="0.25">
      <c r="R216">
        <v>3404308.6501430711</v>
      </c>
      <c r="S216">
        <v>0</v>
      </c>
    </row>
    <row r="217" spans="18:19" x14ac:dyDescent="0.25">
      <c r="R217">
        <v>3404334.3126439434</v>
      </c>
      <c r="S217">
        <v>0</v>
      </c>
    </row>
    <row r="218" spans="18:19" x14ac:dyDescent="0.25">
      <c r="R218">
        <v>3404359.9751448161</v>
      </c>
      <c r="S218">
        <v>0</v>
      </c>
    </row>
    <row r="219" spans="18:19" x14ac:dyDescent="0.25">
      <c r="R219">
        <v>3404385.6376456884</v>
      </c>
      <c r="S219">
        <v>0</v>
      </c>
    </row>
    <row r="220" spans="18:19" x14ac:dyDescent="0.25">
      <c r="R220">
        <v>3404411.3001465607</v>
      </c>
      <c r="S220">
        <v>0</v>
      </c>
    </row>
    <row r="221" spans="18:19" x14ac:dyDescent="0.25">
      <c r="R221">
        <v>3404436.9626474329</v>
      </c>
      <c r="S221">
        <v>0</v>
      </c>
    </row>
    <row r="222" spans="18:19" x14ac:dyDescent="0.25">
      <c r="R222">
        <v>3404462.6251483052</v>
      </c>
      <c r="S222">
        <v>0</v>
      </c>
    </row>
    <row r="223" spans="18:19" x14ac:dyDescent="0.25">
      <c r="R223">
        <v>3404488.2876491779</v>
      </c>
      <c r="S223">
        <v>0</v>
      </c>
    </row>
    <row r="224" spans="18:19" x14ac:dyDescent="0.25">
      <c r="R224">
        <v>3404513.9501500502</v>
      </c>
      <c r="S224">
        <v>0</v>
      </c>
    </row>
    <row r="225" spans="18:19" x14ac:dyDescent="0.25">
      <c r="R225">
        <v>3404539.6126509225</v>
      </c>
      <c r="S225">
        <v>0</v>
      </c>
    </row>
    <row r="226" spans="18:19" x14ac:dyDescent="0.25">
      <c r="R226">
        <v>3404565.2751517948</v>
      </c>
      <c r="S226">
        <v>0</v>
      </c>
    </row>
    <row r="227" spans="18:19" x14ac:dyDescent="0.25">
      <c r="R227">
        <v>3404590.9376526675</v>
      </c>
      <c r="S227">
        <v>0</v>
      </c>
    </row>
    <row r="228" spans="18:19" x14ac:dyDescent="0.25">
      <c r="R228">
        <v>3404616.6001535398</v>
      </c>
      <c r="S228">
        <v>0</v>
      </c>
    </row>
    <row r="229" spans="18:19" x14ac:dyDescent="0.25">
      <c r="R229">
        <v>3404642.2626544121</v>
      </c>
      <c r="S229">
        <v>0</v>
      </c>
    </row>
    <row r="230" spans="18:19" x14ac:dyDescent="0.25">
      <c r="R230">
        <v>3404667.9251552843</v>
      </c>
      <c r="S230">
        <v>0</v>
      </c>
    </row>
    <row r="231" spans="18:19" x14ac:dyDescent="0.25">
      <c r="R231">
        <v>3404693.5876561571</v>
      </c>
      <c r="S231">
        <v>0</v>
      </c>
    </row>
    <row r="232" spans="18:19" x14ac:dyDescent="0.25">
      <c r="R232">
        <v>3404719.2501570294</v>
      </c>
      <c r="S232">
        <v>0</v>
      </c>
    </row>
    <row r="233" spans="18:19" x14ac:dyDescent="0.25">
      <c r="R233">
        <v>3404744.9126579016</v>
      </c>
      <c r="S233">
        <v>0</v>
      </c>
    </row>
    <row r="234" spans="18:19" x14ac:dyDescent="0.25">
      <c r="R234">
        <v>3404770.5751587739</v>
      </c>
      <c r="S234">
        <v>0</v>
      </c>
    </row>
    <row r="235" spans="18:19" x14ac:dyDescent="0.25">
      <c r="R235">
        <v>3404796.2376596467</v>
      </c>
      <c r="S235">
        <v>0</v>
      </c>
    </row>
    <row r="236" spans="18:19" x14ac:dyDescent="0.25">
      <c r="R236">
        <v>3404821.9001605189</v>
      </c>
      <c r="S236">
        <v>0</v>
      </c>
    </row>
    <row r="237" spans="18:19" x14ac:dyDescent="0.25">
      <c r="R237">
        <v>3404847.5626613912</v>
      </c>
      <c r="S237">
        <v>0</v>
      </c>
    </row>
    <row r="238" spans="18:19" x14ac:dyDescent="0.25">
      <c r="R238">
        <v>3404873.2251622635</v>
      </c>
      <c r="S238">
        <v>0</v>
      </c>
    </row>
    <row r="239" spans="18:19" x14ac:dyDescent="0.25">
      <c r="R239">
        <v>3404898.8876631358</v>
      </c>
      <c r="S239">
        <v>0</v>
      </c>
    </row>
    <row r="240" spans="18:19" x14ac:dyDescent="0.25">
      <c r="R240">
        <v>3404924.5501640085</v>
      </c>
      <c r="S240">
        <v>0</v>
      </c>
    </row>
    <row r="241" spans="18:19" x14ac:dyDescent="0.25">
      <c r="R241">
        <v>3404950.2126648808</v>
      </c>
      <c r="S241">
        <v>0</v>
      </c>
    </row>
    <row r="242" spans="18:19" x14ac:dyDescent="0.25">
      <c r="R242">
        <v>3404975.8751657531</v>
      </c>
      <c r="S242">
        <v>0</v>
      </c>
    </row>
    <row r="243" spans="18:19" x14ac:dyDescent="0.25">
      <c r="R243">
        <v>3405001.5376666253</v>
      </c>
      <c r="S243">
        <v>0</v>
      </c>
    </row>
    <row r="244" spans="18:19" x14ac:dyDescent="0.25">
      <c r="R244">
        <v>3405027.2001674981</v>
      </c>
      <c r="S244">
        <v>0</v>
      </c>
    </row>
    <row r="245" spans="18:19" x14ac:dyDescent="0.25">
      <c r="R245">
        <v>3405052.8626683704</v>
      </c>
      <c r="S245">
        <v>0</v>
      </c>
    </row>
    <row r="246" spans="18:19" x14ac:dyDescent="0.25">
      <c r="R246">
        <v>3405078.5251692426</v>
      </c>
      <c r="S246">
        <v>0</v>
      </c>
    </row>
    <row r="247" spans="18:19" x14ac:dyDescent="0.25">
      <c r="R247">
        <v>3405104.1876701149</v>
      </c>
      <c r="S247">
        <v>0</v>
      </c>
    </row>
    <row r="248" spans="18:19" x14ac:dyDescent="0.25">
      <c r="R248">
        <v>3405129.8501709877</v>
      </c>
      <c r="S248">
        <v>0</v>
      </c>
    </row>
    <row r="249" spans="18:19" x14ac:dyDescent="0.25">
      <c r="R249">
        <v>3405155.5126718599</v>
      </c>
      <c r="S249">
        <v>0</v>
      </c>
    </row>
    <row r="250" spans="18:19" x14ac:dyDescent="0.25">
      <c r="R250">
        <v>3405181.1751727322</v>
      </c>
      <c r="S250">
        <v>0</v>
      </c>
    </row>
    <row r="251" spans="18:19" x14ac:dyDescent="0.25">
      <c r="R251">
        <v>3405206.8376736045</v>
      </c>
      <c r="S251">
        <v>0</v>
      </c>
    </row>
    <row r="252" spans="18:19" x14ac:dyDescent="0.25">
      <c r="R252">
        <v>3405232.5001744772</v>
      </c>
      <c r="S252">
        <v>0</v>
      </c>
    </row>
    <row r="253" spans="18:19" x14ac:dyDescent="0.25">
      <c r="R253">
        <v>3405258.1626753495</v>
      </c>
      <c r="S253">
        <v>0</v>
      </c>
    </row>
    <row r="254" spans="18:19" x14ac:dyDescent="0.25">
      <c r="R254">
        <v>3405283.8251762218</v>
      </c>
      <c r="S254">
        <v>0</v>
      </c>
    </row>
    <row r="255" spans="18:19" x14ac:dyDescent="0.25">
      <c r="R255">
        <v>3405309.4876770941</v>
      </c>
      <c r="S255">
        <v>0</v>
      </c>
    </row>
    <row r="256" spans="18:19" x14ac:dyDescent="0.25">
      <c r="R256">
        <v>3405335.1501779663</v>
      </c>
      <c r="S256">
        <v>0</v>
      </c>
    </row>
    <row r="257" spans="18:19" x14ac:dyDescent="0.25">
      <c r="R257">
        <v>3405360.8126788391</v>
      </c>
      <c r="S257">
        <v>0</v>
      </c>
    </row>
    <row r="258" spans="18:19" x14ac:dyDescent="0.25">
      <c r="R258">
        <v>3405386.4751797114</v>
      </c>
      <c r="S258">
        <v>0</v>
      </c>
    </row>
    <row r="259" spans="18:19" x14ac:dyDescent="0.25">
      <c r="R259">
        <v>3405412.1376805836</v>
      </c>
      <c r="S259">
        <v>0</v>
      </c>
    </row>
    <row r="260" spans="18:19" x14ac:dyDescent="0.25">
      <c r="R260">
        <v>3405437.8001814559</v>
      </c>
      <c r="S260">
        <v>0</v>
      </c>
    </row>
    <row r="261" spans="18:19" x14ac:dyDescent="0.25">
      <c r="R261">
        <v>3405463.4626823287</v>
      </c>
      <c r="S261">
        <v>0</v>
      </c>
    </row>
    <row r="262" spans="18:19" x14ac:dyDescent="0.25">
      <c r="R262">
        <v>3405489.1251832009</v>
      </c>
      <c r="S262">
        <v>0</v>
      </c>
    </row>
    <row r="263" spans="18:19" x14ac:dyDescent="0.25">
      <c r="R263">
        <v>3405514.7876840732</v>
      </c>
      <c r="S263">
        <v>0</v>
      </c>
    </row>
    <row r="264" spans="18:19" x14ac:dyDescent="0.25">
      <c r="R264">
        <v>3405540.4501849455</v>
      </c>
      <c r="S264">
        <v>0</v>
      </c>
    </row>
    <row r="265" spans="18:19" x14ac:dyDescent="0.25">
      <c r="R265">
        <v>3405566.1126858182</v>
      </c>
      <c r="S265">
        <v>0</v>
      </c>
    </row>
    <row r="266" spans="18:19" x14ac:dyDescent="0.25">
      <c r="R266">
        <v>3405591.7751866905</v>
      </c>
      <c r="S266">
        <v>0</v>
      </c>
    </row>
    <row r="267" spans="18:19" x14ac:dyDescent="0.25">
      <c r="R267">
        <v>3405617.4376875628</v>
      </c>
      <c r="S267">
        <v>0</v>
      </c>
    </row>
    <row r="268" spans="18:19" x14ac:dyDescent="0.25">
      <c r="R268">
        <v>3405643.1001884351</v>
      </c>
      <c r="S268">
        <v>0</v>
      </c>
    </row>
    <row r="269" spans="18:19" x14ac:dyDescent="0.25">
      <c r="R269">
        <v>3405668.7626893078</v>
      </c>
      <c r="S269">
        <v>0</v>
      </c>
    </row>
    <row r="270" spans="18:19" x14ac:dyDescent="0.25">
      <c r="R270">
        <v>3405694.4251901801</v>
      </c>
      <c r="S270">
        <v>0</v>
      </c>
    </row>
    <row r="271" spans="18:19" x14ac:dyDescent="0.25">
      <c r="R271">
        <v>3405720.0876910524</v>
      </c>
      <c r="S271">
        <v>0</v>
      </c>
    </row>
    <row r="272" spans="18:19" x14ac:dyDescent="0.25">
      <c r="R272">
        <v>3405745.7501919246</v>
      </c>
      <c r="S272">
        <v>0</v>
      </c>
    </row>
    <row r="273" spans="18:19" x14ac:dyDescent="0.25">
      <c r="R273">
        <v>3405771.4126927969</v>
      </c>
      <c r="S273">
        <v>0</v>
      </c>
    </row>
    <row r="274" spans="18:19" x14ac:dyDescent="0.25">
      <c r="R274">
        <v>3405797.0751936696</v>
      </c>
      <c r="S274">
        <v>0</v>
      </c>
    </row>
    <row r="275" spans="18:19" x14ac:dyDescent="0.25">
      <c r="R275">
        <v>3405822.7376945419</v>
      </c>
      <c r="S275">
        <v>0</v>
      </c>
    </row>
    <row r="276" spans="18:19" x14ac:dyDescent="0.25">
      <c r="R276">
        <v>3405848.4001954142</v>
      </c>
      <c r="S276">
        <v>0</v>
      </c>
    </row>
    <row r="277" spans="18:19" x14ac:dyDescent="0.25">
      <c r="R277">
        <v>3405874.0626962865</v>
      </c>
      <c r="S277">
        <v>0</v>
      </c>
    </row>
    <row r="278" spans="18:19" x14ac:dyDescent="0.25">
      <c r="R278">
        <v>3405899.7251971592</v>
      </c>
      <c r="S278">
        <v>0</v>
      </c>
    </row>
    <row r="279" spans="18:19" x14ac:dyDescent="0.25">
      <c r="R279">
        <v>3405925.3876980315</v>
      </c>
      <c r="S279">
        <v>0</v>
      </c>
    </row>
    <row r="280" spans="18:19" x14ac:dyDescent="0.25">
      <c r="R280">
        <v>3405951.0501989038</v>
      </c>
      <c r="S280">
        <v>0</v>
      </c>
    </row>
    <row r="281" spans="18:19" x14ac:dyDescent="0.25">
      <c r="R281">
        <v>3405976.712699776</v>
      </c>
      <c r="S281">
        <v>0</v>
      </c>
    </row>
    <row r="282" spans="18:19" x14ac:dyDescent="0.25">
      <c r="R282">
        <v>3406002.3752006488</v>
      </c>
      <c r="S282">
        <v>0</v>
      </c>
    </row>
    <row r="283" spans="18:19" x14ac:dyDescent="0.25">
      <c r="R283">
        <v>3406028.0377015211</v>
      </c>
      <c r="S283">
        <v>0</v>
      </c>
    </row>
    <row r="284" spans="18:19" x14ac:dyDescent="0.25">
      <c r="R284">
        <v>3406053.7002023933</v>
      </c>
      <c r="S284">
        <v>0</v>
      </c>
    </row>
    <row r="285" spans="18:19" x14ac:dyDescent="0.25">
      <c r="R285">
        <v>3406079.3627032656</v>
      </c>
      <c r="S285">
        <v>0</v>
      </c>
    </row>
    <row r="286" spans="18:19" x14ac:dyDescent="0.25">
      <c r="R286">
        <v>3406105.0252041379</v>
      </c>
      <c r="S286">
        <v>0</v>
      </c>
    </row>
    <row r="287" spans="18:19" x14ac:dyDescent="0.25">
      <c r="R287">
        <v>3406130.6877050106</v>
      </c>
      <c r="S287">
        <v>0</v>
      </c>
    </row>
    <row r="288" spans="18:19" x14ac:dyDescent="0.25">
      <c r="R288">
        <v>3406156.3502058829</v>
      </c>
      <c r="S288">
        <v>0</v>
      </c>
    </row>
    <row r="289" spans="18:19" x14ac:dyDescent="0.25">
      <c r="R289">
        <v>3406182.0127067552</v>
      </c>
      <c r="S289">
        <v>0</v>
      </c>
    </row>
    <row r="290" spans="18:19" x14ac:dyDescent="0.25">
      <c r="R290">
        <v>3406207.6752076275</v>
      </c>
      <c r="S290">
        <v>0</v>
      </c>
    </row>
    <row r="291" spans="18:19" x14ac:dyDescent="0.25">
      <c r="R291">
        <v>3406233.3377085002</v>
      </c>
      <c r="S291">
        <v>0</v>
      </c>
    </row>
    <row r="292" spans="18:19" x14ac:dyDescent="0.25">
      <c r="R292">
        <v>3406259.0002093725</v>
      </c>
      <c r="S292">
        <v>0</v>
      </c>
    </row>
    <row r="293" spans="18:19" x14ac:dyDescent="0.25">
      <c r="R293">
        <v>3406284.6627102448</v>
      </c>
      <c r="S293">
        <v>0</v>
      </c>
    </row>
    <row r="294" spans="18:19" x14ac:dyDescent="0.25">
      <c r="R294">
        <v>3406310.325211117</v>
      </c>
      <c r="S294">
        <v>0</v>
      </c>
    </row>
    <row r="295" spans="18:19" x14ac:dyDescent="0.25">
      <c r="R295">
        <v>3406335.9877119898</v>
      </c>
      <c r="S295">
        <v>0</v>
      </c>
    </row>
    <row r="296" spans="18:19" x14ac:dyDescent="0.25">
      <c r="R296">
        <v>3406361.6502128621</v>
      </c>
      <c r="S296">
        <v>0</v>
      </c>
    </row>
    <row r="297" spans="18:19" x14ac:dyDescent="0.25">
      <c r="R297">
        <v>3406387.3127137343</v>
      </c>
      <c r="S297">
        <v>0</v>
      </c>
    </row>
    <row r="298" spans="18:19" x14ac:dyDescent="0.25">
      <c r="R298">
        <v>3406412.9752146066</v>
      </c>
      <c r="S298">
        <v>0</v>
      </c>
    </row>
    <row r="299" spans="18:19" x14ac:dyDescent="0.25">
      <c r="R299">
        <v>3406438.6377154794</v>
      </c>
      <c r="S299">
        <v>0</v>
      </c>
    </row>
    <row r="300" spans="18:19" x14ac:dyDescent="0.25">
      <c r="R300">
        <v>3406464.3002163516</v>
      </c>
      <c r="S300">
        <v>0</v>
      </c>
    </row>
    <row r="301" spans="18:19" x14ac:dyDescent="0.25">
      <c r="R301">
        <v>3406489.9627172239</v>
      </c>
      <c r="S301">
        <v>0</v>
      </c>
    </row>
    <row r="302" spans="18:19" x14ac:dyDescent="0.25">
      <c r="R302">
        <v>3406515.6252180962</v>
      </c>
      <c r="S302">
        <v>0</v>
      </c>
    </row>
    <row r="303" spans="18:19" x14ac:dyDescent="0.25">
      <c r="R303">
        <v>3406541.2877189685</v>
      </c>
      <c r="S303">
        <v>0</v>
      </c>
    </row>
    <row r="304" spans="18:19" x14ac:dyDescent="0.25">
      <c r="R304">
        <v>3406566.9502198412</v>
      </c>
      <c r="S304">
        <v>0</v>
      </c>
    </row>
    <row r="305" spans="18:19" x14ac:dyDescent="0.25">
      <c r="R305">
        <v>3406592.6127207135</v>
      </c>
      <c r="S305">
        <v>0</v>
      </c>
    </row>
    <row r="306" spans="18:19" x14ac:dyDescent="0.25">
      <c r="R306">
        <v>3406618.2752215858</v>
      </c>
      <c r="S306">
        <v>0</v>
      </c>
    </row>
    <row r="307" spans="18:19" x14ac:dyDescent="0.25">
      <c r="R307">
        <v>3406643.937722458</v>
      </c>
      <c r="S307">
        <v>0</v>
      </c>
    </row>
    <row r="308" spans="18:19" x14ac:dyDescent="0.25">
      <c r="R308">
        <v>3406669.6002233308</v>
      </c>
      <c r="S308">
        <v>0</v>
      </c>
    </row>
    <row r="309" spans="18:19" x14ac:dyDescent="0.25">
      <c r="R309">
        <v>3406695.2627242031</v>
      </c>
      <c r="S309">
        <v>0</v>
      </c>
    </row>
    <row r="310" spans="18:19" x14ac:dyDescent="0.25">
      <c r="R310">
        <v>3406720.9252250753</v>
      </c>
      <c r="S310">
        <v>0</v>
      </c>
    </row>
    <row r="311" spans="18:19" x14ac:dyDescent="0.25">
      <c r="R311">
        <v>3406746.5877259476</v>
      </c>
      <c r="S311">
        <v>0</v>
      </c>
    </row>
    <row r="312" spans="18:19" x14ac:dyDescent="0.25">
      <c r="R312">
        <v>3406772.2502268204</v>
      </c>
      <c r="S312">
        <v>0</v>
      </c>
    </row>
    <row r="313" spans="18:19" x14ac:dyDescent="0.25">
      <c r="R313">
        <v>3406797.9127276926</v>
      </c>
      <c r="S313">
        <v>0</v>
      </c>
    </row>
    <row r="314" spans="18:19" x14ac:dyDescent="0.25">
      <c r="R314">
        <v>3406823.5752285649</v>
      </c>
      <c r="S314">
        <v>0</v>
      </c>
    </row>
    <row r="315" spans="18:19" x14ac:dyDescent="0.25">
      <c r="R315">
        <v>3406849.2377294372</v>
      </c>
      <c r="S315">
        <v>0</v>
      </c>
    </row>
    <row r="316" spans="18:19" x14ac:dyDescent="0.25">
      <c r="R316">
        <v>3406874.9002303099</v>
      </c>
      <c r="S316">
        <v>0</v>
      </c>
    </row>
    <row r="317" spans="18:19" x14ac:dyDescent="0.25">
      <c r="R317">
        <v>3406900.5627311822</v>
      </c>
      <c r="S317">
        <v>0</v>
      </c>
    </row>
    <row r="318" spans="18:19" x14ac:dyDescent="0.25">
      <c r="R318">
        <v>3406926.2252320545</v>
      </c>
      <c r="S318">
        <v>0</v>
      </c>
    </row>
    <row r="319" spans="18:19" x14ac:dyDescent="0.25">
      <c r="R319">
        <v>3406951.8877329268</v>
      </c>
      <c r="S319">
        <v>0</v>
      </c>
    </row>
    <row r="320" spans="18:19" x14ac:dyDescent="0.25">
      <c r="R320">
        <v>3406977.550233799</v>
      </c>
      <c r="S320">
        <v>0</v>
      </c>
    </row>
    <row r="321" spans="18:19" x14ac:dyDescent="0.25">
      <c r="R321">
        <v>3407003.2127346718</v>
      </c>
      <c r="S321">
        <v>0</v>
      </c>
    </row>
    <row r="322" spans="18:19" x14ac:dyDescent="0.25">
      <c r="R322">
        <v>3407028.8752355441</v>
      </c>
      <c r="S322">
        <v>0</v>
      </c>
    </row>
    <row r="323" spans="18:19" x14ac:dyDescent="0.25">
      <c r="R323">
        <v>3407054.5377364163</v>
      </c>
      <c r="S323">
        <v>0</v>
      </c>
    </row>
    <row r="324" spans="18:19" x14ac:dyDescent="0.25">
      <c r="R324">
        <v>3407080.2002372886</v>
      </c>
      <c r="S324">
        <v>0</v>
      </c>
    </row>
    <row r="325" spans="18:19" x14ac:dyDescent="0.25">
      <c r="R325">
        <v>3407105.8627381613</v>
      </c>
      <c r="S325">
        <v>0</v>
      </c>
    </row>
    <row r="326" spans="18:19" x14ac:dyDescent="0.25">
      <c r="R326">
        <v>3407131.5252390336</v>
      </c>
      <c r="S326">
        <v>0</v>
      </c>
    </row>
    <row r="327" spans="18:19" x14ac:dyDescent="0.25">
      <c r="R327">
        <v>3407157.1877399059</v>
      </c>
      <c r="S327">
        <v>0</v>
      </c>
    </row>
    <row r="328" spans="18:19" x14ac:dyDescent="0.25">
      <c r="R328">
        <v>3407182.8502407782</v>
      </c>
      <c r="S328">
        <v>0</v>
      </c>
    </row>
    <row r="329" spans="18:19" x14ac:dyDescent="0.25">
      <c r="R329">
        <v>3407208.5127416509</v>
      </c>
      <c r="S329">
        <v>0</v>
      </c>
    </row>
    <row r="330" spans="18:19" x14ac:dyDescent="0.25">
      <c r="R330">
        <v>3407234.1752425232</v>
      </c>
      <c r="S330">
        <v>0</v>
      </c>
    </row>
    <row r="331" spans="18:19" x14ac:dyDescent="0.25">
      <c r="R331">
        <v>3407259.8377433955</v>
      </c>
      <c r="S331">
        <v>0</v>
      </c>
    </row>
    <row r="332" spans="18:19" x14ac:dyDescent="0.25">
      <c r="R332">
        <v>3407285.5002442678</v>
      </c>
      <c r="S332">
        <v>0</v>
      </c>
    </row>
    <row r="333" spans="18:19" x14ac:dyDescent="0.25">
      <c r="R333">
        <v>3407311.1627451405</v>
      </c>
      <c r="S333">
        <v>0</v>
      </c>
    </row>
    <row r="334" spans="18:19" x14ac:dyDescent="0.25">
      <c r="R334">
        <v>3407336.8252460128</v>
      </c>
      <c r="S334">
        <v>0</v>
      </c>
    </row>
    <row r="335" spans="18:19" x14ac:dyDescent="0.25">
      <c r="R335">
        <v>3407362.487746885</v>
      </c>
      <c r="S335">
        <v>0</v>
      </c>
    </row>
    <row r="336" spans="18:19" x14ac:dyDescent="0.25">
      <c r="R336">
        <v>3407388.1502477573</v>
      </c>
      <c r="S336">
        <v>0</v>
      </c>
    </row>
    <row r="337" spans="18:19" x14ac:dyDescent="0.25">
      <c r="R337">
        <v>3407413.8127486296</v>
      </c>
      <c r="S337">
        <v>0</v>
      </c>
    </row>
    <row r="338" spans="18:19" x14ac:dyDescent="0.25">
      <c r="R338">
        <v>3407439.4752495023</v>
      </c>
      <c r="S338">
        <v>0</v>
      </c>
    </row>
    <row r="339" spans="18:19" x14ac:dyDescent="0.25">
      <c r="R339">
        <v>3407465.1377503746</v>
      </c>
      <c r="S339">
        <v>0</v>
      </c>
    </row>
    <row r="340" spans="18:19" x14ac:dyDescent="0.25">
      <c r="R340">
        <v>3407490.8002512469</v>
      </c>
      <c r="S340">
        <v>0</v>
      </c>
    </row>
    <row r="341" spans="18:19" x14ac:dyDescent="0.25">
      <c r="R341">
        <v>3407516.4627521192</v>
      </c>
      <c r="S341">
        <v>0</v>
      </c>
    </row>
    <row r="342" spans="18:19" x14ac:dyDescent="0.25">
      <c r="R342">
        <v>3407542.1252529919</v>
      </c>
      <c r="S342">
        <v>0</v>
      </c>
    </row>
    <row r="343" spans="18:19" x14ac:dyDescent="0.25">
      <c r="R343">
        <v>3407567.7877538642</v>
      </c>
      <c r="S343">
        <v>0</v>
      </c>
    </row>
    <row r="344" spans="18:19" x14ac:dyDescent="0.25">
      <c r="R344">
        <v>3407593.4502547365</v>
      </c>
      <c r="S344">
        <v>0</v>
      </c>
    </row>
    <row r="345" spans="18:19" x14ac:dyDescent="0.25">
      <c r="R345">
        <v>3407619.1127556087</v>
      </c>
      <c r="S345">
        <v>0</v>
      </c>
    </row>
    <row r="346" spans="18:19" x14ac:dyDescent="0.25">
      <c r="R346">
        <v>3407644.7752564815</v>
      </c>
      <c r="S346">
        <v>0</v>
      </c>
    </row>
    <row r="347" spans="18:19" x14ac:dyDescent="0.25">
      <c r="R347">
        <v>3407670.4377573538</v>
      </c>
      <c r="S347">
        <v>0</v>
      </c>
    </row>
    <row r="348" spans="18:19" x14ac:dyDescent="0.25">
      <c r="R348">
        <v>3407696.100258226</v>
      </c>
      <c r="S348">
        <v>0</v>
      </c>
    </row>
    <row r="349" spans="18:19" x14ac:dyDescent="0.25">
      <c r="R349">
        <v>3407721.7627590983</v>
      </c>
      <c r="S349">
        <v>0</v>
      </c>
    </row>
    <row r="350" spans="18:19" x14ac:dyDescent="0.25">
      <c r="R350">
        <v>3407747.4252599706</v>
      </c>
      <c r="S350">
        <v>0</v>
      </c>
    </row>
    <row r="351" spans="18:19" x14ac:dyDescent="0.25">
      <c r="R351">
        <v>3407773.0877608433</v>
      </c>
      <c r="S351">
        <v>0</v>
      </c>
    </row>
    <row r="352" spans="18:19" x14ac:dyDescent="0.25">
      <c r="R352">
        <v>3407798.7502617156</v>
      </c>
      <c r="S352">
        <v>0</v>
      </c>
    </row>
    <row r="353" spans="18:19" x14ac:dyDescent="0.25">
      <c r="R353">
        <v>3407824.4127625879</v>
      </c>
      <c r="S353">
        <v>0</v>
      </c>
    </row>
    <row r="354" spans="18:19" x14ac:dyDescent="0.25">
      <c r="R354">
        <v>3407850.0752634602</v>
      </c>
      <c r="S354">
        <v>0</v>
      </c>
    </row>
    <row r="355" spans="18:19" x14ac:dyDescent="0.25">
      <c r="R355">
        <v>3407875.7377643329</v>
      </c>
      <c r="S355">
        <v>0</v>
      </c>
    </row>
    <row r="356" spans="18:19" x14ac:dyDescent="0.25">
      <c r="R356">
        <v>3407901.4002652052</v>
      </c>
      <c r="S356">
        <v>0</v>
      </c>
    </row>
    <row r="357" spans="18:19" x14ac:dyDescent="0.25">
      <c r="R357">
        <v>3407927.0627660775</v>
      </c>
      <c r="S357">
        <v>0</v>
      </c>
    </row>
    <row r="358" spans="18:19" x14ac:dyDescent="0.25">
      <c r="R358">
        <v>3407952.7252669497</v>
      </c>
      <c r="S358">
        <v>0</v>
      </c>
    </row>
    <row r="359" spans="18:19" x14ac:dyDescent="0.25">
      <c r="R359">
        <v>3407978.3877678225</v>
      </c>
      <c r="S359">
        <v>0</v>
      </c>
    </row>
    <row r="360" spans="18:19" x14ac:dyDescent="0.25">
      <c r="R360">
        <v>3408004.0502686948</v>
      </c>
      <c r="S360">
        <v>0</v>
      </c>
    </row>
    <row r="361" spans="18:19" x14ac:dyDescent="0.25">
      <c r="R361">
        <v>3408029.712769567</v>
      </c>
      <c r="S361">
        <v>0</v>
      </c>
    </row>
    <row r="362" spans="18:19" x14ac:dyDescent="0.25">
      <c r="R362">
        <v>3408055.3752704393</v>
      </c>
      <c r="S362">
        <v>0</v>
      </c>
    </row>
    <row r="363" spans="18:19" x14ac:dyDescent="0.25">
      <c r="R363">
        <v>3408081.0377713121</v>
      </c>
      <c r="S363">
        <v>0</v>
      </c>
    </row>
    <row r="364" spans="18:19" x14ac:dyDescent="0.25">
      <c r="R364">
        <v>3408106.7002721843</v>
      </c>
      <c r="S364">
        <v>0</v>
      </c>
    </row>
    <row r="365" spans="18:19" x14ac:dyDescent="0.25">
      <c r="R365">
        <v>3408132.3627730566</v>
      </c>
      <c r="S365">
        <v>0</v>
      </c>
    </row>
    <row r="366" spans="18:19" x14ac:dyDescent="0.25">
      <c r="R366">
        <v>3408158.0252739289</v>
      </c>
      <c r="S366">
        <v>0</v>
      </c>
    </row>
    <row r="367" spans="18:19" x14ac:dyDescent="0.25">
      <c r="R367">
        <v>3408183.6877748012</v>
      </c>
      <c r="S367">
        <v>0</v>
      </c>
    </row>
    <row r="368" spans="18:19" x14ac:dyDescent="0.25">
      <c r="R368">
        <v>3408209.3502756739</v>
      </c>
      <c r="S368">
        <v>0</v>
      </c>
    </row>
    <row r="369" spans="18:19" x14ac:dyDescent="0.25">
      <c r="R369">
        <v>3408235.0127765462</v>
      </c>
      <c r="S369">
        <v>0</v>
      </c>
    </row>
    <row r="370" spans="18:19" x14ac:dyDescent="0.25">
      <c r="R370">
        <v>3408260.6752774185</v>
      </c>
      <c r="S370">
        <v>0</v>
      </c>
    </row>
    <row r="371" spans="18:19" x14ac:dyDescent="0.25">
      <c r="R371">
        <v>3408286.3377782907</v>
      </c>
      <c r="S371">
        <v>0</v>
      </c>
    </row>
    <row r="372" spans="18:19" x14ac:dyDescent="0.25">
      <c r="R372">
        <v>3408312.0002791635</v>
      </c>
      <c r="S372">
        <v>0</v>
      </c>
    </row>
    <row r="373" spans="18:19" x14ac:dyDescent="0.25">
      <c r="R373">
        <v>3408337.6627800358</v>
      </c>
      <c r="S373">
        <v>0</v>
      </c>
    </row>
    <row r="374" spans="18:19" x14ac:dyDescent="0.25">
      <c r="R374">
        <v>3408363.325280908</v>
      </c>
      <c r="S374">
        <v>0</v>
      </c>
    </row>
    <row r="375" spans="18:19" x14ac:dyDescent="0.25">
      <c r="R375">
        <v>3408388.9877817803</v>
      </c>
      <c r="S375">
        <v>0</v>
      </c>
    </row>
    <row r="376" spans="18:19" x14ac:dyDescent="0.25">
      <c r="R376">
        <v>3408414.650282653</v>
      </c>
      <c r="S376">
        <v>0</v>
      </c>
    </row>
    <row r="377" spans="18:19" x14ac:dyDescent="0.25">
      <c r="R377">
        <v>3408440.3127835253</v>
      </c>
      <c r="S377">
        <v>0</v>
      </c>
    </row>
    <row r="378" spans="18:19" x14ac:dyDescent="0.25">
      <c r="R378">
        <v>3408465.9752843976</v>
      </c>
      <c r="S378">
        <v>0</v>
      </c>
    </row>
    <row r="379" spans="18:19" x14ac:dyDescent="0.25">
      <c r="R379">
        <v>3408491.6377852699</v>
      </c>
      <c r="S379">
        <v>0</v>
      </c>
    </row>
    <row r="380" spans="18:19" x14ac:dyDescent="0.25">
      <c r="R380">
        <v>3408517.3002861426</v>
      </c>
      <c r="S380">
        <v>0</v>
      </c>
    </row>
    <row r="381" spans="18:19" x14ac:dyDescent="0.25">
      <c r="R381">
        <v>3408542.9627870149</v>
      </c>
      <c r="S381">
        <v>0</v>
      </c>
    </row>
    <row r="382" spans="18:19" x14ac:dyDescent="0.25">
      <c r="R382">
        <v>3408568.6252878872</v>
      </c>
      <c r="S382">
        <v>0</v>
      </c>
    </row>
    <row r="383" spans="18:19" x14ac:dyDescent="0.25">
      <c r="R383">
        <v>3408594.2877887595</v>
      </c>
      <c r="S383">
        <v>0</v>
      </c>
    </row>
    <row r="384" spans="18:19" x14ac:dyDescent="0.25">
      <c r="R384">
        <v>3408619.9502896317</v>
      </c>
      <c r="S384">
        <v>0</v>
      </c>
    </row>
    <row r="385" spans="18:19" x14ac:dyDescent="0.25">
      <c r="R385">
        <v>3408645.6127905045</v>
      </c>
      <c r="S385">
        <v>0</v>
      </c>
    </row>
    <row r="386" spans="18:19" x14ac:dyDescent="0.25">
      <c r="R386">
        <v>3408671.2752913767</v>
      </c>
      <c r="S386">
        <v>0</v>
      </c>
    </row>
    <row r="387" spans="18:19" x14ac:dyDescent="0.25">
      <c r="R387">
        <v>3408696.937792249</v>
      </c>
      <c r="S387">
        <v>0</v>
      </c>
    </row>
    <row r="388" spans="18:19" x14ac:dyDescent="0.25">
      <c r="R388">
        <v>3408722.6002931213</v>
      </c>
      <c r="S388">
        <v>0</v>
      </c>
    </row>
    <row r="389" spans="18:19" x14ac:dyDescent="0.25">
      <c r="R389">
        <v>3408748.262793994</v>
      </c>
      <c r="S389">
        <v>0</v>
      </c>
    </row>
    <row r="390" spans="18:19" x14ac:dyDescent="0.25">
      <c r="R390">
        <v>3408773.9252948663</v>
      </c>
      <c r="S390">
        <v>0</v>
      </c>
    </row>
    <row r="391" spans="18:19" x14ac:dyDescent="0.25">
      <c r="R391">
        <v>3408799.5877957386</v>
      </c>
      <c r="S391">
        <v>0</v>
      </c>
    </row>
    <row r="392" spans="18:19" x14ac:dyDescent="0.25">
      <c r="R392">
        <v>3408825.2502966109</v>
      </c>
      <c r="S392">
        <v>0</v>
      </c>
    </row>
    <row r="393" spans="18:19" x14ac:dyDescent="0.25">
      <c r="R393">
        <v>3408850.9127974836</v>
      </c>
      <c r="S393">
        <v>0</v>
      </c>
    </row>
    <row r="394" spans="18:19" x14ac:dyDescent="0.25">
      <c r="R394">
        <v>3408876.5752983559</v>
      </c>
      <c r="S394">
        <v>0</v>
      </c>
    </row>
    <row r="395" spans="18:19" x14ac:dyDescent="0.25">
      <c r="R395">
        <v>3408902.2377992282</v>
      </c>
      <c r="S395">
        <v>0</v>
      </c>
    </row>
    <row r="396" spans="18:19" x14ac:dyDescent="0.25">
      <c r="R396">
        <v>3408927.9003001004</v>
      </c>
      <c r="S396">
        <v>0</v>
      </c>
    </row>
    <row r="397" spans="18:19" x14ac:dyDescent="0.25">
      <c r="R397">
        <v>3408953.5628009732</v>
      </c>
      <c r="S397">
        <v>0</v>
      </c>
    </row>
    <row r="398" spans="18:19" x14ac:dyDescent="0.25">
      <c r="R398">
        <v>3408979.2253018455</v>
      </c>
      <c r="S398">
        <v>0</v>
      </c>
    </row>
    <row r="399" spans="18:19" x14ac:dyDescent="0.25">
      <c r="R399">
        <v>3409004.8878027177</v>
      </c>
      <c r="S399">
        <v>0</v>
      </c>
    </row>
    <row r="400" spans="18:19" x14ac:dyDescent="0.25">
      <c r="R400">
        <v>3409030.55030359</v>
      </c>
      <c r="S400">
        <v>0</v>
      </c>
    </row>
    <row r="401" spans="18:19" x14ac:dyDescent="0.25">
      <c r="R401">
        <v>3409056.2128044623</v>
      </c>
      <c r="S401">
        <v>0</v>
      </c>
    </row>
    <row r="402" spans="18:19" x14ac:dyDescent="0.25">
      <c r="R402">
        <v>3409081.875305335</v>
      </c>
      <c r="S402">
        <v>0</v>
      </c>
    </row>
    <row r="403" spans="18:19" x14ac:dyDescent="0.25">
      <c r="R403">
        <v>3409107.5378062073</v>
      </c>
      <c r="S403">
        <v>0</v>
      </c>
    </row>
    <row r="404" spans="18:19" x14ac:dyDescent="0.25">
      <c r="R404">
        <v>3409133.2003070796</v>
      </c>
      <c r="S404">
        <v>0</v>
      </c>
    </row>
    <row r="405" spans="18:19" x14ac:dyDescent="0.25">
      <c r="R405">
        <v>3409158.8628079519</v>
      </c>
      <c r="S405">
        <v>0</v>
      </c>
    </row>
    <row r="406" spans="18:19" x14ac:dyDescent="0.25">
      <c r="R406">
        <v>3409184.5253088246</v>
      </c>
      <c r="S406">
        <v>0</v>
      </c>
    </row>
    <row r="407" spans="18:19" x14ac:dyDescent="0.25">
      <c r="R407">
        <v>3409210.1878096969</v>
      </c>
      <c r="S407">
        <v>0</v>
      </c>
    </row>
    <row r="408" spans="18:19" x14ac:dyDescent="0.25">
      <c r="R408">
        <v>3409235.8503105692</v>
      </c>
      <c r="S408">
        <v>0</v>
      </c>
    </row>
    <row r="409" spans="18:19" x14ac:dyDescent="0.25">
      <c r="R409">
        <v>3409261.5128114414</v>
      </c>
      <c r="S409">
        <v>0</v>
      </c>
    </row>
    <row r="410" spans="18:19" x14ac:dyDescent="0.25">
      <c r="R410">
        <v>3409287.1753123142</v>
      </c>
      <c r="S410">
        <v>0</v>
      </c>
    </row>
    <row r="411" spans="18:19" x14ac:dyDescent="0.25">
      <c r="R411">
        <v>3409312.8378131865</v>
      </c>
      <c r="S411">
        <v>0</v>
      </c>
    </row>
    <row r="412" spans="18:19" x14ac:dyDescent="0.25">
      <c r="R412">
        <v>3409338.5003140587</v>
      </c>
      <c r="S412">
        <v>0</v>
      </c>
    </row>
    <row r="413" spans="18:19" x14ac:dyDescent="0.25">
      <c r="R413">
        <v>3409364.162814931</v>
      </c>
      <c r="S413">
        <v>0</v>
      </c>
    </row>
    <row r="414" spans="18:19" x14ac:dyDescent="0.25">
      <c r="R414">
        <v>3409389.8253158033</v>
      </c>
      <c r="S414">
        <v>0</v>
      </c>
    </row>
    <row r="415" spans="18:19" x14ac:dyDescent="0.25">
      <c r="R415">
        <v>3409415.487816676</v>
      </c>
      <c r="S415">
        <v>0</v>
      </c>
    </row>
    <row r="416" spans="18:19" x14ac:dyDescent="0.25">
      <c r="R416">
        <v>3409441.1503175483</v>
      </c>
      <c r="S416">
        <v>0</v>
      </c>
    </row>
    <row r="417" spans="18:19" x14ac:dyDescent="0.25">
      <c r="R417">
        <v>3409466.8128184206</v>
      </c>
      <c r="S417">
        <v>0</v>
      </c>
    </row>
    <row r="418" spans="18:19" x14ac:dyDescent="0.25">
      <c r="R418">
        <v>3409492.4753192929</v>
      </c>
      <c r="S418">
        <v>0</v>
      </c>
    </row>
    <row r="419" spans="18:19" x14ac:dyDescent="0.25">
      <c r="R419">
        <v>3409518.1378201656</v>
      </c>
      <c r="S419">
        <v>0</v>
      </c>
    </row>
    <row r="420" spans="18:19" x14ac:dyDescent="0.25">
      <c r="R420">
        <v>3409543.8003210379</v>
      </c>
      <c r="S420">
        <v>0</v>
      </c>
    </row>
    <row r="421" spans="18:19" x14ac:dyDescent="0.25">
      <c r="R421">
        <v>3409569.4628219102</v>
      </c>
      <c r="S421">
        <v>0</v>
      </c>
    </row>
    <row r="422" spans="18:19" x14ac:dyDescent="0.25">
      <c r="R422">
        <v>3409595.1253227824</v>
      </c>
      <c r="S422">
        <v>0</v>
      </c>
    </row>
    <row r="423" spans="18:19" x14ac:dyDescent="0.25">
      <c r="R423">
        <v>3409620.7878236552</v>
      </c>
      <c r="S423">
        <v>0</v>
      </c>
    </row>
    <row r="424" spans="18:19" x14ac:dyDescent="0.25">
      <c r="R424">
        <v>3409646.4503245275</v>
      </c>
      <c r="S424">
        <v>0</v>
      </c>
    </row>
    <row r="425" spans="18:19" x14ac:dyDescent="0.25">
      <c r="R425">
        <v>3409672.1128253997</v>
      </c>
      <c r="S425">
        <v>0</v>
      </c>
    </row>
    <row r="426" spans="18:19" x14ac:dyDescent="0.25">
      <c r="R426">
        <v>3409697.775326272</v>
      </c>
      <c r="S426">
        <v>0</v>
      </c>
    </row>
    <row r="427" spans="18:19" x14ac:dyDescent="0.25">
      <c r="R427">
        <v>3409723.4378271447</v>
      </c>
      <c r="S427">
        <v>0</v>
      </c>
    </row>
    <row r="428" spans="18:19" x14ac:dyDescent="0.25">
      <c r="R428">
        <v>3409749.100328017</v>
      </c>
      <c r="S428">
        <v>0</v>
      </c>
    </row>
    <row r="429" spans="18:19" x14ac:dyDescent="0.25">
      <c r="R429">
        <v>3409774.7628288893</v>
      </c>
      <c r="S429">
        <v>0</v>
      </c>
    </row>
    <row r="430" spans="18:19" x14ac:dyDescent="0.25">
      <c r="R430">
        <v>3409800.4253297616</v>
      </c>
      <c r="S430">
        <v>0</v>
      </c>
    </row>
    <row r="431" spans="18:19" x14ac:dyDescent="0.25">
      <c r="R431">
        <v>3409826.0878306339</v>
      </c>
      <c r="S431">
        <v>0</v>
      </c>
    </row>
    <row r="432" spans="18:19" x14ac:dyDescent="0.25">
      <c r="R432">
        <v>3409851.7503315066</v>
      </c>
      <c r="S432">
        <v>0</v>
      </c>
    </row>
    <row r="433" spans="18:19" x14ac:dyDescent="0.25">
      <c r="R433">
        <v>3409877.4128323789</v>
      </c>
      <c r="S433">
        <v>0</v>
      </c>
    </row>
    <row r="434" spans="18:19" x14ac:dyDescent="0.25">
      <c r="R434">
        <v>3409903.0753332512</v>
      </c>
      <c r="S434">
        <v>0</v>
      </c>
    </row>
    <row r="435" spans="18:19" x14ac:dyDescent="0.25">
      <c r="R435">
        <v>3409928.7378341234</v>
      </c>
      <c r="S435">
        <v>0</v>
      </c>
    </row>
    <row r="436" spans="18:19" x14ac:dyDescent="0.25">
      <c r="R436">
        <v>3409954.4003349962</v>
      </c>
      <c r="S436">
        <v>0</v>
      </c>
    </row>
    <row r="437" spans="18:19" x14ac:dyDescent="0.25">
      <c r="R437">
        <v>3409980.0628358684</v>
      </c>
      <c r="S437">
        <v>0</v>
      </c>
    </row>
    <row r="438" spans="18:19" x14ac:dyDescent="0.25">
      <c r="R438">
        <v>3410005.7253367407</v>
      </c>
      <c r="S438">
        <v>0</v>
      </c>
    </row>
    <row r="439" spans="18:19" x14ac:dyDescent="0.25">
      <c r="R439">
        <v>3410031.387837613</v>
      </c>
      <c r="S439">
        <v>0</v>
      </c>
    </row>
    <row r="440" spans="18:19" x14ac:dyDescent="0.25">
      <c r="R440">
        <v>3410057.0503384857</v>
      </c>
      <c r="S440">
        <v>0</v>
      </c>
    </row>
    <row r="441" spans="18:19" x14ac:dyDescent="0.25">
      <c r="R441">
        <v>3410082.712839358</v>
      </c>
      <c r="S441">
        <v>0</v>
      </c>
    </row>
    <row r="442" spans="18:19" x14ac:dyDescent="0.25">
      <c r="R442">
        <v>3410108.3753402303</v>
      </c>
      <c r="S442">
        <v>0</v>
      </c>
    </row>
    <row r="443" spans="18:19" x14ac:dyDescent="0.25">
      <c r="R443">
        <v>3410134.0378411026</v>
      </c>
      <c r="S443">
        <v>0</v>
      </c>
    </row>
    <row r="444" spans="18:19" x14ac:dyDescent="0.25">
      <c r="R444">
        <v>3410159.7003419753</v>
      </c>
      <c r="S444">
        <v>0</v>
      </c>
    </row>
    <row r="445" spans="18:19" x14ac:dyDescent="0.25">
      <c r="R445">
        <v>3410185.3628428476</v>
      </c>
      <c r="S445">
        <v>0</v>
      </c>
    </row>
    <row r="446" spans="18:19" x14ac:dyDescent="0.25">
      <c r="R446">
        <v>3410211.0253437199</v>
      </c>
      <c r="S446">
        <v>0</v>
      </c>
    </row>
    <row r="447" spans="18:19" x14ac:dyDescent="0.25">
      <c r="R447">
        <v>3410236.6878445921</v>
      </c>
      <c r="S447">
        <v>0</v>
      </c>
    </row>
    <row r="448" spans="18:19" x14ac:dyDescent="0.25">
      <c r="R448">
        <v>3410262.3503454644</v>
      </c>
      <c r="S448">
        <v>0</v>
      </c>
    </row>
    <row r="449" spans="18:19" x14ac:dyDescent="0.25">
      <c r="R449">
        <v>3410288.0128463372</v>
      </c>
      <c r="S449">
        <v>0</v>
      </c>
    </row>
    <row r="450" spans="18:19" x14ac:dyDescent="0.25">
      <c r="R450">
        <v>3410313.6753472094</v>
      </c>
      <c r="S450">
        <v>0</v>
      </c>
    </row>
    <row r="451" spans="18:19" x14ac:dyDescent="0.25">
      <c r="R451">
        <v>3410339.3378480817</v>
      </c>
      <c r="S451">
        <v>0</v>
      </c>
    </row>
    <row r="452" spans="18:19" x14ac:dyDescent="0.25">
      <c r="R452">
        <v>3410365.000348954</v>
      </c>
      <c r="S452">
        <v>0</v>
      </c>
    </row>
    <row r="453" spans="18:19" x14ac:dyDescent="0.25">
      <c r="R453">
        <v>3410390.6628498267</v>
      </c>
      <c r="S453">
        <v>0</v>
      </c>
    </row>
    <row r="454" spans="18:19" x14ac:dyDescent="0.25">
      <c r="R454">
        <v>3410416.325350699</v>
      </c>
      <c r="S454">
        <v>0</v>
      </c>
    </row>
    <row r="455" spans="18:19" x14ac:dyDescent="0.25">
      <c r="R455">
        <v>3410441.9878515713</v>
      </c>
      <c r="S455">
        <v>0</v>
      </c>
    </row>
    <row r="456" spans="18:19" x14ac:dyDescent="0.25">
      <c r="R456">
        <v>3410467.6503524436</v>
      </c>
      <c r="S456">
        <v>0</v>
      </c>
    </row>
    <row r="457" spans="18:19" x14ac:dyDescent="0.25">
      <c r="R457">
        <v>3410493.3128533163</v>
      </c>
      <c r="S457">
        <v>0</v>
      </c>
    </row>
    <row r="458" spans="18:19" x14ac:dyDescent="0.25">
      <c r="R458">
        <v>3410518.9753541886</v>
      </c>
      <c r="S458">
        <v>0</v>
      </c>
    </row>
    <row r="459" spans="18:19" x14ac:dyDescent="0.25">
      <c r="R459">
        <v>3410544.6378550609</v>
      </c>
      <c r="S459">
        <v>0</v>
      </c>
    </row>
    <row r="460" spans="18:19" x14ac:dyDescent="0.25">
      <c r="R460">
        <v>3410570.3003559331</v>
      </c>
      <c r="S460">
        <v>0</v>
      </c>
    </row>
    <row r="461" spans="18:19" x14ac:dyDescent="0.25">
      <c r="R461">
        <v>3410595.9628568059</v>
      </c>
      <c r="S461">
        <v>0</v>
      </c>
    </row>
    <row r="462" spans="18:19" x14ac:dyDescent="0.25">
      <c r="R462">
        <v>3410621.6253576782</v>
      </c>
      <c r="S462">
        <v>0</v>
      </c>
    </row>
    <row r="463" spans="18:19" x14ac:dyDescent="0.25">
      <c r="R463">
        <v>3410647.2878585504</v>
      </c>
      <c r="S463">
        <v>0</v>
      </c>
    </row>
    <row r="464" spans="18:19" x14ac:dyDescent="0.25">
      <c r="R464">
        <v>3410672.9503594227</v>
      </c>
      <c r="S464">
        <v>0</v>
      </c>
    </row>
    <row r="465" spans="18:19" x14ac:dyDescent="0.25">
      <c r="R465">
        <v>3410698.612860295</v>
      </c>
      <c r="S465">
        <v>0</v>
      </c>
    </row>
    <row r="466" spans="18:19" x14ac:dyDescent="0.25">
      <c r="R466">
        <v>3410724.2753611677</v>
      </c>
      <c r="S466">
        <v>0</v>
      </c>
    </row>
    <row r="467" spans="18:19" x14ac:dyDescent="0.25">
      <c r="R467">
        <v>3410749.93786204</v>
      </c>
      <c r="S467">
        <v>0</v>
      </c>
    </row>
    <row r="468" spans="18:19" x14ac:dyDescent="0.25">
      <c r="R468">
        <v>3410775.6003629123</v>
      </c>
      <c r="S468">
        <v>0</v>
      </c>
    </row>
    <row r="469" spans="18:19" x14ac:dyDescent="0.25">
      <c r="R469">
        <v>3410801.2628637846</v>
      </c>
      <c r="S469">
        <v>0</v>
      </c>
    </row>
    <row r="470" spans="18:19" x14ac:dyDescent="0.25">
      <c r="R470">
        <v>3410826.9253646573</v>
      </c>
      <c r="S470">
        <v>0</v>
      </c>
    </row>
    <row r="471" spans="18:19" x14ac:dyDescent="0.25">
      <c r="R471">
        <v>3410852.5878655296</v>
      </c>
      <c r="S471">
        <v>0</v>
      </c>
    </row>
    <row r="472" spans="18:19" x14ac:dyDescent="0.25">
      <c r="R472">
        <v>3410878.2503664019</v>
      </c>
      <c r="S472">
        <v>0</v>
      </c>
    </row>
    <row r="473" spans="18:19" x14ac:dyDescent="0.25">
      <c r="R473">
        <v>3410903.9128672741</v>
      </c>
      <c r="S473">
        <v>0</v>
      </c>
    </row>
    <row r="474" spans="18:19" x14ac:dyDescent="0.25">
      <c r="R474">
        <v>3410929.5753681469</v>
      </c>
      <c r="S474">
        <v>0</v>
      </c>
    </row>
    <row r="475" spans="18:19" x14ac:dyDescent="0.25">
      <c r="R475">
        <v>3410955.2378690192</v>
      </c>
      <c r="S475">
        <v>0</v>
      </c>
    </row>
    <row r="476" spans="18:19" x14ac:dyDescent="0.25">
      <c r="R476">
        <v>3410980.9003698914</v>
      </c>
      <c r="S476">
        <v>0</v>
      </c>
    </row>
    <row r="477" spans="18:19" x14ac:dyDescent="0.25">
      <c r="R477">
        <v>3411006.5628707637</v>
      </c>
      <c r="S477">
        <v>0</v>
      </c>
    </row>
    <row r="478" spans="18:19" x14ac:dyDescent="0.25">
      <c r="R478">
        <v>3411032.225371636</v>
      </c>
      <c r="S478">
        <v>0</v>
      </c>
    </row>
    <row r="479" spans="18:19" x14ac:dyDescent="0.25">
      <c r="R479">
        <v>3411057.8878725087</v>
      </c>
      <c r="S479">
        <v>0</v>
      </c>
    </row>
    <row r="480" spans="18:19" x14ac:dyDescent="0.25">
      <c r="R480">
        <v>3411083.550373381</v>
      </c>
      <c r="S480">
        <v>0</v>
      </c>
    </row>
    <row r="481" spans="18:19" x14ac:dyDescent="0.25">
      <c r="R481">
        <v>3411109.2128742533</v>
      </c>
      <c r="S481">
        <v>0</v>
      </c>
    </row>
    <row r="482" spans="18:19" x14ac:dyDescent="0.25">
      <c r="R482">
        <v>3411134.8753751256</v>
      </c>
      <c r="S482">
        <v>0</v>
      </c>
    </row>
    <row r="483" spans="18:19" x14ac:dyDescent="0.25">
      <c r="R483">
        <v>3411160.5378759983</v>
      </c>
      <c r="S483">
        <v>0</v>
      </c>
    </row>
    <row r="484" spans="18:19" x14ac:dyDescent="0.25">
      <c r="R484">
        <v>3411186.2003768706</v>
      </c>
      <c r="S484">
        <v>0</v>
      </c>
    </row>
    <row r="485" spans="18:19" x14ac:dyDescent="0.25">
      <c r="R485">
        <v>3411211.8628777429</v>
      </c>
      <c r="S485">
        <v>0</v>
      </c>
    </row>
    <row r="486" spans="18:19" x14ac:dyDescent="0.25">
      <c r="R486">
        <v>3411237.5253786151</v>
      </c>
      <c r="S486">
        <v>0</v>
      </c>
    </row>
    <row r="487" spans="18:19" x14ac:dyDescent="0.25">
      <c r="R487">
        <v>3411263.1878794879</v>
      </c>
      <c r="S487">
        <v>0</v>
      </c>
    </row>
    <row r="488" spans="18:19" x14ac:dyDescent="0.25">
      <c r="R488">
        <v>3411288.8503803601</v>
      </c>
      <c r="S488">
        <v>0</v>
      </c>
    </row>
    <row r="489" spans="18:19" x14ac:dyDescent="0.25">
      <c r="R489">
        <v>3411314.5128812324</v>
      </c>
      <c r="S489">
        <v>0</v>
      </c>
    </row>
    <row r="490" spans="18:19" x14ac:dyDescent="0.25">
      <c r="R490">
        <v>3411340.1753821047</v>
      </c>
      <c r="S490">
        <v>0</v>
      </c>
    </row>
    <row r="491" spans="18:19" x14ac:dyDescent="0.25">
      <c r="R491">
        <v>3411365.8378829774</v>
      </c>
      <c r="S491">
        <v>0</v>
      </c>
    </row>
    <row r="492" spans="18:19" x14ac:dyDescent="0.25">
      <c r="R492">
        <v>3411391.5003838497</v>
      </c>
      <c r="S492">
        <v>0</v>
      </c>
    </row>
    <row r="493" spans="18:19" x14ac:dyDescent="0.25">
      <c r="R493">
        <v>3411417.162884722</v>
      </c>
      <c r="S493">
        <v>0</v>
      </c>
    </row>
    <row r="494" spans="18:19" x14ac:dyDescent="0.25">
      <c r="R494">
        <v>3411442.8253855943</v>
      </c>
      <c r="S494">
        <v>0</v>
      </c>
    </row>
    <row r="495" spans="18:19" x14ac:dyDescent="0.25">
      <c r="R495">
        <v>3411468.4878864666</v>
      </c>
      <c r="S495">
        <v>0</v>
      </c>
    </row>
    <row r="496" spans="18:19" x14ac:dyDescent="0.25">
      <c r="R496">
        <v>3411494.1503873393</v>
      </c>
      <c r="S496">
        <v>0</v>
      </c>
    </row>
    <row r="497" spans="18:19" x14ac:dyDescent="0.25">
      <c r="R497">
        <v>3411519.8128882116</v>
      </c>
      <c r="S497">
        <v>0</v>
      </c>
    </row>
    <row r="498" spans="18:19" x14ac:dyDescent="0.25">
      <c r="R498">
        <v>3411545.4753890838</v>
      </c>
      <c r="S498">
        <v>0</v>
      </c>
    </row>
    <row r="499" spans="18:19" x14ac:dyDescent="0.25">
      <c r="R499">
        <v>3411571.1378899561</v>
      </c>
      <c r="S499">
        <v>0</v>
      </c>
    </row>
    <row r="500" spans="18:19" x14ac:dyDescent="0.25">
      <c r="R500">
        <v>3411596.8003908289</v>
      </c>
      <c r="S500">
        <v>0</v>
      </c>
    </row>
    <row r="501" spans="18:19" x14ac:dyDescent="0.25">
      <c r="R501">
        <v>3411622.4628917011</v>
      </c>
      <c r="S501">
        <v>0</v>
      </c>
    </row>
    <row r="502" spans="18:19" x14ac:dyDescent="0.25">
      <c r="R502">
        <v>3411648.1253925734</v>
      </c>
      <c r="S502">
        <v>0</v>
      </c>
    </row>
    <row r="503" spans="18:19" x14ac:dyDescent="0.25">
      <c r="R503">
        <v>3411673.7878934457</v>
      </c>
      <c r="S503">
        <v>0</v>
      </c>
    </row>
    <row r="504" spans="18:19" x14ac:dyDescent="0.25">
      <c r="R504">
        <v>3411699.4503943184</v>
      </c>
      <c r="S504">
        <v>0</v>
      </c>
    </row>
    <row r="505" spans="18:19" x14ac:dyDescent="0.25">
      <c r="R505">
        <v>3411725.1128951907</v>
      </c>
      <c r="S505">
        <v>0</v>
      </c>
    </row>
    <row r="506" spans="18:19" x14ac:dyDescent="0.25">
      <c r="R506">
        <v>3411750.775396063</v>
      </c>
      <c r="S506">
        <v>0</v>
      </c>
    </row>
    <row r="507" spans="18:19" x14ac:dyDescent="0.25">
      <c r="R507">
        <v>3411776.4378969353</v>
      </c>
      <c r="S507">
        <v>0</v>
      </c>
    </row>
    <row r="508" spans="18:19" x14ac:dyDescent="0.25">
      <c r="R508">
        <v>3411802.100397808</v>
      </c>
      <c r="S508">
        <v>0</v>
      </c>
    </row>
    <row r="509" spans="18:19" x14ac:dyDescent="0.25">
      <c r="R509">
        <v>3411827.7628986803</v>
      </c>
      <c r="S509">
        <v>0</v>
      </c>
    </row>
    <row r="510" spans="18:19" x14ac:dyDescent="0.25">
      <c r="R510">
        <v>3411853.4253995526</v>
      </c>
      <c r="S510">
        <v>0</v>
      </c>
    </row>
    <row r="511" spans="18:19" x14ac:dyDescent="0.25">
      <c r="R511">
        <v>3411879.0879004248</v>
      </c>
      <c r="S511">
        <v>0</v>
      </c>
    </row>
    <row r="512" spans="18:19" x14ac:dyDescent="0.25">
      <c r="R512">
        <v>3411904.7504012971</v>
      </c>
      <c r="S512">
        <v>0</v>
      </c>
    </row>
    <row r="513" spans="18:19" x14ac:dyDescent="0.25">
      <c r="R513">
        <v>3411930.4129021699</v>
      </c>
      <c r="S513">
        <v>0</v>
      </c>
    </row>
    <row r="514" spans="18:19" x14ac:dyDescent="0.25">
      <c r="R514">
        <v>3411956.0754030421</v>
      </c>
      <c r="S514">
        <v>0</v>
      </c>
    </row>
    <row r="515" spans="18:19" x14ac:dyDescent="0.25">
      <c r="R515">
        <v>3411981.7379039144</v>
      </c>
      <c r="S515">
        <v>0</v>
      </c>
    </row>
    <row r="516" spans="18:19" x14ac:dyDescent="0.25">
      <c r="R516">
        <v>3412007.4004047867</v>
      </c>
      <c r="S516">
        <v>0</v>
      </c>
    </row>
    <row r="517" spans="18:19" x14ac:dyDescent="0.25">
      <c r="R517">
        <v>3412033.0629056594</v>
      </c>
      <c r="S517">
        <v>0</v>
      </c>
    </row>
    <row r="518" spans="18:19" x14ac:dyDescent="0.25">
      <c r="R518">
        <v>3412058.7254065317</v>
      </c>
      <c r="S518">
        <v>0</v>
      </c>
    </row>
    <row r="519" spans="18:19" x14ac:dyDescent="0.25">
      <c r="R519">
        <v>3412084.387907404</v>
      </c>
      <c r="S519">
        <v>0</v>
      </c>
    </row>
    <row r="520" spans="18:19" x14ac:dyDescent="0.25">
      <c r="R520">
        <v>3412110.0504082763</v>
      </c>
      <c r="S520">
        <v>0</v>
      </c>
    </row>
    <row r="521" spans="18:19" x14ac:dyDescent="0.25">
      <c r="R521">
        <v>3412135.712909149</v>
      </c>
      <c r="S521">
        <v>0</v>
      </c>
    </row>
    <row r="522" spans="18:19" x14ac:dyDescent="0.25">
      <c r="R522">
        <v>3412161.3754100213</v>
      </c>
      <c r="S522">
        <v>0</v>
      </c>
    </row>
    <row r="523" spans="18:19" x14ac:dyDescent="0.25">
      <c r="R523">
        <v>3412187.0379108936</v>
      </c>
      <c r="S523">
        <v>0</v>
      </c>
    </row>
    <row r="524" spans="18:19" x14ac:dyDescent="0.25">
      <c r="R524">
        <v>3412212.7004117658</v>
      </c>
      <c r="S524">
        <v>0</v>
      </c>
    </row>
    <row r="525" spans="18:19" x14ac:dyDescent="0.25">
      <c r="R525">
        <v>3412238.3629126386</v>
      </c>
      <c r="S525">
        <v>0</v>
      </c>
    </row>
    <row r="526" spans="18:19" x14ac:dyDescent="0.25">
      <c r="R526">
        <v>3412264.0254135109</v>
      </c>
      <c r="S526">
        <v>0</v>
      </c>
    </row>
    <row r="527" spans="18:19" x14ac:dyDescent="0.25">
      <c r="R527">
        <v>3412289.6879143831</v>
      </c>
      <c r="S527">
        <v>0</v>
      </c>
    </row>
    <row r="528" spans="18:19" x14ac:dyDescent="0.25">
      <c r="R528">
        <v>3412315.3504152554</v>
      </c>
      <c r="S528">
        <v>0</v>
      </c>
    </row>
    <row r="529" spans="18:19" x14ac:dyDescent="0.25">
      <c r="R529">
        <v>3412341.0129161277</v>
      </c>
      <c r="S529">
        <v>0</v>
      </c>
    </row>
    <row r="530" spans="18:19" x14ac:dyDescent="0.25">
      <c r="R530">
        <v>3412366.6754170004</v>
      </c>
      <c r="S530">
        <v>0</v>
      </c>
    </row>
    <row r="531" spans="18:19" x14ac:dyDescent="0.25">
      <c r="R531">
        <v>3412392.3379178727</v>
      </c>
      <c r="S531">
        <v>0</v>
      </c>
    </row>
    <row r="532" spans="18:19" x14ac:dyDescent="0.25">
      <c r="R532">
        <v>3412418.000418745</v>
      </c>
      <c r="S532">
        <v>0</v>
      </c>
    </row>
    <row r="533" spans="18:19" x14ac:dyDescent="0.25">
      <c r="R533">
        <v>3412443.6629196173</v>
      </c>
      <c r="S533">
        <v>0</v>
      </c>
    </row>
    <row r="534" spans="18:19" x14ac:dyDescent="0.25">
      <c r="R534">
        <v>3412469.32542049</v>
      </c>
      <c r="S534">
        <v>0</v>
      </c>
    </row>
    <row r="535" spans="18:19" x14ac:dyDescent="0.25">
      <c r="R535">
        <v>3412494.9879213623</v>
      </c>
      <c r="S535">
        <v>0</v>
      </c>
    </row>
    <row r="536" spans="18:19" x14ac:dyDescent="0.25">
      <c r="R536">
        <v>3412520.6504222346</v>
      </c>
      <c r="S536">
        <v>0</v>
      </c>
    </row>
    <row r="537" spans="18:19" x14ac:dyDescent="0.25">
      <c r="R537">
        <v>3412546.3129231068</v>
      </c>
      <c r="S537">
        <v>0</v>
      </c>
    </row>
    <row r="538" spans="18:19" x14ac:dyDescent="0.25">
      <c r="R538">
        <v>3412571.9754239796</v>
      </c>
      <c r="S538">
        <v>0</v>
      </c>
    </row>
    <row r="539" spans="18:19" x14ac:dyDescent="0.25">
      <c r="R539">
        <v>3412597.6379248518</v>
      </c>
      <c r="S539">
        <v>0</v>
      </c>
    </row>
    <row r="540" spans="18:19" x14ac:dyDescent="0.25">
      <c r="R540">
        <v>3412623.3004257241</v>
      </c>
      <c r="S540">
        <v>0</v>
      </c>
    </row>
    <row r="541" spans="18:19" x14ac:dyDescent="0.25">
      <c r="R541">
        <v>3412648.9629265964</v>
      </c>
      <c r="S541">
        <v>0</v>
      </c>
    </row>
    <row r="542" spans="18:19" x14ac:dyDescent="0.25">
      <c r="R542">
        <v>3412674.6254274687</v>
      </c>
      <c r="S542">
        <v>0</v>
      </c>
    </row>
    <row r="543" spans="18:19" x14ac:dyDescent="0.25">
      <c r="R543">
        <v>3412700.2879283414</v>
      </c>
      <c r="S543">
        <v>0</v>
      </c>
    </row>
    <row r="544" spans="18:19" x14ac:dyDescent="0.25">
      <c r="R544">
        <v>3412725.9504292137</v>
      </c>
      <c r="S544">
        <v>0</v>
      </c>
    </row>
    <row r="545" spans="18:19" x14ac:dyDescent="0.25">
      <c r="R545">
        <v>3412751.612930086</v>
      </c>
      <c r="S545">
        <v>0</v>
      </c>
    </row>
    <row r="546" spans="18:19" x14ac:dyDescent="0.25">
      <c r="R546">
        <v>3412777.2754309583</v>
      </c>
      <c r="S546">
        <v>0</v>
      </c>
    </row>
    <row r="547" spans="18:19" x14ac:dyDescent="0.25">
      <c r="R547">
        <v>3412802.937931831</v>
      </c>
      <c r="S547">
        <v>0</v>
      </c>
    </row>
    <row r="548" spans="18:19" x14ac:dyDescent="0.25">
      <c r="R548">
        <v>3412828.6004327033</v>
      </c>
      <c r="S548">
        <v>0</v>
      </c>
    </row>
    <row r="549" spans="18:19" x14ac:dyDescent="0.25">
      <c r="R549">
        <v>3412854.2629335755</v>
      </c>
      <c r="S549">
        <v>0</v>
      </c>
    </row>
    <row r="550" spans="18:19" x14ac:dyDescent="0.25">
      <c r="R550">
        <v>3412879.9254344478</v>
      </c>
      <c r="S550">
        <v>0</v>
      </c>
    </row>
    <row r="551" spans="18:19" x14ac:dyDescent="0.25">
      <c r="R551">
        <v>3412905.5879353206</v>
      </c>
      <c r="S551">
        <v>0</v>
      </c>
    </row>
    <row r="552" spans="18:19" x14ac:dyDescent="0.25">
      <c r="R552">
        <v>3412931.2504361928</v>
      </c>
      <c r="S552">
        <v>0</v>
      </c>
    </row>
    <row r="553" spans="18:19" x14ac:dyDescent="0.25">
      <c r="R553">
        <v>3412956.9129370651</v>
      </c>
      <c r="S553">
        <v>0</v>
      </c>
    </row>
    <row r="554" spans="18:19" x14ac:dyDescent="0.25">
      <c r="R554">
        <v>3412982.5754379374</v>
      </c>
      <c r="S554">
        <v>0</v>
      </c>
    </row>
    <row r="555" spans="18:19" x14ac:dyDescent="0.25">
      <c r="R555">
        <v>3413008.2379388101</v>
      </c>
      <c r="S555">
        <v>0</v>
      </c>
    </row>
    <row r="556" spans="18:19" x14ac:dyDescent="0.25">
      <c r="R556">
        <v>3413033.9004396824</v>
      </c>
      <c r="S556">
        <v>0</v>
      </c>
    </row>
    <row r="557" spans="18:19" x14ac:dyDescent="0.25">
      <c r="R557">
        <v>3413059.5629405547</v>
      </c>
      <c r="S557">
        <v>0</v>
      </c>
    </row>
    <row r="558" spans="18:19" x14ac:dyDescent="0.25">
      <c r="R558">
        <v>3413085.225441427</v>
      </c>
      <c r="S558">
        <v>0</v>
      </c>
    </row>
    <row r="559" spans="18:19" x14ac:dyDescent="0.25">
      <c r="R559">
        <v>3413110.8879422992</v>
      </c>
      <c r="S559">
        <v>0</v>
      </c>
    </row>
    <row r="560" spans="18:19" x14ac:dyDescent="0.25">
      <c r="R560">
        <v>3413136.550443172</v>
      </c>
      <c r="S560">
        <v>0</v>
      </c>
    </row>
    <row r="561" spans="18:19" x14ac:dyDescent="0.25">
      <c r="R561">
        <v>3413162.2129440443</v>
      </c>
      <c r="S561">
        <v>0</v>
      </c>
    </row>
    <row r="562" spans="18:19" x14ac:dyDescent="0.25">
      <c r="R562">
        <v>3413187.8754449165</v>
      </c>
      <c r="S562">
        <v>0</v>
      </c>
    </row>
    <row r="563" spans="18:19" x14ac:dyDescent="0.25">
      <c r="R563">
        <v>3413213.5379457888</v>
      </c>
      <c r="S563">
        <v>0</v>
      </c>
    </row>
    <row r="564" spans="18:19" x14ac:dyDescent="0.25">
      <c r="R564">
        <v>3413239.2004466616</v>
      </c>
      <c r="S564">
        <v>0</v>
      </c>
    </row>
    <row r="565" spans="18:19" x14ac:dyDescent="0.25">
      <c r="R565">
        <v>3413264.8629475338</v>
      </c>
      <c r="S565">
        <v>0</v>
      </c>
    </row>
    <row r="566" spans="18:19" x14ac:dyDescent="0.25">
      <c r="R566">
        <v>3413290.5254484061</v>
      </c>
      <c r="S566">
        <v>0</v>
      </c>
    </row>
    <row r="567" spans="18:19" x14ac:dyDescent="0.25">
      <c r="R567">
        <v>3413316.1879492784</v>
      </c>
      <c r="S567">
        <v>0</v>
      </c>
    </row>
    <row r="568" spans="18:19" x14ac:dyDescent="0.25">
      <c r="R568">
        <v>3413341.8504501511</v>
      </c>
      <c r="S568">
        <v>0</v>
      </c>
    </row>
    <row r="569" spans="18:19" x14ac:dyDescent="0.25">
      <c r="R569">
        <v>3413367.5129510234</v>
      </c>
      <c r="S569">
        <v>0</v>
      </c>
    </row>
    <row r="570" spans="18:19" x14ac:dyDescent="0.25">
      <c r="R570">
        <v>3413393.1754518957</v>
      </c>
      <c r="S570">
        <v>0</v>
      </c>
    </row>
    <row r="571" spans="18:19" x14ac:dyDescent="0.25">
      <c r="R571">
        <v>3413418.837952768</v>
      </c>
      <c r="S571">
        <v>0</v>
      </c>
    </row>
    <row r="572" spans="18:19" x14ac:dyDescent="0.25">
      <c r="R572">
        <v>3413444.5004536407</v>
      </c>
      <c r="S572">
        <v>0</v>
      </c>
    </row>
    <row r="573" spans="18:19" x14ac:dyDescent="0.25">
      <c r="R573">
        <v>3413470.162954513</v>
      </c>
      <c r="S573">
        <v>0</v>
      </c>
    </row>
    <row r="574" spans="18:19" x14ac:dyDescent="0.25">
      <c r="R574">
        <v>3413495.8254553853</v>
      </c>
      <c r="S574">
        <v>0</v>
      </c>
    </row>
    <row r="575" spans="18:19" x14ac:dyDescent="0.25">
      <c r="R575">
        <v>3413521.4879562575</v>
      </c>
      <c r="S575">
        <v>0</v>
      </c>
    </row>
    <row r="576" spans="18:19" x14ac:dyDescent="0.25">
      <c r="R576">
        <v>3413547.1504571298</v>
      </c>
      <c r="S576">
        <v>0</v>
      </c>
    </row>
    <row r="577" spans="18:19" x14ac:dyDescent="0.25">
      <c r="R577">
        <v>3413572.8129580026</v>
      </c>
      <c r="S577">
        <v>0</v>
      </c>
    </row>
    <row r="578" spans="18:19" x14ac:dyDescent="0.25">
      <c r="R578">
        <v>3413598.4754588748</v>
      </c>
      <c r="S578">
        <v>0</v>
      </c>
    </row>
    <row r="579" spans="18:19" x14ac:dyDescent="0.25">
      <c r="R579">
        <v>3413624.1379597471</v>
      </c>
      <c r="S579">
        <v>0</v>
      </c>
    </row>
    <row r="580" spans="18:19" x14ac:dyDescent="0.25">
      <c r="R580">
        <v>3413649.8004606194</v>
      </c>
      <c r="S580">
        <v>0</v>
      </c>
    </row>
    <row r="581" spans="18:19" x14ac:dyDescent="0.25">
      <c r="R581">
        <v>3413675.4629614921</v>
      </c>
      <c r="S581">
        <v>0</v>
      </c>
    </row>
    <row r="582" spans="18:19" x14ac:dyDescent="0.25">
      <c r="R582">
        <v>3413701.1254623644</v>
      </c>
      <c r="S582">
        <v>0</v>
      </c>
    </row>
    <row r="583" spans="18:19" x14ac:dyDescent="0.25">
      <c r="R583">
        <v>3413726.7879632367</v>
      </c>
      <c r="S583">
        <v>0</v>
      </c>
    </row>
    <row r="584" spans="18:19" x14ac:dyDescent="0.25">
      <c r="R584">
        <v>3413752.450464109</v>
      </c>
      <c r="S584">
        <v>0</v>
      </c>
    </row>
    <row r="585" spans="18:19" x14ac:dyDescent="0.25">
      <c r="R585">
        <v>3413778.1129649817</v>
      </c>
      <c r="S585">
        <v>0</v>
      </c>
    </row>
    <row r="586" spans="18:19" x14ac:dyDescent="0.25">
      <c r="R586">
        <v>3413803.775465854</v>
      </c>
      <c r="S586">
        <v>0</v>
      </c>
    </row>
    <row r="587" spans="18:19" x14ac:dyDescent="0.25">
      <c r="R587">
        <v>3413829.4379667263</v>
      </c>
      <c r="S587">
        <v>0</v>
      </c>
    </row>
    <row r="588" spans="18:19" x14ac:dyDescent="0.25">
      <c r="R588">
        <v>3413855.1004675985</v>
      </c>
      <c r="S588">
        <v>0</v>
      </c>
    </row>
    <row r="589" spans="18:19" x14ac:dyDescent="0.25">
      <c r="R589">
        <v>3413880.7629684713</v>
      </c>
      <c r="S589">
        <v>0</v>
      </c>
    </row>
    <row r="590" spans="18:19" x14ac:dyDescent="0.25">
      <c r="R590">
        <v>3413906.4254693436</v>
      </c>
      <c r="S590">
        <v>0</v>
      </c>
    </row>
    <row r="591" spans="18:19" x14ac:dyDescent="0.25">
      <c r="R591">
        <v>3413932.0879702158</v>
      </c>
      <c r="S591">
        <v>0</v>
      </c>
    </row>
    <row r="592" spans="18:19" x14ac:dyDescent="0.25">
      <c r="R592">
        <v>3413957.7504710881</v>
      </c>
      <c r="S592">
        <v>0</v>
      </c>
    </row>
    <row r="593" spans="18:19" x14ac:dyDescent="0.25">
      <c r="R593">
        <v>3413983.4129719604</v>
      </c>
      <c r="S593">
        <v>0</v>
      </c>
    </row>
    <row r="594" spans="18:19" x14ac:dyDescent="0.25">
      <c r="R594">
        <v>3414009.0754728331</v>
      </c>
      <c r="S594">
        <v>0</v>
      </c>
    </row>
    <row r="595" spans="18:19" x14ac:dyDescent="0.25">
      <c r="R595">
        <v>3414034.7379737054</v>
      </c>
      <c r="S595">
        <v>0</v>
      </c>
    </row>
    <row r="596" spans="18:19" x14ac:dyDescent="0.25">
      <c r="R596">
        <v>3414060.4004745777</v>
      </c>
      <c r="S596">
        <v>0</v>
      </c>
    </row>
    <row r="597" spans="18:19" x14ac:dyDescent="0.25">
      <c r="R597">
        <v>3414086.06297545</v>
      </c>
      <c r="S597">
        <v>0</v>
      </c>
    </row>
    <row r="598" spans="18:19" x14ac:dyDescent="0.25">
      <c r="R598">
        <v>3414111.7254763227</v>
      </c>
      <c r="S598">
        <v>0</v>
      </c>
    </row>
    <row r="599" spans="18:19" x14ac:dyDescent="0.25">
      <c r="R599">
        <v>3414137.387977195</v>
      </c>
      <c r="S599">
        <v>0</v>
      </c>
    </row>
    <row r="600" spans="18:19" x14ac:dyDescent="0.25">
      <c r="R600">
        <v>3414163.0504780672</v>
      </c>
      <c r="S600">
        <v>0</v>
      </c>
    </row>
    <row r="601" spans="18:19" x14ac:dyDescent="0.25">
      <c r="R601">
        <v>3414188.7129789395</v>
      </c>
      <c r="S601">
        <v>0</v>
      </c>
    </row>
    <row r="602" spans="18:19" x14ac:dyDescent="0.25">
      <c r="R602">
        <v>3414214.3754798123</v>
      </c>
      <c r="S602">
        <v>0</v>
      </c>
    </row>
    <row r="603" spans="18:19" x14ac:dyDescent="0.25">
      <c r="R603">
        <v>3414240.0379806845</v>
      </c>
      <c r="S603">
        <v>0</v>
      </c>
    </row>
    <row r="604" spans="18:19" x14ac:dyDescent="0.25">
      <c r="R604">
        <v>3414265.7004815568</v>
      </c>
      <c r="S604">
        <v>0</v>
      </c>
    </row>
    <row r="605" spans="18:19" x14ac:dyDescent="0.25">
      <c r="R605">
        <v>3414291.3629824291</v>
      </c>
      <c r="S605">
        <v>0</v>
      </c>
    </row>
    <row r="606" spans="18:19" x14ac:dyDescent="0.25">
      <c r="R606">
        <v>3414317.0254833014</v>
      </c>
      <c r="S606">
        <v>0</v>
      </c>
    </row>
    <row r="607" spans="18:19" x14ac:dyDescent="0.25">
      <c r="R607">
        <v>3414342.6879841741</v>
      </c>
      <c r="S607">
        <v>0</v>
      </c>
    </row>
    <row r="608" spans="18:19" x14ac:dyDescent="0.25">
      <c r="R608">
        <v>3414368.3504850464</v>
      </c>
      <c r="S608">
        <v>0</v>
      </c>
    </row>
    <row r="609" spans="18:19" x14ac:dyDescent="0.25">
      <c r="R609">
        <v>3414394.0129859187</v>
      </c>
      <c r="S609">
        <v>0</v>
      </c>
    </row>
    <row r="610" spans="18:19" x14ac:dyDescent="0.25">
      <c r="R610">
        <v>3414419.6754867909</v>
      </c>
      <c r="S610">
        <v>0</v>
      </c>
    </row>
    <row r="611" spans="18:19" x14ac:dyDescent="0.25">
      <c r="R611">
        <v>3414445.3379876637</v>
      </c>
      <c r="S611">
        <v>0</v>
      </c>
    </row>
    <row r="612" spans="18:19" x14ac:dyDescent="0.25">
      <c r="R612">
        <v>3414471.000488536</v>
      </c>
      <c r="S612">
        <v>0</v>
      </c>
    </row>
    <row r="613" spans="18:19" x14ac:dyDescent="0.25">
      <c r="R613">
        <v>3414496.6629894082</v>
      </c>
      <c r="S613">
        <v>0</v>
      </c>
    </row>
    <row r="614" spans="18:19" x14ac:dyDescent="0.25">
      <c r="R614">
        <v>3414522.3254902805</v>
      </c>
      <c r="S614">
        <v>0</v>
      </c>
    </row>
    <row r="615" spans="18:19" x14ac:dyDescent="0.25">
      <c r="R615">
        <v>3414547.9879911533</v>
      </c>
      <c r="S615">
        <v>0</v>
      </c>
    </row>
    <row r="616" spans="18:19" x14ac:dyDescent="0.25">
      <c r="R616">
        <v>3414573.6504920255</v>
      </c>
      <c r="S616">
        <v>0</v>
      </c>
    </row>
    <row r="617" spans="18:19" x14ac:dyDescent="0.25">
      <c r="R617">
        <v>3414599.3129928978</v>
      </c>
      <c r="S617">
        <v>0</v>
      </c>
    </row>
    <row r="618" spans="18:19" x14ac:dyDescent="0.25">
      <c r="R618">
        <v>3414624.9754937701</v>
      </c>
      <c r="S618">
        <v>0</v>
      </c>
    </row>
    <row r="619" spans="18:19" x14ac:dyDescent="0.25">
      <c r="R619">
        <v>3414650.6379946428</v>
      </c>
      <c r="S619">
        <v>0</v>
      </c>
    </row>
    <row r="620" spans="18:19" x14ac:dyDescent="0.25">
      <c r="R620">
        <v>3414676.3004955151</v>
      </c>
      <c r="S620">
        <v>0</v>
      </c>
    </row>
    <row r="621" spans="18:19" x14ac:dyDescent="0.25">
      <c r="R621">
        <v>3414701.9629963874</v>
      </c>
      <c r="S621">
        <v>0</v>
      </c>
    </row>
    <row r="622" spans="18:19" x14ac:dyDescent="0.25">
      <c r="R622">
        <v>3414727.6254972597</v>
      </c>
      <c r="S622">
        <v>0</v>
      </c>
    </row>
    <row r="623" spans="18:19" x14ac:dyDescent="0.25">
      <c r="R623">
        <v>3414753.2879981319</v>
      </c>
      <c r="S623">
        <v>0</v>
      </c>
    </row>
    <row r="624" spans="18:19" x14ac:dyDescent="0.25">
      <c r="R624">
        <v>3414778.9504990047</v>
      </c>
      <c r="S624">
        <v>0</v>
      </c>
    </row>
    <row r="625" spans="18:19" x14ac:dyDescent="0.25">
      <c r="R625">
        <v>3414804.612999877</v>
      </c>
      <c r="S625">
        <v>0</v>
      </c>
    </row>
    <row r="626" spans="18:19" x14ac:dyDescent="0.25">
      <c r="R626">
        <v>3414830.2755007492</v>
      </c>
      <c r="S626">
        <v>0</v>
      </c>
    </row>
    <row r="627" spans="18:19" x14ac:dyDescent="0.25">
      <c r="R627">
        <v>3414855.9380016215</v>
      </c>
      <c r="S627">
        <v>0</v>
      </c>
    </row>
    <row r="628" spans="18:19" x14ac:dyDescent="0.25">
      <c r="R628">
        <v>3414881.6005024943</v>
      </c>
      <c r="S628">
        <v>0</v>
      </c>
    </row>
    <row r="629" spans="18:19" x14ac:dyDescent="0.25">
      <c r="R629">
        <v>3414907.2630033665</v>
      </c>
      <c r="S629">
        <v>0</v>
      </c>
    </row>
    <row r="630" spans="18:19" x14ac:dyDescent="0.25">
      <c r="R630">
        <v>3414932.9255042388</v>
      </c>
      <c r="S630">
        <v>0</v>
      </c>
    </row>
    <row r="631" spans="18:19" x14ac:dyDescent="0.25">
      <c r="R631">
        <v>3414958.5880051111</v>
      </c>
      <c r="S631">
        <v>0</v>
      </c>
    </row>
    <row r="632" spans="18:19" x14ac:dyDescent="0.25">
      <c r="R632">
        <v>3414984.2505059838</v>
      </c>
      <c r="S632">
        <v>0</v>
      </c>
    </row>
    <row r="633" spans="18:19" x14ac:dyDescent="0.25">
      <c r="R633">
        <v>3415009.9130068561</v>
      </c>
      <c r="S633">
        <v>0</v>
      </c>
    </row>
    <row r="634" spans="18:19" x14ac:dyDescent="0.25">
      <c r="R634">
        <v>3415035.5755077284</v>
      </c>
      <c r="S634">
        <v>0</v>
      </c>
    </row>
    <row r="635" spans="18:19" x14ac:dyDescent="0.25">
      <c r="R635">
        <v>3415061.2380086007</v>
      </c>
      <c r="S635">
        <v>0</v>
      </c>
    </row>
    <row r="636" spans="18:19" x14ac:dyDescent="0.25">
      <c r="R636">
        <v>3415086.9005094734</v>
      </c>
      <c r="S636">
        <v>0</v>
      </c>
    </row>
    <row r="637" spans="18:19" x14ac:dyDescent="0.25">
      <c r="R637">
        <v>3415112.5630103457</v>
      </c>
      <c r="S637">
        <v>0</v>
      </c>
    </row>
    <row r="638" spans="18:19" x14ac:dyDescent="0.25">
      <c r="R638">
        <v>3415138.225511218</v>
      </c>
      <c r="S638">
        <v>0</v>
      </c>
    </row>
    <row r="639" spans="18:19" x14ac:dyDescent="0.25">
      <c r="R639">
        <v>3415163.8880120902</v>
      </c>
      <c r="S639">
        <v>0</v>
      </c>
    </row>
    <row r="640" spans="18:19" x14ac:dyDescent="0.25">
      <c r="R640">
        <v>3415189.5505129625</v>
      </c>
      <c r="S640">
        <v>0</v>
      </c>
    </row>
    <row r="641" spans="18:19" x14ac:dyDescent="0.25">
      <c r="R641">
        <v>3415215.2130138353</v>
      </c>
      <c r="S641">
        <v>0</v>
      </c>
    </row>
    <row r="642" spans="18:19" x14ac:dyDescent="0.25">
      <c r="R642">
        <v>3415240.8755147075</v>
      </c>
      <c r="S642">
        <v>0</v>
      </c>
    </row>
    <row r="643" spans="18:19" x14ac:dyDescent="0.25">
      <c r="R643">
        <v>3415266.5380155798</v>
      </c>
      <c r="S643">
        <v>0</v>
      </c>
    </row>
    <row r="644" spans="18:19" x14ac:dyDescent="0.25">
      <c r="R644">
        <v>3415292.2005164521</v>
      </c>
      <c r="S644">
        <v>0</v>
      </c>
    </row>
    <row r="645" spans="18:19" x14ac:dyDescent="0.25">
      <c r="R645">
        <v>3415317.8630173248</v>
      </c>
      <c r="S645">
        <v>0</v>
      </c>
    </row>
    <row r="646" spans="18:19" x14ac:dyDescent="0.25">
      <c r="R646">
        <v>3415343.5255181971</v>
      </c>
      <c r="S646">
        <v>0</v>
      </c>
    </row>
    <row r="647" spans="18:19" x14ac:dyDescent="0.25">
      <c r="R647">
        <v>3415369.1880190694</v>
      </c>
      <c r="S647">
        <v>0</v>
      </c>
    </row>
    <row r="648" spans="18:19" x14ac:dyDescent="0.25">
      <c r="R648">
        <v>3415394.8505199417</v>
      </c>
      <c r="S648">
        <v>0</v>
      </c>
    </row>
    <row r="649" spans="18:19" x14ac:dyDescent="0.25">
      <c r="R649">
        <v>3415420.5130208144</v>
      </c>
      <c r="S649">
        <v>0</v>
      </c>
    </row>
    <row r="650" spans="18:19" x14ac:dyDescent="0.25">
      <c r="R650">
        <v>3415446.1755216867</v>
      </c>
      <c r="S650">
        <v>0</v>
      </c>
    </row>
    <row r="651" spans="18:19" x14ac:dyDescent="0.25">
      <c r="R651">
        <v>3415471.8380225589</v>
      </c>
      <c r="S651">
        <v>0</v>
      </c>
    </row>
    <row r="652" spans="18:19" x14ac:dyDescent="0.25">
      <c r="R652">
        <v>3415497.5005234312</v>
      </c>
      <c r="S652">
        <v>0</v>
      </c>
    </row>
    <row r="653" spans="18:19" x14ac:dyDescent="0.25">
      <c r="R653">
        <v>3415523.163024304</v>
      </c>
      <c r="S653">
        <v>0</v>
      </c>
    </row>
    <row r="654" spans="18:19" x14ac:dyDescent="0.25">
      <c r="R654">
        <v>3415548.8255251762</v>
      </c>
      <c r="S654">
        <v>0</v>
      </c>
    </row>
    <row r="655" spans="18:19" x14ac:dyDescent="0.25">
      <c r="R655">
        <v>3415574.4880260485</v>
      </c>
      <c r="S655">
        <v>0</v>
      </c>
    </row>
    <row r="656" spans="18:19" x14ac:dyDescent="0.25">
      <c r="R656">
        <v>3415600.1505269208</v>
      </c>
      <c r="S656">
        <v>0</v>
      </c>
    </row>
    <row r="657" spans="18:19" x14ac:dyDescent="0.25">
      <c r="R657">
        <v>3415625.8130277931</v>
      </c>
      <c r="S657">
        <v>0</v>
      </c>
    </row>
    <row r="658" spans="18:19" x14ac:dyDescent="0.25">
      <c r="R658">
        <v>3415651.4755286658</v>
      </c>
      <c r="S658">
        <v>0</v>
      </c>
    </row>
    <row r="659" spans="18:19" x14ac:dyDescent="0.25">
      <c r="R659">
        <v>3415677.1380295381</v>
      </c>
      <c r="S659">
        <v>0</v>
      </c>
    </row>
    <row r="660" spans="18:19" x14ac:dyDescent="0.25">
      <c r="R660">
        <v>3415702.8005304104</v>
      </c>
      <c r="S660">
        <v>0</v>
      </c>
    </row>
    <row r="661" spans="18:19" x14ac:dyDescent="0.25">
      <c r="R661">
        <v>3415728.4630312826</v>
      </c>
      <c r="S661">
        <v>0</v>
      </c>
    </row>
    <row r="662" spans="18:19" x14ac:dyDescent="0.25">
      <c r="R662">
        <v>3415754.1255321554</v>
      </c>
      <c r="S662">
        <v>0</v>
      </c>
    </row>
    <row r="663" spans="18:19" x14ac:dyDescent="0.25">
      <c r="R663">
        <v>3415779.7880330277</v>
      </c>
      <c r="S663">
        <v>0</v>
      </c>
    </row>
    <row r="664" spans="18:19" x14ac:dyDescent="0.25">
      <c r="R664">
        <v>3415805.4505338999</v>
      </c>
      <c r="S664">
        <v>0</v>
      </c>
    </row>
    <row r="665" spans="18:19" x14ac:dyDescent="0.25">
      <c r="R665">
        <v>3415831.1130347722</v>
      </c>
      <c r="S665">
        <v>0</v>
      </c>
    </row>
    <row r="666" spans="18:19" x14ac:dyDescent="0.25">
      <c r="R666">
        <v>3415856.775535645</v>
      </c>
      <c r="S666">
        <v>0</v>
      </c>
    </row>
    <row r="667" spans="18:19" x14ac:dyDescent="0.25">
      <c r="R667">
        <v>3415882.4380365172</v>
      </c>
      <c r="S667">
        <v>0</v>
      </c>
    </row>
    <row r="668" spans="18:19" x14ac:dyDescent="0.25">
      <c r="R668">
        <v>3415908.1005373895</v>
      </c>
      <c r="S668">
        <v>0</v>
      </c>
    </row>
    <row r="669" spans="18:19" x14ac:dyDescent="0.25">
      <c r="R669">
        <v>3415933.7630382618</v>
      </c>
      <c r="S669">
        <v>0</v>
      </c>
    </row>
    <row r="670" spans="18:19" x14ac:dyDescent="0.25">
      <c r="R670">
        <v>3415959.4255391341</v>
      </c>
      <c r="S670">
        <v>0</v>
      </c>
    </row>
    <row r="671" spans="18:19" x14ac:dyDescent="0.25">
      <c r="R671">
        <v>3415985.0880400068</v>
      </c>
      <c r="S671">
        <v>0</v>
      </c>
    </row>
    <row r="672" spans="18:19" x14ac:dyDescent="0.25">
      <c r="R672">
        <v>3416010.7505408791</v>
      </c>
      <c r="S672">
        <v>0</v>
      </c>
    </row>
    <row r="673" spans="18:19" x14ac:dyDescent="0.25">
      <c r="R673">
        <v>3416036.4130417514</v>
      </c>
      <c r="S673">
        <v>0</v>
      </c>
    </row>
    <row r="674" spans="18:19" x14ac:dyDescent="0.25">
      <c r="R674">
        <v>3416062.0755426236</v>
      </c>
      <c r="S674">
        <v>0</v>
      </c>
    </row>
    <row r="675" spans="18:19" x14ac:dyDescent="0.25">
      <c r="R675">
        <v>3416087.7380434964</v>
      </c>
      <c r="S675">
        <v>0</v>
      </c>
    </row>
    <row r="676" spans="18:19" x14ac:dyDescent="0.25">
      <c r="R676">
        <v>3416113.4005443687</v>
      </c>
      <c r="S676">
        <v>0</v>
      </c>
    </row>
    <row r="677" spans="18:19" x14ac:dyDescent="0.25">
      <c r="R677">
        <v>3416139.0630452409</v>
      </c>
      <c r="S677">
        <v>0</v>
      </c>
    </row>
    <row r="678" spans="18:19" x14ac:dyDescent="0.25">
      <c r="R678">
        <v>3416164.7255461132</v>
      </c>
      <c r="S678">
        <v>0</v>
      </c>
    </row>
    <row r="679" spans="18:19" x14ac:dyDescent="0.25">
      <c r="R679">
        <v>3416190.388046986</v>
      </c>
      <c r="S679">
        <v>0</v>
      </c>
    </row>
    <row r="680" spans="18:19" x14ac:dyDescent="0.25">
      <c r="R680">
        <v>3416216.0505478582</v>
      </c>
      <c r="S680">
        <v>0</v>
      </c>
    </row>
    <row r="681" spans="18:19" x14ac:dyDescent="0.25">
      <c r="R681">
        <v>3416241.7130487305</v>
      </c>
      <c r="S681">
        <v>0</v>
      </c>
    </row>
    <row r="682" spans="18:19" x14ac:dyDescent="0.25">
      <c r="R682">
        <v>3416267.3755496028</v>
      </c>
      <c r="S682">
        <v>0</v>
      </c>
    </row>
    <row r="683" spans="18:19" x14ac:dyDescent="0.25">
      <c r="R683">
        <v>3416293.0380504755</v>
      </c>
      <c r="S683">
        <v>0</v>
      </c>
    </row>
    <row r="684" spans="18:19" x14ac:dyDescent="0.25">
      <c r="R684">
        <v>3416318.7005513478</v>
      </c>
      <c r="S684">
        <v>0</v>
      </c>
    </row>
    <row r="685" spans="18:19" x14ac:dyDescent="0.25">
      <c r="R685">
        <v>3416344.3630522201</v>
      </c>
      <c r="S685">
        <v>0</v>
      </c>
    </row>
    <row r="686" spans="18:19" x14ac:dyDescent="0.25">
      <c r="R686">
        <v>3416370.0255530924</v>
      </c>
      <c r="S686">
        <v>0</v>
      </c>
    </row>
    <row r="687" spans="18:19" x14ac:dyDescent="0.25">
      <c r="R687">
        <v>3416395.6880539646</v>
      </c>
      <c r="S687">
        <v>0</v>
      </c>
    </row>
    <row r="688" spans="18:19" x14ac:dyDescent="0.25">
      <c r="R688">
        <v>3416421.3505548374</v>
      </c>
      <c r="S688">
        <v>0</v>
      </c>
    </row>
    <row r="689" spans="18:19" x14ac:dyDescent="0.25">
      <c r="R689">
        <v>3416447.0130557097</v>
      </c>
      <c r="S689">
        <v>0</v>
      </c>
    </row>
    <row r="690" spans="18:19" x14ac:dyDescent="0.25">
      <c r="R690">
        <v>3416472.6755565819</v>
      </c>
      <c r="S690">
        <v>0</v>
      </c>
    </row>
    <row r="691" spans="18:19" x14ac:dyDescent="0.25">
      <c r="R691">
        <v>3416498.3380574542</v>
      </c>
      <c r="S691">
        <v>0</v>
      </c>
    </row>
    <row r="692" spans="18:19" x14ac:dyDescent="0.25">
      <c r="R692">
        <v>3416524.000558327</v>
      </c>
      <c r="S692">
        <v>0</v>
      </c>
    </row>
    <row r="693" spans="18:19" x14ac:dyDescent="0.25">
      <c r="R693">
        <v>3416549.6630591992</v>
      </c>
      <c r="S693">
        <v>0</v>
      </c>
    </row>
    <row r="694" spans="18:19" x14ac:dyDescent="0.25">
      <c r="R694">
        <v>3416575.3255600715</v>
      </c>
      <c r="S694">
        <v>0</v>
      </c>
    </row>
    <row r="695" spans="18:19" x14ac:dyDescent="0.25">
      <c r="R695">
        <v>3416600.9880609438</v>
      </c>
      <c r="S695">
        <v>0</v>
      </c>
    </row>
    <row r="696" spans="18:19" x14ac:dyDescent="0.25">
      <c r="R696">
        <v>3416626.6505618165</v>
      </c>
      <c r="S696">
        <v>0</v>
      </c>
    </row>
    <row r="697" spans="18:19" x14ac:dyDescent="0.25">
      <c r="R697">
        <v>3416652.3130626888</v>
      </c>
      <c r="S697">
        <v>0</v>
      </c>
    </row>
    <row r="698" spans="18:19" x14ac:dyDescent="0.25">
      <c r="R698">
        <v>3416677.9755635611</v>
      </c>
      <c r="S698">
        <v>0</v>
      </c>
    </row>
    <row r="699" spans="18:19" x14ac:dyDescent="0.25">
      <c r="R699">
        <v>3416703.6380644334</v>
      </c>
      <c r="S699">
        <v>0</v>
      </c>
    </row>
    <row r="700" spans="18:19" x14ac:dyDescent="0.25">
      <c r="R700">
        <v>3416729.3005653061</v>
      </c>
      <c r="S700">
        <v>0</v>
      </c>
    </row>
    <row r="701" spans="18:19" x14ac:dyDescent="0.25">
      <c r="R701">
        <v>3416754.9630661784</v>
      </c>
      <c r="S701">
        <v>0</v>
      </c>
    </row>
    <row r="702" spans="18:19" x14ac:dyDescent="0.25">
      <c r="R702">
        <v>3416780.6255670507</v>
      </c>
      <c r="S702">
        <v>0</v>
      </c>
    </row>
    <row r="703" spans="18:19" x14ac:dyDescent="0.25">
      <c r="R703">
        <v>3416806.2880679229</v>
      </c>
      <c r="S703">
        <v>0</v>
      </c>
    </row>
    <row r="704" spans="18:19" x14ac:dyDescent="0.25">
      <c r="R704">
        <v>3416831.9505687952</v>
      </c>
      <c r="S704">
        <v>0</v>
      </c>
    </row>
    <row r="705" spans="18:19" x14ac:dyDescent="0.25">
      <c r="R705">
        <v>3416857.6130696679</v>
      </c>
      <c r="S705">
        <v>0</v>
      </c>
    </row>
    <row r="706" spans="18:19" x14ac:dyDescent="0.25">
      <c r="R706">
        <v>3416883.2755705402</v>
      </c>
      <c r="S706">
        <v>0</v>
      </c>
    </row>
    <row r="707" spans="18:19" x14ac:dyDescent="0.25">
      <c r="R707">
        <v>3416908.9380714125</v>
      </c>
      <c r="S707">
        <v>0</v>
      </c>
    </row>
    <row r="708" spans="18:19" x14ac:dyDescent="0.25">
      <c r="R708">
        <v>3416934.6005722848</v>
      </c>
      <c r="S708">
        <v>0</v>
      </c>
    </row>
    <row r="709" spans="18:19" x14ac:dyDescent="0.25">
      <c r="R709">
        <v>3416960.2630731575</v>
      </c>
      <c r="S709">
        <v>0</v>
      </c>
    </row>
    <row r="710" spans="18:19" x14ac:dyDescent="0.25">
      <c r="R710">
        <v>3416985.9255740298</v>
      </c>
      <c r="S710">
        <v>0</v>
      </c>
    </row>
    <row r="711" spans="18:19" x14ac:dyDescent="0.25">
      <c r="R711">
        <v>3417011.5880749021</v>
      </c>
      <c r="S711">
        <v>0</v>
      </c>
    </row>
    <row r="712" spans="18:19" x14ac:dyDescent="0.25">
      <c r="R712">
        <v>3417037.2505757743</v>
      </c>
      <c r="S712">
        <v>0</v>
      </c>
    </row>
    <row r="713" spans="18:19" x14ac:dyDescent="0.25">
      <c r="R713">
        <v>3417062.9130766471</v>
      </c>
      <c r="S713">
        <v>0</v>
      </c>
    </row>
    <row r="714" spans="18:19" x14ac:dyDescent="0.25">
      <c r="R714">
        <v>3417088.5755775194</v>
      </c>
      <c r="S714">
        <v>0</v>
      </c>
    </row>
    <row r="715" spans="18:19" x14ac:dyDescent="0.25">
      <c r="R715">
        <v>3417114.2380783916</v>
      </c>
      <c r="S715">
        <v>0</v>
      </c>
    </row>
    <row r="716" spans="18:19" x14ac:dyDescent="0.25">
      <c r="R716">
        <v>3417139.9005792639</v>
      </c>
      <c r="S716">
        <v>0</v>
      </c>
    </row>
    <row r="717" spans="18:19" x14ac:dyDescent="0.25">
      <c r="R717">
        <v>3417165.5630801367</v>
      </c>
      <c r="S717">
        <v>0</v>
      </c>
    </row>
    <row r="718" spans="18:19" x14ac:dyDescent="0.25">
      <c r="R718">
        <v>3417191.2255810089</v>
      </c>
      <c r="S718">
        <v>0</v>
      </c>
    </row>
    <row r="719" spans="18:19" x14ac:dyDescent="0.25">
      <c r="R719">
        <v>3417216.8880818812</v>
      </c>
      <c r="S719">
        <v>0</v>
      </c>
    </row>
    <row r="720" spans="18:19" x14ac:dyDescent="0.25">
      <c r="R720">
        <v>3417242.5505827535</v>
      </c>
      <c r="S720">
        <v>0</v>
      </c>
    </row>
    <row r="721" spans="18:19" x14ac:dyDescent="0.25">
      <c r="R721">
        <v>3417268.2130836258</v>
      </c>
      <c r="S721">
        <v>0</v>
      </c>
    </row>
    <row r="722" spans="18:19" x14ac:dyDescent="0.25">
      <c r="R722">
        <v>3417293.8755844985</v>
      </c>
      <c r="S722">
        <v>0</v>
      </c>
    </row>
    <row r="723" spans="18:19" x14ac:dyDescent="0.25">
      <c r="R723">
        <v>3417319.5380853708</v>
      </c>
      <c r="S723">
        <v>0</v>
      </c>
    </row>
    <row r="724" spans="18:19" x14ac:dyDescent="0.25">
      <c r="R724">
        <v>3417345.2005862431</v>
      </c>
      <c r="S724">
        <v>0</v>
      </c>
    </row>
    <row r="725" spans="18:19" x14ac:dyDescent="0.25">
      <c r="R725">
        <v>3417370.8630871153</v>
      </c>
      <c r="S725">
        <v>0</v>
      </c>
    </row>
    <row r="726" spans="18:19" x14ac:dyDescent="0.25">
      <c r="R726">
        <v>3417396.5255879881</v>
      </c>
      <c r="S726">
        <v>0</v>
      </c>
    </row>
    <row r="727" spans="18:19" x14ac:dyDescent="0.25">
      <c r="R727">
        <v>3417422.1880888604</v>
      </c>
      <c r="S727">
        <v>0</v>
      </c>
    </row>
    <row r="728" spans="18:19" x14ac:dyDescent="0.25">
      <c r="R728">
        <v>3417447.8505897326</v>
      </c>
      <c r="S728">
        <v>0</v>
      </c>
    </row>
    <row r="729" spans="18:19" x14ac:dyDescent="0.25">
      <c r="R729">
        <v>3417473.5130906049</v>
      </c>
      <c r="S729">
        <v>0</v>
      </c>
    </row>
    <row r="730" spans="18:19" x14ac:dyDescent="0.25">
      <c r="R730">
        <v>3417499.1755914777</v>
      </c>
      <c r="S730">
        <v>0</v>
      </c>
    </row>
    <row r="731" spans="18:19" x14ac:dyDescent="0.25">
      <c r="R731">
        <v>3417524.8380923499</v>
      </c>
      <c r="S731">
        <v>0</v>
      </c>
    </row>
    <row r="732" spans="18:19" x14ac:dyDescent="0.25">
      <c r="R732">
        <v>3417550.5005932222</v>
      </c>
      <c r="S732">
        <v>0</v>
      </c>
    </row>
    <row r="733" spans="18:19" x14ac:dyDescent="0.25">
      <c r="R733">
        <v>3417576.1630940945</v>
      </c>
      <c r="S733">
        <v>0</v>
      </c>
    </row>
    <row r="734" spans="18:19" x14ac:dyDescent="0.25">
      <c r="R734">
        <v>3417601.8255949668</v>
      </c>
      <c r="S734">
        <v>0</v>
      </c>
    </row>
    <row r="735" spans="18:19" x14ac:dyDescent="0.25">
      <c r="R735">
        <v>3417627.4880958395</v>
      </c>
      <c r="S735">
        <v>0</v>
      </c>
    </row>
    <row r="736" spans="18:19" x14ac:dyDescent="0.25">
      <c r="R736">
        <v>3417653.1505967118</v>
      </c>
      <c r="S736">
        <v>0</v>
      </c>
    </row>
    <row r="737" spans="18:19" x14ac:dyDescent="0.25">
      <c r="R737">
        <v>3417678.8130975841</v>
      </c>
      <c r="S737">
        <v>0</v>
      </c>
    </row>
    <row r="738" spans="18:19" x14ac:dyDescent="0.25">
      <c r="R738">
        <v>3417704.4755984563</v>
      </c>
      <c r="S738">
        <v>0</v>
      </c>
    </row>
    <row r="739" spans="18:19" x14ac:dyDescent="0.25">
      <c r="R739">
        <v>3417730.1380993291</v>
      </c>
      <c r="S739">
        <v>0</v>
      </c>
    </row>
    <row r="740" spans="18:19" x14ac:dyDescent="0.25">
      <c r="R740">
        <v>3417755.8006002014</v>
      </c>
      <c r="S740">
        <v>0</v>
      </c>
    </row>
    <row r="741" spans="18:19" x14ac:dyDescent="0.25">
      <c r="R741">
        <v>3417781.4631010736</v>
      </c>
      <c r="S741">
        <v>0</v>
      </c>
    </row>
    <row r="742" spans="18:19" x14ac:dyDescent="0.25">
      <c r="R742">
        <v>3417807.1256019459</v>
      </c>
      <c r="S742">
        <v>0</v>
      </c>
    </row>
    <row r="743" spans="18:19" x14ac:dyDescent="0.25">
      <c r="R743">
        <v>3417832.7881028187</v>
      </c>
      <c r="S743">
        <v>0</v>
      </c>
    </row>
    <row r="744" spans="18:19" x14ac:dyDescent="0.25">
      <c r="R744">
        <v>3417858.4506036909</v>
      </c>
      <c r="S744">
        <v>0</v>
      </c>
    </row>
    <row r="745" spans="18:19" x14ac:dyDescent="0.25">
      <c r="R745">
        <v>3417884.1131045632</v>
      </c>
      <c r="S745">
        <v>0</v>
      </c>
    </row>
    <row r="746" spans="18:19" x14ac:dyDescent="0.25">
      <c r="R746">
        <v>3417909.7756054355</v>
      </c>
      <c r="S746">
        <v>0</v>
      </c>
    </row>
    <row r="747" spans="18:19" x14ac:dyDescent="0.25">
      <c r="R747">
        <v>3417935.4381063082</v>
      </c>
      <c r="S747">
        <v>0</v>
      </c>
    </row>
    <row r="748" spans="18:19" x14ac:dyDescent="0.25">
      <c r="R748">
        <v>3417961.1006071805</v>
      </c>
      <c r="S748">
        <v>0</v>
      </c>
    </row>
    <row r="749" spans="18:19" x14ac:dyDescent="0.25">
      <c r="R749">
        <v>3417986.7631080528</v>
      </c>
      <c r="S749">
        <v>0</v>
      </c>
    </row>
    <row r="750" spans="18:19" x14ac:dyDescent="0.25">
      <c r="R750">
        <v>3418012.4256089251</v>
      </c>
      <c r="S750">
        <v>0</v>
      </c>
    </row>
    <row r="751" spans="18:19" x14ac:dyDescent="0.25">
      <c r="R751">
        <v>3418038.0881097973</v>
      </c>
      <c r="S751">
        <v>0</v>
      </c>
    </row>
    <row r="752" spans="18:19" x14ac:dyDescent="0.25">
      <c r="R752">
        <v>3418063.7506106701</v>
      </c>
      <c r="S752">
        <v>0</v>
      </c>
    </row>
    <row r="753" spans="18:19" x14ac:dyDescent="0.25">
      <c r="R753">
        <v>3418089.4131115424</v>
      </c>
      <c r="S753">
        <v>0</v>
      </c>
    </row>
    <row r="754" spans="18:19" x14ac:dyDescent="0.25">
      <c r="R754">
        <v>3418115.0756124146</v>
      </c>
      <c r="S754">
        <v>0</v>
      </c>
    </row>
    <row r="755" spans="18:19" x14ac:dyDescent="0.25">
      <c r="R755">
        <v>3418140.7381132869</v>
      </c>
      <c r="S755">
        <v>0</v>
      </c>
    </row>
    <row r="756" spans="18:19" x14ac:dyDescent="0.25">
      <c r="R756">
        <v>3418166.4006141596</v>
      </c>
      <c r="S756">
        <v>0</v>
      </c>
    </row>
    <row r="757" spans="18:19" x14ac:dyDescent="0.25">
      <c r="R757">
        <v>3418192.0631150319</v>
      </c>
      <c r="S757">
        <v>0</v>
      </c>
    </row>
    <row r="758" spans="18:19" x14ac:dyDescent="0.25">
      <c r="R758">
        <v>3418217.7256159042</v>
      </c>
      <c r="S758">
        <v>0</v>
      </c>
    </row>
    <row r="759" spans="18:19" x14ac:dyDescent="0.25">
      <c r="R759">
        <v>3418243.3881167765</v>
      </c>
      <c r="S759">
        <v>0</v>
      </c>
    </row>
    <row r="760" spans="18:19" x14ac:dyDescent="0.25">
      <c r="R760">
        <v>3418269.0506176492</v>
      </c>
      <c r="S760">
        <v>0</v>
      </c>
    </row>
    <row r="761" spans="18:19" x14ac:dyDescent="0.25">
      <c r="R761">
        <v>3418294.7131185215</v>
      </c>
      <c r="S761">
        <v>0</v>
      </c>
    </row>
    <row r="762" spans="18:19" x14ac:dyDescent="0.25">
      <c r="R762">
        <v>3418320.3756193938</v>
      </c>
      <c r="S762">
        <v>0</v>
      </c>
    </row>
    <row r="763" spans="18:19" x14ac:dyDescent="0.25">
      <c r="R763">
        <v>3418346.0381202661</v>
      </c>
      <c r="S763">
        <v>0</v>
      </c>
    </row>
    <row r="764" spans="18:19" x14ac:dyDescent="0.25">
      <c r="R764">
        <v>3418371.7006211388</v>
      </c>
      <c r="S764">
        <v>0</v>
      </c>
    </row>
    <row r="765" spans="18:19" x14ac:dyDescent="0.25">
      <c r="R765">
        <v>3418397.3631220111</v>
      </c>
      <c r="S765">
        <v>0</v>
      </c>
    </row>
    <row r="766" spans="18:19" x14ac:dyDescent="0.25">
      <c r="R766">
        <v>3418423.0256228833</v>
      </c>
      <c r="S766">
        <v>0</v>
      </c>
    </row>
    <row r="767" spans="18:19" x14ac:dyDescent="0.25">
      <c r="R767">
        <v>3418448.6881237556</v>
      </c>
      <c r="S767">
        <v>0</v>
      </c>
    </row>
    <row r="768" spans="18:19" x14ac:dyDescent="0.25">
      <c r="R768">
        <v>3418474.3506246279</v>
      </c>
      <c r="S768">
        <v>0</v>
      </c>
    </row>
    <row r="769" spans="18:19" x14ac:dyDescent="0.25">
      <c r="R769">
        <v>3418500.0131255006</v>
      </c>
      <c r="S769">
        <v>0</v>
      </c>
    </row>
    <row r="770" spans="18:19" x14ac:dyDescent="0.25">
      <c r="R770">
        <v>3418525.6756263729</v>
      </c>
      <c r="S770">
        <v>0</v>
      </c>
    </row>
    <row r="771" spans="18:19" x14ac:dyDescent="0.25">
      <c r="R771">
        <v>3418551.3381272452</v>
      </c>
      <c r="S771">
        <v>0</v>
      </c>
    </row>
    <row r="772" spans="18:19" x14ac:dyDescent="0.25">
      <c r="R772">
        <v>3418577.0006281175</v>
      </c>
      <c r="S772">
        <v>0</v>
      </c>
    </row>
    <row r="773" spans="18:19" x14ac:dyDescent="0.25">
      <c r="R773">
        <v>3418602.6631289902</v>
      </c>
      <c r="S773">
        <v>0</v>
      </c>
    </row>
    <row r="774" spans="18:19" x14ac:dyDescent="0.25">
      <c r="R774">
        <v>3418628.3256298625</v>
      </c>
      <c r="S774">
        <v>0</v>
      </c>
    </row>
    <row r="775" spans="18:19" x14ac:dyDescent="0.25">
      <c r="R775">
        <v>3418653.9881307348</v>
      </c>
      <c r="S775">
        <v>0</v>
      </c>
    </row>
    <row r="776" spans="18:19" x14ac:dyDescent="0.25">
      <c r="R776">
        <v>3418679.650631607</v>
      </c>
      <c r="S776">
        <v>0</v>
      </c>
    </row>
    <row r="777" spans="18:19" x14ac:dyDescent="0.25">
      <c r="R777">
        <v>3418705.3131324798</v>
      </c>
      <c r="S777">
        <v>0</v>
      </c>
    </row>
    <row r="778" spans="18:19" x14ac:dyDescent="0.25">
      <c r="R778">
        <v>3418730.9756333521</v>
      </c>
      <c r="S778">
        <v>0</v>
      </c>
    </row>
    <row r="779" spans="18:19" x14ac:dyDescent="0.25">
      <c r="R779">
        <v>3418756.6381342243</v>
      </c>
      <c r="S779">
        <v>0</v>
      </c>
    </row>
    <row r="780" spans="18:19" x14ac:dyDescent="0.25">
      <c r="R780">
        <v>3418782.3006350966</v>
      </c>
      <c r="S780">
        <v>0</v>
      </c>
    </row>
    <row r="781" spans="18:19" x14ac:dyDescent="0.25">
      <c r="R781">
        <v>3418807.9631359694</v>
      </c>
      <c r="S781">
        <v>0</v>
      </c>
    </row>
    <row r="782" spans="18:19" x14ac:dyDescent="0.25">
      <c r="R782">
        <v>3418833.6256368416</v>
      </c>
      <c r="S782">
        <v>0</v>
      </c>
    </row>
    <row r="783" spans="18:19" x14ac:dyDescent="0.25">
      <c r="R783">
        <v>3418859.2881377139</v>
      </c>
      <c r="S783">
        <v>0</v>
      </c>
    </row>
    <row r="784" spans="18:19" x14ac:dyDescent="0.25">
      <c r="R784">
        <v>3418884.9506385862</v>
      </c>
      <c r="S784">
        <v>0</v>
      </c>
    </row>
    <row r="785" spans="18:19" x14ac:dyDescent="0.25">
      <c r="R785">
        <v>3418910.6131394585</v>
      </c>
      <c r="S785">
        <v>0</v>
      </c>
    </row>
    <row r="786" spans="18:19" x14ac:dyDescent="0.25">
      <c r="R786">
        <v>3418936.2756403312</v>
      </c>
      <c r="S786">
        <v>0</v>
      </c>
    </row>
    <row r="787" spans="18:19" x14ac:dyDescent="0.25">
      <c r="R787">
        <v>3418961.9381412035</v>
      </c>
      <c r="S787">
        <v>0</v>
      </c>
    </row>
    <row r="788" spans="18:19" x14ac:dyDescent="0.25">
      <c r="R788">
        <v>3418987.6006420758</v>
      </c>
      <c r="S788">
        <v>0</v>
      </c>
    </row>
    <row r="789" spans="18:19" x14ac:dyDescent="0.25">
      <c r="R789">
        <v>3419013.263142948</v>
      </c>
      <c r="S789">
        <v>0</v>
      </c>
    </row>
    <row r="790" spans="18:19" x14ac:dyDescent="0.25">
      <c r="R790">
        <v>3419038.9256438208</v>
      </c>
      <c r="S790">
        <v>0</v>
      </c>
    </row>
    <row r="791" spans="18:19" x14ac:dyDescent="0.25">
      <c r="R791">
        <v>3419064.5881446931</v>
      </c>
      <c r="S791">
        <v>0</v>
      </c>
    </row>
    <row r="792" spans="18:19" x14ac:dyDescent="0.25">
      <c r="R792">
        <v>3419090.2506455653</v>
      </c>
      <c r="S792">
        <v>0</v>
      </c>
    </row>
    <row r="793" spans="18:19" x14ac:dyDescent="0.25">
      <c r="R793">
        <v>3419115.9131464376</v>
      </c>
      <c r="S793">
        <v>0</v>
      </c>
    </row>
    <row r="794" spans="18:19" x14ac:dyDescent="0.25">
      <c r="R794">
        <v>3419141.5756473104</v>
      </c>
      <c r="S794">
        <v>0</v>
      </c>
    </row>
    <row r="795" spans="18:19" x14ac:dyDescent="0.25">
      <c r="R795">
        <v>3419167.2381481826</v>
      </c>
      <c r="S795">
        <v>0</v>
      </c>
    </row>
    <row r="796" spans="18:19" x14ac:dyDescent="0.25">
      <c r="R796">
        <v>3419192.9006490549</v>
      </c>
      <c r="S796">
        <v>0</v>
      </c>
    </row>
    <row r="797" spans="18:19" x14ac:dyDescent="0.25">
      <c r="R797">
        <v>3419218.5631499272</v>
      </c>
      <c r="S797">
        <v>0</v>
      </c>
    </row>
    <row r="798" spans="18:19" x14ac:dyDescent="0.25">
      <c r="R798">
        <v>3419244.2256507995</v>
      </c>
      <c r="S798">
        <v>0</v>
      </c>
    </row>
    <row r="799" spans="18:19" x14ac:dyDescent="0.25">
      <c r="R799">
        <v>3419269.8881516722</v>
      </c>
      <c r="S799">
        <v>0</v>
      </c>
    </row>
    <row r="800" spans="18:19" x14ac:dyDescent="0.25">
      <c r="R800">
        <v>3419295.5506525445</v>
      </c>
      <c r="S800">
        <v>0</v>
      </c>
    </row>
    <row r="801" spans="18:19" x14ac:dyDescent="0.25">
      <c r="R801">
        <v>3419321.2131534168</v>
      </c>
      <c r="S801">
        <v>0</v>
      </c>
    </row>
    <row r="802" spans="18:19" x14ac:dyDescent="0.25">
      <c r="R802">
        <v>3419346.875654289</v>
      </c>
      <c r="S802">
        <v>0</v>
      </c>
    </row>
    <row r="803" spans="18:19" x14ac:dyDescent="0.25">
      <c r="R803">
        <v>3419372.5381551618</v>
      </c>
      <c r="S803">
        <v>0</v>
      </c>
    </row>
    <row r="804" spans="18:19" x14ac:dyDescent="0.25">
      <c r="R804">
        <v>3419398.2006560341</v>
      </c>
      <c r="S804">
        <v>0</v>
      </c>
    </row>
    <row r="805" spans="18:19" x14ac:dyDescent="0.25">
      <c r="R805">
        <v>3419423.8631569063</v>
      </c>
      <c r="S805">
        <v>0</v>
      </c>
    </row>
    <row r="806" spans="18:19" x14ac:dyDescent="0.25">
      <c r="R806">
        <v>3419449.5256577786</v>
      </c>
      <c r="S806">
        <v>0</v>
      </c>
    </row>
    <row r="807" spans="18:19" x14ac:dyDescent="0.25">
      <c r="R807">
        <v>3419475.1881586513</v>
      </c>
      <c r="S807">
        <v>0</v>
      </c>
    </row>
    <row r="808" spans="18:19" x14ac:dyDescent="0.25">
      <c r="R808">
        <v>3419500.8506595236</v>
      </c>
      <c r="S808">
        <v>0</v>
      </c>
    </row>
    <row r="809" spans="18:19" x14ac:dyDescent="0.25">
      <c r="R809">
        <v>3419526.5131603959</v>
      </c>
      <c r="S809">
        <v>0</v>
      </c>
    </row>
    <row r="810" spans="18:19" x14ac:dyDescent="0.25">
      <c r="R810">
        <v>3419552.1756612682</v>
      </c>
      <c r="S810">
        <v>0</v>
      </c>
    </row>
    <row r="811" spans="18:19" x14ac:dyDescent="0.25">
      <c r="R811">
        <v>3419577.8381621409</v>
      </c>
      <c r="S811">
        <v>0</v>
      </c>
    </row>
    <row r="812" spans="18:19" x14ac:dyDescent="0.25">
      <c r="R812">
        <v>3419603.5006630132</v>
      </c>
      <c r="S812">
        <v>0</v>
      </c>
    </row>
    <row r="813" spans="18:19" x14ac:dyDescent="0.25">
      <c r="R813">
        <v>3419629.1631638855</v>
      </c>
      <c r="S813">
        <v>0</v>
      </c>
    </row>
    <row r="814" spans="18:19" x14ac:dyDescent="0.25">
      <c r="R814">
        <v>3419654.8256647578</v>
      </c>
      <c r="S814">
        <v>0</v>
      </c>
    </row>
    <row r="815" spans="18:19" x14ac:dyDescent="0.25">
      <c r="R815">
        <v>3419680.48816563</v>
      </c>
      <c r="S815">
        <v>0</v>
      </c>
    </row>
    <row r="816" spans="18:19" x14ac:dyDescent="0.25">
      <c r="R816">
        <v>3419706.1506665028</v>
      </c>
      <c r="S816">
        <v>0</v>
      </c>
    </row>
    <row r="817" spans="18:19" x14ac:dyDescent="0.25">
      <c r="R817">
        <v>3419731.813167375</v>
      </c>
      <c r="S817">
        <v>0</v>
      </c>
    </row>
    <row r="818" spans="18:19" x14ac:dyDescent="0.25">
      <c r="R818">
        <v>3419757.4756682473</v>
      </c>
      <c r="S818">
        <v>0</v>
      </c>
    </row>
    <row r="819" spans="18:19" x14ac:dyDescent="0.25">
      <c r="R819">
        <v>3419783.1381691196</v>
      </c>
      <c r="S819">
        <v>0</v>
      </c>
    </row>
    <row r="820" spans="18:19" x14ac:dyDescent="0.25">
      <c r="R820">
        <v>3419808.8006699923</v>
      </c>
      <c r="S820">
        <v>0</v>
      </c>
    </row>
    <row r="821" spans="18:19" x14ac:dyDescent="0.25">
      <c r="R821">
        <v>3419834.4631708646</v>
      </c>
      <c r="S821">
        <v>0</v>
      </c>
    </row>
    <row r="822" spans="18:19" x14ac:dyDescent="0.25">
      <c r="R822">
        <v>3419860.1256717369</v>
      </c>
      <c r="S822">
        <v>0</v>
      </c>
    </row>
    <row r="823" spans="18:19" x14ac:dyDescent="0.25">
      <c r="R823">
        <v>3419885.7881726092</v>
      </c>
      <c r="S823">
        <v>0</v>
      </c>
    </row>
    <row r="824" spans="18:19" x14ac:dyDescent="0.25">
      <c r="R824">
        <v>3419911.4506734819</v>
      </c>
      <c r="S824">
        <v>0</v>
      </c>
    </row>
    <row r="825" spans="18:19" x14ac:dyDescent="0.25">
      <c r="R825">
        <v>3419937.1131743542</v>
      </c>
      <c r="S825">
        <v>0</v>
      </c>
    </row>
    <row r="826" spans="18:19" x14ac:dyDescent="0.25">
      <c r="R826">
        <v>3419962.7756752265</v>
      </c>
      <c r="S826">
        <v>0</v>
      </c>
    </row>
    <row r="827" spans="18:19" x14ac:dyDescent="0.25">
      <c r="R827">
        <v>3419988.4381760987</v>
      </c>
      <c r="S827">
        <v>0</v>
      </c>
    </row>
    <row r="828" spans="18:19" x14ac:dyDescent="0.25">
      <c r="R828">
        <v>3420014.1006769715</v>
      </c>
      <c r="S828">
        <v>0</v>
      </c>
    </row>
    <row r="829" spans="18:19" x14ac:dyDescent="0.25">
      <c r="R829">
        <v>3420039.7631778438</v>
      </c>
      <c r="S829">
        <v>0</v>
      </c>
    </row>
    <row r="830" spans="18:19" x14ac:dyDescent="0.25">
      <c r="R830">
        <v>3420065.425678716</v>
      </c>
      <c r="S830">
        <v>0</v>
      </c>
    </row>
    <row r="831" spans="18:19" x14ac:dyDescent="0.25">
      <c r="R831">
        <v>3420091.0881795883</v>
      </c>
      <c r="S831">
        <v>0</v>
      </c>
    </row>
    <row r="832" spans="18:19" x14ac:dyDescent="0.25">
      <c r="R832">
        <v>3420116.7506804606</v>
      </c>
      <c r="S832">
        <v>0</v>
      </c>
    </row>
    <row r="833" spans="18:19" x14ac:dyDescent="0.25">
      <c r="R833">
        <v>3420142.4131813333</v>
      </c>
      <c r="S833">
        <v>0</v>
      </c>
    </row>
    <row r="834" spans="18:19" x14ac:dyDescent="0.25">
      <c r="R834">
        <v>3420168.0756822056</v>
      </c>
      <c r="S834">
        <v>0</v>
      </c>
    </row>
    <row r="835" spans="18:19" x14ac:dyDescent="0.25">
      <c r="R835">
        <v>3420193.7381830779</v>
      </c>
      <c r="S835">
        <v>0</v>
      </c>
    </row>
    <row r="836" spans="18:19" x14ac:dyDescent="0.25">
      <c r="R836">
        <v>3420219.4006839502</v>
      </c>
      <c r="S836">
        <v>0</v>
      </c>
    </row>
    <row r="837" spans="18:19" x14ac:dyDescent="0.25">
      <c r="R837">
        <v>3420245.0631848229</v>
      </c>
      <c r="S837">
        <v>0</v>
      </c>
    </row>
    <row r="838" spans="18:19" x14ac:dyDescent="0.25">
      <c r="R838">
        <v>3420270.7256856952</v>
      </c>
      <c r="S838">
        <v>0</v>
      </c>
    </row>
    <row r="839" spans="18:19" x14ac:dyDescent="0.25">
      <c r="R839">
        <v>3420296.3881865675</v>
      </c>
      <c r="S839">
        <v>0</v>
      </c>
    </row>
    <row r="840" spans="18:19" x14ac:dyDescent="0.25">
      <c r="R840">
        <v>3420322.0506874397</v>
      </c>
      <c r="S840">
        <v>0</v>
      </c>
    </row>
    <row r="841" spans="18:19" x14ac:dyDescent="0.25">
      <c r="R841">
        <v>3420347.7131883125</v>
      </c>
      <c r="S841">
        <v>0</v>
      </c>
    </row>
    <row r="842" spans="18:19" x14ac:dyDescent="0.25">
      <c r="R842">
        <v>3420373.3756891848</v>
      </c>
      <c r="S842">
        <v>0</v>
      </c>
    </row>
    <row r="843" spans="18:19" x14ac:dyDescent="0.25">
      <c r="R843">
        <v>3420399.038190057</v>
      </c>
      <c r="S843">
        <v>0</v>
      </c>
    </row>
    <row r="844" spans="18:19" x14ac:dyDescent="0.25">
      <c r="R844">
        <v>3420424.7006909293</v>
      </c>
      <c r="S844">
        <v>0</v>
      </c>
    </row>
    <row r="845" spans="18:19" x14ac:dyDescent="0.25">
      <c r="R845">
        <v>3420450.3631918021</v>
      </c>
      <c r="S845">
        <v>0</v>
      </c>
    </row>
    <row r="846" spans="18:19" x14ac:dyDescent="0.25">
      <c r="R846">
        <v>3420476.0256926743</v>
      </c>
      <c r="S846">
        <v>0</v>
      </c>
    </row>
    <row r="847" spans="18:19" x14ac:dyDescent="0.25">
      <c r="R847">
        <v>3420501.6881935466</v>
      </c>
      <c r="S847">
        <v>0</v>
      </c>
    </row>
    <row r="848" spans="18:19" x14ac:dyDescent="0.25">
      <c r="R848">
        <v>3420527.3506944189</v>
      </c>
      <c r="S848">
        <v>0</v>
      </c>
    </row>
    <row r="849" spans="18:19" x14ac:dyDescent="0.25">
      <c r="R849">
        <v>3420553.0131952912</v>
      </c>
      <c r="S849">
        <v>0</v>
      </c>
    </row>
    <row r="850" spans="18:19" x14ac:dyDescent="0.25">
      <c r="R850">
        <v>3420578.6756961639</v>
      </c>
      <c r="S850">
        <v>0</v>
      </c>
    </row>
    <row r="851" spans="18:19" x14ac:dyDescent="0.25">
      <c r="R851">
        <v>3420604.3381970362</v>
      </c>
      <c r="S851">
        <v>0</v>
      </c>
    </row>
    <row r="852" spans="18:19" x14ac:dyDescent="0.25">
      <c r="R852">
        <v>3420630.0006979085</v>
      </c>
      <c r="S852">
        <v>0</v>
      </c>
    </row>
    <row r="853" spans="18:19" x14ac:dyDescent="0.25">
      <c r="R853">
        <v>3420655.6631987807</v>
      </c>
      <c r="S853">
        <v>0</v>
      </c>
    </row>
    <row r="854" spans="18:19" x14ac:dyDescent="0.25">
      <c r="R854">
        <v>3420681.3256996535</v>
      </c>
      <c r="S854">
        <v>0</v>
      </c>
    </row>
    <row r="855" spans="18:19" x14ac:dyDescent="0.25">
      <c r="R855">
        <v>3420706.9882005258</v>
      </c>
      <c r="S855">
        <v>0</v>
      </c>
    </row>
    <row r="856" spans="18:19" x14ac:dyDescent="0.25">
      <c r="R856">
        <v>3420732.650701398</v>
      </c>
      <c r="S856">
        <v>0</v>
      </c>
    </row>
    <row r="857" spans="18:19" x14ac:dyDescent="0.25">
      <c r="R857">
        <v>3420758.3132022703</v>
      </c>
      <c r="S857">
        <v>0</v>
      </c>
    </row>
    <row r="858" spans="18:19" x14ac:dyDescent="0.25">
      <c r="R858">
        <v>3420783.975703143</v>
      </c>
      <c r="S858">
        <v>0</v>
      </c>
    </row>
    <row r="859" spans="18:19" x14ac:dyDescent="0.25">
      <c r="R859">
        <v>3420809.6382040153</v>
      </c>
      <c r="S859">
        <v>0</v>
      </c>
    </row>
    <row r="860" spans="18:19" x14ac:dyDescent="0.25">
      <c r="R860">
        <v>3420835.3007048876</v>
      </c>
      <c r="S860">
        <v>0</v>
      </c>
    </row>
    <row r="861" spans="18:19" x14ac:dyDescent="0.25">
      <c r="R861">
        <v>3420860.9632057599</v>
      </c>
      <c r="S861">
        <v>0</v>
      </c>
    </row>
    <row r="862" spans="18:19" x14ac:dyDescent="0.25">
      <c r="R862">
        <v>3420886.6257066322</v>
      </c>
      <c r="S862">
        <v>0</v>
      </c>
    </row>
    <row r="863" spans="18:19" x14ac:dyDescent="0.25">
      <c r="R863">
        <v>3420912.2882075049</v>
      </c>
      <c r="S863">
        <v>0</v>
      </c>
    </row>
    <row r="864" spans="18:19" x14ac:dyDescent="0.25">
      <c r="R864">
        <v>3420937.9507083772</v>
      </c>
      <c r="S864">
        <v>0</v>
      </c>
    </row>
    <row r="865" spans="18:19" x14ac:dyDescent="0.25">
      <c r="R865">
        <v>3420963.6132092495</v>
      </c>
      <c r="S865">
        <v>0</v>
      </c>
    </row>
    <row r="866" spans="18:19" x14ac:dyDescent="0.25">
      <c r="R866">
        <v>3420989.2757101217</v>
      </c>
      <c r="S866">
        <v>0</v>
      </c>
    </row>
    <row r="867" spans="18:19" x14ac:dyDescent="0.25">
      <c r="R867">
        <v>3421014.9382109945</v>
      </c>
      <c r="S867">
        <v>0</v>
      </c>
    </row>
    <row r="868" spans="18:19" x14ac:dyDescent="0.25">
      <c r="R868">
        <v>3421040.6007118667</v>
      </c>
      <c r="S868">
        <v>0</v>
      </c>
    </row>
    <row r="869" spans="18:19" x14ac:dyDescent="0.25">
      <c r="R869">
        <v>3421066.263212739</v>
      </c>
      <c r="S869">
        <v>0</v>
      </c>
    </row>
    <row r="870" spans="18:19" x14ac:dyDescent="0.25">
      <c r="R870">
        <v>3421091.9257136113</v>
      </c>
      <c r="S870">
        <v>0</v>
      </c>
    </row>
    <row r="871" spans="18:19" x14ac:dyDescent="0.25">
      <c r="R871">
        <v>3421117.588214484</v>
      </c>
      <c r="S871">
        <v>0</v>
      </c>
    </row>
    <row r="872" spans="18:19" x14ac:dyDescent="0.25">
      <c r="R872">
        <v>3421143.2507153563</v>
      </c>
      <c r="S872">
        <v>0</v>
      </c>
    </row>
    <row r="873" spans="18:19" x14ac:dyDescent="0.25">
      <c r="R873">
        <v>3421168.9132162286</v>
      </c>
      <c r="S873">
        <v>0</v>
      </c>
    </row>
    <row r="874" spans="18:19" x14ac:dyDescent="0.25">
      <c r="R874">
        <v>3421194.5757171009</v>
      </c>
      <c r="S874">
        <v>0</v>
      </c>
    </row>
    <row r="875" spans="18:19" x14ac:dyDescent="0.25">
      <c r="R875">
        <v>3421220.2382179736</v>
      </c>
      <c r="S875">
        <v>0</v>
      </c>
    </row>
    <row r="876" spans="18:19" x14ac:dyDescent="0.25">
      <c r="R876">
        <v>3421245.9007188459</v>
      </c>
      <c r="S876">
        <v>0</v>
      </c>
    </row>
    <row r="877" spans="18:19" x14ac:dyDescent="0.25">
      <c r="R877">
        <v>3421271.5632197182</v>
      </c>
      <c r="S877">
        <v>0</v>
      </c>
    </row>
    <row r="878" spans="18:19" x14ac:dyDescent="0.25">
      <c r="R878">
        <v>3421297.2257205904</v>
      </c>
      <c r="S878">
        <v>0</v>
      </c>
    </row>
    <row r="879" spans="18:19" x14ac:dyDescent="0.25">
      <c r="R879">
        <v>3421322.8882214627</v>
      </c>
      <c r="S879">
        <v>0</v>
      </c>
    </row>
    <row r="880" spans="18:19" x14ac:dyDescent="0.25">
      <c r="R880">
        <v>3421348.5507223355</v>
      </c>
      <c r="S880">
        <v>0</v>
      </c>
    </row>
    <row r="881" spans="18:19" x14ac:dyDescent="0.25">
      <c r="R881">
        <v>3421374.2132232077</v>
      </c>
      <c r="S881">
        <v>0</v>
      </c>
    </row>
    <row r="882" spans="18:19" x14ac:dyDescent="0.25">
      <c r="R882">
        <v>3421399.87572408</v>
      </c>
      <c r="S882">
        <v>0</v>
      </c>
    </row>
    <row r="883" spans="18:19" x14ac:dyDescent="0.25">
      <c r="R883">
        <v>3421425.5382249523</v>
      </c>
      <c r="S883">
        <v>0</v>
      </c>
    </row>
    <row r="884" spans="18:19" x14ac:dyDescent="0.25">
      <c r="R884">
        <v>3421451.200725825</v>
      </c>
      <c r="S884">
        <v>0</v>
      </c>
    </row>
    <row r="885" spans="18:19" x14ac:dyDescent="0.25">
      <c r="R885">
        <v>3421476.8632266973</v>
      </c>
      <c r="S885">
        <v>0</v>
      </c>
    </row>
    <row r="886" spans="18:19" x14ac:dyDescent="0.25">
      <c r="R886">
        <v>3421502.5257275696</v>
      </c>
      <c r="S886">
        <v>0</v>
      </c>
    </row>
    <row r="887" spans="18:19" x14ac:dyDescent="0.25">
      <c r="R887">
        <v>3421528.1882284419</v>
      </c>
      <c r="S887">
        <v>0</v>
      </c>
    </row>
    <row r="888" spans="18:19" x14ac:dyDescent="0.25">
      <c r="R888">
        <v>3421553.8507293146</v>
      </c>
      <c r="S888">
        <v>0</v>
      </c>
    </row>
    <row r="889" spans="18:19" x14ac:dyDescent="0.25">
      <c r="R889">
        <v>3421579.5132301869</v>
      </c>
      <c r="S889">
        <v>0</v>
      </c>
    </row>
    <row r="890" spans="18:19" x14ac:dyDescent="0.25">
      <c r="R890">
        <v>3421605.1757310592</v>
      </c>
      <c r="S890">
        <v>0</v>
      </c>
    </row>
    <row r="891" spans="18:19" x14ac:dyDescent="0.25">
      <c r="R891">
        <v>3421630.8382319314</v>
      </c>
      <c r="S891">
        <v>0</v>
      </c>
    </row>
    <row r="892" spans="18:19" x14ac:dyDescent="0.25">
      <c r="R892">
        <v>3421656.5007328042</v>
      </c>
      <c r="S892">
        <v>0</v>
      </c>
    </row>
    <row r="893" spans="18:19" x14ac:dyDescent="0.25">
      <c r="R893">
        <v>3421682.1632336765</v>
      </c>
      <c r="S893">
        <v>0</v>
      </c>
    </row>
    <row r="894" spans="18:19" x14ac:dyDescent="0.25">
      <c r="R894">
        <v>3421707.8257345487</v>
      </c>
      <c r="S894">
        <v>0</v>
      </c>
    </row>
    <row r="895" spans="18:19" x14ac:dyDescent="0.25">
      <c r="R895">
        <v>3421733.488235421</v>
      </c>
      <c r="S895">
        <v>0</v>
      </c>
    </row>
    <row r="896" spans="18:19" x14ac:dyDescent="0.25">
      <c r="R896">
        <v>3421759.1507362933</v>
      </c>
      <c r="S896">
        <v>0</v>
      </c>
    </row>
    <row r="897" spans="18:19" x14ac:dyDescent="0.25">
      <c r="R897">
        <v>3421784.813237166</v>
      </c>
      <c r="S897">
        <v>0</v>
      </c>
    </row>
    <row r="898" spans="18:19" x14ac:dyDescent="0.25">
      <c r="R898">
        <v>3421810.4757380383</v>
      </c>
      <c r="S898">
        <v>0</v>
      </c>
    </row>
    <row r="899" spans="18:19" x14ac:dyDescent="0.25">
      <c r="R899">
        <v>3421836.1382389106</v>
      </c>
      <c r="S899">
        <v>0</v>
      </c>
    </row>
    <row r="900" spans="18:19" x14ac:dyDescent="0.25">
      <c r="R900">
        <v>3421861.8007397829</v>
      </c>
      <c r="S900">
        <v>0</v>
      </c>
    </row>
    <row r="901" spans="18:19" x14ac:dyDescent="0.25">
      <c r="R901">
        <v>3421887.4632406556</v>
      </c>
      <c r="S901">
        <v>0</v>
      </c>
    </row>
    <row r="902" spans="18:19" x14ac:dyDescent="0.25">
      <c r="R902">
        <v>3421913.1257415279</v>
      </c>
      <c r="S902">
        <v>0</v>
      </c>
    </row>
    <row r="903" spans="18:19" x14ac:dyDescent="0.25">
      <c r="R903">
        <v>3421938.7882424002</v>
      </c>
      <c r="S903">
        <v>0</v>
      </c>
    </row>
    <row r="904" spans="18:19" x14ac:dyDescent="0.25">
      <c r="R904">
        <v>3421964.4507432724</v>
      </c>
      <c r="S904">
        <v>0</v>
      </c>
    </row>
    <row r="905" spans="18:19" x14ac:dyDescent="0.25">
      <c r="R905">
        <v>3421990.1132441452</v>
      </c>
      <c r="S905">
        <v>0</v>
      </c>
    </row>
    <row r="906" spans="18:19" x14ac:dyDescent="0.25">
      <c r="R906">
        <v>3422015.7757450175</v>
      </c>
      <c r="S906">
        <v>0</v>
      </c>
    </row>
    <row r="907" spans="18:19" x14ac:dyDescent="0.25">
      <c r="R907">
        <v>3422041.4382458897</v>
      </c>
      <c r="S907">
        <v>0</v>
      </c>
    </row>
    <row r="908" spans="18:19" x14ac:dyDescent="0.25">
      <c r="R908">
        <v>3422067.100746762</v>
      </c>
      <c r="S908">
        <v>0</v>
      </c>
    </row>
    <row r="909" spans="18:19" x14ac:dyDescent="0.25">
      <c r="R909">
        <v>3422092.7632476347</v>
      </c>
      <c r="S909">
        <v>0</v>
      </c>
    </row>
    <row r="910" spans="18:19" x14ac:dyDescent="0.25">
      <c r="R910">
        <v>3422118.425748507</v>
      </c>
      <c r="S910">
        <v>0</v>
      </c>
    </row>
    <row r="911" spans="18:19" x14ac:dyDescent="0.25">
      <c r="R911">
        <v>3422144.0882493793</v>
      </c>
      <c r="S911">
        <v>0</v>
      </c>
    </row>
    <row r="912" spans="18:19" x14ac:dyDescent="0.25">
      <c r="R912">
        <v>3422169.7507502516</v>
      </c>
      <c r="S912">
        <v>0</v>
      </c>
    </row>
    <row r="913" spans="18:19" x14ac:dyDescent="0.25">
      <c r="R913">
        <v>3422195.4132511239</v>
      </c>
      <c r="S913">
        <v>0</v>
      </c>
    </row>
    <row r="914" spans="18:19" x14ac:dyDescent="0.25">
      <c r="R914">
        <v>3422221.0757519966</v>
      </c>
      <c r="S914">
        <v>0</v>
      </c>
    </row>
    <row r="915" spans="18:19" x14ac:dyDescent="0.25">
      <c r="R915">
        <v>3422246.7382528689</v>
      </c>
      <c r="S915">
        <v>0</v>
      </c>
    </row>
    <row r="916" spans="18:19" x14ac:dyDescent="0.25">
      <c r="R916">
        <v>3422272.4007537412</v>
      </c>
      <c r="S916">
        <v>0</v>
      </c>
    </row>
    <row r="917" spans="18:19" x14ac:dyDescent="0.25">
      <c r="R917">
        <v>3422298.0632546134</v>
      </c>
      <c r="S917">
        <v>0</v>
      </c>
    </row>
    <row r="918" spans="18:19" x14ac:dyDescent="0.25">
      <c r="R918">
        <v>3422323.7257554862</v>
      </c>
      <c r="S918">
        <v>0</v>
      </c>
    </row>
    <row r="919" spans="18:19" x14ac:dyDescent="0.25">
      <c r="R919">
        <v>3422349.3882563584</v>
      </c>
      <c r="S919">
        <v>0</v>
      </c>
    </row>
    <row r="920" spans="18:19" x14ac:dyDescent="0.25">
      <c r="R920">
        <v>3422375.0507572307</v>
      </c>
      <c r="S920">
        <v>0</v>
      </c>
    </row>
    <row r="921" spans="18:19" x14ac:dyDescent="0.25">
      <c r="R921">
        <v>3422400.713258103</v>
      </c>
      <c r="S921">
        <v>0</v>
      </c>
    </row>
    <row r="922" spans="18:19" x14ac:dyDescent="0.25">
      <c r="R922">
        <v>3422426.3757589757</v>
      </c>
      <c r="S922">
        <v>0</v>
      </c>
    </row>
    <row r="923" spans="18:19" x14ac:dyDescent="0.25">
      <c r="R923">
        <v>3422452.038259848</v>
      </c>
      <c r="S923">
        <v>0</v>
      </c>
    </row>
    <row r="924" spans="18:19" x14ac:dyDescent="0.25">
      <c r="R924">
        <v>3422477.7007607203</v>
      </c>
      <c r="S924">
        <v>0</v>
      </c>
    </row>
    <row r="925" spans="18:19" x14ac:dyDescent="0.25">
      <c r="R925">
        <v>3422503.3632615926</v>
      </c>
      <c r="S925">
        <v>0</v>
      </c>
    </row>
    <row r="926" spans="18:19" x14ac:dyDescent="0.25">
      <c r="R926">
        <v>3422529.0257624649</v>
      </c>
      <c r="S926">
        <v>0</v>
      </c>
    </row>
    <row r="927" spans="18:19" x14ac:dyDescent="0.25">
      <c r="R927">
        <v>3422554.6882633376</v>
      </c>
      <c r="S927">
        <v>0</v>
      </c>
    </row>
    <row r="928" spans="18:19" x14ac:dyDescent="0.25">
      <c r="R928">
        <v>3422580.3507642099</v>
      </c>
      <c r="S928">
        <v>0</v>
      </c>
    </row>
    <row r="929" spans="18:19" x14ac:dyDescent="0.25">
      <c r="R929">
        <v>3422606.0132650821</v>
      </c>
      <c r="S929">
        <v>0</v>
      </c>
    </row>
    <row r="930" spans="18:19" x14ac:dyDescent="0.25">
      <c r="R930">
        <v>3422631.6757659544</v>
      </c>
      <c r="S930">
        <v>0</v>
      </c>
    </row>
    <row r="931" spans="18:19" x14ac:dyDescent="0.25">
      <c r="R931">
        <v>3422657.3382668272</v>
      </c>
      <c r="S931">
        <v>0</v>
      </c>
    </row>
    <row r="932" spans="18:19" x14ac:dyDescent="0.25">
      <c r="R932">
        <v>3422683.0007676994</v>
      </c>
      <c r="S932">
        <v>0</v>
      </c>
    </row>
    <row r="933" spans="18:19" x14ac:dyDescent="0.25">
      <c r="R933">
        <v>3422708.6632685717</v>
      </c>
      <c r="S933">
        <v>0</v>
      </c>
    </row>
    <row r="934" spans="18:19" x14ac:dyDescent="0.25">
      <c r="R934">
        <v>3422734.325769444</v>
      </c>
      <c r="S934">
        <v>0</v>
      </c>
    </row>
    <row r="935" spans="18:19" x14ac:dyDescent="0.25">
      <c r="R935">
        <v>3422759.9882703167</v>
      </c>
      <c r="S935">
        <v>0</v>
      </c>
    </row>
    <row r="936" spans="18:19" x14ac:dyDescent="0.25">
      <c r="R936">
        <v>3422785.650771189</v>
      </c>
      <c r="S936">
        <v>0</v>
      </c>
    </row>
    <row r="937" spans="18:19" x14ac:dyDescent="0.25">
      <c r="R937">
        <v>3422811.3132720613</v>
      </c>
      <c r="S937">
        <v>0</v>
      </c>
    </row>
    <row r="938" spans="18:19" x14ac:dyDescent="0.25">
      <c r="R938">
        <v>3422836.9757729336</v>
      </c>
      <c r="S938">
        <v>0</v>
      </c>
    </row>
    <row r="939" spans="18:19" x14ac:dyDescent="0.25">
      <c r="R939">
        <v>3422862.6382738063</v>
      </c>
      <c r="S939">
        <v>0</v>
      </c>
    </row>
    <row r="940" spans="18:19" x14ac:dyDescent="0.25">
      <c r="R940">
        <v>3422888.3007746786</v>
      </c>
      <c r="S940">
        <v>0</v>
      </c>
    </row>
    <row r="941" spans="18:19" x14ac:dyDescent="0.25">
      <c r="R941">
        <v>3422913.9632755509</v>
      </c>
      <c r="S941">
        <v>0</v>
      </c>
    </row>
    <row r="942" spans="18:19" x14ac:dyDescent="0.25">
      <c r="R942">
        <v>3422939.6257764231</v>
      </c>
      <c r="S942">
        <v>0</v>
      </c>
    </row>
    <row r="943" spans="18:19" x14ac:dyDescent="0.25">
      <c r="R943">
        <v>3422965.2882772954</v>
      </c>
      <c r="S943">
        <v>0</v>
      </c>
    </row>
    <row r="944" spans="18:19" x14ac:dyDescent="0.25">
      <c r="R944">
        <v>3422990.9507781682</v>
      </c>
      <c r="S944">
        <v>0</v>
      </c>
    </row>
    <row r="945" spans="18:19" x14ac:dyDescent="0.25">
      <c r="R945">
        <v>3423016.6132790404</v>
      </c>
      <c r="S945">
        <v>0</v>
      </c>
    </row>
    <row r="946" spans="18:19" x14ac:dyDescent="0.25">
      <c r="R946">
        <v>3423042.2757799127</v>
      </c>
      <c r="S946">
        <v>0</v>
      </c>
    </row>
    <row r="947" spans="18:19" x14ac:dyDescent="0.25">
      <c r="R947">
        <v>3423067.938280785</v>
      </c>
      <c r="S947">
        <v>0</v>
      </c>
    </row>
    <row r="948" spans="18:19" x14ac:dyDescent="0.25">
      <c r="R948">
        <v>3423093.6007816577</v>
      </c>
      <c r="S948">
        <v>0</v>
      </c>
    </row>
    <row r="949" spans="18:19" x14ac:dyDescent="0.25">
      <c r="R949">
        <v>3423119.26328253</v>
      </c>
      <c r="S949">
        <v>0</v>
      </c>
    </row>
    <row r="950" spans="18:19" x14ac:dyDescent="0.25">
      <c r="R950">
        <v>3423144.9257834023</v>
      </c>
      <c r="S950">
        <v>0</v>
      </c>
    </row>
    <row r="951" spans="18:19" x14ac:dyDescent="0.25">
      <c r="R951">
        <v>3423170.5882842746</v>
      </c>
      <c r="S951">
        <v>0</v>
      </c>
    </row>
    <row r="952" spans="18:19" x14ac:dyDescent="0.25">
      <c r="R952">
        <v>3423196.2507851473</v>
      </c>
      <c r="S952">
        <v>0</v>
      </c>
    </row>
    <row r="953" spans="18:19" x14ac:dyDescent="0.25">
      <c r="R953">
        <v>3423221.9132860196</v>
      </c>
      <c r="S953">
        <v>0</v>
      </c>
    </row>
    <row r="954" spans="18:19" x14ac:dyDescent="0.25">
      <c r="R954">
        <v>3423247.5757868919</v>
      </c>
      <c r="S954">
        <v>0</v>
      </c>
    </row>
    <row r="955" spans="18:19" x14ac:dyDescent="0.25">
      <c r="R955">
        <v>3423273.2382877641</v>
      </c>
      <c r="S955">
        <v>0</v>
      </c>
    </row>
    <row r="956" spans="18:19" x14ac:dyDescent="0.25">
      <c r="R956">
        <v>3423298.9007886369</v>
      </c>
      <c r="S956">
        <v>0</v>
      </c>
    </row>
    <row r="957" spans="18:19" x14ac:dyDescent="0.25">
      <c r="R957">
        <v>3423324.5632895092</v>
      </c>
      <c r="S957">
        <v>0</v>
      </c>
    </row>
    <row r="958" spans="18:19" x14ac:dyDescent="0.25">
      <c r="R958">
        <v>3423350.2257903814</v>
      </c>
      <c r="S958">
        <v>0</v>
      </c>
    </row>
    <row r="959" spans="18:19" x14ac:dyDescent="0.25">
      <c r="R959">
        <v>3423375.8882912537</v>
      </c>
      <c r="S959">
        <v>0</v>
      </c>
    </row>
    <row r="960" spans="18:19" x14ac:dyDescent="0.25">
      <c r="R960">
        <v>3423401.550792126</v>
      </c>
      <c r="S960">
        <v>0</v>
      </c>
    </row>
    <row r="961" spans="18:19" x14ac:dyDescent="0.25">
      <c r="R961">
        <v>3423427.2132929987</v>
      </c>
      <c r="S961">
        <v>0</v>
      </c>
    </row>
    <row r="962" spans="18:19" x14ac:dyDescent="0.25">
      <c r="R962">
        <v>3423452.875793871</v>
      </c>
      <c r="S962">
        <v>0</v>
      </c>
    </row>
    <row r="963" spans="18:19" x14ac:dyDescent="0.25">
      <c r="R963">
        <v>3423478.5382947433</v>
      </c>
      <c r="S963">
        <v>0</v>
      </c>
    </row>
    <row r="964" spans="18:19" x14ac:dyDescent="0.25">
      <c r="R964">
        <v>3423504.2007956156</v>
      </c>
      <c r="S964">
        <v>0</v>
      </c>
    </row>
    <row r="965" spans="18:19" x14ac:dyDescent="0.25">
      <c r="R965">
        <v>3423529.8632964883</v>
      </c>
      <c r="S965">
        <v>0</v>
      </c>
    </row>
    <row r="966" spans="18:19" x14ac:dyDescent="0.25">
      <c r="R966">
        <v>3423555.5257973606</v>
      </c>
      <c r="S966">
        <v>0</v>
      </c>
    </row>
    <row r="967" spans="18:19" x14ac:dyDescent="0.25">
      <c r="R967">
        <v>3423581.1882982329</v>
      </c>
      <c r="S967">
        <v>0</v>
      </c>
    </row>
    <row r="968" spans="18:19" x14ac:dyDescent="0.25">
      <c r="R968">
        <v>3423606.8507991051</v>
      </c>
      <c r="S968">
        <v>0</v>
      </c>
    </row>
    <row r="969" spans="18:19" x14ac:dyDescent="0.25">
      <c r="R969">
        <v>3423632.5132999779</v>
      </c>
      <c r="S969">
        <v>0</v>
      </c>
    </row>
    <row r="970" spans="18:19" x14ac:dyDescent="0.25">
      <c r="R970">
        <v>3423658.1758008501</v>
      </c>
      <c r="S970">
        <v>0</v>
      </c>
    </row>
    <row r="971" spans="18:19" x14ac:dyDescent="0.25">
      <c r="R971">
        <v>3423683.8383017224</v>
      </c>
      <c r="S971">
        <v>0</v>
      </c>
    </row>
    <row r="972" spans="18:19" x14ac:dyDescent="0.25">
      <c r="R972">
        <v>3423709.5008025947</v>
      </c>
      <c r="S972">
        <v>0</v>
      </c>
    </row>
    <row r="973" spans="18:19" x14ac:dyDescent="0.25">
      <c r="R973">
        <v>3423735.1633034674</v>
      </c>
      <c r="S973">
        <v>0</v>
      </c>
    </row>
    <row r="974" spans="18:19" x14ac:dyDescent="0.25">
      <c r="R974">
        <v>3423760.8258043397</v>
      </c>
      <c r="S974">
        <v>0</v>
      </c>
    </row>
    <row r="975" spans="18:19" x14ac:dyDescent="0.25">
      <c r="R975">
        <v>3423786.488305212</v>
      </c>
      <c r="S975">
        <v>0</v>
      </c>
    </row>
    <row r="976" spans="18:19" x14ac:dyDescent="0.25">
      <c r="R976">
        <v>3423812.1508060843</v>
      </c>
      <c r="S976">
        <v>0</v>
      </c>
    </row>
    <row r="977" spans="18:19" x14ac:dyDescent="0.25">
      <c r="R977">
        <v>3423837.8133069566</v>
      </c>
      <c r="S977">
        <v>0</v>
      </c>
    </row>
    <row r="978" spans="18:19" x14ac:dyDescent="0.25">
      <c r="R978">
        <v>3423863.4758078293</v>
      </c>
      <c r="S978">
        <v>0</v>
      </c>
    </row>
    <row r="979" spans="18:19" x14ac:dyDescent="0.25">
      <c r="R979">
        <v>3423889.1383087016</v>
      </c>
      <c r="S979">
        <v>0</v>
      </c>
    </row>
    <row r="980" spans="18:19" x14ac:dyDescent="0.25">
      <c r="R980">
        <v>3423914.8008095738</v>
      </c>
      <c r="S980">
        <v>0</v>
      </c>
    </row>
    <row r="981" spans="18:19" x14ac:dyDescent="0.25">
      <c r="R981">
        <v>3423940.4633104461</v>
      </c>
      <c r="S981">
        <v>0</v>
      </c>
    </row>
    <row r="982" spans="18:19" x14ac:dyDescent="0.25">
      <c r="R982">
        <v>3423966.1258113189</v>
      </c>
      <c r="S982">
        <v>0</v>
      </c>
    </row>
    <row r="983" spans="18:19" x14ac:dyDescent="0.25">
      <c r="R983">
        <v>3423991.7883121911</v>
      </c>
      <c r="S983">
        <v>0</v>
      </c>
    </row>
    <row r="984" spans="18:19" x14ac:dyDescent="0.25">
      <c r="R984">
        <v>3424017.4508130634</v>
      </c>
      <c r="S984">
        <v>0</v>
      </c>
    </row>
    <row r="985" spans="18:19" x14ac:dyDescent="0.25">
      <c r="R985">
        <v>3424043.1133139357</v>
      </c>
      <c r="S985">
        <v>0</v>
      </c>
    </row>
    <row r="986" spans="18:19" x14ac:dyDescent="0.25">
      <c r="R986">
        <v>3424068.7758148084</v>
      </c>
      <c r="S986">
        <v>0</v>
      </c>
    </row>
    <row r="987" spans="18:19" x14ac:dyDescent="0.25">
      <c r="R987">
        <v>3424094.4383156807</v>
      </c>
      <c r="S987">
        <v>0</v>
      </c>
    </row>
    <row r="988" spans="18:19" x14ac:dyDescent="0.25">
      <c r="R988">
        <v>3424120.100816553</v>
      </c>
      <c r="S988">
        <v>0</v>
      </c>
    </row>
    <row r="989" spans="18:19" x14ac:dyDescent="0.25">
      <c r="R989">
        <v>3424145.7633174253</v>
      </c>
      <c r="S989">
        <v>0</v>
      </c>
    </row>
    <row r="990" spans="18:19" x14ac:dyDescent="0.25">
      <c r="R990">
        <v>3424171.4258182975</v>
      </c>
      <c r="S990">
        <v>0</v>
      </c>
    </row>
    <row r="991" spans="18:19" x14ac:dyDescent="0.25">
      <c r="R991">
        <v>3424197.0883191703</v>
      </c>
      <c r="S991">
        <v>0</v>
      </c>
    </row>
    <row r="992" spans="18:19" x14ac:dyDescent="0.25">
      <c r="R992">
        <v>3424222.7508200426</v>
      </c>
      <c r="S992">
        <v>0</v>
      </c>
    </row>
    <row r="993" spans="18:19" x14ac:dyDescent="0.25">
      <c r="R993">
        <v>3424248.4133209148</v>
      </c>
      <c r="S993">
        <v>0</v>
      </c>
    </row>
    <row r="994" spans="18:19" x14ac:dyDescent="0.25">
      <c r="R994">
        <v>3424274.0758217871</v>
      </c>
      <c r="S994">
        <v>0</v>
      </c>
    </row>
    <row r="995" spans="18:19" x14ac:dyDescent="0.25">
      <c r="R995">
        <v>3424299.7383226599</v>
      </c>
      <c r="S995">
        <v>0</v>
      </c>
    </row>
    <row r="996" spans="18:19" x14ac:dyDescent="0.25">
      <c r="R996">
        <v>3424325.4008235321</v>
      </c>
      <c r="S996">
        <v>0</v>
      </c>
    </row>
    <row r="997" spans="18:19" x14ac:dyDescent="0.25">
      <c r="R997">
        <v>3424351.0633244044</v>
      </c>
      <c r="S997">
        <v>0</v>
      </c>
    </row>
    <row r="998" spans="18:19" x14ac:dyDescent="0.25">
      <c r="R998">
        <v>3424376.7258252767</v>
      </c>
      <c r="S998">
        <v>0</v>
      </c>
    </row>
    <row r="999" spans="18:19" x14ac:dyDescent="0.25">
      <c r="R999">
        <v>3424402.3883261494</v>
      </c>
      <c r="S999">
        <v>0</v>
      </c>
    </row>
    <row r="1000" spans="18:19" x14ac:dyDescent="0.25">
      <c r="R1000">
        <v>3424428.0508270217</v>
      </c>
      <c r="S1000">
        <v>0</v>
      </c>
    </row>
    <row r="1001" spans="18:19" x14ac:dyDescent="0.25">
      <c r="R1001">
        <v>3424453.713327894</v>
      </c>
      <c r="S1001">
        <v>0</v>
      </c>
    </row>
    <row r="1002" spans="18:19" x14ac:dyDescent="0.25">
      <c r="R1002">
        <v>3424479.3758287663</v>
      </c>
      <c r="S1002">
        <v>0</v>
      </c>
    </row>
    <row r="1003" spans="18:19" x14ac:dyDescent="0.25">
      <c r="R1003">
        <v>3424505.038329639</v>
      </c>
      <c r="S1003">
        <v>0</v>
      </c>
    </row>
    <row r="1004" spans="18:19" x14ac:dyDescent="0.25">
      <c r="R1004">
        <v>3424530.7008305113</v>
      </c>
      <c r="S1004">
        <v>0</v>
      </c>
    </row>
    <row r="1005" spans="18:19" x14ac:dyDescent="0.25">
      <c r="R1005">
        <v>3424556.3633313836</v>
      </c>
      <c r="S1005">
        <v>0</v>
      </c>
    </row>
    <row r="1006" spans="18:19" x14ac:dyDescent="0.25">
      <c r="R1006">
        <v>3424582.0258322558</v>
      </c>
      <c r="S1006">
        <v>0</v>
      </c>
    </row>
    <row r="1007" spans="18:19" x14ac:dyDescent="0.25">
      <c r="R1007">
        <v>3424607.6883331281</v>
      </c>
      <c r="S1007">
        <v>0</v>
      </c>
    </row>
    <row r="1008" spans="18:19" x14ac:dyDescent="0.25">
      <c r="R1008">
        <v>3424633.3508340009</v>
      </c>
      <c r="S1008">
        <v>0</v>
      </c>
    </row>
    <row r="1009" spans="18:19" x14ac:dyDescent="0.25">
      <c r="R1009">
        <v>3424659.0133348731</v>
      </c>
      <c r="S1009">
        <v>0</v>
      </c>
    </row>
    <row r="1010" spans="18:19" x14ac:dyDescent="0.25">
      <c r="R1010">
        <v>3424684.6758357454</v>
      </c>
      <c r="S1010">
        <v>0</v>
      </c>
    </row>
    <row r="1011" spans="18:19" x14ac:dyDescent="0.25">
      <c r="R1011">
        <v>3424710.3383366177</v>
      </c>
      <c r="S1011">
        <v>0</v>
      </c>
    </row>
    <row r="1012" spans="18:19" x14ac:dyDescent="0.25">
      <c r="R1012">
        <v>3424736.0008374904</v>
      </c>
      <c r="S1012">
        <v>0</v>
      </c>
    </row>
    <row r="1013" spans="18:19" x14ac:dyDescent="0.25">
      <c r="R1013">
        <v>3424761.6633383627</v>
      </c>
      <c r="S1013">
        <v>0</v>
      </c>
    </row>
    <row r="1014" spans="18:19" x14ac:dyDescent="0.25">
      <c r="R1014">
        <v>3424787.325839235</v>
      </c>
      <c r="S1014">
        <v>0</v>
      </c>
    </row>
    <row r="1015" spans="18:19" x14ac:dyDescent="0.25">
      <c r="R1015">
        <v>3424812.9883401073</v>
      </c>
      <c r="S1015">
        <v>0</v>
      </c>
    </row>
    <row r="1016" spans="18:19" x14ac:dyDescent="0.25">
      <c r="R1016">
        <v>3424838.65084098</v>
      </c>
      <c r="S1016">
        <v>0</v>
      </c>
    </row>
    <row r="1017" spans="18:19" x14ac:dyDescent="0.25">
      <c r="R1017">
        <v>3424864.3133418523</v>
      </c>
      <c r="S1017">
        <v>0</v>
      </c>
    </row>
    <row r="1018" spans="18:19" x14ac:dyDescent="0.25">
      <c r="R1018">
        <v>3424889.9758427246</v>
      </c>
      <c r="S1018">
        <v>0</v>
      </c>
    </row>
    <row r="1019" spans="18:19" x14ac:dyDescent="0.25">
      <c r="R1019">
        <v>3424915.6383435968</v>
      </c>
      <c r="S1019">
        <v>0</v>
      </c>
    </row>
    <row r="1020" spans="18:19" x14ac:dyDescent="0.25">
      <c r="R1020">
        <v>3424941.3008444696</v>
      </c>
      <c r="S1020">
        <v>0</v>
      </c>
    </row>
    <row r="1021" spans="18:19" x14ac:dyDescent="0.25">
      <c r="R1021">
        <v>3424966.9633453419</v>
      </c>
      <c r="S1021">
        <v>0</v>
      </c>
    </row>
    <row r="1022" spans="18:19" x14ac:dyDescent="0.25">
      <c r="R1022">
        <v>3424992.6258462141</v>
      </c>
      <c r="S1022">
        <v>0</v>
      </c>
    </row>
    <row r="1023" spans="18:19" x14ac:dyDescent="0.25">
      <c r="R1023">
        <v>3425018.2883470864</v>
      </c>
      <c r="S1023">
        <v>0</v>
      </c>
    </row>
    <row r="1024" spans="18:19" x14ac:dyDescent="0.25">
      <c r="R1024">
        <v>3425043.9508479587</v>
      </c>
      <c r="S1024">
        <v>0</v>
      </c>
    </row>
    <row r="1025" spans="18:19" x14ac:dyDescent="0.25">
      <c r="R1025">
        <v>3425069.6133488314</v>
      </c>
      <c r="S1025">
        <v>0</v>
      </c>
    </row>
    <row r="1026" spans="18:19" x14ac:dyDescent="0.25">
      <c r="R1026">
        <v>3425095.2758497037</v>
      </c>
      <c r="S1026">
        <v>0</v>
      </c>
    </row>
    <row r="1027" spans="18:19" x14ac:dyDescent="0.25">
      <c r="R1027">
        <v>3425120.938350576</v>
      </c>
      <c r="S1027">
        <v>0</v>
      </c>
    </row>
    <row r="1028" spans="18:19" x14ac:dyDescent="0.25">
      <c r="R1028">
        <v>3425146.6008514483</v>
      </c>
      <c r="S1028">
        <v>0</v>
      </c>
    </row>
    <row r="1029" spans="18:19" x14ac:dyDescent="0.25">
      <c r="R1029">
        <v>3425172.263352321</v>
      </c>
      <c r="S1029">
        <v>0</v>
      </c>
    </row>
    <row r="1030" spans="18:19" x14ac:dyDescent="0.25">
      <c r="R1030">
        <v>3425197.9258531933</v>
      </c>
      <c r="S1030">
        <v>0</v>
      </c>
    </row>
    <row r="1031" spans="18:19" x14ac:dyDescent="0.25">
      <c r="R1031">
        <v>3425223.5883540655</v>
      </c>
      <c r="S1031">
        <v>0</v>
      </c>
    </row>
    <row r="1032" spans="18:19" x14ac:dyDescent="0.25">
      <c r="R1032">
        <v>3425249.2508549378</v>
      </c>
      <c r="S1032">
        <v>0</v>
      </c>
    </row>
    <row r="1033" spans="18:19" x14ac:dyDescent="0.25">
      <c r="R1033">
        <v>3425274.9133558106</v>
      </c>
      <c r="S1033">
        <v>0</v>
      </c>
    </row>
    <row r="1034" spans="18:19" x14ac:dyDescent="0.25">
      <c r="R1034">
        <v>3425300.5758566828</v>
      </c>
      <c r="S1034">
        <v>0</v>
      </c>
    </row>
    <row r="1035" spans="18:19" x14ac:dyDescent="0.25">
      <c r="R1035">
        <v>3425326.2383575551</v>
      </c>
      <c r="S1035">
        <v>0</v>
      </c>
    </row>
    <row r="1036" spans="18:19" x14ac:dyDescent="0.25">
      <c r="R1036">
        <v>3425351.9008584274</v>
      </c>
      <c r="S1036">
        <v>0</v>
      </c>
    </row>
    <row r="1037" spans="18:19" x14ac:dyDescent="0.25">
      <c r="R1037">
        <v>3425377.5633593001</v>
      </c>
      <c r="S1037">
        <v>0</v>
      </c>
    </row>
    <row r="1038" spans="18:19" x14ac:dyDescent="0.25">
      <c r="R1038">
        <v>3425403.2258601724</v>
      </c>
      <c r="S1038">
        <v>0</v>
      </c>
    </row>
    <row r="1039" spans="18:19" x14ac:dyDescent="0.25">
      <c r="R1039">
        <v>3425428.8883610447</v>
      </c>
      <c r="S1039">
        <v>0</v>
      </c>
    </row>
    <row r="1040" spans="18:19" x14ac:dyDescent="0.25">
      <c r="R1040">
        <v>3425454.550861917</v>
      </c>
      <c r="S1040">
        <v>0</v>
      </c>
    </row>
    <row r="1041" spans="18:19" x14ac:dyDescent="0.25">
      <c r="R1041">
        <v>3425480.2133627892</v>
      </c>
      <c r="S1041">
        <v>0</v>
      </c>
    </row>
    <row r="1042" spans="18:19" x14ac:dyDescent="0.25">
      <c r="R1042">
        <v>3425505.875863662</v>
      </c>
      <c r="S1042">
        <v>0</v>
      </c>
    </row>
    <row r="1043" spans="18:19" x14ac:dyDescent="0.25">
      <c r="R1043">
        <v>3425531.5383645343</v>
      </c>
      <c r="S1043">
        <v>0</v>
      </c>
    </row>
    <row r="1044" spans="18:19" x14ac:dyDescent="0.25">
      <c r="R1044">
        <v>3425557.2008654065</v>
      </c>
      <c r="S1044">
        <v>0</v>
      </c>
    </row>
    <row r="1045" spans="18:19" x14ac:dyDescent="0.25">
      <c r="R1045">
        <v>3425582.8633662788</v>
      </c>
      <c r="S1045">
        <v>0</v>
      </c>
    </row>
    <row r="1046" spans="18:19" x14ac:dyDescent="0.25">
      <c r="R1046">
        <v>3425608.5258671516</v>
      </c>
      <c r="S1046">
        <v>0</v>
      </c>
    </row>
    <row r="1047" spans="18:19" x14ac:dyDescent="0.25">
      <c r="R1047">
        <v>3425634.1883680238</v>
      </c>
      <c r="S1047">
        <v>0</v>
      </c>
    </row>
    <row r="1048" spans="18:19" x14ac:dyDescent="0.25">
      <c r="R1048">
        <v>3425659.8508688961</v>
      </c>
      <c r="S1048">
        <v>0</v>
      </c>
    </row>
    <row r="1049" spans="18:19" x14ac:dyDescent="0.25">
      <c r="R1049">
        <v>3425685.5133697684</v>
      </c>
      <c r="S1049">
        <v>0</v>
      </c>
    </row>
    <row r="1050" spans="18:19" x14ac:dyDescent="0.25">
      <c r="R1050">
        <v>3425711.1758706411</v>
      </c>
      <c r="S1050">
        <v>0</v>
      </c>
    </row>
    <row r="1051" spans="18:19" x14ac:dyDescent="0.25">
      <c r="R1051">
        <v>3425736.8383715134</v>
      </c>
      <c r="S1051">
        <v>0</v>
      </c>
    </row>
    <row r="1052" spans="18:19" x14ac:dyDescent="0.25">
      <c r="R1052">
        <v>3425762.5008723857</v>
      </c>
      <c r="S1052">
        <v>0</v>
      </c>
    </row>
    <row r="1053" spans="18:19" x14ac:dyDescent="0.25">
      <c r="R1053">
        <v>3425788.163373258</v>
      </c>
      <c r="S1053">
        <v>0</v>
      </c>
    </row>
    <row r="1054" spans="18:19" x14ac:dyDescent="0.25">
      <c r="R1054">
        <v>3425813.8258741302</v>
      </c>
      <c r="S1054">
        <v>0</v>
      </c>
    </row>
    <row r="1055" spans="18:19" x14ac:dyDescent="0.25">
      <c r="R1055">
        <v>3425839.488375003</v>
      </c>
      <c r="S1055">
        <v>0</v>
      </c>
    </row>
    <row r="1056" spans="18:19" x14ac:dyDescent="0.25">
      <c r="R1056">
        <v>3425865.1508758753</v>
      </c>
      <c r="S1056">
        <v>0</v>
      </c>
    </row>
    <row r="1057" spans="18:19" x14ac:dyDescent="0.25">
      <c r="R1057">
        <v>3425890.8133767475</v>
      </c>
      <c r="S1057">
        <v>0</v>
      </c>
    </row>
    <row r="1058" spans="18:19" x14ac:dyDescent="0.25">
      <c r="R1058">
        <v>3425916.4758776198</v>
      </c>
      <c r="S1058">
        <v>0</v>
      </c>
    </row>
    <row r="1059" spans="18:19" x14ac:dyDescent="0.25">
      <c r="R1059">
        <v>3425942.1383784926</v>
      </c>
      <c r="S1059">
        <v>0</v>
      </c>
    </row>
    <row r="1060" spans="18:19" x14ac:dyDescent="0.25">
      <c r="R1060">
        <v>3425967.8008793648</v>
      </c>
      <c r="S1060">
        <v>0</v>
      </c>
    </row>
    <row r="1061" spans="18:19" x14ac:dyDescent="0.25">
      <c r="R1061">
        <v>3425993.4633802371</v>
      </c>
      <c r="S1061">
        <v>0</v>
      </c>
    </row>
    <row r="1062" spans="18:19" x14ac:dyDescent="0.25">
      <c r="R1062">
        <v>3426019.1258811094</v>
      </c>
      <c r="S1062">
        <v>0</v>
      </c>
    </row>
    <row r="1063" spans="18:19" x14ac:dyDescent="0.25">
      <c r="R1063">
        <v>3426044.7883819821</v>
      </c>
      <c r="S1063">
        <v>0</v>
      </c>
    </row>
    <row r="1064" spans="18:19" x14ac:dyDescent="0.25">
      <c r="R1064">
        <v>3426070.4508828544</v>
      </c>
      <c r="S1064">
        <v>0</v>
      </c>
    </row>
    <row r="1065" spans="18:19" x14ac:dyDescent="0.25">
      <c r="R1065">
        <v>3426096.1133837267</v>
      </c>
      <c r="S1065">
        <v>0</v>
      </c>
    </row>
    <row r="1066" spans="18:19" x14ac:dyDescent="0.25">
      <c r="R1066">
        <v>3426121.775884599</v>
      </c>
      <c r="S1066">
        <v>0</v>
      </c>
    </row>
    <row r="1067" spans="18:19" x14ac:dyDescent="0.25">
      <c r="R1067">
        <v>3426147.4383854717</v>
      </c>
      <c r="S1067">
        <v>0</v>
      </c>
    </row>
    <row r="1068" spans="18:19" x14ac:dyDescent="0.25">
      <c r="R1068">
        <v>3426173.100886344</v>
      </c>
      <c r="S1068">
        <v>0</v>
      </c>
    </row>
    <row r="1069" spans="18:19" x14ac:dyDescent="0.25">
      <c r="R1069">
        <v>3426198.7633872163</v>
      </c>
      <c r="S1069">
        <v>0</v>
      </c>
    </row>
    <row r="1070" spans="18:19" x14ac:dyDescent="0.25">
      <c r="R1070">
        <v>3426224.4258880885</v>
      </c>
      <c r="S1070">
        <v>0</v>
      </c>
    </row>
    <row r="1071" spans="18:19" x14ac:dyDescent="0.25">
      <c r="R1071">
        <v>3426250.0883889608</v>
      </c>
      <c r="S1071">
        <v>0</v>
      </c>
    </row>
    <row r="1072" spans="18:19" x14ac:dyDescent="0.25">
      <c r="R1072">
        <v>3426275.7508898336</v>
      </c>
      <c r="S1072">
        <v>0</v>
      </c>
    </row>
    <row r="1073" spans="18:19" x14ac:dyDescent="0.25">
      <c r="R1073">
        <v>3426301.4133907058</v>
      </c>
      <c r="S1073">
        <v>0</v>
      </c>
    </row>
    <row r="1074" spans="18:19" x14ac:dyDescent="0.25">
      <c r="R1074">
        <v>3426327.0758915781</v>
      </c>
      <c r="S1074">
        <v>0</v>
      </c>
    </row>
    <row r="1075" spans="18:19" x14ac:dyDescent="0.25">
      <c r="R1075">
        <v>3426352.7383924504</v>
      </c>
      <c r="S1075">
        <v>0</v>
      </c>
    </row>
    <row r="1076" spans="18:19" x14ac:dyDescent="0.25">
      <c r="R1076">
        <v>3426378.4008933231</v>
      </c>
      <c r="S1076">
        <v>0</v>
      </c>
    </row>
    <row r="1077" spans="18:19" x14ac:dyDescent="0.25">
      <c r="R1077">
        <v>3426404.0633941954</v>
      </c>
      <c r="S1077">
        <v>0</v>
      </c>
    </row>
    <row r="1078" spans="18:19" x14ac:dyDescent="0.25">
      <c r="R1078">
        <v>3426429.7258950677</v>
      </c>
      <c r="S1078">
        <v>0</v>
      </c>
    </row>
    <row r="1079" spans="18:19" x14ac:dyDescent="0.25">
      <c r="R1079">
        <v>3426455.38839594</v>
      </c>
      <c r="S1079">
        <v>0</v>
      </c>
    </row>
    <row r="1080" spans="18:19" x14ac:dyDescent="0.25">
      <c r="R1080">
        <v>3426481.0508968127</v>
      </c>
      <c r="S1080">
        <v>0</v>
      </c>
    </row>
    <row r="1081" spans="18:19" x14ac:dyDescent="0.25">
      <c r="R1081">
        <v>3426506.713397685</v>
      </c>
      <c r="S1081">
        <v>0</v>
      </c>
    </row>
    <row r="1082" spans="18:19" x14ac:dyDescent="0.25">
      <c r="R1082">
        <v>3426532.3758985572</v>
      </c>
      <c r="S1082">
        <v>0</v>
      </c>
    </row>
    <row r="1083" spans="18:19" x14ac:dyDescent="0.25">
      <c r="R1083">
        <v>3426558.0383994295</v>
      </c>
      <c r="S1083">
        <v>0</v>
      </c>
    </row>
    <row r="1084" spans="18:19" x14ac:dyDescent="0.25">
      <c r="R1084">
        <v>3426583.7009003023</v>
      </c>
      <c r="S1084">
        <v>0</v>
      </c>
    </row>
    <row r="1085" spans="18:19" x14ac:dyDescent="0.25">
      <c r="R1085">
        <v>3426609.3634011745</v>
      </c>
      <c r="S1085">
        <v>0</v>
      </c>
    </row>
    <row r="1086" spans="18:19" x14ac:dyDescent="0.25">
      <c r="R1086">
        <v>3426635.0259020468</v>
      </c>
      <c r="S1086">
        <v>0</v>
      </c>
    </row>
    <row r="1087" spans="18:19" x14ac:dyDescent="0.25">
      <c r="R1087">
        <v>3426660.6884029191</v>
      </c>
      <c r="S1087">
        <v>0</v>
      </c>
    </row>
    <row r="1088" spans="18:19" x14ac:dyDescent="0.25">
      <c r="R1088">
        <v>3426686.3509037914</v>
      </c>
      <c r="S1088">
        <v>0</v>
      </c>
    </row>
    <row r="1089" spans="18:19" x14ac:dyDescent="0.25">
      <c r="R1089">
        <v>3426712.0134046641</v>
      </c>
      <c r="S1089">
        <v>0</v>
      </c>
    </row>
    <row r="1090" spans="18:19" x14ac:dyDescent="0.25">
      <c r="R1090">
        <v>3426737.6759055364</v>
      </c>
      <c r="S1090">
        <v>0</v>
      </c>
    </row>
    <row r="1091" spans="18:19" x14ac:dyDescent="0.25">
      <c r="R1091">
        <v>3426763.3384064087</v>
      </c>
      <c r="S1091">
        <v>0</v>
      </c>
    </row>
    <row r="1092" spans="18:19" x14ac:dyDescent="0.25">
      <c r="R1092">
        <v>3426789.0009072809</v>
      </c>
      <c r="S1092">
        <v>0</v>
      </c>
    </row>
    <row r="1093" spans="18:19" x14ac:dyDescent="0.25">
      <c r="R1093">
        <v>3426814.6634081537</v>
      </c>
      <c r="S1093">
        <v>0</v>
      </c>
    </row>
    <row r="1094" spans="18:19" x14ac:dyDescent="0.25">
      <c r="R1094">
        <v>3426840.325909026</v>
      </c>
      <c r="S1094">
        <v>0</v>
      </c>
    </row>
    <row r="1095" spans="18:19" x14ac:dyDescent="0.25">
      <c r="R1095">
        <v>3426865.9884098982</v>
      </c>
      <c r="S1095">
        <v>0</v>
      </c>
    </row>
    <row r="1096" spans="18:19" x14ac:dyDescent="0.25">
      <c r="R1096">
        <v>3426891.6509107705</v>
      </c>
      <c r="S1096">
        <v>0</v>
      </c>
    </row>
    <row r="1097" spans="18:19" x14ac:dyDescent="0.25">
      <c r="R1097">
        <v>3426917.3134116433</v>
      </c>
      <c r="S1097">
        <v>0</v>
      </c>
    </row>
    <row r="1098" spans="18:19" x14ac:dyDescent="0.25">
      <c r="R1098">
        <v>3426942.9759125155</v>
      </c>
      <c r="S1098">
        <v>0</v>
      </c>
    </row>
    <row r="1099" spans="18:19" x14ac:dyDescent="0.25">
      <c r="R1099">
        <v>3426968.6384133878</v>
      </c>
      <c r="S1099">
        <v>0</v>
      </c>
    </row>
    <row r="1100" spans="18:19" x14ac:dyDescent="0.25">
      <c r="R1100">
        <v>3426994.3009142601</v>
      </c>
      <c r="S1100">
        <v>0</v>
      </c>
    </row>
    <row r="1101" spans="18:19" x14ac:dyDescent="0.25">
      <c r="R1101">
        <v>3427019.9634151328</v>
      </c>
      <c r="S1101">
        <v>0</v>
      </c>
    </row>
    <row r="1102" spans="18:19" x14ac:dyDescent="0.25">
      <c r="R1102">
        <v>3427045.6259160051</v>
      </c>
      <c r="S1102">
        <v>0</v>
      </c>
    </row>
    <row r="1103" spans="18:19" x14ac:dyDescent="0.25">
      <c r="R1103">
        <v>3427071.2884168774</v>
      </c>
      <c r="S1103">
        <v>0</v>
      </c>
    </row>
    <row r="1104" spans="18:19" x14ac:dyDescent="0.25">
      <c r="R1104">
        <v>3427096.9509177497</v>
      </c>
      <c r="S1104">
        <v>0</v>
      </c>
    </row>
    <row r="1105" spans="18:19" x14ac:dyDescent="0.25">
      <c r="R1105">
        <v>3427122.6134186219</v>
      </c>
      <c r="S1105">
        <v>0</v>
      </c>
    </row>
    <row r="1106" spans="18:19" x14ac:dyDescent="0.25">
      <c r="R1106">
        <v>3427148.2759194947</v>
      </c>
      <c r="S1106">
        <v>0</v>
      </c>
    </row>
    <row r="1107" spans="18:19" x14ac:dyDescent="0.25">
      <c r="R1107">
        <v>3427173.938420367</v>
      </c>
      <c r="S1107">
        <v>0</v>
      </c>
    </row>
    <row r="1108" spans="18:19" x14ac:dyDescent="0.25">
      <c r="R1108">
        <v>3427199.6009212392</v>
      </c>
      <c r="S1108">
        <v>0</v>
      </c>
    </row>
    <row r="1109" spans="18:19" x14ac:dyDescent="0.25">
      <c r="R1109">
        <v>3427225.2634221115</v>
      </c>
      <c r="S1109">
        <v>0</v>
      </c>
    </row>
    <row r="1110" spans="18:19" x14ac:dyDescent="0.25">
      <c r="R1110">
        <v>3427250.9259229843</v>
      </c>
      <c r="S1110">
        <v>0</v>
      </c>
    </row>
    <row r="1111" spans="18:19" x14ac:dyDescent="0.25">
      <c r="R1111">
        <v>3427276.5884238565</v>
      </c>
      <c r="S1111">
        <v>0</v>
      </c>
    </row>
    <row r="1112" spans="18:19" x14ac:dyDescent="0.25">
      <c r="R1112">
        <v>3427302.2509247288</v>
      </c>
      <c r="S1112">
        <v>0</v>
      </c>
    </row>
    <row r="1113" spans="18:19" x14ac:dyDescent="0.25">
      <c r="R1113">
        <v>3427327.9134256011</v>
      </c>
      <c r="S1113">
        <v>0</v>
      </c>
    </row>
    <row r="1114" spans="18:19" x14ac:dyDescent="0.25">
      <c r="R1114">
        <v>3427353.5759264738</v>
      </c>
      <c r="S1114">
        <v>0</v>
      </c>
    </row>
    <row r="1115" spans="18:19" x14ac:dyDescent="0.25">
      <c r="R1115">
        <v>3427379.2384273461</v>
      </c>
      <c r="S1115">
        <v>0</v>
      </c>
    </row>
    <row r="1116" spans="18:19" x14ac:dyDescent="0.25">
      <c r="R1116">
        <v>3427404.9009282184</v>
      </c>
      <c r="S1116">
        <v>0</v>
      </c>
    </row>
    <row r="1117" spans="18:19" x14ac:dyDescent="0.25">
      <c r="R1117">
        <v>3427430.5634290907</v>
      </c>
      <c r="S1117">
        <v>0</v>
      </c>
    </row>
    <row r="1118" spans="18:19" x14ac:dyDescent="0.25">
      <c r="R1118">
        <v>3427456.2259299629</v>
      </c>
      <c r="S1118">
        <v>0</v>
      </c>
    </row>
    <row r="1119" spans="18:19" x14ac:dyDescent="0.25">
      <c r="R1119">
        <v>3427481.8884308357</v>
      </c>
      <c r="S1119">
        <v>0</v>
      </c>
    </row>
    <row r="1120" spans="18:19" x14ac:dyDescent="0.25">
      <c r="R1120">
        <v>3427507.550931708</v>
      </c>
      <c r="S1120">
        <v>0</v>
      </c>
    </row>
    <row r="1121" spans="18:19" x14ac:dyDescent="0.25">
      <c r="R1121">
        <v>3427533.2134325802</v>
      </c>
      <c r="S1121">
        <v>0</v>
      </c>
    </row>
    <row r="1122" spans="18:19" x14ac:dyDescent="0.25">
      <c r="R1122">
        <v>3427558.8759334525</v>
      </c>
      <c r="S1122">
        <v>0</v>
      </c>
    </row>
    <row r="1123" spans="18:19" x14ac:dyDescent="0.25">
      <c r="R1123">
        <v>3427584.5384343253</v>
      </c>
      <c r="S1123">
        <v>0</v>
      </c>
    </row>
    <row r="1124" spans="18:19" x14ac:dyDescent="0.25">
      <c r="R1124">
        <v>3427610.2009351975</v>
      </c>
      <c r="S1124">
        <v>0</v>
      </c>
    </row>
    <row r="1125" spans="18:19" x14ac:dyDescent="0.25">
      <c r="R1125">
        <v>3427635.8634360698</v>
      </c>
      <c r="S1125">
        <v>0</v>
      </c>
    </row>
    <row r="1126" spans="18:19" x14ac:dyDescent="0.25">
      <c r="R1126">
        <v>3427661.5259369421</v>
      </c>
      <c r="S1126">
        <v>0</v>
      </c>
    </row>
    <row r="1127" spans="18:19" x14ac:dyDescent="0.25">
      <c r="R1127">
        <v>3427687.1884378148</v>
      </c>
      <c r="S1127">
        <v>0</v>
      </c>
    </row>
    <row r="1128" spans="18:19" x14ac:dyDescent="0.25">
      <c r="R1128">
        <v>3427712.8509386871</v>
      </c>
      <c r="S1128">
        <v>0</v>
      </c>
    </row>
    <row r="1129" spans="18:19" x14ac:dyDescent="0.25">
      <c r="R1129">
        <v>3427738.5134395594</v>
      </c>
      <c r="S1129">
        <v>0</v>
      </c>
    </row>
    <row r="1130" spans="18:19" x14ac:dyDescent="0.25">
      <c r="R1130">
        <v>3427764.1759404317</v>
      </c>
      <c r="S1130">
        <v>0</v>
      </c>
    </row>
    <row r="1131" spans="18:19" x14ac:dyDescent="0.25">
      <c r="R1131">
        <v>3427789.8384413044</v>
      </c>
      <c r="S1131">
        <v>0</v>
      </c>
    </row>
    <row r="1132" spans="18:19" x14ac:dyDescent="0.25">
      <c r="R1132">
        <v>3427815.5009421767</v>
      </c>
      <c r="S1132">
        <v>0</v>
      </c>
    </row>
    <row r="1133" spans="18:19" x14ac:dyDescent="0.25">
      <c r="R1133">
        <v>3427841.163443049</v>
      </c>
      <c r="S1133">
        <v>0</v>
      </c>
    </row>
    <row r="1134" spans="18:19" x14ac:dyDescent="0.25">
      <c r="R1134">
        <v>3427866.8259439212</v>
      </c>
      <c r="S1134">
        <v>0</v>
      </c>
    </row>
    <row r="1135" spans="18:19" x14ac:dyDescent="0.25">
      <c r="R1135">
        <v>3427892.4884447935</v>
      </c>
      <c r="S1135">
        <v>0</v>
      </c>
    </row>
    <row r="1136" spans="18:19" x14ac:dyDescent="0.25">
      <c r="R1136">
        <v>3427918.1509456662</v>
      </c>
      <c r="S1136">
        <v>0</v>
      </c>
    </row>
    <row r="1137" spans="18:19" x14ac:dyDescent="0.25">
      <c r="R1137">
        <v>3427943.8134465385</v>
      </c>
      <c r="S1137">
        <v>0</v>
      </c>
    </row>
    <row r="1138" spans="18:19" x14ac:dyDescent="0.25">
      <c r="R1138">
        <v>3427969.4759474108</v>
      </c>
      <c r="S1138">
        <v>0</v>
      </c>
    </row>
    <row r="1139" spans="18:19" x14ac:dyDescent="0.25">
      <c r="R1139">
        <v>3427995.1384482831</v>
      </c>
      <c r="S1139">
        <v>0</v>
      </c>
    </row>
    <row r="1140" spans="18:19" x14ac:dyDescent="0.25">
      <c r="R1140">
        <v>3428020.8009491558</v>
      </c>
      <c r="S1140">
        <v>0</v>
      </c>
    </row>
    <row r="1141" spans="18:19" x14ac:dyDescent="0.25">
      <c r="R1141">
        <v>3428046.4634500281</v>
      </c>
      <c r="S1141">
        <v>0</v>
      </c>
    </row>
    <row r="1142" spans="18:19" x14ac:dyDescent="0.25">
      <c r="R1142">
        <v>3428072.1259509004</v>
      </c>
      <c r="S1142">
        <v>0</v>
      </c>
    </row>
    <row r="1143" spans="18:19" x14ac:dyDescent="0.25">
      <c r="R1143">
        <v>3428097.7884517726</v>
      </c>
      <c r="S1143">
        <v>0</v>
      </c>
    </row>
    <row r="1144" spans="18:19" x14ac:dyDescent="0.25">
      <c r="R1144">
        <v>3428123.4509526454</v>
      </c>
      <c r="S1144">
        <v>0</v>
      </c>
    </row>
    <row r="1145" spans="18:19" x14ac:dyDescent="0.25">
      <c r="R1145">
        <v>3428149.1134535177</v>
      </c>
      <c r="S1145">
        <v>0</v>
      </c>
    </row>
    <row r="1146" spans="18:19" x14ac:dyDescent="0.25">
      <c r="R1146">
        <v>3428174.7759543899</v>
      </c>
      <c r="S1146">
        <v>0</v>
      </c>
    </row>
    <row r="1147" spans="18:19" x14ac:dyDescent="0.25">
      <c r="R1147">
        <v>3428200.4384552622</v>
      </c>
      <c r="S1147">
        <v>0</v>
      </c>
    </row>
    <row r="1148" spans="18:19" x14ac:dyDescent="0.25">
      <c r="R1148">
        <v>3428226.100956135</v>
      </c>
      <c r="S1148">
        <v>0</v>
      </c>
    </row>
    <row r="1149" spans="18:19" x14ac:dyDescent="0.25">
      <c r="R1149">
        <v>3428251.7634570072</v>
      </c>
      <c r="S1149">
        <v>0</v>
      </c>
    </row>
    <row r="1150" spans="18:19" x14ac:dyDescent="0.25">
      <c r="R1150">
        <v>3428277.4259578795</v>
      </c>
      <c r="S1150">
        <v>0</v>
      </c>
    </row>
    <row r="1151" spans="18:19" x14ac:dyDescent="0.25">
      <c r="R1151">
        <v>3428303.0884587518</v>
      </c>
      <c r="S1151">
        <v>0</v>
      </c>
    </row>
    <row r="1152" spans="18:19" x14ac:dyDescent="0.25">
      <c r="R1152">
        <v>3428328.7509596241</v>
      </c>
      <c r="S1152">
        <v>0</v>
      </c>
    </row>
    <row r="1153" spans="18:19" x14ac:dyDescent="0.25">
      <c r="R1153">
        <v>3428354.4134604968</v>
      </c>
      <c r="S1153">
        <v>0</v>
      </c>
    </row>
    <row r="1154" spans="18:19" x14ac:dyDescent="0.25">
      <c r="R1154">
        <v>3428380.0759613691</v>
      </c>
      <c r="S1154">
        <v>0</v>
      </c>
    </row>
    <row r="1155" spans="18:19" x14ac:dyDescent="0.25">
      <c r="R1155">
        <v>3428405.7384622414</v>
      </c>
      <c r="S1155">
        <v>0</v>
      </c>
    </row>
    <row r="1156" spans="18:19" x14ac:dyDescent="0.25">
      <c r="R1156">
        <v>3428431.4009631136</v>
      </c>
      <c r="S1156">
        <v>0</v>
      </c>
    </row>
    <row r="1157" spans="18:19" x14ac:dyDescent="0.25">
      <c r="R1157">
        <v>3428457.0634639864</v>
      </c>
      <c r="S1157">
        <v>0</v>
      </c>
    </row>
    <row r="1158" spans="18:19" x14ac:dyDescent="0.25">
      <c r="R1158">
        <v>3428482.7259648587</v>
      </c>
      <c r="S1158">
        <v>0</v>
      </c>
    </row>
    <row r="1159" spans="18:19" x14ac:dyDescent="0.25">
      <c r="R1159">
        <v>3428508.3884657309</v>
      </c>
      <c r="S1159">
        <v>0</v>
      </c>
    </row>
    <row r="1160" spans="18:19" x14ac:dyDescent="0.25">
      <c r="R1160">
        <v>3428534.0509666032</v>
      </c>
      <c r="S1160">
        <v>0</v>
      </c>
    </row>
    <row r="1161" spans="18:19" x14ac:dyDescent="0.25">
      <c r="R1161">
        <v>3428559.713467476</v>
      </c>
      <c r="S1161">
        <v>0</v>
      </c>
    </row>
    <row r="1162" spans="18:19" x14ac:dyDescent="0.25">
      <c r="R1162">
        <v>3428585.3759683482</v>
      </c>
      <c r="S1162">
        <v>0</v>
      </c>
    </row>
    <row r="1163" spans="18:19" x14ac:dyDescent="0.25">
      <c r="R1163">
        <v>3428611.0384692205</v>
      </c>
      <c r="S1163">
        <v>0</v>
      </c>
    </row>
    <row r="1164" spans="18:19" x14ac:dyDescent="0.25">
      <c r="R1164">
        <v>3428636.7009700928</v>
      </c>
      <c r="S1164">
        <v>0</v>
      </c>
    </row>
    <row r="1165" spans="18:19" x14ac:dyDescent="0.25">
      <c r="R1165">
        <v>3428662.3634709655</v>
      </c>
      <c r="S1165">
        <v>0</v>
      </c>
    </row>
    <row r="1166" spans="18:19" x14ac:dyDescent="0.25">
      <c r="R1166">
        <v>3428688.0259718378</v>
      </c>
      <c r="S1166">
        <v>0</v>
      </c>
    </row>
    <row r="1167" spans="18:19" x14ac:dyDescent="0.25">
      <c r="R1167">
        <v>3428713.6884727101</v>
      </c>
      <c r="S1167">
        <v>0</v>
      </c>
    </row>
    <row r="1168" spans="18:19" x14ac:dyDescent="0.25">
      <c r="R1168">
        <v>3428739.3509735824</v>
      </c>
      <c r="S1168">
        <v>0</v>
      </c>
    </row>
    <row r="1169" spans="18:19" x14ac:dyDescent="0.25">
      <c r="R1169">
        <v>3428765.0134744546</v>
      </c>
      <c r="S1169">
        <v>0</v>
      </c>
    </row>
    <row r="1170" spans="18:19" x14ac:dyDescent="0.25">
      <c r="R1170">
        <v>3428790.6759753274</v>
      </c>
      <c r="S1170">
        <v>0</v>
      </c>
    </row>
    <row r="1171" spans="18:19" x14ac:dyDescent="0.25">
      <c r="R1171">
        <v>3428816.3384761997</v>
      </c>
      <c r="S1171">
        <v>0</v>
      </c>
    </row>
    <row r="1172" spans="18:19" x14ac:dyDescent="0.25">
      <c r="R1172">
        <v>3428842.0009770719</v>
      </c>
      <c r="S1172">
        <v>0</v>
      </c>
    </row>
    <row r="1173" spans="18:19" x14ac:dyDescent="0.25">
      <c r="R1173">
        <v>3428867.6634779442</v>
      </c>
      <c r="S1173">
        <v>0</v>
      </c>
    </row>
    <row r="1174" spans="18:19" x14ac:dyDescent="0.25">
      <c r="R1174">
        <v>3428893.325978817</v>
      </c>
      <c r="S1174">
        <v>0</v>
      </c>
    </row>
    <row r="1175" spans="18:19" x14ac:dyDescent="0.25">
      <c r="R1175">
        <v>3428918.9884796892</v>
      </c>
      <c r="S1175">
        <v>0</v>
      </c>
    </row>
    <row r="1176" spans="18:19" x14ac:dyDescent="0.25">
      <c r="R1176">
        <v>3428944.6509805615</v>
      </c>
      <c r="S1176">
        <v>0</v>
      </c>
    </row>
    <row r="1177" spans="18:19" x14ac:dyDescent="0.25">
      <c r="R1177">
        <v>3428970.3134814338</v>
      </c>
      <c r="S1177">
        <v>0</v>
      </c>
    </row>
    <row r="1178" spans="18:19" x14ac:dyDescent="0.25">
      <c r="R1178">
        <v>3428995.9759823065</v>
      </c>
      <c r="S1178">
        <v>0</v>
      </c>
    </row>
    <row r="1179" spans="18:19" x14ac:dyDescent="0.25">
      <c r="R1179">
        <v>3429021.6384831788</v>
      </c>
      <c r="S1179">
        <v>0</v>
      </c>
    </row>
    <row r="1180" spans="18:19" x14ac:dyDescent="0.25">
      <c r="R1180">
        <v>3429047.3009840511</v>
      </c>
      <c r="S1180">
        <v>0</v>
      </c>
    </row>
    <row r="1181" spans="18:19" x14ac:dyDescent="0.25">
      <c r="R1181">
        <v>3429072.9634849234</v>
      </c>
      <c r="S1181">
        <v>0</v>
      </c>
    </row>
    <row r="1182" spans="18:19" x14ac:dyDescent="0.25">
      <c r="R1182">
        <v>3429098.6259857956</v>
      </c>
      <c r="S1182">
        <v>0</v>
      </c>
    </row>
    <row r="1183" spans="18:19" x14ac:dyDescent="0.25">
      <c r="R1183">
        <v>3429124.2884866684</v>
      </c>
      <c r="S1183">
        <v>0</v>
      </c>
    </row>
    <row r="1184" spans="18:19" x14ac:dyDescent="0.25">
      <c r="R1184">
        <v>3429149.9509875407</v>
      </c>
      <c r="S1184">
        <v>0</v>
      </c>
    </row>
    <row r="1185" spans="18:19" x14ac:dyDescent="0.25">
      <c r="R1185">
        <v>3429175.6134884129</v>
      </c>
      <c r="S1185">
        <v>0</v>
      </c>
    </row>
    <row r="1186" spans="18:19" x14ac:dyDescent="0.25">
      <c r="R1186">
        <v>3429201.2759892852</v>
      </c>
      <c r="S1186">
        <v>0</v>
      </c>
    </row>
    <row r="1187" spans="18:19" x14ac:dyDescent="0.25">
      <c r="R1187">
        <v>3429226.9384901579</v>
      </c>
      <c r="S1187">
        <v>0</v>
      </c>
    </row>
    <row r="1188" spans="18:19" x14ac:dyDescent="0.25">
      <c r="R1188">
        <v>3429252.6009910302</v>
      </c>
      <c r="S1188">
        <v>0</v>
      </c>
    </row>
    <row r="1189" spans="18:19" x14ac:dyDescent="0.25">
      <c r="R1189">
        <v>3429278.2634919025</v>
      </c>
      <c r="S1189">
        <v>0</v>
      </c>
    </row>
    <row r="1190" spans="18:19" x14ac:dyDescent="0.25">
      <c r="R1190">
        <v>3429303.9259927748</v>
      </c>
      <c r="S1190">
        <v>0</v>
      </c>
    </row>
    <row r="1191" spans="18:19" x14ac:dyDescent="0.25">
      <c r="R1191">
        <v>3429329.5884936475</v>
      </c>
      <c r="S1191">
        <v>0</v>
      </c>
    </row>
    <row r="1192" spans="18:19" x14ac:dyDescent="0.25">
      <c r="R1192">
        <v>3429355.2509945198</v>
      </c>
      <c r="S1192">
        <v>0</v>
      </c>
    </row>
    <row r="1193" spans="18:19" x14ac:dyDescent="0.25">
      <c r="R1193">
        <v>3429380.9134953921</v>
      </c>
      <c r="S1193">
        <v>0</v>
      </c>
    </row>
    <row r="1194" spans="18:19" x14ac:dyDescent="0.25">
      <c r="R1194">
        <v>3429406.5759962643</v>
      </c>
      <c r="S1194">
        <v>0</v>
      </c>
    </row>
    <row r="1195" spans="18:19" x14ac:dyDescent="0.25">
      <c r="R1195">
        <v>3429432.2384971371</v>
      </c>
      <c r="S1195">
        <v>0</v>
      </c>
    </row>
    <row r="1196" spans="18:19" x14ac:dyDescent="0.25">
      <c r="R1196">
        <v>3429457.9009980094</v>
      </c>
      <c r="S1196">
        <v>0</v>
      </c>
    </row>
    <row r="1197" spans="18:19" x14ac:dyDescent="0.25">
      <c r="R1197">
        <v>3429483.5634988816</v>
      </c>
      <c r="S1197">
        <v>0</v>
      </c>
    </row>
    <row r="1198" spans="18:19" x14ac:dyDescent="0.25">
      <c r="R1198">
        <v>3429509.2259997539</v>
      </c>
      <c r="S1198">
        <v>0</v>
      </c>
    </row>
    <row r="1199" spans="18:19" x14ac:dyDescent="0.25">
      <c r="R1199">
        <v>3429534.8885006262</v>
      </c>
      <c r="S1199">
        <v>0</v>
      </c>
    </row>
    <row r="1200" spans="18:19" x14ac:dyDescent="0.25">
      <c r="R1200">
        <v>3429560.5510014989</v>
      </c>
      <c r="S1200">
        <v>0</v>
      </c>
    </row>
    <row r="1201" spans="18:19" x14ac:dyDescent="0.25">
      <c r="R1201">
        <v>3429586.2135023712</v>
      </c>
      <c r="S1201">
        <v>0</v>
      </c>
    </row>
    <row r="1202" spans="18:19" x14ac:dyDescent="0.25">
      <c r="R1202">
        <v>3429611.8760032435</v>
      </c>
      <c r="S1202">
        <v>0</v>
      </c>
    </row>
    <row r="1203" spans="18:19" x14ac:dyDescent="0.25">
      <c r="R1203">
        <v>3429637.5385041158</v>
      </c>
      <c r="S1203">
        <v>0</v>
      </c>
    </row>
    <row r="1204" spans="18:19" x14ac:dyDescent="0.25">
      <c r="R1204">
        <v>3429663.2010049885</v>
      </c>
      <c r="S1204">
        <v>0</v>
      </c>
    </row>
    <row r="1205" spans="18:19" x14ac:dyDescent="0.25">
      <c r="R1205">
        <v>3429688.8635058608</v>
      </c>
      <c r="S1205">
        <v>0</v>
      </c>
    </row>
    <row r="1206" spans="18:19" x14ac:dyDescent="0.25">
      <c r="R1206">
        <v>3429714.5260067331</v>
      </c>
      <c r="S1206">
        <v>0</v>
      </c>
    </row>
    <row r="1207" spans="18:19" x14ac:dyDescent="0.25">
      <c r="R1207">
        <v>3429740.1885076053</v>
      </c>
      <c r="S1207">
        <v>0</v>
      </c>
    </row>
    <row r="1208" spans="18:19" x14ac:dyDescent="0.25">
      <c r="R1208">
        <v>3429765.8510084781</v>
      </c>
      <c r="S1208">
        <v>0</v>
      </c>
    </row>
    <row r="1209" spans="18:19" x14ac:dyDescent="0.25">
      <c r="R1209">
        <v>3429791.5135093504</v>
      </c>
      <c r="S1209">
        <v>0</v>
      </c>
    </row>
    <row r="1210" spans="18:19" x14ac:dyDescent="0.25">
      <c r="R1210">
        <v>3429817.1760102226</v>
      </c>
      <c r="S1210">
        <v>0</v>
      </c>
    </row>
    <row r="1211" spans="18:19" x14ac:dyDescent="0.25">
      <c r="R1211">
        <v>3429842.8385110949</v>
      </c>
      <c r="S1211">
        <v>0</v>
      </c>
    </row>
    <row r="1212" spans="18:19" x14ac:dyDescent="0.25">
      <c r="R1212">
        <v>3429868.5010119677</v>
      </c>
      <c r="S1212">
        <v>0</v>
      </c>
    </row>
    <row r="1213" spans="18:19" x14ac:dyDescent="0.25">
      <c r="R1213">
        <v>3429894.1635128399</v>
      </c>
      <c r="S1213">
        <v>0</v>
      </c>
    </row>
    <row r="1214" spans="18:19" x14ac:dyDescent="0.25">
      <c r="R1214">
        <v>3429919.8260137122</v>
      </c>
      <c r="S1214">
        <v>0</v>
      </c>
    </row>
    <row r="1215" spans="18:19" x14ac:dyDescent="0.25">
      <c r="R1215">
        <v>3429945.4885145845</v>
      </c>
      <c r="S1215">
        <v>0</v>
      </c>
    </row>
    <row r="1216" spans="18:19" x14ac:dyDescent="0.25">
      <c r="R1216">
        <v>3429971.1510154568</v>
      </c>
      <c r="S1216">
        <v>0</v>
      </c>
    </row>
    <row r="1217" spans="18:19" x14ac:dyDescent="0.25">
      <c r="R1217">
        <v>3429996.8135163295</v>
      </c>
      <c r="S1217">
        <v>0</v>
      </c>
    </row>
    <row r="1218" spans="18:19" x14ac:dyDescent="0.25">
      <c r="R1218">
        <v>3430022.4760172018</v>
      </c>
      <c r="S1218">
        <v>0</v>
      </c>
    </row>
    <row r="1219" spans="18:19" x14ac:dyDescent="0.25">
      <c r="R1219">
        <v>3430048.1385180741</v>
      </c>
      <c r="S1219">
        <v>0</v>
      </c>
    </row>
    <row r="1220" spans="18:19" x14ac:dyDescent="0.25">
      <c r="R1220">
        <v>3430073.8010189463</v>
      </c>
      <c r="S1220">
        <v>0</v>
      </c>
    </row>
    <row r="1221" spans="18:19" x14ac:dyDescent="0.25">
      <c r="R1221">
        <v>3430099.4635198191</v>
      </c>
      <c r="S1221">
        <v>0</v>
      </c>
    </row>
    <row r="1222" spans="18:19" x14ac:dyDescent="0.25">
      <c r="R1222">
        <v>3430125.1260206914</v>
      </c>
      <c r="S1222">
        <v>0</v>
      </c>
    </row>
    <row r="1223" spans="18:19" x14ac:dyDescent="0.25">
      <c r="R1223">
        <v>3430150.7885215636</v>
      </c>
      <c r="S1223">
        <v>0</v>
      </c>
    </row>
    <row r="1224" spans="18:19" x14ac:dyDescent="0.25">
      <c r="R1224">
        <v>3430176.4510224359</v>
      </c>
      <c r="S1224">
        <v>0</v>
      </c>
    </row>
    <row r="1225" spans="18:19" x14ac:dyDescent="0.25">
      <c r="R1225">
        <v>3430202.1135233087</v>
      </c>
      <c r="S1225">
        <v>0</v>
      </c>
    </row>
    <row r="1226" spans="18:19" x14ac:dyDescent="0.25">
      <c r="R1226">
        <v>3430227.7760241809</v>
      </c>
      <c r="S1226">
        <v>0</v>
      </c>
    </row>
    <row r="1227" spans="18:19" x14ac:dyDescent="0.25">
      <c r="R1227">
        <v>3430253.4385250532</v>
      </c>
      <c r="S1227">
        <v>0</v>
      </c>
    </row>
    <row r="1228" spans="18:19" x14ac:dyDescent="0.25">
      <c r="R1228">
        <v>3430279.1010259255</v>
      </c>
      <c r="S1228">
        <v>0</v>
      </c>
    </row>
    <row r="1229" spans="18:19" x14ac:dyDescent="0.25">
      <c r="R1229">
        <v>3430304.7635267982</v>
      </c>
      <c r="S1229">
        <v>0</v>
      </c>
    </row>
    <row r="1230" spans="18:19" x14ac:dyDescent="0.25">
      <c r="R1230">
        <v>3430330.4260276705</v>
      </c>
      <c r="S1230">
        <v>0</v>
      </c>
    </row>
    <row r="1231" spans="18:19" x14ac:dyDescent="0.25">
      <c r="R1231">
        <v>3430356.0885285428</v>
      </c>
      <c r="S1231">
        <v>0</v>
      </c>
    </row>
    <row r="1232" spans="18:19" x14ac:dyDescent="0.25">
      <c r="R1232">
        <v>3430381.7510294151</v>
      </c>
      <c r="S1232">
        <v>0</v>
      </c>
    </row>
    <row r="1233" spans="18:19" x14ac:dyDescent="0.25">
      <c r="R1233">
        <v>3430407.4135302873</v>
      </c>
      <c r="S1233">
        <v>0</v>
      </c>
    </row>
    <row r="1234" spans="18:19" x14ac:dyDescent="0.25">
      <c r="R1234">
        <v>3430433.0760311601</v>
      </c>
      <c r="S1234">
        <v>0</v>
      </c>
    </row>
    <row r="1235" spans="18:19" x14ac:dyDescent="0.25">
      <c r="R1235">
        <v>3430458.7385320324</v>
      </c>
      <c r="S1235">
        <v>0</v>
      </c>
    </row>
    <row r="1236" spans="18:19" x14ac:dyDescent="0.25">
      <c r="R1236">
        <v>3430484.4010329046</v>
      </c>
      <c r="S1236">
        <v>0</v>
      </c>
    </row>
    <row r="1237" spans="18:19" x14ac:dyDescent="0.25">
      <c r="R1237">
        <v>3430510.0635337769</v>
      </c>
      <c r="S1237">
        <v>0</v>
      </c>
    </row>
    <row r="1238" spans="18:19" x14ac:dyDescent="0.25">
      <c r="R1238">
        <v>3430535.7260346496</v>
      </c>
      <c r="S1238">
        <v>0</v>
      </c>
    </row>
    <row r="1239" spans="18:19" x14ac:dyDescent="0.25">
      <c r="R1239">
        <v>3430561.3885355219</v>
      </c>
      <c r="S1239">
        <v>0</v>
      </c>
    </row>
    <row r="1240" spans="18:19" x14ac:dyDescent="0.25">
      <c r="R1240">
        <v>3430587.0510363942</v>
      </c>
      <c r="S1240">
        <v>0</v>
      </c>
    </row>
    <row r="1241" spans="18:19" x14ac:dyDescent="0.25">
      <c r="R1241">
        <v>3430612.7135372665</v>
      </c>
      <c r="S1241">
        <v>0</v>
      </c>
    </row>
    <row r="1242" spans="18:19" x14ac:dyDescent="0.25">
      <c r="R1242">
        <v>3430638.3760381392</v>
      </c>
      <c r="S1242">
        <v>0</v>
      </c>
    </row>
    <row r="1243" spans="18:19" x14ac:dyDescent="0.25">
      <c r="R1243">
        <v>3430664.0385390115</v>
      </c>
      <c r="S1243">
        <v>0</v>
      </c>
    </row>
    <row r="1244" spans="18:19" x14ac:dyDescent="0.25">
      <c r="R1244">
        <v>3430689.7010398838</v>
      </c>
      <c r="S1244">
        <v>0</v>
      </c>
    </row>
    <row r="1245" spans="18:19" x14ac:dyDescent="0.25">
      <c r="R1245">
        <v>3430715.3635407561</v>
      </c>
      <c r="S1245">
        <v>0</v>
      </c>
    </row>
    <row r="1246" spans="18:19" x14ac:dyDescent="0.25">
      <c r="R1246">
        <v>3430741.0260416283</v>
      </c>
      <c r="S1246">
        <v>0</v>
      </c>
    </row>
    <row r="1247" spans="18:19" x14ac:dyDescent="0.25">
      <c r="R1247">
        <v>3430766.6885425011</v>
      </c>
      <c r="S1247">
        <v>0</v>
      </c>
    </row>
    <row r="1248" spans="18:19" x14ac:dyDescent="0.25">
      <c r="R1248">
        <v>3430792.3510433733</v>
      </c>
      <c r="S1248">
        <v>0</v>
      </c>
    </row>
    <row r="1249" spans="18:19" x14ac:dyDescent="0.25">
      <c r="R1249">
        <v>3430818.0135442456</v>
      </c>
      <c r="S1249">
        <v>0</v>
      </c>
    </row>
    <row r="1250" spans="18:19" x14ac:dyDescent="0.25">
      <c r="R1250">
        <v>3430843.6760451179</v>
      </c>
      <c r="S1250">
        <v>0</v>
      </c>
    </row>
    <row r="1251" spans="18:19" x14ac:dyDescent="0.25">
      <c r="R1251">
        <v>3430869.3385459906</v>
      </c>
      <c r="S1251">
        <v>0</v>
      </c>
    </row>
    <row r="1252" spans="18:19" x14ac:dyDescent="0.25">
      <c r="R1252">
        <v>3430895.0010468629</v>
      </c>
      <c r="S1252">
        <v>0</v>
      </c>
    </row>
    <row r="1253" spans="18:19" x14ac:dyDescent="0.25">
      <c r="R1253">
        <v>3430920.6635477352</v>
      </c>
      <c r="S1253">
        <v>0</v>
      </c>
    </row>
    <row r="1254" spans="18:19" x14ac:dyDescent="0.25">
      <c r="R1254">
        <v>3430946.3260486075</v>
      </c>
      <c r="S1254">
        <v>0</v>
      </c>
    </row>
    <row r="1255" spans="18:19" x14ac:dyDescent="0.25">
      <c r="R1255">
        <v>3430971.9885494802</v>
      </c>
      <c r="S1255">
        <v>0</v>
      </c>
    </row>
    <row r="1256" spans="18:19" x14ac:dyDescent="0.25">
      <c r="R1256">
        <v>3430997.6510503525</v>
      </c>
      <c r="S1256">
        <v>0</v>
      </c>
    </row>
    <row r="1257" spans="18:19" x14ac:dyDescent="0.25">
      <c r="R1257">
        <v>3431023.3135512248</v>
      </c>
      <c r="S1257">
        <v>0</v>
      </c>
    </row>
    <row r="1258" spans="18:19" x14ac:dyDescent="0.25">
      <c r="R1258">
        <v>3431048.976052097</v>
      </c>
      <c r="S1258">
        <v>0</v>
      </c>
    </row>
    <row r="1259" spans="18:19" x14ac:dyDescent="0.25">
      <c r="R1259">
        <v>3431074.6385529698</v>
      </c>
      <c r="S1259">
        <v>0</v>
      </c>
    </row>
    <row r="1260" spans="18:19" x14ac:dyDescent="0.25">
      <c r="R1260">
        <v>3431100.3010538421</v>
      </c>
      <c r="S1260">
        <v>0</v>
      </c>
    </row>
    <row r="1261" spans="18:19" x14ac:dyDescent="0.25">
      <c r="R1261">
        <v>3431125.9635547143</v>
      </c>
      <c r="S1261">
        <v>0</v>
      </c>
    </row>
    <row r="1262" spans="18:19" x14ac:dyDescent="0.25">
      <c r="R1262">
        <v>3431151.6260555866</v>
      </c>
      <c r="S1262">
        <v>0</v>
      </c>
    </row>
    <row r="1263" spans="18:19" x14ac:dyDescent="0.25">
      <c r="R1263">
        <v>3431177.2885564589</v>
      </c>
      <c r="S1263">
        <v>0</v>
      </c>
    </row>
    <row r="1264" spans="18:19" x14ac:dyDescent="0.25">
      <c r="R1264">
        <v>3431202.9510573316</v>
      </c>
      <c r="S1264">
        <v>0</v>
      </c>
    </row>
    <row r="1265" spans="18:19" x14ac:dyDescent="0.25">
      <c r="R1265">
        <v>3431228.6135582039</v>
      </c>
      <c r="S1265">
        <v>0</v>
      </c>
    </row>
    <row r="1266" spans="18:19" x14ac:dyDescent="0.25">
      <c r="R1266">
        <v>3431254.2760590762</v>
      </c>
      <c r="S1266">
        <v>0</v>
      </c>
    </row>
    <row r="1267" spans="18:19" x14ac:dyDescent="0.25">
      <c r="R1267">
        <v>3431279.9385599485</v>
      </c>
      <c r="S1267">
        <v>0</v>
      </c>
    </row>
    <row r="1268" spans="18:19" x14ac:dyDescent="0.25">
      <c r="R1268">
        <v>3431305.6010608212</v>
      </c>
      <c r="S1268">
        <v>0</v>
      </c>
    </row>
    <row r="1269" spans="18:19" x14ac:dyDescent="0.25">
      <c r="R1269">
        <v>3431331.2635616935</v>
      </c>
      <c r="S1269">
        <v>0</v>
      </c>
    </row>
    <row r="1270" spans="18:19" x14ac:dyDescent="0.25">
      <c r="R1270">
        <v>3431356.9260625658</v>
      </c>
      <c r="S1270">
        <v>0</v>
      </c>
    </row>
    <row r="1271" spans="18:19" x14ac:dyDescent="0.25">
      <c r="R1271">
        <v>3431382.588563438</v>
      </c>
      <c r="S1271">
        <v>0</v>
      </c>
    </row>
    <row r="1272" spans="18:19" x14ac:dyDescent="0.25">
      <c r="R1272">
        <v>3431408.2510643108</v>
      </c>
      <c r="S1272">
        <v>0</v>
      </c>
    </row>
    <row r="1273" spans="18:19" x14ac:dyDescent="0.25">
      <c r="R1273">
        <v>3431433.9135651831</v>
      </c>
      <c r="S1273">
        <v>0</v>
      </c>
    </row>
    <row r="1274" spans="18:19" x14ac:dyDescent="0.25">
      <c r="R1274">
        <v>3431459.5760660553</v>
      </c>
      <c r="S1274">
        <v>0</v>
      </c>
    </row>
    <row r="1275" spans="18:19" x14ac:dyDescent="0.25">
      <c r="R1275">
        <v>3431485.2385669276</v>
      </c>
      <c r="S1275">
        <v>0</v>
      </c>
    </row>
    <row r="1276" spans="18:19" x14ac:dyDescent="0.25">
      <c r="R1276">
        <v>3431510.9010678004</v>
      </c>
      <c r="S1276">
        <v>0</v>
      </c>
    </row>
    <row r="1277" spans="18:19" x14ac:dyDescent="0.25">
      <c r="R1277">
        <v>3431536.5635686726</v>
      </c>
      <c r="S1277">
        <v>0</v>
      </c>
    </row>
    <row r="1278" spans="18:19" x14ac:dyDescent="0.25">
      <c r="R1278">
        <v>3431562.2260695449</v>
      </c>
      <c r="S1278">
        <v>0</v>
      </c>
    </row>
    <row r="1279" spans="18:19" x14ac:dyDescent="0.25">
      <c r="R1279">
        <v>3431587.8885704172</v>
      </c>
      <c r="S1279">
        <v>0</v>
      </c>
    </row>
    <row r="1280" spans="18:19" x14ac:dyDescent="0.25">
      <c r="R1280">
        <v>3431613.5510712895</v>
      </c>
      <c r="S1280">
        <v>0</v>
      </c>
    </row>
    <row r="1281" spans="18:19" x14ac:dyDescent="0.25">
      <c r="R1281">
        <v>3431639.2135721622</v>
      </c>
      <c r="S1281">
        <v>0</v>
      </c>
    </row>
    <row r="1282" spans="18:19" x14ac:dyDescent="0.25">
      <c r="R1282">
        <v>3431664.8760730345</v>
      </c>
      <c r="S1282">
        <v>0</v>
      </c>
    </row>
    <row r="1283" spans="18:19" x14ac:dyDescent="0.25">
      <c r="R1283">
        <v>3431690.5385739068</v>
      </c>
      <c r="S1283">
        <v>0</v>
      </c>
    </row>
    <row r="1284" spans="18:19" x14ac:dyDescent="0.25">
      <c r="R1284">
        <v>3431716.201074779</v>
      </c>
      <c r="S1284">
        <v>0</v>
      </c>
    </row>
    <row r="1285" spans="18:19" x14ac:dyDescent="0.25">
      <c r="R1285">
        <v>3431741.8635756518</v>
      </c>
      <c r="S1285">
        <v>0</v>
      </c>
    </row>
    <row r="1286" spans="18:19" x14ac:dyDescent="0.25">
      <c r="R1286">
        <v>3431767.5260765241</v>
      </c>
      <c r="S1286">
        <v>0</v>
      </c>
    </row>
    <row r="1287" spans="18:19" x14ac:dyDescent="0.25">
      <c r="R1287">
        <v>3431793.1885773963</v>
      </c>
      <c r="S1287">
        <v>0</v>
      </c>
    </row>
    <row r="1288" spans="18:19" x14ac:dyDescent="0.25">
      <c r="R1288">
        <v>3431818.8510782686</v>
      </c>
      <c r="S1288">
        <v>0</v>
      </c>
    </row>
    <row r="1289" spans="18:19" x14ac:dyDescent="0.25">
      <c r="R1289">
        <v>3431844.5135791413</v>
      </c>
      <c r="S1289">
        <v>0</v>
      </c>
    </row>
    <row r="1290" spans="18:19" x14ac:dyDescent="0.25">
      <c r="R1290">
        <v>3431870.1760800136</v>
      </c>
      <c r="S1290">
        <v>0</v>
      </c>
    </row>
    <row r="1291" spans="18:19" x14ac:dyDescent="0.25">
      <c r="R1291">
        <v>3431895.8385808859</v>
      </c>
      <c r="S1291">
        <v>0</v>
      </c>
    </row>
    <row r="1292" spans="18:19" x14ac:dyDescent="0.25">
      <c r="R1292">
        <v>3431921.5010817582</v>
      </c>
      <c r="S1292">
        <v>0</v>
      </c>
    </row>
    <row r="1293" spans="18:19" x14ac:dyDescent="0.25">
      <c r="R1293">
        <v>3431947.1635826309</v>
      </c>
      <c r="S1293">
        <v>0</v>
      </c>
    </row>
    <row r="1294" spans="18:19" x14ac:dyDescent="0.25">
      <c r="R1294">
        <v>3431972.8260835032</v>
      </c>
      <c r="S1294">
        <v>0</v>
      </c>
    </row>
    <row r="1295" spans="18:19" x14ac:dyDescent="0.25">
      <c r="R1295">
        <v>3431998.4885843755</v>
      </c>
      <c r="S1295">
        <v>0</v>
      </c>
    </row>
    <row r="1296" spans="18:19" x14ac:dyDescent="0.25">
      <c r="R1296">
        <v>3432024.1510852478</v>
      </c>
      <c r="S1296">
        <v>0</v>
      </c>
    </row>
    <row r="1297" spans="18:19" x14ac:dyDescent="0.25">
      <c r="R1297">
        <v>3432049.81358612</v>
      </c>
      <c r="S1297">
        <v>0</v>
      </c>
    </row>
    <row r="1298" spans="18:19" x14ac:dyDescent="0.25">
      <c r="R1298">
        <v>3432075.4760869928</v>
      </c>
      <c r="S1298">
        <v>0</v>
      </c>
    </row>
    <row r="1299" spans="18:19" x14ac:dyDescent="0.25">
      <c r="R1299">
        <v>3432101.138587865</v>
      </c>
      <c r="S1299">
        <v>0</v>
      </c>
    </row>
    <row r="1300" spans="18:19" x14ac:dyDescent="0.25">
      <c r="R1300">
        <v>3432126.8010887373</v>
      </c>
      <c r="S1300">
        <v>0</v>
      </c>
    </row>
    <row r="1301" spans="18:19" x14ac:dyDescent="0.25">
      <c r="R1301">
        <v>3432152.4635896096</v>
      </c>
      <c r="S1301">
        <v>0</v>
      </c>
    </row>
    <row r="1302" spans="18:19" x14ac:dyDescent="0.25">
      <c r="R1302">
        <v>3432178.1260904823</v>
      </c>
      <c r="S1302">
        <v>0</v>
      </c>
    </row>
    <row r="1303" spans="18:19" x14ac:dyDescent="0.25">
      <c r="R1303">
        <v>3432203.7885913546</v>
      </c>
      <c r="S1303">
        <v>0</v>
      </c>
    </row>
    <row r="1304" spans="18:19" x14ac:dyDescent="0.25">
      <c r="R1304">
        <v>3432229.4510922269</v>
      </c>
      <c r="S1304">
        <v>0</v>
      </c>
    </row>
    <row r="1305" spans="18:19" x14ac:dyDescent="0.25">
      <c r="R1305">
        <v>3432255.1135930992</v>
      </c>
      <c r="S1305">
        <v>0</v>
      </c>
    </row>
    <row r="1306" spans="18:19" x14ac:dyDescent="0.25">
      <c r="R1306">
        <v>3432280.7760939719</v>
      </c>
      <c r="S1306">
        <v>0</v>
      </c>
    </row>
    <row r="1307" spans="18:19" x14ac:dyDescent="0.25">
      <c r="R1307">
        <v>3432306.4385948442</v>
      </c>
      <c r="S1307">
        <v>0</v>
      </c>
    </row>
    <row r="1308" spans="18:19" x14ac:dyDescent="0.25">
      <c r="R1308">
        <v>3432332.1010957165</v>
      </c>
      <c r="S1308">
        <v>0</v>
      </c>
    </row>
    <row r="1309" spans="18:19" x14ac:dyDescent="0.25">
      <c r="R1309">
        <v>3432357.7635965887</v>
      </c>
      <c r="S1309">
        <v>0</v>
      </c>
    </row>
    <row r="1310" spans="18:19" x14ac:dyDescent="0.25">
      <c r="R1310">
        <v>3432383.426097461</v>
      </c>
      <c r="S1310">
        <v>0</v>
      </c>
    </row>
    <row r="1311" spans="18:19" x14ac:dyDescent="0.25">
      <c r="R1311">
        <v>3432409.0885983338</v>
      </c>
      <c r="S1311">
        <v>0</v>
      </c>
    </row>
    <row r="1312" spans="18:19" x14ac:dyDescent="0.25">
      <c r="R1312">
        <v>3432434.751099206</v>
      </c>
      <c r="S1312">
        <v>0</v>
      </c>
    </row>
    <row r="1313" spans="18:19" x14ac:dyDescent="0.25">
      <c r="R1313">
        <v>3432460.4136000783</v>
      </c>
      <c r="S1313">
        <v>0</v>
      </c>
    </row>
    <row r="1314" spans="18:19" x14ac:dyDescent="0.25">
      <c r="R1314">
        <v>3432486.0761009506</v>
      </c>
      <c r="S1314">
        <v>0</v>
      </c>
    </row>
    <row r="1315" spans="18:19" x14ac:dyDescent="0.25">
      <c r="R1315">
        <v>3432511.7386018233</v>
      </c>
      <c r="S1315">
        <v>0</v>
      </c>
    </row>
    <row r="1316" spans="18:19" x14ac:dyDescent="0.25">
      <c r="R1316">
        <v>3432537.4011026956</v>
      </c>
      <c r="S1316">
        <v>0</v>
      </c>
    </row>
    <row r="1317" spans="18:19" x14ac:dyDescent="0.25">
      <c r="R1317">
        <v>3432563.0636035679</v>
      </c>
      <c r="S1317">
        <v>0</v>
      </c>
    </row>
    <row r="1318" spans="18:19" x14ac:dyDescent="0.25">
      <c r="R1318">
        <v>3432588.7261044402</v>
      </c>
      <c r="S1318">
        <v>0</v>
      </c>
    </row>
    <row r="1319" spans="18:19" x14ac:dyDescent="0.25">
      <c r="R1319">
        <v>3432614.3886053129</v>
      </c>
      <c r="S1319">
        <v>0</v>
      </c>
    </row>
    <row r="1320" spans="18:19" x14ac:dyDescent="0.25">
      <c r="R1320">
        <v>3432640.0511061852</v>
      </c>
      <c r="S1320">
        <v>0</v>
      </c>
    </row>
    <row r="1321" spans="18:19" x14ac:dyDescent="0.25">
      <c r="R1321">
        <v>3432665.7136070575</v>
      </c>
      <c r="S1321">
        <v>0</v>
      </c>
    </row>
    <row r="1322" spans="18:19" x14ac:dyDescent="0.25">
      <c r="R1322">
        <v>3432691.3761079297</v>
      </c>
      <c r="S1322">
        <v>0</v>
      </c>
    </row>
    <row r="1323" spans="18:19" x14ac:dyDescent="0.25">
      <c r="R1323">
        <v>3432717.0386088025</v>
      </c>
      <c r="S1323">
        <v>0</v>
      </c>
    </row>
    <row r="1324" spans="18:19" x14ac:dyDescent="0.25">
      <c r="R1324">
        <v>3432742.7011096748</v>
      </c>
      <c r="S1324">
        <v>0</v>
      </c>
    </row>
    <row r="1325" spans="18:19" x14ac:dyDescent="0.25">
      <c r="R1325">
        <v>3432768.363610547</v>
      </c>
      <c r="S1325">
        <v>0</v>
      </c>
    </row>
    <row r="1326" spans="18:19" x14ac:dyDescent="0.25">
      <c r="R1326">
        <v>3432794.0261114193</v>
      </c>
      <c r="S1326">
        <v>0</v>
      </c>
    </row>
    <row r="1327" spans="18:19" x14ac:dyDescent="0.25">
      <c r="R1327">
        <v>3432819.6886122916</v>
      </c>
      <c r="S1327">
        <v>0</v>
      </c>
    </row>
    <row r="1328" spans="18:19" x14ac:dyDescent="0.25">
      <c r="R1328">
        <v>3432845.3511131643</v>
      </c>
      <c r="S1328">
        <v>0</v>
      </c>
    </row>
    <row r="1329" spans="18:19" x14ac:dyDescent="0.25">
      <c r="R1329">
        <v>3432871.0136140366</v>
      </c>
      <c r="S1329">
        <v>0</v>
      </c>
    </row>
    <row r="1330" spans="18:19" x14ac:dyDescent="0.25">
      <c r="R1330">
        <v>3432896.6761149089</v>
      </c>
      <c r="S1330">
        <v>0</v>
      </c>
    </row>
    <row r="1331" spans="18:19" x14ac:dyDescent="0.25">
      <c r="R1331">
        <v>3432922.3386157812</v>
      </c>
      <c r="S1331">
        <v>0</v>
      </c>
    </row>
    <row r="1332" spans="18:19" x14ac:dyDescent="0.25">
      <c r="R1332">
        <v>3432948.0011166539</v>
      </c>
      <c r="S1332">
        <v>0</v>
      </c>
    </row>
    <row r="1333" spans="18:19" x14ac:dyDescent="0.25">
      <c r="R1333">
        <v>3432973.6636175262</v>
      </c>
      <c r="S1333">
        <v>0</v>
      </c>
    </row>
    <row r="1334" spans="18:19" x14ac:dyDescent="0.25">
      <c r="R1334">
        <v>3432999.3261183985</v>
      </c>
      <c r="S1334">
        <v>0</v>
      </c>
    </row>
    <row r="1335" spans="18:19" x14ac:dyDescent="0.25">
      <c r="R1335">
        <v>3433024.9886192707</v>
      </c>
      <c r="S1335">
        <v>0</v>
      </c>
    </row>
    <row r="1336" spans="18:19" x14ac:dyDescent="0.25">
      <c r="R1336">
        <v>3433050.6511201435</v>
      </c>
      <c r="S1336">
        <v>0</v>
      </c>
    </row>
    <row r="1337" spans="18:19" x14ac:dyDescent="0.25">
      <c r="R1337">
        <v>3433076.3136210158</v>
      </c>
      <c r="S1337">
        <v>0</v>
      </c>
    </row>
    <row r="1338" spans="18:19" x14ac:dyDescent="0.25">
      <c r="R1338">
        <v>3433101.976121888</v>
      </c>
      <c r="S1338">
        <v>0</v>
      </c>
    </row>
    <row r="1339" spans="18:19" x14ac:dyDescent="0.25">
      <c r="R1339">
        <v>3433127.6386227603</v>
      </c>
      <c r="S1339">
        <v>0</v>
      </c>
    </row>
    <row r="1340" spans="18:19" x14ac:dyDescent="0.25">
      <c r="R1340">
        <v>3433153.301123633</v>
      </c>
      <c r="S1340">
        <v>0</v>
      </c>
    </row>
    <row r="1341" spans="18:19" x14ac:dyDescent="0.25">
      <c r="R1341">
        <v>3433178.9636245053</v>
      </c>
      <c r="S1341">
        <v>0</v>
      </c>
    </row>
    <row r="1342" spans="18:19" x14ac:dyDescent="0.25">
      <c r="R1342">
        <v>3433204.6261253776</v>
      </c>
      <c r="S1342">
        <v>0</v>
      </c>
    </row>
    <row r="1343" spans="18:19" x14ac:dyDescent="0.25">
      <c r="R1343">
        <v>3433230.2886262499</v>
      </c>
      <c r="S1343">
        <v>0</v>
      </c>
    </row>
    <row r="1344" spans="18:19" x14ac:dyDescent="0.25">
      <c r="R1344">
        <v>3433255.9511271222</v>
      </c>
      <c r="S1344">
        <v>0</v>
      </c>
    </row>
    <row r="1345" spans="18:19" x14ac:dyDescent="0.25">
      <c r="R1345">
        <v>3433281.6136279949</v>
      </c>
      <c r="S1345">
        <v>0</v>
      </c>
    </row>
    <row r="1346" spans="18:19" x14ac:dyDescent="0.25">
      <c r="R1346">
        <v>3433307.2761288672</v>
      </c>
      <c r="S1346">
        <v>0</v>
      </c>
    </row>
    <row r="1347" spans="18:19" x14ac:dyDescent="0.25">
      <c r="R1347">
        <v>3433332.9386297395</v>
      </c>
      <c r="S1347">
        <v>0</v>
      </c>
    </row>
    <row r="1348" spans="18:19" x14ac:dyDescent="0.25">
      <c r="R1348">
        <v>3433358.6011306117</v>
      </c>
      <c r="S1348">
        <v>0</v>
      </c>
    </row>
    <row r="1349" spans="18:19" x14ac:dyDescent="0.25">
      <c r="R1349">
        <v>3433384.2636314845</v>
      </c>
      <c r="S1349">
        <v>0</v>
      </c>
    </row>
    <row r="1350" spans="18:19" x14ac:dyDescent="0.25">
      <c r="R1350">
        <v>3433409.9261323567</v>
      </c>
      <c r="S1350">
        <v>0</v>
      </c>
    </row>
    <row r="1351" spans="18:19" x14ac:dyDescent="0.25">
      <c r="R1351">
        <v>3433435.588633229</v>
      </c>
      <c r="S1351">
        <v>0</v>
      </c>
    </row>
    <row r="1352" spans="18:19" x14ac:dyDescent="0.25">
      <c r="R1352">
        <v>3433461.2511341013</v>
      </c>
      <c r="S1352">
        <v>0</v>
      </c>
    </row>
    <row r="1353" spans="18:19" x14ac:dyDescent="0.25">
      <c r="R1353">
        <v>3433486.913634974</v>
      </c>
      <c r="S1353">
        <v>0</v>
      </c>
    </row>
    <row r="1354" spans="18:19" x14ac:dyDescent="0.25">
      <c r="R1354">
        <v>3433512.5761358463</v>
      </c>
      <c r="S1354">
        <v>0</v>
      </c>
    </row>
    <row r="1355" spans="18:19" x14ac:dyDescent="0.25">
      <c r="R1355">
        <v>3433538.2386367186</v>
      </c>
      <c r="S1355">
        <v>0</v>
      </c>
    </row>
    <row r="1356" spans="18:19" x14ac:dyDescent="0.25">
      <c r="R1356">
        <v>3433563.9011375909</v>
      </c>
      <c r="S1356">
        <v>0</v>
      </c>
    </row>
    <row r="1357" spans="18:19" x14ac:dyDescent="0.25">
      <c r="R1357">
        <v>3433589.5636384636</v>
      </c>
      <c r="S1357">
        <v>0</v>
      </c>
    </row>
    <row r="1358" spans="18:19" x14ac:dyDescent="0.25">
      <c r="R1358">
        <v>3433615.2261393359</v>
      </c>
      <c r="S1358">
        <v>0</v>
      </c>
    </row>
    <row r="1359" spans="18:19" x14ac:dyDescent="0.25">
      <c r="R1359">
        <v>3433640.8886402082</v>
      </c>
      <c r="S1359">
        <v>0</v>
      </c>
    </row>
    <row r="1360" spans="18:19" x14ac:dyDescent="0.25">
      <c r="R1360">
        <v>3433666.5511410804</v>
      </c>
      <c r="S1360">
        <v>0</v>
      </c>
    </row>
    <row r="1361" spans="18:19" x14ac:dyDescent="0.25">
      <c r="R1361">
        <v>3433692.2136419527</v>
      </c>
      <c r="S1361">
        <v>0</v>
      </c>
    </row>
    <row r="1362" spans="18:19" x14ac:dyDescent="0.25">
      <c r="R1362">
        <v>3433717.8761428255</v>
      </c>
      <c r="S1362">
        <v>0</v>
      </c>
    </row>
    <row r="1363" spans="18:19" x14ac:dyDescent="0.25">
      <c r="R1363">
        <v>3433743.5386436977</v>
      </c>
      <c r="S1363">
        <v>0</v>
      </c>
    </row>
    <row r="1364" spans="18:19" x14ac:dyDescent="0.25">
      <c r="R1364">
        <v>3433769.20114457</v>
      </c>
      <c r="S1364">
        <v>0</v>
      </c>
    </row>
    <row r="1365" spans="18:19" x14ac:dyDescent="0.25">
      <c r="R1365">
        <v>3433794.8636454423</v>
      </c>
      <c r="S1365">
        <v>0</v>
      </c>
    </row>
    <row r="1366" spans="18:19" x14ac:dyDescent="0.25">
      <c r="R1366">
        <v>3433820.526146315</v>
      </c>
      <c r="S1366">
        <v>0</v>
      </c>
    </row>
    <row r="1367" spans="18:19" x14ac:dyDescent="0.25">
      <c r="R1367">
        <v>3433846.1886471873</v>
      </c>
      <c r="S1367">
        <v>0</v>
      </c>
    </row>
    <row r="1368" spans="18:19" x14ac:dyDescent="0.25">
      <c r="R1368">
        <v>3433871.8511480596</v>
      </c>
      <c r="S1368">
        <v>0</v>
      </c>
    </row>
    <row r="1369" spans="18:19" x14ac:dyDescent="0.25">
      <c r="R1369">
        <v>3433897.5136489319</v>
      </c>
      <c r="S1369">
        <v>0</v>
      </c>
    </row>
    <row r="1370" spans="18:19" x14ac:dyDescent="0.25">
      <c r="R1370">
        <v>3433923.1761498046</v>
      </c>
      <c r="S1370">
        <v>0</v>
      </c>
    </row>
    <row r="1371" spans="18:19" x14ac:dyDescent="0.25">
      <c r="R1371">
        <v>3433948.8386506769</v>
      </c>
      <c r="S1371">
        <v>0</v>
      </c>
    </row>
    <row r="1372" spans="18:19" x14ac:dyDescent="0.25">
      <c r="R1372">
        <v>3433974.5011515492</v>
      </c>
      <c r="S1372">
        <v>0</v>
      </c>
    </row>
    <row r="1373" spans="18:19" x14ac:dyDescent="0.25">
      <c r="R1373">
        <v>3434000.1636524214</v>
      </c>
      <c r="S1373">
        <v>0</v>
      </c>
    </row>
    <row r="1374" spans="18:19" x14ac:dyDescent="0.25">
      <c r="R1374">
        <v>3434025.8261532937</v>
      </c>
      <c r="S1374">
        <v>0</v>
      </c>
    </row>
    <row r="1375" spans="18:19" x14ac:dyDescent="0.25">
      <c r="R1375">
        <v>3434051.4886541665</v>
      </c>
      <c r="S1375">
        <v>0</v>
      </c>
    </row>
    <row r="1376" spans="18:19" x14ac:dyDescent="0.25">
      <c r="R1376">
        <v>3434077.1511550387</v>
      </c>
      <c r="S1376">
        <v>0</v>
      </c>
    </row>
    <row r="1377" spans="18:19" x14ac:dyDescent="0.25">
      <c r="R1377">
        <v>3434102.813655911</v>
      </c>
      <c r="S1377">
        <v>0</v>
      </c>
    </row>
    <row r="1378" spans="18:19" x14ac:dyDescent="0.25">
      <c r="R1378">
        <v>3434128.4761567833</v>
      </c>
      <c r="S1378">
        <v>0</v>
      </c>
    </row>
    <row r="1379" spans="18:19" x14ac:dyDescent="0.25">
      <c r="R1379">
        <v>3434154.138657656</v>
      </c>
      <c r="S1379">
        <v>0</v>
      </c>
    </row>
    <row r="1380" spans="18:19" x14ac:dyDescent="0.25">
      <c r="R1380">
        <v>3434179.8011585283</v>
      </c>
      <c r="S1380">
        <v>0</v>
      </c>
    </row>
    <row r="1381" spans="18:19" x14ac:dyDescent="0.25">
      <c r="R1381">
        <v>3434205.4636594006</v>
      </c>
      <c r="S1381">
        <v>0</v>
      </c>
    </row>
    <row r="1382" spans="18:19" x14ac:dyDescent="0.25">
      <c r="R1382">
        <v>3434231.1261602729</v>
      </c>
      <c r="S1382">
        <v>0</v>
      </c>
    </row>
    <row r="1383" spans="18:19" x14ac:dyDescent="0.25">
      <c r="R1383">
        <v>3434256.7886611456</v>
      </c>
      <c r="S1383">
        <v>0</v>
      </c>
    </row>
    <row r="1384" spans="18:19" x14ac:dyDescent="0.25">
      <c r="R1384">
        <v>3434282.4511620179</v>
      </c>
      <c r="S1384">
        <v>0</v>
      </c>
    </row>
    <row r="1385" spans="18:19" x14ac:dyDescent="0.25">
      <c r="R1385">
        <v>3434308.1136628902</v>
      </c>
      <c r="S1385">
        <v>0</v>
      </c>
    </row>
    <row r="1386" spans="18:19" x14ac:dyDescent="0.25">
      <c r="R1386">
        <v>3434333.7761637624</v>
      </c>
      <c r="S1386">
        <v>0</v>
      </c>
    </row>
    <row r="1387" spans="18:19" x14ac:dyDescent="0.25">
      <c r="R1387">
        <v>3434359.4386646352</v>
      </c>
      <c r="S1387">
        <v>0</v>
      </c>
    </row>
    <row r="1388" spans="18:19" x14ac:dyDescent="0.25">
      <c r="R1388">
        <v>3434385.1011655075</v>
      </c>
      <c r="S1388">
        <v>0</v>
      </c>
    </row>
    <row r="1389" spans="18:19" x14ac:dyDescent="0.25">
      <c r="R1389">
        <v>3434410.7636663797</v>
      </c>
      <c r="S1389">
        <v>0</v>
      </c>
    </row>
    <row r="1390" spans="18:19" x14ac:dyDescent="0.25">
      <c r="R1390">
        <v>3434436.426167252</v>
      </c>
      <c r="S1390">
        <v>0</v>
      </c>
    </row>
    <row r="1391" spans="18:19" x14ac:dyDescent="0.25">
      <c r="R1391">
        <v>3434462.0886681243</v>
      </c>
      <c r="S1391">
        <v>0</v>
      </c>
    </row>
    <row r="1392" spans="18:19" x14ac:dyDescent="0.25">
      <c r="R1392">
        <v>3434487.751168997</v>
      </c>
      <c r="S1392">
        <v>0</v>
      </c>
    </row>
    <row r="1393" spans="18:19" x14ac:dyDescent="0.25">
      <c r="R1393">
        <v>3434513.4136698693</v>
      </c>
      <c r="S1393">
        <v>0</v>
      </c>
    </row>
    <row r="1394" spans="18:19" x14ac:dyDescent="0.25">
      <c r="R1394">
        <v>3434539.0761707416</v>
      </c>
      <c r="S1394">
        <v>0</v>
      </c>
    </row>
    <row r="1395" spans="18:19" x14ac:dyDescent="0.25">
      <c r="R1395">
        <v>3434564.7386716139</v>
      </c>
      <c r="S1395">
        <v>0</v>
      </c>
    </row>
    <row r="1396" spans="18:19" x14ac:dyDescent="0.25">
      <c r="R1396">
        <v>3434590.4011724866</v>
      </c>
      <c r="S1396">
        <v>0</v>
      </c>
    </row>
    <row r="1397" spans="18:19" x14ac:dyDescent="0.25">
      <c r="R1397">
        <v>3434616.0636733589</v>
      </c>
      <c r="S1397">
        <v>0</v>
      </c>
    </row>
    <row r="1398" spans="18:19" x14ac:dyDescent="0.25">
      <c r="R1398">
        <v>3434641.7261742312</v>
      </c>
      <c r="S1398">
        <v>0</v>
      </c>
    </row>
    <row r="1399" spans="18:19" x14ac:dyDescent="0.25">
      <c r="R1399">
        <v>3434667.3886751034</v>
      </c>
      <c r="S1399">
        <v>0</v>
      </c>
    </row>
    <row r="1400" spans="18:19" x14ac:dyDescent="0.25">
      <c r="R1400">
        <v>3434693.0511759762</v>
      </c>
      <c r="S1400">
        <v>0</v>
      </c>
    </row>
    <row r="1401" spans="18:19" x14ac:dyDescent="0.25">
      <c r="R1401">
        <v>3434718.7136768484</v>
      </c>
      <c r="S1401">
        <v>0</v>
      </c>
    </row>
    <row r="1402" spans="18:19" x14ac:dyDescent="0.25">
      <c r="R1402">
        <v>3434744.3761777207</v>
      </c>
      <c r="S1402">
        <v>0</v>
      </c>
    </row>
    <row r="1403" spans="18:19" x14ac:dyDescent="0.25">
      <c r="R1403">
        <v>3434770.038678593</v>
      </c>
      <c r="S1403">
        <v>0</v>
      </c>
    </row>
    <row r="1404" spans="18:19" x14ac:dyDescent="0.25">
      <c r="R1404">
        <v>3434795.7011794657</v>
      </c>
      <c r="S1404">
        <v>0</v>
      </c>
    </row>
    <row r="1405" spans="18:19" x14ac:dyDescent="0.25">
      <c r="R1405">
        <v>3434821.363680338</v>
      </c>
      <c r="S1405">
        <v>0</v>
      </c>
    </row>
    <row r="1406" spans="18:19" x14ac:dyDescent="0.25">
      <c r="R1406">
        <v>3434847.0261812103</v>
      </c>
      <c r="S1406">
        <v>0</v>
      </c>
    </row>
    <row r="1407" spans="18:19" x14ac:dyDescent="0.25">
      <c r="R1407">
        <v>3434872.6886820826</v>
      </c>
      <c r="S1407">
        <v>0</v>
      </c>
    </row>
    <row r="1408" spans="18:19" x14ac:dyDescent="0.25">
      <c r="R1408">
        <v>3434898.3511829549</v>
      </c>
      <c r="S1408">
        <v>0</v>
      </c>
    </row>
    <row r="1409" spans="18:19" x14ac:dyDescent="0.25">
      <c r="R1409">
        <v>3434924.0136838276</v>
      </c>
      <c r="S1409">
        <v>0</v>
      </c>
    </row>
    <row r="1410" spans="18:19" x14ac:dyDescent="0.25">
      <c r="R1410">
        <v>3434949.6761846999</v>
      </c>
      <c r="S1410">
        <v>0</v>
      </c>
    </row>
    <row r="1411" spans="18:19" x14ac:dyDescent="0.25">
      <c r="R1411">
        <v>3434975.3386855721</v>
      </c>
      <c r="S1411">
        <v>0</v>
      </c>
    </row>
    <row r="1412" spans="18:19" x14ac:dyDescent="0.25">
      <c r="R1412">
        <v>3435001.0011864444</v>
      </c>
      <c r="S1412">
        <v>0</v>
      </c>
    </row>
    <row r="1413" spans="18:19" x14ac:dyDescent="0.25">
      <c r="R1413">
        <v>3435026.6636873172</v>
      </c>
      <c r="S1413">
        <v>0</v>
      </c>
    </row>
    <row r="1414" spans="18:19" x14ac:dyDescent="0.25">
      <c r="R1414">
        <v>3435052.3261881894</v>
      </c>
      <c r="S1414">
        <v>0</v>
      </c>
    </row>
    <row r="1415" spans="18:19" x14ac:dyDescent="0.25">
      <c r="R1415">
        <v>3435077.9886890617</v>
      </c>
      <c r="S1415">
        <v>0</v>
      </c>
    </row>
    <row r="1416" spans="18:19" x14ac:dyDescent="0.25">
      <c r="R1416">
        <v>3435103.651189934</v>
      </c>
      <c r="S1416">
        <v>0</v>
      </c>
    </row>
    <row r="1417" spans="18:19" x14ac:dyDescent="0.25">
      <c r="R1417">
        <v>3435129.3136908067</v>
      </c>
      <c r="S1417">
        <v>0</v>
      </c>
    </row>
    <row r="1418" spans="18:19" x14ac:dyDescent="0.25">
      <c r="R1418">
        <v>3435154.976191679</v>
      </c>
      <c r="S1418">
        <v>0</v>
      </c>
    </row>
    <row r="1419" spans="18:19" x14ac:dyDescent="0.25">
      <c r="R1419">
        <v>3435180.6386925513</v>
      </c>
      <c r="S1419">
        <v>0</v>
      </c>
    </row>
    <row r="1420" spans="18:19" x14ac:dyDescent="0.25">
      <c r="R1420">
        <v>3435206.3011934236</v>
      </c>
      <c r="S1420">
        <v>0</v>
      </c>
    </row>
    <row r="1421" spans="18:19" x14ac:dyDescent="0.25">
      <c r="R1421">
        <v>3435231.9636942963</v>
      </c>
      <c r="S1421">
        <v>0</v>
      </c>
    </row>
    <row r="1422" spans="18:19" x14ac:dyDescent="0.25">
      <c r="R1422">
        <v>3435257.6261951686</v>
      </c>
      <c r="S1422">
        <v>0</v>
      </c>
    </row>
    <row r="1423" spans="18:19" x14ac:dyDescent="0.25">
      <c r="R1423">
        <v>3435283.2886960409</v>
      </c>
      <c r="S1423">
        <v>0</v>
      </c>
    </row>
    <row r="1424" spans="18:19" x14ac:dyDescent="0.25">
      <c r="R1424">
        <v>3435308.9511969131</v>
      </c>
      <c r="S1424">
        <v>0</v>
      </c>
    </row>
    <row r="1425" spans="18:19" x14ac:dyDescent="0.25">
      <c r="R1425">
        <v>3435334.6136977854</v>
      </c>
      <c r="S1425">
        <v>0</v>
      </c>
    </row>
    <row r="1426" spans="18:19" x14ac:dyDescent="0.25">
      <c r="R1426">
        <v>3435360.2761986582</v>
      </c>
      <c r="S1426">
        <v>0</v>
      </c>
    </row>
    <row r="1427" spans="18:19" x14ac:dyDescent="0.25">
      <c r="R1427">
        <v>3435385.9386995304</v>
      </c>
      <c r="S1427">
        <v>0</v>
      </c>
    </row>
    <row r="1428" spans="18:19" x14ac:dyDescent="0.25">
      <c r="R1428">
        <v>3435411.6012004027</v>
      </c>
      <c r="S1428">
        <v>0</v>
      </c>
    </row>
    <row r="1429" spans="18:19" x14ac:dyDescent="0.25">
      <c r="R1429">
        <v>3435437.263701275</v>
      </c>
      <c r="S1429">
        <v>0</v>
      </c>
    </row>
    <row r="1430" spans="18:19" x14ac:dyDescent="0.25">
      <c r="R1430">
        <v>3435462.9262021477</v>
      </c>
      <c r="S1430">
        <v>0</v>
      </c>
    </row>
    <row r="1431" spans="18:19" x14ac:dyDescent="0.25">
      <c r="R1431">
        <v>3435488.58870302</v>
      </c>
      <c r="S1431">
        <v>0</v>
      </c>
    </row>
    <row r="1432" spans="18:19" x14ac:dyDescent="0.25">
      <c r="R1432">
        <v>3435514.2512038923</v>
      </c>
      <c r="S1432">
        <v>0</v>
      </c>
    </row>
    <row r="1433" spans="18:19" x14ac:dyDescent="0.25">
      <c r="R1433">
        <v>3435539.9137047646</v>
      </c>
      <c r="S1433">
        <v>0</v>
      </c>
    </row>
    <row r="1434" spans="18:19" x14ac:dyDescent="0.25">
      <c r="R1434">
        <v>3435565.5762056373</v>
      </c>
      <c r="S1434">
        <v>0</v>
      </c>
    </row>
    <row r="1435" spans="18:19" x14ac:dyDescent="0.25">
      <c r="R1435">
        <v>3435591.2387065096</v>
      </c>
      <c r="S1435">
        <v>0</v>
      </c>
    </row>
    <row r="1436" spans="18:19" x14ac:dyDescent="0.25">
      <c r="R1436">
        <v>3435616.9012073819</v>
      </c>
      <c r="S1436">
        <v>0</v>
      </c>
    </row>
    <row r="1437" spans="18:19" x14ac:dyDescent="0.25">
      <c r="R1437">
        <v>3435642.5637082541</v>
      </c>
      <c r="S1437">
        <v>0</v>
      </c>
    </row>
    <row r="1438" spans="18:19" x14ac:dyDescent="0.25">
      <c r="R1438">
        <v>3435668.2262091264</v>
      </c>
      <c r="S1438">
        <v>0</v>
      </c>
    </row>
    <row r="1439" spans="18:19" x14ac:dyDescent="0.25">
      <c r="R1439">
        <v>3435693.8887099992</v>
      </c>
      <c r="S1439">
        <v>0</v>
      </c>
    </row>
    <row r="1440" spans="18:19" x14ac:dyDescent="0.25">
      <c r="R1440">
        <v>3435719.5512108714</v>
      </c>
      <c r="S1440">
        <v>0</v>
      </c>
    </row>
    <row r="1441" spans="18:19" x14ac:dyDescent="0.25">
      <c r="R1441">
        <v>3435745.2137117437</v>
      </c>
      <c r="S1441">
        <v>0</v>
      </c>
    </row>
    <row r="1442" spans="18:19" x14ac:dyDescent="0.25">
      <c r="R1442">
        <v>3435770.876212616</v>
      </c>
      <c r="S1442">
        <v>0</v>
      </c>
    </row>
    <row r="1443" spans="18:19" x14ac:dyDescent="0.25">
      <c r="R1443">
        <v>3435796.5387134887</v>
      </c>
      <c r="S1443">
        <v>0</v>
      </c>
    </row>
    <row r="1444" spans="18:19" x14ac:dyDescent="0.25">
      <c r="R1444">
        <v>3435822.201214361</v>
      </c>
      <c r="S1444">
        <v>0</v>
      </c>
    </row>
    <row r="1445" spans="18:19" x14ac:dyDescent="0.25">
      <c r="R1445">
        <v>3435847.8637152333</v>
      </c>
      <c r="S1445">
        <v>0</v>
      </c>
    </row>
    <row r="1446" spans="18:19" x14ac:dyDescent="0.25">
      <c r="R1446">
        <v>3435873.5262161056</v>
      </c>
      <c r="S1446">
        <v>0</v>
      </c>
    </row>
    <row r="1447" spans="18:19" x14ac:dyDescent="0.25">
      <c r="R1447">
        <v>3435899.1887169783</v>
      </c>
      <c r="S1447">
        <v>0</v>
      </c>
    </row>
    <row r="1448" spans="18:19" x14ac:dyDescent="0.25">
      <c r="R1448">
        <v>3435924.8512178506</v>
      </c>
      <c r="S1448">
        <v>0</v>
      </c>
    </row>
    <row r="1449" spans="18:19" x14ac:dyDescent="0.25">
      <c r="R1449">
        <v>3435950.5137187229</v>
      </c>
      <c r="S1449">
        <v>0</v>
      </c>
    </row>
    <row r="1450" spans="18:19" x14ac:dyDescent="0.25">
      <c r="R1450">
        <v>3435976.1762195951</v>
      </c>
      <c r="S1450">
        <v>0</v>
      </c>
    </row>
    <row r="1451" spans="18:19" x14ac:dyDescent="0.25">
      <c r="R1451">
        <v>3436001.8387204679</v>
      </c>
      <c r="S1451">
        <v>0</v>
      </c>
    </row>
    <row r="1452" spans="18:19" x14ac:dyDescent="0.25">
      <c r="R1452">
        <v>3436027.5012213401</v>
      </c>
      <c r="S1452">
        <v>0</v>
      </c>
    </row>
    <row r="1453" spans="18:19" x14ac:dyDescent="0.25">
      <c r="R1453">
        <v>3436053.1637222124</v>
      </c>
      <c r="S1453">
        <v>0</v>
      </c>
    </row>
    <row r="1454" spans="18:19" x14ac:dyDescent="0.25">
      <c r="R1454">
        <v>3436078.8262230847</v>
      </c>
      <c r="S1454">
        <v>0</v>
      </c>
    </row>
    <row r="1455" spans="18:19" x14ac:dyDescent="0.25">
      <c r="R1455">
        <v>3436104.488723957</v>
      </c>
      <c r="S1455">
        <v>0</v>
      </c>
    </row>
    <row r="1456" spans="18:19" x14ac:dyDescent="0.25">
      <c r="R1456">
        <v>3436130.1512248297</v>
      </c>
      <c r="S1456">
        <v>0</v>
      </c>
    </row>
    <row r="1457" spans="18:19" x14ac:dyDescent="0.25">
      <c r="R1457">
        <v>3436155.813725702</v>
      </c>
      <c r="S1457">
        <v>0</v>
      </c>
    </row>
    <row r="1458" spans="18:19" x14ac:dyDescent="0.25">
      <c r="R1458">
        <v>3436181.4762265743</v>
      </c>
      <c r="S1458">
        <v>0</v>
      </c>
    </row>
    <row r="1459" spans="18:19" x14ac:dyDescent="0.25">
      <c r="R1459">
        <v>3436207.1387274466</v>
      </c>
      <c r="S1459">
        <v>0</v>
      </c>
    </row>
    <row r="1460" spans="18:19" x14ac:dyDescent="0.25">
      <c r="R1460">
        <v>3436232.8012283193</v>
      </c>
      <c r="S1460">
        <v>0</v>
      </c>
    </row>
    <row r="1461" spans="18:19" x14ac:dyDescent="0.25">
      <c r="R1461">
        <v>3436258.4637291916</v>
      </c>
      <c r="S1461">
        <v>0</v>
      </c>
    </row>
    <row r="1462" spans="18:19" x14ac:dyDescent="0.25">
      <c r="R1462">
        <v>3436284.1262300638</v>
      </c>
      <c r="S1462">
        <v>0</v>
      </c>
    </row>
    <row r="1463" spans="18:19" x14ac:dyDescent="0.25">
      <c r="R1463">
        <v>3436309.7887309361</v>
      </c>
      <c r="S1463">
        <v>0</v>
      </c>
    </row>
    <row r="1464" spans="18:19" x14ac:dyDescent="0.25">
      <c r="R1464">
        <v>3436335.4512318089</v>
      </c>
      <c r="S1464">
        <v>0</v>
      </c>
    </row>
    <row r="1465" spans="18:19" x14ac:dyDescent="0.25">
      <c r="R1465">
        <v>3436361.1137326811</v>
      </c>
      <c r="S1465">
        <v>0</v>
      </c>
    </row>
    <row r="1466" spans="18:19" x14ac:dyDescent="0.25">
      <c r="R1466">
        <v>3436386.7762335534</v>
      </c>
      <c r="S1466">
        <v>0</v>
      </c>
    </row>
    <row r="1467" spans="18:19" x14ac:dyDescent="0.25">
      <c r="R1467">
        <v>3436412.4387344257</v>
      </c>
      <c r="S1467">
        <v>0</v>
      </c>
    </row>
    <row r="1468" spans="18:19" x14ac:dyDescent="0.25">
      <c r="R1468">
        <v>3436438.1012352984</v>
      </c>
      <c r="S1468">
        <v>0</v>
      </c>
    </row>
    <row r="1469" spans="18:19" x14ac:dyDescent="0.25">
      <c r="R1469">
        <v>3436463.7637361707</v>
      </c>
      <c r="S1469">
        <v>0</v>
      </c>
    </row>
    <row r="1470" spans="18:19" x14ac:dyDescent="0.25">
      <c r="R1470">
        <v>3436489.426237043</v>
      </c>
      <c r="S1470">
        <v>0</v>
      </c>
    </row>
    <row r="1471" spans="18:19" x14ac:dyDescent="0.25">
      <c r="R1471">
        <v>3436515.0887379153</v>
      </c>
      <c r="S1471">
        <v>0</v>
      </c>
    </row>
    <row r="1472" spans="18:19" x14ac:dyDescent="0.25">
      <c r="R1472">
        <v>3436540.7512387875</v>
      </c>
      <c r="S1472">
        <v>0</v>
      </c>
    </row>
    <row r="1473" spans="18:19" x14ac:dyDescent="0.25">
      <c r="R1473">
        <v>3436566.4137396603</v>
      </c>
      <c r="S1473">
        <v>0</v>
      </c>
    </row>
    <row r="1474" spans="18:19" x14ac:dyDescent="0.25">
      <c r="R1474">
        <v>3436592.0762405326</v>
      </c>
      <c r="S1474">
        <v>0</v>
      </c>
    </row>
    <row r="1475" spans="18:19" x14ac:dyDescent="0.25">
      <c r="R1475">
        <v>3436617.7387414048</v>
      </c>
      <c r="S1475">
        <v>0</v>
      </c>
    </row>
    <row r="1476" spans="18:19" x14ac:dyDescent="0.25">
      <c r="R1476">
        <v>3436643.4012422771</v>
      </c>
      <c r="S1476">
        <v>0</v>
      </c>
    </row>
    <row r="1477" spans="18:19" x14ac:dyDescent="0.25">
      <c r="R1477">
        <v>3436669.0637431499</v>
      </c>
      <c r="S1477">
        <v>0</v>
      </c>
    </row>
    <row r="1478" spans="18:19" x14ac:dyDescent="0.25">
      <c r="R1478">
        <v>3436694.7262440221</v>
      </c>
      <c r="S1478">
        <v>0</v>
      </c>
    </row>
    <row r="1479" spans="18:19" x14ac:dyDescent="0.25">
      <c r="R1479">
        <v>3436720.3887448944</v>
      </c>
      <c r="S1479">
        <v>0</v>
      </c>
    </row>
    <row r="1480" spans="18:19" x14ac:dyDescent="0.25">
      <c r="R1480">
        <v>3436746.0512457667</v>
      </c>
      <c r="S1480">
        <v>0</v>
      </c>
    </row>
    <row r="1481" spans="18:19" x14ac:dyDescent="0.25">
      <c r="R1481">
        <v>3436771.7137466394</v>
      </c>
      <c r="S1481">
        <v>0</v>
      </c>
    </row>
    <row r="1482" spans="18:19" x14ac:dyDescent="0.25">
      <c r="R1482">
        <v>3436797.3762475117</v>
      </c>
      <c r="S1482">
        <v>0</v>
      </c>
    </row>
    <row r="1483" spans="18:19" x14ac:dyDescent="0.25">
      <c r="R1483">
        <v>3436823.038748384</v>
      </c>
      <c r="S1483">
        <v>0</v>
      </c>
    </row>
    <row r="1484" spans="18:19" x14ac:dyDescent="0.25">
      <c r="R1484">
        <v>3436848.7012492563</v>
      </c>
      <c r="S1484">
        <v>0</v>
      </c>
    </row>
    <row r="1485" spans="18:19" x14ac:dyDescent="0.25">
      <c r="R1485">
        <v>3436874.363750129</v>
      </c>
      <c r="S1485">
        <v>0</v>
      </c>
    </row>
    <row r="1486" spans="18:19" x14ac:dyDescent="0.25">
      <c r="R1486">
        <v>3436900.0262510013</v>
      </c>
      <c r="S1486">
        <v>0</v>
      </c>
    </row>
    <row r="1487" spans="18:19" x14ac:dyDescent="0.25">
      <c r="R1487">
        <v>3436925.6887518736</v>
      </c>
      <c r="S1487">
        <v>0</v>
      </c>
    </row>
    <row r="1488" spans="18:19" x14ac:dyDescent="0.25">
      <c r="R1488">
        <v>3436951.3512527458</v>
      </c>
      <c r="S1488">
        <v>0</v>
      </c>
    </row>
    <row r="1489" spans="18:19" x14ac:dyDescent="0.25">
      <c r="R1489">
        <v>3436977.0137536181</v>
      </c>
      <c r="S1489">
        <v>0</v>
      </c>
    </row>
    <row r="1490" spans="18:19" x14ac:dyDescent="0.25">
      <c r="R1490">
        <v>3437002.6762544909</v>
      </c>
      <c r="S1490">
        <v>0</v>
      </c>
    </row>
    <row r="1491" spans="18:19" x14ac:dyDescent="0.25">
      <c r="R1491">
        <v>3437028.3387553631</v>
      </c>
      <c r="S1491">
        <v>0</v>
      </c>
    </row>
    <row r="1492" spans="18:19" x14ac:dyDescent="0.25">
      <c r="R1492">
        <v>3437054.0012562354</v>
      </c>
      <c r="S1492">
        <v>0</v>
      </c>
    </row>
    <row r="1493" spans="18:19" x14ac:dyDescent="0.25">
      <c r="R1493">
        <v>3437079.6637571077</v>
      </c>
      <c r="S1493">
        <v>0</v>
      </c>
    </row>
    <row r="1494" spans="18:19" x14ac:dyDescent="0.25">
      <c r="R1494">
        <v>3437105.3262579804</v>
      </c>
      <c r="S1494">
        <v>0</v>
      </c>
    </row>
    <row r="1495" spans="18:19" x14ac:dyDescent="0.25">
      <c r="R1495">
        <v>3437130.9887588527</v>
      </c>
      <c r="S1495">
        <v>0</v>
      </c>
    </row>
    <row r="1496" spans="18:19" x14ac:dyDescent="0.25">
      <c r="R1496">
        <v>3437156.651259725</v>
      </c>
      <c r="S1496">
        <v>0</v>
      </c>
    </row>
    <row r="1497" spans="18:19" x14ac:dyDescent="0.25">
      <c r="R1497">
        <v>3437182.3137605973</v>
      </c>
      <c r="S1497">
        <v>0</v>
      </c>
    </row>
    <row r="1498" spans="18:19" x14ac:dyDescent="0.25">
      <c r="R1498">
        <v>3437207.97626147</v>
      </c>
      <c r="S1498">
        <v>0</v>
      </c>
    </row>
    <row r="1499" spans="18:19" x14ac:dyDescent="0.25">
      <c r="R1499">
        <v>3437233.6387623423</v>
      </c>
      <c r="S1499">
        <v>0</v>
      </c>
    </row>
    <row r="1500" spans="18:19" x14ac:dyDescent="0.25">
      <c r="R1500">
        <v>3437259.3012632146</v>
      </c>
      <c r="S1500">
        <v>0</v>
      </c>
    </row>
    <row r="1501" spans="18:19" x14ac:dyDescent="0.25">
      <c r="R1501">
        <v>3437284.9637640868</v>
      </c>
      <c r="S1501">
        <v>0</v>
      </c>
    </row>
    <row r="1502" spans="18:19" x14ac:dyDescent="0.25">
      <c r="R1502">
        <v>3437310.6262649591</v>
      </c>
      <c r="S1502">
        <v>0</v>
      </c>
    </row>
    <row r="1503" spans="18:19" x14ac:dyDescent="0.25">
      <c r="R1503">
        <v>3437336.2887658319</v>
      </c>
      <c r="S1503">
        <v>0</v>
      </c>
    </row>
    <row r="1504" spans="18:19" x14ac:dyDescent="0.25">
      <c r="R1504">
        <v>3437361.9512667041</v>
      </c>
      <c r="S1504">
        <v>0</v>
      </c>
    </row>
    <row r="1505" spans="18:19" x14ac:dyDescent="0.25">
      <c r="R1505">
        <v>3437387.6137675764</v>
      </c>
      <c r="S1505">
        <v>0</v>
      </c>
    </row>
    <row r="1506" spans="18:19" x14ac:dyDescent="0.25">
      <c r="R1506">
        <v>3437413.2762684487</v>
      </c>
      <c r="S1506">
        <v>0</v>
      </c>
    </row>
    <row r="1507" spans="18:19" x14ac:dyDescent="0.25">
      <c r="R1507">
        <v>3437438.9387693214</v>
      </c>
      <c r="S1507">
        <v>0</v>
      </c>
    </row>
    <row r="1508" spans="18:19" x14ac:dyDescent="0.25">
      <c r="R1508">
        <v>3437464.6012701937</v>
      </c>
      <c r="S1508">
        <v>0</v>
      </c>
    </row>
    <row r="1509" spans="18:19" x14ac:dyDescent="0.25">
      <c r="R1509">
        <v>3437490.263771066</v>
      </c>
      <c r="S1509">
        <v>0</v>
      </c>
    </row>
    <row r="1510" spans="18:19" x14ac:dyDescent="0.25">
      <c r="R1510">
        <v>3437515.9262719383</v>
      </c>
      <c r="S1510">
        <v>0</v>
      </c>
    </row>
    <row r="1511" spans="18:19" x14ac:dyDescent="0.25">
      <c r="R1511">
        <v>3437541.588772811</v>
      </c>
      <c r="S1511">
        <v>0</v>
      </c>
    </row>
    <row r="1512" spans="18:19" x14ac:dyDescent="0.25">
      <c r="R1512">
        <v>3437567.2512736833</v>
      </c>
      <c r="S1512">
        <v>0</v>
      </c>
    </row>
    <row r="1513" spans="18:19" x14ac:dyDescent="0.25">
      <c r="R1513">
        <v>3437592.9137745555</v>
      </c>
      <c r="S1513">
        <v>0</v>
      </c>
    </row>
    <row r="1514" spans="18:19" x14ac:dyDescent="0.25">
      <c r="R1514">
        <v>3437618.5762754278</v>
      </c>
      <c r="S1514">
        <v>0</v>
      </c>
    </row>
    <row r="1515" spans="18:19" x14ac:dyDescent="0.25">
      <c r="R1515">
        <v>3437644.2387763006</v>
      </c>
      <c r="S1515">
        <v>0</v>
      </c>
    </row>
    <row r="1516" spans="18:19" x14ac:dyDescent="0.25">
      <c r="R1516">
        <v>3437669.9012771728</v>
      </c>
      <c r="S1516">
        <v>0</v>
      </c>
    </row>
    <row r="1517" spans="18:19" x14ac:dyDescent="0.25">
      <c r="R1517">
        <v>3437695.5637780451</v>
      </c>
      <c r="S1517">
        <v>0</v>
      </c>
    </row>
    <row r="1518" spans="18:19" x14ac:dyDescent="0.25">
      <c r="R1518">
        <v>3437721.2262789174</v>
      </c>
      <c r="S1518">
        <v>0</v>
      </c>
    </row>
    <row r="1519" spans="18:19" x14ac:dyDescent="0.25">
      <c r="R1519">
        <v>3437746.8887797897</v>
      </c>
      <c r="S1519">
        <v>0</v>
      </c>
    </row>
    <row r="1520" spans="18:19" x14ac:dyDescent="0.25">
      <c r="R1520">
        <v>3437772.5512806624</v>
      </c>
      <c r="S1520">
        <v>0</v>
      </c>
    </row>
    <row r="1521" spans="18:19" x14ac:dyDescent="0.25">
      <c r="R1521">
        <v>3437798.2137815347</v>
      </c>
      <c r="S1521">
        <v>0</v>
      </c>
    </row>
    <row r="1522" spans="18:19" x14ac:dyDescent="0.25">
      <c r="R1522">
        <v>3437823.876282407</v>
      </c>
      <c r="S1522">
        <v>0</v>
      </c>
    </row>
    <row r="1523" spans="18:19" x14ac:dyDescent="0.25">
      <c r="R1523">
        <v>3437849.5387832792</v>
      </c>
      <c r="S1523">
        <v>0</v>
      </c>
    </row>
    <row r="1524" spans="18:19" x14ac:dyDescent="0.25">
      <c r="R1524">
        <v>3437875.201284152</v>
      </c>
      <c r="S1524">
        <v>0</v>
      </c>
    </row>
    <row r="1525" spans="18:19" x14ac:dyDescent="0.25">
      <c r="R1525">
        <v>3437900.8637850243</v>
      </c>
      <c r="S1525">
        <v>0</v>
      </c>
    </row>
    <row r="1526" spans="18:19" x14ac:dyDescent="0.25">
      <c r="R1526">
        <v>3437926.5262858965</v>
      </c>
      <c r="S1526">
        <v>0</v>
      </c>
    </row>
    <row r="1527" spans="18:19" x14ac:dyDescent="0.25">
      <c r="R1527">
        <v>3437952.1887867688</v>
      </c>
      <c r="S1527">
        <v>0</v>
      </c>
    </row>
    <row r="1528" spans="18:19" x14ac:dyDescent="0.25">
      <c r="R1528">
        <v>3437977.8512876416</v>
      </c>
      <c r="S1528">
        <v>0</v>
      </c>
    </row>
    <row r="1529" spans="18:19" x14ac:dyDescent="0.25">
      <c r="R1529">
        <v>3438003.5137885138</v>
      </c>
      <c r="S1529">
        <v>0</v>
      </c>
    </row>
    <row r="1530" spans="18:19" x14ac:dyDescent="0.25">
      <c r="R1530">
        <v>3438029.1762893861</v>
      </c>
      <c r="S1530">
        <v>0</v>
      </c>
    </row>
    <row r="1531" spans="18:19" x14ac:dyDescent="0.25">
      <c r="R1531">
        <v>3438054.8387902584</v>
      </c>
      <c r="S1531">
        <v>0</v>
      </c>
    </row>
    <row r="1532" spans="18:19" x14ac:dyDescent="0.25">
      <c r="R1532">
        <v>3438080.5012911311</v>
      </c>
      <c r="S1532">
        <v>0</v>
      </c>
    </row>
    <row r="1533" spans="18:19" x14ac:dyDescent="0.25">
      <c r="R1533">
        <v>3438106.1637920034</v>
      </c>
      <c r="S1533">
        <v>0</v>
      </c>
    </row>
    <row r="1534" spans="18:19" x14ac:dyDescent="0.25">
      <c r="R1534">
        <v>3438131.8262928757</v>
      </c>
      <c r="S1534">
        <v>0</v>
      </c>
    </row>
    <row r="1535" spans="18:19" x14ac:dyDescent="0.25">
      <c r="R1535">
        <v>3438157.488793748</v>
      </c>
      <c r="S1535">
        <v>0</v>
      </c>
    </row>
    <row r="1536" spans="18:19" x14ac:dyDescent="0.25">
      <c r="R1536">
        <v>3438183.1512946202</v>
      </c>
      <c r="S1536">
        <v>0</v>
      </c>
    </row>
    <row r="1537" spans="18:19" x14ac:dyDescent="0.25">
      <c r="R1537">
        <v>3438208.813795493</v>
      </c>
      <c r="S1537">
        <v>0</v>
      </c>
    </row>
    <row r="1538" spans="18:19" x14ac:dyDescent="0.25">
      <c r="R1538">
        <v>3438234.4762963653</v>
      </c>
      <c r="S1538">
        <v>0</v>
      </c>
    </row>
    <row r="1539" spans="18:19" x14ac:dyDescent="0.25">
      <c r="R1539">
        <v>3438260.1387972375</v>
      </c>
      <c r="S1539">
        <v>0</v>
      </c>
    </row>
    <row r="1540" spans="18:19" x14ac:dyDescent="0.25">
      <c r="R1540">
        <v>3438285.8012981098</v>
      </c>
      <c r="S1540">
        <v>0</v>
      </c>
    </row>
    <row r="1541" spans="18:19" x14ac:dyDescent="0.25">
      <c r="R1541">
        <v>3438311.4637989826</v>
      </c>
      <c r="S1541">
        <v>0</v>
      </c>
    </row>
    <row r="1542" spans="18:19" x14ac:dyDescent="0.25">
      <c r="R1542">
        <v>3438337.1262998548</v>
      </c>
      <c r="S1542">
        <v>0</v>
      </c>
    </row>
    <row r="1543" spans="18:19" x14ac:dyDescent="0.25">
      <c r="R1543">
        <v>3438362.7888007271</v>
      </c>
      <c r="S1543">
        <v>0</v>
      </c>
    </row>
    <row r="1544" spans="18:19" x14ac:dyDescent="0.25">
      <c r="R1544">
        <v>3438388.4513015994</v>
      </c>
      <c r="S1544">
        <v>0</v>
      </c>
    </row>
    <row r="1545" spans="18:19" x14ac:dyDescent="0.25">
      <c r="R1545">
        <v>3438414.1138024721</v>
      </c>
      <c r="S1545">
        <v>0</v>
      </c>
    </row>
    <row r="1546" spans="18:19" x14ac:dyDescent="0.25">
      <c r="R1546">
        <v>3438439.7763033444</v>
      </c>
      <c r="S1546">
        <v>0</v>
      </c>
    </row>
    <row r="1547" spans="18:19" x14ac:dyDescent="0.25">
      <c r="R1547">
        <v>3438465.4388042167</v>
      </c>
      <c r="S1547">
        <v>0</v>
      </c>
    </row>
    <row r="1548" spans="18:19" x14ac:dyDescent="0.25">
      <c r="R1548">
        <v>3438491.101305089</v>
      </c>
      <c r="S1548">
        <v>0</v>
      </c>
    </row>
    <row r="1549" spans="18:19" x14ac:dyDescent="0.25">
      <c r="R1549">
        <v>3438516.7638059617</v>
      </c>
      <c r="S1549">
        <v>0</v>
      </c>
    </row>
    <row r="1550" spans="18:19" x14ac:dyDescent="0.25">
      <c r="R1550">
        <v>3438542.426306834</v>
      </c>
      <c r="S1550">
        <v>0</v>
      </c>
    </row>
    <row r="1551" spans="18:19" x14ac:dyDescent="0.25">
      <c r="R1551">
        <v>3438568.0888077063</v>
      </c>
      <c r="S1551">
        <v>0</v>
      </c>
    </row>
    <row r="1552" spans="18:19" x14ac:dyDescent="0.25">
      <c r="R1552">
        <v>3438593.7513085785</v>
      </c>
      <c r="S1552">
        <v>0</v>
      </c>
    </row>
    <row r="1553" spans="18:19" x14ac:dyDescent="0.25">
      <c r="R1553">
        <v>3438619.4138094508</v>
      </c>
      <c r="S1553">
        <v>0</v>
      </c>
    </row>
    <row r="1554" spans="18:19" x14ac:dyDescent="0.25">
      <c r="R1554">
        <v>3438645.0763103236</v>
      </c>
      <c r="S1554">
        <v>0</v>
      </c>
    </row>
    <row r="1555" spans="18:19" x14ac:dyDescent="0.25">
      <c r="R1555">
        <v>3438670.7388111958</v>
      </c>
      <c r="S1555">
        <v>0</v>
      </c>
    </row>
    <row r="1556" spans="18:19" x14ac:dyDescent="0.25">
      <c r="R1556">
        <v>3438696.4013120681</v>
      </c>
      <c r="S1556">
        <v>0</v>
      </c>
    </row>
    <row r="1557" spans="18:19" x14ac:dyDescent="0.25">
      <c r="R1557">
        <v>3438722.0638129404</v>
      </c>
      <c r="S1557">
        <v>0</v>
      </c>
    </row>
    <row r="1558" spans="18:19" x14ac:dyDescent="0.25">
      <c r="R1558">
        <v>3438747.7263138131</v>
      </c>
      <c r="S1558">
        <v>0</v>
      </c>
    </row>
    <row r="1559" spans="18:19" x14ac:dyDescent="0.25">
      <c r="R1559">
        <v>3438773.3888146854</v>
      </c>
      <c r="S1559">
        <v>0</v>
      </c>
    </row>
    <row r="1560" spans="18:19" x14ac:dyDescent="0.25">
      <c r="R1560">
        <v>3438799.0513155577</v>
      </c>
      <c r="S1560">
        <v>0</v>
      </c>
    </row>
    <row r="1561" spans="18:19" x14ac:dyDescent="0.25">
      <c r="R1561">
        <v>3438824.71381643</v>
      </c>
      <c r="S1561">
        <v>0</v>
      </c>
    </row>
    <row r="1562" spans="18:19" x14ac:dyDescent="0.25">
      <c r="R1562">
        <v>3438850.3763173027</v>
      </c>
      <c r="S1562">
        <v>0</v>
      </c>
    </row>
    <row r="1563" spans="18:19" x14ac:dyDescent="0.25">
      <c r="R1563">
        <v>3438876.038818175</v>
      </c>
      <c r="S1563">
        <v>0</v>
      </c>
    </row>
    <row r="1564" spans="18:19" x14ac:dyDescent="0.25">
      <c r="R1564">
        <v>3438901.7013190472</v>
      </c>
      <c r="S1564">
        <v>0</v>
      </c>
    </row>
    <row r="1565" spans="18:19" x14ac:dyDescent="0.25">
      <c r="R1565">
        <v>3438927.3638199195</v>
      </c>
      <c r="S1565">
        <v>0</v>
      </c>
    </row>
    <row r="1566" spans="18:19" x14ac:dyDescent="0.25">
      <c r="R1566">
        <v>3438953.0263207918</v>
      </c>
      <c r="S1566">
        <v>0</v>
      </c>
    </row>
    <row r="1567" spans="18:19" x14ac:dyDescent="0.25">
      <c r="R1567">
        <v>3438978.6888216645</v>
      </c>
      <c r="S1567">
        <v>0</v>
      </c>
    </row>
    <row r="1568" spans="18:19" x14ac:dyDescent="0.25">
      <c r="R1568">
        <v>3439004.3513225368</v>
      </c>
      <c r="S1568">
        <v>0</v>
      </c>
    </row>
    <row r="1569" spans="18:19" x14ac:dyDescent="0.25">
      <c r="R1569">
        <v>3439030.0138234091</v>
      </c>
      <c r="S1569">
        <v>0</v>
      </c>
    </row>
    <row r="1570" spans="18:19" x14ac:dyDescent="0.25">
      <c r="R1570">
        <v>3439055.6763242814</v>
      </c>
      <c r="S1570">
        <v>0</v>
      </c>
    </row>
    <row r="1571" spans="18:19" x14ac:dyDescent="0.25">
      <c r="R1571">
        <v>3439081.3388251541</v>
      </c>
      <c r="S1571">
        <v>0</v>
      </c>
    </row>
    <row r="1572" spans="18:19" x14ac:dyDescent="0.25">
      <c r="R1572">
        <v>3439107.0013260264</v>
      </c>
      <c r="S1572">
        <v>0</v>
      </c>
    </row>
    <row r="1573" spans="18:19" x14ac:dyDescent="0.25">
      <c r="R1573">
        <v>3439132.6638268987</v>
      </c>
      <c r="S1573">
        <v>0</v>
      </c>
    </row>
    <row r="1574" spans="18:19" x14ac:dyDescent="0.25">
      <c r="R1574">
        <v>3439158.3263277709</v>
      </c>
      <c r="S1574">
        <v>0</v>
      </c>
    </row>
    <row r="1575" spans="18:19" x14ac:dyDescent="0.25">
      <c r="R1575">
        <v>3439183.9888286437</v>
      </c>
      <c r="S1575">
        <v>0</v>
      </c>
    </row>
    <row r="1576" spans="18:19" x14ac:dyDescent="0.25">
      <c r="R1576">
        <v>3439209.651329516</v>
      </c>
      <c r="S1576">
        <v>0</v>
      </c>
    </row>
    <row r="1577" spans="18:19" x14ac:dyDescent="0.25">
      <c r="R1577">
        <v>3439235.3138303882</v>
      </c>
      <c r="S1577">
        <v>0</v>
      </c>
    </row>
    <row r="1578" spans="18:19" x14ac:dyDescent="0.25">
      <c r="R1578">
        <v>3439260.9763312605</v>
      </c>
      <c r="S1578">
        <v>0</v>
      </c>
    </row>
    <row r="1579" spans="18:19" x14ac:dyDescent="0.25">
      <c r="R1579">
        <v>3439286.6388321333</v>
      </c>
      <c r="S1579">
        <v>0</v>
      </c>
    </row>
    <row r="1580" spans="18:19" x14ac:dyDescent="0.25">
      <c r="R1580">
        <v>3439312.3013330055</v>
      </c>
      <c r="S1580">
        <v>0</v>
      </c>
    </row>
    <row r="1581" spans="18:19" x14ac:dyDescent="0.25">
      <c r="R1581">
        <v>3439337.9638338778</v>
      </c>
      <c r="S1581">
        <v>0</v>
      </c>
    </row>
    <row r="1582" spans="18:19" x14ac:dyDescent="0.25">
      <c r="R1582">
        <v>3439363.6263347501</v>
      </c>
      <c r="S1582">
        <v>0</v>
      </c>
    </row>
    <row r="1583" spans="18:19" x14ac:dyDescent="0.25">
      <c r="R1583">
        <v>3439389.2888356224</v>
      </c>
      <c r="S1583">
        <v>0</v>
      </c>
    </row>
    <row r="1584" spans="18:19" x14ac:dyDescent="0.25">
      <c r="R1584">
        <v>3439414.9513364951</v>
      </c>
      <c r="S1584">
        <v>0</v>
      </c>
    </row>
    <row r="1585" spans="18:19" x14ac:dyDescent="0.25">
      <c r="R1585">
        <v>3439440.6138373674</v>
      </c>
      <c r="S1585">
        <v>0</v>
      </c>
    </row>
    <row r="1586" spans="18:19" x14ac:dyDescent="0.25">
      <c r="R1586">
        <v>3439466.2763382397</v>
      </c>
      <c r="S1586">
        <v>0</v>
      </c>
    </row>
    <row r="1587" spans="18:19" x14ac:dyDescent="0.25">
      <c r="R1587">
        <v>3439491.9388391119</v>
      </c>
      <c r="S1587">
        <v>0</v>
      </c>
    </row>
    <row r="1588" spans="18:19" x14ac:dyDescent="0.25">
      <c r="R1588">
        <v>3439517.6013399847</v>
      </c>
      <c r="S1588">
        <v>0</v>
      </c>
    </row>
    <row r="1589" spans="18:19" x14ac:dyDescent="0.25">
      <c r="R1589">
        <v>3439543.263840857</v>
      </c>
      <c r="S1589">
        <v>0</v>
      </c>
    </row>
    <row r="1590" spans="18:19" x14ac:dyDescent="0.25">
      <c r="R1590">
        <v>3439568.9263417292</v>
      </c>
      <c r="S1590">
        <v>0</v>
      </c>
    </row>
    <row r="1591" spans="18:19" x14ac:dyDescent="0.25">
      <c r="R1591">
        <v>3439594.5888426015</v>
      </c>
      <c r="S1591">
        <v>0</v>
      </c>
    </row>
    <row r="1592" spans="18:19" x14ac:dyDescent="0.25">
      <c r="R1592">
        <v>3439620.2513434743</v>
      </c>
      <c r="S1592">
        <v>0</v>
      </c>
    </row>
    <row r="1593" spans="18:19" x14ac:dyDescent="0.25">
      <c r="R1593">
        <v>3439645.9138443465</v>
      </c>
      <c r="S1593">
        <v>0</v>
      </c>
    </row>
    <row r="1594" spans="18:19" x14ac:dyDescent="0.25">
      <c r="R1594">
        <v>3439671.5763452188</v>
      </c>
      <c r="S1594">
        <v>0</v>
      </c>
    </row>
    <row r="1595" spans="18:19" x14ac:dyDescent="0.25">
      <c r="R1595">
        <v>3439697.2388460911</v>
      </c>
      <c r="S1595">
        <v>0</v>
      </c>
    </row>
    <row r="1596" spans="18:19" x14ac:dyDescent="0.25">
      <c r="R1596">
        <v>3439722.9013469638</v>
      </c>
      <c r="S1596">
        <v>0</v>
      </c>
    </row>
    <row r="1597" spans="18:19" x14ac:dyDescent="0.25">
      <c r="R1597">
        <v>3439748.5638478361</v>
      </c>
      <c r="S1597">
        <v>0</v>
      </c>
    </row>
    <row r="1598" spans="18:19" x14ac:dyDescent="0.25">
      <c r="R1598">
        <v>3439774.2263487084</v>
      </c>
      <c r="S1598">
        <v>0</v>
      </c>
    </row>
    <row r="1599" spans="18:19" x14ac:dyDescent="0.25">
      <c r="R1599">
        <v>3439799.8888495807</v>
      </c>
      <c r="S1599">
        <v>0</v>
      </c>
    </row>
    <row r="1600" spans="18:19" x14ac:dyDescent="0.25">
      <c r="R1600">
        <v>3439825.5513504529</v>
      </c>
      <c r="S1600">
        <v>0</v>
      </c>
    </row>
    <row r="1601" spans="18:19" x14ac:dyDescent="0.25">
      <c r="R1601">
        <v>3439851.2138513257</v>
      </c>
      <c r="S1601">
        <v>0</v>
      </c>
    </row>
    <row r="1602" spans="18:19" x14ac:dyDescent="0.25">
      <c r="R1602">
        <v>3439876.876352198</v>
      </c>
      <c r="S1602">
        <v>0</v>
      </c>
    </row>
    <row r="1603" spans="18:19" x14ac:dyDescent="0.25">
      <c r="R1603">
        <v>3439902.5388530702</v>
      </c>
      <c r="S1603">
        <v>0</v>
      </c>
    </row>
    <row r="1604" spans="18:19" x14ac:dyDescent="0.25">
      <c r="R1604">
        <v>3439928.2013539425</v>
      </c>
      <c r="S1604">
        <v>0</v>
      </c>
    </row>
    <row r="1605" spans="18:19" x14ac:dyDescent="0.25">
      <c r="R1605">
        <v>3439953.8638548153</v>
      </c>
      <c r="S1605">
        <v>0</v>
      </c>
    </row>
    <row r="1606" spans="18:19" x14ac:dyDescent="0.25">
      <c r="R1606">
        <v>3439979.5263556875</v>
      </c>
      <c r="S1606">
        <v>0</v>
      </c>
    </row>
    <row r="1607" spans="18:19" x14ac:dyDescent="0.25">
      <c r="R1607">
        <v>3440005.1888565598</v>
      </c>
      <c r="S1607">
        <v>0</v>
      </c>
    </row>
    <row r="1608" spans="18:19" x14ac:dyDescent="0.25">
      <c r="R1608">
        <v>3440030.8513574321</v>
      </c>
      <c r="S1608">
        <v>0</v>
      </c>
    </row>
    <row r="1609" spans="18:19" x14ac:dyDescent="0.25">
      <c r="R1609">
        <v>3440056.5138583048</v>
      </c>
      <c r="S1609">
        <v>0</v>
      </c>
    </row>
    <row r="1610" spans="18:19" x14ac:dyDescent="0.25">
      <c r="R1610">
        <v>3440082.1763591771</v>
      </c>
      <c r="S1610">
        <v>0</v>
      </c>
    </row>
    <row r="1611" spans="18:19" x14ac:dyDescent="0.25">
      <c r="R1611">
        <v>3440107.8388600494</v>
      </c>
      <c r="S1611">
        <v>0</v>
      </c>
    </row>
    <row r="1612" spans="18:19" x14ac:dyDescent="0.25">
      <c r="R1612">
        <v>3440133.5013609217</v>
      </c>
      <c r="S1612">
        <v>0</v>
      </c>
    </row>
    <row r="1613" spans="18:19" x14ac:dyDescent="0.25">
      <c r="R1613">
        <v>3440159.1638617944</v>
      </c>
      <c r="S1613">
        <v>0</v>
      </c>
    </row>
    <row r="1614" spans="18:19" x14ac:dyDescent="0.25">
      <c r="R1614">
        <v>3440184.8263626667</v>
      </c>
      <c r="S1614">
        <v>0</v>
      </c>
    </row>
    <row r="1615" spans="18:19" x14ac:dyDescent="0.25">
      <c r="R1615">
        <v>3440210.488863539</v>
      </c>
      <c r="S1615">
        <v>0</v>
      </c>
    </row>
    <row r="1616" spans="18:19" x14ac:dyDescent="0.25">
      <c r="R1616">
        <v>3440236.1513644112</v>
      </c>
      <c r="S1616">
        <v>0</v>
      </c>
    </row>
    <row r="1617" spans="18:19" x14ac:dyDescent="0.25">
      <c r="R1617">
        <v>3440261.8138652835</v>
      </c>
      <c r="S1617">
        <v>0</v>
      </c>
    </row>
    <row r="1618" spans="18:19" x14ac:dyDescent="0.25">
      <c r="R1618">
        <v>3440287.4763661562</v>
      </c>
      <c r="S1618">
        <v>0</v>
      </c>
    </row>
    <row r="1619" spans="18:19" x14ac:dyDescent="0.25">
      <c r="R1619">
        <v>3440313.1388670285</v>
      </c>
      <c r="S1619">
        <v>0</v>
      </c>
    </row>
    <row r="1620" spans="18:19" x14ac:dyDescent="0.25">
      <c r="R1620">
        <v>3440338.8013679008</v>
      </c>
      <c r="S1620">
        <v>0</v>
      </c>
    </row>
    <row r="1621" spans="18:19" x14ac:dyDescent="0.25">
      <c r="R1621">
        <v>3440364.4638687731</v>
      </c>
      <c r="S1621">
        <v>0</v>
      </c>
    </row>
    <row r="1622" spans="18:19" x14ac:dyDescent="0.25">
      <c r="R1622">
        <v>3440390.1263696458</v>
      </c>
      <c r="S1622">
        <v>0</v>
      </c>
    </row>
    <row r="1623" spans="18:19" x14ac:dyDescent="0.25">
      <c r="R1623">
        <v>3440415.7888705181</v>
      </c>
      <c r="S1623">
        <v>0</v>
      </c>
    </row>
    <row r="1624" spans="18:19" x14ac:dyDescent="0.25">
      <c r="R1624">
        <v>3440441.4513713904</v>
      </c>
      <c r="S1624">
        <v>0</v>
      </c>
    </row>
    <row r="1625" spans="18:19" x14ac:dyDescent="0.25">
      <c r="R1625">
        <v>3440467.1138722626</v>
      </c>
      <c r="S1625">
        <v>0</v>
      </c>
    </row>
    <row r="1626" spans="18:19" x14ac:dyDescent="0.25">
      <c r="R1626">
        <v>3440492.7763731354</v>
      </c>
      <c r="S1626">
        <v>0</v>
      </c>
    </row>
    <row r="1627" spans="18:19" x14ac:dyDescent="0.25">
      <c r="R1627">
        <v>3440518.4388740077</v>
      </c>
      <c r="S1627">
        <v>0</v>
      </c>
    </row>
    <row r="1628" spans="18:19" x14ac:dyDescent="0.25">
      <c r="R1628">
        <v>3440544.1013748799</v>
      </c>
      <c r="S1628">
        <v>0</v>
      </c>
    </row>
    <row r="1629" spans="18:19" x14ac:dyDescent="0.25">
      <c r="R1629">
        <v>3440569.7638757522</v>
      </c>
      <c r="S1629">
        <v>0</v>
      </c>
    </row>
    <row r="1630" spans="18:19" x14ac:dyDescent="0.25">
      <c r="R1630">
        <v>3440595.4263766245</v>
      </c>
      <c r="S1630">
        <v>0</v>
      </c>
    </row>
    <row r="1631" spans="18:19" x14ac:dyDescent="0.25">
      <c r="R1631">
        <v>3440621.0888774972</v>
      </c>
      <c r="S1631">
        <v>0</v>
      </c>
    </row>
    <row r="1632" spans="18:19" x14ac:dyDescent="0.25">
      <c r="R1632">
        <v>3440646.7513783695</v>
      </c>
      <c r="S1632">
        <v>0</v>
      </c>
    </row>
    <row r="1633" spans="18:19" x14ac:dyDescent="0.25">
      <c r="R1633">
        <v>3440672.4138792418</v>
      </c>
      <c r="S1633">
        <v>0</v>
      </c>
    </row>
    <row r="1634" spans="18:19" x14ac:dyDescent="0.25">
      <c r="R1634">
        <v>3440698.0763801141</v>
      </c>
      <c r="S1634">
        <v>0</v>
      </c>
    </row>
    <row r="1635" spans="18:19" x14ac:dyDescent="0.25">
      <c r="R1635">
        <v>3440723.7388809868</v>
      </c>
      <c r="S1635">
        <v>0</v>
      </c>
    </row>
    <row r="1636" spans="18:19" x14ac:dyDescent="0.25">
      <c r="R1636">
        <v>3440749.4013818591</v>
      </c>
      <c r="S1636">
        <v>0</v>
      </c>
    </row>
    <row r="1637" spans="18:19" x14ac:dyDescent="0.25">
      <c r="R1637">
        <v>3440775.0638827314</v>
      </c>
      <c r="S1637">
        <v>0</v>
      </c>
    </row>
    <row r="1638" spans="18:19" x14ac:dyDescent="0.25">
      <c r="R1638">
        <v>3440800.7263836036</v>
      </c>
      <c r="S1638">
        <v>0</v>
      </c>
    </row>
    <row r="1639" spans="18:19" x14ac:dyDescent="0.25">
      <c r="R1639">
        <v>3440826.3888844764</v>
      </c>
      <c r="S1639">
        <v>0</v>
      </c>
    </row>
    <row r="1640" spans="18:19" x14ac:dyDescent="0.25">
      <c r="R1640">
        <v>3440852.0513853487</v>
      </c>
      <c r="S1640">
        <v>0</v>
      </c>
    </row>
    <row r="1641" spans="18:19" x14ac:dyDescent="0.25">
      <c r="R1641">
        <v>3440877.7138862209</v>
      </c>
      <c r="S1641">
        <v>0</v>
      </c>
    </row>
    <row r="1642" spans="18:19" x14ac:dyDescent="0.25">
      <c r="R1642">
        <v>3440903.3763870932</v>
      </c>
      <c r="S1642">
        <v>0</v>
      </c>
    </row>
    <row r="1643" spans="18:19" x14ac:dyDescent="0.25">
      <c r="R1643">
        <v>3440929.038887966</v>
      </c>
      <c r="S1643">
        <v>0</v>
      </c>
    </row>
    <row r="1644" spans="18:19" x14ac:dyDescent="0.25">
      <c r="R1644">
        <v>3440954.7013888382</v>
      </c>
      <c r="S1644">
        <v>0</v>
      </c>
    </row>
    <row r="1645" spans="18:19" x14ac:dyDescent="0.25">
      <c r="R1645">
        <v>3440980.3638897105</v>
      </c>
      <c r="S1645">
        <v>0</v>
      </c>
    </row>
    <row r="1646" spans="18:19" x14ac:dyDescent="0.25">
      <c r="R1646">
        <v>3441006.0263905828</v>
      </c>
      <c r="S1646">
        <v>0</v>
      </c>
    </row>
    <row r="1647" spans="18:19" x14ac:dyDescent="0.25">
      <c r="R1647">
        <v>3441031.6888914551</v>
      </c>
      <c r="S1647">
        <v>0</v>
      </c>
    </row>
    <row r="1648" spans="18:19" x14ac:dyDescent="0.25">
      <c r="R1648">
        <v>3441057.3513923278</v>
      </c>
      <c r="S1648">
        <v>0</v>
      </c>
    </row>
    <row r="1649" spans="18:19" x14ac:dyDescent="0.25">
      <c r="R1649">
        <v>3441083.0138932001</v>
      </c>
      <c r="S1649">
        <v>0</v>
      </c>
    </row>
    <row r="1650" spans="18:19" x14ac:dyDescent="0.25">
      <c r="R1650">
        <v>3441108.6763940724</v>
      </c>
      <c r="S1650">
        <v>0</v>
      </c>
    </row>
    <row r="1651" spans="18:19" x14ac:dyDescent="0.25">
      <c r="R1651">
        <v>3441134.3388949446</v>
      </c>
      <c r="S1651">
        <v>0</v>
      </c>
    </row>
    <row r="1652" spans="18:19" x14ac:dyDescent="0.25">
      <c r="R1652">
        <v>3441160.0013958174</v>
      </c>
      <c r="S1652">
        <v>0</v>
      </c>
    </row>
    <row r="1653" spans="18:19" x14ac:dyDescent="0.25">
      <c r="R1653">
        <v>3441185.6638966897</v>
      </c>
      <c r="S1653">
        <v>0</v>
      </c>
    </row>
    <row r="1654" spans="18:19" x14ac:dyDescent="0.25">
      <c r="R1654">
        <v>3441211.3263975619</v>
      </c>
      <c r="S1654">
        <v>0</v>
      </c>
    </row>
    <row r="1655" spans="18:19" x14ac:dyDescent="0.25">
      <c r="R1655">
        <v>3441236.9888984342</v>
      </c>
      <c r="S1655">
        <v>0</v>
      </c>
    </row>
    <row r="1656" spans="18:19" x14ac:dyDescent="0.25">
      <c r="R1656">
        <v>3441262.651399307</v>
      </c>
      <c r="S1656">
        <v>0</v>
      </c>
    </row>
    <row r="1657" spans="18:19" x14ac:dyDescent="0.25">
      <c r="R1657">
        <v>3441288.3139001792</v>
      </c>
      <c r="S1657">
        <v>0</v>
      </c>
    </row>
    <row r="1658" spans="18:19" x14ac:dyDescent="0.25">
      <c r="R1658">
        <v>3441313.9764010515</v>
      </c>
      <c r="S1658">
        <v>0</v>
      </c>
    </row>
    <row r="1659" spans="18:19" x14ac:dyDescent="0.25">
      <c r="R1659">
        <v>3441339.6389019238</v>
      </c>
      <c r="S1659">
        <v>0</v>
      </c>
    </row>
    <row r="1660" spans="18:19" x14ac:dyDescent="0.25">
      <c r="R1660">
        <v>3441365.3014027965</v>
      </c>
      <c r="S1660">
        <v>0</v>
      </c>
    </row>
    <row r="1661" spans="18:19" x14ac:dyDescent="0.25">
      <c r="R1661">
        <v>3441390.9639036688</v>
      </c>
      <c r="S1661">
        <v>0</v>
      </c>
    </row>
    <row r="1662" spans="18:19" x14ac:dyDescent="0.25">
      <c r="R1662">
        <v>3441416.6264045411</v>
      </c>
      <c r="S1662">
        <v>0</v>
      </c>
    </row>
    <row r="1663" spans="18:19" x14ac:dyDescent="0.25">
      <c r="R1663">
        <v>3441442.2889054134</v>
      </c>
      <c r="S1663">
        <v>0</v>
      </c>
    </row>
    <row r="1664" spans="18:19" x14ac:dyDescent="0.25">
      <c r="R1664">
        <v>3441467.9514062856</v>
      </c>
      <c r="S1664">
        <v>0</v>
      </c>
    </row>
    <row r="1665" spans="18:19" x14ac:dyDescent="0.25">
      <c r="R1665">
        <v>3441493.6139071584</v>
      </c>
      <c r="S1665">
        <v>0</v>
      </c>
    </row>
    <row r="1666" spans="18:19" x14ac:dyDescent="0.25">
      <c r="R1666">
        <v>3441519.2764080307</v>
      </c>
      <c r="S1666">
        <v>0</v>
      </c>
    </row>
    <row r="1667" spans="18:19" x14ac:dyDescent="0.25">
      <c r="R1667">
        <v>3441544.9389089029</v>
      </c>
      <c r="S1667">
        <v>0</v>
      </c>
    </row>
    <row r="1668" spans="18:19" x14ac:dyDescent="0.25">
      <c r="R1668">
        <v>3441570.6014097752</v>
      </c>
      <c r="S1668">
        <v>0</v>
      </c>
    </row>
    <row r="1669" spans="18:19" x14ac:dyDescent="0.25">
      <c r="R1669">
        <v>3441596.2639106479</v>
      </c>
      <c r="S1669">
        <v>0</v>
      </c>
    </row>
    <row r="1670" spans="18:19" x14ac:dyDescent="0.25">
      <c r="R1670">
        <v>3441621.9264115202</v>
      </c>
      <c r="S1670">
        <v>0</v>
      </c>
    </row>
    <row r="1671" spans="18:19" x14ac:dyDescent="0.25">
      <c r="R1671">
        <v>3441647.5889123925</v>
      </c>
      <c r="S1671">
        <v>0</v>
      </c>
    </row>
    <row r="1672" spans="18:19" x14ac:dyDescent="0.25">
      <c r="R1672">
        <v>3441673.2514132648</v>
      </c>
      <c r="S1672">
        <v>0</v>
      </c>
    </row>
    <row r="1673" spans="18:19" x14ac:dyDescent="0.25">
      <c r="R1673">
        <v>3441698.9139141375</v>
      </c>
      <c r="S1673">
        <v>0</v>
      </c>
    </row>
    <row r="1674" spans="18:19" x14ac:dyDescent="0.25">
      <c r="R1674">
        <v>3441724.5764150098</v>
      </c>
      <c r="S1674">
        <v>0</v>
      </c>
    </row>
    <row r="1675" spans="18:19" x14ac:dyDescent="0.25">
      <c r="R1675">
        <v>3441750.2389158821</v>
      </c>
      <c r="S1675">
        <v>0</v>
      </c>
    </row>
    <row r="1676" spans="18:19" x14ac:dyDescent="0.25">
      <c r="R1676">
        <v>3441775.9014167544</v>
      </c>
      <c r="S1676">
        <v>0</v>
      </c>
    </row>
    <row r="1677" spans="18:19" x14ac:dyDescent="0.25">
      <c r="R1677">
        <v>3441801.5639176271</v>
      </c>
      <c r="S1677">
        <v>0</v>
      </c>
    </row>
    <row r="1678" spans="18:19" x14ac:dyDescent="0.25">
      <c r="R1678">
        <v>3441827.2264184994</v>
      </c>
      <c r="S1678">
        <v>0</v>
      </c>
    </row>
    <row r="1679" spans="18:19" x14ac:dyDescent="0.25">
      <c r="R1679">
        <v>3441852.8889193716</v>
      </c>
      <c r="S1679">
        <v>0</v>
      </c>
    </row>
    <row r="1680" spans="18:19" x14ac:dyDescent="0.25">
      <c r="R1680">
        <v>3441878.5514202439</v>
      </c>
      <c r="S1680">
        <v>0</v>
      </c>
    </row>
    <row r="1681" spans="18:19" x14ac:dyDescent="0.25">
      <c r="R1681">
        <v>3441904.2139211162</v>
      </c>
      <c r="S1681">
        <v>0</v>
      </c>
    </row>
    <row r="1682" spans="18:19" x14ac:dyDescent="0.25">
      <c r="R1682">
        <v>3441929.8764219889</v>
      </c>
      <c r="S1682">
        <v>0</v>
      </c>
    </row>
    <row r="1683" spans="18:19" x14ac:dyDescent="0.25">
      <c r="R1683">
        <v>3441955.5389228612</v>
      </c>
      <c r="S1683">
        <v>0</v>
      </c>
    </row>
    <row r="1684" spans="18:19" x14ac:dyDescent="0.25">
      <c r="R1684">
        <v>3441981.2014237335</v>
      </c>
      <c r="S1684">
        <v>0</v>
      </c>
    </row>
    <row r="1685" spans="18:19" x14ac:dyDescent="0.25">
      <c r="R1685">
        <v>3442006.8639246058</v>
      </c>
      <c r="S1685">
        <v>0</v>
      </c>
    </row>
    <row r="1686" spans="18:19" x14ac:dyDescent="0.25">
      <c r="R1686">
        <v>3442032.5264254785</v>
      </c>
      <c r="S1686">
        <v>0</v>
      </c>
    </row>
    <row r="1687" spans="18:19" x14ac:dyDescent="0.25">
      <c r="R1687">
        <v>3442058.1889263508</v>
      </c>
      <c r="S1687">
        <v>0</v>
      </c>
    </row>
    <row r="1688" spans="18:19" x14ac:dyDescent="0.25">
      <c r="R1688">
        <v>3442083.8514272231</v>
      </c>
      <c r="S1688">
        <v>0</v>
      </c>
    </row>
    <row r="1689" spans="18:19" x14ac:dyDescent="0.25">
      <c r="R1689">
        <v>3442109.5139280953</v>
      </c>
      <c r="S1689">
        <v>0</v>
      </c>
    </row>
    <row r="1690" spans="18:19" x14ac:dyDescent="0.25">
      <c r="R1690">
        <v>3442135.1764289681</v>
      </c>
      <c r="S1690">
        <v>0</v>
      </c>
    </row>
    <row r="1691" spans="18:19" x14ac:dyDescent="0.25">
      <c r="R1691">
        <v>3442160.8389298404</v>
      </c>
      <c r="S1691">
        <v>0</v>
      </c>
    </row>
    <row r="1692" spans="18:19" x14ac:dyDescent="0.25">
      <c r="R1692">
        <v>3442186.5014307126</v>
      </c>
      <c r="S1692">
        <v>0</v>
      </c>
    </row>
    <row r="1693" spans="18:19" x14ac:dyDescent="0.25">
      <c r="R1693">
        <v>3442212.1639315849</v>
      </c>
      <c r="S1693">
        <v>0</v>
      </c>
    </row>
    <row r="1694" spans="18:19" x14ac:dyDescent="0.25">
      <c r="R1694">
        <v>3442237.8264324572</v>
      </c>
      <c r="S1694">
        <v>0</v>
      </c>
    </row>
    <row r="1695" spans="18:19" x14ac:dyDescent="0.25">
      <c r="R1695">
        <v>3442263.4889333299</v>
      </c>
      <c r="S1695">
        <v>0</v>
      </c>
    </row>
    <row r="1696" spans="18:19" x14ac:dyDescent="0.25">
      <c r="R1696">
        <v>3442289.1514342022</v>
      </c>
      <c r="S1696">
        <v>0</v>
      </c>
    </row>
    <row r="1697" spans="18:19" x14ac:dyDescent="0.25">
      <c r="R1697">
        <v>3442314.8139350745</v>
      </c>
      <c r="S1697">
        <v>0</v>
      </c>
    </row>
    <row r="1698" spans="18:19" x14ac:dyDescent="0.25">
      <c r="R1698">
        <v>3442340.4764359468</v>
      </c>
      <c r="S1698">
        <v>0</v>
      </c>
    </row>
    <row r="1699" spans="18:19" x14ac:dyDescent="0.25">
      <c r="R1699">
        <v>3442366.1389368195</v>
      </c>
      <c r="S1699">
        <v>0</v>
      </c>
    </row>
    <row r="1700" spans="18:19" x14ac:dyDescent="0.25">
      <c r="R1700">
        <v>3442391.8014376918</v>
      </c>
      <c r="S1700">
        <v>0</v>
      </c>
    </row>
    <row r="1701" spans="18:19" x14ac:dyDescent="0.25">
      <c r="R1701">
        <v>3442417.4639385641</v>
      </c>
      <c r="S1701">
        <v>0</v>
      </c>
    </row>
    <row r="1702" spans="18:19" x14ac:dyDescent="0.25">
      <c r="R1702">
        <v>3442443.1264394363</v>
      </c>
      <c r="S1702">
        <v>0</v>
      </c>
    </row>
    <row r="1703" spans="18:19" x14ac:dyDescent="0.25">
      <c r="R1703">
        <v>3442468.7889403091</v>
      </c>
      <c r="S1703">
        <v>0</v>
      </c>
    </row>
    <row r="1704" spans="18:19" x14ac:dyDescent="0.25">
      <c r="R1704">
        <v>3442494.4514411814</v>
      </c>
      <c r="S1704">
        <v>0</v>
      </c>
    </row>
    <row r="1705" spans="18:19" x14ac:dyDescent="0.25">
      <c r="R1705">
        <v>3442520.1139420536</v>
      </c>
      <c r="S1705">
        <v>0</v>
      </c>
    </row>
    <row r="1706" spans="18:19" x14ac:dyDescent="0.25">
      <c r="R1706">
        <v>3442545.7764429259</v>
      </c>
      <c r="S1706">
        <v>0</v>
      </c>
    </row>
    <row r="1707" spans="18:19" x14ac:dyDescent="0.25">
      <c r="R1707">
        <v>3442571.4389437987</v>
      </c>
      <c r="S1707">
        <v>0</v>
      </c>
    </row>
    <row r="1708" spans="18:19" x14ac:dyDescent="0.25">
      <c r="R1708">
        <v>3442597.1014446709</v>
      </c>
      <c r="S1708">
        <v>0</v>
      </c>
    </row>
    <row r="1709" spans="18:19" x14ac:dyDescent="0.25">
      <c r="R1709">
        <v>3442622.7639455432</v>
      </c>
      <c r="S1709">
        <v>0</v>
      </c>
    </row>
    <row r="1710" spans="18:19" x14ac:dyDescent="0.25">
      <c r="R1710">
        <v>3442648.4264464155</v>
      </c>
      <c r="S1710">
        <v>0</v>
      </c>
    </row>
    <row r="1711" spans="18:19" x14ac:dyDescent="0.25">
      <c r="R1711">
        <v>3442674.0889472878</v>
      </c>
      <c r="S1711">
        <v>0</v>
      </c>
    </row>
    <row r="1712" spans="18:19" x14ac:dyDescent="0.25">
      <c r="R1712">
        <v>3442699.7514481605</v>
      </c>
      <c r="S1712">
        <v>0</v>
      </c>
    </row>
    <row r="1713" spans="18:19" x14ac:dyDescent="0.25">
      <c r="R1713">
        <v>3442725.4139490328</v>
      </c>
      <c r="S1713">
        <v>0</v>
      </c>
    </row>
    <row r="1714" spans="18:19" x14ac:dyDescent="0.25">
      <c r="R1714">
        <v>3442751.0764499051</v>
      </c>
      <c r="S1714">
        <v>0</v>
      </c>
    </row>
    <row r="1715" spans="18:19" x14ac:dyDescent="0.25">
      <c r="R1715">
        <v>3442776.7389507773</v>
      </c>
      <c r="S1715">
        <v>0</v>
      </c>
    </row>
    <row r="1716" spans="18:19" x14ac:dyDescent="0.25">
      <c r="R1716">
        <v>3442802.4014516501</v>
      </c>
      <c r="S1716">
        <v>0</v>
      </c>
    </row>
    <row r="1717" spans="18:19" x14ac:dyDescent="0.25">
      <c r="R1717">
        <v>3442828.0639525224</v>
      </c>
      <c r="S1717">
        <v>0</v>
      </c>
    </row>
    <row r="1718" spans="18:19" x14ac:dyDescent="0.25">
      <c r="R1718">
        <v>3442853.7264533946</v>
      </c>
      <c r="S1718">
        <v>0</v>
      </c>
    </row>
    <row r="1719" spans="18:19" x14ac:dyDescent="0.25">
      <c r="R1719">
        <v>3442879.3889542669</v>
      </c>
      <c r="S1719">
        <v>0</v>
      </c>
    </row>
    <row r="1720" spans="18:19" x14ac:dyDescent="0.25">
      <c r="R1720">
        <v>3442905.0514551396</v>
      </c>
      <c r="S1720">
        <v>0</v>
      </c>
    </row>
    <row r="1721" spans="18:19" x14ac:dyDescent="0.25">
      <c r="R1721">
        <v>3442930.7139560119</v>
      </c>
      <c r="S1721">
        <v>0</v>
      </c>
    </row>
    <row r="1722" spans="18:19" x14ac:dyDescent="0.25">
      <c r="R1722">
        <v>3442956.3764568842</v>
      </c>
      <c r="S1722">
        <v>0</v>
      </c>
    </row>
    <row r="1723" spans="18:19" x14ac:dyDescent="0.25">
      <c r="R1723">
        <v>3442982.0389577565</v>
      </c>
      <c r="S1723">
        <v>0</v>
      </c>
    </row>
    <row r="1724" spans="18:19" x14ac:dyDescent="0.25">
      <c r="R1724">
        <v>3443007.7014586292</v>
      </c>
      <c r="S1724">
        <v>0</v>
      </c>
    </row>
    <row r="1725" spans="18:19" x14ac:dyDescent="0.25">
      <c r="R1725">
        <v>3443033.3639595015</v>
      </c>
      <c r="S1725">
        <v>0</v>
      </c>
    </row>
    <row r="1726" spans="18:19" x14ac:dyDescent="0.25">
      <c r="R1726">
        <v>3443059.0264603738</v>
      </c>
      <c r="S1726">
        <v>0</v>
      </c>
    </row>
    <row r="1727" spans="18:19" x14ac:dyDescent="0.25">
      <c r="R1727">
        <v>3443084.6889612461</v>
      </c>
      <c r="S1727">
        <v>0</v>
      </c>
    </row>
    <row r="1728" spans="18:19" x14ac:dyDescent="0.25">
      <c r="R1728">
        <v>3443110.3514621183</v>
      </c>
      <c r="S1728">
        <v>0</v>
      </c>
    </row>
    <row r="1729" spans="18:19" x14ac:dyDescent="0.25">
      <c r="R1729">
        <v>3443136.0139629911</v>
      </c>
      <c r="S1729">
        <v>0</v>
      </c>
    </row>
    <row r="1730" spans="18:19" x14ac:dyDescent="0.25">
      <c r="R1730">
        <v>3443161.6764638633</v>
      </c>
      <c r="S1730">
        <v>0</v>
      </c>
    </row>
    <row r="1731" spans="18:19" x14ac:dyDescent="0.25">
      <c r="R1731">
        <v>3443187.3389647356</v>
      </c>
      <c r="S1731">
        <v>0</v>
      </c>
    </row>
    <row r="1732" spans="18:19" x14ac:dyDescent="0.25">
      <c r="R1732">
        <v>3443213.0014656079</v>
      </c>
      <c r="S1732">
        <v>0</v>
      </c>
    </row>
    <row r="1733" spans="18:19" x14ac:dyDescent="0.25">
      <c r="R1733">
        <v>3443238.6639664806</v>
      </c>
      <c r="S1733">
        <v>0</v>
      </c>
    </row>
    <row r="1734" spans="18:19" x14ac:dyDescent="0.25">
      <c r="R1734">
        <v>3443264.3264673529</v>
      </c>
      <c r="S1734">
        <v>0</v>
      </c>
    </row>
    <row r="1735" spans="18:19" x14ac:dyDescent="0.25">
      <c r="R1735">
        <v>3443289.9889682252</v>
      </c>
      <c r="S1735">
        <v>0</v>
      </c>
    </row>
    <row r="1736" spans="18:19" x14ac:dyDescent="0.25">
      <c r="R1736">
        <v>3443315.6514690975</v>
      </c>
      <c r="S1736">
        <v>0</v>
      </c>
    </row>
    <row r="1737" spans="18:19" x14ac:dyDescent="0.25">
      <c r="R1737">
        <v>3443341.3139699702</v>
      </c>
      <c r="S1737">
        <v>0</v>
      </c>
    </row>
    <row r="1738" spans="18:19" x14ac:dyDescent="0.25">
      <c r="R1738">
        <v>3443366.9764708425</v>
      </c>
      <c r="S1738">
        <v>0</v>
      </c>
    </row>
    <row r="1739" spans="18:19" x14ac:dyDescent="0.25">
      <c r="R1739">
        <v>3443392.6389717148</v>
      </c>
      <c r="S1739">
        <v>0</v>
      </c>
    </row>
    <row r="1740" spans="18:19" x14ac:dyDescent="0.25">
      <c r="R1740">
        <v>3443418.301472587</v>
      </c>
      <c r="S1740">
        <v>0</v>
      </c>
    </row>
    <row r="1741" spans="18:19" x14ac:dyDescent="0.25">
      <c r="R1741">
        <v>3443443.9639734598</v>
      </c>
      <c r="S1741">
        <v>0</v>
      </c>
    </row>
    <row r="1742" spans="18:19" x14ac:dyDescent="0.25">
      <c r="R1742">
        <v>3443469.6264743321</v>
      </c>
      <c r="S1742">
        <v>0</v>
      </c>
    </row>
    <row r="1743" spans="18:19" x14ac:dyDescent="0.25">
      <c r="R1743">
        <v>3443495.2889752043</v>
      </c>
      <c r="S1743">
        <v>0</v>
      </c>
    </row>
    <row r="1744" spans="18:19" x14ac:dyDescent="0.25">
      <c r="R1744">
        <v>3443520.9514760766</v>
      </c>
      <c r="S1744">
        <v>0</v>
      </c>
    </row>
    <row r="1745" spans="18:19" x14ac:dyDescent="0.25">
      <c r="R1745">
        <v>3443546.6139769489</v>
      </c>
      <c r="S1745">
        <v>0</v>
      </c>
    </row>
    <row r="1746" spans="18:19" x14ac:dyDescent="0.25">
      <c r="R1746">
        <v>3443572.2764778216</v>
      </c>
      <c r="S1746">
        <v>0</v>
      </c>
    </row>
    <row r="1747" spans="18:19" x14ac:dyDescent="0.25">
      <c r="R1747">
        <v>3443597.9389786939</v>
      </c>
      <c r="S1747">
        <v>0</v>
      </c>
    </row>
    <row r="1748" spans="18:19" x14ac:dyDescent="0.25">
      <c r="R1748">
        <v>3443623.6014795662</v>
      </c>
      <c r="S1748">
        <v>0</v>
      </c>
    </row>
    <row r="1749" spans="18:19" x14ac:dyDescent="0.25">
      <c r="R1749">
        <v>3443649.2639804385</v>
      </c>
      <c r="S1749">
        <v>0</v>
      </c>
    </row>
    <row r="1750" spans="18:19" x14ac:dyDescent="0.25">
      <c r="R1750">
        <v>3443674.9264813112</v>
      </c>
      <c r="S1750">
        <v>0</v>
      </c>
    </row>
    <row r="1751" spans="18:19" x14ac:dyDescent="0.25">
      <c r="R1751">
        <v>3443700.5889821835</v>
      </c>
      <c r="S1751">
        <v>0</v>
      </c>
    </row>
    <row r="1752" spans="18:19" x14ac:dyDescent="0.25">
      <c r="R1752">
        <v>3443726.2514830558</v>
      </c>
      <c r="S1752">
        <v>0</v>
      </c>
    </row>
    <row r="1753" spans="18:19" x14ac:dyDescent="0.25">
      <c r="R1753">
        <v>3443751.913983928</v>
      </c>
      <c r="S1753">
        <v>0</v>
      </c>
    </row>
    <row r="1754" spans="18:19" x14ac:dyDescent="0.25">
      <c r="R1754">
        <v>3443777.5764848008</v>
      </c>
      <c r="S1754">
        <v>0</v>
      </c>
    </row>
    <row r="1755" spans="18:19" x14ac:dyDescent="0.25">
      <c r="R1755">
        <v>3443803.2389856731</v>
      </c>
      <c r="S1755">
        <v>0</v>
      </c>
    </row>
    <row r="1756" spans="18:19" x14ac:dyDescent="0.25">
      <c r="R1756">
        <v>3443828.9014865453</v>
      </c>
      <c r="S1756">
        <v>0</v>
      </c>
    </row>
    <row r="1757" spans="18:19" x14ac:dyDescent="0.25">
      <c r="R1757">
        <v>3443854.5639874176</v>
      </c>
      <c r="S1757">
        <v>0</v>
      </c>
    </row>
    <row r="1758" spans="18:19" x14ac:dyDescent="0.25">
      <c r="R1758">
        <v>3443880.2264882899</v>
      </c>
      <c r="S1758">
        <v>0</v>
      </c>
    </row>
    <row r="1759" spans="18:19" x14ac:dyDescent="0.25">
      <c r="R1759">
        <v>3443905.8889891626</v>
      </c>
      <c r="S1759">
        <v>0</v>
      </c>
    </row>
    <row r="1760" spans="18:19" x14ac:dyDescent="0.25">
      <c r="R1760">
        <v>3443931.5514900349</v>
      </c>
      <c r="S1760">
        <v>0</v>
      </c>
    </row>
    <row r="1761" spans="18:19" x14ac:dyDescent="0.25">
      <c r="R1761">
        <v>3443957.2139909072</v>
      </c>
      <c r="S1761">
        <v>0</v>
      </c>
    </row>
    <row r="1762" spans="18:19" x14ac:dyDescent="0.25">
      <c r="R1762">
        <v>3443982.8764917795</v>
      </c>
      <c r="S1762">
        <v>0</v>
      </c>
    </row>
    <row r="1763" spans="18:19" x14ac:dyDescent="0.25">
      <c r="R1763">
        <v>3444008.5389926522</v>
      </c>
      <c r="S1763">
        <v>0</v>
      </c>
    </row>
    <row r="1764" spans="18:19" x14ac:dyDescent="0.25">
      <c r="R1764">
        <v>3444034.2014935245</v>
      </c>
      <c r="S1764">
        <v>0</v>
      </c>
    </row>
    <row r="1765" spans="18:19" x14ac:dyDescent="0.25">
      <c r="R1765">
        <v>3444059.8639943968</v>
      </c>
      <c r="S1765">
        <v>0</v>
      </c>
    </row>
    <row r="1766" spans="18:19" x14ac:dyDescent="0.25">
      <c r="R1766">
        <v>3444085.526495269</v>
      </c>
      <c r="S1766">
        <v>0</v>
      </c>
    </row>
    <row r="1767" spans="18:19" x14ac:dyDescent="0.25">
      <c r="R1767">
        <v>3444111.1889961418</v>
      </c>
      <c r="S1767">
        <v>0</v>
      </c>
    </row>
    <row r="1768" spans="18:19" x14ac:dyDescent="0.25">
      <c r="R1768">
        <v>3444136.8514970141</v>
      </c>
      <c r="S1768">
        <v>0</v>
      </c>
    </row>
    <row r="1769" spans="18:19" x14ac:dyDescent="0.25">
      <c r="R1769">
        <v>3444162.5139978863</v>
      </c>
      <c r="S1769">
        <v>0</v>
      </c>
    </row>
    <row r="1770" spans="18:19" x14ac:dyDescent="0.25">
      <c r="R1770">
        <v>3444188.1764987586</v>
      </c>
      <c r="S1770">
        <v>0</v>
      </c>
    </row>
    <row r="1771" spans="18:19" x14ac:dyDescent="0.25">
      <c r="R1771">
        <v>3444213.8389996313</v>
      </c>
      <c r="S1771">
        <v>0</v>
      </c>
    </row>
    <row r="1772" spans="18:19" x14ac:dyDescent="0.25">
      <c r="R1772">
        <v>3444239.5015005036</v>
      </c>
      <c r="S1772">
        <v>0</v>
      </c>
    </row>
    <row r="1773" spans="18:19" x14ac:dyDescent="0.25">
      <c r="R1773">
        <v>3444265.1640013759</v>
      </c>
      <c r="S1773">
        <v>0</v>
      </c>
    </row>
    <row r="1774" spans="18:19" x14ac:dyDescent="0.25">
      <c r="R1774">
        <v>3444290.8265022482</v>
      </c>
      <c r="S1774">
        <v>0</v>
      </c>
    </row>
    <row r="1775" spans="18:19" x14ac:dyDescent="0.25">
      <c r="R1775">
        <v>3444316.4890031205</v>
      </c>
      <c r="S1775">
        <v>0</v>
      </c>
    </row>
    <row r="1776" spans="18:19" x14ac:dyDescent="0.25">
      <c r="R1776">
        <v>3444342.1515039932</v>
      </c>
      <c r="S1776">
        <v>0</v>
      </c>
    </row>
    <row r="1777" spans="18:19" x14ac:dyDescent="0.25">
      <c r="R1777">
        <v>3444367.8140048655</v>
      </c>
      <c r="S1777">
        <v>0</v>
      </c>
    </row>
    <row r="1778" spans="18:19" x14ac:dyDescent="0.25">
      <c r="R1778">
        <v>3444393.4765057378</v>
      </c>
      <c r="S1778">
        <v>0</v>
      </c>
    </row>
    <row r="1779" spans="18:19" x14ac:dyDescent="0.25">
      <c r="R1779">
        <v>3444419.13900661</v>
      </c>
      <c r="S1779">
        <v>0</v>
      </c>
    </row>
    <row r="1780" spans="18:19" x14ac:dyDescent="0.25">
      <c r="R1780">
        <v>3444444.8015074828</v>
      </c>
      <c r="S1780">
        <v>0</v>
      </c>
    </row>
    <row r="1781" spans="18:19" x14ac:dyDescent="0.25">
      <c r="R1781">
        <v>3444470.464008355</v>
      </c>
      <c r="S1781">
        <v>0</v>
      </c>
    </row>
    <row r="1782" spans="18:19" x14ac:dyDescent="0.25">
      <c r="R1782">
        <v>3444496.1265092273</v>
      </c>
      <c r="S1782">
        <v>0</v>
      </c>
    </row>
    <row r="1783" spans="18:19" x14ac:dyDescent="0.25">
      <c r="R1783">
        <v>3444521.7890100996</v>
      </c>
      <c r="S1783">
        <v>0</v>
      </c>
    </row>
    <row r="1784" spans="18:19" x14ac:dyDescent="0.25">
      <c r="R1784">
        <v>3444547.4515109723</v>
      </c>
      <c r="S1784">
        <v>0</v>
      </c>
    </row>
    <row r="1785" spans="18:19" x14ac:dyDescent="0.25">
      <c r="R1785">
        <v>3444573.1140118446</v>
      </c>
      <c r="S1785">
        <v>0</v>
      </c>
    </row>
    <row r="1786" spans="18:19" x14ac:dyDescent="0.25">
      <c r="R1786">
        <v>3444598.7765127169</v>
      </c>
      <c r="S1786">
        <v>0</v>
      </c>
    </row>
    <row r="1787" spans="18:19" x14ac:dyDescent="0.25">
      <c r="R1787">
        <v>3444624.4390135892</v>
      </c>
      <c r="S1787">
        <v>0</v>
      </c>
    </row>
    <row r="1788" spans="18:19" x14ac:dyDescent="0.25">
      <c r="R1788">
        <v>3444650.1015144619</v>
      </c>
      <c r="S1788">
        <v>0</v>
      </c>
    </row>
    <row r="1789" spans="18:19" x14ac:dyDescent="0.25">
      <c r="R1789">
        <v>3444675.7640153342</v>
      </c>
      <c r="S1789">
        <v>0</v>
      </c>
    </row>
    <row r="1790" spans="18:19" x14ac:dyDescent="0.25">
      <c r="R1790">
        <v>3444701.4265162065</v>
      </c>
      <c r="S1790">
        <v>0</v>
      </c>
    </row>
    <row r="1791" spans="18:19" x14ac:dyDescent="0.25">
      <c r="R1791">
        <v>3444727.0890170787</v>
      </c>
      <c r="S1791">
        <v>0</v>
      </c>
    </row>
    <row r="1792" spans="18:19" x14ac:dyDescent="0.25">
      <c r="R1792">
        <v>3444752.751517951</v>
      </c>
      <c r="S1792">
        <v>0</v>
      </c>
    </row>
    <row r="1793" spans="18:19" x14ac:dyDescent="0.25">
      <c r="R1793">
        <v>3444778.4140188238</v>
      </c>
      <c r="S1793">
        <v>0</v>
      </c>
    </row>
    <row r="1794" spans="18:19" x14ac:dyDescent="0.25">
      <c r="R1794">
        <v>3444804.076519696</v>
      </c>
      <c r="S1794">
        <v>0</v>
      </c>
    </row>
    <row r="1795" spans="18:19" x14ac:dyDescent="0.25">
      <c r="R1795">
        <v>3444829.7390205683</v>
      </c>
      <c r="S1795">
        <v>0</v>
      </c>
    </row>
    <row r="1796" spans="18:19" x14ac:dyDescent="0.25">
      <c r="R1796">
        <v>3444855.4015214406</v>
      </c>
      <c r="S1796">
        <v>0</v>
      </c>
    </row>
    <row r="1797" spans="18:19" x14ac:dyDescent="0.25">
      <c r="R1797">
        <v>3444881.0640223133</v>
      </c>
      <c r="S1797">
        <v>0</v>
      </c>
    </row>
    <row r="1798" spans="18:19" x14ac:dyDescent="0.25">
      <c r="R1798">
        <v>3444906.7265231856</v>
      </c>
      <c r="S1798">
        <v>0</v>
      </c>
    </row>
    <row r="1799" spans="18:19" x14ac:dyDescent="0.25">
      <c r="R1799">
        <v>3444932.3890240579</v>
      </c>
      <c r="S1799">
        <v>0</v>
      </c>
    </row>
    <row r="1800" spans="18:19" x14ac:dyDescent="0.25">
      <c r="R1800">
        <v>3444958.0515249302</v>
      </c>
      <c r="S1800">
        <v>0</v>
      </c>
    </row>
    <row r="1801" spans="18:19" x14ac:dyDescent="0.25">
      <c r="R1801">
        <v>3444983.7140258029</v>
      </c>
      <c r="S1801">
        <v>0</v>
      </c>
    </row>
    <row r="1802" spans="18:19" x14ac:dyDescent="0.25">
      <c r="R1802">
        <v>3445009.3765266752</v>
      </c>
      <c r="S1802">
        <v>0</v>
      </c>
    </row>
    <row r="1803" spans="18:19" x14ac:dyDescent="0.25">
      <c r="R1803">
        <v>3445035.0390275475</v>
      </c>
      <c r="S1803">
        <v>0</v>
      </c>
    </row>
    <row r="1804" spans="18:19" x14ac:dyDescent="0.25">
      <c r="R1804">
        <v>3445060.7015284197</v>
      </c>
      <c r="S1804">
        <v>0</v>
      </c>
    </row>
    <row r="1805" spans="18:19" x14ac:dyDescent="0.25">
      <c r="R1805">
        <v>3445086.3640292925</v>
      </c>
      <c r="S1805">
        <v>0</v>
      </c>
    </row>
    <row r="1806" spans="18:19" x14ac:dyDescent="0.25">
      <c r="R1806">
        <v>3445112.0265301648</v>
      </c>
      <c r="S1806">
        <v>0</v>
      </c>
    </row>
    <row r="1807" spans="18:19" x14ac:dyDescent="0.25">
      <c r="R1807">
        <v>3445137.689031037</v>
      </c>
      <c r="S1807">
        <v>0</v>
      </c>
    </row>
    <row r="1808" spans="18:19" x14ac:dyDescent="0.25">
      <c r="R1808">
        <v>3445163.3515319093</v>
      </c>
      <c r="S1808">
        <v>0</v>
      </c>
    </row>
    <row r="1809" spans="18:19" x14ac:dyDescent="0.25">
      <c r="R1809">
        <v>3445189.0140327816</v>
      </c>
      <c r="S1809">
        <v>0</v>
      </c>
    </row>
    <row r="1810" spans="18:19" x14ac:dyDescent="0.25">
      <c r="R1810">
        <v>3445214.6765336543</v>
      </c>
      <c r="S1810">
        <v>0</v>
      </c>
    </row>
    <row r="1811" spans="18:19" x14ac:dyDescent="0.25">
      <c r="R1811">
        <v>3445240.3390345266</v>
      </c>
      <c r="S1811">
        <v>0</v>
      </c>
    </row>
    <row r="1812" spans="18:19" x14ac:dyDescent="0.25">
      <c r="R1812">
        <v>3445266.0015353989</v>
      </c>
      <c r="S1812">
        <v>0</v>
      </c>
    </row>
    <row r="1813" spans="18:19" x14ac:dyDescent="0.25">
      <c r="R1813">
        <v>3445291.6640362712</v>
      </c>
      <c r="S1813">
        <v>0</v>
      </c>
    </row>
    <row r="1814" spans="18:19" x14ac:dyDescent="0.25">
      <c r="R1814">
        <v>3445317.3265371439</v>
      </c>
      <c r="S1814">
        <v>0</v>
      </c>
    </row>
    <row r="1815" spans="18:19" x14ac:dyDescent="0.25">
      <c r="R1815">
        <v>3445342.9890380162</v>
      </c>
      <c r="S1815">
        <v>0</v>
      </c>
    </row>
    <row r="1816" spans="18:19" x14ac:dyDescent="0.25">
      <c r="R1816">
        <v>3445368.6515388885</v>
      </c>
      <c r="S1816">
        <v>0</v>
      </c>
    </row>
    <row r="1817" spans="18:19" x14ac:dyDescent="0.25">
      <c r="R1817">
        <v>3445394.3140397607</v>
      </c>
      <c r="S1817">
        <v>0</v>
      </c>
    </row>
    <row r="1818" spans="18:19" x14ac:dyDescent="0.25">
      <c r="R1818">
        <v>3445419.9765406335</v>
      </c>
      <c r="S1818">
        <v>0</v>
      </c>
    </row>
    <row r="1819" spans="18:19" x14ac:dyDescent="0.25">
      <c r="R1819">
        <v>3445445.6390415058</v>
      </c>
      <c r="S1819">
        <v>0</v>
      </c>
    </row>
    <row r="1820" spans="18:19" x14ac:dyDescent="0.25">
      <c r="R1820">
        <v>3445471.301542378</v>
      </c>
      <c r="S1820">
        <v>0</v>
      </c>
    </row>
    <row r="1821" spans="18:19" x14ac:dyDescent="0.25">
      <c r="R1821">
        <v>3445496.9640432503</v>
      </c>
      <c r="S1821">
        <v>0</v>
      </c>
    </row>
    <row r="1822" spans="18:19" x14ac:dyDescent="0.25">
      <c r="R1822">
        <v>3445522.6265441226</v>
      </c>
      <c r="S1822">
        <v>0</v>
      </c>
    </row>
    <row r="1823" spans="18:19" x14ac:dyDescent="0.25">
      <c r="R1823">
        <v>3445548.2890449953</v>
      </c>
      <c r="S1823">
        <v>0</v>
      </c>
    </row>
    <row r="1824" spans="18:19" x14ac:dyDescent="0.25">
      <c r="R1824">
        <v>3445573.9515458676</v>
      </c>
      <c r="S1824">
        <v>0</v>
      </c>
    </row>
    <row r="1825" spans="18:19" x14ac:dyDescent="0.25">
      <c r="R1825">
        <v>3445599.6140467399</v>
      </c>
      <c r="S1825">
        <v>0</v>
      </c>
    </row>
    <row r="1826" spans="18:19" x14ac:dyDescent="0.25">
      <c r="R1826">
        <v>3445625.2765476122</v>
      </c>
      <c r="S1826">
        <v>0</v>
      </c>
    </row>
    <row r="1827" spans="18:19" x14ac:dyDescent="0.25">
      <c r="R1827">
        <v>3445650.9390484849</v>
      </c>
      <c r="S1827">
        <v>0</v>
      </c>
    </row>
    <row r="1828" spans="18:19" x14ac:dyDescent="0.25">
      <c r="R1828">
        <v>3445676.6015493572</v>
      </c>
      <c r="S1828">
        <v>0</v>
      </c>
    </row>
    <row r="1829" spans="18:19" x14ac:dyDescent="0.25">
      <c r="R1829">
        <v>3445702.2640502295</v>
      </c>
      <c r="S1829">
        <v>0</v>
      </c>
    </row>
    <row r="1830" spans="18:19" x14ac:dyDescent="0.25">
      <c r="R1830">
        <v>3445727.9265511017</v>
      </c>
      <c r="S1830">
        <v>0</v>
      </c>
    </row>
    <row r="1831" spans="18:19" x14ac:dyDescent="0.25">
      <c r="R1831">
        <v>3445753.5890519745</v>
      </c>
      <c r="S1831">
        <v>0</v>
      </c>
    </row>
    <row r="1832" spans="18:19" x14ac:dyDescent="0.25">
      <c r="R1832">
        <v>3445779.2515528467</v>
      </c>
      <c r="S1832">
        <v>0</v>
      </c>
    </row>
    <row r="1833" spans="18:19" x14ac:dyDescent="0.25">
      <c r="R1833">
        <v>3445804.914053719</v>
      </c>
      <c r="S1833">
        <v>0</v>
      </c>
    </row>
    <row r="1834" spans="18:19" x14ac:dyDescent="0.25">
      <c r="R1834">
        <v>3445830.5765545913</v>
      </c>
      <c r="S1834">
        <v>0</v>
      </c>
    </row>
    <row r="1835" spans="18:19" x14ac:dyDescent="0.25">
      <c r="R1835">
        <v>3445856.239055464</v>
      </c>
      <c r="S1835">
        <v>0</v>
      </c>
    </row>
    <row r="1836" spans="18:19" x14ac:dyDescent="0.25">
      <c r="R1836">
        <v>3445881.9015563363</v>
      </c>
      <c r="S1836">
        <v>0</v>
      </c>
    </row>
    <row r="1837" spans="18:19" x14ac:dyDescent="0.25">
      <c r="R1837">
        <v>3445907.5640572086</v>
      </c>
      <c r="S1837">
        <v>0</v>
      </c>
    </row>
    <row r="1838" spans="18:19" x14ac:dyDescent="0.25">
      <c r="R1838">
        <v>3445933.2265580809</v>
      </c>
      <c r="S1838">
        <v>0</v>
      </c>
    </row>
    <row r="1839" spans="18:19" x14ac:dyDescent="0.25">
      <c r="R1839">
        <v>3445958.8890589532</v>
      </c>
      <c r="S1839">
        <v>0</v>
      </c>
    </row>
    <row r="1840" spans="18:19" x14ac:dyDescent="0.25">
      <c r="R1840">
        <v>3445984.5515598259</v>
      </c>
      <c r="S1840">
        <v>0</v>
      </c>
    </row>
    <row r="1841" spans="18:19" x14ac:dyDescent="0.25">
      <c r="R1841">
        <v>3446010.2140606982</v>
      </c>
      <c r="S1841">
        <v>0</v>
      </c>
    </row>
    <row r="1842" spans="18:19" x14ac:dyDescent="0.25">
      <c r="R1842">
        <v>3446035.8765615704</v>
      </c>
      <c r="S1842">
        <v>0</v>
      </c>
    </row>
    <row r="1843" spans="18:19" x14ac:dyDescent="0.25">
      <c r="R1843">
        <v>3446061.5390624427</v>
      </c>
      <c r="S1843">
        <v>0</v>
      </c>
    </row>
    <row r="1844" spans="18:19" x14ac:dyDescent="0.25">
      <c r="R1844">
        <v>3446087.2015633155</v>
      </c>
      <c r="S1844">
        <v>0</v>
      </c>
    </row>
    <row r="1845" spans="18:19" x14ac:dyDescent="0.25">
      <c r="R1845">
        <v>3446112.8640641877</v>
      </c>
      <c r="S1845">
        <v>0</v>
      </c>
    </row>
    <row r="1846" spans="18:19" x14ac:dyDescent="0.25">
      <c r="R1846">
        <v>3446138.52656506</v>
      </c>
      <c r="S1846">
        <v>0</v>
      </c>
    </row>
    <row r="1847" spans="18:19" x14ac:dyDescent="0.25">
      <c r="R1847">
        <v>3446164.1890659323</v>
      </c>
      <c r="S1847">
        <v>0</v>
      </c>
    </row>
    <row r="1848" spans="18:19" x14ac:dyDescent="0.25">
      <c r="R1848">
        <v>3446189.851566805</v>
      </c>
      <c r="S1848">
        <v>0</v>
      </c>
    </row>
    <row r="1849" spans="18:19" x14ac:dyDescent="0.25">
      <c r="R1849">
        <v>3446215.5140676773</v>
      </c>
      <c r="S1849">
        <v>0</v>
      </c>
    </row>
    <row r="1850" spans="18:19" x14ac:dyDescent="0.25">
      <c r="R1850">
        <v>3446241.1765685496</v>
      </c>
      <c r="S1850">
        <v>0</v>
      </c>
    </row>
    <row r="1851" spans="18:19" x14ac:dyDescent="0.25">
      <c r="R1851">
        <v>3446266.8390694219</v>
      </c>
      <c r="S1851">
        <v>0</v>
      </c>
    </row>
    <row r="1852" spans="18:19" x14ac:dyDescent="0.25">
      <c r="R1852">
        <v>3446292.5015702946</v>
      </c>
      <c r="S1852">
        <v>0</v>
      </c>
    </row>
    <row r="1853" spans="18:19" x14ac:dyDescent="0.25">
      <c r="R1853">
        <v>3446318.1640711669</v>
      </c>
      <c r="S1853">
        <v>0</v>
      </c>
    </row>
    <row r="1854" spans="18:19" x14ac:dyDescent="0.25">
      <c r="R1854">
        <v>3446343.8265720392</v>
      </c>
      <c r="S1854">
        <v>0</v>
      </c>
    </row>
    <row r="1855" spans="18:19" x14ac:dyDescent="0.25">
      <c r="R1855">
        <v>3446369.4890729114</v>
      </c>
      <c r="S1855">
        <v>0</v>
      </c>
    </row>
    <row r="1856" spans="18:19" x14ac:dyDescent="0.25">
      <c r="R1856">
        <v>3446395.1515737837</v>
      </c>
      <c r="S1856">
        <v>0</v>
      </c>
    </row>
    <row r="1857" spans="18:19" x14ac:dyDescent="0.25">
      <c r="R1857">
        <v>3446420.8140746565</v>
      </c>
      <c r="S1857">
        <v>0</v>
      </c>
    </row>
    <row r="1858" spans="18:19" x14ac:dyDescent="0.25">
      <c r="R1858">
        <v>3446446.4765755287</v>
      </c>
      <c r="S1858">
        <v>0</v>
      </c>
    </row>
    <row r="1859" spans="18:19" x14ac:dyDescent="0.25">
      <c r="R1859">
        <v>3446472.139076401</v>
      </c>
      <c r="S1859">
        <v>0</v>
      </c>
    </row>
    <row r="1860" spans="18:19" x14ac:dyDescent="0.25">
      <c r="R1860">
        <v>3446497.8015772733</v>
      </c>
      <c r="S1860">
        <v>0</v>
      </c>
    </row>
    <row r="1861" spans="18:19" x14ac:dyDescent="0.25">
      <c r="R1861">
        <v>3446523.464078146</v>
      </c>
      <c r="S1861">
        <v>0</v>
      </c>
    </row>
    <row r="1862" spans="18:19" x14ac:dyDescent="0.25">
      <c r="R1862">
        <v>3446549.1265790183</v>
      </c>
      <c r="S1862">
        <v>0</v>
      </c>
    </row>
    <row r="1863" spans="18:19" x14ac:dyDescent="0.25">
      <c r="R1863">
        <v>3446574.7890798906</v>
      </c>
      <c r="S1863">
        <v>0</v>
      </c>
    </row>
    <row r="1864" spans="18:19" x14ac:dyDescent="0.25">
      <c r="R1864">
        <v>3446600.4515807629</v>
      </c>
      <c r="S1864">
        <v>0</v>
      </c>
    </row>
    <row r="1865" spans="18:19" x14ac:dyDescent="0.25">
      <c r="R1865">
        <v>3446626.1140816356</v>
      </c>
      <c r="S1865">
        <v>0</v>
      </c>
    </row>
    <row r="1866" spans="18:19" x14ac:dyDescent="0.25">
      <c r="R1866">
        <v>3446651.7765825079</v>
      </c>
      <c r="S1866">
        <v>0</v>
      </c>
    </row>
    <row r="1867" spans="18:19" x14ac:dyDescent="0.25">
      <c r="R1867">
        <v>3446677.4390833802</v>
      </c>
      <c r="S1867">
        <v>0</v>
      </c>
    </row>
    <row r="1868" spans="18:19" x14ac:dyDescent="0.25">
      <c r="R1868">
        <v>3446703.1015842524</v>
      </c>
      <c r="S1868">
        <v>0</v>
      </c>
    </row>
    <row r="1869" spans="18:19" x14ac:dyDescent="0.25">
      <c r="R1869">
        <v>3446728.7640851252</v>
      </c>
      <c r="S1869">
        <v>0</v>
      </c>
    </row>
    <row r="1870" spans="18:19" x14ac:dyDescent="0.25">
      <c r="R1870">
        <v>3446754.4265859975</v>
      </c>
      <c r="S1870">
        <v>0</v>
      </c>
    </row>
    <row r="1871" spans="18:19" x14ac:dyDescent="0.25">
      <c r="R1871">
        <v>3446780.0890868697</v>
      </c>
      <c r="S1871">
        <v>0</v>
      </c>
    </row>
    <row r="1872" spans="18:19" x14ac:dyDescent="0.25">
      <c r="R1872">
        <v>3446805.751587742</v>
      </c>
      <c r="S1872">
        <v>0</v>
      </c>
    </row>
    <row r="1873" spans="18:19" x14ac:dyDescent="0.25">
      <c r="R1873">
        <v>3446831.4140886143</v>
      </c>
      <c r="S1873">
        <v>0</v>
      </c>
    </row>
    <row r="1874" spans="18:19" x14ac:dyDescent="0.25">
      <c r="R1874">
        <v>3446857.076589487</v>
      </c>
      <c r="S1874">
        <v>0</v>
      </c>
    </row>
    <row r="1875" spans="18:19" x14ac:dyDescent="0.25">
      <c r="R1875">
        <v>3446882.7390903593</v>
      </c>
      <c r="S1875">
        <v>0</v>
      </c>
    </row>
    <row r="1876" spans="18:19" x14ac:dyDescent="0.25">
      <c r="R1876">
        <v>3446908.4015912316</v>
      </c>
      <c r="S1876">
        <v>0</v>
      </c>
    </row>
    <row r="1877" spans="18:19" x14ac:dyDescent="0.25">
      <c r="R1877">
        <v>3446934.0640921039</v>
      </c>
      <c r="S1877">
        <v>0</v>
      </c>
    </row>
    <row r="1878" spans="18:19" x14ac:dyDescent="0.25">
      <c r="R1878">
        <v>3446959.7265929766</v>
      </c>
      <c r="S1878">
        <v>0</v>
      </c>
    </row>
    <row r="1879" spans="18:19" x14ac:dyDescent="0.25">
      <c r="R1879">
        <v>3446985.3890938489</v>
      </c>
      <c r="S1879">
        <v>0</v>
      </c>
    </row>
    <row r="1880" spans="18:19" x14ac:dyDescent="0.25">
      <c r="R1880">
        <v>3447011.0515947212</v>
      </c>
      <c r="S1880">
        <v>0</v>
      </c>
    </row>
    <row r="1881" spans="18:19" x14ac:dyDescent="0.25">
      <c r="R1881">
        <v>3447036.7140955934</v>
      </c>
      <c r="S1881">
        <v>0</v>
      </c>
    </row>
    <row r="1882" spans="18:19" x14ac:dyDescent="0.25">
      <c r="R1882">
        <v>3447062.3765964662</v>
      </c>
      <c r="S1882">
        <v>0</v>
      </c>
    </row>
    <row r="1883" spans="18:19" x14ac:dyDescent="0.25">
      <c r="R1883">
        <v>3447088.0390973384</v>
      </c>
      <c r="S1883">
        <v>0</v>
      </c>
    </row>
    <row r="1884" spans="18:19" x14ac:dyDescent="0.25">
      <c r="R1884">
        <v>3447113.7015982107</v>
      </c>
      <c r="S1884">
        <v>0</v>
      </c>
    </row>
    <row r="1885" spans="18:19" x14ac:dyDescent="0.25">
      <c r="R1885">
        <v>3447139.364099083</v>
      </c>
      <c r="S1885">
        <v>0</v>
      </c>
    </row>
    <row r="1886" spans="18:19" x14ac:dyDescent="0.25">
      <c r="R1886">
        <v>3447165.0265999553</v>
      </c>
      <c r="S1886">
        <v>0</v>
      </c>
    </row>
    <row r="1887" spans="18:19" x14ac:dyDescent="0.25">
      <c r="R1887">
        <v>3447190.689100828</v>
      </c>
      <c r="S1887">
        <v>0</v>
      </c>
    </row>
    <row r="1888" spans="18:19" x14ac:dyDescent="0.25">
      <c r="R1888">
        <v>3447216.3516017003</v>
      </c>
      <c r="S1888">
        <v>0</v>
      </c>
    </row>
    <row r="1889" spans="18:19" x14ac:dyDescent="0.25">
      <c r="R1889">
        <v>3447242.0141025726</v>
      </c>
      <c r="S1889">
        <v>0</v>
      </c>
    </row>
    <row r="1890" spans="18:19" x14ac:dyDescent="0.25">
      <c r="R1890">
        <v>3447267.6766034449</v>
      </c>
      <c r="S1890">
        <v>0</v>
      </c>
    </row>
    <row r="1891" spans="18:19" x14ac:dyDescent="0.25">
      <c r="R1891">
        <v>3447293.3391043176</v>
      </c>
      <c r="S1891">
        <v>0</v>
      </c>
    </row>
    <row r="1892" spans="18:19" x14ac:dyDescent="0.25">
      <c r="R1892">
        <v>3447319.0016051899</v>
      </c>
      <c r="S1892">
        <v>0</v>
      </c>
    </row>
    <row r="1893" spans="18:19" x14ac:dyDescent="0.25">
      <c r="R1893">
        <v>3447344.6641060621</v>
      </c>
      <c r="S1893">
        <v>0</v>
      </c>
    </row>
    <row r="1894" spans="18:19" x14ac:dyDescent="0.25">
      <c r="R1894">
        <v>3447370.3266069344</v>
      </c>
      <c r="S1894">
        <v>0</v>
      </c>
    </row>
    <row r="1895" spans="18:19" x14ac:dyDescent="0.25">
      <c r="R1895">
        <v>3447395.9891078072</v>
      </c>
      <c r="S1895">
        <v>0</v>
      </c>
    </row>
    <row r="1896" spans="18:19" x14ac:dyDescent="0.25">
      <c r="R1896">
        <v>3447421.6516086794</v>
      </c>
      <c r="S1896">
        <v>0</v>
      </c>
    </row>
    <row r="1897" spans="18:19" x14ac:dyDescent="0.25">
      <c r="R1897">
        <v>3447447.3141095517</v>
      </c>
      <c r="S1897">
        <v>0</v>
      </c>
    </row>
    <row r="1898" spans="18:19" x14ac:dyDescent="0.25">
      <c r="R1898">
        <v>3447472.976610424</v>
      </c>
      <c r="S1898">
        <v>0</v>
      </c>
    </row>
    <row r="1899" spans="18:19" x14ac:dyDescent="0.25">
      <c r="R1899">
        <v>3447498.6391112967</v>
      </c>
      <c r="S1899">
        <v>0</v>
      </c>
    </row>
    <row r="1900" spans="18:19" x14ac:dyDescent="0.25">
      <c r="R1900">
        <v>3447524.301612169</v>
      </c>
      <c r="S1900">
        <v>0</v>
      </c>
    </row>
    <row r="1901" spans="18:19" x14ac:dyDescent="0.25">
      <c r="R1901">
        <v>3447549.9641130413</v>
      </c>
      <c r="S1901">
        <v>0</v>
      </c>
    </row>
    <row r="1902" spans="18:19" x14ac:dyDescent="0.25">
      <c r="R1902">
        <v>3447575.6266139136</v>
      </c>
      <c r="S1902">
        <v>0</v>
      </c>
    </row>
    <row r="1903" spans="18:19" x14ac:dyDescent="0.25">
      <c r="R1903">
        <v>3447601.2891147858</v>
      </c>
      <c r="S1903">
        <v>0</v>
      </c>
    </row>
    <row r="1904" spans="18:19" x14ac:dyDescent="0.25">
      <c r="R1904">
        <v>3447626.9516156586</v>
      </c>
      <c r="S1904">
        <v>0</v>
      </c>
    </row>
    <row r="1905" spans="18:19" x14ac:dyDescent="0.25">
      <c r="R1905">
        <v>3447652.6141165309</v>
      </c>
      <c r="S1905">
        <v>0</v>
      </c>
    </row>
    <row r="1906" spans="18:19" x14ac:dyDescent="0.25">
      <c r="R1906">
        <v>3447678.2766174031</v>
      </c>
      <c r="S1906">
        <v>0</v>
      </c>
    </row>
    <row r="1907" spans="18:19" x14ac:dyDescent="0.25">
      <c r="R1907">
        <v>3447703.9391182754</v>
      </c>
      <c r="S1907">
        <v>0</v>
      </c>
    </row>
    <row r="1908" spans="18:19" x14ac:dyDescent="0.25">
      <c r="R1908">
        <v>3447729.6016191482</v>
      </c>
      <c r="S1908">
        <v>0</v>
      </c>
    </row>
    <row r="1909" spans="18:19" x14ac:dyDescent="0.25">
      <c r="R1909">
        <v>3447755.2641200204</v>
      </c>
      <c r="S1909">
        <v>0</v>
      </c>
    </row>
    <row r="1910" spans="18:19" x14ac:dyDescent="0.25">
      <c r="R1910">
        <v>3447780.9266208927</v>
      </c>
      <c r="S1910">
        <v>0</v>
      </c>
    </row>
    <row r="1911" spans="18:19" x14ac:dyDescent="0.25">
      <c r="R1911">
        <v>3447806.589121765</v>
      </c>
      <c r="S1911">
        <v>0</v>
      </c>
    </row>
    <row r="1912" spans="18:19" x14ac:dyDescent="0.25">
      <c r="R1912">
        <v>3447832.2516226377</v>
      </c>
      <c r="S1912">
        <v>0</v>
      </c>
    </row>
    <row r="1913" spans="18:19" x14ac:dyDescent="0.25">
      <c r="R1913">
        <v>3447857.91412351</v>
      </c>
      <c r="S1913">
        <v>0</v>
      </c>
    </row>
    <row r="1914" spans="18:19" x14ac:dyDescent="0.25">
      <c r="R1914">
        <v>3447883.5766243823</v>
      </c>
      <c r="S1914">
        <v>0</v>
      </c>
    </row>
    <row r="1915" spans="18:19" x14ac:dyDescent="0.25">
      <c r="R1915">
        <v>3447909.2391252546</v>
      </c>
      <c r="S1915">
        <v>0</v>
      </c>
    </row>
    <row r="1916" spans="18:19" x14ac:dyDescent="0.25">
      <c r="R1916">
        <v>3447934.9016261273</v>
      </c>
      <c r="S1916">
        <v>0</v>
      </c>
    </row>
    <row r="1917" spans="18:19" x14ac:dyDescent="0.25">
      <c r="R1917">
        <v>3447960.5641269996</v>
      </c>
      <c r="S1917">
        <v>0</v>
      </c>
    </row>
    <row r="1918" spans="18:19" x14ac:dyDescent="0.25">
      <c r="R1918">
        <v>3447986.2266278719</v>
      </c>
      <c r="S1918">
        <v>0</v>
      </c>
    </row>
    <row r="1919" spans="18:19" x14ac:dyDescent="0.25">
      <c r="R1919">
        <v>3448011.8891287441</v>
      </c>
      <c r="S1919">
        <v>0</v>
      </c>
    </row>
    <row r="1920" spans="18:19" x14ac:dyDescent="0.25">
      <c r="R1920">
        <v>3448037.5516296164</v>
      </c>
      <c r="S1920">
        <v>0</v>
      </c>
    </row>
    <row r="1921" spans="18:19" x14ac:dyDescent="0.25">
      <c r="R1921">
        <v>3448063.2141304892</v>
      </c>
      <c r="S1921">
        <v>0</v>
      </c>
    </row>
    <row r="1922" spans="18:19" x14ac:dyDescent="0.25">
      <c r="R1922">
        <v>3448088.8766313614</v>
      </c>
      <c r="S1922">
        <v>0</v>
      </c>
    </row>
    <row r="1923" spans="18:19" x14ac:dyDescent="0.25">
      <c r="R1923">
        <v>3448114.5391322337</v>
      </c>
      <c r="S1923">
        <v>0</v>
      </c>
    </row>
    <row r="1924" spans="18:19" x14ac:dyDescent="0.25">
      <c r="R1924">
        <v>3448140.201633106</v>
      </c>
      <c r="S1924">
        <v>0</v>
      </c>
    </row>
    <row r="1925" spans="18:19" x14ac:dyDescent="0.25">
      <c r="R1925">
        <v>3448165.8641339787</v>
      </c>
      <c r="S1925">
        <v>0</v>
      </c>
    </row>
    <row r="1926" spans="18:19" x14ac:dyDescent="0.25">
      <c r="R1926">
        <v>3448191.526634851</v>
      </c>
      <c r="S1926">
        <v>0</v>
      </c>
    </row>
    <row r="1927" spans="18:19" x14ac:dyDescent="0.25">
      <c r="R1927">
        <v>3448217.1891357233</v>
      </c>
      <c r="S1927">
        <v>0</v>
      </c>
    </row>
    <row r="1928" spans="18:19" x14ac:dyDescent="0.25">
      <c r="R1928">
        <v>3448242.8516365956</v>
      </c>
      <c r="S1928">
        <v>0</v>
      </c>
    </row>
    <row r="1929" spans="18:19" x14ac:dyDescent="0.25">
      <c r="R1929">
        <v>3448268.5141374683</v>
      </c>
      <c r="S1929">
        <v>0</v>
      </c>
    </row>
    <row r="1930" spans="18:19" x14ac:dyDescent="0.25">
      <c r="R1930">
        <v>3448294.1766383406</v>
      </c>
      <c r="S1930">
        <v>0</v>
      </c>
    </row>
    <row r="1931" spans="18:19" x14ac:dyDescent="0.25">
      <c r="R1931">
        <v>3448319.8391392129</v>
      </c>
      <c r="S1931">
        <v>0</v>
      </c>
    </row>
    <row r="1932" spans="18:19" x14ac:dyDescent="0.25">
      <c r="R1932">
        <v>3448345.5016400851</v>
      </c>
      <c r="S1932">
        <v>0</v>
      </c>
    </row>
    <row r="1933" spans="18:19" x14ac:dyDescent="0.25">
      <c r="R1933">
        <v>3448371.1641409579</v>
      </c>
      <c r="S1933">
        <v>0</v>
      </c>
    </row>
    <row r="1934" spans="18:19" x14ac:dyDescent="0.25">
      <c r="R1934">
        <v>3448396.8266418302</v>
      </c>
      <c r="S1934">
        <v>0</v>
      </c>
    </row>
    <row r="1935" spans="18:19" x14ac:dyDescent="0.25">
      <c r="R1935">
        <v>3448422.4891427024</v>
      </c>
      <c r="S1935">
        <v>0</v>
      </c>
    </row>
    <row r="1936" spans="18:19" x14ac:dyDescent="0.25">
      <c r="R1936">
        <v>3448448.1516435747</v>
      </c>
      <c r="S1936">
        <v>0</v>
      </c>
    </row>
    <row r="1937" spans="18:19" x14ac:dyDescent="0.25">
      <c r="R1937">
        <v>3448473.814144447</v>
      </c>
      <c r="S1937">
        <v>0</v>
      </c>
    </row>
    <row r="1938" spans="18:19" x14ac:dyDescent="0.25">
      <c r="R1938">
        <v>3448499.4766453197</v>
      </c>
      <c r="S1938">
        <v>0</v>
      </c>
    </row>
    <row r="1939" spans="18:19" x14ac:dyDescent="0.25">
      <c r="R1939">
        <v>3448525.139146192</v>
      </c>
      <c r="S1939">
        <v>0</v>
      </c>
    </row>
    <row r="1940" spans="18:19" x14ac:dyDescent="0.25">
      <c r="R1940">
        <v>3448550.8016470643</v>
      </c>
      <c r="S1940">
        <v>0</v>
      </c>
    </row>
    <row r="1941" spans="18:19" x14ac:dyDescent="0.25">
      <c r="R1941">
        <v>3448576.4641479366</v>
      </c>
      <c r="S1941">
        <v>0</v>
      </c>
    </row>
    <row r="1942" spans="18:19" x14ac:dyDescent="0.25">
      <c r="R1942">
        <v>3448602.1266488093</v>
      </c>
      <c r="S1942">
        <v>0</v>
      </c>
    </row>
    <row r="1943" spans="18:19" x14ac:dyDescent="0.25">
      <c r="R1943">
        <v>3448627.7891496816</v>
      </c>
      <c r="S1943">
        <v>0</v>
      </c>
    </row>
    <row r="1944" spans="18:19" x14ac:dyDescent="0.25">
      <c r="R1944">
        <v>3448653.4516505538</v>
      </c>
      <c r="S1944">
        <v>0</v>
      </c>
    </row>
    <row r="1945" spans="18:19" x14ac:dyDescent="0.25">
      <c r="R1945">
        <v>3448679.1141514261</v>
      </c>
      <c r="S1945">
        <v>0</v>
      </c>
    </row>
    <row r="1946" spans="18:19" x14ac:dyDescent="0.25">
      <c r="R1946">
        <v>3448704.7766522989</v>
      </c>
      <c r="S1946">
        <v>0</v>
      </c>
    </row>
    <row r="1947" spans="18:19" x14ac:dyDescent="0.25">
      <c r="R1947">
        <v>3448730.4391531711</v>
      </c>
      <c r="S1947">
        <v>0</v>
      </c>
    </row>
    <row r="1948" spans="18:19" x14ac:dyDescent="0.25">
      <c r="R1948">
        <v>3448756.1016540434</v>
      </c>
      <c r="S1948">
        <v>0</v>
      </c>
    </row>
    <row r="1949" spans="18:19" x14ac:dyDescent="0.25">
      <c r="R1949">
        <v>3448781.7641549157</v>
      </c>
      <c r="S1949">
        <v>0</v>
      </c>
    </row>
    <row r="1950" spans="18:19" x14ac:dyDescent="0.25">
      <c r="R1950">
        <v>3448807.426655788</v>
      </c>
      <c r="S1950">
        <v>0</v>
      </c>
    </row>
    <row r="1951" spans="18:19" x14ac:dyDescent="0.25">
      <c r="R1951">
        <v>3448833.0891566607</v>
      </c>
      <c r="S1951">
        <v>0</v>
      </c>
    </row>
    <row r="1952" spans="18:19" x14ac:dyDescent="0.25">
      <c r="R1952">
        <v>3448858.751657533</v>
      </c>
      <c r="S1952">
        <v>0</v>
      </c>
    </row>
    <row r="1953" spans="18:19" x14ac:dyDescent="0.25">
      <c r="R1953">
        <v>3448884.4141584053</v>
      </c>
      <c r="S1953">
        <v>0</v>
      </c>
    </row>
    <row r="1954" spans="18:19" x14ac:dyDescent="0.25">
      <c r="R1954">
        <v>3448910.0766592775</v>
      </c>
      <c r="S1954">
        <v>0</v>
      </c>
    </row>
    <row r="1955" spans="18:19" x14ac:dyDescent="0.25">
      <c r="R1955">
        <v>3448935.7391601503</v>
      </c>
      <c r="S1955">
        <v>0</v>
      </c>
    </row>
    <row r="1956" spans="18:19" x14ac:dyDescent="0.25">
      <c r="R1956">
        <v>3448961.4016610226</v>
      </c>
      <c r="S1956">
        <v>0</v>
      </c>
    </row>
    <row r="1957" spans="18:19" x14ac:dyDescent="0.25">
      <c r="R1957">
        <v>3448987.0641618948</v>
      </c>
      <c r="S1957">
        <v>0</v>
      </c>
    </row>
    <row r="1958" spans="18:19" x14ac:dyDescent="0.25">
      <c r="R1958">
        <v>3449012.7266627671</v>
      </c>
      <c r="S1958">
        <v>0</v>
      </c>
    </row>
    <row r="1959" spans="18:19" x14ac:dyDescent="0.25">
      <c r="R1959">
        <v>3449038.3891636399</v>
      </c>
      <c r="S1959">
        <v>0</v>
      </c>
    </row>
    <row r="1960" spans="18:19" x14ac:dyDescent="0.25">
      <c r="R1960">
        <v>3449064.0516645121</v>
      </c>
      <c r="S1960">
        <v>0</v>
      </c>
    </row>
    <row r="1961" spans="18:19" x14ac:dyDescent="0.25">
      <c r="R1961">
        <v>3449089.7141653844</v>
      </c>
      <c r="S1961">
        <v>0</v>
      </c>
    </row>
    <row r="1962" spans="18:19" x14ac:dyDescent="0.25">
      <c r="R1962">
        <v>3449115.3766662567</v>
      </c>
      <c r="S1962">
        <v>0</v>
      </c>
    </row>
    <row r="1963" spans="18:19" x14ac:dyDescent="0.25">
      <c r="R1963">
        <v>3449141.0391671294</v>
      </c>
      <c r="S1963">
        <v>0</v>
      </c>
    </row>
    <row r="1964" spans="18:19" x14ac:dyDescent="0.25">
      <c r="R1964">
        <v>3449166.7016680017</v>
      </c>
      <c r="S1964">
        <v>0</v>
      </c>
    </row>
    <row r="1965" spans="18:19" x14ac:dyDescent="0.25">
      <c r="R1965">
        <v>3449192.364168874</v>
      </c>
      <c r="S1965">
        <v>0</v>
      </c>
    </row>
    <row r="1966" spans="18:19" x14ac:dyDescent="0.25">
      <c r="R1966">
        <v>3449218.0266697463</v>
      </c>
      <c r="S1966">
        <v>0</v>
      </c>
    </row>
    <row r="1967" spans="18:19" x14ac:dyDescent="0.25">
      <c r="R1967">
        <v>3449243.6891706185</v>
      </c>
      <c r="S1967">
        <v>0</v>
      </c>
    </row>
    <row r="1968" spans="18:19" x14ac:dyDescent="0.25">
      <c r="R1968">
        <v>3449269.3516714913</v>
      </c>
      <c r="S1968">
        <v>0</v>
      </c>
    </row>
    <row r="1969" spans="18:19" x14ac:dyDescent="0.25">
      <c r="R1969">
        <v>3449295.0141723636</v>
      </c>
      <c r="S1969">
        <v>0</v>
      </c>
    </row>
    <row r="1970" spans="18:19" x14ac:dyDescent="0.25">
      <c r="R1970">
        <v>3449320.6766732358</v>
      </c>
      <c r="S1970">
        <v>0</v>
      </c>
    </row>
    <row r="1971" spans="18:19" x14ac:dyDescent="0.25">
      <c r="R1971">
        <v>3449346.3391741081</v>
      </c>
      <c r="S1971">
        <v>0</v>
      </c>
    </row>
    <row r="1972" spans="18:19" x14ac:dyDescent="0.25">
      <c r="R1972">
        <v>3449372.0016749809</v>
      </c>
      <c r="S1972">
        <v>0</v>
      </c>
    </row>
    <row r="1973" spans="18:19" x14ac:dyDescent="0.25">
      <c r="R1973">
        <v>3449397.6641758531</v>
      </c>
      <c r="S1973">
        <v>0</v>
      </c>
    </row>
    <row r="1974" spans="18:19" x14ac:dyDescent="0.25">
      <c r="R1974">
        <v>3449423.3266767254</v>
      </c>
      <c r="S1974">
        <v>0</v>
      </c>
    </row>
    <row r="1975" spans="18:19" x14ac:dyDescent="0.25">
      <c r="R1975">
        <v>3449448.9891775977</v>
      </c>
      <c r="S1975">
        <v>0</v>
      </c>
    </row>
    <row r="1976" spans="18:19" x14ac:dyDescent="0.25">
      <c r="R1976">
        <v>3449474.6516784704</v>
      </c>
      <c r="S1976">
        <v>0</v>
      </c>
    </row>
    <row r="1977" spans="18:19" x14ac:dyDescent="0.25">
      <c r="R1977">
        <v>3449500.3141793427</v>
      </c>
      <c r="S1977">
        <v>0</v>
      </c>
    </row>
    <row r="1978" spans="18:19" x14ac:dyDescent="0.25">
      <c r="R1978">
        <v>3449525.976680215</v>
      </c>
      <c r="S1978">
        <v>0</v>
      </c>
    </row>
    <row r="1979" spans="18:19" x14ac:dyDescent="0.25">
      <c r="R1979">
        <v>3449551.6391810873</v>
      </c>
      <c r="S1979">
        <v>0</v>
      </c>
    </row>
    <row r="1980" spans="18:19" x14ac:dyDescent="0.25">
      <c r="R1980">
        <v>3449577.30168196</v>
      </c>
      <c r="S1980">
        <v>0</v>
      </c>
    </row>
    <row r="1981" spans="18:19" x14ac:dyDescent="0.25">
      <c r="R1981">
        <v>3449602.9641828323</v>
      </c>
      <c r="S1981">
        <v>0</v>
      </c>
    </row>
    <row r="1982" spans="18:19" x14ac:dyDescent="0.25">
      <c r="R1982">
        <v>3449628.6266837046</v>
      </c>
      <c r="S1982">
        <v>0</v>
      </c>
    </row>
    <row r="1983" spans="18:19" x14ac:dyDescent="0.25">
      <c r="R1983">
        <v>3449654.2891845768</v>
      </c>
      <c r="S1983">
        <v>0</v>
      </c>
    </row>
    <row r="1984" spans="18:19" x14ac:dyDescent="0.25">
      <c r="R1984">
        <v>3449679.9516854491</v>
      </c>
      <c r="S1984">
        <v>0</v>
      </c>
    </row>
    <row r="1985" spans="18:19" x14ac:dyDescent="0.25">
      <c r="R1985">
        <v>3449705.6141863219</v>
      </c>
      <c r="S1985">
        <v>0</v>
      </c>
    </row>
    <row r="1986" spans="18:19" x14ac:dyDescent="0.25">
      <c r="R1986">
        <v>3449731.2766871941</v>
      </c>
      <c r="S1986">
        <v>0</v>
      </c>
    </row>
    <row r="1987" spans="18:19" x14ac:dyDescent="0.25">
      <c r="R1987">
        <v>3449756.9391880664</v>
      </c>
      <c r="S1987">
        <v>0</v>
      </c>
    </row>
    <row r="1988" spans="18:19" x14ac:dyDescent="0.25">
      <c r="R1988">
        <v>3449782.6016889387</v>
      </c>
      <c r="S1988">
        <v>0</v>
      </c>
    </row>
    <row r="1989" spans="18:19" x14ac:dyDescent="0.25">
      <c r="R1989">
        <v>3449808.2641898114</v>
      </c>
      <c r="S1989">
        <v>0</v>
      </c>
    </row>
    <row r="1990" spans="18:19" x14ac:dyDescent="0.25">
      <c r="R1990">
        <v>3449833.9266906837</v>
      </c>
      <c r="S1990">
        <v>0</v>
      </c>
    </row>
    <row r="1991" spans="18:19" x14ac:dyDescent="0.25">
      <c r="R1991">
        <v>3449859.589191556</v>
      </c>
      <c r="S1991">
        <v>0</v>
      </c>
    </row>
    <row r="1992" spans="18:19" x14ac:dyDescent="0.25">
      <c r="R1992">
        <v>3449885.2516924283</v>
      </c>
      <c r="S1992">
        <v>0</v>
      </c>
    </row>
    <row r="1993" spans="18:19" x14ac:dyDescent="0.25">
      <c r="R1993">
        <v>3449910.914193301</v>
      </c>
      <c r="S1993">
        <v>0</v>
      </c>
    </row>
    <row r="1994" spans="18:19" x14ac:dyDescent="0.25">
      <c r="R1994">
        <v>3449936.5766941733</v>
      </c>
      <c r="S1994">
        <v>0</v>
      </c>
    </row>
    <row r="1995" spans="18:19" x14ac:dyDescent="0.25">
      <c r="R1995">
        <v>3449962.2391950455</v>
      </c>
      <c r="S1995">
        <v>0</v>
      </c>
    </row>
    <row r="1996" spans="18:19" x14ac:dyDescent="0.25">
      <c r="R1996">
        <v>3449987.9016959178</v>
      </c>
      <c r="S1996">
        <v>0</v>
      </c>
    </row>
    <row r="1997" spans="18:19" x14ac:dyDescent="0.25">
      <c r="R1997">
        <v>3450013.5641967906</v>
      </c>
      <c r="S1997">
        <v>0</v>
      </c>
    </row>
    <row r="1998" spans="18:19" x14ac:dyDescent="0.25">
      <c r="R1998">
        <v>3450039.2266976628</v>
      </c>
      <c r="S1998">
        <v>0</v>
      </c>
    </row>
    <row r="1999" spans="18:19" x14ac:dyDescent="0.25">
      <c r="R1999">
        <v>3450064.8891985351</v>
      </c>
      <c r="S1999">
        <v>0</v>
      </c>
    </row>
    <row r="2000" spans="18:19" x14ac:dyDescent="0.25">
      <c r="R2000">
        <v>3450090.5516994074</v>
      </c>
      <c r="S2000">
        <v>0</v>
      </c>
    </row>
    <row r="2001" spans="18:19" x14ac:dyDescent="0.25">
      <c r="R2001">
        <v>3450116.2142002797</v>
      </c>
      <c r="S2001">
        <v>0</v>
      </c>
    </row>
    <row r="2002" spans="18:19" x14ac:dyDescent="0.25">
      <c r="R2002">
        <v>3450141.8767011524</v>
      </c>
      <c r="S2002">
        <v>0</v>
      </c>
    </row>
    <row r="2003" spans="18:19" x14ac:dyDescent="0.25">
      <c r="R2003">
        <v>3450167.5392020247</v>
      </c>
      <c r="S2003">
        <v>0</v>
      </c>
    </row>
    <row r="2004" spans="18:19" x14ac:dyDescent="0.25">
      <c r="R2004">
        <v>3450193.201702897</v>
      </c>
      <c r="S2004">
        <v>0</v>
      </c>
    </row>
    <row r="2005" spans="18:19" x14ac:dyDescent="0.25">
      <c r="R2005">
        <v>3450218.8642037692</v>
      </c>
      <c r="S2005">
        <v>0</v>
      </c>
    </row>
    <row r="2006" spans="18:19" x14ac:dyDescent="0.25">
      <c r="R2006">
        <v>3450244.526704642</v>
      </c>
      <c r="S2006">
        <v>0</v>
      </c>
    </row>
    <row r="2007" spans="18:19" x14ac:dyDescent="0.25">
      <c r="R2007">
        <v>3450270.1892055143</v>
      </c>
      <c r="S2007">
        <v>0</v>
      </c>
    </row>
    <row r="2008" spans="18:19" x14ac:dyDescent="0.25">
      <c r="R2008">
        <v>3450295.8517063865</v>
      </c>
      <c r="S2008">
        <v>0</v>
      </c>
    </row>
    <row r="2009" spans="18:19" x14ac:dyDescent="0.25">
      <c r="R2009">
        <v>3450321.5142072588</v>
      </c>
      <c r="S2009">
        <v>0</v>
      </c>
    </row>
    <row r="2010" spans="18:19" x14ac:dyDescent="0.25">
      <c r="R2010">
        <v>3450347.1767081316</v>
      </c>
      <c r="S2010">
        <v>0</v>
      </c>
    </row>
    <row r="2011" spans="18:19" x14ac:dyDescent="0.25">
      <c r="R2011">
        <v>3450372.8392090038</v>
      </c>
      <c r="S2011">
        <v>0</v>
      </c>
    </row>
    <row r="2012" spans="18:19" x14ac:dyDescent="0.25">
      <c r="R2012">
        <v>3450398.5017098761</v>
      </c>
      <c r="S2012">
        <v>0</v>
      </c>
    </row>
    <row r="2013" spans="18:19" x14ac:dyDescent="0.25">
      <c r="R2013">
        <v>3450424.1642107484</v>
      </c>
      <c r="S2013">
        <v>0</v>
      </c>
    </row>
    <row r="2014" spans="18:19" x14ac:dyDescent="0.25">
      <c r="R2014">
        <v>3450449.8267116207</v>
      </c>
      <c r="S2014">
        <v>0</v>
      </c>
    </row>
    <row r="2015" spans="18:19" x14ac:dyDescent="0.25">
      <c r="R2015">
        <v>3450475.4892124934</v>
      </c>
      <c r="S2015">
        <v>0</v>
      </c>
    </row>
    <row r="2016" spans="18:19" x14ac:dyDescent="0.25">
      <c r="R2016">
        <v>3450501.1517133657</v>
      </c>
      <c r="S2016">
        <v>0</v>
      </c>
    </row>
    <row r="2017" spans="18:19" x14ac:dyDescent="0.25">
      <c r="R2017">
        <v>3450526.814214238</v>
      </c>
      <c r="S2017">
        <v>0</v>
      </c>
    </row>
    <row r="2018" spans="18:19" x14ac:dyDescent="0.25">
      <c r="R2018">
        <v>3450552.4767151102</v>
      </c>
      <c r="S2018">
        <v>0</v>
      </c>
    </row>
    <row r="2019" spans="18:19" x14ac:dyDescent="0.25">
      <c r="R2019">
        <v>3450578.139215983</v>
      </c>
      <c r="S2019">
        <v>0</v>
      </c>
    </row>
    <row r="2020" spans="18:19" x14ac:dyDescent="0.25">
      <c r="R2020">
        <v>3450603.8017168553</v>
      </c>
      <c r="S2020">
        <v>0</v>
      </c>
    </row>
    <row r="2021" spans="18:19" x14ac:dyDescent="0.25">
      <c r="R2021">
        <v>3450629.4642177275</v>
      </c>
      <c r="S2021">
        <v>0</v>
      </c>
    </row>
    <row r="2022" spans="18:19" x14ac:dyDescent="0.25">
      <c r="R2022">
        <v>3450655.1267185998</v>
      </c>
      <c r="S2022">
        <v>0</v>
      </c>
    </row>
    <row r="2023" spans="18:19" x14ac:dyDescent="0.25">
      <c r="R2023">
        <v>3450680.7892194726</v>
      </c>
      <c r="S2023">
        <v>0</v>
      </c>
    </row>
    <row r="2024" spans="18:19" x14ac:dyDescent="0.25">
      <c r="R2024">
        <v>3450706.4517203448</v>
      </c>
      <c r="S2024">
        <v>0</v>
      </c>
    </row>
    <row r="2025" spans="18:19" x14ac:dyDescent="0.25">
      <c r="R2025">
        <v>3450732.1142212171</v>
      </c>
      <c r="S2025">
        <v>0</v>
      </c>
    </row>
    <row r="2026" spans="18:19" x14ac:dyDescent="0.25">
      <c r="R2026">
        <v>3450757.7767220894</v>
      </c>
      <c r="S2026">
        <v>0</v>
      </c>
    </row>
    <row r="2027" spans="18:19" x14ac:dyDescent="0.25">
      <c r="R2027">
        <v>3450783.4392229621</v>
      </c>
      <c r="S2027">
        <v>0</v>
      </c>
    </row>
    <row r="2028" spans="18:19" x14ac:dyDescent="0.25">
      <c r="R2028">
        <v>3450809.1017238344</v>
      </c>
      <c r="S2028">
        <v>0</v>
      </c>
    </row>
    <row r="2029" spans="18:19" x14ac:dyDescent="0.25">
      <c r="R2029">
        <v>3450834.7642247067</v>
      </c>
      <c r="S2029">
        <v>0</v>
      </c>
    </row>
    <row r="2030" spans="18:19" x14ac:dyDescent="0.25">
      <c r="R2030">
        <v>3450860.426725579</v>
      </c>
      <c r="S2030">
        <v>0</v>
      </c>
    </row>
    <row r="2031" spans="18:19" x14ac:dyDescent="0.25">
      <c r="R2031">
        <v>3450886.0892264512</v>
      </c>
      <c r="S2031">
        <v>0</v>
      </c>
    </row>
    <row r="2032" spans="18:19" x14ac:dyDescent="0.25">
      <c r="R2032">
        <v>3450911.751727324</v>
      </c>
      <c r="S2032">
        <v>0</v>
      </c>
    </row>
    <row r="2033" spans="18:19" x14ac:dyDescent="0.25">
      <c r="R2033">
        <v>3450937.4142281963</v>
      </c>
      <c r="S2033">
        <v>0</v>
      </c>
    </row>
    <row r="2034" spans="18:19" x14ac:dyDescent="0.25">
      <c r="R2034">
        <v>3450963.0767290685</v>
      </c>
      <c r="S2034">
        <v>0</v>
      </c>
    </row>
    <row r="2035" spans="18:19" x14ac:dyDescent="0.25">
      <c r="R2035">
        <v>3450988.7392299408</v>
      </c>
      <c r="S2035">
        <v>0</v>
      </c>
    </row>
    <row r="2036" spans="18:19" x14ac:dyDescent="0.25">
      <c r="R2036">
        <v>3451014.4017308136</v>
      </c>
      <c r="S2036">
        <v>0</v>
      </c>
    </row>
    <row r="2037" spans="18:19" x14ac:dyDescent="0.25">
      <c r="R2037">
        <v>3451040.0642316858</v>
      </c>
      <c r="S2037">
        <v>0</v>
      </c>
    </row>
    <row r="2038" spans="18:19" x14ac:dyDescent="0.25">
      <c r="R2038">
        <v>3451065.7267325581</v>
      </c>
      <c r="S2038">
        <v>0</v>
      </c>
    </row>
    <row r="2039" spans="18:19" x14ac:dyDescent="0.25">
      <c r="R2039">
        <v>3451091.3892334304</v>
      </c>
      <c r="S2039">
        <v>0</v>
      </c>
    </row>
    <row r="2040" spans="18:19" x14ac:dyDescent="0.25">
      <c r="R2040">
        <v>3451117.0517343031</v>
      </c>
      <c r="S2040">
        <v>0</v>
      </c>
    </row>
    <row r="2041" spans="18:19" x14ac:dyDescent="0.25">
      <c r="R2041">
        <v>3451142.7142351754</v>
      </c>
      <c r="S2041">
        <v>0</v>
      </c>
    </row>
    <row r="2042" spans="18:19" x14ac:dyDescent="0.25">
      <c r="R2042">
        <v>3451168.3767360477</v>
      </c>
      <c r="S2042">
        <v>0</v>
      </c>
    </row>
    <row r="2043" spans="18:19" x14ac:dyDescent="0.25">
      <c r="R2043">
        <v>3451194.03923692</v>
      </c>
      <c r="S2043">
        <v>0</v>
      </c>
    </row>
    <row r="2044" spans="18:19" x14ac:dyDescent="0.25">
      <c r="R2044">
        <v>3451219.7017377927</v>
      </c>
      <c r="S2044">
        <v>0</v>
      </c>
    </row>
    <row r="2045" spans="18:19" x14ac:dyDescent="0.25">
      <c r="R2045">
        <v>3451245.364238665</v>
      </c>
      <c r="S2045">
        <v>0</v>
      </c>
    </row>
    <row r="2046" spans="18:19" x14ac:dyDescent="0.25">
      <c r="R2046">
        <v>3451271.0267395373</v>
      </c>
      <c r="S2046">
        <v>0</v>
      </c>
    </row>
    <row r="2047" spans="18:19" x14ac:dyDescent="0.25">
      <c r="R2047">
        <v>3451296.6892404095</v>
      </c>
      <c r="S2047">
        <v>0</v>
      </c>
    </row>
    <row r="2048" spans="18:19" x14ac:dyDescent="0.25">
      <c r="R2048">
        <v>3451322.3517412818</v>
      </c>
      <c r="S2048">
        <v>0</v>
      </c>
    </row>
    <row r="2049" spans="18:19" x14ac:dyDescent="0.25">
      <c r="R2049">
        <v>3451348.0142421545</v>
      </c>
      <c r="S2049">
        <v>0</v>
      </c>
    </row>
    <row r="2050" spans="18:19" x14ac:dyDescent="0.25">
      <c r="R2050">
        <v>3451373.6767430268</v>
      </c>
      <c r="S2050">
        <v>0</v>
      </c>
    </row>
    <row r="2051" spans="18:19" x14ac:dyDescent="0.25">
      <c r="R2051">
        <v>3451399.3392438991</v>
      </c>
      <c r="S2051">
        <v>0</v>
      </c>
    </row>
    <row r="2052" spans="18:19" x14ac:dyDescent="0.25">
      <c r="R2052">
        <v>3451425.0017447714</v>
      </c>
      <c r="S2052">
        <v>0</v>
      </c>
    </row>
    <row r="2053" spans="18:19" x14ac:dyDescent="0.25">
      <c r="R2053">
        <v>3451450.6642456441</v>
      </c>
      <c r="S2053">
        <v>0</v>
      </c>
    </row>
    <row r="2054" spans="18:19" x14ac:dyDescent="0.25">
      <c r="R2054">
        <v>3451476.3267465164</v>
      </c>
      <c r="S2054">
        <v>0</v>
      </c>
    </row>
    <row r="2055" spans="18:19" x14ac:dyDescent="0.25">
      <c r="R2055">
        <v>3451501.9892473887</v>
      </c>
      <c r="S2055">
        <v>0</v>
      </c>
    </row>
    <row r="2056" spans="18:19" x14ac:dyDescent="0.25">
      <c r="R2056">
        <v>3451527.6517482609</v>
      </c>
      <c r="S2056">
        <v>0</v>
      </c>
    </row>
    <row r="2057" spans="18:19" x14ac:dyDescent="0.25">
      <c r="R2057">
        <v>3451553.3142491337</v>
      </c>
      <c r="S2057">
        <v>0</v>
      </c>
    </row>
    <row r="2058" spans="18:19" x14ac:dyDescent="0.25">
      <c r="R2058">
        <v>3451578.976750006</v>
      </c>
      <c r="S2058">
        <v>0</v>
      </c>
    </row>
    <row r="2059" spans="18:19" x14ac:dyDescent="0.25">
      <c r="R2059">
        <v>3451604.6392508782</v>
      </c>
      <c r="S2059">
        <v>0</v>
      </c>
    </row>
    <row r="2060" spans="18:19" x14ac:dyDescent="0.25">
      <c r="R2060">
        <v>3451630.3017517505</v>
      </c>
      <c r="S2060">
        <v>0</v>
      </c>
    </row>
    <row r="2061" spans="18:19" x14ac:dyDescent="0.25">
      <c r="R2061">
        <v>3451655.9642526233</v>
      </c>
      <c r="S2061">
        <v>0</v>
      </c>
    </row>
    <row r="2062" spans="18:19" x14ac:dyDescent="0.25">
      <c r="R2062">
        <v>3451681.6267534955</v>
      </c>
      <c r="S2062">
        <v>0</v>
      </c>
    </row>
    <row r="2063" spans="18:19" x14ac:dyDescent="0.25">
      <c r="R2063">
        <v>3451707.2892543678</v>
      </c>
      <c r="S2063">
        <v>0</v>
      </c>
    </row>
    <row r="2064" spans="18:19" x14ac:dyDescent="0.25">
      <c r="R2064">
        <v>3451732.9517552401</v>
      </c>
      <c r="S2064">
        <v>0</v>
      </c>
    </row>
    <row r="2065" spans="18:19" x14ac:dyDescent="0.25">
      <c r="R2065">
        <v>3451758.6142561124</v>
      </c>
      <c r="S2065">
        <v>0</v>
      </c>
    </row>
    <row r="2066" spans="18:19" x14ac:dyDescent="0.25">
      <c r="R2066">
        <v>3451784.2767569851</v>
      </c>
      <c r="S2066">
        <v>0</v>
      </c>
    </row>
    <row r="2067" spans="18:19" x14ac:dyDescent="0.25">
      <c r="R2067">
        <v>3451809.9392578574</v>
      </c>
      <c r="S2067">
        <v>0</v>
      </c>
    </row>
    <row r="2068" spans="18:19" x14ac:dyDescent="0.25">
      <c r="R2068">
        <v>3451835.6017587297</v>
      </c>
      <c r="S2068">
        <v>0</v>
      </c>
    </row>
    <row r="2069" spans="18:19" x14ac:dyDescent="0.25">
      <c r="R2069">
        <v>3451861.2642596019</v>
      </c>
      <c r="S2069">
        <v>0</v>
      </c>
    </row>
    <row r="2070" spans="18:19" x14ac:dyDescent="0.25">
      <c r="R2070">
        <v>3451886.9267604747</v>
      </c>
      <c r="S2070">
        <v>0</v>
      </c>
    </row>
    <row r="2071" spans="18:19" x14ac:dyDescent="0.25">
      <c r="R2071">
        <v>3451912.589261347</v>
      </c>
      <c r="S2071">
        <v>0</v>
      </c>
    </row>
    <row r="2072" spans="18:19" x14ac:dyDescent="0.25">
      <c r="R2072">
        <v>3451938.2517622192</v>
      </c>
      <c r="S2072">
        <v>0</v>
      </c>
    </row>
    <row r="2073" spans="18:19" x14ac:dyDescent="0.25">
      <c r="R2073">
        <v>3451963.9142630915</v>
      </c>
      <c r="S2073">
        <v>0</v>
      </c>
    </row>
    <row r="2074" spans="18:19" x14ac:dyDescent="0.25">
      <c r="R2074">
        <v>3451989.5767639643</v>
      </c>
      <c r="S2074">
        <v>0</v>
      </c>
    </row>
    <row r="2075" spans="18:19" x14ac:dyDescent="0.25">
      <c r="R2075">
        <v>3452015.2392648365</v>
      </c>
      <c r="S2075">
        <v>0</v>
      </c>
    </row>
    <row r="2076" spans="18:19" x14ac:dyDescent="0.25">
      <c r="R2076">
        <v>3452040.9017657088</v>
      </c>
      <c r="S2076">
        <v>0</v>
      </c>
    </row>
    <row r="2077" spans="18:19" x14ac:dyDescent="0.25">
      <c r="R2077">
        <v>3452066.5642665811</v>
      </c>
      <c r="S2077">
        <v>0</v>
      </c>
    </row>
    <row r="2078" spans="18:19" x14ac:dyDescent="0.25">
      <c r="R2078">
        <v>3452092.2267674534</v>
      </c>
      <c r="S2078">
        <v>0</v>
      </c>
    </row>
    <row r="2079" spans="18:19" x14ac:dyDescent="0.25">
      <c r="R2079">
        <v>3452117.8892683261</v>
      </c>
      <c r="S2079">
        <v>0</v>
      </c>
    </row>
    <row r="2080" spans="18:19" x14ac:dyDescent="0.25">
      <c r="R2080">
        <v>3452143.5517691984</v>
      </c>
      <c r="S2080">
        <v>0</v>
      </c>
    </row>
    <row r="2081" spans="18:19" x14ac:dyDescent="0.25">
      <c r="R2081">
        <v>3452169.2142700707</v>
      </c>
      <c r="S2081">
        <v>0</v>
      </c>
    </row>
    <row r="2082" spans="18:19" x14ac:dyDescent="0.25">
      <c r="R2082">
        <v>3452194.8767709429</v>
      </c>
      <c r="S2082">
        <v>0</v>
      </c>
    </row>
    <row r="2083" spans="18:19" x14ac:dyDescent="0.25">
      <c r="R2083">
        <v>3452220.5392718157</v>
      </c>
      <c r="S2083">
        <v>0</v>
      </c>
    </row>
    <row r="2084" spans="18:19" x14ac:dyDescent="0.25">
      <c r="R2084">
        <v>3452246.201772688</v>
      </c>
      <c r="S2084">
        <v>0</v>
      </c>
    </row>
    <row r="2085" spans="18:19" x14ac:dyDescent="0.25">
      <c r="R2085">
        <v>3452271.8642735602</v>
      </c>
      <c r="S2085">
        <v>0</v>
      </c>
    </row>
    <row r="2086" spans="18:19" x14ac:dyDescent="0.25">
      <c r="R2086">
        <v>3452297.5267744325</v>
      </c>
      <c r="S2086">
        <v>0</v>
      </c>
    </row>
    <row r="2087" spans="18:19" x14ac:dyDescent="0.25">
      <c r="R2087">
        <v>3452323.1892753053</v>
      </c>
      <c r="S2087">
        <v>0</v>
      </c>
    </row>
    <row r="2088" spans="18:19" x14ac:dyDescent="0.25">
      <c r="R2088">
        <v>3452348.8517761775</v>
      </c>
      <c r="S2088">
        <v>0</v>
      </c>
    </row>
    <row r="2089" spans="18:19" x14ac:dyDescent="0.25">
      <c r="R2089">
        <v>3452374.5142770498</v>
      </c>
      <c r="S2089">
        <v>0</v>
      </c>
    </row>
    <row r="2090" spans="18:19" x14ac:dyDescent="0.25">
      <c r="R2090">
        <v>3452400.1767779221</v>
      </c>
      <c r="S2090">
        <v>0</v>
      </c>
    </row>
    <row r="2091" spans="18:19" x14ac:dyDescent="0.25">
      <c r="R2091">
        <v>3452425.8392787948</v>
      </c>
      <c r="S2091">
        <v>0</v>
      </c>
    </row>
    <row r="2092" spans="18:19" x14ac:dyDescent="0.25">
      <c r="R2092">
        <v>3452451.5017796671</v>
      </c>
      <c r="S2092">
        <v>0</v>
      </c>
    </row>
    <row r="2093" spans="18:19" x14ac:dyDescent="0.25">
      <c r="R2093">
        <v>3452477.1642805394</v>
      </c>
      <c r="S2093">
        <v>0</v>
      </c>
    </row>
    <row r="2094" spans="18:19" x14ac:dyDescent="0.25">
      <c r="R2094">
        <v>3452502.8267814117</v>
      </c>
      <c r="S2094">
        <v>0</v>
      </c>
    </row>
    <row r="2095" spans="18:19" x14ac:dyDescent="0.25">
      <c r="R2095">
        <v>3452528.4892822839</v>
      </c>
      <c r="S2095">
        <v>0</v>
      </c>
    </row>
    <row r="2096" spans="18:19" x14ac:dyDescent="0.25">
      <c r="R2096">
        <v>3452554.1517831567</v>
      </c>
      <c r="S2096">
        <v>0</v>
      </c>
    </row>
    <row r="2097" spans="18:19" x14ac:dyDescent="0.25">
      <c r="R2097">
        <v>3452579.814284029</v>
      </c>
      <c r="S2097">
        <v>0</v>
      </c>
    </row>
    <row r="2098" spans="18:19" x14ac:dyDescent="0.25">
      <c r="R2098">
        <v>3452605.4767849012</v>
      </c>
      <c r="S2098">
        <v>0</v>
      </c>
    </row>
    <row r="2099" spans="18:19" x14ac:dyDescent="0.25">
      <c r="R2099">
        <v>3452631.1392857735</v>
      </c>
      <c r="S2099">
        <v>0</v>
      </c>
    </row>
    <row r="2100" spans="18:19" x14ac:dyDescent="0.25">
      <c r="R2100">
        <v>3452656.8017866462</v>
      </c>
      <c r="S2100">
        <v>0</v>
      </c>
    </row>
    <row r="2101" spans="18:19" x14ac:dyDescent="0.25">
      <c r="R2101">
        <v>3452682.4642875185</v>
      </c>
      <c r="S2101">
        <v>0</v>
      </c>
    </row>
    <row r="2102" spans="18:19" x14ac:dyDescent="0.25">
      <c r="R2102">
        <v>3452708.1267883908</v>
      </c>
      <c r="S2102">
        <v>0</v>
      </c>
    </row>
    <row r="2103" spans="18:19" x14ac:dyDescent="0.25">
      <c r="R2103">
        <v>3452733.7892892631</v>
      </c>
      <c r="S2103">
        <v>0</v>
      </c>
    </row>
    <row r="2104" spans="18:19" x14ac:dyDescent="0.25">
      <c r="R2104">
        <v>3452759.4517901358</v>
      </c>
      <c r="S2104">
        <v>0</v>
      </c>
    </row>
    <row r="2105" spans="18:19" x14ac:dyDescent="0.25">
      <c r="R2105">
        <v>3452785.1142910081</v>
      </c>
      <c r="S2105">
        <v>0</v>
      </c>
    </row>
    <row r="2106" spans="18:19" x14ac:dyDescent="0.25">
      <c r="R2106">
        <v>3452810.7767918804</v>
      </c>
      <c r="S2106">
        <v>0</v>
      </c>
    </row>
    <row r="2107" spans="18:19" x14ac:dyDescent="0.25">
      <c r="R2107">
        <v>3452836.4392927526</v>
      </c>
      <c r="S2107">
        <v>0</v>
      </c>
    </row>
    <row r="2108" spans="18:19" x14ac:dyDescent="0.25">
      <c r="R2108">
        <v>3452862.1017936254</v>
      </c>
      <c r="S2108">
        <v>0</v>
      </c>
    </row>
    <row r="2109" spans="18:19" x14ac:dyDescent="0.25">
      <c r="R2109">
        <v>3452887.7642944977</v>
      </c>
      <c r="S2109">
        <v>0</v>
      </c>
    </row>
    <row r="2110" spans="18:19" x14ac:dyDescent="0.25">
      <c r="R2110">
        <v>3452913.4267953699</v>
      </c>
      <c r="S2110">
        <v>0</v>
      </c>
    </row>
    <row r="2111" spans="18:19" x14ac:dyDescent="0.25">
      <c r="R2111">
        <v>3452939.0892962422</v>
      </c>
      <c r="S2111">
        <v>0</v>
      </c>
    </row>
    <row r="2112" spans="18:19" x14ac:dyDescent="0.25">
      <c r="R2112">
        <v>3452964.7517971145</v>
      </c>
      <c r="S2112">
        <v>0</v>
      </c>
    </row>
    <row r="2113" spans="18:19" x14ac:dyDescent="0.25">
      <c r="R2113">
        <v>3452990.4142979872</v>
      </c>
      <c r="S2113">
        <v>0</v>
      </c>
    </row>
    <row r="2114" spans="18:19" x14ac:dyDescent="0.25">
      <c r="R2114">
        <v>3453016.0767988595</v>
      </c>
      <c r="S2114">
        <v>0</v>
      </c>
    </row>
    <row r="2115" spans="18:19" x14ac:dyDescent="0.25">
      <c r="R2115">
        <v>3453041.7392997318</v>
      </c>
      <c r="S2115">
        <v>0</v>
      </c>
    </row>
    <row r="2116" spans="18:19" x14ac:dyDescent="0.25">
      <c r="R2116">
        <v>3453067.4018006041</v>
      </c>
      <c r="S2116">
        <v>0</v>
      </c>
    </row>
    <row r="2117" spans="18:19" x14ac:dyDescent="0.25">
      <c r="R2117">
        <v>3453093.0643014768</v>
      </c>
      <c r="S2117">
        <v>0</v>
      </c>
    </row>
    <row r="2118" spans="18:19" x14ac:dyDescent="0.25">
      <c r="R2118">
        <v>3453118.7268023491</v>
      </c>
      <c r="S2118">
        <v>0</v>
      </c>
    </row>
    <row r="2119" spans="18:19" x14ac:dyDescent="0.25">
      <c r="R2119">
        <v>3453144.3893032214</v>
      </c>
      <c r="S2119">
        <v>0</v>
      </c>
    </row>
    <row r="2120" spans="18:19" x14ac:dyDescent="0.25">
      <c r="R2120">
        <v>3453170.0518040936</v>
      </c>
      <c r="S2120">
        <v>0</v>
      </c>
    </row>
    <row r="2121" spans="18:19" x14ac:dyDescent="0.25">
      <c r="R2121">
        <v>3453195.7143049664</v>
      </c>
      <c r="S2121">
        <v>0</v>
      </c>
    </row>
    <row r="2122" spans="18:19" x14ac:dyDescent="0.25">
      <c r="R2122">
        <v>3453221.3768058387</v>
      </c>
      <c r="S2122">
        <v>0</v>
      </c>
    </row>
    <row r="2123" spans="18:19" x14ac:dyDescent="0.25">
      <c r="R2123">
        <v>3453247.0393067109</v>
      </c>
      <c r="S2123">
        <v>0</v>
      </c>
    </row>
    <row r="2124" spans="18:19" x14ac:dyDescent="0.25">
      <c r="R2124">
        <v>3453272.7018075832</v>
      </c>
      <c r="S2124">
        <v>0</v>
      </c>
    </row>
    <row r="2125" spans="18:19" x14ac:dyDescent="0.25">
      <c r="R2125">
        <v>3453298.364308456</v>
      </c>
      <c r="S2125">
        <v>0</v>
      </c>
    </row>
    <row r="2126" spans="18:19" x14ac:dyDescent="0.25">
      <c r="R2126">
        <v>3453324.0268093282</v>
      </c>
      <c r="S2126">
        <v>0</v>
      </c>
    </row>
    <row r="2127" spans="18:19" x14ac:dyDescent="0.25">
      <c r="R2127">
        <v>3453349.6893102005</v>
      </c>
      <c r="S2127">
        <v>0</v>
      </c>
    </row>
    <row r="2128" spans="18:19" x14ac:dyDescent="0.25">
      <c r="R2128">
        <v>3453375.3518110728</v>
      </c>
      <c r="S2128">
        <v>0</v>
      </c>
    </row>
    <row r="2129" spans="18:19" x14ac:dyDescent="0.25">
      <c r="R2129">
        <v>3453401.0143119451</v>
      </c>
      <c r="S2129">
        <v>0</v>
      </c>
    </row>
    <row r="2130" spans="18:19" x14ac:dyDescent="0.25">
      <c r="R2130">
        <v>3453426.6768128178</v>
      </c>
      <c r="S2130">
        <v>0</v>
      </c>
    </row>
    <row r="2131" spans="18:19" x14ac:dyDescent="0.25">
      <c r="R2131">
        <v>3453452.3393136901</v>
      </c>
      <c r="S2131">
        <v>0</v>
      </c>
    </row>
    <row r="2132" spans="18:19" x14ac:dyDescent="0.25">
      <c r="R2132">
        <v>3453478.0018145624</v>
      </c>
      <c r="S2132">
        <v>0</v>
      </c>
    </row>
    <row r="2133" spans="18:19" x14ac:dyDescent="0.25">
      <c r="R2133">
        <v>3453503.6643154346</v>
      </c>
      <c r="S2133">
        <v>0</v>
      </c>
    </row>
    <row r="2134" spans="18:19" x14ac:dyDescent="0.25">
      <c r="R2134">
        <v>3453529.3268163074</v>
      </c>
      <c r="S2134">
        <v>0</v>
      </c>
    </row>
    <row r="2135" spans="18:19" x14ac:dyDescent="0.25">
      <c r="R2135">
        <v>3453554.9893171797</v>
      </c>
      <c r="S2135">
        <v>0</v>
      </c>
    </row>
    <row r="2136" spans="18:19" x14ac:dyDescent="0.25">
      <c r="R2136">
        <v>3453580.6518180519</v>
      </c>
      <c r="S2136">
        <v>0</v>
      </c>
    </row>
    <row r="2137" spans="18:19" x14ac:dyDescent="0.25">
      <c r="R2137">
        <v>3453606.3143189242</v>
      </c>
      <c r="S2137">
        <v>0</v>
      </c>
    </row>
    <row r="2138" spans="18:19" x14ac:dyDescent="0.25">
      <c r="R2138">
        <v>3453631.976819797</v>
      </c>
      <c r="S2138">
        <v>0</v>
      </c>
    </row>
    <row r="2139" spans="18:19" x14ac:dyDescent="0.25">
      <c r="R2139">
        <v>3453657.6393206692</v>
      </c>
      <c r="S2139">
        <v>0</v>
      </c>
    </row>
    <row r="2140" spans="18:19" x14ac:dyDescent="0.25">
      <c r="R2140">
        <v>3453683.3018215415</v>
      </c>
      <c r="S2140">
        <v>0</v>
      </c>
    </row>
    <row r="2141" spans="18:19" x14ac:dyDescent="0.25">
      <c r="R2141">
        <v>3453708.9643224138</v>
      </c>
      <c r="S2141">
        <v>0</v>
      </c>
    </row>
    <row r="2142" spans="18:19" x14ac:dyDescent="0.25">
      <c r="R2142">
        <v>3453734.6268232861</v>
      </c>
      <c r="S2142">
        <v>0</v>
      </c>
    </row>
    <row r="2143" spans="18:19" x14ac:dyDescent="0.25">
      <c r="R2143">
        <v>3453760.2893241588</v>
      </c>
      <c r="S2143">
        <v>0</v>
      </c>
    </row>
    <row r="2144" spans="18:19" x14ac:dyDescent="0.25">
      <c r="R2144">
        <v>3453785.9518250311</v>
      </c>
      <c r="S2144">
        <v>0</v>
      </c>
    </row>
    <row r="2145" spans="18:19" x14ac:dyDescent="0.25">
      <c r="R2145">
        <v>3453811.6143259034</v>
      </c>
      <c r="S2145">
        <v>0</v>
      </c>
    </row>
    <row r="2146" spans="18:19" x14ac:dyDescent="0.25">
      <c r="R2146">
        <v>3453837.2768267756</v>
      </c>
      <c r="S2146">
        <v>0</v>
      </c>
    </row>
    <row r="2147" spans="18:19" x14ac:dyDescent="0.25">
      <c r="R2147">
        <v>3453862.9393276484</v>
      </c>
      <c r="S2147">
        <v>0</v>
      </c>
    </row>
    <row r="2148" spans="18:19" x14ac:dyDescent="0.25">
      <c r="R2148">
        <v>3453888.6018285207</v>
      </c>
      <c r="S2148">
        <v>0</v>
      </c>
    </row>
    <row r="2149" spans="18:19" x14ac:dyDescent="0.25">
      <c r="R2149">
        <v>3453914.2643293929</v>
      </c>
      <c r="S2149">
        <v>0</v>
      </c>
    </row>
    <row r="2150" spans="18:19" x14ac:dyDescent="0.25">
      <c r="R2150">
        <v>3453939.9268302652</v>
      </c>
      <c r="S2150">
        <v>0</v>
      </c>
    </row>
    <row r="2151" spans="18:19" x14ac:dyDescent="0.25">
      <c r="R2151">
        <v>3453965.5893311379</v>
      </c>
      <c r="S2151">
        <v>0</v>
      </c>
    </row>
    <row r="2152" spans="18:19" x14ac:dyDescent="0.25">
      <c r="R2152">
        <v>3453991.2518320102</v>
      </c>
      <c r="S2152">
        <v>0</v>
      </c>
    </row>
    <row r="2153" spans="18:19" x14ac:dyDescent="0.25">
      <c r="R2153">
        <v>3454016.9143328825</v>
      </c>
      <c r="S2153">
        <v>0</v>
      </c>
    </row>
    <row r="2154" spans="18:19" x14ac:dyDescent="0.25">
      <c r="R2154">
        <v>3454042.5768337548</v>
      </c>
      <c r="S2154">
        <v>0</v>
      </c>
    </row>
    <row r="2155" spans="18:19" x14ac:dyDescent="0.25">
      <c r="R2155">
        <v>3454068.2393346275</v>
      </c>
      <c r="S2155">
        <v>0</v>
      </c>
    </row>
    <row r="2156" spans="18:19" x14ac:dyDescent="0.25">
      <c r="R2156">
        <v>3454093.9018354998</v>
      </c>
      <c r="S2156">
        <v>0</v>
      </c>
    </row>
    <row r="2157" spans="18:19" x14ac:dyDescent="0.25">
      <c r="R2157">
        <v>3454119.5643363721</v>
      </c>
      <c r="S2157">
        <v>0</v>
      </c>
    </row>
    <row r="2158" spans="18:19" x14ac:dyDescent="0.25">
      <c r="R2158">
        <v>3454145.2268372444</v>
      </c>
      <c r="S2158">
        <v>0</v>
      </c>
    </row>
    <row r="2159" spans="18:19" x14ac:dyDescent="0.25">
      <c r="R2159">
        <v>3454170.8893381166</v>
      </c>
      <c r="S2159">
        <v>0</v>
      </c>
    </row>
    <row r="2160" spans="18:19" x14ac:dyDescent="0.25">
      <c r="R2160">
        <v>3454196.5518389894</v>
      </c>
      <c r="S2160">
        <v>0</v>
      </c>
    </row>
    <row r="2161" spans="18:19" x14ac:dyDescent="0.25">
      <c r="R2161">
        <v>3454222.2143398616</v>
      </c>
      <c r="S2161">
        <v>0</v>
      </c>
    </row>
    <row r="2162" spans="18:19" x14ac:dyDescent="0.25">
      <c r="R2162">
        <v>3454247.8768407339</v>
      </c>
      <c r="S2162">
        <v>0</v>
      </c>
    </row>
    <row r="2163" spans="18:19" x14ac:dyDescent="0.25">
      <c r="R2163">
        <v>3454273.5393416062</v>
      </c>
      <c r="S2163">
        <v>0</v>
      </c>
    </row>
    <row r="2164" spans="18:19" x14ac:dyDescent="0.25">
      <c r="R2164">
        <v>3454299.2018424789</v>
      </c>
      <c r="S2164">
        <v>0</v>
      </c>
    </row>
    <row r="2165" spans="18:19" x14ac:dyDescent="0.25">
      <c r="R2165">
        <v>3454324.8643433512</v>
      </c>
      <c r="S2165">
        <v>0</v>
      </c>
    </row>
    <row r="2166" spans="18:19" x14ac:dyDescent="0.25">
      <c r="R2166">
        <v>3454350.5268442235</v>
      </c>
      <c r="S2166">
        <v>0</v>
      </c>
    </row>
    <row r="2167" spans="18:19" x14ac:dyDescent="0.25">
      <c r="R2167">
        <v>3454376.1893450958</v>
      </c>
      <c r="S2167">
        <v>0</v>
      </c>
    </row>
    <row r="2168" spans="18:19" x14ac:dyDescent="0.25">
      <c r="R2168">
        <v>3454401.8518459685</v>
      </c>
      <c r="S2168">
        <v>0</v>
      </c>
    </row>
    <row r="2169" spans="18:19" x14ac:dyDescent="0.25">
      <c r="R2169">
        <v>3454427.5143468408</v>
      </c>
      <c r="S2169">
        <v>0</v>
      </c>
    </row>
    <row r="2170" spans="18:19" x14ac:dyDescent="0.25">
      <c r="R2170">
        <v>3454453.1768477131</v>
      </c>
      <c r="S2170">
        <v>0</v>
      </c>
    </row>
    <row r="2171" spans="18:19" x14ac:dyDescent="0.25">
      <c r="R2171">
        <v>3454478.8393485853</v>
      </c>
      <c r="S2171">
        <v>0</v>
      </c>
    </row>
    <row r="2172" spans="18:19" x14ac:dyDescent="0.25">
      <c r="R2172">
        <v>3454504.5018494581</v>
      </c>
      <c r="S2172">
        <v>0</v>
      </c>
    </row>
    <row r="2173" spans="18:19" x14ac:dyDescent="0.25">
      <c r="R2173">
        <v>3454530.1643503304</v>
      </c>
      <c r="S2173">
        <v>0</v>
      </c>
    </row>
    <row r="2174" spans="18:19" x14ac:dyDescent="0.25">
      <c r="R2174">
        <v>3454555.8268512026</v>
      </c>
      <c r="S2174">
        <v>0</v>
      </c>
    </row>
    <row r="2175" spans="18:19" x14ac:dyDescent="0.25">
      <c r="R2175">
        <v>3454581.4893520749</v>
      </c>
      <c r="S2175">
        <v>0</v>
      </c>
    </row>
    <row r="2176" spans="18:19" x14ac:dyDescent="0.25">
      <c r="R2176">
        <v>3454607.1518529472</v>
      </c>
      <c r="S2176">
        <v>0</v>
      </c>
    </row>
    <row r="2177" spans="18:19" x14ac:dyDescent="0.25">
      <c r="R2177">
        <v>3454632.8143538199</v>
      </c>
      <c r="S2177">
        <v>0</v>
      </c>
    </row>
    <row r="2178" spans="18:19" x14ac:dyDescent="0.25">
      <c r="R2178">
        <v>3454658.4768546922</v>
      </c>
      <c r="S2178">
        <v>0</v>
      </c>
    </row>
    <row r="2179" spans="18:19" x14ac:dyDescent="0.25">
      <c r="R2179">
        <v>3454684.1393555645</v>
      </c>
      <c r="S2179">
        <v>0</v>
      </c>
    </row>
    <row r="2180" spans="18:19" x14ac:dyDescent="0.25">
      <c r="R2180">
        <v>3454709.8018564368</v>
      </c>
      <c r="S2180">
        <v>0</v>
      </c>
    </row>
    <row r="2181" spans="18:19" x14ac:dyDescent="0.25">
      <c r="R2181">
        <v>3454735.4643573095</v>
      </c>
      <c r="S2181">
        <v>0</v>
      </c>
    </row>
    <row r="2182" spans="18:19" x14ac:dyDescent="0.25">
      <c r="R2182">
        <v>3454761.1268581818</v>
      </c>
      <c r="S2182">
        <v>0</v>
      </c>
    </row>
    <row r="2183" spans="18:19" x14ac:dyDescent="0.25">
      <c r="R2183">
        <v>3454786.7893590541</v>
      </c>
      <c r="S2183">
        <v>0</v>
      </c>
    </row>
    <row r="2184" spans="18:19" x14ac:dyDescent="0.25">
      <c r="R2184">
        <v>3454812.4518599263</v>
      </c>
      <c r="S2184">
        <v>0</v>
      </c>
    </row>
    <row r="2185" spans="18:19" x14ac:dyDescent="0.25">
      <c r="R2185">
        <v>3454838.1143607991</v>
      </c>
      <c r="S2185">
        <v>0</v>
      </c>
    </row>
    <row r="2186" spans="18:19" x14ac:dyDescent="0.25">
      <c r="R2186">
        <v>3454863.7768616714</v>
      </c>
      <c r="S2186">
        <v>0</v>
      </c>
    </row>
    <row r="2187" spans="18:19" x14ac:dyDescent="0.25">
      <c r="R2187">
        <v>3454889.4393625436</v>
      </c>
      <c r="S2187">
        <v>0</v>
      </c>
    </row>
    <row r="2188" spans="18:19" x14ac:dyDescent="0.25">
      <c r="R2188">
        <v>3454915.1018634159</v>
      </c>
      <c r="S2188">
        <v>0</v>
      </c>
    </row>
    <row r="2189" spans="18:19" x14ac:dyDescent="0.25">
      <c r="R2189">
        <v>3454940.7643642887</v>
      </c>
      <c r="S2189">
        <v>0</v>
      </c>
    </row>
    <row r="2190" spans="18:19" x14ac:dyDescent="0.25">
      <c r="R2190">
        <v>3454966.4268651609</v>
      </c>
      <c r="S2190">
        <v>0</v>
      </c>
    </row>
    <row r="2191" spans="18:19" x14ac:dyDescent="0.25">
      <c r="R2191">
        <v>3454992.0893660332</v>
      </c>
      <c r="S2191">
        <v>0</v>
      </c>
    </row>
    <row r="2192" spans="18:19" x14ac:dyDescent="0.25">
      <c r="R2192">
        <v>3455017.7518669055</v>
      </c>
      <c r="S2192">
        <v>0</v>
      </c>
    </row>
    <row r="2193" spans="18:19" x14ac:dyDescent="0.25">
      <c r="R2193">
        <v>3455043.4143677778</v>
      </c>
      <c r="S2193">
        <v>0</v>
      </c>
    </row>
    <row r="2194" spans="18:19" x14ac:dyDescent="0.25">
      <c r="R2194">
        <v>3455069.0768686505</v>
      </c>
      <c r="S2194">
        <v>0</v>
      </c>
    </row>
    <row r="2195" spans="18:19" x14ac:dyDescent="0.25">
      <c r="R2195">
        <v>3455094.7393695228</v>
      </c>
      <c r="S2195">
        <v>0</v>
      </c>
    </row>
    <row r="2196" spans="18:19" x14ac:dyDescent="0.25">
      <c r="R2196">
        <v>3455120.4018703951</v>
      </c>
      <c r="S2196">
        <v>0</v>
      </c>
    </row>
    <row r="2197" spans="18:19" x14ac:dyDescent="0.25">
      <c r="R2197">
        <v>3455146.0643712673</v>
      </c>
      <c r="S2197">
        <v>0</v>
      </c>
    </row>
    <row r="2198" spans="18:19" x14ac:dyDescent="0.25">
      <c r="R2198">
        <v>3455171.7268721401</v>
      </c>
      <c r="S2198">
        <v>0</v>
      </c>
    </row>
    <row r="2199" spans="18:19" x14ac:dyDescent="0.25">
      <c r="R2199">
        <v>3455197.3893730124</v>
      </c>
      <c r="S2199">
        <v>0</v>
      </c>
    </row>
    <row r="2200" spans="18:19" x14ac:dyDescent="0.25">
      <c r="R2200">
        <v>3455223.0518738846</v>
      </c>
      <c r="S2200">
        <v>0</v>
      </c>
    </row>
    <row r="2201" spans="18:19" x14ac:dyDescent="0.25">
      <c r="R2201">
        <v>3455248.7143747569</v>
      </c>
      <c r="S2201">
        <v>0</v>
      </c>
    </row>
    <row r="2202" spans="18:19" x14ac:dyDescent="0.25">
      <c r="R2202">
        <v>3455274.3768756296</v>
      </c>
      <c r="S2202">
        <v>0</v>
      </c>
    </row>
    <row r="2203" spans="18:19" x14ac:dyDescent="0.25">
      <c r="R2203">
        <v>3455300.0393765019</v>
      </c>
      <c r="S2203">
        <v>0</v>
      </c>
    </row>
    <row r="2204" spans="18:19" x14ac:dyDescent="0.25">
      <c r="R2204">
        <v>3455325.7018773742</v>
      </c>
      <c r="S2204">
        <v>0</v>
      </c>
    </row>
    <row r="2205" spans="18:19" x14ac:dyDescent="0.25">
      <c r="R2205">
        <v>3455351.3643782465</v>
      </c>
      <c r="S2205">
        <v>0</v>
      </c>
    </row>
    <row r="2206" spans="18:19" x14ac:dyDescent="0.25">
      <c r="R2206">
        <v>3455377.0268791188</v>
      </c>
      <c r="S2206">
        <v>0</v>
      </c>
    </row>
    <row r="2207" spans="18:19" x14ac:dyDescent="0.25">
      <c r="R2207">
        <v>3455402.6893799915</v>
      </c>
      <c r="S2207">
        <v>0</v>
      </c>
    </row>
    <row r="2208" spans="18:19" x14ac:dyDescent="0.25">
      <c r="R2208">
        <v>3455428.3518808638</v>
      </c>
      <c r="S2208">
        <v>0</v>
      </c>
    </row>
    <row r="2209" spans="18:19" x14ac:dyDescent="0.25">
      <c r="R2209">
        <v>3455454.0143817361</v>
      </c>
      <c r="S2209">
        <v>0</v>
      </c>
    </row>
    <row r="2210" spans="18:19" x14ac:dyDescent="0.25">
      <c r="R2210">
        <v>3455479.6768826083</v>
      </c>
      <c r="S2210">
        <v>0</v>
      </c>
    </row>
    <row r="2211" spans="18:19" x14ac:dyDescent="0.25">
      <c r="R2211">
        <v>3455505.3393834811</v>
      </c>
      <c r="S2211">
        <v>0</v>
      </c>
    </row>
    <row r="2212" spans="18:19" x14ac:dyDescent="0.25">
      <c r="R2212">
        <v>3455531.0018843533</v>
      </c>
      <c r="S2212">
        <v>0</v>
      </c>
    </row>
    <row r="2213" spans="18:19" x14ac:dyDescent="0.25">
      <c r="R2213">
        <v>3455556.6643852256</v>
      </c>
      <c r="S2213">
        <v>0</v>
      </c>
    </row>
    <row r="2214" spans="18:19" x14ac:dyDescent="0.25">
      <c r="R2214">
        <v>3455582.3268860979</v>
      </c>
      <c r="S2214">
        <v>0</v>
      </c>
    </row>
    <row r="2215" spans="18:19" x14ac:dyDescent="0.25">
      <c r="R2215">
        <v>3455607.9893869706</v>
      </c>
      <c r="S2215">
        <v>0</v>
      </c>
    </row>
    <row r="2216" spans="18:19" x14ac:dyDescent="0.25">
      <c r="R2216">
        <v>3455633.6518878429</v>
      </c>
      <c r="S2216">
        <v>0</v>
      </c>
    </row>
    <row r="2217" spans="18:19" x14ac:dyDescent="0.25">
      <c r="R2217">
        <v>3455659.3143887152</v>
      </c>
      <c r="S2217">
        <v>0</v>
      </c>
    </row>
    <row r="2218" spans="18:19" x14ac:dyDescent="0.25">
      <c r="R2218">
        <v>3455684.9768895875</v>
      </c>
      <c r="S2218">
        <v>0</v>
      </c>
    </row>
    <row r="2219" spans="18:19" x14ac:dyDescent="0.25">
      <c r="R2219">
        <v>3455710.6393904602</v>
      </c>
      <c r="S2219">
        <v>0</v>
      </c>
    </row>
    <row r="2220" spans="18:19" x14ac:dyDescent="0.25">
      <c r="R2220">
        <v>3455736.3018913325</v>
      </c>
      <c r="S2220">
        <v>0</v>
      </c>
    </row>
    <row r="2221" spans="18:19" x14ac:dyDescent="0.25">
      <c r="R2221">
        <v>3455761.9643922048</v>
      </c>
      <c r="S2221">
        <v>0</v>
      </c>
    </row>
    <row r="2222" spans="18:19" x14ac:dyDescent="0.25">
      <c r="R2222">
        <v>3455787.626893077</v>
      </c>
      <c r="S2222">
        <v>0</v>
      </c>
    </row>
    <row r="2223" spans="18:19" x14ac:dyDescent="0.25">
      <c r="R2223">
        <v>3455813.2893939493</v>
      </c>
      <c r="S2223">
        <v>0</v>
      </c>
    </row>
    <row r="2224" spans="18:19" x14ac:dyDescent="0.25">
      <c r="R2224">
        <v>3455838.9518948221</v>
      </c>
      <c r="S2224">
        <v>0</v>
      </c>
    </row>
    <row r="2225" spans="18:19" x14ac:dyDescent="0.25">
      <c r="R2225">
        <v>3455864.6143956943</v>
      </c>
      <c r="S2225">
        <v>0</v>
      </c>
    </row>
    <row r="2226" spans="18:19" x14ac:dyDescent="0.25">
      <c r="R2226">
        <v>3455890.2768965666</v>
      </c>
      <c r="S2226">
        <v>0</v>
      </c>
    </row>
    <row r="2227" spans="18:19" x14ac:dyDescent="0.25">
      <c r="R2227">
        <v>3455915.9393974389</v>
      </c>
      <c r="S2227">
        <v>0</v>
      </c>
    </row>
    <row r="2228" spans="18:19" x14ac:dyDescent="0.25">
      <c r="R2228">
        <v>3455941.6018983116</v>
      </c>
      <c r="S2228">
        <v>0</v>
      </c>
    </row>
    <row r="2229" spans="18:19" x14ac:dyDescent="0.25">
      <c r="R2229">
        <v>3455967.2643991839</v>
      </c>
      <c r="S2229">
        <v>0</v>
      </c>
    </row>
    <row r="2230" spans="18:19" x14ac:dyDescent="0.25">
      <c r="R2230">
        <v>3455992.9269000562</v>
      </c>
      <c r="S2230">
        <v>0</v>
      </c>
    </row>
    <row r="2231" spans="18:19" x14ac:dyDescent="0.25">
      <c r="R2231">
        <v>3456018.5894009285</v>
      </c>
      <c r="S2231">
        <v>0</v>
      </c>
    </row>
    <row r="2232" spans="18:19" x14ac:dyDescent="0.25">
      <c r="R2232">
        <v>3456044.2519018012</v>
      </c>
      <c r="S2232">
        <v>0</v>
      </c>
    </row>
    <row r="2233" spans="18:19" x14ac:dyDescent="0.25">
      <c r="R2233">
        <v>3456069.9144026735</v>
      </c>
      <c r="S2233">
        <v>0</v>
      </c>
    </row>
    <row r="2234" spans="18:19" x14ac:dyDescent="0.25">
      <c r="R2234">
        <v>3456095.5769035458</v>
      </c>
      <c r="S2234">
        <v>0</v>
      </c>
    </row>
    <row r="2235" spans="18:19" x14ac:dyDescent="0.25">
      <c r="R2235">
        <v>3456121.239404418</v>
      </c>
      <c r="S2235">
        <v>0</v>
      </c>
    </row>
    <row r="2236" spans="18:19" x14ac:dyDescent="0.25">
      <c r="R2236">
        <v>3456146.9019052908</v>
      </c>
      <c r="S2236">
        <v>0</v>
      </c>
    </row>
    <row r="2237" spans="18:19" x14ac:dyDescent="0.25">
      <c r="R2237">
        <v>3456172.5644061631</v>
      </c>
      <c r="S2237">
        <v>0</v>
      </c>
    </row>
    <row r="2238" spans="18:19" x14ac:dyDescent="0.25">
      <c r="R2238">
        <v>3456198.2269070353</v>
      </c>
      <c r="S2238">
        <v>0</v>
      </c>
    </row>
    <row r="2239" spans="18:19" x14ac:dyDescent="0.25">
      <c r="R2239">
        <v>3456223.8894079076</v>
      </c>
      <c r="S2239">
        <v>0</v>
      </c>
    </row>
    <row r="2240" spans="18:19" x14ac:dyDescent="0.25">
      <c r="R2240">
        <v>3456249.5519087799</v>
      </c>
      <c r="S2240">
        <v>0</v>
      </c>
    </row>
    <row r="2241" spans="18:19" x14ac:dyDescent="0.25">
      <c r="R2241">
        <v>3456275.2144096526</v>
      </c>
      <c r="S2241">
        <v>0</v>
      </c>
    </row>
    <row r="2242" spans="18:19" x14ac:dyDescent="0.25">
      <c r="R2242">
        <v>3456300.8769105249</v>
      </c>
      <c r="S2242">
        <v>0</v>
      </c>
    </row>
    <row r="2243" spans="18:19" x14ac:dyDescent="0.25">
      <c r="R2243">
        <v>3456326.5394113972</v>
      </c>
      <c r="S2243">
        <v>0</v>
      </c>
    </row>
    <row r="2244" spans="18:19" x14ac:dyDescent="0.25">
      <c r="R2244">
        <v>3456352.2019122695</v>
      </c>
      <c r="S2244">
        <v>0</v>
      </c>
    </row>
    <row r="2245" spans="18:19" x14ac:dyDescent="0.25">
      <c r="R2245">
        <v>3456377.8644131422</v>
      </c>
      <c r="S2245">
        <v>0</v>
      </c>
    </row>
    <row r="2246" spans="18:19" x14ac:dyDescent="0.25">
      <c r="R2246">
        <v>3456403.5269140145</v>
      </c>
      <c r="S2246">
        <v>0</v>
      </c>
    </row>
    <row r="2247" spans="18:19" x14ac:dyDescent="0.25">
      <c r="R2247">
        <v>3456429.1894148868</v>
      </c>
      <c r="S2247">
        <v>0</v>
      </c>
    </row>
    <row r="2248" spans="18:19" x14ac:dyDescent="0.25">
      <c r="R2248">
        <v>3456454.851915759</v>
      </c>
      <c r="S2248">
        <v>0</v>
      </c>
    </row>
    <row r="2249" spans="18:19" x14ac:dyDescent="0.25">
      <c r="R2249">
        <v>3456480.5144166318</v>
      </c>
      <c r="S2249">
        <v>0</v>
      </c>
    </row>
    <row r="2250" spans="18:19" x14ac:dyDescent="0.25">
      <c r="R2250">
        <v>3456506.1769175041</v>
      </c>
      <c r="S2250">
        <v>0</v>
      </c>
    </row>
    <row r="2251" spans="18:19" x14ac:dyDescent="0.25">
      <c r="R2251">
        <v>3456531.8394183763</v>
      </c>
      <c r="S2251">
        <v>0</v>
      </c>
    </row>
    <row r="2252" spans="18:19" x14ac:dyDescent="0.25">
      <c r="R2252">
        <v>3456557.5019192486</v>
      </c>
      <c r="S2252">
        <v>0</v>
      </c>
    </row>
    <row r="2253" spans="18:19" x14ac:dyDescent="0.25">
      <c r="R2253">
        <v>3456583.1644201213</v>
      </c>
      <c r="S2253">
        <v>0</v>
      </c>
    </row>
    <row r="2254" spans="18:19" x14ac:dyDescent="0.25">
      <c r="R2254">
        <v>3456608.8269209936</v>
      </c>
      <c r="S2254">
        <v>0</v>
      </c>
    </row>
    <row r="2255" spans="18:19" x14ac:dyDescent="0.25">
      <c r="R2255">
        <v>3456634.4894218659</v>
      </c>
      <c r="S2255">
        <v>0</v>
      </c>
    </row>
    <row r="2256" spans="18:19" x14ac:dyDescent="0.25">
      <c r="R2256">
        <v>3456660.1519227382</v>
      </c>
      <c r="S2256">
        <v>0</v>
      </c>
    </row>
    <row r="2257" spans="18:19" x14ac:dyDescent="0.25">
      <c r="R2257">
        <v>3456685.8144236105</v>
      </c>
      <c r="S2257">
        <v>0</v>
      </c>
    </row>
    <row r="2258" spans="18:19" x14ac:dyDescent="0.25">
      <c r="R2258">
        <v>3456711.4769244832</v>
      </c>
      <c r="S2258">
        <v>0</v>
      </c>
    </row>
    <row r="2259" spans="18:19" x14ac:dyDescent="0.25">
      <c r="R2259">
        <v>3456737.1394253555</v>
      </c>
      <c r="S2259">
        <v>0</v>
      </c>
    </row>
    <row r="2260" spans="18:19" x14ac:dyDescent="0.25">
      <c r="R2260">
        <v>3456762.8019262278</v>
      </c>
      <c r="S2260">
        <v>0</v>
      </c>
    </row>
    <row r="2261" spans="18:19" x14ac:dyDescent="0.25">
      <c r="R2261">
        <v>3456788.4644271</v>
      </c>
      <c r="S2261">
        <v>0</v>
      </c>
    </row>
    <row r="2262" spans="18:19" x14ac:dyDescent="0.25">
      <c r="R2262">
        <v>3456814.1269279728</v>
      </c>
      <c r="S2262">
        <v>0</v>
      </c>
    </row>
    <row r="2263" spans="18:19" x14ac:dyDescent="0.25">
      <c r="R2263">
        <v>3456839.789428845</v>
      </c>
      <c r="S2263">
        <v>0</v>
      </c>
    </row>
    <row r="2264" spans="18:19" x14ac:dyDescent="0.25">
      <c r="R2264">
        <v>3456865.4519297173</v>
      </c>
      <c r="S2264">
        <v>0</v>
      </c>
    </row>
    <row r="2265" spans="18:19" x14ac:dyDescent="0.25">
      <c r="R2265">
        <v>3456891.1144305896</v>
      </c>
      <c r="S2265">
        <v>0</v>
      </c>
    </row>
    <row r="2266" spans="18:19" x14ac:dyDescent="0.25">
      <c r="R2266">
        <v>3456916.7769314623</v>
      </c>
      <c r="S2266">
        <v>0</v>
      </c>
    </row>
    <row r="2267" spans="18:19" x14ac:dyDescent="0.25">
      <c r="R2267">
        <v>3456942.4394323346</v>
      </c>
      <c r="S2267">
        <v>0</v>
      </c>
    </row>
    <row r="2268" spans="18:19" x14ac:dyDescent="0.25">
      <c r="R2268">
        <v>3456968.1019332069</v>
      </c>
      <c r="S2268">
        <v>0</v>
      </c>
    </row>
    <row r="2269" spans="18:19" x14ac:dyDescent="0.25">
      <c r="R2269">
        <v>3456993.7644340792</v>
      </c>
      <c r="S2269">
        <v>0</v>
      </c>
    </row>
    <row r="2270" spans="18:19" x14ac:dyDescent="0.25">
      <c r="R2270">
        <v>3457019.4269349515</v>
      </c>
      <c r="S2270">
        <v>0</v>
      </c>
    </row>
    <row r="2271" spans="18:19" x14ac:dyDescent="0.25">
      <c r="R2271">
        <v>3457045.0894358242</v>
      </c>
      <c r="S2271">
        <v>0</v>
      </c>
    </row>
    <row r="2272" spans="18:19" x14ac:dyDescent="0.25">
      <c r="R2272">
        <v>3457070.7519366965</v>
      </c>
      <c r="S2272">
        <v>0</v>
      </c>
    </row>
    <row r="2273" spans="18:19" x14ac:dyDescent="0.25">
      <c r="R2273">
        <v>3457096.4144375687</v>
      </c>
      <c r="S2273">
        <v>0</v>
      </c>
    </row>
    <row r="2274" spans="18:19" x14ac:dyDescent="0.25">
      <c r="R2274">
        <v>3457122.076938441</v>
      </c>
      <c r="S2274">
        <v>0</v>
      </c>
    </row>
    <row r="2275" spans="18:19" x14ac:dyDescent="0.25">
      <c r="R2275">
        <v>3457147.7394393138</v>
      </c>
      <c r="S2275">
        <v>0</v>
      </c>
    </row>
    <row r="2276" spans="18:19" x14ac:dyDescent="0.25">
      <c r="R2276">
        <v>3457173.401940186</v>
      </c>
      <c r="S2276">
        <v>0</v>
      </c>
    </row>
    <row r="2277" spans="18:19" x14ac:dyDescent="0.25">
      <c r="R2277">
        <v>3457199.0644410583</v>
      </c>
      <c r="S2277">
        <v>0</v>
      </c>
    </row>
    <row r="2278" spans="18:19" x14ac:dyDescent="0.25">
      <c r="R2278">
        <v>3457224.7269419306</v>
      </c>
      <c r="S2278">
        <v>0</v>
      </c>
    </row>
    <row r="2279" spans="18:19" x14ac:dyDescent="0.25">
      <c r="R2279">
        <v>3457250.3894428033</v>
      </c>
      <c r="S2279">
        <v>0</v>
      </c>
    </row>
    <row r="2280" spans="18:19" x14ac:dyDescent="0.25">
      <c r="R2280">
        <v>3457276.0519436756</v>
      </c>
      <c r="S2280">
        <v>0</v>
      </c>
    </row>
    <row r="2281" spans="18:19" x14ac:dyDescent="0.25">
      <c r="R2281">
        <v>3457301.7144445479</v>
      </c>
      <c r="S2281">
        <v>0</v>
      </c>
    </row>
    <row r="2282" spans="18:19" x14ac:dyDescent="0.25">
      <c r="R2282">
        <v>3457327.3769454202</v>
      </c>
      <c r="S2282">
        <v>0</v>
      </c>
    </row>
    <row r="2283" spans="18:19" x14ac:dyDescent="0.25">
      <c r="R2283">
        <v>3457353.0394462929</v>
      </c>
      <c r="S2283">
        <v>0</v>
      </c>
    </row>
    <row r="2284" spans="18:19" x14ac:dyDescent="0.25">
      <c r="R2284">
        <v>3457378.7019471652</v>
      </c>
      <c r="S2284">
        <v>0</v>
      </c>
    </row>
    <row r="2285" spans="18:19" x14ac:dyDescent="0.25">
      <c r="R2285">
        <v>3457404.3644480375</v>
      </c>
      <c r="S2285">
        <v>0</v>
      </c>
    </row>
    <row r="2286" spans="18:19" x14ac:dyDescent="0.25">
      <c r="R2286">
        <v>3457430.0269489097</v>
      </c>
      <c r="S2286">
        <v>0</v>
      </c>
    </row>
    <row r="2287" spans="18:19" x14ac:dyDescent="0.25">
      <c r="R2287">
        <v>3457455.689449782</v>
      </c>
      <c r="S2287">
        <v>0</v>
      </c>
    </row>
    <row r="2288" spans="18:19" x14ac:dyDescent="0.25">
      <c r="R2288">
        <v>3457481.3519506548</v>
      </c>
      <c r="S2288">
        <v>0</v>
      </c>
    </row>
    <row r="2289" spans="18:19" x14ac:dyDescent="0.25">
      <c r="R2289">
        <v>3457507.014451527</v>
      </c>
      <c r="S2289">
        <v>0</v>
      </c>
    </row>
    <row r="2290" spans="18:19" x14ac:dyDescent="0.25">
      <c r="R2290">
        <v>3457532.6769523993</v>
      </c>
      <c r="S2290">
        <v>0</v>
      </c>
    </row>
    <row r="2291" spans="18:19" x14ac:dyDescent="0.25">
      <c r="R2291">
        <v>3457558.3394532716</v>
      </c>
      <c r="S2291">
        <v>0</v>
      </c>
    </row>
    <row r="2292" spans="18:19" x14ac:dyDescent="0.25">
      <c r="R2292">
        <v>3457584.0019541443</v>
      </c>
      <c r="S2292">
        <v>0</v>
      </c>
    </row>
    <row r="2293" spans="18:19" x14ac:dyDescent="0.25">
      <c r="R2293">
        <v>3457609.6644550166</v>
      </c>
      <c r="S2293">
        <v>0</v>
      </c>
    </row>
    <row r="2294" spans="18:19" x14ac:dyDescent="0.25">
      <c r="R2294">
        <v>3457635.3269558889</v>
      </c>
      <c r="S2294">
        <v>0</v>
      </c>
    </row>
    <row r="2295" spans="18:19" x14ac:dyDescent="0.25">
      <c r="R2295">
        <v>3457660.9894567612</v>
      </c>
      <c r="S2295">
        <v>0</v>
      </c>
    </row>
    <row r="2296" spans="18:19" x14ac:dyDescent="0.25">
      <c r="R2296">
        <v>3457686.6519576339</v>
      </c>
      <c r="S2296">
        <v>0</v>
      </c>
    </row>
    <row r="2297" spans="18:19" x14ac:dyDescent="0.25">
      <c r="R2297">
        <v>3457712.3144585062</v>
      </c>
      <c r="S2297">
        <v>0</v>
      </c>
    </row>
    <row r="2298" spans="18:19" x14ac:dyDescent="0.25">
      <c r="R2298">
        <v>3457737.9769593785</v>
      </c>
      <c r="S2298">
        <v>0</v>
      </c>
    </row>
    <row r="2299" spans="18:19" x14ac:dyDescent="0.25">
      <c r="R2299">
        <v>3457763.6394602507</v>
      </c>
      <c r="S2299">
        <v>0</v>
      </c>
    </row>
    <row r="2300" spans="18:19" x14ac:dyDescent="0.25">
      <c r="R2300">
        <v>3457789.3019611235</v>
      </c>
      <c r="S2300">
        <v>0</v>
      </c>
    </row>
    <row r="2301" spans="18:19" x14ac:dyDescent="0.25">
      <c r="R2301">
        <v>3457814.9644619958</v>
      </c>
      <c r="S2301">
        <v>0</v>
      </c>
    </row>
    <row r="2302" spans="18:19" x14ac:dyDescent="0.25">
      <c r="R2302">
        <v>3457840.626962868</v>
      </c>
      <c r="S2302">
        <v>0</v>
      </c>
    </row>
    <row r="2303" spans="18:19" x14ac:dyDescent="0.25">
      <c r="R2303">
        <v>3457866.2894637403</v>
      </c>
      <c r="S2303">
        <v>0</v>
      </c>
    </row>
    <row r="2304" spans="18:19" x14ac:dyDescent="0.25">
      <c r="R2304">
        <v>3457891.9519646126</v>
      </c>
      <c r="S2304">
        <v>0</v>
      </c>
    </row>
    <row r="2305" spans="18:19" x14ac:dyDescent="0.25">
      <c r="R2305">
        <v>3457917.6144654853</v>
      </c>
      <c r="S2305">
        <v>0</v>
      </c>
    </row>
    <row r="2306" spans="18:19" x14ac:dyDescent="0.25">
      <c r="R2306">
        <v>3457943.2769663576</v>
      </c>
      <c r="S2306">
        <v>0</v>
      </c>
    </row>
    <row r="2307" spans="18:19" x14ac:dyDescent="0.25">
      <c r="R2307">
        <v>3457968.9394672299</v>
      </c>
      <c r="S2307">
        <v>0</v>
      </c>
    </row>
    <row r="2308" spans="18:19" x14ac:dyDescent="0.25">
      <c r="R2308">
        <v>3457994.6019681022</v>
      </c>
      <c r="S2308">
        <v>0</v>
      </c>
    </row>
    <row r="2309" spans="18:19" x14ac:dyDescent="0.25">
      <c r="R2309">
        <v>3458020.2644689749</v>
      </c>
      <c r="S2309">
        <v>0</v>
      </c>
    </row>
    <row r="2310" spans="18:19" x14ac:dyDescent="0.25">
      <c r="R2310">
        <v>3458045.9269698472</v>
      </c>
      <c r="S2310">
        <v>0</v>
      </c>
    </row>
    <row r="2311" spans="18:19" x14ac:dyDescent="0.25">
      <c r="R2311">
        <v>3458071.5894707195</v>
      </c>
      <c r="S2311">
        <v>0</v>
      </c>
    </row>
    <row r="2312" spans="18:19" x14ac:dyDescent="0.25">
      <c r="R2312">
        <v>3458097.2519715917</v>
      </c>
      <c r="S2312">
        <v>0</v>
      </c>
    </row>
    <row r="2313" spans="18:19" x14ac:dyDescent="0.25">
      <c r="R2313">
        <v>3458122.9144724645</v>
      </c>
      <c r="S2313">
        <v>0</v>
      </c>
    </row>
    <row r="2314" spans="18:19" x14ac:dyDescent="0.25">
      <c r="R2314">
        <v>3458148.5769733367</v>
      </c>
      <c r="S2314">
        <v>0</v>
      </c>
    </row>
    <row r="2315" spans="18:19" x14ac:dyDescent="0.25">
      <c r="R2315">
        <v>3458174.239474209</v>
      </c>
      <c r="S2315">
        <v>0</v>
      </c>
    </row>
    <row r="2316" spans="18:19" x14ac:dyDescent="0.25">
      <c r="R2316">
        <v>3458199.9019750813</v>
      </c>
      <c r="S2316">
        <v>0</v>
      </c>
    </row>
    <row r="2317" spans="18:19" x14ac:dyDescent="0.25">
      <c r="R2317">
        <v>3458225.564475954</v>
      </c>
      <c r="S2317">
        <v>0</v>
      </c>
    </row>
    <row r="2318" spans="18:19" x14ac:dyDescent="0.25">
      <c r="R2318">
        <v>3458251.2269768263</v>
      </c>
      <c r="S2318">
        <v>0</v>
      </c>
    </row>
    <row r="2319" spans="18:19" x14ac:dyDescent="0.25">
      <c r="R2319">
        <v>3458276.8894776986</v>
      </c>
      <c r="S2319">
        <v>0</v>
      </c>
    </row>
    <row r="2320" spans="18:19" x14ac:dyDescent="0.25">
      <c r="R2320">
        <v>3458302.5519785709</v>
      </c>
      <c r="S2320">
        <v>0</v>
      </c>
    </row>
    <row r="2321" spans="18:19" x14ac:dyDescent="0.25">
      <c r="R2321">
        <v>3458328.2144794432</v>
      </c>
      <c r="S2321">
        <v>0</v>
      </c>
    </row>
    <row r="2322" spans="18:19" x14ac:dyDescent="0.25">
      <c r="R2322">
        <v>3458353.8769803159</v>
      </c>
      <c r="S2322">
        <v>0</v>
      </c>
    </row>
    <row r="2323" spans="18:19" x14ac:dyDescent="0.25">
      <c r="R2323">
        <v>3458379.5394811882</v>
      </c>
      <c r="S2323">
        <v>0</v>
      </c>
    </row>
    <row r="2324" spans="18:19" x14ac:dyDescent="0.25">
      <c r="R2324">
        <v>3458405.2019820604</v>
      </c>
      <c r="S2324">
        <v>0</v>
      </c>
    </row>
    <row r="2325" spans="18:19" x14ac:dyDescent="0.25">
      <c r="R2325">
        <v>3458430.8644829327</v>
      </c>
      <c r="S2325">
        <v>0</v>
      </c>
    </row>
    <row r="2326" spans="18:19" x14ac:dyDescent="0.25">
      <c r="R2326">
        <v>3458456.5269838055</v>
      </c>
      <c r="S2326">
        <v>0</v>
      </c>
    </row>
    <row r="2327" spans="18:19" x14ac:dyDescent="0.25">
      <c r="R2327">
        <v>3458482.1894846777</v>
      </c>
      <c r="S2327">
        <v>0</v>
      </c>
    </row>
    <row r="2328" spans="18:19" x14ac:dyDescent="0.25">
      <c r="R2328">
        <v>3458507.85198555</v>
      </c>
      <c r="S2328">
        <v>0</v>
      </c>
    </row>
    <row r="2329" spans="18:19" x14ac:dyDescent="0.25">
      <c r="R2329">
        <v>3458533.5144864223</v>
      </c>
      <c r="S2329">
        <v>0</v>
      </c>
    </row>
    <row r="2330" spans="18:19" x14ac:dyDescent="0.25">
      <c r="R2330">
        <v>3458559.176987295</v>
      </c>
      <c r="S2330">
        <v>0</v>
      </c>
    </row>
    <row r="2331" spans="18:19" x14ac:dyDescent="0.25">
      <c r="R2331">
        <v>3458584.8394881673</v>
      </c>
      <c r="S2331">
        <v>0</v>
      </c>
    </row>
    <row r="2332" spans="18:19" x14ac:dyDescent="0.25">
      <c r="R2332">
        <v>3458610.5019890396</v>
      </c>
      <c r="S2332">
        <v>0</v>
      </c>
    </row>
    <row r="2333" spans="18:19" x14ac:dyDescent="0.25">
      <c r="R2333">
        <v>3458636.1644899119</v>
      </c>
      <c r="S2333">
        <v>0</v>
      </c>
    </row>
    <row r="2334" spans="18:19" x14ac:dyDescent="0.25">
      <c r="R2334">
        <v>3458661.8269907841</v>
      </c>
      <c r="S2334">
        <v>0</v>
      </c>
    </row>
    <row r="2335" spans="18:19" x14ac:dyDescent="0.25">
      <c r="R2335">
        <v>3458687.4894916569</v>
      </c>
      <c r="S2335">
        <v>0</v>
      </c>
    </row>
    <row r="2336" spans="18:19" x14ac:dyDescent="0.25">
      <c r="R2336">
        <v>3458713.1519925292</v>
      </c>
      <c r="S2336">
        <v>0</v>
      </c>
    </row>
    <row r="2337" spans="18:19" x14ac:dyDescent="0.25">
      <c r="R2337">
        <v>3458738.8144934014</v>
      </c>
      <c r="S2337">
        <v>0</v>
      </c>
    </row>
    <row r="2338" spans="18:19" x14ac:dyDescent="0.25">
      <c r="R2338">
        <v>3458764.4769942737</v>
      </c>
      <c r="S2338">
        <v>0</v>
      </c>
    </row>
    <row r="2339" spans="18:19" x14ac:dyDescent="0.25">
      <c r="R2339">
        <v>3458790.1394951465</v>
      </c>
      <c r="S2339">
        <v>0</v>
      </c>
    </row>
    <row r="2340" spans="18:19" x14ac:dyDescent="0.25">
      <c r="R2340">
        <v>3458815.8019960187</v>
      </c>
      <c r="S2340">
        <v>0</v>
      </c>
    </row>
    <row r="2341" spans="18:19" x14ac:dyDescent="0.25">
      <c r="R2341">
        <v>3458841.464496891</v>
      </c>
      <c r="S2341">
        <v>0</v>
      </c>
    </row>
    <row r="2342" spans="18:19" x14ac:dyDescent="0.25">
      <c r="R2342">
        <v>3458867.1269977633</v>
      </c>
      <c r="S2342">
        <v>0</v>
      </c>
    </row>
    <row r="2343" spans="18:19" x14ac:dyDescent="0.25">
      <c r="R2343">
        <v>3458892.789498636</v>
      </c>
      <c r="S2343">
        <v>0</v>
      </c>
    </row>
    <row r="2344" spans="18:19" x14ac:dyDescent="0.25">
      <c r="R2344">
        <v>3458918.4519995083</v>
      </c>
      <c r="S2344">
        <v>0</v>
      </c>
    </row>
    <row r="2345" spans="18:19" x14ac:dyDescent="0.25">
      <c r="R2345">
        <v>3458944.1145003806</v>
      </c>
      <c r="S2345">
        <v>0</v>
      </c>
    </row>
    <row r="2346" spans="18:19" x14ac:dyDescent="0.25">
      <c r="R2346">
        <v>3458969.7770012529</v>
      </c>
      <c r="S2346">
        <v>0</v>
      </c>
    </row>
    <row r="2347" spans="18:19" x14ac:dyDescent="0.25">
      <c r="R2347">
        <v>3458995.4395021256</v>
      </c>
      <c r="S2347">
        <v>0</v>
      </c>
    </row>
    <row r="2348" spans="18:19" x14ac:dyDescent="0.25">
      <c r="R2348">
        <v>3459021.1020029979</v>
      </c>
      <c r="S2348">
        <v>0</v>
      </c>
    </row>
    <row r="2349" spans="18:19" x14ac:dyDescent="0.25">
      <c r="R2349">
        <v>3459046.7645038702</v>
      </c>
      <c r="S2349">
        <v>0</v>
      </c>
    </row>
    <row r="2350" spans="18:19" x14ac:dyDescent="0.25">
      <c r="R2350">
        <v>3459072.4270047424</v>
      </c>
      <c r="S2350">
        <v>0</v>
      </c>
    </row>
    <row r="2351" spans="18:19" x14ac:dyDescent="0.25">
      <c r="R2351">
        <v>3459098.0895056147</v>
      </c>
      <c r="S2351">
        <v>0</v>
      </c>
    </row>
    <row r="2352" spans="18:19" x14ac:dyDescent="0.25">
      <c r="R2352">
        <v>3459123.7520064875</v>
      </c>
      <c r="S2352">
        <v>0</v>
      </c>
    </row>
    <row r="2353" spans="18:19" x14ac:dyDescent="0.25">
      <c r="R2353">
        <v>3459149.4145073597</v>
      </c>
      <c r="S2353">
        <v>0</v>
      </c>
    </row>
    <row r="2354" spans="18:19" x14ac:dyDescent="0.25">
      <c r="R2354">
        <v>3459175.077008232</v>
      </c>
      <c r="S2354">
        <v>0</v>
      </c>
    </row>
    <row r="2355" spans="18:19" x14ac:dyDescent="0.25">
      <c r="R2355">
        <v>3459200.7395091043</v>
      </c>
      <c r="S2355">
        <v>0</v>
      </c>
    </row>
    <row r="2356" spans="18:19" x14ac:dyDescent="0.25">
      <c r="R2356">
        <v>3459226.402009977</v>
      </c>
      <c r="S2356">
        <v>0</v>
      </c>
    </row>
    <row r="2357" spans="18:19" x14ac:dyDescent="0.25">
      <c r="R2357">
        <v>3459252.0645108493</v>
      </c>
      <c r="S2357">
        <v>0</v>
      </c>
    </row>
    <row r="2358" spans="18:19" x14ac:dyDescent="0.25">
      <c r="R2358">
        <v>3459277.7270117216</v>
      </c>
      <c r="S2358">
        <v>0</v>
      </c>
    </row>
    <row r="2359" spans="18:19" x14ac:dyDescent="0.25">
      <c r="R2359">
        <v>3459303.3895125939</v>
      </c>
      <c r="S2359">
        <v>0</v>
      </c>
    </row>
    <row r="2360" spans="18:19" x14ac:dyDescent="0.25">
      <c r="R2360">
        <v>3459329.0520134666</v>
      </c>
      <c r="S2360">
        <v>0</v>
      </c>
    </row>
    <row r="2361" spans="18:19" x14ac:dyDescent="0.25">
      <c r="R2361">
        <v>3459354.7145143389</v>
      </c>
      <c r="S2361">
        <v>0</v>
      </c>
    </row>
    <row r="2362" spans="18:19" x14ac:dyDescent="0.25">
      <c r="R2362">
        <v>3459380.3770152112</v>
      </c>
      <c r="S2362">
        <v>0</v>
      </c>
    </row>
    <row r="2363" spans="18:19" x14ac:dyDescent="0.25">
      <c r="R2363">
        <v>3459406.0395160834</v>
      </c>
      <c r="S2363">
        <v>0</v>
      </c>
    </row>
    <row r="2364" spans="18:19" x14ac:dyDescent="0.25">
      <c r="R2364">
        <v>3459431.7020169562</v>
      </c>
      <c r="S2364">
        <v>0</v>
      </c>
    </row>
    <row r="2365" spans="18:19" x14ac:dyDescent="0.25">
      <c r="R2365">
        <v>3459457.3645178284</v>
      </c>
      <c r="S2365">
        <v>0</v>
      </c>
    </row>
    <row r="2366" spans="18:19" x14ac:dyDescent="0.25">
      <c r="R2366">
        <v>3459483.0270187007</v>
      </c>
      <c r="S2366">
        <v>0</v>
      </c>
    </row>
    <row r="2367" spans="18:19" x14ac:dyDescent="0.25">
      <c r="R2367">
        <v>3459508.689519573</v>
      </c>
      <c r="S2367">
        <v>0</v>
      </c>
    </row>
    <row r="2368" spans="18:19" x14ac:dyDescent="0.25">
      <c r="R2368">
        <v>3459534.3520204453</v>
      </c>
      <c r="S2368">
        <v>0</v>
      </c>
    </row>
    <row r="2369" spans="18:19" x14ac:dyDescent="0.25">
      <c r="R2369">
        <v>3459560.014521318</v>
      </c>
      <c r="S2369">
        <v>0</v>
      </c>
    </row>
    <row r="2370" spans="18:19" x14ac:dyDescent="0.25">
      <c r="R2370">
        <v>3459585.6770221903</v>
      </c>
      <c r="S2370">
        <v>0</v>
      </c>
    </row>
    <row r="2371" spans="18:19" x14ac:dyDescent="0.25">
      <c r="R2371">
        <v>3459611.3395230626</v>
      </c>
      <c r="S2371">
        <v>0</v>
      </c>
    </row>
    <row r="2372" spans="18:19" x14ac:dyDescent="0.25">
      <c r="R2372">
        <v>3459637.0020239349</v>
      </c>
      <c r="S2372">
        <v>0</v>
      </c>
    </row>
    <row r="2373" spans="18:19" x14ac:dyDescent="0.25">
      <c r="R2373">
        <v>3459662.6645248076</v>
      </c>
      <c r="S2373">
        <v>0</v>
      </c>
    </row>
    <row r="2374" spans="18:19" x14ac:dyDescent="0.25">
      <c r="R2374">
        <v>3459688.3270256799</v>
      </c>
      <c r="S2374">
        <v>0</v>
      </c>
    </row>
    <row r="2375" spans="18:19" x14ac:dyDescent="0.25">
      <c r="R2375">
        <v>3459713.9895265521</v>
      </c>
      <c r="S2375">
        <v>0</v>
      </c>
    </row>
    <row r="2376" spans="18:19" x14ac:dyDescent="0.25">
      <c r="R2376">
        <v>3459739.6520274244</v>
      </c>
      <c r="S2376">
        <v>0</v>
      </c>
    </row>
    <row r="2377" spans="18:19" x14ac:dyDescent="0.25">
      <c r="R2377">
        <v>3459765.3145282972</v>
      </c>
      <c r="S2377">
        <v>0</v>
      </c>
    </row>
    <row r="2378" spans="18:19" x14ac:dyDescent="0.25">
      <c r="R2378">
        <v>3459790.9770291694</v>
      </c>
      <c r="S2378">
        <v>0</v>
      </c>
    </row>
    <row r="2379" spans="18:19" x14ac:dyDescent="0.25">
      <c r="R2379">
        <v>3459816.6395300417</v>
      </c>
      <c r="S2379">
        <v>0</v>
      </c>
    </row>
    <row r="2380" spans="18:19" x14ac:dyDescent="0.25">
      <c r="R2380">
        <v>3459842.302030914</v>
      </c>
      <c r="S2380">
        <v>0</v>
      </c>
    </row>
    <row r="2381" spans="18:19" x14ac:dyDescent="0.25">
      <c r="R2381">
        <v>3459867.9645317867</v>
      </c>
      <c r="S2381">
        <v>0</v>
      </c>
    </row>
    <row r="2382" spans="18:19" x14ac:dyDescent="0.25">
      <c r="R2382">
        <v>3459893.627032659</v>
      </c>
      <c r="S2382">
        <v>0</v>
      </c>
    </row>
    <row r="2383" spans="18:19" x14ac:dyDescent="0.25">
      <c r="R2383">
        <v>3459919.2895335313</v>
      </c>
      <c r="S2383">
        <v>0</v>
      </c>
    </row>
    <row r="2384" spans="18:19" x14ac:dyDescent="0.25">
      <c r="R2384">
        <v>3459944.9520344036</v>
      </c>
      <c r="S2384">
        <v>0</v>
      </c>
    </row>
    <row r="2385" spans="18:19" x14ac:dyDescent="0.25">
      <c r="R2385">
        <v>3459970.6145352758</v>
      </c>
      <c r="S2385">
        <v>0</v>
      </c>
    </row>
    <row r="2386" spans="18:19" x14ac:dyDescent="0.25">
      <c r="R2386">
        <v>3459996.2770361486</v>
      </c>
      <c r="S2386">
        <v>0</v>
      </c>
    </row>
    <row r="2387" spans="18:19" x14ac:dyDescent="0.25">
      <c r="R2387">
        <v>3460021.9395370209</v>
      </c>
      <c r="S2387">
        <v>0</v>
      </c>
    </row>
    <row r="2388" spans="18:19" x14ac:dyDescent="0.25">
      <c r="R2388">
        <v>3460047.6020378931</v>
      </c>
      <c r="S2388">
        <v>0</v>
      </c>
    </row>
    <row r="2389" spans="18:19" x14ac:dyDescent="0.25">
      <c r="R2389">
        <v>3460073.2645387654</v>
      </c>
      <c r="S2389">
        <v>0</v>
      </c>
    </row>
    <row r="2390" spans="18:19" x14ac:dyDescent="0.25">
      <c r="R2390">
        <v>3460098.9270396382</v>
      </c>
      <c r="S2390">
        <v>0</v>
      </c>
    </row>
    <row r="2391" spans="18:19" x14ac:dyDescent="0.25">
      <c r="R2391">
        <v>3460124.5895405104</v>
      </c>
      <c r="S2391">
        <v>0</v>
      </c>
    </row>
    <row r="2392" spans="18:19" x14ac:dyDescent="0.25">
      <c r="R2392">
        <v>3460150.2520413827</v>
      </c>
      <c r="S2392">
        <v>0</v>
      </c>
    </row>
    <row r="2393" spans="18:19" x14ac:dyDescent="0.25">
      <c r="R2393">
        <v>3460175.914542255</v>
      </c>
      <c r="S2393">
        <v>0</v>
      </c>
    </row>
    <row r="2394" spans="18:19" x14ac:dyDescent="0.25">
      <c r="R2394">
        <v>3460201.5770431277</v>
      </c>
      <c r="S2394">
        <v>0</v>
      </c>
    </row>
    <row r="2395" spans="18:19" x14ac:dyDescent="0.25">
      <c r="R2395">
        <v>3460227.239544</v>
      </c>
      <c r="S2395">
        <v>0</v>
      </c>
    </row>
    <row r="2396" spans="18:19" x14ac:dyDescent="0.25">
      <c r="R2396">
        <v>3460252.9020448723</v>
      </c>
      <c r="S2396">
        <v>0</v>
      </c>
    </row>
    <row r="2397" spans="18:19" x14ac:dyDescent="0.25">
      <c r="R2397">
        <v>3460278.5645457446</v>
      </c>
      <c r="S2397">
        <v>0</v>
      </c>
    </row>
    <row r="2398" spans="18:19" x14ac:dyDescent="0.25">
      <c r="R2398">
        <v>3460304.2270466168</v>
      </c>
      <c r="S2398">
        <v>0</v>
      </c>
    </row>
    <row r="2399" spans="18:19" x14ac:dyDescent="0.25">
      <c r="R2399">
        <v>3460329.8895474896</v>
      </c>
      <c r="S2399">
        <v>0</v>
      </c>
    </row>
    <row r="2400" spans="18:19" x14ac:dyDescent="0.25">
      <c r="R2400">
        <v>3460355.5520483619</v>
      </c>
      <c r="S2400">
        <v>0</v>
      </c>
    </row>
    <row r="2401" spans="18:19" x14ac:dyDescent="0.25">
      <c r="R2401">
        <v>3460381.2145492341</v>
      </c>
      <c r="S2401">
        <v>0</v>
      </c>
    </row>
    <row r="2402" spans="18:19" x14ac:dyDescent="0.25">
      <c r="R2402">
        <v>3460406.8770501064</v>
      </c>
      <c r="S2402">
        <v>0</v>
      </c>
    </row>
    <row r="2403" spans="18:19" x14ac:dyDescent="0.25">
      <c r="R2403">
        <v>3460432.5395509792</v>
      </c>
      <c r="S2403">
        <v>0</v>
      </c>
    </row>
    <row r="2404" spans="18:19" x14ac:dyDescent="0.25">
      <c r="R2404">
        <v>3460458.2020518514</v>
      </c>
      <c r="S2404">
        <v>0</v>
      </c>
    </row>
    <row r="2405" spans="18:19" x14ac:dyDescent="0.25">
      <c r="R2405">
        <v>3460483.8645527237</v>
      </c>
      <c r="S2405">
        <v>0</v>
      </c>
    </row>
    <row r="2406" spans="18:19" x14ac:dyDescent="0.25">
      <c r="R2406">
        <v>3460509.527053596</v>
      </c>
      <c r="S2406">
        <v>0</v>
      </c>
    </row>
    <row r="2407" spans="18:19" x14ac:dyDescent="0.25">
      <c r="R2407">
        <v>3460535.1895544687</v>
      </c>
      <c r="S2407">
        <v>0</v>
      </c>
    </row>
    <row r="2408" spans="18:19" x14ac:dyDescent="0.25">
      <c r="R2408">
        <v>3460560.852055341</v>
      </c>
      <c r="S2408">
        <v>0</v>
      </c>
    </row>
    <row r="2409" spans="18:19" x14ac:dyDescent="0.25">
      <c r="R2409">
        <v>3460586.5145562133</v>
      </c>
      <c r="S2409">
        <v>0</v>
      </c>
    </row>
    <row r="2410" spans="18:19" x14ac:dyDescent="0.25">
      <c r="R2410">
        <v>3460612.1770570856</v>
      </c>
      <c r="S2410">
        <v>0</v>
      </c>
    </row>
    <row r="2411" spans="18:19" x14ac:dyDescent="0.25">
      <c r="R2411">
        <v>3460637.8395579583</v>
      </c>
      <c r="S2411">
        <v>0</v>
      </c>
    </row>
    <row r="2412" spans="18:19" x14ac:dyDescent="0.25">
      <c r="R2412">
        <v>3460663.5020588306</v>
      </c>
      <c r="S2412">
        <v>0</v>
      </c>
    </row>
    <row r="2413" spans="18:19" x14ac:dyDescent="0.25">
      <c r="R2413">
        <v>3460689.1645597029</v>
      </c>
      <c r="S2413">
        <v>0</v>
      </c>
    </row>
    <row r="2414" spans="18:19" x14ac:dyDescent="0.25">
      <c r="R2414">
        <v>3460714.8270605751</v>
      </c>
      <c r="S2414">
        <v>0</v>
      </c>
    </row>
    <row r="2415" spans="18:19" x14ac:dyDescent="0.25">
      <c r="R2415">
        <v>3460740.4895614474</v>
      </c>
      <c r="S2415">
        <v>0</v>
      </c>
    </row>
    <row r="2416" spans="18:19" x14ac:dyDescent="0.25">
      <c r="R2416">
        <v>3460766.1520623202</v>
      </c>
      <c r="S2416">
        <v>0</v>
      </c>
    </row>
    <row r="2417" spans="18:19" x14ac:dyDescent="0.25">
      <c r="R2417">
        <v>3460791.8145631924</v>
      </c>
      <c r="S2417">
        <v>0</v>
      </c>
    </row>
    <row r="2418" spans="18:19" x14ac:dyDescent="0.25">
      <c r="R2418">
        <v>3460817.4770640647</v>
      </c>
      <c r="S2418">
        <v>0</v>
      </c>
    </row>
    <row r="2419" spans="18:19" x14ac:dyDescent="0.25">
      <c r="R2419">
        <v>3460843.139564937</v>
      </c>
      <c r="S2419">
        <v>0</v>
      </c>
    </row>
    <row r="2420" spans="18:19" x14ac:dyDescent="0.25">
      <c r="R2420">
        <v>3460868.8020658097</v>
      </c>
      <c r="S2420">
        <v>0</v>
      </c>
    </row>
    <row r="2421" spans="18:19" x14ac:dyDescent="0.25">
      <c r="R2421">
        <v>3460894.464566682</v>
      </c>
      <c r="S2421">
        <v>0</v>
      </c>
    </row>
    <row r="2422" spans="18:19" x14ac:dyDescent="0.25">
      <c r="R2422">
        <v>3460920.1270675543</v>
      </c>
      <c r="S2422">
        <v>0</v>
      </c>
    </row>
    <row r="2423" spans="18:19" x14ac:dyDescent="0.25">
      <c r="R2423">
        <v>3460945.7895684266</v>
      </c>
      <c r="S2423">
        <v>0</v>
      </c>
    </row>
    <row r="2424" spans="18:19" x14ac:dyDescent="0.25">
      <c r="R2424">
        <v>3460971.4520692993</v>
      </c>
      <c r="S2424">
        <v>0</v>
      </c>
    </row>
    <row r="2425" spans="18:19" x14ac:dyDescent="0.25">
      <c r="R2425">
        <v>3460997.1145701716</v>
      </c>
      <c r="S2425">
        <v>0</v>
      </c>
    </row>
    <row r="2426" spans="18:19" x14ac:dyDescent="0.25">
      <c r="R2426">
        <v>3461022.7770710438</v>
      </c>
      <c r="S2426">
        <v>0</v>
      </c>
    </row>
    <row r="2427" spans="18:19" x14ac:dyDescent="0.25">
      <c r="R2427">
        <v>3461048.4395719161</v>
      </c>
      <c r="S2427">
        <v>0</v>
      </c>
    </row>
    <row r="2428" spans="18:19" x14ac:dyDescent="0.25">
      <c r="R2428">
        <v>3461074.1020727889</v>
      </c>
      <c r="S2428">
        <v>0</v>
      </c>
    </row>
    <row r="2429" spans="18:19" x14ac:dyDescent="0.25">
      <c r="R2429">
        <v>3461099.7645736611</v>
      </c>
      <c r="S2429">
        <v>0</v>
      </c>
    </row>
    <row r="2430" spans="18:19" x14ac:dyDescent="0.25">
      <c r="R2430">
        <v>3461125.4270745334</v>
      </c>
      <c r="S2430">
        <v>0</v>
      </c>
    </row>
    <row r="2431" spans="18:19" x14ac:dyDescent="0.25">
      <c r="R2431">
        <v>3461151.0895754057</v>
      </c>
      <c r="S2431">
        <v>0</v>
      </c>
    </row>
    <row r="2432" spans="18:19" x14ac:dyDescent="0.25">
      <c r="R2432">
        <v>3461176.752076278</v>
      </c>
      <c r="S2432">
        <v>0</v>
      </c>
    </row>
    <row r="2433" spans="18:19" x14ac:dyDescent="0.25">
      <c r="R2433">
        <v>3461202.4145771507</v>
      </c>
      <c r="S2433">
        <v>0</v>
      </c>
    </row>
    <row r="2434" spans="18:19" x14ac:dyDescent="0.25">
      <c r="R2434">
        <v>3461228.077078023</v>
      </c>
      <c r="S2434">
        <v>0</v>
      </c>
    </row>
    <row r="2435" spans="18:19" x14ac:dyDescent="0.25">
      <c r="R2435">
        <v>3461253.7395788953</v>
      </c>
      <c r="S2435">
        <v>0</v>
      </c>
    </row>
    <row r="2436" spans="18:19" x14ac:dyDescent="0.25">
      <c r="R2436">
        <v>3461279.4020797675</v>
      </c>
      <c r="S2436">
        <v>0</v>
      </c>
    </row>
    <row r="2437" spans="18:19" x14ac:dyDescent="0.25">
      <c r="R2437">
        <v>3461305.0645806403</v>
      </c>
      <c r="S2437">
        <v>0</v>
      </c>
    </row>
    <row r="2438" spans="18:19" x14ac:dyDescent="0.25">
      <c r="R2438">
        <v>3461330.7270815126</v>
      </c>
      <c r="S2438">
        <v>0</v>
      </c>
    </row>
    <row r="2439" spans="18:19" x14ac:dyDescent="0.25">
      <c r="R2439">
        <v>3461356.3895823848</v>
      </c>
      <c r="S2439">
        <v>0</v>
      </c>
    </row>
    <row r="2440" spans="18:19" x14ac:dyDescent="0.25">
      <c r="R2440">
        <v>3461382.0520832571</v>
      </c>
      <c r="S2440">
        <v>0</v>
      </c>
    </row>
    <row r="2441" spans="18:19" x14ac:dyDescent="0.25">
      <c r="R2441">
        <v>3461407.7145841299</v>
      </c>
      <c r="S2441">
        <v>0</v>
      </c>
    </row>
    <row r="2442" spans="18:19" x14ac:dyDescent="0.25">
      <c r="R2442">
        <v>3461433.3770850021</v>
      </c>
      <c r="S2442">
        <v>0</v>
      </c>
    </row>
    <row r="2443" spans="18:19" x14ac:dyDescent="0.25">
      <c r="R2443">
        <v>3461459.0395858744</v>
      </c>
      <c r="S2443">
        <v>0</v>
      </c>
    </row>
    <row r="2444" spans="18:19" x14ac:dyDescent="0.25">
      <c r="R2444">
        <v>3461484.7020867467</v>
      </c>
      <c r="S2444">
        <v>0</v>
      </c>
    </row>
    <row r="2445" spans="18:19" x14ac:dyDescent="0.25">
      <c r="R2445">
        <v>3461510.3645876194</v>
      </c>
      <c r="S2445">
        <v>0</v>
      </c>
    </row>
    <row r="2446" spans="18:19" x14ac:dyDescent="0.25">
      <c r="R2446">
        <v>3461536.0270884917</v>
      </c>
      <c r="S2446">
        <v>0</v>
      </c>
    </row>
    <row r="2447" spans="18:19" x14ac:dyDescent="0.25">
      <c r="R2447">
        <v>3461561.689589364</v>
      </c>
      <c r="S2447">
        <v>0</v>
      </c>
    </row>
    <row r="2448" spans="18:19" x14ac:dyDescent="0.25">
      <c r="R2448">
        <v>3461587.3520902363</v>
      </c>
      <c r="S2448">
        <v>0</v>
      </c>
    </row>
    <row r="2449" spans="18:19" x14ac:dyDescent="0.25">
      <c r="R2449">
        <v>3461613.0145911085</v>
      </c>
      <c r="S2449">
        <v>0</v>
      </c>
    </row>
    <row r="2450" spans="18:19" x14ac:dyDescent="0.25">
      <c r="R2450">
        <v>3461638.6770919813</v>
      </c>
      <c r="S2450">
        <v>0</v>
      </c>
    </row>
    <row r="2451" spans="18:19" x14ac:dyDescent="0.25">
      <c r="R2451">
        <v>3461664.3395928536</v>
      </c>
      <c r="S2451">
        <v>0</v>
      </c>
    </row>
    <row r="2452" spans="18:19" x14ac:dyDescent="0.25">
      <c r="R2452">
        <v>3461690.0020937258</v>
      </c>
      <c r="S2452">
        <v>0</v>
      </c>
    </row>
    <row r="2453" spans="18:19" x14ac:dyDescent="0.25">
      <c r="R2453">
        <v>3461715.6645945981</v>
      </c>
      <c r="S2453">
        <v>0</v>
      </c>
    </row>
    <row r="2454" spans="18:19" x14ac:dyDescent="0.25">
      <c r="R2454">
        <v>3461741.3270954709</v>
      </c>
      <c r="S2454">
        <v>0</v>
      </c>
    </row>
    <row r="2455" spans="18:19" x14ac:dyDescent="0.25">
      <c r="R2455">
        <v>3461766.9895963431</v>
      </c>
      <c r="S2455">
        <v>0</v>
      </c>
    </row>
    <row r="2456" spans="18:19" x14ac:dyDescent="0.25">
      <c r="R2456">
        <v>3461792.6520972154</v>
      </c>
      <c r="S2456">
        <v>0</v>
      </c>
    </row>
    <row r="2457" spans="18:19" x14ac:dyDescent="0.25">
      <c r="R2457">
        <v>3461818.3145980877</v>
      </c>
      <c r="S2457">
        <v>0</v>
      </c>
    </row>
    <row r="2458" spans="18:19" x14ac:dyDescent="0.25">
      <c r="R2458">
        <v>3461843.9770989604</v>
      </c>
      <c r="S2458">
        <v>0</v>
      </c>
    </row>
    <row r="2459" spans="18:19" x14ac:dyDescent="0.25">
      <c r="R2459">
        <v>3461869.6395998327</v>
      </c>
      <c r="S2459">
        <v>0</v>
      </c>
    </row>
    <row r="2460" spans="18:19" x14ac:dyDescent="0.25">
      <c r="R2460">
        <v>3461895.302100705</v>
      </c>
      <c r="S2460">
        <v>0</v>
      </c>
    </row>
    <row r="2461" spans="18:19" x14ac:dyDescent="0.25">
      <c r="R2461">
        <v>3461920.9646015773</v>
      </c>
      <c r="S2461">
        <v>0</v>
      </c>
    </row>
    <row r="2462" spans="18:19" x14ac:dyDescent="0.25">
      <c r="R2462">
        <v>3461946.6271024495</v>
      </c>
      <c r="S2462">
        <v>0</v>
      </c>
    </row>
    <row r="2463" spans="18:19" x14ac:dyDescent="0.25">
      <c r="R2463">
        <v>3461972.2896033223</v>
      </c>
      <c r="S2463">
        <v>0</v>
      </c>
    </row>
    <row r="2464" spans="18:19" x14ac:dyDescent="0.25">
      <c r="R2464">
        <v>3461997.9521041946</v>
      </c>
      <c r="S2464">
        <v>0</v>
      </c>
    </row>
    <row r="2465" spans="18:19" x14ac:dyDescent="0.25">
      <c r="R2465">
        <v>3462023.6146050668</v>
      </c>
      <c r="S2465">
        <v>0</v>
      </c>
    </row>
    <row r="2466" spans="18:19" x14ac:dyDescent="0.25">
      <c r="R2466">
        <v>3462049.2771059391</v>
      </c>
      <c r="S2466">
        <v>0</v>
      </c>
    </row>
    <row r="2467" spans="18:19" x14ac:dyDescent="0.25">
      <c r="R2467">
        <v>3462074.9396068119</v>
      </c>
      <c r="S2467">
        <v>0</v>
      </c>
    </row>
    <row r="2468" spans="18:19" x14ac:dyDescent="0.25">
      <c r="R2468">
        <v>3462100.6021076841</v>
      </c>
      <c r="S2468">
        <v>0</v>
      </c>
    </row>
    <row r="2469" spans="18:19" x14ac:dyDescent="0.25">
      <c r="R2469">
        <v>3462126.2646085564</v>
      </c>
      <c r="S2469">
        <v>0</v>
      </c>
    </row>
    <row r="2470" spans="18:19" x14ac:dyDescent="0.25">
      <c r="R2470">
        <v>3462151.9271094287</v>
      </c>
      <c r="S2470">
        <v>0</v>
      </c>
    </row>
    <row r="2471" spans="18:19" x14ac:dyDescent="0.25">
      <c r="R2471">
        <v>3462177.5896103014</v>
      </c>
      <c r="S2471">
        <v>0</v>
      </c>
    </row>
    <row r="2472" spans="18:19" x14ac:dyDescent="0.25">
      <c r="R2472">
        <v>3462203.2521111737</v>
      </c>
      <c r="S2472">
        <v>0</v>
      </c>
    </row>
    <row r="2473" spans="18:19" x14ac:dyDescent="0.25">
      <c r="R2473">
        <v>3462228.914612046</v>
      </c>
      <c r="S2473">
        <v>0</v>
      </c>
    </row>
    <row r="2474" spans="18:19" x14ac:dyDescent="0.25">
      <c r="R2474">
        <v>3462254.5771129183</v>
      </c>
      <c r="S2474">
        <v>0</v>
      </c>
    </row>
    <row r="2475" spans="18:19" x14ac:dyDescent="0.25">
      <c r="R2475">
        <v>3462280.239613791</v>
      </c>
      <c r="S2475">
        <v>0</v>
      </c>
    </row>
    <row r="2476" spans="18:19" x14ac:dyDescent="0.25">
      <c r="R2476">
        <v>3462305.9021146633</v>
      </c>
      <c r="S2476">
        <v>0</v>
      </c>
    </row>
    <row r="2477" spans="18:19" x14ac:dyDescent="0.25">
      <c r="R2477">
        <v>3462331.5646155355</v>
      </c>
      <c r="S2477">
        <v>0</v>
      </c>
    </row>
    <row r="2478" spans="18:19" x14ac:dyDescent="0.25">
      <c r="R2478">
        <v>3462357.2271164078</v>
      </c>
      <c r="S2478">
        <v>0</v>
      </c>
    </row>
    <row r="2479" spans="18:19" x14ac:dyDescent="0.25">
      <c r="R2479">
        <v>3462382.8896172801</v>
      </c>
      <c r="S2479">
        <v>0</v>
      </c>
    </row>
    <row r="2480" spans="18:19" x14ac:dyDescent="0.25">
      <c r="R2480">
        <v>3462408.5521181528</v>
      </c>
      <c r="S2480">
        <v>0</v>
      </c>
    </row>
    <row r="2481" spans="18:19" x14ac:dyDescent="0.25">
      <c r="R2481">
        <v>3462434.2146190251</v>
      </c>
      <c r="S2481">
        <v>0</v>
      </c>
    </row>
    <row r="2482" spans="18:19" x14ac:dyDescent="0.25">
      <c r="R2482">
        <v>3462459.8771198974</v>
      </c>
      <c r="S2482">
        <v>0</v>
      </c>
    </row>
    <row r="2483" spans="18:19" x14ac:dyDescent="0.25">
      <c r="R2483">
        <v>3462485.5396207697</v>
      </c>
      <c r="S2483">
        <v>0</v>
      </c>
    </row>
    <row r="2484" spans="18:19" x14ac:dyDescent="0.25">
      <c r="R2484">
        <v>3462511.2021216424</v>
      </c>
      <c r="S2484">
        <v>0</v>
      </c>
    </row>
    <row r="2485" spans="18:19" x14ac:dyDescent="0.25">
      <c r="R2485">
        <v>3462536.8646225147</v>
      </c>
      <c r="S2485">
        <v>0</v>
      </c>
    </row>
    <row r="2486" spans="18:19" x14ac:dyDescent="0.25">
      <c r="R2486">
        <v>3462562.527123387</v>
      </c>
      <c r="S2486">
        <v>0</v>
      </c>
    </row>
    <row r="2487" spans="18:19" x14ac:dyDescent="0.25">
      <c r="R2487">
        <v>3462588.1896242592</v>
      </c>
      <c r="S2487">
        <v>0</v>
      </c>
    </row>
    <row r="2488" spans="18:19" x14ac:dyDescent="0.25">
      <c r="R2488">
        <v>3462613.852125132</v>
      </c>
      <c r="S2488">
        <v>0</v>
      </c>
    </row>
    <row r="2489" spans="18:19" x14ac:dyDescent="0.25">
      <c r="R2489">
        <v>3462639.5146260043</v>
      </c>
      <c r="S2489">
        <v>0</v>
      </c>
    </row>
    <row r="2490" spans="18:19" x14ac:dyDescent="0.25">
      <c r="R2490">
        <v>3462665.1771268765</v>
      </c>
      <c r="S2490">
        <v>0</v>
      </c>
    </row>
    <row r="2491" spans="18:19" x14ac:dyDescent="0.25">
      <c r="R2491">
        <v>3462690.8396277488</v>
      </c>
      <c r="S2491">
        <v>0</v>
      </c>
    </row>
    <row r="2492" spans="18:19" x14ac:dyDescent="0.25">
      <c r="R2492">
        <v>3462716.5021286216</v>
      </c>
      <c r="S2492">
        <v>0</v>
      </c>
    </row>
    <row r="2493" spans="18:19" x14ac:dyDescent="0.25">
      <c r="R2493">
        <v>3462742.1646294938</v>
      </c>
      <c r="S2493">
        <v>0</v>
      </c>
    </row>
    <row r="2494" spans="18:19" x14ac:dyDescent="0.25">
      <c r="R2494">
        <v>3462767.8271303661</v>
      </c>
      <c r="S2494">
        <v>0</v>
      </c>
    </row>
    <row r="2495" spans="18:19" x14ac:dyDescent="0.25">
      <c r="R2495">
        <v>3462793.4896312384</v>
      </c>
      <c r="S2495">
        <v>0</v>
      </c>
    </row>
    <row r="2496" spans="18:19" x14ac:dyDescent="0.25">
      <c r="R2496">
        <v>3462819.1521321107</v>
      </c>
      <c r="S2496">
        <v>0</v>
      </c>
    </row>
    <row r="2497" spans="18:19" x14ac:dyDescent="0.25">
      <c r="R2497">
        <v>3462844.8146329834</v>
      </c>
      <c r="S2497">
        <v>0</v>
      </c>
    </row>
    <row r="2498" spans="18:19" x14ac:dyDescent="0.25">
      <c r="R2498">
        <v>3462870.4771338557</v>
      </c>
      <c r="S2498">
        <v>0</v>
      </c>
    </row>
    <row r="2499" spans="18:19" x14ac:dyDescent="0.25">
      <c r="R2499">
        <v>3462896.139634728</v>
      </c>
      <c r="S2499">
        <v>0</v>
      </c>
    </row>
    <row r="2500" spans="18:19" x14ac:dyDescent="0.25">
      <c r="R2500">
        <v>3462921.8021356002</v>
      </c>
      <c r="S2500">
        <v>0</v>
      </c>
    </row>
    <row r="2501" spans="18:19" x14ac:dyDescent="0.25">
      <c r="R2501">
        <v>3462947.464636473</v>
      </c>
      <c r="S2501">
        <v>0</v>
      </c>
    </row>
    <row r="2502" spans="18:19" x14ac:dyDescent="0.25">
      <c r="R2502">
        <v>3462973.1271373453</v>
      </c>
      <c r="S2502">
        <v>0</v>
      </c>
    </row>
    <row r="2503" spans="18:19" x14ac:dyDescent="0.25">
      <c r="R2503">
        <v>3462998.7896382175</v>
      </c>
      <c r="S2503">
        <v>0</v>
      </c>
    </row>
    <row r="2504" spans="18:19" x14ac:dyDescent="0.25">
      <c r="R2504">
        <v>3463024.4521390898</v>
      </c>
      <c r="S2504">
        <v>0</v>
      </c>
    </row>
    <row r="2505" spans="18:19" x14ac:dyDescent="0.25">
      <c r="R2505">
        <v>3463050.1146399626</v>
      </c>
      <c r="S2505">
        <v>0</v>
      </c>
    </row>
    <row r="2506" spans="18:19" x14ac:dyDescent="0.25">
      <c r="R2506">
        <v>3463075.7771408348</v>
      </c>
      <c r="S2506">
        <v>0</v>
      </c>
    </row>
    <row r="2507" spans="18:19" x14ac:dyDescent="0.25">
      <c r="R2507">
        <v>3463101.4396417071</v>
      </c>
      <c r="S2507">
        <v>0</v>
      </c>
    </row>
    <row r="2508" spans="18:19" x14ac:dyDescent="0.25">
      <c r="R2508">
        <v>3463127.1021425794</v>
      </c>
      <c r="S2508">
        <v>0</v>
      </c>
    </row>
    <row r="2509" spans="18:19" x14ac:dyDescent="0.25">
      <c r="R2509">
        <v>3463152.7646434521</v>
      </c>
      <c r="S2509">
        <v>0</v>
      </c>
    </row>
    <row r="2510" spans="18:19" x14ac:dyDescent="0.25">
      <c r="R2510">
        <v>3463178.4271443244</v>
      </c>
      <c r="S2510">
        <v>0</v>
      </c>
    </row>
    <row r="2511" spans="18:19" x14ac:dyDescent="0.25">
      <c r="R2511">
        <v>3463204.0896451967</v>
      </c>
      <c r="S2511">
        <v>0</v>
      </c>
    </row>
    <row r="2512" spans="18:19" x14ac:dyDescent="0.25">
      <c r="R2512">
        <v>3463229.752146069</v>
      </c>
      <c r="S2512">
        <v>0</v>
      </c>
    </row>
    <row r="2513" spans="18:19" x14ac:dyDescent="0.25">
      <c r="R2513">
        <v>3463255.4146469412</v>
      </c>
      <c r="S2513">
        <v>0</v>
      </c>
    </row>
    <row r="2514" spans="18:19" x14ac:dyDescent="0.25">
      <c r="R2514">
        <v>3463281.077147814</v>
      </c>
      <c r="S2514">
        <v>0</v>
      </c>
    </row>
    <row r="2515" spans="18:19" x14ac:dyDescent="0.25">
      <c r="R2515">
        <v>3463306.7396486863</v>
      </c>
      <c r="S2515">
        <v>0</v>
      </c>
    </row>
    <row r="2516" spans="18:19" x14ac:dyDescent="0.25">
      <c r="R2516">
        <v>3463332.4021495585</v>
      </c>
      <c r="S2516">
        <v>0</v>
      </c>
    </row>
    <row r="2517" spans="18:19" x14ac:dyDescent="0.25">
      <c r="R2517">
        <v>3463358.0646504308</v>
      </c>
      <c r="S2517">
        <v>0</v>
      </c>
    </row>
    <row r="2518" spans="18:19" x14ac:dyDescent="0.25">
      <c r="R2518">
        <v>3463383.7271513036</v>
      </c>
      <c r="S2518">
        <v>0</v>
      </c>
    </row>
    <row r="2519" spans="18:19" x14ac:dyDescent="0.25">
      <c r="R2519">
        <v>3463409.3896521758</v>
      </c>
      <c r="S2519">
        <v>0</v>
      </c>
    </row>
    <row r="2520" spans="18:19" x14ac:dyDescent="0.25">
      <c r="R2520">
        <v>3463435.0521530481</v>
      </c>
      <c r="S2520">
        <v>0</v>
      </c>
    </row>
    <row r="2521" spans="18:19" x14ac:dyDescent="0.25">
      <c r="R2521">
        <v>3463460.7146539204</v>
      </c>
      <c r="S2521">
        <v>0</v>
      </c>
    </row>
    <row r="2522" spans="18:19" x14ac:dyDescent="0.25">
      <c r="R2522">
        <v>3463486.3771547931</v>
      </c>
      <c r="S2522">
        <v>0</v>
      </c>
    </row>
    <row r="2523" spans="18:19" x14ac:dyDescent="0.25">
      <c r="R2523">
        <v>3463512.0396556654</v>
      </c>
      <c r="S2523">
        <v>0</v>
      </c>
    </row>
    <row r="2524" spans="18:19" x14ac:dyDescent="0.25">
      <c r="R2524">
        <v>3463537.7021565377</v>
      </c>
      <c r="S2524">
        <v>0</v>
      </c>
    </row>
    <row r="2525" spans="18:19" x14ac:dyDescent="0.25">
      <c r="R2525">
        <v>3463563.36465741</v>
      </c>
      <c r="S2525">
        <v>0</v>
      </c>
    </row>
    <row r="2526" spans="18:19" x14ac:dyDescent="0.25">
      <c r="R2526">
        <v>3463589.0271582822</v>
      </c>
      <c r="S2526">
        <v>0</v>
      </c>
    </row>
    <row r="2527" spans="18:19" x14ac:dyDescent="0.25">
      <c r="R2527">
        <v>3463614.689659155</v>
      </c>
      <c r="S2527">
        <v>0</v>
      </c>
    </row>
    <row r="2528" spans="18:19" x14ac:dyDescent="0.25">
      <c r="R2528">
        <v>3463640.3521600273</v>
      </c>
      <c r="S2528">
        <v>0</v>
      </c>
    </row>
    <row r="2529" spans="18:19" x14ac:dyDescent="0.25">
      <c r="R2529">
        <v>3463666.0146608995</v>
      </c>
      <c r="S2529">
        <v>0</v>
      </c>
    </row>
    <row r="2530" spans="18:19" x14ac:dyDescent="0.25">
      <c r="R2530">
        <v>3463691.6771617718</v>
      </c>
      <c r="S2530">
        <v>0</v>
      </c>
    </row>
    <row r="2531" spans="18:19" x14ac:dyDescent="0.25">
      <c r="R2531">
        <v>3463717.3396626445</v>
      </c>
      <c r="S2531">
        <v>0</v>
      </c>
    </row>
    <row r="2532" spans="18:19" x14ac:dyDescent="0.25">
      <c r="R2532">
        <v>3463743.0021635168</v>
      </c>
      <c r="S2532">
        <v>0</v>
      </c>
    </row>
    <row r="2533" spans="18:19" x14ac:dyDescent="0.25">
      <c r="R2533">
        <v>3463768.6646643891</v>
      </c>
      <c r="S2533">
        <v>0</v>
      </c>
    </row>
    <row r="2534" spans="18:19" x14ac:dyDescent="0.25">
      <c r="R2534">
        <v>3463794.3271652614</v>
      </c>
      <c r="S2534">
        <v>0</v>
      </c>
    </row>
    <row r="2535" spans="18:19" x14ac:dyDescent="0.25">
      <c r="R2535">
        <v>3463819.9896661341</v>
      </c>
      <c r="S2535">
        <v>0</v>
      </c>
    </row>
    <row r="2536" spans="18:19" x14ac:dyDescent="0.25">
      <c r="R2536">
        <v>3463845.6521670064</v>
      </c>
      <c r="S2536">
        <v>0</v>
      </c>
    </row>
    <row r="2537" spans="18:19" x14ac:dyDescent="0.25">
      <c r="R2537">
        <v>3463871.3146678787</v>
      </c>
      <c r="S2537">
        <v>0</v>
      </c>
    </row>
    <row r="2538" spans="18:19" x14ac:dyDescent="0.25">
      <c r="R2538">
        <v>3463896.9771687509</v>
      </c>
      <c r="S2538">
        <v>0</v>
      </c>
    </row>
    <row r="2539" spans="18:19" x14ac:dyDescent="0.25">
      <c r="R2539">
        <v>3463922.6396696237</v>
      </c>
      <c r="S2539">
        <v>0</v>
      </c>
    </row>
    <row r="2540" spans="18:19" x14ac:dyDescent="0.25">
      <c r="R2540">
        <v>3463948.302170496</v>
      </c>
      <c r="S2540">
        <v>0</v>
      </c>
    </row>
    <row r="2541" spans="18:19" x14ac:dyDescent="0.25">
      <c r="R2541">
        <v>3463973.9646713682</v>
      </c>
      <c r="S2541">
        <v>0</v>
      </c>
    </row>
    <row r="2542" spans="18:19" x14ac:dyDescent="0.25">
      <c r="R2542">
        <v>3463999.6271722405</v>
      </c>
      <c r="S2542">
        <v>0</v>
      </c>
    </row>
    <row r="2543" spans="18:19" x14ac:dyDescent="0.25">
      <c r="R2543">
        <v>3464025.2896731128</v>
      </c>
      <c r="S2543">
        <v>0</v>
      </c>
    </row>
    <row r="2544" spans="18:19" x14ac:dyDescent="0.25">
      <c r="R2544">
        <v>3464050.9521739855</v>
      </c>
      <c r="S2544">
        <v>0</v>
      </c>
    </row>
    <row r="2545" spans="18:19" x14ac:dyDescent="0.25">
      <c r="R2545">
        <v>3464076.6146748578</v>
      </c>
      <c r="S2545">
        <v>0</v>
      </c>
    </row>
    <row r="2546" spans="18:19" x14ac:dyDescent="0.25">
      <c r="R2546">
        <v>3464102.2771757301</v>
      </c>
      <c r="S2546">
        <v>0</v>
      </c>
    </row>
    <row r="2547" spans="18:19" x14ac:dyDescent="0.25">
      <c r="R2547">
        <v>3464127.9396766024</v>
      </c>
      <c r="S2547">
        <v>0</v>
      </c>
    </row>
    <row r="2548" spans="18:19" x14ac:dyDescent="0.25">
      <c r="R2548">
        <v>3464153.6021774751</v>
      </c>
      <c r="S2548">
        <v>0</v>
      </c>
    </row>
    <row r="2549" spans="18:19" x14ac:dyDescent="0.25">
      <c r="R2549">
        <v>3464179.2646783474</v>
      </c>
      <c r="S2549">
        <v>0</v>
      </c>
    </row>
    <row r="2550" spans="18:19" x14ac:dyDescent="0.25">
      <c r="R2550">
        <v>3464204.9271792197</v>
      </c>
      <c r="S2550">
        <v>0</v>
      </c>
    </row>
    <row r="2551" spans="18:19" x14ac:dyDescent="0.25">
      <c r="R2551">
        <v>3464230.5896800919</v>
      </c>
      <c r="S2551">
        <v>0</v>
      </c>
    </row>
    <row r="2552" spans="18:19" x14ac:dyDescent="0.25">
      <c r="R2552">
        <v>3464256.2521809647</v>
      </c>
      <c r="S2552">
        <v>0</v>
      </c>
    </row>
    <row r="2553" spans="18:19" x14ac:dyDescent="0.25">
      <c r="R2553">
        <v>3464281.914681837</v>
      </c>
      <c r="S2553">
        <v>0</v>
      </c>
    </row>
    <row r="2554" spans="18:19" x14ac:dyDescent="0.25">
      <c r="R2554">
        <v>3464307.5771827092</v>
      </c>
      <c r="S2554">
        <v>0</v>
      </c>
    </row>
    <row r="2555" spans="18:19" x14ac:dyDescent="0.25">
      <c r="R2555">
        <v>3464333.2396835815</v>
      </c>
      <c r="S2555">
        <v>0</v>
      </c>
    </row>
    <row r="2556" spans="18:19" x14ac:dyDescent="0.25">
      <c r="R2556">
        <v>3464358.9021844543</v>
      </c>
      <c r="S2556">
        <v>0</v>
      </c>
    </row>
    <row r="2557" spans="18:19" x14ac:dyDescent="0.25">
      <c r="R2557">
        <v>3464384.5646853265</v>
      </c>
      <c r="S2557">
        <v>0</v>
      </c>
    </row>
    <row r="2558" spans="18:19" x14ac:dyDescent="0.25">
      <c r="R2558">
        <v>3464410.2271861988</v>
      </c>
      <c r="S2558">
        <v>0</v>
      </c>
    </row>
    <row r="2559" spans="18:19" x14ac:dyDescent="0.25">
      <c r="R2559">
        <v>3464435.8896870711</v>
      </c>
      <c r="S2559">
        <v>0</v>
      </c>
    </row>
    <row r="2560" spans="18:19" x14ac:dyDescent="0.25">
      <c r="R2560">
        <v>3464461.5521879434</v>
      </c>
      <c r="S2560">
        <v>0</v>
      </c>
    </row>
    <row r="2561" spans="18:19" x14ac:dyDescent="0.25">
      <c r="R2561">
        <v>3464487.2146888161</v>
      </c>
      <c r="S2561">
        <v>0</v>
      </c>
    </row>
    <row r="2562" spans="18:19" x14ac:dyDescent="0.25">
      <c r="R2562">
        <v>3464512.8771896884</v>
      </c>
      <c r="S2562">
        <v>0</v>
      </c>
    </row>
    <row r="2563" spans="18:19" x14ac:dyDescent="0.25">
      <c r="R2563">
        <v>3464538.5396905607</v>
      </c>
      <c r="S2563">
        <v>0</v>
      </c>
    </row>
    <row r="2564" spans="18:19" x14ac:dyDescent="0.25">
      <c r="R2564">
        <v>3464564.2021914329</v>
      </c>
      <c r="S2564">
        <v>0</v>
      </c>
    </row>
    <row r="2565" spans="18:19" x14ac:dyDescent="0.25">
      <c r="R2565">
        <v>3464589.8646923057</v>
      </c>
      <c r="S2565">
        <v>0</v>
      </c>
    </row>
    <row r="2566" spans="18:19" x14ac:dyDescent="0.25">
      <c r="R2566">
        <v>3464615.527193178</v>
      </c>
      <c r="S2566">
        <v>0</v>
      </c>
    </row>
    <row r="2567" spans="18:19" x14ac:dyDescent="0.25">
      <c r="R2567">
        <v>3464641.1896940502</v>
      </c>
      <c r="S2567">
        <v>0</v>
      </c>
    </row>
    <row r="2568" spans="18:19" x14ac:dyDescent="0.25">
      <c r="R2568">
        <v>3464666.8521949225</v>
      </c>
      <c r="S2568">
        <v>0</v>
      </c>
    </row>
    <row r="2569" spans="18:19" x14ac:dyDescent="0.25">
      <c r="R2569">
        <v>3464692.5146957953</v>
      </c>
      <c r="S2569">
        <v>0</v>
      </c>
    </row>
    <row r="2570" spans="18:19" x14ac:dyDescent="0.25">
      <c r="R2570">
        <v>3464718.1771966675</v>
      </c>
      <c r="S2570">
        <v>0</v>
      </c>
    </row>
    <row r="2571" spans="18:19" x14ac:dyDescent="0.25">
      <c r="R2571">
        <v>3464743.8396975398</v>
      </c>
      <c r="S2571">
        <v>0</v>
      </c>
    </row>
    <row r="2572" spans="18:19" x14ac:dyDescent="0.25">
      <c r="R2572">
        <v>3464769.5021984121</v>
      </c>
      <c r="S2572">
        <v>0</v>
      </c>
    </row>
    <row r="2573" spans="18:19" x14ac:dyDescent="0.25">
      <c r="R2573">
        <v>3464795.1646992848</v>
      </c>
      <c r="S2573">
        <v>0</v>
      </c>
    </row>
    <row r="2574" spans="18:19" x14ac:dyDescent="0.25">
      <c r="R2574">
        <v>3464820.8272001571</v>
      </c>
      <c r="S2574">
        <v>0</v>
      </c>
    </row>
    <row r="2575" spans="18:19" x14ac:dyDescent="0.25">
      <c r="R2575">
        <v>3464846.4897010294</v>
      </c>
      <c r="S2575">
        <v>0</v>
      </c>
    </row>
    <row r="2576" spans="18:19" x14ac:dyDescent="0.25">
      <c r="R2576">
        <v>3464872.1522019017</v>
      </c>
      <c r="S2576">
        <v>0</v>
      </c>
    </row>
    <row r="2577" spans="18:19" x14ac:dyDescent="0.25">
      <c r="R2577">
        <v>3464897.8147027739</v>
      </c>
      <c r="S2577">
        <v>0</v>
      </c>
    </row>
    <row r="2578" spans="18:19" x14ac:dyDescent="0.25">
      <c r="R2578">
        <v>3464923.4772036467</v>
      </c>
      <c r="S2578">
        <v>0</v>
      </c>
    </row>
    <row r="2579" spans="18:19" x14ac:dyDescent="0.25">
      <c r="R2579">
        <v>3464949.139704519</v>
      </c>
      <c r="S2579">
        <v>0</v>
      </c>
    </row>
    <row r="2580" spans="18:19" x14ac:dyDescent="0.25">
      <c r="R2580">
        <v>3464974.8022053912</v>
      </c>
      <c r="S2580">
        <v>0</v>
      </c>
    </row>
    <row r="2581" spans="18:19" x14ac:dyDescent="0.25">
      <c r="R2581">
        <v>3465000.4647062635</v>
      </c>
      <c r="S2581">
        <v>0</v>
      </c>
    </row>
    <row r="2582" spans="18:19" x14ac:dyDescent="0.25">
      <c r="R2582">
        <v>3465026.1272071362</v>
      </c>
      <c r="S2582">
        <v>0</v>
      </c>
    </row>
    <row r="2583" spans="18:19" x14ac:dyDescent="0.25">
      <c r="R2583">
        <v>3465051.7897080085</v>
      </c>
      <c r="S2583">
        <v>0</v>
      </c>
    </row>
    <row r="2584" spans="18:19" x14ac:dyDescent="0.25">
      <c r="R2584">
        <v>3465077.4522088808</v>
      </c>
      <c r="S2584">
        <v>0</v>
      </c>
    </row>
    <row r="2585" spans="18:19" x14ac:dyDescent="0.25">
      <c r="R2585">
        <v>3465103.1147097531</v>
      </c>
      <c r="S2585">
        <v>0</v>
      </c>
    </row>
    <row r="2586" spans="18:19" x14ac:dyDescent="0.25">
      <c r="R2586">
        <v>3465128.7772106258</v>
      </c>
      <c r="S2586">
        <v>0</v>
      </c>
    </row>
    <row r="2587" spans="18:19" x14ac:dyDescent="0.25">
      <c r="R2587">
        <v>3465154.4397114981</v>
      </c>
      <c r="S2587">
        <v>0</v>
      </c>
    </row>
    <row r="2588" spans="18:19" x14ac:dyDescent="0.25">
      <c r="R2588">
        <v>3465180.1022123704</v>
      </c>
      <c r="S2588">
        <v>0</v>
      </c>
    </row>
    <row r="2589" spans="18:19" x14ac:dyDescent="0.25">
      <c r="R2589">
        <v>3465205.7647132427</v>
      </c>
      <c r="S2589">
        <v>0</v>
      </c>
    </row>
    <row r="2590" spans="18:19" x14ac:dyDescent="0.25">
      <c r="R2590">
        <v>3465231.4272141149</v>
      </c>
      <c r="S2590">
        <v>0</v>
      </c>
    </row>
    <row r="2591" spans="18:19" x14ac:dyDescent="0.25">
      <c r="R2591">
        <v>3465257.0897149877</v>
      </c>
      <c r="S2591">
        <v>0</v>
      </c>
    </row>
    <row r="2592" spans="18:19" x14ac:dyDescent="0.25">
      <c r="R2592">
        <v>3465282.7522158599</v>
      </c>
      <c r="S2592">
        <v>0</v>
      </c>
    </row>
    <row r="2593" spans="18:19" x14ac:dyDescent="0.25">
      <c r="R2593">
        <v>3465308.4147167322</v>
      </c>
      <c r="S2593">
        <v>0</v>
      </c>
    </row>
    <row r="2594" spans="18:19" x14ac:dyDescent="0.25">
      <c r="R2594">
        <v>3465334.0772176045</v>
      </c>
      <c r="S2594">
        <v>0</v>
      </c>
    </row>
    <row r="2595" spans="18:19" x14ac:dyDescent="0.25">
      <c r="R2595">
        <v>3465359.7397184772</v>
      </c>
      <c r="S2595">
        <v>0</v>
      </c>
    </row>
    <row r="2596" spans="18:19" x14ac:dyDescent="0.25">
      <c r="R2596">
        <v>3465385.4022193495</v>
      </c>
      <c r="S2596">
        <v>0</v>
      </c>
    </row>
    <row r="2597" spans="18:19" x14ac:dyDescent="0.25">
      <c r="R2597">
        <v>3465411.0647202218</v>
      </c>
      <c r="S2597">
        <v>0</v>
      </c>
    </row>
    <row r="2598" spans="18:19" x14ac:dyDescent="0.25">
      <c r="R2598">
        <v>3465436.7272210941</v>
      </c>
      <c r="S2598">
        <v>0</v>
      </c>
    </row>
    <row r="2599" spans="18:19" x14ac:dyDescent="0.25">
      <c r="R2599">
        <v>3465462.3897219668</v>
      </c>
      <c r="S2599">
        <v>0</v>
      </c>
    </row>
    <row r="2600" spans="18:19" x14ac:dyDescent="0.25">
      <c r="R2600">
        <v>3465488.0522228391</v>
      </c>
      <c r="S2600">
        <v>0</v>
      </c>
    </row>
    <row r="2601" spans="18:19" x14ac:dyDescent="0.25">
      <c r="R2601">
        <v>3465513.7147237114</v>
      </c>
      <c r="S2601">
        <v>0</v>
      </c>
    </row>
    <row r="2602" spans="18:19" x14ac:dyDescent="0.25">
      <c r="R2602">
        <v>3465539.3772245836</v>
      </c>
      <c r="S2602">
        <v>0</v>
      </c>
    </row>
    <row r="2603" spans="18:19" x14ac:dyDescent="0.25">
      <c r="R2603">
        <v>3465565.0397254564</v>
      </c>
      <c r="S2603">
        <v>0</v>
      </c>
    </row>
    <row r="2604" spans="18:19" x14ac:dyDescent="0.25">
      <c r="R2604">
        <v>3465590.7022263287</v>
      </c>
      <c r="S2604">
        <v>0</v>
      </c>
    </row>
    <row r="2605" spans="18:19" x14ac:dyDescent="0.25">
      <c r="R2605">
        <v>3465616.3647272009</v>
      </c>
      <c r="S2605">
        <v>0</v>
      </c>
    </row>
    <row r="2606" spans="18:19" x14ac:dyDescent="0.25">
      <c r="R2606">
        <v>3465642.0272280732</v>
      </c>
      <c r="S2606">
        <v>0</v>
      </c>
    </row>
    <row r="2607" spans="18:19" x14ac:dyDescent="0.25">
      <c r="R2607">
        <v>3465667.6897289455</v>
      </c>
      <c r="S2607">
        <v>0</v>
      </c>
    </row>
    <row r="2608" spans="18:19" x14ac:dyDescent="0.25">
      <c r="R2608">
        <v>3465693.3522298182</v>
      </c>
      <c r="S2608">
        <v>0</v>
      </c>
    </row>
    <row r="2609" spans="18:19" x14ac:dyDescent="0.25">
      <c r="R2609">
        <v>3465719.0147306905</v>
      </c>
      <c r="S2609">
        <v>0</v>
      </c>
    </row>
    <row r="2610" spans="18:19" x14ac:dyDescent="0.25">
      <c r="R2610">
        <v>3465744.6772315628</v>
      </c>
      <c r="S2610">
        <v>0</v>
      </c>
    </row>
    <row r="2611" spans="18:19" x14ac:dyDescent="0.25">
      <c r="R2611">
        <v>3465770.3397324351</v>
      </c>
      <c r="S2611">
        <v>0</v>
      </c>
    </row>
    <row r="2612" spans="18:19" x14ac:dyDescent="0.25">
      <c r="R2612">
        <v>3465796.0022333078</v>
      </c>
      <c r="S2612">
        <v>0</v>
      </c>
    </row>
    <row r="2613" spans="18:19" x14ac:dyDescent="0.25">
      <c r="R2613">
        <v>3465821.6647341801</v>
      </c>
      <c r="S2613">
        <v>0</v>
      </c>
    </row>
    <row r="2614" spans="18:19" x14ac:dyDescent="0.25">
      <c r="R2614">
        <v>3465847.3272350524</v>
      </c>
      <c r="S2614">
        <v>0</v>
      </c>
    </row>
    <row r="2615" spans="18:19" x14ac:dyDescent="0.25">
      <c r="R2615">
        <v>3465872.9897359246</v>
      </c>
      <c r="S2615">
        <v>0</v>
      </c>
    </row>
    <row r="2616" spans="18:19" x14ac:dyDescent="0.25">
      <c r="R2616">
        <v>3465898.6522367974</v>
      </c>
      <c r="S2616">
        <v>0</v>
      </c>
    </row>
    <row r="2617" spans="18:19" x14ac:dyDescent="0.25">
      <c r="R2617">
        <v>3465924.3147376697</v>
      </c>
      <c r="S2617">
        <v>0</v>
      </c>
    </row>
    <row r="2618" spans="18:19" x14ac:dyDescent="0.25">
      <c r="R2618">
        <v>3465949.9772385419</v>
      </c>
      <c r="S2618">
        <v>0</v>
      </c>
    </row>
    <row r="2619" spans="18:19" x14ac:dyDescent="0.25">
      <c r="R2619">
        <v>3465975.6397394142</v>
      </c>
      <c r="S2619">
        <v>0</v>
      </c>
    </row>
    <row r="2620" spans="18:19" x14ac:dyDescent="0.25">
      <c r="R2620">
        <v>3466001.302240287</v>
      </c>
      <c r="S2620">
        <v>0</v>
      </c>
    </row>
    <row r="2621" spans="18:19" x14ac:dyDescent="0.25">
      <c r="R2621">
        <v>3466026.9647411592</v>
      </c>
      <c r="S2621">
        <v>0</v>
      </c>
    </row>
    <row r="2622" spans="18:19" x14ac:dyDescent="0.25">
      <c r="R2622">
        <v>3466052.6272420315</v>
      </c>
      <c r="S2622">
        <v>0</v>
      </c>
    </row>
    <row r="2623" spans="18:19" x14ac:dyDescent="0.25">
      <c r="R2623">
        <v>3466078.2897429038</v>
      </c>
      <c r="S2623">
        <v>0</v>
      </c>
    </row>
    <row r="2624" spans="18:19" x14ac:dyDescent="0.25">
      <c r="R2624">
        <v>3466103.9522437761</v>
      </c>
      <c r="S2624">
        <v>0</v>
      </c>
    </row>
    <row r="2625" spans="18:19" x14ac:dyDescent="0.25">
      <c r="R2625">
        <v>3466129.6147446488</v>
      </c>
      <c r="S2625">
        <v>0</v>
      </c>
    </row>
    <row r="2626" spans="18:19" x14ac:dyDescent="0.25">
      <c r="R2626">
        <v>3466155.2772455211</v>
      </c>
      <c r="S2626">
        <v>0</v>
      </c>
    </row>
    <row r="2627" spans="18:19" x14ac:dyDescent="0.25">
      <c r="R2627">
        <v>3466180.9397463934</v>
      </c>
      <c r="S2627">
        <v>0</v>
      </c>
    </row>
    <row r="2628" spans="18:19" x14ac:dyDescent="0.25">
      <c r="R2628">
        <v>3466206.6022472656</v>
      </c>
      <c r="S2628">
        <v>0</v>
      </c>
    </row>
    <row r="2629" spans="18:19" x14ac:dyDescent="0.25">
      <c r="R2629">
        <v>3466232.2647481384</v>
      </c>
      <c r="S2629">
        <v>0</v>
      </c>
    </row>
    <row r="2630" spans="18:19" x14ac:dyDescent="0.25">
      <c r="R2630">
        <v>3466257.9272490107</v>
      </c>
      <c r="S2630">
        <v>0</v>
      </c>
    </row>
    <row r="2631" spans="18:19" x14ac:dyDescent="0.25">
      <c r="R2631">
        <v>3466283.5897498829</v>
      </c>
      <c r="S2631">
        <v>0</v>
      </c>
    </row>
    <row r="2632" spans="18:19" x14ac:dyDescent="0.25">
      <c r="R2632">
        <v>3466309.2522507552</v>
      </c>
      <c r="S2632">
        <v>0</v>
      </c>
    </row>
    <row r="2633" spans="18:19" x14ac:dyDescent="0.25">
      <c r="R2633">
        <v>3466334.9147516279</v>
      </c>
      <c r="S2633">
        <v>0</v>
      </c>
    </row>
    <row r="2634" spans="18:19" x14ac:dyDescent="0.25">
      <c r="R2634">
        <v>3466360.5772525002</v>
      </c>
      <c r="S2634">
        <v>0</v>
      </c>
    </row>
    <row r="2635" spans="18:19" x14ac:dyDescent="0.25">
      <c r="R2635">
        <v>3466386.2397533725</v>
      </c>
      <c r="S2635">
        <v>0</v>
      </c>
    </row>
    <row r="2636" spans="18:19" x14ac:dyDescent="0.25">
      <c r="R2636">
        <v>3466411.9022542448</v>
      </c>
      <c r="S2636">
        <v>0</v>
      </c>
    </row>
    <row r="2637" spans="18:19" x14ac:dyDescent="0.25">
      <c r="R2637">
        <v>3466437.5647551175</v>
      </c>
      <c r="S2637">
        <v>0</v>
      </c>
    </row>
    <row r="2638" spans="18:19" x14ac:dyDescent="0.25">
      <c r="R2638">
        <v>3466463.2272559898</v>
      </c>
      <c r="S2638">
        <v>0</v>
      </c>
    </row>
    <row r="2639" spans="18:19" x14ac:dyDescent="0.25">
      <c r="R2639">
        <v>3466488.8897568621</v>
      </c>
      <c r="S2639">
        <v>0</v>
      </c>
    </row>
    <row r="2640" spans="18:19" x14ac:dyDescent="0.25">
      <c r="R2640">
        <v>3466514.5522577344</v>
      </c>
      <c r="S2640">
        <v>0</v>
      </c>
    </row>
    <row r="2641" spans="18:19" x14ac:dyDescent="0.25">
      <c r="R2641">
        <v>3466540.2147586066</v>
      </c>
      <c r="S2641">
        <v>0</v>
      </c>
    </row>
    <row r="2642" spans="18:19" x14ac:dyDescent="0.25">
      <c r="R2642">
        <v>3466565.8772594794</v>
      </c>
      <c r="S2642">
        <v>0</v>
      </c>
    </row>
    <row r="2643" spans="18:19" x14ac:dyDescent="0.25">
      <c r="R2643">
        <v>3466591.5397603516</v>
      </c>
      <c r="S2643">
        <v>0</v>
      </c>
    </row>
    <row r="2644" spans="18:19" x14ac:dyDescent="0.25">
      <c r="R2644">
        <v>3466617.2022612239</v>
      </c>
      <c r="S2644">
        <v>0</v>
      </c>
    </row>
    <row r="2645" spans="18:19" x14ac:dyDescent="0.25">
      <c r="R2645">
        <v>3466642.8647620962</v>
      </c>
      <c r="S2645">
        <v>0</v>
      </c>
    </row>
    <row r="2646" spans="18:19" x14ac:dyDescent="0.25">
      <c r="R2646">
        <v>3466668.5272629689</v>
      </c>
      <c r="S2646">
        <v>0</v>
      </c>
    </row>
    <row r="2647" spans="18:19" x14ac:dyDescent="0.25">
      <c r="R2647">
        <v>3466694.1897638412</v>
      </c>
      <c r="S2647">
        <v>0</v>
      </c>
    </row>
    <row r="2648" spans="18:19" x14ac:dyDescent="0.25">
      <c r="R2648">
        <v>3466719.8522647135</v>
      </c>
      <c r="S2648">
        <v>0</v>
      </c>
    </row>
    <row r="2649" spans="18:19" x14ac:dyDescent="0.25">
      <c r="R2649">
        <v>3466745.5147655858</v>
      </c>
      <c r="S2649">
        <v>0</v>
      </c>
    </row>
    <row r="2650" spans="18:19" x14ac:dyDescent="0.25">
      <c r="R2650">
        <v>3466771.1772664585</v>
      </c>
      <c r="S2650">
        <v>0</v>
      </c>
    </row>
    <row r="2651" spans="18:19" x14ac:dyDescent="0.25">
      <c r="R2651">
        <v>3466796.8397673308</v>
      </c>
      <c r="S2651">
        <v>0</v>
      </c>
    </row>
    <row r="2652" spans="18:19" x14ac:dyDescent="0.25">
      <c r="R2652">
        <v>3466822.5022682031</v>
      </c>
      <c r="S2652">
        <v>0</v>
      </c>
    </row>
    <row r="2653" spans="18:19" x14ac:dyDescent="0.25">
      <c r="R2653">
        <v>3466848.1647690753</v>
      </c>
      <c r="S2653">
        <v>0</v>
      </c>
    </row>
    <row r="2654" spans="18:19" x14ac:dyDescent="0.25">
      <c r="R2654">
        <v>3466873.8272699476</v>
      </c>
      <c r="S2654">
        <v>0</v>
      </c>
    </row>
    <row r="2655" spans="18:19" x14ac:dyDescent="0.25">
      <c r="R2655">
        <v>3466899.4897708204</v>
      </c>
      <c r="S2655">
        <v>0</v>
      </c>
    </row>
    <row r="2656" spans="18:19" x14ac:dyDescent="0.25">
      <c r="R2656">
        <v>3466925.1522716926</v>
      </c>
      <c r="S2656">
        <v>0</v>
      </c>
    </row>
    <row r="2657" spans="18:19" x14ac:dyDescent="0.25">
      <c r="R2657">
        <v>3466950.8147725649</v>
      </c>
      <c r="S2657">
        <v>0</v>
      </c>
    </row>
    <row r="2658" spans="18:19" x14ac:dyDescent="0.25">
      <c r="R2658">
        <v>3466976.4772734372</v>
      </c>
      <c r="S2658">
        <v>0</v>
      </c>
    </row>
    <row r="2659" spans="18:19" x14ac:dyDescent="0.25">
      <c r="R2659">
        <v>3467002.1397743099</v>
      </c>
      <c r="S2659">
        <v>0</v>
      </c>
    </row>
    <row r="2660" spans="18:19" x14ac:dyDescent="0.25">
      <c r="R2660">
        <v>3467027.8022751822</v>
      </c>
      <c r="S2660">
        <v>0</v>
      </c>
    </row>
    <row r="2661" spans="18:19" x14ac:dyDescent="0.25">
      <c r="R2661">
        <v>3467053.4647760545</v>
      </c>
      <c r="S2661">
        <v>0</v>
      </c>
    </row>
    <row r="2662" spans="18:19" x14ac:dyDescent="0.25">
      <c r="R2662">
        <v>3467079.1272769268</v>
      </c>
      <c r="S2662">
        <v>0</v>
      </c>
    </row>
    <row r="2663" spans="18:19" x14ac:dyDescent="0.25">
      <c r="R2663">
        <v>3467104.7897777995</v>
      </c>
      <c r="S2663">
        <v>0</v>
      </c>
    </row>
    <row r="2664" spans="18:19" x14ac:dyDescent="0.25">
      <c r="R2664">
        <v>3467130.4522786718</v>
      </c>
      <c r="S2664">
        <v>0</v>
      </c>
    </row>
    <row r="2665" spans="18:19" x14ac:dyDescent="0.25">
      <c r="R2665">
        <v>3467156.1147795441</v>
      </c>
      <c r="S2665">
        <v>0</v>
      </c>
    </row>
    <row r="2666" spans="18:19" x14ac:dyDescent="0.25">
      <c r="R2666">
        <v>3467181.7772804163</v>
      </c>
      <c r="S2666">
        <v>0</v>
      </c>
    </row>
    <row r="2667" spans="18:19" x14ac:dyDescent="0.25">
      <c r="R2667">
        <v>3467207.4397812891</v>
      </c>
      <c r="S2667">
        <v>0</v>
      </c>
    </row>
    <row r="2668" spans="18:19" x14ac:dyDescent="0.25">
      <c r="R2668">
        <v>3467233.1022821614</v>
      </c>
      <c r="S2668">
        <v>0</v>
      </c>
    </row>
    <row r="2669" spans="18:19" x14ac:dyDescent="0.25">
      <c r="R2669">
        <v>3467258.7647830336</v>
      </c>
      <c r="S2669">
        <v>0</v>
      </c>
    </row>
    <row r="2670" spans="18:19" x14ac:dyDescent="0.25">
      <c r="R2670">
        <v>3467284.4272839059</v>
      </c>
      <c r="S2670">
        <v>0</v>
      </c>
    </row>
    <row r="2671" spans="18:19" x14ac:dyDescent="0.25">
      <c r="R2671">
        <v>3467310.0897847782</v>
      </c>
      <c r="S2671">
        <v>0</v>
      </c>
    </row>
    <row r="2672" spans="18:19" x14ac:dyDescent="0.25">
      <c r="R2672">
        <v>3467335.7522856509</v>
      </c>
      <c r="S2672">
        <v>0</v>
      </c>
    </row>
    <row r="2673" spans="18:19" x14ac:dyDescent="0.25">
      <c r="R2673">
        <v>3467361.4147865232</v>
      </c>
      <c r="S2673">
        <v>0</v>
      </c>
    </row>
    <row r="2674" spans="18:19" x14ac:dyDescent="0.25">
      <c r="R2674">
        <v>3467387.0772873955</v>
      </c>
      <c r="S2674">
        <v>0</v>
      </c>
    </row>
    <row r="2675" spans="18:19" x14ac:dyDescent="0.25">
      <c r="R2675">
        <v>3467412.7397882678</v>
      </c>
      <c r="S2675">
        <v>0</v>
      </c>
    </row>
    <row r="2676" spans="18:19" x14ac:dyDescent="0.25">
      <c r="R2676">
        <v>3467438.4022891405</v>
      </c>
      <c r="S2676">
        <v>0</v>
      </c>
    </row>
    <row r="2677" spans="18:19" x14ac:dyDescent="0.25">
      <c r="R2677">
        <v>3467464.0647900128</v>
      </c>
      <c r="S2677">
        <v>0</v>
      </c>
    </row>
    <row r="2678" spans="18:19" x14ac:dyDescent="0.25">
      <c r="R2678">
        <v>3467489.7272908851</v>
      </c>
      <c r="S2678">
        <v>0</v>
      </c>
    </row>
    <row r="2679" spans="18:19" x14ac:dyDescent="0.25">
      <c r="R2679">
        <v>3467515.3897917573</v>
      </c>
      <c r="S2679">
        <v>0</v>
      </c>
    </row>
    <row r="2680" spans="18:19" x14ac:dyDescent="0.25">
      <c r="R2680">
        <v>3467541.0522926301</v>
      </c>
      <c r="S2680">
        <v>0</v>
      </c>
    </row>
    <row r="2681" spans="18:19" x14ac:dyDescent="0.25">
      <c r="R2681">
        <v>3467566.7147935024</v>
      </c>
      <c r="S2681">
        <v>0</v>
      </c>
    </row>
    <row r="2682" spans="18:19" x14ac:dyDescent="0.25">
      <c r="R2682">
        <v>3467592.3772943746</v>
      </c>
      <c r="S2682">
        <v>0</v>
      </c>
    </row>
    <row r="2683" spans="18:19" x14ac:dyDescent="0.25">
      <c r="R2683">
        <v>3467618.0397952469</v>
      </c>
      <c r="S2683">
        <v>0</v>
      </c>
    </row>
    <row r="2684" spans="18:19" x14ac:dyDescent="0.25">
      <c r="R2684">
        <v>3467643.7022961196</v>
      </c>
      <c r="S2684">
        <v>0</v>
      </c>
    </row>
    <row r="2685" spans="18:19" x14ac:dyDescent="0.25">
      <c r="R2685">
        <v>3467669.3647969919</v>
      </c>
      <c r="S2685">
        <v>0</v>
      </c>
    </row>
    <row r="2686" spans="18:19" x14ac:dyDescent="0.25">
      <c r="R2686">
        <v>3467695.0272978642</v>
      </c>
      <c r="S2686">
        <v>0</v>
      </c>
    </row>
    <row r="2687" spans="18:19" x14ac:dyDescent="0.25">
      <c r="R2687">
        <v>3467720.6897987365</v>
      </c>
      <c r="S2687">
        <v>0</v>
      </c>
    </row>
    <row r="2688" spans="18:19" x14ac:dyDescent="0.25">
      <c r="R2688">
        <v>3467746.3522996088</v>
      </c>
      <c r="S2688">
        <v>0</v>
      </c>
    </row>
    <row r="2689" spans="18:19" x14ac:dyDescent="0.25">
      <c r="R2689">
        <v>3467772.0148004815</v>
      </c>
      <c r="S2689">
        <v>0</v>
      </c>
    </row>
    <row r="2690" spans="18:19" x14ac:dyDescent="0.25">
      <c r="R2690">
        <v>3467797.6773013538</v>
      </c>
      <c r="S2690">
        <v>0</v>
      </c>
    </row>
    <row r="2691" spans="18:19" x14ac:dyDescent="0.25">
      <c r="R2691">
        <v>3467823.3398022261</v>
      </c>
      <c r="S2691">
        <v>0</v>
      </c>
    </row>
    <row r="2692" spans="18:19" x14ac:dyDescent="0.25">
      <c r="R2692">
        <v>3467849.0023030983</v>
      </c>
      <c r="S2692">
        <v>0</v>
      </c>
    </row>
    <row r="2693" spans="18:19" x14ac:dyDescent="0.25">
      <c r="R2693">
        <v>3467874.6648039711</v>
      </c>
      <c r="S2693">
        <v>0</v>
      </c>
    </row>
    <row r="2694" spans="18:19" x14ac:dyDescent="0.25">
      <c r="R2694">
        <v>3467900.3273048433</v>
      </c>
      <c r="S2694">
        <v>0</v>
      </c>
    </row>
    <row r="2695" spans="18:19" x14ac:dyDescent="0.25">
      <c r="R2695">
        <v>3467925.9898057156</v>
      </c>
      <c r="S2695">
        <v>0</v>
      </c>
    </row>
    <row r="2696" spans="18:19" x14ac:dyDescent="0.25">
      <c r="R2696">
        <v>3467951.6523065879</v>
      </c>
      <c r="S2696">
        <v>0</v>
      </c>
    </row>
    <row r="2697" spans="18:19" x14ac:dyDescent="0.25">
      <c r="R2697">
        <v>3467977.3148074606</v>
      </c>
      <c r="S2697">
        <v>0</v>
      </c>
    </row>
    <row r="2698" spans="18:19" x14ac:dyDescent="0.25">
      <c r="R2698">
        <v>3468002.9773083329</v>
      </c>
      <c r="S2698">
        <v>0</v>
      </c>
    </row>
    <row r="2699" spans="18:19" x14ac:dyDescent="0.25">
      <c r="R2699">
        <v>3468028.6398092052</v>
      </c>
      <c r="S2699">
        <v>0</v>
      </c>
    </row>
    <row r="2700" spans="18:19" x14ac:dyDescent="0.25">
      <c r="R2700">
        <v>3468054.3023100775</v>
      </c>
      <c r="S2700">
        <v>0</v>
      </c>
    </row>
    <row r="2701" spans="18:19" x14ac:dyDescent="0.25">
      <c r="R2701">
        <v>3468079.9648109502</v>
      </c>
      <c r="S2701">
        <v>0</v>
      </c>
    </row>
    <row r="2702" spans="18:19" x14ac:dyDescent="0.25">
      <c r="R2702">
        <v>3468105.6273118225</v>
      </c>
      <c r="S2702">
        <v>0</v>
      </c>
    </row>
    <row r="2703" spans="18:19" x14ac:dyDescent="0.25">
      <c r="R2703">
        <v>3468131.2898126948</v>
      </c>
      <c r="S2703">
        <v>0</v>
      </c>
    </row>
    <row r="2704" spans="18:19" x14ac:dyDescent="0.25">
      <c r="R2704">
        <v>3468156.952313567</v>
      </c>
      <c r="S2704">
        <v>0</v>
      </c>
    </row>
    <row r="2705" spans="18:19" x14ac:dyDescent="0.25">
      <c r="R2705">
        <v>3468182.6148144393</v>
      </c>
      <c r="S2705">
        <v>0</v>
      </c>
    </row>
    <row r="2706" spans="18:19" x14ac:dyDescent="0.25">
      <c r="R2706">
        <v>3468208.2773153121</v>
      </c>
      <c r="S2706">
        <v>0</v>
      </c>
    </row>
    <row r="2707" spans="18:19" x14ac:dyDescent="0.25">
      <c r="R2707">
        <v>3468233.9398161843</v>
      </c>
      <c r="S2707">
        <v>0</v>
      </c>
    </row>
    <row r="2708" spans="18:19" x14ac:dyDescent="0.25">
      <c r="R2708">
        <v>3468259.6023170566</v>
      </c>
      <c r="S2708">
        <v>0</v>
      </c>
    </row>
    <row r="2709" spans="18:19" x14ac:dyDescent="0.25">
      <c r="R2709">
        <v>3468285.2648179289</v>
      </c>
      <c r="S2709">
        <v>0</v>
      </c>
    </row>
    <row r="2710" spans="18:19" x14ac:dyDescent="0.25">
      <c r="R2710">
        <v>3468310.9273188016</v>
      </c>
      <c r="S2710">
        <v>0</v>
      </c>
    </row>
    <row r="2711" spans="18:19" x14ac:dyDescent="0.25">
      <c r="R2711">
        <v>3468336.5898196739</v>
      </c>
      <c r="S2711">
        <v>0</v>
      </c>
    </row>
    <row r="2712" spans="18:19" x14ac:dyDescent="0.25">
      <c r="R2712">
        <v>3468362.2523205462</v>
      </c>
      <c r="S2712">
        <v>0</v>
      </c>
    </row>
    <row r="2713" spans="18:19" x14ac:dyDescent="0.25">
      <c r="R2713">
        <v>3468387.9148214185</v>
      </c>
      <c r="S2713">
        <v>0</v>
      </c>
    </row>
    <row r="2714" spans="18:19" x14ac:dyDescent="0.25">
      <c r="R2714">
        <v>3468413.5773222912</v>
      </c>
      <c r="S2714">
        <v>0</v>
      </c>
    </row>
    <row r="2715" spans="18:19" x14ac:dyDescent="0.25">
      <c r="R2715">
        <v>3468439.2398231635</v>
      </c>
      <c r="S2715">
        <v>0</v>
      </c>
    </row>
    <row r="2716" spans="18:19" x14ac:dyDescent="0.25">
      <c r="R2716">
        <v>3468464.9023240358</v>
      </c>
      <c r="S2716">
        <v>0</v>
      </c>
    </row>
    <row r="2717" spans="18:19" x14ac:dyDescent="0.25">
      <c r="R2717">
        <v>3468490.564824908</v>
      </c>
      <c r="S2717">
        <v>0</v>
      </c>
    </row>
    <row r="2718" spans="18:19" x14ac:dyDescent="0.25">
      <c r="R2718">
        <v>3468516.2273257803</v>
      </c>
      <c r="S2718">
        <v>0</v>
      </c>
    </row>
    <row r="2719" spans="18:19" x14ac:dyDescent="0.25">
      <c r="R2719">
        <v>3468541.8898266531</v>
      </c>
      <c r="S2719">
        <v>0</v>
      </c>
    </row>
    <row r="2720" spans="18:19" x14ac:dyDescent="0.25">
      <c r="R2720">
        <v>3468567.5523275253</v>
      </c>
      <c r="S2720">
        <v>0</v>
      </c>
    </row>
    <row r="2721" spans="18:19" x14ac:dyDescent="0.25">
      <c r="R2721">
        <v>3468593.2148283976</v>
      </c>
      <c r="S2721">
        <v>0</v>
      </c>
    </row>
    <row r="2722" spans="18:19" x14ac:dyDescent="0.25">
      <c r="R2722">
        <v>3468618.8773292699</v>
      </c>
      <c r="S2722">
        <v>0</v>
      </c>
    </row>
    <row r="2723" spans="18:19" x14ac:dyDescent="0.25">
      <c r="R2723">
        <v>3468644.5398301426</v>
      </c>
      <c r="S2723">
        <v>0</v>
      </c>
    </row>
    <row r="2724" spans="18:19" x14ac:dyDescent="0.25">
      <c r="R2724">
        <v>3468670.2023310149</v>
      </c>
      <c r="S2724">
        <v>0</v>
      </c>
    </row>
    <row r="2725" spans="18:19" x14ac:dyDescent="0.25">
      <c r="R2725">
        <v>3468695.8648318872</v>
      </c>
      <c r="S2725">
        <v>0</v>
      </c>
    </row>
    <row r="2726" spans="18:19" x14ac:dyDescent="0.25">
      <c r="R2726">
        <v>3468721.5273327595</v>
      </c>
      <c r="S2726">
        <v>0</v>
      </c>
    </row>
    <row r="2727" spans="18:19" x14ac:dyDescent="0.25">
      <c r="R2727">
        <v>3468747.1898336322</v>
      </c>
      <c r="S2727">
        <v>0</v>
      </c>
    </row>
    <row r="2728" spans="18:19" x14ac:dyDescent="0.25">
      <c r="R2728">
        <v>3468772.8523345045</v>
      </c>
      <c r="S2728">
        <v>0</v>
      </c>
    </row>
    <row r="2729" spans="18:19" x14ac:dyDescent="0.25">
      <c r="R2729">
        <v>3468798.5148353768</v>
      </c>
      <c r="S2729">
        <v>0</v>
      </c>
    </row>
    <row r="2730" spans="18:19" x14ac:dyDescent="0.25">
      <c r="R2730">
        <v>3468824.177336249</v>
      </c>
      <c r="S2730">
        <v>0</v>
      </c>
    </row>
    <row r="2731" spans="18:19" x14ac:dyDescent="0.25">
      <c r="R2731">
        <v>3468849.8398371218</v>
      </c>
      <c r="S2731">
        <v>0</v>
      </c>
    </row>
    <row r="2732" spans="18:19" x14ac:dyDescent="0.25">
      <c r="R2732">
        <v>3468875.5023379941</v>
      </c>
      <c r="S2732">
        <v>0</v>
      </c>
    </row>
    <row r="2733" spans="18:19" x14ac:dyDescent="0.25">
      <c r="R2733">
        <v>3468901.1648388663</v>
      </c>
      <c r="S2733">
        <v>0</v>
      </c>
    </row>
    <row r="2734" spans="18:19" x14ac:dyDescent="0.25">
      <c r="R2734">
        <v>3468926.8273397386</v>
      </c>
      <c r="S2734">
        <v>0</v>
      </c>
    </row>
    <row r="2735" spans="18:19" x14ac:dyDescent="0.25">
      <c r="R2735">
        <v>3468952.4898406109</v>
      </c>
      <c r="S2735">
        <v>0</v>
      </c>
    </row>
    <row r="2736" spans="18:19" x14ac:dyDescent="0.25">
      <c r="R2736">
        <v>3468978.1523414836</v>
      </c>
      <c r="S2736">
        <v>0</v>
      </c>
    </row>
    <row r="2737" spans="18:19" x14ac:dyDescent="0.25">
      <c r="R2737">
        <v>3469003.8148423559</v>
      </c>
      <c r="S2737">
        <v>0</v>
      </c>
    </row>
    <row r="2738" spans="18:19" x14ac:dyDescent="0.25">
      <c r="R2738">
        <v>3469029.4773432282</v>
      </c>
      <c r="S2738">
        <v>0</v>
      </c>
    </row>
    <row r="2739" spans="18:19" x14ac:dyDescent="0.25">
      <c r="R2739">
        <v>3469055.1398441005</v>
      </c>
      <c r="S2739">
        <v>0</v>
      </c>
    </row>
    <row r="2740" spans="18:19" x14ac:dyDescent="0.25">
      <c r="R2740">
        <v>3469080.8023449732</v>
      </c>
      <c r="S2740">
        <v>0</v>
      </c>
    </row>
    <row r="2741" spans="18:19" x14ac:dyDescent="0.25">
      <c r="R2741">
        <v>3469106.4648458455</v>
      </c>
      <c r="S2741">
        <v>0</v>
      </c>
    </row>
    <row r="2742" spans="18:19" x14ac:dyDescent="0.25">
      <c r="R2742">
        <v>3469132.1273467178</v>
      </c>
      <c r="S2742">
        <v>0</v>
      </c>
    </row>
    <row r="2743" spans="18:19" x14ac:dyDescent="0.25">
      <c r="R2743">
        <v>3469157.78984759</v>
      </c>
      <c r="S2743">
        <v>0</v>
      </c>
    </row>
    <row r="2744" spans="18:19" x14ac:dyDescent="0.25">
      <c r="R2744">
        <v>3469183.4523484628</v>
      </c>
      <c r="S2744">
        <v>0</v>
      </c>
    </row>
    <row r="2745" spans="18:19" x14ac:dyDescent="0.25">
      <c r="R2745">
        <v>3469209.114849335</v>
      </c>
      <c r="S2745">
        <v>0</v>
      </c>
    </row>
    <row r="2746" spans="18:19" x14ac:dyDescent="0.25">
      <c r="R2746">
        <v>3469234.7773502073</v>
      </c>
      <c r="S2746">
        <v>0</v>
      </c>
    </row>
    <row r="2747" spans="18:19" x14ac:dyDescent="0.25">
      <c r="R2747">
        <v>3469260.4398510796</v>
      </c>
      <c r="S2747">
        <v>0</v>
      </c>
    </row>
    <row r="2748" spans="18:19" x14ac:dyDescent="0.25">
      <c r="R2748">
        <v>3469286.1023519523</v>
      </c>
      <c r="S2748">
        <v>0</v>
      </c>
    </row>
    <row r="2749" spans="18:19" x14ac:dyDescent="0.25">
      <c r="R2749">
        <v>3469311.7648528246</v>
      </c>
      <c r="S2749">
        <v>0</v>
      </c>
    </row>
    <row r="2750" spans="18:19" x14ac:dyDescent="0.25">
      <c r="R2750">
        <v>3469337.4273536969</v>
      </c>
      <c r="S2750">
        <v>0</v>
      </c>
    </row>
    <row r="2751" spans="18:19" x14ac:dyDescent="0.25">
      <c r="R2751">
        <v>3469363.0898545692</v>
      </c>
      <c r="S2751">
        <v>0</v>
      </c>
    </row>
    <row r="2752" spans="18:19" x14ac:dyDescent="0.25">
      <c r="R2752">
        <v>3469388.7523554415</v>
      </c>
      <c r="S2752">
        <v>0</v>
      </c>
    </row>
    <row r="2753" spans="18:19" x14ac:dyDescent="0.25">
      <c r="R2753">
        <v>3469414.4148563142</v>
      </c>
      <c r="S2753">
        <v>0</v>
      </c>
    </row>
    <row r="2754" spans="18:19" x14ac:dyDescent="0.25">
      <c r="R2754">
        <v>3469440.0773571865</v>
      </c>
      <c r="S2754">
        <v>0</v>
      </c>
    </row>
    <row r="2755" spans="18:19" x14ac:dyDescent="0.25">
      <c r="R2755">
        <v>3469465.7398580587</v>
      </c>
      <c r="S2755">
        <v>0</v>
      </c>
    </row>
    <row r="2756" spans="18:19" x14ac:dyDescent="0.25">
      <c r="R2756">
        <v>3469491.402358931</v>
      </c>
      <c r="S2756">
        <v>0</v>
      </c>
    </row>
    <row r="2757" spans="18:19" x14ac:dyDescent="0.25">
      <c r="R2757">
        <v>3469517.0648598038</v>
      </c>
      <c r="S2757">
        <v>0</v>
      </c>
    </row>
    <row r="2758" spans="18:19" x14ac:dyDescent="0.25">
      <c r="R2758">
        <v>3469542.727360676</v>
      </c>
      <c r="S2758">
        <v>0</v>
      </c>
    </row>
    <row r="2759" spans="18:19" x14ac:dyDescent="0.25">
      <c r="R2759">
        <v>3469568.3898615483</v>
      </c>
      <c r="S2759">
        <v>0</v>
      </c>
    </row>
    <row r="2760" spans="18:19" x14ac:dyDescent="0.25">
      <c r="R2760">
        <v>3469594.0523624206</v>
      </c>
      <c r="S2760">
        <v>0</v>
      </c>
    </row>
    <row r="2761" spans="18:19" x14ac:dyDescent="0.25">
      <c r="R2761">
        <v>3469619.7148632933</v>
      </c>
      <c r="S2761">
        <v>0</v>
      </c>
    </row>
    <row r="2762" spans="18:19" x14ac:dyDescent="0.25">
      <c r="R2762">
        <v>3469645.3773641656</v>
      </c>
      <c r="S2762">
        <v>0</v>
      </c>
    </row>
    <row r="2763" spans="18:19" x14ac:dyDescent="0.25">
      <c r="R2763">
        <v>3469671.0398650379</v>
      </c>
      <c r="S2763">
        <v>0</v>
      </c>
    </row>
    <row r="2764" spans="18:19" x14ac:dyDescent="0.25">
      <c r="R2764">
        <v>3469696.7023659102</v>
      </c>
      <c r="S2764">
        <v>0</v>
      </c>
    </row>
    <row r="2765" spans="18:19" x14ac:dyDescent="0.25">
      <c r="R2765">
        <v>3469722.3648667829</v>
      </c>
      <c r="S2765">
        <v>0</v>
      </c>
    </row>
    <row r="2766" spans="18:19" x14ac:dyDescent="0.25">
      <c r="R2766">
        <v>3469748.0273676552</v>
      </c>
      <c r="S2766">
        <v>0</v>
      </c>
    </row>
    <row r="2767" spans="18:19" x14ac:dyDescent="0.25">
      <c r="R2767">
        <v>3469773.6898685275</v>
      </c>
      <c r="S2767">
        <v>0</v>
      </c>
    </row>
    <row r="2768" spans="18:19" x14ac:dyDescent="0.25">
      <c r="R2768">
        <v>3469799.3523693997</v>
      </c>
      <c r="S2768">
        <v>0</v>
      </c>
    </row>
    <row r="2769" spans="18:19" x14ac:dyDescent="0.25">
      <c r="R2769">
        <v>3469825.014870272</v>
      </c>
      <c r="S2769">
        <v>0</v>
      </c>
    </row>
    <row r="2770" spans="18:19" x14ac:dyDescent="0.25">
      <c r="R2770">
        <v>3469850.6773711448</v>
      </c>
      <c r="S2770">
        <v>0</v>
      </c>
    </row>
    <row r="2771" spans="18:19" x14ac:dyDescent="0.25">
      <c r="R2771">
        <v>3469876.339872017</v>
      </c>
      <c r="S2771">
        <v>0</v>
      </c>
    </row>
    <row r="2772" spans="18:19" x14ac:dyDescent="0.25">
      <c r="R2772">
        <v>3469902.0023728893</v>
      </c>
      <c r="S2772">
        <v>0</v>
      </c>
    </row>
    <row r="2773" spans="18:19" x14ac:dyDescent="0.25">
      <c r="R2773">
        <v>3469927.6648737616</v>
      </c>
      <c r="S2773">
        <v>0</v>
      </c>
    </row>
    <row r="2774" spans="18:19" x14ac:dyDescent="0.25">
      <c r="R2774">
        <v>3469953.3273746343</v>
      </c>
      <c r="S2774">
        <v>0</v>
      </c>
    </row>
    <row r="2775" spans="18:19" x14ac:dyDescent="0.25">
      <c r="R2775">
        <v>3469978.9898755066</v>
      </c>
      <c r="S2775">
        <v>0</v>
      </c>
    </row>
    <row r="2776" spans="18:19" x14ac:dyDescent="0.25">
      <c r="R2776">
        <v>3470004.6523763789</v>
      </c>
      <c r="S2776">
        <v>0</v>
      </c>
    </row>
    <row r="2777" spans="18:19" x14ac:dyDescent="0.25">
      <c r="R2777">
        <v>3470030.3148772512</v>
      </c>
      <c r="S2777">
        <v>0</v>
      </c>
    </row>
    <row r="2778" spans="18:19" x14ac:dyDescent="0.25">
      <c r="R2778">
        <v>3470055.9773781239</v>
      </c>
      <c r="S2778">
        <v>0</v>
      </c>
    </row>
    <row r="2779" spans="18:19" x14ac:dyDescent="0.25">
      <c r="R2779">
        <v>3470081.6398789962</v>
      </c>
      <c r="S2779">
        <v>0</v>
      </c>
    </row>
    <row r="2780" spans="18:19" x14ac:dyDescent="0.25">
      <c r="R2780">
        <v>3470107.3023798685</v>
      </c>
      <c r="S2780">
        <v>0</v>
      </c>
    </row>
    <row r="2781" spans="18:19" x14ac:dyDescent="0.25">
      <c r="R2781">
        <v>3470132.9648807407</v>
      </c>
      <c r="S2781">
        <v>0</v>
      </c>
    </row>
    <row r="2782" spans="18:19" x14ac:dyDescent="0.25">
      <c r="R2782">
        <v>3470158.627381613</v>
      </c>
      <c r="S2782">
        <v>0</v>
      </c>
    </row>
    <row r="2783" spans="18:19" x14ac:dyDescent="0.25">
      <c r="R2783">
        <v>3470184.2898824858</v>
      </c>
      <c r="S2783">
        <v>0</v>
      </c>
    </row>
    <row r="2784" spans="18:19" x14ac:dyDescent="0.25">
      <c r="R2784">
        <v>3470209.952383358</v>
      </c>
      <c r="S2784">
        <v>0</v>
      </c>
    </row>
    <row r="2785" spans="18:19" x14ac:dyDescent="0.25">
      <c r="R2785">
        <v>3470235.6148842303</v>
      </c>
      <c r="S2785">
        <v>0</v>
      </c>
    </row>
    <row r="2786" spans="18:19" x14ac:dyDescent="0.25">
      <c r="R2786">
        <v>3470261.2773851026</v>
      </c>
      <c r="S2786">
        <v>0</v>
      </c>
    </row>
    <row r="2787" spans="18:19" x14ac:dyDescent="0.25">
      <c r="R2787">
        <v>3470286.9398859753</v>
      </c>
      <c r="S2787">
        <v>0</v>
      </c>
    </row>
    <row r="2788" spans="18:19" x14ac:dyDescent="0.25">
      <c r="R2788">
        <v>3470312.6023868476</v>
      </c>
      <c r="S2788">
        <v>0</v>
      </c>
    </row>
    <row r="2789" spans="18:19" x14ac:dyDescent="0.25">
      <c r="R2789">
        <v>3470338.2648877199</v>
      </c>
      <c r="S2789">
        <v>0</v>
      </c>
    </row>
    <row r="2790" spans="18:19" x14ac:dyDescent="0.25">
      <c r="R2790">
        <v>3470363.9273885922</v>
      </c>
      <c r="S2790">
        <v>0</v>
      </c>
    </row>
    <row r="2791" spans="18:19" x14ac:dyDescent="0.25">
      <c r="R2791">
        <v>3470389.5898894649</v>
      </c>
      <c r="S2791">
        <v>0</v>
      </c>
    </row>
    <row r="2792" spans="18:19" x14ac:dyDescent="0.25">
      <c r="R2792">
        <v>3470415.2523903372</v>
      </c>
      <c r="S2792">
        <v>0</v>
      </c>
    </row>
    <row r="2793" spans="18:19" x14ac:dyDescent="0.25">
      <c r="R2793">
        <v>3470440.9148912095</v>
      </c>
      <c r="S2793">
        <v>0</v>
      </c>
    </row>
    <row r="2794" spans="18:19" x14ac:dyDescent="0.25">
      <c r="R2794">
        <v>3470466.5773920817</v>
      </c>
      <c r="S2794">
        <v>0</v>
      </c>
    </row>
    <row r="2795" spans="18:19" x14ac:dyDescent="0.25">
      <c r="R2795">
        <v>3470492.2398929545</v>
      </c>
      <c r="S2795">
        <v>0</v>
      </c>
    </row>
    <row r="2796" spans="18:19" x14ac:dyDescent="0.25">
      <c r="R2796">
        <v>3470517.9023938267</v>
      </c>
      <c r="S2796">
        <v>0</v>
      </c>
    </row>
    <row r="2797" spans="18:19" x14ac:dyDescent="0.25">
      <c r="R2797">
        <v>3470543.564894699</v>
      </c>
      <c r="S2797">
        <v>0</v>
      </c>
    </row>
    <row r="2798" spans="18:19" x14ac:dyDescent="0.25">
      <c r="R2798">
        <v>3470569.2273955713</v>
      </c>
      <c r="S2798">
        <v>0</v>
      </c>
    </row>
    <row r="2799" spans="18:19" x14ac:dyDescent="0.25">
      <c r="R2799">
        <v>3470594.8898964436</v>
      </c>
      <c r="S2799">
        <v>0</v>
      </c>
    </row>
    <row r="2800" spans="18:19" x14ac:dyDescent="0.25">
      <c r="R2800">
        <v>3470620.5523973163</v>
      </c>
      <c r="S2800">
        <v>0</v>
      </c>
    </row>
    <row r="2801" spans="18:19" x14ac:dyDescent="0.25">
      <c r="R2801">
        <v>3470646.2148981886</v>
      </c>
      <c r="S2801">
        <v>0</v>
      </c>
    </row>
    <row r="2802" spans="18:19" x14ac:dyDescent="0.25">
      <c r="R2802">
        <v>3470671.8773990609</v>
      </c>
      <c r="S2802">
        <v>0</v>
      </c>
    </row>
    <row r="2803" spans="18:19" x14ac:dyDescent="0.25">
      <c r="R2803">
        <v>3470697.5398999332</v>
      </c>
      <c r="S2803">
        <v>0</v>
      </c>
    </row>
    <row r="2804" spans="18:19" x14ac:dyDescent="0.25">
      <c r="R2804">
        <v>3470723.2024008059</v>
      </c>
      <c r="S2804">
        <v>0</v>
      </c>
    </row>
    <row r="2805" spans="18:19" x14ac:dyDescent="0.25">
      <c r="R2805">
        <v>3470748.8649016782</v>
      </c>
      <c r="S2805">
        <v>0</v>
      </c>
    </row>
    <row r="2806" spans="18:19" x14ac:dyDescent="0.25">
      <c r="R2806">
        <v>3470774.5274025504</v>
      </c>
      <c r="S2806">
        <v>0</v>
      </c>
    </row>
    <row r="2807" spans="18:19" x14ac:dyDescent="0.25">
      <c r="R2807">
        <v>3470800.1899034227</v>
      </c>
      <c r="S2807">
        <v>0</v>
      </c>
    </row>
    <row r="2808" spans="18:19" x14ac:dyDescent="0.25">
      <c r="R2808">
        <v>3470825.8524042955</v>
      </c>
      <c r="S2808">
        <v>0</v>
      </c>
    </row>
    <row r="2809" spans="18:19" x14ac:dyDescent="0.25">
      <c r="R2809">
        <v>3470851.5149051677</v>
      </c>
      <c r="S2809">
        <v>0</v>
      </c>
    </row>
    <row r="2810" spans="18:19" x14ac:dyDescent="0.25">
      <c r="R2810">
        <v>3470877.17740604</v>
      </c>
      <c r="S2810">
        <v>0</v>
      </c>
    </row>
    <row r="2811" spans="18:19" x14ac:dyDescent="0.25">
      <c r="R2811">
        <v>3470902.8399069123</v>
      </c>
      <c r="S2811">
        <v>0</v>
      </c>
    </row>
    <row r="2812" spans="18:19" x14ac:dyDescent="0.25">
      <c r="R2812">
        <v>3470928.502407785</v>
      </c>
      <c r="S2812">
        <v>0</v>
      </c>
    </row>
    <row r="2813" spans="18:19" x14ac:dyDescent="0.25">
      <c r="R2813">
        <v>3470954.1649086573</v>
      </c>
      <c r="S2813">
        <v>0</v>
      </c>
    </row>
    <row r="2814" spans="18:19" x14ac:dyDescent="0.25">
      <c r="R2814">
        <v>3470979.8274095296</v>
      </c>
      <c r="S2814">
        <v>0</v>
      </c>
    </row>
    <row r="2815" spans="18:19" x14ac:dyDescent="0.25">
      <c r="R2815">
        <v>3471005.4899104019</v>
      </c>
      <c r="S2815">
        <v>0</v>
      </c>
    </row>
    <row r="2816" spans="18:19" x14ac:dyDescent="0.25">
      <c r="R2816">
        <v>3471031.1524112741</v>
      </c>
      <c r="S2816">
        <v>0</v>
      </c>
    </row>
    <row r="2817" spans="18:19" x14ac:dyDescent="0.25">
      <c r="R2817">
        <v>3471056.8149121469</v>
      </c>
      <c r="S2817">
        <v>0</v>
      </c>
    </row>
    <row r="2818" spans="18:19" x14ac:dyDescent="0.25">
      <c r="R2818">
        <v>3471082.4774130192</v>
      </c>
      <c r="S2818">
        <v>0</v>
      </c>
    </row>
    <row r="2819" spans="18:19" x14ac:dyDescent="0.25">
      <c r="R2819">
        <v>3471108.1399138914</v>
      </c>
      <c r="S2819">
        <v>0</v>
      </c>
    </row>
    <row r="2820" spans="18:19" x14ac:dyDescent="0.25">
      <c r="R2820">
        <v>3471133.8024147637</v>
      </c>
      <c r="S2820">
        <v>0</v>
      </c>
    </row>
    <row r="2821" spans="18:19" x14ac:dyDescent="0.25">
      <c r="R2821">
        <v>3471159.4649156365</v>
      </c>
      <c r="S2821">
        <v>0</v>
      </c>
    </row>
    <row r="2822" spans="18:19" x14ac:dyDescent="0.25">
      <c r="R2822">
        <v>3471185.1274165087</v>
      </c>
      <c r="S2822">
        <v>0</v>
      </c>
    </row>
    <row r="2823" spans="18:19" x14ac:dyDescent="0.25">
      <c r="R2823">
        <v>3471210.789917381</v>
      </c>
      <c r="S2823">
        <v>0</v>
      </c>
    </row>
    <row r="2824" spans="18:19" x14ac:dyDescent="0.25">
      <c r="R2824">
        <v>3471236.4524182533</v>
      </c>
      <c r="S2824">
        <v>0</v>
      </c>
    </row>
    <row r="2825" spans="18:19" x14ac:dyDescent="0.25">
      <c r="R2825">
        <v>3471262.114919126</v>
      </c>
      <c r="S2825">
        <v>0</v>
      </c>
    </row>
    <row r="2826" spans="18:19" x14ac:dyDescent="0.25">
      <c r="R2826">
        <v>3471287.7774199983</v>
      </c>
      <c r="S2826">
        <v>0</v>
      </c>
    </row>
    <row r="2827" spans="18:19" x14ac:dyDescent="0.25">
      <c r="R2827">
        <v>3471313.4399208706</v>
      </c>
      <c r="S2827">
        <v>0</v>
      </c>
    </row>
    <row r="2828" spans="18:19" x14ac:dyDescent="0.25">
      <c r="R2828">
        <v>3471339.1024217429</v>
      </c>
      <c r="S2828">
        <v>0</v>
      </c>
    </row>
    <row r="2829" spans="18:19" x14ac:dyDescent="0.25">
      <c r="R2829">
        <v>3471364.7649226156</v>
      </c>
      <c r="S2829">
        <v>0</v>
      </c>
    </row>
    <row r="2830" spans="18:19" x14ac:dyDescent="0.25">
      <c r="R2830">
        <v>3471390.4274234879</v>
      </c>
      <c r="S2830">
        <v>0</v>
      </c>
    </row>
    <row r="2831" spans="18:19" x14ac:dyDescent="0.25">
      <c r="R2831">
        <v>3471416.0899243602</v>
      </c>
      <c r="S2831">
        <v>0</v>
      </c>
    </row>
    <row r="2832" spans="18:19" x14ac:dyDescent="0.25">
      <c r="R2832">
        <v>3471441.7524252324</v>
      </c>
      <c r="S2832">
        <v>0</v>
      </c>
    </row>
    <row r="2833" spans="18:19" x14ac:dyDescent="0.25">
      <c r="R2833">
        <v>3471467.4149261047</v>
      </c>
      <c r="S2833">
        <v>0</v>
      </c>
    </row>
    <row r="2834" spans="18:19" x14ac:dyDescent="0.25">
      <c r="R2834">
        <v>3471493.0774269775</v>
      </c>
      <c r="S2834">
        <v>0</v>
      </c>
    </row>
    <row r="2835" spans="18:19" x14ac:dyDescent="0.25">
      <c r="R2835">
        <v>3471518.7399278497</v>
      </c>
      <c r="S2835">
        <v>0</v>
      </c>
    </row>
    <row r="2836" spans="18:19" x14ac:dyDescent="0.25">
      <c r="R2836">
        <v>3471544.402428722</v>
      </c>
      <c r="S2836">
        <v>0</v>
      </c>
    </row>
    <row r="2837" spans="18:19" x14ac:dyDescent="0.25">
      <c r="R2837">
        <v>3471570.0649295943</v>
      </c>
      <c r="S2837">
        <v>0</v>
      </c>
    </row>
    <row r="2838" spans="18:19" x14ac:dyDescent="0.25">
      <c r="R2838">
        <v>3471595.727430467</v>
      </c>
      <c r="S2838">
        <v>0</v>
      </c>
    </row>
    <row r="2839" spans="18:19" x14ac:dyDescent="0.25">
      <c r="R2839">
        <v>3471621.3899313393</v>
      </c>
      <c r="S2839">
        <v>0</v>
      </c>
    </row>
    <row r="2840" spans="18:19" x14ac:dyDescent="0.25">
      <c r="R2840">
        <v>3471647.0524322116</v>
      </c>
      <c r="S2840">
        <v>0</v>
      </c>
    </row>
    <row r="2841" spans="18:19" x14ac:dyDescent="0.25">
      <c r="R2841">
        <v>3471672.7149330839</v>
      </c>
      <c r="S2841">
        <v>0</v>
      </c>
    </row>
    <row r="2842" spans="18:19" x14ac:dyDescent="0.25">
      <c r="R2842">
        <v>3471698.3774339566</v>
      </c>
      <c r="S2842">
        <v>0</v>
      </c>
    </row>
    <row r="2843" spans="18:19" x14ac:dyDescent="0.25">
      <c r="R2843">
        <v>3471724.0399348289</v>
      </c>
      <c r="S2843">
        <v>0</v>
      </c>
    </row>
    <row r="2844" spans="18:19" x14ac:dyDescent="0.25">
      <c r="R2844">
        <v>3471749.7024357012</v>
      </c>
      <c r="S2844">
        <v>0</v>
      </c>
    </row>
    <row r="2845" spans="18:19" x14ac:dyDescent="0.25">
      <c r="R2845">
        <v>3471775.3649365734</v>
      </c>
      <c r="S2845">
        <v>0</v>
      </c>
    </row>
    <row r="2846" spans="18:19" x14ac:dyDescent="0.25">
      <c r="R2846">
        <v>3471801.0274374457</v>
      </c>
      <c r="S2846">
        <v>0</v>
      </c>
    </row>
    <row r="2847" spans="18:19" x14ac:dyDescent="0.25">
      <c r="R2847">
        <v>3471826.6899383185</v>
      </c>
      <c r="S2847">
        <v>0</v>
      </c>
    </row>
    <row r="2848" spans="18:19" x14ac:dyDescent="0.25">
      <c r="R2848">
        <v>3471852.3524391907</v>
      </c>
      <c r="S2848">
        <v>0</v>
      </c>
    </row>
    <row r="2849" spans="18:19" x14ac:dyDescent="0.25">
      <c r="R2849">
        <v>3471878.014940063</v>
      </c>
      <c r="S2849">
        <v>0</v>
      </c>
    </row>
    <row r="2850" spans="18:19" x14ac:dyDescent="0.25">
      <c r="R2850">
        <v>3471903.6774409353</v>
      </c>
      <c r="S2850">
        <v>0</v>
      </c>
    </row>
    <row r="2851" spans="18:19" x14ac:dyDescent="0.25">
      <c r="R2851">
        <v>3471929.339941808</v>
      </c>
      <c r="S2851">
        <v>0</v>
      </c>
    </row>
    <row r="2852" spans="18:19" x14ac:dyDescent="0.25">
      <c r="R2852">
        <v>3471955.0024426803</v>
      </c>
      <c r="S2852">
        <v>0</v>
      </c>
    </row>
    <row r="2853" spans="18:19" x14ac:dyDescent="0.25">
      <c r="R2853">
        <v>3471980.6649435526</v>
      </c>
      <c r="S2853">
        <v>0</v>
      </c>
    </row>
    <row r="2854" spans="18:19" x14ac:dyDescent="0.25">
      <c r="R2854">
        <v>3472006.3274444249</v>
      </c>
      <c r="S2854">
        <v>0</v>
      </c>
    </row>
    <row r="2855" spans="18:19" x14ac:dyDescent="0.25">
      <c r="R2855">
        <v>3472031.9899452976</v>
      </c>
      <c r="S2855">
        <v>0</v>
      </c>
    </row>
    <row r="2856" spans="18:19" x14ac:dyDescent="0.25">
      <c r="R2856">
        <v>3472057.6524461699</v>
      </c>
      <c r="S2856">
        <v>0</v>
      </c>
    </row>
    <row r="2857" spans="18:19" x14ac:dyDescent="0.25">
      <c r="R2857">
        <v>3472083.3149470421</v>
      </c>
      <c r="S2857">
        <v>0</v>
      </c>
    </row>
    <row r="2858" spans="18:19" x14ac:dyDescent="0.25">
      <c r="R2858">
        <v>3472108.9774479144</v>
      </c>
      <c r="S2858">
        <v>0</v>
      </c>
    </row>
    <row r="2859" spans="18:19" x14ac:dyDescent="0.25">
      <c r="R2859">
        <v>3472134.6399487872</v>
      </c>
      <c r="S2859">
        <v>0</v>
      </c>
    </row>
    <row r="2860" spans="18:19" x14ac:dyDescent="0.25">
      <c r="R2860">
        <v>3472160.3024496594</v>
      </c>
      <c r="S2860">
        <v>0</v>
      </c>
    </row>
    <row r="2861" spans="18:19" x14ac:dyDescent="0.25">
      <c r="R2861">
        <v>3472185.9649505317</v>
      </c>
      <c r="S2861">
        <v>0</v>
      </c>
    </row>
    <row r="2862" spans="18:19" x14ac:dyDescent="0.25">
      <c r="R2862">
        <v>3472211.627451404</v>
      </c>
      <c r="S2862">
        <v>0</v>
      </c>
    </row>
    <row r="2863" spans="18:19" x14ac:dyDescent="0.25">
      <c r="R2863">
        <v>3472237.2899522763</v>
      </c>
      <c r="S2863">
        <v>0</v>
      </c>
    </row>
    <row r="2864" spans="18:19" x14ac:dyDescent="0.25">
      <c r="R2864">
        <v>3472262.952453149</v>
      </c>
      <c r="S2864">
        <v>0</v>
      </c>
    </row>
    <row r="2865" spans="18:19" x14ac:dyDescent="0.25">
      <c r="R2865">
        <v>3472288.6149540213</v>
      </c>
      <c r="S2865">
        <v>0</v>
      </c>
    </row>
    <row r="2866" spans="18:19" x14ac:dyDescent="0.25">
      <c r="R2866">
        <v>3472314.2774548936</v>
      </c>
      <c r="S2866">
        <v>0</v>
      </c>
    </row>
    <row r="2867" spans="18:19" x14ac:dyDescent="0.25">
      <c r="R2867">
        <v>3472339.9399557658</v>
      </c>
      <c r="S2867">
        <v>0</v>
      </c>
    </row>
    <row r="2868" spans="18:19" x14ac:dyDescent="0.25">
      <c r="R2868">
        <v>3472365.6024566386</v>
      </c>
      <c r="S2868">
        <v>0</v>
      </c>
    </row>
    <row r="2869" spans="18:19" x14ac:dyDescent="0.25">
      <c r="R2869">
        <v>3472391.2649575109</v>
      </c>
      <c r="S2869">
        <v>0</v>
      </c>
    </row>
    <row r="2870" spans="18:19" x14ac:dyDescent="0.25">
      <c r="R2870">
        <v>3472416.9274583831</v>
      </c>
      <c r="S2870">
        <v>0</v>
      </c>
    </row>
    <row r="2871" spans="18:19" x14ac:dyDescent="0.25">
      <c r="R2871">
        <v>3472442.5899592554</v>
      </c>
      <c r="S2871">
        <v>0</v>
      </c>
    </row>
    <row r="2872" spans="18:19" x14ac:dyDescent="0.25">
      <c r="R2872">
        <v>3472468.2524601282</v>
      </c>
      <c r="S2872">
        <v>0</v>
      </c>
    </row>
    <row r="2873" spans="18:19" x14ac:dyDescent="0.25">
      <c r="R2873">
        <v>3472493.9149610004</v>
      </c>
      <c r="S2873">
        <v>0</v>
      </c>
    </row>
    <row r="2874" spans="18:19" x14ac:dyDescent="0.25">
      <c r="R2874">
        <v>3472519.5774618727</v>
      </c>
      <c r="S2874">
        <v>0</v>
      </c>
    </row>
    <row r="2875" spans="18:19" x14ac:dyDescent="0.25">
      <c r="R2875">
        <v>3472545.239962745</v>
      </c>
      <c r="S2875">
        <v>0</v>
      </c>
    </row>
    <row r="2876" spans="18:19" x14ac:dyDescent="0.25">
      <c r="R2876">
        <v>3472570.9024636177</v>
      </c>
      <c r="S2876">
        <v>0</v>
      </c>
    </row>
    <row r="2877" spans="18:19" x14ac:dyDescent="0.25">
      <c r="R2877">
        <v>3472596.56496449</v>
      </c>
      <c r="S2877">
        <v>0</v>
      </c>
    </row>
    <row r="2878" spans="18:19" x14ac:dyDescent="0.25">
      <c r="R2878">
        <v>3472622.2274653623</v>
      </c>
      <c r="S2878">
        <v>0</v>
      </c>
    </row>
    <row r="2879" spans="18:19" x14ac:dyDescent="0.25">
      <c r="R2879">
        <v>3472647.8899662346</v>
      </c>
      <c r="S2879">
        <v>0</v>
      </c>
    </row>
    <row r="2880" spans="18:19" x14ac:dyDescent="0.25">
      <c r="R2880">
        <v>3472673.5524671068</v>
      </c>
      <c r="S2880">
        <v>0</v>
      </c>
    </row>
    <row r="2881" spans="18:19" x14ac:dyDescent="0.25">
      <c r="R2881">
        <v>3472699.2149679796</v>
      </c>
      <c r="S2881">
        <v>0</v>
      </c>
    </row>
    <row r="2882" spans="18:19" x14ac:dyDescent="0.25">
      <c r="R2882">
        <v>3472724.8774688519</v>
      </c>
      <c r="S2882">
        <v>0</v>
      </c>
    </row>
    <row r="2883" spans="18:19" x14ac:dyDescent="0.25">
      <c r="R2883">
        <v>3472750.5399697241</v>
      </c>
      <c r="S2883">
        <v>0</v>
      </c>
    </row>
    <row r="2884" spans="18:19" x14ac:dyDescent="0.25">
      <c r="R2884">
        <v>3472776.2024705964</v>
      </c>
      <c r="S2884">
        <v>0</v>
      </c>
    </row>
    <row r="2885" spans="18:19" x14ac:dyDescent="0.25">
      <c r="R2885">
        <v>3472801.8649714692</v>
      </c>
      <c r="S2885">
        <v>0</v>
      </c>
    </row>
    <row r="2886" spans="18:19" x14ac:dyDescent="0.25">
      <c r="R2886">
        <v>3472827.5274723414</v>
      </c>
      <c r="S2886">
        <v>0</v>
      </c>
    </row>
    <row r="2887" spans="18:19" x14ac:dyDescent="0.25">
      <c r="R2887">
        <v>3472853.1899732137</v>
      </c>
      <c r="S2887">
        <v>0</v>
      </c>
    </row>
    <row r="2888" spans="18:19" x14ac:dyDescent="0.25">
      <c r="R2888">
        <v>3472878.852474086</v>
      </c>
      <c r="S2888">
        <v>0</v>
      </c>
    </row>
    <row r="2889" spans="18:19" x14ac:dyDescent="0.25">
      <c r="R2889">
        <v>3472904.5149749587</v>
      </c>
      <c r="S2889">
        <v>0</v>
      </c>
    </row>
    <row r="2890" spans="18:19" x14ac:dyDescent="0.25">
      <c r="R2890">
        <v>3472930.177475831</v>
      </c>
      <c r="S2890">
        <v>0</v>
      </c>
    </row>
    <row r="2891" spans="18:19" x14ac:dyDescent="0.25">
      <c r="R2891">
        <v>3472955.8399767033</v>
      </c>
      <c r="S2891">
        <v>0</v>
      </c>
    </row>
    <row r="2892" spans="18:19" x14ac:dyDescent="0.25">
      <c r="R2892">
        <v>3472981.5024775756</v>
      </c>
      <c r="S2892">
        <v>0</v>
      </c>
    </row>
    <row r="2893" spans="18:19" x14ac:dyDescent="0.25">
      <c r="R2893">
        <v>3473007.1649784483</v>
      </c>
      <c r="S2893">
        <v>0</v>
      </c>
    </row>
    <row r="2894" spans="18:19" x14ac:dyDescent="0.25">
      <c r="R2894">
        <v>3473032.8274793206</v>
      </c>
      <c r="S2894">
        <v>0</v>
      </c>
    </row>
    <row r="2895" spans="18:19" x14ac:dyDescent="0.25">
      <c r="R2895">
        <v>3473058.4899801929</v>
      </c>
      <c r="S2895">
        <v>0</v>
      </c>
    </row>
    <row r="2896" spans="18:19" x14ac:dyDescent="0.25">
      <c r="R2896">
        <v>3473084.1524810651</v>
      </c>
      <c r="S2896">
        <v>0</v>
      </c>
    </row>
    <row r="2897" spans="18:19" x14ac:dyDescent="0.25">
      <c r="R2897">
        <v>3473109.8149819374</v>
      </c>
      <c r="S2897">
        <v>0</v>
      </c>
    </row>
    <row r="2898" spans="18:19" x14ac:dyDescent="0.25">
      <c r="R2898">
        <v>3473135.4774828102</v>
      </c>
      <c r="S2898">
        <v>0</v>
      </c>
    </row>
    <row r="2899" spans="18:19" x14ac:dyDescent="0.25">
      <c r="R2899">
        <v>3473161.1399836824</v>
      </c>
      <c r="S2899">
        <v>0</v>
      </c>
    </row>
    <row r="2900" spans="18:19" x14ac:dyDescent="0.25">
      <c r="R2900">
        <v>3473186.8024845547</v>
      </c>
      <c r="S2900">
        <v>0</v>
      </c>
    </row>
    <row r="2901" spans="18:19" x14ac:dyDescent="0.25">
      <c r="R2901">
        <v>3473212.464985427</v>
      </c>
      <c r="S2901">
        <v>0</v>
      </c>
    </row>
    <row r="2902" spans="18:19" x14ac:dyDescent="0.25">
      <c r="R2902">
        <v>3473238.1274862997</v>
      </c>
      <c r="S2902">
        <v>0</v>
      </c>
    </row>
    <row r="2903" spans="18:19" x14ac:dyDescent="0.25">
      <c r="R2903">
        <v>3473263.789987172</v>
      </c>
      <c r="S2903">
        <v>0</v>
      </c>
    </row>
    <row r="2904" spans="18:19" x14ac:dyDescent="0.25">
      <c r="R2904">
        <v>3473289.4524880443</v>
      </c>
      <c r="S2904">
        <v>0</v>
      </c>
    </row>
    <row r="2905" spans="18:19" x14ac:dyDescent="0.25">
      <c r="R2905">
        <v>3473315.1149889166</v>
      </c>
      <c r="S2905">
        <v>0</v>
      </c>
    </row>
    <row r="2906" spans="18:19" x14ac:dyDescent="0.25">
      <c r="R2906">
        <v>3473340.7774897893</v>
      </c>
      <c r="S2906">
        <v>0</v>
      </c>
    </row>
    <row r="2907" spans="18:19" x14ac:dyDescent="0.25">
      <c r="R2907">
        <v>3473366.4399906616</v>
      </c>
      <c r="S2907">
        <v>0</v>
      </c>
    </row>
    <row r="2908" spans="18:19" x14ac:dyDescent="0.25">
      <c r="R2908">
        <v>3473392.1024915338</v>
      </c>
      <c r="S2908">
        <v>0</v>
      </c>
    </row>
    <row r="2909" spans="18:19" x14ac:dyDescent="0.25">
      <c r="R2909">
        <v>3473417.7649924061</v>
      </c>
      <c r="S2909">
        <v>0</v>
      </c>
    </row>
    <row r="2910" spans="18:19" x14ac:dyDescent="0.25">
      <c r="R2910">
        <v>3473443.4274932784</v>
      </c>
      <c r="S2910">
        <v>0</v>
      </c>
    </row>
    <row r="2911" spans="18:19" x14ac:dyDescent="0.25">
      <c r="R2911">
        <v>3473469.0899941511</v>
      </c>
      <c r="S2911">
        <v>0</v>
      </c>
    </row>
    <row r="2912" spans="18:19" x14ac:dyDescent="0.25">
      <c r="R2912">
        <v>3473494.7524950234</v>
      </c>
      <c r="S2912">
        <v>0</v>
      </c>
    </row>
    <row r="2913" spans="18:19" x14ac:dyDescent="0.25">
      <c r="R2913">
        <v>3473520.4149958957</v>
      </c>
      <c r="S2913">
        <v>0</v>
      </c>
    </row>
    <row r="2914" spans="18:19" x14ac:dyDescent="0.25">
      <c r="R2914">
        <v>3473546.077496768</v>
      </c>
      <c r="S2914">
        <v>0</v>
      </c>
    </row>
    <row r="2915" spans="18:19" x14ac:dyDescent="0.25">
      <c r="R2915">
        <v>3473571.7399976407</v>
      </c>
      <c r="S2915">
        <v>0</v>
      </c>
    </row>
    <row r="2916" spans="18:19" x14ac:dyDescent="0.25">
      <c r="R2916">
        <v>3473597.402498513</v>
      </c>
      <c r="S2916">
        <v>0</v>
      </c>
    </row>
    <row r="2917" spans="18:19" x14ac:dyDescent="0.25">
      <c r="R2917">
        <v>3473623.0649993853</v>
      </c>
      <c r="S2917">
        <v>0</v>
      </c>
    </row>
    <row r="2918" spans="18:19" x14ac:dyDescent="0.25">
      <c r="R2918">
        <v>3473648.7275002575</v>
      </c>
      <c r="S2918">
        <v>0</v>
      </c>
    </row>
    <row r="2919" spans="18:19" x14ac:dyDescent="0.25">
      <c r="R2919">
        <v>3473674.3900011303</v>
      </c>
      <c r="S2919">
        <v>0</v>
      </c>
    </row>
    <row r="2920" spans="18:19" x14ac:dyDescent="0.25">
      <c r="R2920">
        <v>3473700.0525020026</v>
      </c>
      <c r="S2920">
        <v>0</v>
      </c>
    </row>
    <row r="2921" spans="18:19" x14ac:dyDescent="0.25">
      <c r="R2921">
        <v>3473725.7150028748</v>
      </c>
      <c r="S2921">
        <v>0</v>
      </c>
    </row>
    <row r="2922" spans="18:19" x14ac:dyDescent="0.25">
      <c r="R2922">
        <v>3473751.3775037471</v>
      </c>
      <c r="S2922">
        <v>0</v>
      </c>
    </row>
    <row r="2923" spans="18:19" x14ac:dyDescent="0.25">
      <c r="R2923">
        <v>3473777.0400046199</v>
      </c>
      <c r="S2923">
        <v>0</v>
      </c>
    </row>
    <row r="2924" spans="18:19" x14ac:dyDescent="0.25">
      <c r="R2924">
        <v>3473802.7025054921</v>
      </c>
      <c r="S2924">
        <v>0</v>
      </c>
    </row>
    <row r="2925" spans="18:19" x14ac:dyDescent="0.25">
      <c r="R2925">
        <v>3473828.3650063644</v>
      </c>
      <c r="S2925">
        <v>0</v>
      </c>
    </row>
    <row r="2926" spans="18:19" x14ac:dyDescent="0.25">
      <c r="R2926">
        <v>3473854.0275072367</v>
      </c>
      <c r="S2926">
        <v>0</v>
      </c>
    </row>
    <row r="2927" spans="18:19" x14ac:dyDescent="0.25">
      <c r="R2927">
        <v>3473879.690008109</v>
      </c>
      <c r="S2927">
        <v>0</v>
      </c>
    </row>
    <row r="2928" spans="18:19" x14ac:dyDescent="0.25">
      <c r="R2928">
        <v>3473905.3525089817</v>
      </c>
      <c r="S2928">
        <v>0</v>
      </c>
    </row>
    <row r="2929" spans="18:19" x14ac:dyDescent="0.25">
      <c r="R2929">
        <v>3473931.015009854</v>
      </c>
      <c r="S2929">
        <v>0</v>
      </c>
    </row>
    <row r="2930" spans="18:19" x14ac:dyDescent="0.25">
      <c r="R2930">
        <v>3473956.6775107263</v>
      </c>
      <c r="S2930">
        <v>0</v>
      </c>
    </row>
    <row r="2931" spans="18:19" x14ac:dyDescent="0.25">
      <c r="R2931">
        <v>3473982.3400115985</v>
      </c>
      <c r="S2931">
        <v>0</v>
      </c>
    </row>
    <row r="2932" spans="18:19" x14ac:dyDescent="0.25">
      <c r="R2932">
        <v>3474008.0025124713</v>
      </c>
      <c r="S2932">
        <v>0</v>
      </c>
    </row>
    <row r="2933" spans="18:19" x14ac:dyDescent="0.25">
      <c r="R2933">
        <v>3474033.6650133436</v>
      </c>
      <c r="S2933">
        <v>0</v>
      </c>
    </row>
    <row r="2934" spans="18:19" x14ac:dyDescent="0.25">
      <c r="R2934">
        <v>3474059.3275142158</v>
      </c>
      <c r="S2934">
        <v>0</v>
      </c>
    </row>
    <row r="2935" spans="18:19" x14ac:dyDescent="0.25">
      <c r="R2935">
        <v>3474084.9900150881</v>
      </c>
      <c r="S2935">
        <v>0</v>
      </c>
    </row>
    <row r="2936" spans="18:19" x14ac:dyDescent="0.25">
      <c r="R2936">
        <v>3474110.6525159609</v>
      </c>
      <c r="S2936">
        <v>0</v>
      </c>
    </row>
    <row r="2937" spans="18:19" x14ac:dyDescent="0.25">
      <c r="R2937">
        <v>3474136.3150168331</v>
      </c>
      <c r="S2937">
        <v>0</v>
      </c>
    </row>
    <row r="2938" spans="18:19" x14ac:dyDescent="0.25">
      <c r="R2938">
        <v>3474161.9775177054</v>
      </c>
      <c r="S2938">
        <v>0</v>
      </c>
    </row>
    <row r="2939" spans="18:19" x14ac:dyDescent="0.25">
      <c r="R2939">
        <v>3474187.6400185777</v>
      </c>
      <c r="S2939">
        <v>0</v>
      </c>
    </row>
    <row r="2940" spans="18:19" x14ac:dyDescent="0.25">
      <c r="R2940">
        <v>3474213.3025194504</v>
      </c>
      <c r="S2940">
        <v>0</v>
      </c>
    </row>
    <row r="2941" spans="18:19" x14ac:dyDescent="0.25">
      <c r="R2941">
        <v>3474238.9650203227</v>
      </c>
      <c r="S2941">
        <v>0</v>
      </c>
    </row>
    <row r="2942" spans="18:19" x14ac:dyDescent="0.25">
      <c r="R2942">
        <v>3474264.627521195</v>
      </c>
      <c r="S2942">
        <v>0</v>
      </c>
    </row>
    <row r="2943" spans="18:19" x14ac:dyDescent="0.25">
      <c r="R2943">
        <v>3474290.2900220673</v>
      </c>
      <c r="S2943">
        <v>0</v>
      </c>
    </row>
    <row r="2944" spans="18:19" x14ac:dyDescent="0.25">
      <c r="R2944">
        <v>3474315.9525229395</v>
      </c>
      <c r="S2944">
        <v>0</v>
      </c>
    </row>
    <row r="2945" spans="18:19" x14ac:dyDescent="0.25">
      <c r="R2945">
        <v>3474341.6150238123</v>
      </c>
      <c r="S2945">
        <v>0</v>
      </c>
    </row>
    <row r="2946" spans="18:19" x14ac:dyDescent="0.25">
      <c r="R2946">
        <v>3474367.2775246846</v>
      </c>
      <c r="S2946">
        <v>0</v>
      </c>
    </row>
    <row r="2947" spans="18:19" x14ac:dyDescent="0.25">
      <c r="R2947">
        <v>3474392.9400255568</v>
      </c>
      <c r="S2947">
        <v>0</v>
      </c>
    </row>
    <row r="2948" spans="18:19" x14ac:dyDescent="0.25">
      <c r="R2948">
        <v>3474418.6025264291</v>
      </c>
      <c r="S2948">
        <v>0</v>
      </c>
    </row>
    <row r="2949" spans="18:19" x14ac:dyDescent="0.25">
      <c r="R2949">
        <v>3474444.2650273019</v>
      </c>
      <c r="S2949">
        <v>0</v>
      </c>
    </row>
    <row r="2950" spans="18:19" x14ac:dyDescent="0.25">
      <c r="R2950">
        <v>3474469.9275281741</v>
      </c>
      <c r="S2950">
        <v>0</v>
      </c>
    </row>
    <row r="2951" spans="18:19" x14ac:dyDescent="0.25">
      <c r="R2951">
        <v>3474495.5900290464</v>
      </c>
      <c r="S2951">
        <v>0</v>
      </c>
    </row>
    <row r="2952" spans="18:19" x14ac:dyDescent="0.25">
      <c r="R2952">
        <v>3474521.2525299187</v>
      </c>
      <c r="S2952">
        <v>0</v>
      </c>
    </row>
    <row r="2953" spans="18:19" x14ac:dyDescent="0.25">
      <c r="R2953">
        <v>3474546.9150307914</v>
      </c>
      <c r="S2953">
        <v>0</v>
      </c>
    </row>
    <row r="2954" spans="18:19" x14ac:dyDescent="0.25">
      <c r="R2954">
        <v>3474572.5775316637</v>
      </c>
      <c r="S2954">
        <v>0</v>
      </c>
    </row>
    <row r="2955" spans="18:19" x14ac:dyDescent="0.25">
      <c r="R2955">
        <v>3474598.240032536</v>
      </c>
      <c r="S2955">
        <v>0</v>
      </c>
    </row>
    <row r="2956" spans="18:19" x14ac:dyDescent="0.25">
      <c r="R2956">
        <v>3474623.9025334083</v>
      </c>
      <c r="S2956">
        <v>0</v>
      </c>
    </row>
    <row r="2957" spans="18:19" x14ac:dyDescent="0.25">
      <c r="R2957">
        <v>3474649.565034281</v>
      </c>
      <c r="S2957">
        <v>0</v>
      </c>
    </row>
    <row r="2958" spans="18:19" x14ac:dyDescent="0.25">
      <c r="R2958">
        <v>3474675.2275351533</v>
      </c>
      <c r="S2958">
        <v>0</v>
      </c>
    </row>
    <row r="2959" spans="18:19" x14ac:dyDescent="0.25">
      <c r="R2959">
        <v>3474700.8900360256</v>
      </c>
      <c r="S2959">
        <v>0</v>
      </c>
    </row>
    <row r="2960" spans="18:19" x14ac:dyDescent="0.25">
      <c r="R2960">
        <v>3474726.5525368978</v>
      </c>
      <c r="S2960">
        <v>0</v>
      </c>
    </row>
    <row r="2961" spans="18:19" x14ac:dyDescent="0.25">
      <c r="R2961">
        <v>3474752.2150377701</v>
      </c>
      <c r="S2961">
        <v>0</v>
      </c>
    </row>
    <row r="2962" spans="18:19" x14ac:dyDescent="0.25">
      <c r="R2962">
        <v>3474777.8775386428</v>
      </c>
      <c r="S2962">
        <v>0</v>
      </c>
    </row>
    <row r="2963" spans="18:19" x14ac:dyDescent="0.25">
      <c r="R2963">
        <v>3474803.5400395151</v>
      </c>
      <c r="S2963">
        <v>0</v>
      </c>
    </row>
    <row r="2964" spans="18:19" x14ac:dyDescent="0.25">
      <c r="R2964">
        <v>3474829.2025403874</v>
      </c>
      <c r="S2964">
        <v>0</v>
      </c>
    </row>
    <row r="2965" spans="18:19" x14ac:dyDescent="0.25">
      <c r="R2965">
        <v>3474854.8650412597</v>
      </c>
      <c r="S2965">
        <v>0</v>
      </c>
    </row>
    <row r="2966" spans="18:19" x14ac:dyDescent="0.25">
      <c r="R2966">
        <v>3474880.5275421324</v>
      </c>
      <c r="S2966">
        <v>0</v>
      </c>
    </row>
    <row r="2967" spans="18:19" x14ac:dyDescent="0.25">
      <c r="R2967">
        <v>3474906.1900430047</v>
      </c>
      <c r="S2967">
        <v>0</v>
      </c>
    </row>
    <row r="2968" spans="18:19" x14ac:dyDescent="0.25">
      <c r="R2968">
        <v>3474931.852543877</v>
      </c>
      <c r="S2968">
        <v>0</v>
      </c>
    </row>
    <row r="2969" spans="18:19" x14ac:dyDescent="0.25">
      <c r="R2969">
        <v>3474957.5150447492</v>
      </c>
      <c r="S2969">
        <v>0</v>
      </c>
    </row>
    <row r="2970" spans="18:19" x14ac:dyDescent="0.25">
      <c r="R2970">
        <v>3474983.177545622</v>
      </c>
      <c r="S2970">
        <v>0</v>
      </c>
    </row>
    <row r="2971" spans="18:19" x14ac:dyDescent="0.25">
      <c r="R2971">
        <v>3475008.8400464943</v>
      </c>
      <c r="S2971">
        <v>0</v>
      </c>
    </row>
    <row r="2972" spans="18:19" x14ac:dyDescent="0.25">
      <c r="R2972">
        <v>3475034.5025473665</v>
      </c>
      <c r="S2972">
        <v>0</v>
      </c>
    </row>
    <row r="2973" spans="18:19" x14ac:dyDescent="0.25">
      <c r="R2973">
        <v>3475060.1650482388</v>
      </c>
      <c r="S2973">
        <v>0</v>
      </c>
    </row>
    <row r="2974" spans="18:19" x14ac:dyDescent="0.25">
      <c r="R2974">
        <v>3475085.8275491111</v>
      </c>
      <c r="S2974">
        <v>0</v>
      </c>
    </row>
    <row r="2975" spans="18:19" x14ac:dyDescent="0.25">
      <c r="R2975">
        <v>3475111.4900499838</v>
      </c>
      <c r="S2975">
        <v>0</v>
      </c>
    </row>
    <row r="2976" spans="18:19" x14ac:dyDescent="0.25">
      <c r="R2976">
        <v>3475137.1525508561</v>
      </c>
      <c r="S2976">
        <v>0</v>
      </c>
    </row>
    <row r="2977" spans="18:19" x14ac:dyDescent="0.25">
      <c r="R2977">
        <v>3475162.8150517284</v>
      </c>
      <c r="S2977">
        <v>0</v>
      </c>
    </row>
    <row r="2978" spans="18:19" x14ac:dyDescent="0.25">
      <c r="R2978">
        <v>3475188.4775526007</v>
      </c>
      <c r="S2978">
        <v>0</v>
      </c>
    </row>
    <row r="2979" spans="18:19" x14ac:dyDescent="0.25">
      <c r="R2979">
        <v>3475214.1400534734</v>
      </c>
      <c r="S2979">
        <v>0</v>
      </c>
    </row>
    <row r="2980" spans="18:19" x14ac:dyDescent="0.25">
      <c r="R2980">
        <v>3475239.8025543457</v>
      </c>
      <c r="S2980">
        <v>0</v>
      </c>
    </row>
    <row r="2981" spans="18:19" x14ac:dyDescent="0.25">
      <c r="R2981">
        <v>3475265.465055218</v>
      </c>
      <c r="S2981">
        <v>0</v>
      </c>
    </row>
    <row r="2982" spans="18:19" x14ac:dyDescent="0.25">
      <c r="R2982">
        <v>3475291.1275560902</v>
      </c>
      <c r="S2982">
        <v>0</v>
      </c>
    </row>
    <row r="2983" spans="18:19" x14ac:dyDescent="0.25">
      <c r="R2983">
        <v>3475316.790056963</v>
      </c>
      <c r="S2983">
        <v>0</v>
      </c>
    </row>
    <row r="2984" spans="18:19" x14ac:dyDescent="0.25">
      <c r="R2984">
        <v>3475342.4525578353</v>
      </c>
      <c r="S2984">
        <v>0</v>
      </c>
    </row>
    <row r="2985" spans="18:19" x14ac:dyDescent="0.25">
      <c r="R2985">
        <v>3475368.1150587075</v>
      </c>
      <c r="S2985">
        <v>0</v>
      </c>
    </row>
    <row r="2986" spans="18:19" x14ac:dyDescent="0.25">
      <c r="R2986">
        <v>3475393.7775595798</v>
      </c>
      <c r="S2986">
        <v>0</v>
      </c>
    </row>
    <row r="2987" spans="18:19" x14ac:dyDescent="0.25">
      <c r="R2987">
        <v>3475419.4400604526</v>
      </c>
      <c r="S2987">
        <v>0</v>
      </c>
    </row>
    <row r="2988" spans="18:19" x14ac:dyDescent="0.25">
      <c r="R2988">
        <v>3475445.1025613248</v>
      </c>
      <c r="S2988">
        <v>0</v>
      </c>
    </row>
    <row r="2989" spans="18:19" x14ac:dyDescent="0.25">
      <c r="R2989">
        <v>3475470.7650621971</v>
      </c>
      <c r="S2989">
        <v>0</v>
      </c>
    </row>
    <row r="2990" spans="18:19" x14ac:dyDescent="0.25">
      <c r="R2990">
        <v>3475496.4275630694</v>
      </c>
      <c r="S2990">
        <v>0</v>
      </c>
    </row>
    <row r="2991" spans="18:19" x14ac:dyDescent="0.25">
      <c r="R2991">
        <v>3475522.0900639417</v>
      </c>
      <c r="S2991">
        <v>0</v>
      </c>
    </row>
    <row r="2992" spans="18:19" x14ac:dyDescent="0.25">
      <c r="R2992">
        <v>3475547.7525648144</v>
      </c>
      <c r="S2992">
        <v>0</v>
      </c>
    </row>
    <row r="2993" spans="18:19" x14ac:dyDescent="0.25">
      <c r="R2993">
        <v>3475573.4150656867</v>
      </c>
      <c r="S2993">
        <v>0</v>
      </c>
    </row>
    <row r="2994" spans="18:19" x14ac:dyDescent="0.25">
      <c r="R2994">
        <v>3475599.077566559</v>
      </c>
      <c r="S2994">
        <v>0</v>
      </c>
    </row>
    <row r="2995" spans="18:19" x14ac:dyDescent="0.25">
      <c r="R2995">
        <v>3475624.7400674312</v>
      </c>
      <c r="S2995">
        <v>0</v>
      </c>
    </row>
    <row r="2996" spans="18:19" x14ac:dyDescent="0.25">
      <c r="R2996">
        <v>3475650.402568304</v>
      </c>
      <c r="S2996">
        <v>0</v>
      </c>
    </row>
    <row r="2997" spans="18:19" x14ac:dyDescent="0.25">
      <c r="R2997">
        <v>3475676.0650691763</v>
      </c>
      <c r="S2997">
        <v>0</v>
      </c>
    </row>
    <row r="2998" spans="18:19" x14ac:dyDescent="0.25">
      <c r="R2998">
        <v>3475701.7275700485</v>
      </c>
      <c r="S2998">
        <v>0</v>
      </c>
    </row>
    <row r="2999" spans="18:19" x14ac:dyDescent="0.25">
      <c r="R2999">
        <v>3475727.3900709208</v>
      </c>
      <c r="S2999">
        <v>0</v>
      </c>
    </row>
    <row r="3000" spans="18:19" x14ac:dyDescent="0.25">
      <c r="R3000">
        <v>3475753.0525717936</v>
      </c>
      <c r="S3000">
        <v>0</v>
      </c>
    </row>
    <row r="3001" spans="18:19" x14ac:dyDescent="0.25">
      <c r="R3001">
        <v>3475778.7150726658</v>
      </c>
      <c r="S3001">
        <v>0</v>
      </c>
    </row>
    <row r="3002" spans="18:19" x14ac:dyDescent="0.25">
      <c r="R3002">
        <v>3475804.3775735381</v>
      </c>
      <c r="S3002">
        <v>0</v>
      </c>
    </row>
    <row r="3003" spans="18:19" x14ac:dyDescent="0.25">
      <c r="R3003">
        <v>3475830.0400744104</v>
      </c>
      <c r="S3003">
        <v>0</v>
      </c>
    </row>
    <row r="3004" spans="18:19" x14ac:dyDescent="0.25">
      <c r="R3004">
        <v>3475855.7025752831</v>
      </c>
      <c r="S3004">
        <v>0</v>
      </c>
    </row>
    <row r="3005" spans="18:19" x14ac:dyDescent="0.25">
      <c r="R3005">
        <v>3475881.3650761554</v>
      </c>
      <c r="S3005">
        <v>0</v>
      </c>
    </row>
    <row r="3006" spans="18:19" x14ac:dyDescent="0.25">
      <c r="R3006">
        <v>3475907.0275770277</v>
      </c>
      <c r="S3006">
        <v>0</v>
      </c>
    </row>
    <row r="3007" spans="18:19" x14ac:dyDescent="0.25">
      <c r="R3007">
        <v>3475932.6900779</v>
      </c>
      <c r="S3007">
        <v>0</v>
      </c>
    </row>
    <row r="3008" spans="18:19" x14ac:dyDescent="0.25">
      <c r="R3008">
        <v>3475958.3525787722</v>
      </c>
      <c r="S3008">
        <v>0</v>
      </c>
    </row>
    <row r="3009" spans="18:19" x14ac:dyDescent="0.25">
      <c r="R3009">
        <v>3475984.015079645</v>
      </c>
      <c r="S3009">
        <v>0</v>
      </c>
    </row>
    <row r="3010" spans="18:19" x14ac:dyDescent="0.25">
      <c r="R3010">
        <v>3476009.6775805173</v>
      </c>
      <c r="S3010">
        <v>0</v>
      </c>
    </row>
    <row r="3011" spans="18:19" x14ac:dyDescent="0.25">
      <c r="R3011">
        <v>3476035.3400813895</v>
      </c>
      <c r="S3011">
        <v>0</v>
      </c>
    </row>
    <row r="3012" spans="18:19" x14ac:dyDescent="0.25">
      <c r="R3012">
        <v>3476061.0025822618</v>
      </c>
      <c r="S3012">
        <v>0</v>
      </c>
    </row>
    <row r="3013" spans="18:19" x14ac:dyDescent="0.25">
      <c r="R3013">
        <v>3476086.6650831345</v>
      </c>
      <c r="S3013">
        <v>0</v>
      </c>
    </row>
    <row r="3014" spans="18:19" x14ac:dyDescent="0.25">
      <c r="R3014">
        <v>3476112.3275840068</v>
      </c>
      <c r="S3014">
        <v>0</v>
      </c>
    </row>
    <row r="3015" spans="18:19" x14ac:dyDescent="0.25">
      <c r="R3015">
        <v>3476137.9900848791</v>
      </c>
      <c r="S3015">
        <v>0</v>
      </c>
    </row>
    <row r="3016" spans="18:19" x14ac:dyDescent="0.25">
      <c r="R3016">
        <v>3476163.6525857514</v>
      </c>
      <c r="S3016">
        <v>0</v>
      </c>
    </row>
    <row r="3017" spans="18:19" x14ac:dyDescent="0.25">
      <c r="R3017">
        <v>3476189.3150866241</v>
      </c>
      <c r="S3017">
        <v>0</v>
      </c>
    </row>
    <row r="3018" spans="18:19" x14ac:dyDescent="0.25">
      <c r="R3018">
        <v>3476214.9775874964</v>
      </c>
      <c r="S3018">
        <v>0</v>
      </c>
    </row>
    <row r="3019" spans="18:19" x14ac:dyDescent="0.25">
      <c r="R3019">
        <v>3476240.6400883687</v>
      </c>
      <c r="S3019">
        <v>0</v>
      </c>
    </row>
    <row r="3020" spans="18:19" x14ac:dyDescent="0.25">
      <c r="R3020">
        <v>3476266.3025892409</v>
      </c>
      <c r="S3020">
        <v>0</v>
      </c>
    </row>
    <row r="3021" spans="18:19" x14ac:dyDescent="0.25">
      <c r="R3021">
        <v>3476291.9650901137</v>
      </c>
      <c r="S3021">
        <v>0</v>
      </c>
    </row>
    <row r="3022" spans="18:19" x14ac:dyDescent="0.25">
      <c r="R3022">
        <v>3476317.627590986</v>
      </c>
      <c r="S3022">
        <v>0</v>
      </c>
    </row>
    <row r="3023" spans="18:19" x14ac:dyDescent="0.25">
      <c r="R3023">
        <v>3476343.2900918582</v>
      </c>
      <c r="S3023">
        <v>0</v>
      </c>
    </row>
    <row r="3024" spans="18:19" x14ac:dyDescent="0.25">
      <c r="R3024">
        <v>3476368.9525927305</v>
      </c>
      <c r="S3024">
        <v>0</v>
      </c>
    </row>
    <row r="3025" spans="18:19" x14ac:dyDescent="0.25">
      <c r="R3025">
        <v>3476394.6150936028</v>
      </c>
      <c r="S3025">
        <v>0</v>
      </c>
    </row>
    <row r="3026" spans="18:19" x14ac:dyDescent="0.25">
      <c r="R3026">
        <v>3476420.2775944755</v>
      </c>
      <c r="S3026">
        <v>0</v>
      </c>
    </row>
    <row r="3027" spans="18:19" x14ac:dyDescent="0.25">
      <c r="R3027">
        <v>3476445.9400953478</v>
      </c>
      <c r="S3027">
        <v>0</v>
      </c>
    </row>
    <row r="3028" spans="18:19" x14ac:dyDescent="0.25">
      <c r="R3028">
        <v>3476471.6025962201</v>
      </c>
      <c r="S3028">
        <v>0</v>
      </c>
    </row>
    <row r="3029" spans="18:19" x14ac:dyDescent="0.25">
      <c r="R3029">
        <v>3476497.2650970924</v>
      </c>
      <c r="S3029">
        <v>0</v>
      </c>
    </row>
    <row r="3030" spans="18:19" x14ac:dyDescent="0.25">
      <c r="R3030">
        <v>3476522.9275979651</v>
      </c>
      <c r="S3030">
        <v>0</v>
      </c>
    </row>
    <row r="3031" spans="18:19" x14ac:dyDescent="0.25">
      <c r="R3031">
        <v>3476548.5900988374</v>
      </c>
      <c r="S3031">
        <v>0</v>
      </c>
    </row>
    <row r="3032" spans="18:19" x14ac:dyDescent="0.25">
      <c r="R3032">
        <v>3476574.2525997097</v>
      </c>
      <c r="S3032">
        <v>0</v>
      </c>
    </row>
    <row r="3033" spans="18:19" x14ac:dyDescent="0.25">
      <c r="R3033">
        <v>3476599.9151005819</v>
      </c>
      <c r="S3033">
        <v>0</v>
      </c>
    </row>
    <row r="3034" spans="18:19" x14ac:dyDescent="0.25">
      <c r="R3034">
        <v>3476625.5776014547</v>
      </c>
      <c r="S3034">
        <v>0</v>
      </c>
    </row>
    <row r="3035" spans="18:19" x14ac:dyDescent="0.25">
      <c r="R3035">
        <v>3476651.240102327</v>
      </c>
      <c r="S3035">
        <v>0</v>
      </c>
    </row>
    <row r="3036" spans="18:19" x14ac:dyDescent="0.25">
      <c r="R3036">
        <v>3476676.9026031992</v>
      </c>
      <c r="S3036">
        <v>0</v>
      </c>
    </row>
    <row r="3037" spans="18:19" x14ac:dyDescent="0.25">
      <c r="R3037">
        <v>3476702.5651040715</v>
      </c>
      <c r="S3037">
        <v>0</v>
      </c>
    </row>
    <row r="3038" spans="18:19" x14ac:dyDescent="0.25">
      <c r="R3038">
        <v>3476728.2276049438</v>
      </c>
      <c r="S3038">
        <v>0</v>
      </c>
    </row>
    <row r="3039" spans="18:19" x14ac:dyDescent="0.25">
      <c r="R3039">
        <v>3476753.8901058165</v>
      </c>
      <c r="S3039">
        <v>0</v>
      </c>
    </row>
    <row r="3040" spans="18:19" x14ac:dyDescent="0.25">
      <c r="R3040">
        <v>3476779.5526066888</v>
      </c>
      <c r="S3040">
        <v>0</v>
      </c>
    </row>
    <row r="3041" spans="18:19" x14ac:dyDescent="0.25">
      <c r="R3041">
        <v>3476805.2151075611</v>
      </c>
      <c r="S3041">
        <v>0</v>
      </c>
    </row>
    <row r="3042" spans="18:19" x14ac:dyDescent="0.25">
      <c r="R3042">
        <v>3476830.8776084334</v>
      </c>
      <c r="S3042">
        <v>0</v>
      </c>
    </row>
    <row r="3043" spans="18:19" x14ac:dyDescent="0.25">
      <c r="R3043">
        <v>3476856.5401093061</v>
      </c>
      <c r="S3043">
        <v>0</v>
      </c>
    </row>
    <row r="3044" spans="18:19" x14ac:dyDescent="0.25">
      <c r="R3044">
        <v>3476882.2026101784</v>
      </c>
      <c r="S3044">
        <v>0</v>
      </c>
    </row>
    <row r="3045" spans="18:19" x14ac:dyDescent="0.25">
      <c r="R3045">
        <v>3476907.8651110507</v>
      </c>
      <c r="S3045">
        <v>0</v>
      </c>
    </row>
    <row r="3046" spans="18:19" x14ac:dyDescent="0.25">
      <c r="R3046">
        <v>3476933.5276119229</v>
      </c>
      <c r="S3046">
        <v>0</v>
      </c>
    </row>
    <row r="3047" spans="18:19" x14ac:dyDescent="0.25">
      <c r="R3047">
        <v>3476959.1901127957</v>
      </c>
      <c r="S3047">
        <v>0</v>
      </c>
    </row>
    <row r="3048" spans="18:19" x14ac:dyDescent="0.25">
      <c r="R3048">
        <v>3476984.852613668</v>
      </c>
      <c r="S3048">
        <v>0</v>
      </c>
    </row>
    <row r="3049" spans="18:19" x14ac:dyDescent="0.25">
      <c r="R3049">
        <v>3477010.5151145402</v>
      </c>
      <c r="S3049">
        <v>0</v>
      </c>
    </row>
    <row r="3050" spans="18:19" x14ac:dyDescent="0.25">
      <c r="R3050">
        <v>3477036.1776154125</v>
      </c>
      <c r="S3050">
        <v>0</v>
      </c>
    </row>
    <row r="3051" spans="18:19" x14ac:dyDescent="0.25">
      <c r="R3051">
        <v>3477061.8401162853</v>
      </c>
      <c r="S3051">
        <v>0</v>
      </c>
    </row>
    <row r="3052" spans="18:19" x14ac:dyDescent="0.25">
      <c r="R3052">
        <v>3477087.5026171575</v>
      </c>
      <c r="S3052">
        <v>0</v>
      </c>
    </row>
    <row r="3053" spans="18:19" x14ac:dyDescent="0.25">
      <c r="R3053">
        <v>3477113.1651180298</v>
      </c>
      <c r="S3053">
        <v>0</v>
      </c>
    </row>
    <row r="3054" spans="18:19" x14ac:dyDescent="0.25">
      <c r="R3054">
        <v>3477138.8276189021</v>
      </c>
      <c r="S3054">
        <v>0</v>
      </c>
    </row>
    <row r="3055" spans="18:19" x14ac:dyDescent="0.25">
      <c r="R3055">
        <v>3477164.4901197744</v>
      </c>
      <c r="S3055">
        <v>0</v>
      </c>
    </row>
    <row r="3056" spans="18:19" x14ac:dyDescent="0.25">
      <c r="R3056">
        <v>3477190.1526206471</v>
      </c>
      <c r="S3056">
        <v>0</v>
      </c>
    </row>
    <row r="3057" spans="18:19" x14ac:dyDescent="0.25">
      <c r="R3057">
        <v>3477215.8151215194</v>
      </c>
      <c r="S3057">
        <v>0</v>
      </c>
    </row>
    <row r="3058" spans="18:19" x14ac:dyDescent="0.25">
      <c r="R3058">
        <v>3477241.4776223917</v>
      </c>
      <c r="S3058">
        <v>0</v>
      </c>
    </row>
    <row r="3059" spans="18:19" x14ac:dyDescent="0.25">
      <c r="R3059">
        <v>3477267.1401232639</v>
      </c>
      <c r="S3059">
        <v>0</v>
      </c>
    </row>
    <row r="3060" spans="18:19" x14ac:dyDescent="0.25">
      <c r="R3060">
        <v>3477292.8026241367</v>
      </c>
      <c r="S3060">
        <v>0</v>
      </c>
    </row>
    <row r="3061" spans="18:19" x14ac:dyDescent="0.25">
      <c r="R3061">
        <v>3477318.465125009</v>
      </c>
      <c r="S3061">
        <v>0</v>
      </c>
    </row>
    <row r="3062" spans="18:19" x14ac:dyDescent="0.25">
      <c r="R3062">
        <v>3477344.1276258812</v>
      </c>
      <c r="S3062">
        <v>0</v>
      </c>
    </row>
    <row r="3063" spans="18:19" x14ac:dyDescent="0.25">
      <c r="R3063">
        <v>3477369.7901267535</v>
      </c>
      <c r="S3063">
        <v>0</v>
      </c>
    </row>
    <row r="3064" spans="18:19" x14ac:dyDescent="0.25">
      <c r="R3064">
        <v>3477395.4526276262</v>
      </c>
      <c r="S3064">
        <v>0</v>
      </c>
    </row>
    <row r="3065" spans="18:19" x14ac:dyDescent="0.25">
      <c r="R3065">
        <v>3477421.1151284985</v>
      </c>
      <c r="S3065">
        <v>0</v>
      </c>
    </row>
    <row r="3066" spans="18:19" x14ac:dyDescent="0.25">
      <c r="R3066">
        <v>3477446.7776293708</v>
      </c>
      <c r="S3066">
        <v>0</v>
      </c>
    </row>
    <row r="3067" spans="18:19" x14ac:dyDescent="0.25">
      <c r="R3067">
        <v>3477472.4401302431</v>
      </c>
      <c r="S3067">
        <v>0</v>
      </c>
    </row>
    <row r="3068" spans="18:19" x14ac:dyDescent="0.25">
      <c r="R3068">
        <v>3477498.1026311158</v>
      </c>
      <c r="S3068">
        <v>0</v>
      </c>
    </row>
    <row r="3069" spans="18:19" x14ac:dyDescent="0.25">
      <c r="R3069">
        <v>3477523.7651319881</v>
      </c>
      <c r="S3069">
        <v>0</v>
      </c>
    </row>
    <row r="3070" spans="18:19" x14ac:dyDescent="0.25">
      <c r="R3070">
        <v>3477549.4276328604</v>
      </c>
      <c r="S3070">
        <v>0</v>
      </c>
    </row>
    <row r="3071" spans="18:19" x14ac:dyDescent="0.25">
      <c r="R3071">
        <v>3477575.0901337327</v>
      </c>
      <c r="S3071">
        <v>0</v>
      </c>
    </row>
    <row r="3072" spans="18:19" x14ac:dyDescent="0.25">
      <c r="R3072">
        <v>3477600.7526346049</v>
      </c>
      <c r="S3072">
        <v>0</v>
      </c>
    </row>
    <row r="3073" spans="18:19" x14ac:dyDescent="0.25">
      <c r="R3073">
        <v>3477626.4151354777</v>
      </c>
      <c r="S3073">
        <v>0</v>
      </c>
    </row>
    <row r="3074" spans="18:19" x14ac:dyDescent="0.25">
      <c r="R3074">
        <v>3477652.0776363499</v>
      </c>
      <c r="S3074">
        <v>0</v>
      </c>
    </row>
    <row r="3075" spans="18:19" x14ac:dyDescent="0.25">
      <c r="R3075">
        <v>3477677.7401372222</v>
      </c>
      <c r="S3075">
        <v>0</v>
      </c>
    </row>
    <row r="3076" spans="18:19" x14ac:dyDescent="0.25">
      <c r="R3076">
        <v>3477703.4026380945</v>
      </c>
      <c r="S3076">
        <v>0</v>
      </c>
    </row>
    <row r="3077" spans="18:19" x14ac:dyDescent="0.25">
      <c r="R3077">
        <v>3477729.0651389672</v>
      </c>
      <c r="S3077">
        <v>0</v>
      </c>
    </row>
    <row r="3078" spans="18:19" x14ac:dyDescent="0.25">
      <c r="R3078">
        <v>3477754.7276398395</v>
      </c>
      <c r="S3078">
        <v>0</v>
      </c>
    </row>
    <row r="3079" spans="18:19" x14ac:dyDescent="0.25">
      <c r="R3079">
        <v>3477780.3901407118</v>
      </c>
      <c r="S3079">
        <v>0</v>
      </c>
    </row>
    <row r="3080" spans="18:19" x14ac:dyDescent="0.25">
      <c r="R3080">
        <v>3477806.0526415841</v>
      </c>
      <c r="S3080">
        <v>0</v>
      </c>
    </row>
    <row r="3081" spans="18:19" x14ac:dyDescent="0.25">
      <c r="R3081">
        <v>3477831.7151424568</v>
      </c>
      <c r="S3081">
        <v>0</v>
      </c>
    </row>
    <row r="3082" spans="18:19" x14ac:dyDescent="0.25">
      <c r="R3082">
        <v>3477857.3776433291</v>
      </c>
      <c r="S3082">
        <v>0</v>
      </c>
    </row>
    <row r="3083" spans="18:19" x14ac:dyDescent="0.25">
      <c r="R3083">
        <v>3477883.0401442014</v>
      </c>
      <c r="S3083">
        <v>0</v>
      </c>
    </row>
    <row r="3084" spans="18:19" x14ac:dyDescent="0.25">
      <c r="R3084">
        <v>3477908.7026450736</v>
      </c>
      <c r="S3084">
        <v>0</v>
      </c>
    </row>
    <row r="3085" spans="18:19" x14ac:dyDescent="0.25">
      <c r="R3085">
        <v>3477934.3651459464</v>
      </c>
      <c r="S3085">
        <v>0</v>
      </c>
    </row>
    <row r="3086" spans="18:19" x14ac:dyDescent="0.25">
      <c r="R3086">
        <v>3477960.0276468187</v>
      </c>
      <c r="S3086">
        <v>0</v>
      </c>
    </row>
    <row r="3087" spans="18:19" x14ac:dyDescent="0.25">
      <c r="R3087">
        <v>3477985.6901476909</v>
      </c>
      <c r="S3087">
        <v>0</v>
      </c>
    </row>
    <row r="3088" spans="18:19" x14ac:dyDescent="0.25">
      <c r="R3088">
        <v>3478011.3526485632</v>
      </c>
      <c r="S3088">
        <v>0</v>
      </c>
    </row>
    <row r="3089" spans="18:19" x14ac:dyDescent="0.25">
      <c r="R3089">
        <v>3478037.0151494355</v>
      </c>
      <c r="S3089">
        <v>0</v>
      </c>
    </row>
    <row r="3090" spans="18:19" x14ac:dyDescent="0.25">
      <c r="R3090">
        <v>3478062.6776503082</v>
      </c>
      <c r="S3090">
        <v>0</v>
      </c>
    </row>
    <row r="3091" spans="18:19" x14ac:dyDescent="0.25">
      <c r="R3091">
        <v>3478088.3401511805</v>
      </c>
      <c r="S3091">
        <v>0</v>
      </c>
    </row>
    <row r="3092" spans="18:19" x14ac:dyDescent="0.25">
      <c r="R3092">
        <v>3478114.0026520528</v>
      </c>
      <c r="S3092">
        <v>0</v>
      </c>
    </row>
    <row r="3093" spans="18:19" x14ac:dyDescent="0.25">
      <c r="R3093">
        <v>3478139.6651529251</v>
      </c>
      <c r="S3093">
        <v>0</v>
      </c>
    </row>
    <row r="3094" spans="18:19" x14ac:dyDescent="0.25">
      <c r="R3094">
        <v>3478165.3276537978</v>
      </c>
      <c r="S3094">
        <v>0</v>
      </c>
    </row>
    <row r="3095" spans="18:19" x14ac:dyDescent="0.25">
      <c r="R3095">
        <v>3478190.9901546701</v>
      </c>
      <c r="S3095">
        <v>0</v>
      </c>
    </row>
    <row r="3096" spans="18:19" x14ac:dyDescent="0.25">
      <c r="R3096">
        <v>3478216.6526555424</v>
      </c>
      <c r="S3096">
        <v>0</v>
      </c>
    </row>
    <row r="3097" spans="18:19" x14ac:dyDescent="0.25">
      <c r="R3097">
        <v>3478242.3151564146</v>
      </c>
      <c r="S3097">
        <v>0</v>
      </c>
    </row>
    <row r="3098" spans="18:19" x14ac:dyDescent="0.25">
      <c r="R3098">
        <v>3478267.9776572874</v>
      </c>
      <c r="S3098">
        <v>0</v>
      </c>
    </row>
    <row r="3099" spans="18:19" x14ac:dyDescent="0.25">
      <c r="R3099">
        <v>3478293.6401581597</v>
      </c>
      <c r="S3099">
        <v>0</v>
      </c>
    </row>
    <row r="3100" spans="18:19" x14ac:dyDescent="0.25">
      <c r="R3100">
        <v>3478319.3026590319</v>
      </c>
      <c r="S3100">
        <v>0</v>
      </c>
    </row>
    <row r="3101" spans="18:19" x14ac:dyDescent="0.25">
      <c r="R3101">
        <v>3478344.9651599042</v>
      </c>
      <c r="S3101">
        <v>0</v>
      </c>
    </row>
    <row r="3102" spans="18:19" x14ac:dyDescent="0.25">
      <c r="R3102">
        <v>3478370.6276607765</v>
      </c>
      <c r="S3102">
        <v>0</v>
      </c>
    </row>
    <row r="3103" spans="18:19" x14ac:dyDescent="0.25">
      <c r="R3103">
        <v>3478396.2901616492</v>
      </c>
      <c r="S3103">
        <v>0</v>
      </c>
    </row>
    <row r="3104" spans="18:19" x14ac:dyDescent="0.25">
      <c r="R3104">
        <v>3478421.9526625215</v>
      </c>
      <c r="S3104">
        <v>0</v>
      </c>
    </row>
    <row r="3105" spans="18:19" x14ac:dyDescent="0.25">
      <c r="R3105">
        <v>3478447.6151633938</v>
      </c>
      <c r="S3105">
        <v>0</v>
      </c>
    </row>
    <row r="3106" spans="18:19" x14ac:dyDescent="0.25">
      <c r="R3106">
        <v>3478473.2776642661</v>
      </c>
      <c r="S3106">
        <v>0</v>
      </c>
    </row>
    <row r="3107" spans="18:19" x14ac:dyDescent="0.25">
      <c r="R3107">
        <v>3478498.9401651388</v>
      </c>
      <c r="S3107">
        <v>0</v>
      </c>
    </row>
    <row r="3108" spans="18:19" x14ac:dyDescent="0.25">
      <c r="R3108">
        <v>3478524.6026660111</v>
      </c>
      <c r="S3108">
        <v>0</v>
      </c>
    </row>
    <row r="3109" spans="18:19" x14ac:dyDescent="0.25">
      <c r="R3109">
        <v>3478550.2651668834</v>
      </c>
      <c r="S3109">
        <v>0</v>
      </c>
    </row>
    <row r="3110" spans="18:19" x14ac:dyDescent="0.25">
      <c r="R3110">
        <v>3478575.9276677556</v>
      </c>
      <c r="S3110">
        <v>0</v>
      </c>
    </row>
    <row r="3111" spans="18:19" x14ac:dyDescent="0.25">
      <c r="R3111">
        <v>3478601.5901686284</v>
      </c>
      <c r="S3111">
        <v>0</v>
      </c>
    </row>
    <row r="3112" spans="18:19" x14ac:dyDescent="0.25">
      <c r="R3112">
        <v>3478627.2526695007</v>
      </c>
      <c r="S3112">
        <v>0</v>
      </c>
    </row>
    <row r="3113" spans="18:19" x14ac:dyDescent="0.25">
      <c r="R3113">
        <v>3478652.9151703729</v>
      </c>
      <c r="S3113">
        <v>0</v>
      </c>
    </row>
    <row r="3114" spans="18:19" x14ac:dyDescent="0.25">
      <c r="R3114">
        <v>3478678.5776712452</v>
      </c>
      <c r="S3114">
        <v>0</v>
      </c>
    </row>
    <row r="3115" spans="18:19" x14ac:dyDescent="0.25">
      <c r="R3115">
        <v>3478704.2401721179</v>
      </c>
      <c r="S3115">
        <v>0</v>
      </c>
    </row>
    <row r="3116" spans="18:19" x14ac:dyDescent="0.25">
      <c r="R3116">
        <v>3478729.9026729902</v>
      </c>
      <c r="S3116">
        <v>0</v>
      </c>
    </row>
    <row r="3117" spans="18:19" x14ac:dyDescent="0.25">
      <c r="R3117">
        <v>3478755.5651738625</v>
      </c>
      <c r="S3117">
        <v>0</v>
      </c>
    </row>
    <row r="3118" spans="18:19" x14ac:dyDescent="0.25">
      <c r="R3118">
        <v>3478781.2276747348</v>
      </c>
      <c r="S3118">
        <v>0</v>
      </c>
    </row>
    <row r="3119" spans="18:19" x14ac:dyDescent="0.25">
      <c r="R3119">
        <v>3478806.8901756071</v>
      </c>
      <c r="S3119">
        <v>0</v>
      </c>
    </row>
    <row r="3120" spans="18:19" x14ac:dyDescent="0.25">
      <c r="R3120">
        <v>3478832.5526764798</v>
      </c>
      <c r="S3120">
        <v>0</v>
      </c>
    </row>
    <row r="3121" spans="18:19" x14ac:dyDescent="0.25">
      <c r="R3121">
        <v>3478858.2151773521</v>
      </c>
      <c r="S3121">
        <v>0</v>
      </c>
    </row>
    <row r="3122" spans="18:19" x14ac:dyDescent="0.25">
      <c r="R3122">
        <v>3478883.8776782244</v>
      </c>
      <c r="S3122">
        <v>0</v>
      </c>
    </row>
    <row r="3123" spans="18:19" x14ac:dyDescent="0.25">
      <c r="R3123">
        <v>3478909.5401790966</v>
      </c>
      <c r="S3123">
        <v>0</v>
      </c>
    </row>
    <row r="3124" spans="18:19" x14ac:dyDescent="0.25">
      <c r="R3124">
        <v>3478935.2026799694</v>
      </c>
      <c r="S3124">
        <v>0</v>
      </c>
    </row>
    <row r="3125" spans="18:19" x14ac:dyDescent="0.25">
      <c r="R3125">
        <v>3478960.8651808416</v>
      </c>
      <c r="S3125">
        <v>0</v>
      </c>
    </row>
    <row r="3126" spans="18:19" x14ac:dyDescent="0.25">
      <c r="R3126">
        <v>3478986.5276817139</v>
      </c>
      <c r="S3126">
        <v>0</v>
      </c>
    </row>
    <row r="3127" spans="18:19" x14ac:dyDescent="0.25">
      <c r="R3127">
        <v>3479012.1901825862</v>
      </c>
      <c r="S3127">
        <v>0</v>
      </c>
    </row>
    <row r="3128" spans="18:19" x14ac:dyDescent="0.25">
      <c r="R3128">
        <v>3479037.8526834589</v>
      </c>
      <c r="S3128">
        <v>0</v>
      </c>
    </row>
    <row r="3129" spans="18:19" x14ac:dyDescent="0.25">
      <c r="R3129">
        <v>3479063.5151843312</v>
      </c>
      <c r="S3129">
        <v>0</v>
      </c>
    </row>
    <row r="3130" spans="18:19" x14ac:dyDescent="0.25">
      <c r="R3130">
        <v>3479089.1776852035</v>
      </c>
      <c r="S3130">
        <v>0</v>
      </c>
    </row>
    <row r="3131" spans="18:19" x14ac:dyDescent="0.25">
      <c r="R3131">
        <v>3479114.8401860758</v>
      </c>
      <c r="S3131">
        <v>0</v>
      </c>
    </row>
    <row r="3132" spans="18:19" x14ac:dyDescent="0.25">
      <c r="R3132">
        <v>3479140.5026869485</v>
      </c>
      <c r="S3132">
        <v>0</v>
      </c>
    </row>
    <row r="3133" spans="18:19" x14ac:dyDescent="0.25">
      <c r="R3133">
        <v>3479166.1651878208</v>
      </c>
      <c r="S3133">
        <v>0</v>
      </c>
    </row>
    <row r="3134" spans="18:19" x14ac:dyDescent="0.25">
      <c r="R3134">
        <v>3479191.8276886931</v>
      </c>
      <c r="S3134">
        <v>0</v>
      </c>
    </row>
    <row r="3135" spans="18:19" x14ac:dyDescent="0.25">
      <c r="R3135">
        <v>3479217.4901895653</v>
      </c>
      <c r="S3135">
        <v>0</v>
      </c>
    </row>
    <row r="3136" spans="18:19" x14ac:dyDescent="0.25">
      <c r="R3136">
        <v>3479243.1526904376</v>
      </c>
      <c r="S3136">
        <v>0</v>
      </c>
    </row>
    <row r="3137" spans="18:19" x14ac:dyDescent="0.25">
      <c r="R3137">
        <v>3479268.8151913104</v>
      </c>
      <c r="S3137">
        <v>0</v>
      </c>
    </row>
    <row r="3138" spans="18:19" x14ac:dyDescent="0.25">
      <c r="R3138">
        <v>3479294.4776921826</v>
      </c>
      <c r="S3138">
        <v>0</v>
      </c>
    </row>
    <row r="3139" spans="18:19" x14ac:dyDescent="0.25">
      <c r="R3139">
        <v>3479320.1401930549</v>
      </c>
      <c r="S3139">
        <v>0</v>
      </c>
    </row>
    <row r="3140" spans="18:19" x14ac:dyDescent="0.25">
      <c r="R3140">
        <v>3479345.8026939272</v>
      </c>
      <c r="S3140">
        <v>0</v>
      </c>
    </row>
    <row r="3141" spans="18:19" x14ac:dyDescent="0.25">
      <c r="R3141">
        <v>3479371.4651947999</v>
      </c>
      <c r="S3141">
        <v>0</v>
      </c>
    </row>
    <row r="3142" spans="18:19" x14ac:dyDescent="0.25">
      <c r="R3142">
        <v>3479397.1276956722</v>
      </c>
      <c r="S3142">
        <v>0</v>
      </c>
    </row>
    <row r="3143" spans="18:19" x14ac:dyDescent="0.25">
      <c r="R3143">
        <v>3479422.7901965445</v>
      </c>
      <c r="S3143">
        <v>0</v>
      </c>
    </row>
    <row r="3144" spans="18:19" x14ac:dyDescent="0.25">
      <c r="R3144">
        <v>3479448.4526974168</v>
      </c>
      <c r="S3144">
        <v>0</v>
      </c>
    </row>
    <row r="3145" spans="18:19" x14ac:dyDescent="0.25">
      <c r="R3145">
        <v>3479474.1151982895</v>
      </c>
      <c r="S3145">
        <v>0</v>
      </c>
    </row>
    <row r="3146" spans="18:19" x14ac:dyDescent="0.25">
      <c r="R3146">
        <v>3479499.7776991618</v>
      </c>
      <c r="S3146">
        <v>0</v>
      </c>
    </row>
    <row r="3147" spans="18:19" x14ac:dyDescent="0.25">
      <c r="R3147">
        <v>3479525.4402000341</v>
      </c>
      <c r="S3147">
        <v>0</v>
      </c>
    </row>
    <row r="3148" spans="18:19" x14ac:dyDescent="0.25">
      <c r="R3148">
        <v>3479551.1027009063</v>
      </c>
      <c r="S3148">
        <v>0</v>
      </c>
    </row>
    <row r="3149" spans="18:19" x14ac:dyDescent="0.25">
      <c r="R3149">
        <v>3479576.7652017791</v>
      </c>
      <c r="S3149">
        <v>0</v>
      </c>
    </row>
    <row r="3150" spans="18:19" x14ac:dyDescent="0.25">
      <c r="R3150">
        <v>3479602.4277026514</v>
      </c>
      <c r="S3150">
        <v>0</v>
      </c>
    </row>
    <row r="3151" spans="18:19" x14ac:dyDescent="0.25">
      <c r="R3151">
        <v>3479628.0902035236</v>
      </c>
      <c r="S3151">
        <v>0</v>
      </c>
    </row>
    <row r="3152" spans="18:19" x14ac:dyDescent="0.25">
      <c r="R3152">
        <v>3479653.7527043959</v>
      </c>
      <c r="S3152">
        <v>0</v>
      </c>
    </row>
    <row r="3153" spans="18:19" x14ac:dyDescent="0.25">
      <c r="R3153">
        <v>3479679.4152052682</v>
      </c>
      <c r="S3153">
        <v>0</v>
      </c>
    </row>
    <row r="3154" spans="18:19" x14ac:dyDescent="0.25">
      <c r="R3154">
        <v>3479705.0777061409</v>
      </c>
      <c r="S3154">
        <v>0</v>
      </c>
    </row>
    <row r="3155" spans="18:19" x14ac:dyDescent="0.25">
      <c r="R3155">
        <v>3479730.7402070132</v>
      </c>
      <c r="S3155">
        <v>0</v>
      </c>
    </row>
    <row r="3156" spans="18:19" x14ac:dyDescent="0.25">
      <c r="R3156">
        <v>3479756.4027078855</v>
      </c>
      <c r="S3156">
        <v>0</v>
      </c>
    </row>
    <row r="3157" spans="18:19" x14ac:dyDescent="0.25">
      <c r="R3157">
        <v>3479782.0652087578</v>
      </c>
      <c r="S3157">
        <v>0</v>
      </c>
    </row>
    <row r="3158" spans="18:19" x14ac:dyDescent="0.25">
      <c r="R3158">
        <v>3479807.7277096305</v>
      </c>
      <c r="S3158">
        <v>0</v>
      </c>
    </row>
    <row r="3159" spans="18:19" x14ac:dyDescent="0.25">
      <c r="R3159">
        <v>3479833.3902105028</v>
      </c>
      <c r="S3159">
        <v>0</v>
      </c>
    </row>
    <row r="3160" spans="18:19" x14ac:dyDescent="0.25">
      <c r="R3160">
        <v>3479859.0527113751</v>
      </c>
      <c r="S3160">
        <v>0</v>
      </c>
    </row>
    <row r="3161" spans="18:19" x14ac:dyDescent="0.25">
      <c r="R3161">
        <v>3479884.7152122473</v>
      </c>
      <c r="S3161">
        <v>0</v>
      </c>
    </row>
    <row r="3162" spans="18:19" x14ac:dyDescent="0.25">
      <c r="R3162">
        <v>3479910.3777131201</v>
      </c>
      <c r="S3162">
        <v>0</v>
      </c>
    </row>
    <row r="3163" spans="18:19" x14ac:dyDescent="0.25">
      <c r="R3163">
        <v>3479936.0402139924</v>
      </c>
      <c r="S3163">
        <v>0</v>
      </c>
    </row>
    <row r="3164" spans="18:19" x14ac:dyDescent="0.25">
      <c r="R3164">
        <v>3479961.7027148646</v>
      </c>
      <c r="S3164">
        <v>0</v>
      </c>
    </row>
    <row r="3165" spans="18:19" x14ac:dyDescent="0.25">
      <c r="R3165">
        <v>3479987.3652157369</v>
      </c>
      <c r="S3165">
        <v>0</v>
      </c>
    </row>
    <row r="3166" spans="18:19" x14ac:dyDescent="0.25">
      <c r="R3166">
        <v>3480013.0277166092</v>
      </c>
      <c r="S3166">
        <v>0</v>
      </c>
    </row>
    <row r="3167" spans="18:19" x14ac:dyDescent="0.25">
      <c r="R3167">
        <v>3480038.6902174819</v>
      </c>
      <c r="S3167">
        <v>0</v>
      </c>
    </row>
    <row r="3168" spans="18:19" x14ac:dyDescent="0.25">
      <c r="R3168">
        <v>3480064.3527183542</v>
      </c>
      <c r="S3168">
        <v>0</v>
      </c>
    </row>
    <row r="3169" spans="18:19" x14ac:dyDescent="0.25">
      <c r="R3169">
        <v>3480090.0152192265</v>
      </c>
      <c r="S3169">
        <v>0</v>
      </c>
    </row>
    <row r="3170" spans="18:19" x14ac:dyDescent="0.25">
      <c r="R3170">
        <v>3480115.6777200988</v>
      </c>
      <c r="S3170">
        <v>0</v>
      </c>
    </row>
    <row r="3171" spans="18:19" x14ac:dyDescent="0.25">
      <c r="R3171">
        <v>3480141.3402209715</v>
      </c>
      <c r="S3171">
        <v>0</v>
      </c>
    </row>
    <row r="3172" spans="18:19" x14ac:dyDescent="0.25">
      <c r="R3172">
        <v>3480167.0027218438</v>
      </c>
      <c r="S3172">
        <v>0</v>
      </c>
    </row>
    <row r="3173" spans="18:19" x14ac:dyDescent="0.25">
      <c r="R3173">
        <v>3480192.6652227161</v>
      </c>
      <c r="S3173">
        <v>0</v>
      </c>
    </row>
    <row r="3174" spans="18:19" x14ac:dyDescent="0.25">
      <c r="R3174">
        <v>3480218.3277235883</v>
      </c>
      <c r="S3174">
        <v>0</v>
      </c>
    </row>
    <row r="3175" spans="18:19" x14ac:dyDescent="0.25">
      <c r="R3175">
        <v>3480243.9902244611</v>
      </c>
      <c r="S3175">
        <v>0</v>
      </c>
    </row>
    <row r="3176" spans="18:19" x14ac:dyDescent="0.25">
      <c r="R3176">
        <v>3480269.6527253333</v>
      </c>
      <c r="S3176">
        <v>0</v>
      </c>
    </row>
    <row r="3177" spans="18:19" x14ac:dyDescent="0.25">
      <c r="R3177">
        <v>3480295.3152262056</v>
      </c>
      <c r="S3177">
        <v>0</v>
      </c>
    </row>
    <row r="3178" spans="18:19" x14ac:dyDescent="0.25">
      <c r="R3178">
        <v>3480320.9777270779</v>
      </c>
      <c r="S3178">
        <v>0</v>
      </c>
    </row>
    <row r="3179" spans="18:19" x14ac:dyDescent="0.25">
      <c r="R3179">
        <v>3480346.6402279506</v>
      </c>
      <c r="S3179">
        <v>0</v>
      </c>
    </row>
    <row r="3180" spans="18:19" x14ac:dyDescent="0.25">
      <c r="R3180">
        <v>3480372.3027288229</v>
      </c>
      <c r="S3180">
        <v>0</v>
      </c>
    </row>
    <row r="3181" spans="18:19" x14ac:dyDescent="0.25">
      <c r="R3181">
        <v>3480397.9652296952</v>
      </c>
      <c r="S3181">
        <v>0</v>
      </c>
    </row>
    <row r="3182" spans="18:19" x14ac:dyDescent="0.25">
      <c r="R3182">
        <v>3480423.6277305675</v>
      </c>
      <c r="S3182">
        <v>0</v>
      </c>
    </row>
    <row r="3183" spans="18:19" x14ac:dyDescent="0.25">
      <c r="R3183">
        <v>3480449.2902314398</v>
      </c>
      <c r="S3183">
        <v>0</v>
      </c>
    </row>
    <row r="3184" spans="18:19" x14ac:dyDescent="0.25">
      <c r="R3184">
        <v>3480474.9527323125</v>
      </c>
      <c r="S3184">
        <v>0</v>
      </c>
    </row>
    <row r="3185" spans="18:19" x14ac:dyDescent="0.25">
      <c r="R3185">
        <v>3480500.6152331848</v>
      </c>
      <c r="S3185">
        <v>0</v>
      </c>
    </row>
    <row r="3186" spans="18:19" x14ac:dyDescent="0.25">
      <c r="R3186">
        <v>3480526.277734057</v>
      </c>
      <c r="S3186">
        <v>0</v>
      </c>
    </row>
    <row r="3187" spans="18:19" x14ac:dyDescent="0.25">
      <c r="R3187">
        <v>3480551.9402349293</v>
      </c>
      <c r="S3187">
        <v>0</v>
      </c>
    </row>
    <row r="3188" spans="18:19" x14ac:dyDescent="0.25">
      <c r="R3188">
        <v>3480577.6027358021</v>
      </c>
      <c r="S3188">
        <v>0</v>
      </c>
    </row>
    <row r="3189" spans="18:19" x14ac:dyDescent="0.25">
      <c r="R3189">
        <v>3480603.2652366743</v>
      </c>
      <c r="S3189">
        <v>0</v>
      </c>
    </row>
    <row r="3190" spans="18:19" x14ac:dyDescent="0.25">
      <c r="R3190">
        <v>3480628.9277375466</v>
      </c>
      <c r="S3190">
        <v>0</v>
      </c>
    </row>
    <row r="3191" spans="18:19" x14ac:dyDescent="0.25">
      <c r="R3191">
        <v>3480654.5902384189</v>
      </c>
      <c r="S3191">
        <v>0</v>
      </c>
    </row>
    <row r="3192" spans="18:19" x14ac:dyDescent="0.25">
      <c r="R3192">
        <v>3480680.2527392916</v>
      </c>
      <c r="S3192">
        <v>0</v>
      </c>
    </row>
    <row r="3193" spans="18:19" x14ac:dyDescent="0.25">
      <c r="R3193">
        <v>3480705.9152401639</v>
      </c>
      <c r="S3193">
        <v>0</v>
      </c>
    </row>
    <row r="3194" spans="18:19" x14ac:dyDescent="0.25">
      <c r="R3194">
        <v>3480731.5777410362</v>
      </c>
      <c r="S3194">
        <v>0</v>
      </c>
    </row>
    <row r="3195" spans="18:19" x14ac:dyDescent="0.25">
      <c r="R3195">
        <v>3480757.2402419085</v>
      </c>
      <c r="S3195">
        <v>0</v>
      </c>
    </row>
    <row r="3196" spans="18:19" x14ac:dyDescent="0.25">
      <c r="R3196">
        <v>3480782.9027427812</v>
      </c>
      <c r="S3196">
        <v>0</v>
      </c>
    </row>
    <row r="3197" spans="18:19" x14ac:dyDescent="0.25">
      <c r="R3197">
        <v>3480808.5652436535</v>
      </c>
      <c r="S3197">
        <v>0</v>
      </c>
    </row>
    <row r="3198" spans="18:19" x14ac:dyDescent="0.25">
      <c r="R3198">
        <v>3480834.2277445258</v>
      </c>
      <c r="S3198">
        <v>0</v>
      </c>
    </row>
    <row r="3199" spans="18:19" x14ac:dyDescent="0.25">
      <c r="R3199">
        <v>3480859.890245398</v>
      </c>
      <c r="S3199">
        <v>0</v>
      </c>
    </row>
    <row r="3200" spans="18:19" x14ac:dyDescent="0.25">
      <c r="R3200">
        <v>3480885.5527462703</v>
      </c>
      <c r="S3200">
        <v>0</v>
      </c>
    </row>
    <row r="3201" spans="18:19" x14ac:dyDescent="0.25">
      <c r="R3201">
        <v>3480911.2152471431</v>
      </c>
      <c r="S3201">
        <v>0</v>
      </c>
    </row>
    <row r="3202" spans="18:19" x14ac:dyDescent="0.25">
      <c r="R3202">
        <v>3480936.8777480153</v>
      </c>
      <c r="S3202">
        <v>0</v>
      </c>
    </row>
    <row r="3203" spans="18:19" x14ac:dyDescent="0.25">
      <c r="R3203">
        <v>3480962.5402488876</v>
      </c>
      <c r="S3203">
        <v>0</v>
      </c>
    </row>
    <row r="3204" spans="18:19" x14ac:dyDescent="0.25">
      <c r="R3204">
        <v>3480988.2027497599</v>
      </c>
      <c r="S3204">
        <v>0</v>
      </c>
    </row>
    <row r="3205" spans="18:19" x14ac:dyDescent="0.25">
      <c r="R3205">
        <v>3481013.8652506326</v>
      </c>
      <c r="S3205">
        <v>0</v>
      </c>
    </row>
    <row r="3206" spans="18:19" x14ac:dyDescent="0.25">
      <c r="R3206">
        <v>3481039.5277515049</v>
      </c>
      <c r="S3206">
        <v>0</v>
      </c>
    </row>
    <row r="3207" spans="18:19" x14ac:dyDescent="0.25">
      <c r="R3207">
        <v>3481065.1902523772</v>
      </c>
      <c r="S3207">
        <v>0</v>
      </c>
    </row>
    <row r="3208" spans="18:19" x14ac:dyDescent="0.25">
      <c r="R3208">
        <v>3481090.8527532495</v>
      </c>
      <c r="S3208">
        <v>0</v>
      </c>
    </row>
    <row r="3209" spans="18:19" x14ac:dyDescent="0.25">
      <c r="R3209">
        <v>3481116.5152541222</v>
      </c>
      <c r="S3209">
        <v>0</v>
      </c>
    </row>
    <row r="3210" spans="18:19" x14ac:dyDescent="0.25">
      <c r="R3210">
        <v>3481142.1777549945</v>
      </c>
      <c r="S3210">
        <v>0</v>
      </c>
    </row>
    <row r="3211" spans="18:19" x14ac:dyDescent="0.25">
      <c r="R3211">
        <v>3481167.8402558668</v>
      </c>
      <c r="S3211">
        <v>0</v>
      </c>
    </row>
    <row r="3212" spans="18:19" x14ac:dyDescent="0.25">
      <c r="R3212">
        <v>3481193.502756739</v>
      </c>
      <c r="S3212">
        <v>0</v>
      </c>
    </row>
    <row r="3213" spans="18:19" x14ac:dyDescent="0.25">
      <c r="R3213">
        <v>3481219.1652576118</v>
      </c>
      <c r="S3213">
        <v>0</v>
      </c>
    </row>
    <row r="3214" spans="18:19" x14ac:dyDescent="0.25">
      <c r="R3214">
        <v>3481244.8277584841</v>
      </c>
      <c r="S3214">
        <v>0</v>
      </c>
    </row>
    <row r="3215" spans="18:19" x14ac:dyDescent="0.25">
      <c r="R3215">
        <v>3481270.4902593563</v>
      </c>
      <c r="S3215">
        <v>0</v>
      </c>
    </row>
    <row r="3216" spans="18:19" x14ac:dyDescent="0.25">
      <c r="R3216">
        <v>3481296.1527602286</v>
      </c>
      <c r="S3216">
        <v>0</v>
      </c>
    </row>
    <row r="3217" spans="18:19" x14ac:dyDescent="0.25">
      <c r="R3217">
        <v>3481321.8152611009</v>
      </c>
      <c r="S3217">
        <v>0</v>
      </c>
    </row>
    <row r="3218" spans="18:19" x14ac:dyDescent="0.25">
      <c r="R3218">
        <v>3481347.4777619736</v>
      </c>
      <c r="S3218">
        <v>0</v>
      </c>
    </row>
    <row r="3219" spans="18:19" x14ac:dyDescent="0.25">
      <c r="R3219">
        <v>3481373.1402628459</v>
      </c>
      <c r="S3219">
        <v>0</v>
      </c>
    </row>
    <row r="3220" spans="18:19" x14ac:dyDescent="0.25">
      <c r="R3220">
        <v>3481398.8027637182</v>
      </c>
      <c r="S3220">
        <v>0</v>
      </c>
    </row>
    <row r="3221" spans="18:19" x14ac:dyDescent="0.25">
      <c r="R3221">
        <v>3481424.4652645905</v>
      </c>
      <c r="S3221">
        <v>0</v>
      </c>
    </row>
    <row r="3222" spans="18:19" x14ac:dyDescent="0.25">
      <c r="R3222">
        <v>3481450.1277654632</v>
      </c>
      <c r="S3222">
        <v>0</v>
      </c>
    </row>
    <row r="3223" spans="18:19" x14ac:dyDescent="0.25">
      <c r="R3223">
        <v>3481475.7902663355</v>
      </c>
      <c r="S3223">
        <v>0</v>
      </c>
    </row>
    <row r="3224" spans="18:19" x14ac:dyDescent="0.25">
      <c r="R3224">
        <v>3481501.4527672078</v>
      </c>
      <c r="S3224">
        <v>0</v>
      </c>
    </row>
    <row r="3225" spans="18:19" x14ac:dyDescent="0.25">
      <c r="R3225">
        <v>3481527.11526808</v>
      </c>
      <c r="S3225">
        <v>0</v>
      </c>
    </row>
    <row r="3226" spans="18:19" x14ac:dyDescent="0.25">
      <c r="R3226">
        <v>3481552.7777689528</v>
      </c>
      <c r="S3226">
        <v>0</v>
      </c>
    </row>
    <row r="3227" spans="18:19" x14ac:dyDescent="0.25">
      <c r="R3227">
        <v>3481578.440269825</v>
      </c>
      <c r="S3227">
        <v>0</v>
      </c>
    </row>
    <row r="3228" spans="18:19" x14ac:dyDescent="0.25">
      <c r="R3228">
        <v>3481604.1027706973</v>
      </c>
      <c r="S3228">
        <v>0</v>
      </c>
    </row>
    <row r="3229" spans="18:19" x14ac:dyDescent="0.25">
      <c r="R3229">
        <v>3481629.7652715696</v>
      </c>
      <c r="S3229">
        <v>0</v>
      </c>
    </row>
    <row r="3230" spans="18:19" x14ac:dyDescent="0.25">
      <c r="R3230">
        <v>3481655.4277724419</v>
      </c>
      <c r="S3230">
        <v>0</v>
      </c>
    </row>
    <row r="3231" spans="18:19" x14ac:dyDescent="0.25">
      <c r="R3231">
        <v>3481681.0902733146</v>
      </c>
      <c r="S3231">
        <v>0</v>
      </c>
    </row>
    <row r="3232" spans="18:19" x14ac:dyDescent="0.25">
      <c r="R3232">
        <v>3481706.7527741869</v>
      </c>
      <c r="S3232">
        <v>0</v>
      </c>
    </row>
    <row r="3233" spans="18:19" x14ac:dyDescent="0.25">
      <c r="R3233">
        <v>3481732.4152750592</v>
      </c>
      <c r="S3233">
        <v>0</v>
      </c>
    </row>
    <row r="3234" spans="18:19" x14ac:dyDescent="0.25">
      <c r="R3234">
        <v>3481758.0777759315</v>
      </c>
      <c r="S3234">
        <v>0</v>
      </c>
    </row>
    <row r="3235" spans="18:19" x14ac:dyDescent="0.25">
      <c r="R3235">
        <v>3481783.7402768042</v>
      </c>
      <c r="S3235">
        <v>0</v>
      </c>
    </row>
    <row r="3236" spans="18:19" x14ac:dyDescent="0.25">
      <c r="R3236">
        <v>3481809.4027776765</v>
      </c>
      <c r="S3236">
        <v>0</v>
      </c>
    </row>
    <row r="3237" spans="18:19" x14ac:dyDescent="0.25">
      <c r="R3237">
        <v>3481835.0652785487</v>
      </c>
      <c r="S3237">
        <v>0</v>
      </c>
    </row>
    <row r="3238" spans="18:19" x14ac:dyDescent="0.25">
      <c r="R3238">
        <v>3481860.727779421</v>
      </c>
      <c r="S3238">
        <v>0</v>
      </c>
    </row>
    <row r="3239" spans="18:19" x14ac:dyDescent="0.25">
      <c r="R3239">
        <v>3481886.3902802938</v>
      </c>
      <c r="S3239">
        <v>0</v>
      </c>
    </row>
    <row r="3240" spans="18:19" x14ac:dyDescent="0.25">
      <c r="R3240">
        <v>3481912.052781166</v>
      </c>
      <c r="S3240">
        <v>0</v>
      </c>
    </row>
    <row r="3241" spans="18:19" x14ac:dyDescent="0.25">
      <c r="R3241">
        <v>3481937.7152820383</v>
      </c>
      <c r="S3241">
        <v>0</v>
      </c>
    </row>
    <row r="3242" spans="18:19" x14ac:dyDescent="0.25">
      <c r="R3242">
        <v>3481963.3777829106</v>
      </c>
      <c r="S3242">
        <v>0</v>
      </c>
    </row>
    <row r="3243" spans="18:19" x14ac:dyDescent="0.25">
      <c r="R3243">
        <v>3481989.0402837833</v>
      </c>
      <c r="S3243">
        <v>0</v>
      </c>
    </row>
    <row r="3244" spans="18:19" x14ac:dyDescent="0.25">
      <c r="R3244">
        <v>3482014.7027846556</v>
      </c>
      <c r="S3244">
        <v>0</v>
      </c>
    </row>
    <row r="3245" spans="18:19" x14ac:dyDescent="0.25">
      <c r="R3245">
        <v>3482040.3652855279</v>
      </c>
      <c r="S3245">
        <v>0</v>
      </c>
    </row>
    <row r="3246" spans="18:19" x14ac:dyDescent="0.25">
      <c r="R3246">
        <v>3482066.0277864002</v>
      </c>
      <c r="S3246">
        <v>0</v>
      </c>
    </row>
    <row r="3247" spans="18:19" x14ac:dyDescent="0.25">
      <c r="R3247">
        <v>3482091.6902872724</v>
      </c>
      <c r="S3247">
        <v>0</v>
      </c>
    </row>
    <row r="3248" spans="18:19" x14ac:dyDescent="0.25">
      <c r="R3248">
        <v>3482117.3527881452</v>
      </c>
      <c r="S3248">
        <v>0</v>
      </c>
    </row>
    <row r="3249" spans="18:19" x14ac:dyDescent="0.25">
      <c r="R3249">
        <v>3482143.0152890175</v>
      </c>
      <c r="S3249">
        <v>0</v>
      </c>
    </row>
    <row r="3250" spans="18:19" x14ac:dyDescent="0.25">
      <c r="R3250">
        <v>3482168.6777898897</v>
      </c>
      <c r="S3250">
        <v>0</v>
      </c>
    </row>
    <row r="3251" spans="18:19" x14ac:dyDescent="0.25">
      <c r="R3251">
        <v>3482194.340290762</v>
      </c>
      <c r="S3251">
        <v>0</v>
      </c>
    </row>
    <row r="3252" spans="18:19" x14ac:dyDescent="0.25">
      <c r="R3252">
        <v>3482220.0027916348</v>
      </c>
      <c r="S3252">
        <v>0</v>
      </c>
    </row>
    <row r="3253" spans="18:19" x14ac:dyDescent="0.25">
      <c r="R3253">
        <v>3482245.665292507</v>
      </c>
      <c r="S3253">
        <v>0</v>
      </c>
    </row>
    <row r="3254" spans="18:19" x14ac:dyDescent="0.25">
      <c r="R3254">
        <v>3482271.3277933793</v>
      </c>
      <c r="S3254">
        <v>0</v>
      </c>
    </row>
    <row r="3255" spans="18:19" x14ac:dyDescent="0.25">
      <c r="R3255">
        <v>3482296.9902942516</v>
      </c>
      <c r="S3255">
        <v>0</v>
      </c>
    </row>
    <row r="3256" spans="18:19" x14ac:dyDescent="0.25">
      <c r="R3256">
        <v>3482322.6527951243</v>
      </c>
      <c r="S3256">
        <v>0</v>
      </c>
    </row>
    <row r="3257" spans="18:19" x14ac:dyDescent="0.25">
      <c r="R3257">
        <v>3482348.3152959966</v>
      </c>
      <c r="S3257">
        <v>0</v>
      </c>
    </row>
    <row r="3258" spans="18:19" x14ac:dyDescent="0.25">
      <c r="R3258">
        <v>3482373.9777968689</v>
      </c>
      <c r="S3258">
        <v>0</v>
      </c>
    </row>
    <row r="3259" spans="18:19" x14ac:dyDescent="0.25">
      <c r="R3259">
        <v>3482399.6402977412</v>
      </c>
      <c r="S3259">
        <v>0</v>
      </c>
    </row>
    <row r="3260" spans="18:19" x14ac:dyDescent="0.25">
      <c r="R3260">
        <v>3482425.3027986139</v>
      </c>
      <c r="S3260">
        <v>0</v>
      </c>
    </row>
    <row r="3261" spans="18:19" x14ac:dyDescent="0.25">
      <c r="R3261">
        <v>3482450.9652994862</v>
      </c>
      <c r="S3261">
        <v>0</v>
      </c>
    </row>
    <row r="3262" spans="18:19" x14ac:dyDescent="0.25">
      <c r="R3262">
        <v>3482476.6278003585</v>
      </c>
      <c r="S3262">
        <v>0</v>
      </c>
    </row>
    <row r="3263" spans="18:19" x14ac:dyDescent="0.25">
      <c r="R3263">
        <v>3482502.2903012307</v>
      </c>
      <c r="S3263">
        <v>0</v>
      </c>
    </row>
    <row r="3264" spans="18:19" x14ac:dyDescent="0.25">
      <c r="R3264">
        <v>3482527.952802103</v>
      </c>
      <c r="S3264">
        <v>0</v>
      </c>
    </row>
    <row r="3265" spans="18:19" x14ac:dyDescent="0.25">
      <c r="R3265">
        <v>3482553.6153029758</v>
      </c>
      <c r="S3265">
        <v>0</v>
      </c>
    </row>
    <row r="3266" spans="18:19" x14ac:dyDescent="0.25">
      <c r="R3266">
        <v>3482579.277803848</v>
      </c>
      <c r="S3266">
        <v>0</v>
      </c>
    </row>
    <row r="3267" spans="18:19" x14ac:dyDescent="0.25">
      <c r="R3267">
        <v>3482604.9403047203</v>
      </c>
      <c r="S3267">
        <v>0</v>
      </c>
    </row>
    <row r="3268" spans="18:19" x14ac:dyDescent="0.25">
      <c r="R3268">
        <v>3482630.6028055926</v>
      </c>
      <c r="S3268">
        <v>0</v>
      </c>
    </row>
    <row r="3269" spans="18:19" x14ac:dyDescent="0.25">
      <c r="R3269">
        <v>3482656.2653064653</v>
      </c>
      <c r="S3269">
        <v>0</v>
      </c>
    </row>
    <row r="3270" spans="18:19" x14ac:dyDescent="0.25">
      <c r="R3270">
        <v>3482681.9278073376</v>
      </c>
      <c r="S3270">
        <v>0</v>
      </c>
    </row>
    <row r="3271" spans="18:19" x14ac:dyDescent="0.25">
      <c r="R3271">
        <v>3482707.5903082099</v>
      </c>
      <c r="S3271">
        <v>0</v>
      </c>
    </row>
    <row r="3272" spans="18:19" x14ac:dyDescent="0.25">
      <c r="R3272">
        <v>3482733.2528090822</v>
      </c>
      <c r="S3272">
        <v>0</v>
      </c>
    </row>
    <row r="3273" spans="18:19" x14ac:dyDescent="0.25">
      <c r="R3273">
        <v>3482758.9153099549</v>
      </c>
      <c r="S3273">
        <v>0</v>
      </c>
    </row>
    <row r="3274" spans="18:19" x14ac:dyDescent="0.25">
      <c r="R3274">
        <v>3482784.5778108272</v>
      </c>
      <c r="S3274">
        <v>0</v>
      </c>
    </row>
    <row r="3275" spans="18:19" x14ac:dyDescent="0.25">
      <c r="R3275">
        <v>3482810.2403116995</v>
      </c>
      <c r="S3275">
        <v>0</v>
      </c>
    </row>
    <row r="3276" spans="18:19" x14ac:dyDescent="0.25">
      <c r="R3276">
        <v>3482835.9028125717</v>
      </c>
      <c r="S3276">
        <v>0</v>
      </c>
    </row>
    <row r="3277" spans="18:19" x14ac:dyDescent="0.25">
      <c r="R3277">
        <v>3482861.5653134445</v>
      </c>
      <c r="S3277">
        <v>0</v>
      </c>
    </row>
    <row r="3278" spans="18:19" x14ac:dyDescent="0.25">
      <c r="R3278">
        <v>3482887.2278143167</v>
      </c>
      <c r="S3278">
        <v>0</v>
      </c>
    </row>
    <row r="3279" spans="18:19" x14ac:dyDescent="0.25">
      <c r="R3279">
        <v>3482912.890315189</v>
      </c>
      <c r="S3279">
        <v>0</v>
      </c>
    </row>
    <row r="3280" spans="18:19" x14ac:dyDescent="0.25">
      <c r="R3280">
        <v>3482938.5528160613</v>
      </c>
      <c r="S3280">
        <v>0</v>
      </c>
    </row>
    <row r="3281" spans="18:19" x14ac:dyDescent="0.25">
      <c r="R3281">
        <v>3482964.2153169336</v>
      </c>
      <c r="S3281">
        <v>0</v>
      </c>
    </row>
    <row r="3282" spans="18:19" x14ac:dyDescent="0.25">
      <c r="R3282">
        <v>3482989.8778178063</v>
      </c>
      <c r="S3282">
        <v>0</v>
      </c>
    </row>
    <row r="3283" spans="18:19" x14ac:dyDescent="0.25">
      <c r="R3283">
        <v>3483015.5403186786</v>
      </c>
      <c r="S3283">
        <v>0</v>
      </c>
    </row>
    <row r="3284" spans="18:19" x14ac:dyDescent="0.25">
      <c r="R3284">
        <v>3483041.2028195509</v>
      </c>
      <c r="S3284">
        <v>0</v>
      </c>
    </row>
    <row r="3285" spans="18:19" x14ac:dyDescent="0.25">
      <c r="R3285">
        <v>3483066.8653204232</v>
      </c>
      <c r="S3285">
        <v>0</v>
      </c>
    </row>
    <row r="3286" spans="18:19" x14ac:dyDescent="0.25">
      <c r="R3286">
        <v>3483092.5278212959</v>
      </c>
      <c r="S3286">
        <v>0</v>
      </c>
    </row>
    <row r="3287" spans="18:19" x14ac:dyDescent="0.25">
      <c r="R3287">
        <v>3483118.1903221682</v>
      </c>
      <c r="S3287">
        <v>0</v>
      </c>
    </row>
    <row r="3288" spans="18:19" x14ac:dyDescent="0.25">
      <c r="R3288">
        <v>3483143.8528230404</v>
      </c>
      <c r="S3288">
        <v>0</v>
      </c>
    </row>
    <row r="3289" spans="18:19" x14ac:dyDescent="0.25">
      <c r="R3289">
        <v>3483169.5153239127</v>
      </c>
      <c r="S3289">
        <v>0</v>
      </c>
    </row>
    <row r="3290" spans="18:19" x14ac:dyDescent="0.25">
      <c r="R3290">
        <v>3483195.1778247855</v>
      </c>
      <c r="S3290">
        <v>0</v>
      </c>
    </row>
    <row r="3291" spans="18:19" x14ac:dyDescent="0.25">
      <c r="R3291">
        <v>3483220.8403256577</v>
      </c>
      <c r="S3291">
        <v>0</v>
      </c>
    </row>
    <row r="3292" spans="18:19" x14ac:dyDescent="0.25">
      <c r="R3292">
        <v>3483246.50282653</v>
      </c>
      <c r="S3292">
        <v>0</v>
      </c>
    </row>
    <row r="3293" spans="18:19" x14ac:dyDescent="0.25">
      <c r="R3293">
        <v>3483272.1653274023</v>
      </c>
      <c r="S3293">
        <v>0</v>
      </c>
    </row>
    <row r="3294" spans="18:19" x14ac:dyDescent="0.25">
      <c r="R3294">
        <v>3483297.8278282746</v>
      </c>
      <c r="S3294">
        <v>0</v>
      </c>
    </row>
    <row r="3295" spans="18:19" x14ac:dyDescent="0.25">
      <c r="R3295">
        <v>3483323.4903291473</v>
      </c>
      <c r="S3295">
        <v>0</v>
      </c>
    </row>
    <row r="3296" spans="18:19" x14ac:dyDescent="0.25">
      <c r="R3296">
        <v>3483349.1528300196</v>
      </c>
      <c r="S3296">
        <v>0</v>
      </c>
    </row>
    <row r="3297" spans="18:19" x14ac:dyDescent="0.25">
      <c r="R3297">
        <v>3483374.8153308919</v>
      </c>
      <c r="S3297">
        <v>0</v>
      </c>
    </row>
    <row r="3298" spans="18:19" x14ac:dyDescent="0.25">
      <c r="R3298">
        <v>3483400.4778317641</v>
      </c>
      <c r="S3298">
        <v>0</v>
      </c>
    </row>
    <row r="3299" spans="18:19" x14ac:dyDescent="0.25">
      <c r="R3299">
        <v>3483426.1403326369</v>
      </c>
      <c r="S3299">
        <v>0</v>
      </c>
    </row>
    <row r="3300" spans="18:19" x14ac:dyDescent="0.25">
      <c r="R3300">
        <v>3483451.8028335092</v>
      </c>
      <c r="S3300">
        <v>0</v>
      </c>
    </row>
    <row r="3301" spans="18:19" x14ac:dyDescent="0.25">
      <c r="R3301">
        <v>3483477.4653343814</v>
      </c>
      <c r="S3301">
        <v>0</v>
      </c>
    </row>
    <row r="3302" spans="18:19" x14ac:dyDescent="0.25">
      <c r="R3302">
        <v>3483503.1278352537</v>
      </c>
      <c r="S3302">
        <v>0</v>
      </c>
    </row>
    <row r="3303" spans="18:19" x14ac:dyDescent="0.25">
      <c r="R3303">
        <v>3483528.7903361265</v>
      </c>
      <c r="S3303">
        <v>0</v>
      </c>
    </row>
    <row r="3304" spans="18:19" x14ac:dyDescent="0.25">
      <c r="R3304">
        <v>3483554.4528369987</v>
      </c>
      <c r="S3304">
        <v>0</v>
      </c>
    </row>
    <row r="3305" spans="18:19" x14ac:dyDescent="0.25">
      <c r="R3305">
        <v>3483580.115337871</v>
      </c>
      <c r="S3305">
        <v>0</v>
      </c>
    </row>
    <row r="3306" spans="18:19" x14ac:dyDescent="0.25">
      <c r="R3306">
        <v>3483605.7778387433</v>
      </c>
      <c r="S3306">
        <v>0</v>
      </c>
    </row>
    <row r="3307" spans="18:19" x14ac:dyDescent="0.25">
      <c r="R3307">
        <v>3483631.440339616</v>
      </c>
      <c r="S3307">
        <v>0</v>
      </c>
    </row>
    <row r="3308" spans="18:19" x14ac:dyDescent="0.25">
      <c r="R3308">
        <v>3483657.1028404883</v>
      </c>
      <c r="S3308">
        <v>0</v>
      </c>
    </row>
    <row r="3309" spans="18:19" x14ac:dyDescent="0.25">
      <c r="R3309">
        <v>3483682.7653413606</v>
      </c>
      <c r="S3309">
        <v>0</v>
      </c>
    </row>
    <row r="3310" spans="18:19" x14ac:dyDescent="0.25">
      <c r="R3310">
        <v>3483708.4278422329</v>
      </c>
      <c r="S3310">
        <v>0</v>
      </c>
    </row>
    <row r="3311" spans="18:19" x14ac:dyDescent="0.25">
      <c r="R3311">
        <v>3483734.0903431051</v>
      </c>
      <c r="S3311">
        <v>0</v>
      </c>
    </row>
    <row r="3312" spans="18:19" x14ac:dyDescent="0.25">
      <c r="R3312">
        <v>3483759.7528439779</v>
      </c>
      <c r="S3312">
        <v>0</v>
      </c>
    </row>
    <row r="3313" spans="18:19" x14ac:dyDescent="0.25">
      <c r="R3313">
        <v>3483785.4153448502</v>
      </c>
      <c r="S3313">
        <v>0</v>
      </c>
    </row>
    <row r="3314" spans="18:19" x14ac:dyDescent="0.25">
      <c r="R3314">
        <v>3483811.0778457224</v>
      </c>
      <c r="S3314">
        <v>0</v>
      </c>
    </row>
    <row r="3315" spans="18:19" x14ac:dyDescent="0.25">
      <c r="R3315">
        <v>3483836.7403465947</v>
      </c>
      <c r="S3315">
        <v>0</v>
      </c>
    </row>
    <row r="3316" spans="18:19" x14ac:dyDescent="0.25">
      <c r="R3316">
        <v>3483862.4028474675</v>
      </c>
      <c r="S3316">
        <v>0</v>
      </c>
    </row>
    <row r="3317" spans="18:19" x14ac:dyDescent="0.25">
      <c r="R3317">
        <v>3483888.0653483397</v>
      </c>
      <c r="S3317">
        <v>0</v>
      </c>
    </row>
    <row r="3318" spans="18:19" x14ac:dyDescent="0.25">
      <c r="R3318">
        <v>3483913.727849212</v>
      </c>
      <c r="S3318">
        <v>0</v>
      </c>
    </row>
    <row r="3319" spans="18:19" x14ac:dyDescent="0.25">
      <c r="R3319">
        <v>3483939.3903500843</v>
      </c>
      <c r="S3319">
        <v>0</v>
      </c>
    </row>
    <row r="3320" spans="18:19" x14ac:dyDescent="0.25">
      <c r="R3320">
        <v>3483965.052850957</v>
      </c>
      <c r="S3320">
        <v>0</v>
      </c>
    </row>
    <row r="3321" spans="18:19" x14ac:dyDescent="0.25">
      <c r="R3321">
        <v>3483990.7153518293</v>
      </c>
      <c r="S3321">
        <v>0</v>
      </c>
    </row>
    <row r="3322" spans="18:19" x14ac:dyDescent="0.25">
      <c r="R3322">
        <v>3484016.3778527016</v>
      </c>
      <c r="S3322">
        <v>0</v>
      </c>
    </row>
    <row r="3323" spans="18:19" x14ac:dyDescent="0.25">
      <c r="R3323">
        <v>3484042.0403535739</v>
      </c>
      <c r="S3323">
        <v>0</v>
      </c>
    </row>
    <row r="3324" spans="18:19" x14ac:dyDescent="0.25">
      <c r="R3324">
        <v>3484067.7028544466</v>
      </c>
      <c r="S3324">
        <v>0</v>
      </c>
    </row>
    <row r="3325" spans="18:19" x14ac:dyDescent="0.25">
      <c r="R3325">
        <v>3484093.3653553189</v>
      </c>
      <c r="S3325">
        <v>0</v>
      </c>
    </row>
    <row r="3326" spans="18:19" x14ac:dyDescent="0.25">
      <c r="R3326">
        <v>3484119.0278561912</v>
      </c>
      <c r="S3326">
        <v>0</v>
      </c>
    </row>
    <row r="3327" spans="18:19" x14ac:dyDescent="0.25">
      <c r="R3327">
        <v>3484144.6903570634</v>
      </c>
      <c r="S3327">
        <v>0</v>
      </c>
    </row>
    <row r="3328" spans="18:19" x14ac:dyDescent="0.25">
      <c r="R3328">
        <v>3484170.3528579357</v>
      </c>
      <c r="S3328">
        <v>0</v>
      </c>
    </row>
    <row r="3329" spans="18:19" x14ac:dyDescent="0.25">
      <c r="R3329">
        <v>3484196.0153588085</v>
      </c>
      <c r="S3329">
        <v>0</v>
      </c>
    </row>
    <row r="3330" spans="18:19" x14ac:dyDescent="0.25">
      <c r="R3330">
        <v>3484221.6778596807</v>
      </c>
      <c r="S3330">
        <v>0</v>
      </c>
    </row>
    <row r="3331" spans="18:19" x14ac:dyDescent="0.25">
      <c r="R3331">
        <v>3484247.340360553</v>
      </c>
      <c r="S3331">
        <v>0</v>
      </c>
    </row>
    <row r="3332" spans="18:19" x14ac:dyDescent="0.25">
      <c r="R3332">
        <v>3484273.0028614253</v>
      </c>
      <c r="S3332">
        <v>0</v>
      </c>
    </row>
    <row r="3333" spans="18:19" x14ac:dyDescent="0.25">
      <c r="R3333">
        <v>3484298.665362298</v>
      </c>
      <c r="S3333">
        <v>0</v>
      </c>
    </row>
    <row r="3334" spans="18:19" x14ac:dyDescent="0.25">
      <c r="R3334">
        <v>3484324.3278631703</v>
      </c>
      <c r="S3334">
        <v>0</v>
      </c>
    </row>
    <row r="3335" spans="18:19" x14ac:dyDescent="0.25">
      <c r="R3335">
        <v>3484349.9903640426</v>
      </c>
      <c r="S3335">
        <v>0</v>
      </c>
    </row>
    <row r="3336" spans="18:19" x14ac:dyDescent="0.25">
      <c r="R3336">
        <v>3484375.6528649149</v>
      </c>
      <c r="S3336">
        <v>0</v>
      </c>
    </row>
    <row r="3337" spans="18:19" x14ac:dyDescent="0.25">
      <c r="R3337">
        <v>3484401.3153657876</v>
      </c>
      <c r="S3337">
        <v>0</v>
      </c>
    </row>
    <row r="3338" spans="18:19" x14ac:dyDescent="0.25">
      <c r="R3338">
        <v>3484426.9778666599</v>
      </c>
      <c r="S3338">
        <v>0</v>
      </c>
    </row>
    <row r="3339" spans="18:19" x14ac:dyDescent="0.25">
      <c r="R3339">
        <v>3484452.6403675321</v>
      </c>
      <c r="S3339">
        <v>0</v>
      </c>
    </row>
    <row r="3340" spans="18:19" x14ac:dyDescent="0.25">
      <c r="R3340">
        <v>3484478.3028684044</v>
      </c>
      <c r="S3340">
        <v>0</v>
      </c>
    </row>
    <row r="3341" spans="18:19" x14ac:dyDescent="0.25">
      <c r="R3341">
        <v>3484503.9653692772</v>
      </c>
      <c r="S3341">
        <v>0</v>
      </c>
    </row>
    <row r="3342" spans="18:19" x14ac:dyDescent="0.25">
      <c r="R3342">
        <v>3484529.6278701494</v>
      </c>
      <c r="S3342">
        <v>0</v>
      </c>
    </row>
    <row r="3343" spans="18:19" x14ac:dyDescent="0.25">
      <c r="R3343">
        <v>3484555.2903710217</v>
      </c>
      <c r="S3343">
        <v>0</v>
      </c>
    </row>
    <row r="3344" spans="18:19" x14ac:dyDescent="0.25">
      <c r="R3344">
        <v>3484580.952871894</v>
      </c>
      <c r="S3344">
        <v>0</v>
      </c>
    </row>
    <row r="3345" spans="18:19" x14ac:dyDescent="0.25">
      <c r="R3345">
        <v>3484606.6153727663</v>
      </c>
      <c r="S3345">
        <v>0</v>
      </c>
    </row>
    <row r="3346" spans="18:19" x14ac:dyDescent="0.25">
      <c r="R3346">
        <v>3484632.277873639</v>
      </c>
      <c r="S3346">
        <v>0</v>
      </c>
    </row>
    <row r="3347" spans="18:19" x14ac:dyDescent="0.25">
      <c r="R3347">
        <v>3484657.9403745113</v>
      </c>
      <c r="S3347">
        <v>0</v>
      </c>
    </row>
    <row r="3348" spans="18:19" x14ac:dyDescent="0.25">
      <c r="R3348">
        <v>3484683.6028753836</v>
      </c>
      <c r="S3348">
        <v>0</v>
      </c>
    </row>
    <row r="3349" spans="18:19" x14ac:dyDescent="0.25">
      <c r="R3349">
        <v>3484709.2653762558</v>
      </c>
      <c r="S3349">
        <v>0</v>
      </c>
    </row>
    <row r="3350" spans="18:19" x14ac:dyDescent="0.25">
      <c r="R3350">
        <v>3484734.9278771286</v>
      </c>
      <c r="S3350">
        <v>0</v>
      </c>
    </row>
    <row r="3351" spans="18:19" x14ac:dyDescent="0.25">
      <c r="R3351">
        <v>3484760.5903780009</v>
      </c>
      <c r="S3351">
        <v>0</v>
      </c>
    </row>
    <row r="3352" spans="18:19" x14ac:dyDescent="0.25">
      <c r="R3352">
        <v>3484786.2528788731</v>
      </c>
      <c r="S3352">
        <v>0</v>
      </c>
    </row>
    <row r="3353" spans="18:19" x14ac:dyDescent="0.25">
      <c r="R3353">
        <v>3484811.9153797454</v>
      </c>
      <c r="S3353">
        <v>0</v>
      </c>
    </row>
    <row r="3354" spans="18:19" x14ac:dyDescent="0.25">
      <c r="R3354">
        <v>3484837.5778806182</v>
      </c>
      <c r="S3354">
        <v>0</v>
      </c>
    </row>
    <row r="3355" spans="18:19" x14ac:dyDescent="0.25">
      <c r="R3355">
        <v>3484863.2403814904</v>
      </c>
      <c r="S3355">
        <v>0</v>
      </c>
    </row>
    <row r="3356" spans="18:19" x14ac:dyDescent="0.25">
      <c r="R3356">
        <v>3484888.9028823627</v>
      </c>
      <c r="S3356">
        <v>0</v>
      </c>
    </row>
    <row r="3357" spans="18:19" x14ac:dyDescent="0.25">
      <c r="R3357">
        <v>3484914.565383235</v>
      </c>
      <c r="S3357">
        <v>0</v>
      </c>
    </row>
    <row r="3358" spans="18:19" x14ac:dyDescent="0.25">
      <c r="R3358">
        <v>3484940.2278841073</v>
      </c>
      <c r="S3358">
        <v>0</v>
      </c>
    </row>
    <row r="3359" spans="18:19" x14ac:dyDescent="0.25">
      <c r="R3359">
        <v>3484965.89038498</v>
      </c>
      <c r="S3359">
        <v>0</v>
      </c>
    </row>
    <row r="3360" spans="18:19" x14ac:dyDescent="0.25">
      <c r="R3360">
        <v>3484991.5528858523</v>
      </c>
      <c r="S3360">
        <v>0</v>
      </c>
    </row>
    <row r="3361" spans="18:19" x14ac:dyDescent="0.25">
      <c r="R3361">
        <v>3485017.2153867246</v>
      </c>
      <c r="S3361">
        <v>0</v>
      </c>
    </row>
    <row r="3362" spans="18:19" x14ac:dyDescent="0.25">
      <c r="R3362">
        <v>3485042.8778875968</v>
      </c>
      <c r="S3362">
        <v>0</v>
      </c>
    </row>
    <row r="3363" spans="18:19" x14ac:dyDescent="0.25">
      <c r="R3363">
        <v>3485068.5403884696</v>
      </c>
      <c r="S3363">
        <v>0</v>
      </c>
    </row>
    <row r="3364" spans="18:19" x14ac:dyDescent="0.25">
      <c r="R3364">
        <v>3485094.2028893419</v>
      </c>
      <c r="S3364">
        <v>0</v>
      </c>
    </row>
    <row r="3365" spans="18:19" x14ac:dyDescent="0.25">
      <c r="R3365">
        <v>3485119.8653902141</v>
      </c>
      <c r="S3365">
        <v>0</v>
      </c>
    </row>
    <row r="3366" spans="18:19" x14ac:dyDescent="0.25">
      <c r="R3366">
        <v>3485145.5278910864</v>
      </c>
      <c r="S3366">
        <v>0</v>
      </c>
    </row>
    <row r="3367" spans="18:19" x14ac:dyDescent="0.25">
      <c r="R3367">
        <v>3485171.1903919592</v>
      </c>
      <c r="S3367">
        <v>0</v>
      </c>
    </row>
    <row r="3368" spans="18:19" x14ac:dyDescent="0.25">
      <c r="R3368">
        <v>3485196.8528928314</v>
      </c>
      <c r="S3368">
        <v>0</v>
      </c>
    </row>
    <row r="3369" spans="18:19" x14ac:dyDescent="0.25">
      <c r="R3369">
        <v>3485222.5153937037</v>
      </c>
      <c r="S3369">
        <v>0</v>
      </c>
    </row>
    <row r="3370" spans="18:19" x14ac:dyDescent="0.25">
      <c r="R3370">
        <v>3485248.177894576</v>
      </c>
      <c r="S3370">
        <v>0</v>
      </c>
    </row>
    <row r="3371" spans="18:19" x14ac:dyDescent="0.25">
      <c r="R3371">
        <v>3485273.8403954487</v>
      </c>
      <c r="S3371">
        <v>0</v>
      </c>
    </row>
    <row r="3372" spans="18:19" x14ac:dyDescent="0.25">
      <c r="R3372">
        <v>3485299.502896321</v>
      </c>
      <c r="S3372">
        <v>0</v>
      </c>
    </row>
    <row r="3373" spans="18:19" x14ac:dyDescent="0.25">
      <c r="R3373">
        <v>3485325.1653971933</v>
      </c>
      <c r="S3373">
        <v>0</v>
      </c>
    </row>
    <row r="3374" spans="18:19" x14ac:dyDescent="0.25">
      <c r="R3374">
        <v>3485350.8278980656</v>
      </c>
      <c r="S3374">
        <v>0</v>
      </c>
    </row>
    <row r="3375" spans="18:19" x14ac:dyDescent="0.25">
      <c r="R3375">
        <v>3485376.4903989378</v>
      </c>
      <c r="S3375">
        <v>0</v>
      </c>
    </row>
    <row r="3376" spans="18:19" x14ac:dyDescent="0.25">
      <c r="R3376">
        <v>3485402.1528998106</v>
      </c>
      <c r="S3376">
        <v>0</v>
      </c>
    </row>
    <row r="3377" spans="18:19" x14ac:dyDescent="0.25">
      <c r="R3377">
        <v>3485427.8154006829</v>
      </c>
      <c r="S3377">
        <v>0</v>
      </c>
    </row>
    <row r="3378" spans="18:19" x14ac:dyDescent="0.25">
      <c r="R3378">
        <v>3485453.4779015551</v>
      </c>
      <c r="S3378">
        <v>0</v>
      </c>
    </row>
    <row r="3379" spans="18:19" x14ac:dyDescent="0.25">
      <c r="R3379">
        <v>3485479.1404024274</v>
      </c>
      <c r="S3379">
        <v>0</v>
      </c>
    </row>
    <row r="3380" spans="18:19" x14ac:dyDescent="0.25">
      <c r="R3380">
        <v>3485504.8029033002</v>
      </c>
      <c r="S3380">
        <v>0</v>
      </c>
    </row>
    <row r="3381" spans="18:19" x14ac:dyDescent="0.25">
      <c r="R3381">
        <v>3485530.4654041724</v>
      </c>
      <c r="S3381">
        <v>0</v>
      </c>
    </row>
    <row r="3382" spans="18:19" x14ac:dyDescent="0.25">
      <c r="R3382">
        <v>3485556.1279050447</v>
      </c>
      <c r="S3382">
        <v>0</v>
      </c>
    </row>
    <row r="3383" spans="18:19" x14ac:dyDescent="0.25">
      <c r="R3383">
        <v>3485581.790405917</v>
      </c>
      <c r="S3383">
        <v>0</v>
      </c>
    </row>
    <row r="3384" spans="18:19" x14ac:dyDescent="0.25">
      <c r="R3384">
        <v>3485607.4529067897</v>
      </c>
      <c r="S3384">
        <v>0</v>
      </c>
    </row>
    <row r="3385" spans="18:19" x14ac:dyDescent="0.25">
      <c r="R3385">
        <v>3485633.115407662</v>
      </c>
      <c r="S3385">
        <v>0</v>
      </c>
    </row>
    <row r="3386" spans="18:19" x14ac:dyDescent="0.25">
      <c r="R3386">
        <v>3485658.7779085343</v>
      </c>
      <c r="S3386">
        <v>0</v>
      </c>
    </row>
    <row r="3387" spans="18:19" x14ac:dyDescent="0.25">
      <c r="R3387">
        <v>3485684.4404094066</v>
      </c>
      <c r="S3387">
        <v>0</v>
      </c>
    </row>
    <row r="3388" spans="18:19" x14ac:dyDescent="0.25">
      <c r="R3388">
        <v>3485710.1029102793</v>
      </c>
      <c r="S3388">
        <v>0</v>
      </c>
    </row>
    <row r="3389" spans="18:19" x14ac:dyDescent="0.25">
      <c r="R3389">
        <v>3485735.7654111516</v>
      </c>
      <c r="S3389">
        <v>0</v>
      </c>
    </row>
    <row r="3390" spans="18:19" x14ac:dyDescent="0.25">
      <c r="R3390">
        <v>3485761.4279120238</v>
      </c>
      <c r="S3390">
        <v>0</v>
      </c>
    </row>
    <row r="3391" spans="18:19" x14ac:dyDescent="0.25">
      <c r="R3391">
        <v>3485787.0904128961</v>
      </c>
      <c r="S3391">
        <v>0</v>
      </c>
    </row>
    <row r="3392" spans="18:19" x14ac:dyDescent="0.25">
      <c r="R3392">
        <v>3485812.7529137684</v>
      </c>
      <c r="S3392">
        <v>0</v>
      </c>
    </row>
    <row r="3393" spans="18:19" x14ac:dyDescent="0.25">
      <c r="R3393">
        <v>3485838.4154146411</v>
      </c>
      <c r="S3393">
        <v>0</v>
      </c>
    </row>
    <row r="3394" spans="18:19" x14ac:dyDescent="0.25">
      <c r="R3394">
        <v>3485864.0779155134</v>
      </c>
      <c r="S3394">
        <v>0</v>
      </c>
    </row>
    <row r="3395" spans="18:19" x14ac:dyDescent="0.25">
      <c r="R3395">
        <v>3485889.7404163857</v>
      </c>
      <c r="S3395">
        <v>0</v>
      </c>
    </row>
    <row r="3396" spans="18:19" x14ac:dyDescent="0.25">
      <c r="R3396">
        <v>3485915.402917258</v>
      </c>
      <c r="S3396">
        <v>0</v>
      </c>
    </row>
    <row r="3397" spans="18:19" x14ac:dyDescent="0.25">
      <c r="R3397">
        <v>3485941.0654181307</v>
      </c>
      <c r="S3397">
        <v>0</v>
      </c>
    </row>
    <row r="3398" spans="18:19" x14ac:dyDescent="0.25">
      <c r="R3398">
        <v>3485966.727919003</v>
      </c>
      <c r="S3398">
        <v>0</v>
      </c>
    </row>
    <row r="3399" spans="18:19" x14ac:dyDescent="0.25">
      <c r="R3399">
        <v>3485992.3904198753</v>
      </c>
      <c r="S3399">
        <v>0</v>
      </c>
    </row>
    <row r="3400" spans="18:19" x14ac:dyDescent="0.25">
      <c r="R3400">
        <v>3486018.0529207475</v>
      </c>
      <c r="S3400">
        <v>0</v>
      </c>
    </row>
    <row r="3401" spans="18:19" x14ac:dyDescent="0.25">
      <c r="R3401">
        <v>3486043.7154216203</v>
      </c>
      <c r="S3401">
        <v>0</v>
      </c>
    </row>
    <row r="3402" spans="18:19" x14ac:dyDescent="0.25">
      <c r="R3402">
        <v>3486069.3779224926</v>
      </c>
      <c r="S3402">
        <v>0</v>
      </c>
    </row>
    <row r="3403" spans="18:19" x14ac:dyDescent="0.25">
      <c r="R3403">
        <v>3486095.0404233648</v>
      </c>
      <c r="S3403">
        <v>0</v>
      </c>
    </row>
    <row r="3404" spans="18:19" x14ac:dyDescent="0.25">
      <c r="R3404">
        <v>3486120.7029242371</v>
      </c>
      <c r="S3404">
        <v>0</v>
      </c>
    </row>
    <row r="3405" spans="18:19" x14ac:dyDescent="0.25">
      <c r="R3405">
        <v>3486146.3654251099</v>
      </c>
      <c r="S3405">
        <v>0</v>
      </c>
    </row>
    <row r="3406" spans="18:19" x14ac:dyDescent="0.25">
      <c r="R3406">
        <v>3486172.0279259821</v>
      </c>
      <c r="S3406">
        <v>0</v>
      </c>
    </row>
    <row r="3407" spans="18:19" x14ac:dyDescent="0.25">
      <c r="R3407">
        <v>3486197.6904268544</v>
      </c>
      <c r="S3407">
        <v>0</v>
      </c>
    </row>
    <row r="3408" spans="18:19" x14ac:dyDescent="0.25">
      <c r="R3408">
        <v>3486223.3529277267</v>
      </c>
      <c r="S3408">
        <v>0</v>
      </c>
    </row>
    <row r="3409" spans="18:19" x14ac:dyDescent="0.25">
      <c r="R3409">
        <v>3486249.015428599</v>
      </c>
      <c r="S3409">
        <v>0</v>
      </c>
    </row>
    <row r="3410" spans="18:19" x14ac:dyDescent="0.25">
      <c r="R3410">
        <v>3486274.6779294717</v>
      </c>
      <c r="S3410">
        <v>0</v>
      </c>
    </row>
    <row r="3411" spans="18:19" x14ac:dyDescent="0.25">
      <c r="R3411">
        <v>3486300.340430344</v>
      </c>
      <c r="S3411">
        <v>0</v>
      </c>
    </row>
    <row r="3412" spans="18:19" x14ac:dyDescent="0.25">
      <c r="R3412">
        <v>3486326.0029312163</v>
      </c>
      <c r="S3412">
        <v>0</v>
      </c>
    </row>
    <row r="3413" spans="18:19" x14ac:dyDescent="0.25">
      <c r="R3413">
        <v>3486351.6654320885</v>
      </c>
      <c r="S3413">
        <v>0</v>
      </c>
    </row>
    <row r="3414" spans="18:19" x14ac:dyDescent="0.25">
      <c r="R3414">
        <v>3486377.3279329613</v>
      </c>
      <c r="S3414">
        <v>0</v>
      </c>
    </row>
    <row r="3415" spans="18:19" x14ac:dyDescent="0.25">
      <c r="R3415">
        <v>3486402.9904338336</v>
      </c>
      <c r="S3415">
        <v>0</v>
      </c>
    </row>
    <row r="3416" spans="18:19" x14ac:dyDescent="0.25">
      <c r="R3416">
        <v>3486428.6529347058</v>
      </c>
      <c r="S3416">
        <v>0</v>
      </c>
    </row>
    <row r="3417" spans="18:19" x14ac:dyDescent="0.25">
      <c r="R3417">
        <v>3486454.3154355781</v>
      </c>
      <c r="S3417">
        <v>0</v>
      </c>
    </row>
    <row r="3418" spans="18:19" x14ac:dyDescent="0.25">
      <c r="R3418">
        <v>3486479.9779364509</v>
      </c>
      <c r="S3418">
        <v>0</v>
      </c>
    </row>
    <row r="3419" spans="18:19" x14ac:dyDescent="0.25">
      <c r="R3419">
        <v>3486505.6404373231</v>
      </c>
      <c r="S3419">
        <v>0</v>
      </c>
    </row>
    <row r="3420" spans="18:19" x14ac:dyDescent="0.25">
      <c r="R3420">
        <v>3486531.3029381954</v>
      </c>
      <c r="S3420">
        <v>0</v>
      </c>
    </row>
    <row r="3421" spans="18:19" x14ac:dyDescent="0.25">
      <c r="R3421">
        <v>3486556.9654390677</v>
      </c>
      <c r="S3421">
        <v>0</v>
      </c>
    </row>
    <row r="3422" spans="18:19" x14ac:dyDescent="0.25">
      <c r="R3422">
        <v>3486582.62793994</v>
      </c>
      <c r="S3422">
        <v>0</v>
      </c>
    </row>
    <row r="3423" spans="18:19" x14ac:dyDescent="0.25">
      <c r="R3423">
        <v>3486608.2904408127</v>
      </c>
      <c r="S3423">
        <v>0</v>
      </c>
    </row>
    <row r="3424" spans="18:19" x14ac:dyDescent="0.25">
      <c r="R3424">
        <v>3486633.952941685</v>
      </c>
      <c r="S3424">
        <v>0</v>
      </c>
    </row>
    <row r="3425" spans="18:19" x14ac:dyDescent="0.25">
      <c r="R3425">
        <v>3486659.6154425573</v>
      </c>
      <c r="S3425">
        <v>0</v>
      </c>
    </row>
    <row r="3426" spans="18:19" x14ac:dyDescent="0.25">
      <c r="R3426">
        <v>3486685.2779434295</v>
      </c>
      <c r="S3426">
        <v>0</v>
      </c>
    </row>
    <row r="3427" spans="18:19" x14ac:dyDescent="0.25">
      <c r="R3427">
        <v>3486710.9404443023</v>
      </c>
      <c r="S3427">
        <v>0</v>
      </c>
    </row>
    <row r="3428" spans="18:19" x14ac:dyDescent="0.25">
      <c r="R3428">
        <v>3486736.6029451746</v>
      </c>
      <c r="S3428">
        <v>0</v>
      </c>
    </row>
    <row r="3429" spans="18:19" x14ac:dyDescent="0.25">
      <c r="R3429">
        <v>3486762.2654460468</v>
      </c>
      <c r="S3429">
        <v>0</v>
      </c>
    </row>
    <row r="3430" spans="18:19" x14ac:dyDescent="0.25">
      <c r="R3430">
        <v>3486787.9279469191</v>
      </c>
      <c r="S3430">
        <v>0</v>
      </c>
    </row>
    <row r="3431" spans="18:19" x14ac:dyDescent="0.25">
      <c r="R3431">
        <v>3486813.5904477919</v>
      </c>
      <c r="S3431">
        <v>0</v>
      </c>
    </row>
    <row r="3432" spans="18:19" x14ac:dyDescent="0.25">
      <c r="R3432">
        <v>3486839.2529486641</v>
      </c>
      <c r="S3432">
        <v>0</v>
      </c>
    </row>
    <row r="3433" spans="18:19" x14ac:dyDescent="0.25">
      <c r="R3433">
        <v>3486864.9154495364</v>
      </c>
      <c r="S3433">
        <v>0</v>
      </c>
    </row>
    <row r="3434" spans="18:19" x14ac:dyDescent="0.25">
      <c r="R3434">
        <v>3486890.5779504087</v>
      </c>
      <c r="S3434">
        <v>0</v>
      </c>
    </row>
    <row r="3435" spans="18:19" x14ac:dyDescent="0.25">
      <c r="R3435">
        <v>3486916.2404512814</v>
      </c>
      <c r="S3435">
        <v>0</v>
      </c>
    </row>
    <row r="3436" spans="18:19" x14ac:dyDescent="0.25">
      <c r="R3436">
        <v>3486941.9029521537</v>
      </c>
      <c r="S3436">
        <v>0</v>
      </c>
    </row>
    <row r="3437" spans="18:19" x14ac:dyDescent="0.25">
      <c r="R3437">
        <v>3486967.565453026</v>
      </c>
      <c r="S3437">
        <v>0</v>
      </c>
    </row>
    <row r="3438" spans="18:19" x14ac:dyDescent="0.25">
      <c r="R3438">
        <v>3486993.2279538983</v>
      </c>
      <c r="S3438">
        <v>0</v>
      </c>
    </row>
    <row r="3439" spans="18:19" x14ac:dyDescent="0.25">
      <c r="R3439">
        <v>3487018.8904547705</v>
      </c>
      <c r="S3439">
        <v>0</v>
      </c>
    </row>
    <row r="3440" spans="18:19" x14ac:dyDescent="0.25">
      <c r="R3440">
        <v>3487044.5529556433</v>
      </c>
      <c r="S3440">
        <v>0</v>
      </c>
    </row>
    <row r="3441" spans="18:19" x14ac:dyDescent="0.25">
      <c r="R3441">
        <v>3487070.2154565156</v>
      </c>
      <c r="S3441">
        <v>0</v>
      </c>
    </row>
    <row r="3442" spans="18:19" x14ac:dyDescent="0.25">
      <c r="R3442">
        <v>3487095.8779573878</v>
      </c>
      <c r="S3442">
        <v>0</v>
      </c>
    </row>
    <row r="3443" spans="18:19" x14ac:dyDescent="0.25">
      <c r="R3443">
        <v>3487121.5404582601</v>
      </c>
      <c r="S3443">
        <v>0</v>
      </c>
    </row>
    <row r="3444" spans="18:19" x14ac:dyDescent="0.25">
      <c r="R3444">
        <v>3487147.2029591328</v>
      </c>
      <c r="S3444">
        <v>0</v>
      </c>
    </row>
    <row r="3445" spans="18:19" x14ac:dyDescent="0.25">
      <c r="R3445">
        <v>3487172.8654600051</v>
      </c>
      <c r="S3445">
        <v>0</v>
      </c>
    </row>
    <row r="3446" spans="18:19" x14ac:dyDescent="0.25">
      <c r="R3446">
        <v>3487198.5279608774</v>
      </c>
      <c r="S3446">
        <v>0</v>
      </c>
    </row>
    <row r="3447" spans="18:19" x14ac:dyDescent="0.25">
      <c r="R3447">
        <v>3487224.1904617497</v>
      </c>
      <c r="S3447">
        <v>0</v>
      </c>
    </row>
    <row r="3448" spans="18:19" x14ac:dyDescent="0.25">
      <c r="R3448">
        <v>3487249.8529626224</v>
      </c>
      <c r="S3448">
        <v>0</v>
      </c>
    </row>
    <row r="3449" spans="18:19" x14ac:dyDescent="0.25">
      <c r="R3449">
        <v>3487275.5154634947</v>
      </c>
      <c r="S3449">
        <v>0</v>
      </c>
    </row>
    <row r="3450" spans="18:19" x14ac:dyDescent="0.25">
      <c r="R3450">
        <v>3487301.177964367</v>
      </c>
      <c r="S3450">
        <v>0</v>
      </c>
    </row>
    <row r="3451" spans="18:19" x14ac:dyDescent="0.25">
      <c r="R3451">
        <v>3487326.8404652392</v>
      </c>
      <c r="S3451">
        <v>0</v>
      </c>
    </row>
    <row r="3452" spans="18:19" x14ac:dyDescent="0.25">
      <c r="R3452">
        <v>3487352.502966112</v>
      </c>
      <c r="S3452">
        <v>0</v>
      </c>
    </row>
    <row r="3453" spans="18:19" x14ac:dyDescent="0.25">
      <c r="R3453">
        <v>3487378.1654669843</v>
      </c>
      <c r="S3453">
        <v>0</v>
      </c>
    </row>
    <row r="3454" spans="18:19" x14ac:dyDescent="0.25">
      <c r="R3454">
        <v>3487403.8279678565</v>
      </c>
      <c r="S3454">
        <v>0</v>
      </c>
    </row>
    <row r="3455" spans="18:19" x14ac:dyDescent="0.25">
      <c r="R3455">
        <v>3487429.4904687288</v>
      </c>
      <c r="S3455">
        <v>0</v>
      </c>
    </row>
    <row r="3456" spans="18:19" x14ac:dyDescent="0.25">
      <c r="R3456">
        <v>3487455.1529696011</v>
      </c>
      <c r="S3456">
        <v>0</v>
      </c>
    </row>
    <row r="3457" spans="18:19" x14ac:dyDescent="0.25">
      <c r="R3457">
        <v>3487480.8154704738</v>
      </c>
      <c r="S3457">
        <v>0</v>
      </c>
    </row>
    <row r="3458" spans="18:19" x14ac:dyDescent="0.25">
      <c r="R3458">
        <v>3487506.4779713461</v>
      </c>
      <c r="S3458">
        <v>0</v>
      </c>
    </row>
    <row r="3459" spans="18:19" x14ac:dyDescent="0.25">
      <c r="R3459">
        <v>3487532.1404722184</v>
      </c>
      <c r="S3459">
        <v>0</v>
      </c>
    </row>
    <row r="3460" spans="18:19" x14ac:dyDescent="0.25">
      <c r="R3460">
        <v>3487557.8029730907</v>
      </c>
      <c r="S3460">
        <v>0</v>
      </c>
    </row>
    <row r="3461" spans="18:19" x14ac:dyDescent="0.25">
      <c r="R3461">
        <v>3487583.4654739634</v>
      </c>
      <c r="S3461">
        <v>0</v>
      </c>
    </row>
    <row r="3462" spans="18:19" x14ac:dyDescent="0.25">
      <c r="R3462">
        <v>3487609.1279748357</v>
      </c>
      <c r="S3462">
        <v>0</v>
      </c>
    </row>
    <row r="3463" spans="18:19" x14ac:dyDescent="0.25">
      <c r="R3463">
        <v>3487634.790475708</v>
      </c>
      <c r="S3463">
        <v>0</v>
      </c>
    </row>
    <row r="3464" spans="18:19" x14ac:dyDescent="0.25">
      <c r="R3464">
        <v>3487660.4529765802</v>
      </c>
      <c r="S3464">
        <v>0</v>
      </c>
    </row>
    <row r="3465" spans="18:19" x14ac:dyDescent="0.25">
      <c r="R3465">
        <v>3487686.115477453</v>
      </c>
      <c r="S3465">
        <v>0</v>
      </c>
    </row>
    <row r="3466" spans="18:19" x14ac:dyDescent="0.25">
      <c r="R3466">
        <v>3487711.7779783253</v>
      </c>
      <c r="S3466">
        <v>0</v>
      </c>
    </row>
    <row r="3467" spans="18:19" x14ac:dyDescent="0.25">
      <c r="R3467">
        <v>3487737.4404791975</v>
      </c>
      <c r="S3467">
        <v>0</v>
      </c>
    </row>
    <row r="3468" spans="18:19" x14ac:dyDescent="0.25">
      <c r="R3468">
        <v>3487763.1029800698</v>
      </c>
      <c r="S3468">
        <v>0</v>
      </c>
    </row>
    <row r="3469" spans="18:19" x14ac:dyDescent="0.25">
      <c r="R3469">
        <v>3487788.7654809426</v>
      </c>
      <c r="S3469">
        <v>0</v>
      </c>
    </row>
    <row r="3470" spans="18:19" x14ac:dyDescent="0.25">
      <c r="R3470">
        <v>3487814.4279818148</v>
      </c>
      <c r="S3470">
        <v>0</v>
      </c>
    </row>
    <row r="3471" spans="18:19" x14ac:dyDescent="0.25">
      <c r="R3471">
        <v>3487840.0904826871</v>
      </c>
      <c r="S3471">
        <v>0</v>
      </c>
    </row>
    <row r="3472" spans="18:19" x14ac:dyDescent="0.25">
      <c r="R3472">
        <v>3487865.7529835594</v>
      </c>
      <c r="S3472">
        <v>0</v>
      </c>
    </row>
    <row r="3473" spans="18:19" x14ac:dyDescent="0.25">
      <c r="R3473">
        <v>3487891.4154844317</v>
      </c>
      <c r="S3473">
        <v>0</v>
      </c>
    </row>
    <row r="3474" spans="18:19" x14ac:dyDescent="0.25">
      <c r="R3474">
        <v>3487917.0779853044</v>
      </c>
      <c r="S3474">
        <v>0</v>
      </c>
    </row>
    <row r="3475" spans="18:19" x14ac:dyDescent="0.25">
      <c r="R3475">
        <v>3487942.7404861767</v>
      </c>
      <c r="S3475">
        <v>0</v>
      </c>
    </row>
    <row r="3476" spans="18:19" x14ac:dyDescent="0.25">
      <c r="R3476">
        <v>3487968.402987049</v>
      </c>
      <c r="S3476">
        <v>0</v>
      </c>
    </row>
    <row r="3477" spans="18:19" x14ac:dyDescent="0.25">
      <c r="R3477">
        <v>3487994.0654879212</v>
      </c>
      <c r="S3477">
        <v>0</v>
      </c>
    </row>
    <row r="3478" spans="18:19" x14ac:dyDescent="0.25">
      <c r="R3478">
        <v>3488019.727988794</v>
      </c>
      <c r="S3478">
        <v>0</v>
      </c>
    </row>
    <row r="3479" spans="18:19" x14ac:dyDescent="0.25">
      <c r="R3479">
        <v>3488045.3904896663</v>
      </c>
      <c r="S3479">
        <v>0</v>
      </c>
    </row>
    <row r="3480" spans="18:19" x14ac:dyDescent="0.25">
      <c r="R3480">
        <v>3488071.0529905385</v>
      </c>
      <c r="S3480">
        <v>0</v>
      </c>
    </row>
    <row r="3481" spans="18:19" x14ac:dyDescent="0.25">
      <c r="R3481">
        <v>3488096.7154914108</v>
      </c>
      <c r="S3481">
        <v>0</v>
      </c>
    </row>
    <row r="3482" spans="18:19" x14ac:dyDescent="0.25">
      <c r="R3482">
        <v>3488122.3779922836</v>
      </c>
      <c r="S3482">
        <v>0</v>
      </c>
    </row>
    <row r="3483" spans="18:19" x14ac:dyDescent="0.25">
      <c r="R3483">
        <v>3488148.0404931558</v>
      </c>
      <c r="S3483">
        <v>0</v>
      </c>
    </row>
    <row r="3484" spans="18:19" x14ac:dyDescent="0.25">
      <c r="R3484">
        <v>3488173.7029940281</v>
      </c>
      <c r="S3484">
        <v>0</v>
      </c>
    </row>
    <row r="3485" spans="18:19" x14ac:dyDescent="0.25">
      <c r="R3485">
        <v>3488199.3654949004</v>
      </c>
      <c r="S3485">
        <v>0</v>
      </c>
    </row>
    <row r="3486" spans="18:19" x14ac:dyDescent="0.25">
      <c r="R3486">
        <v>3488225.0279957727</v>
      </c>
      <c r="S3486">
        <v>0</v>
      </c>
    </row>
    <row r="3487" spans="18:19" x14ac:dyDescent="0.25">
      <c r="R3487">
        <v>3488250.6904966454</v>
      </c>
      <c r="S3487">
        <v>0</v>
      </c>
    </row>
    <row r="3488" spans="18:19" x14ac:dyDescent="0.25">
      <c r="R3488">
        <v>3488276.3529975177</v>
      </c>
      <c r="S3488">
        <v>0</v>
      </c>
    </row>
    <row r="3489" spans="18:19" x14ac:dyDescent="0.25">
      <c r="R3489">
        <v>3488302.01549839</v>
      </c>
      <c r="S3489">
        <v>0</v>
      </c>
    </row>
    <row r="3490" spans="18:19" x14ac:dyDescent="0.25">
      <c r="R3490">
        <v>3488327.6779992622</v>
      </c>
      <c r="S3490">
        <v>0</v>
      </c>
    </row>
    <row r="3491" spans="18:19" x14ac:dyDescent="0.25">
      <c r="R3491">
        <v>3488353.340500135</v>
      </c>
      <c r="S3491">
        <v>0</v>
      </c>
    </row>
    <row r="3492" spans="18:19" x14ac:dyDescent="0.25">
      <c r="R3492">
        <v>3488379.0030010073</v>
      </c>
      <c r="S3492">
        <v>0</v>
      </c>
    </row>
    <row r="3493" spans="18:19" x14ac:dyDescent="0.25">
      <c r="R3493">
        <v>3488404.6655018795</v>
      </c>
      <c r="S3493">
        <v>0</v>
      </c>
    </row>
    <row r="3494" spans="18:19" x14ac:dyDescent="0.25">
      <c r="R3494">
        <v>3488430.3280027518</v>
      </c>
      <c r="S3494">
        <v>0</v>
      </c>
    </row>
    <row r="3495" spans="18:19" x14ac:dyDescent="0.25">
      <c r="R3495">
        <v>3488455.9905036245</v>
      </c>
      <c r="S3495">
        <v>0</v>
      </c>
    </row>
    <row r="3496" spans="18:19" x14ac:dyDescent="0.25">
      <c r="R3496">
        <v>3488481.6530044968</v>
      </c>
      <c r="S3496">
        <v>0</v>
      </c>
    </row>
    <row r="3497" spans="18:19" x14ac:dyDescent="0.25">
      <c r="R3497">
        <v>3488507.3155053691</v>
      </c>
      <c r="S3497">
        <v>0</v>
      </c>
    </row>
    <row r="3498" spans="18:19" x14ac:dyDescent="0.25">
      <c r="R3498">
        <v>3488532.9780062414</v>
      </c>
      <c r="S3498">
        <v>0</v>
      </c>
    </row>
    <row r="3499" spans="18:19" x14ac:dyDescent="0.25">
      <c r="R3499">
        <v>3488558.6405071141</v>
      </c>
      <c r="S3499">
        <v>0</v>
      </c>
    </row>
    <row r="3500" spans="18:19" x14ac:dyDescent="0.25">
      <c r="R3500">
        <v>3488584.3030079864</v>
      </c>
      <c r="S3500">
        <v>0</v>
      </c>
    </row>
    <row r="3501" spans="18:19" x14ac:dyDescent="0.25">
      <c r="R3501">
        <v>3488609.9655088587</v>
      </c>
      <c r="S3501">
        <v>0</v>
      </c>
    </row>
    <row r="3502" spans="18:19" x14ac:dyDescent="0.25">
      <c r="R3502">
        <v>3488635.6280097309</v>
      </c>
      <c r="S3502">
        <v>0</v>
      </c>
    </row>
    <row r="3503" spans="18:19" x14ac:dyDescent="0.25">
      <c r="R3503">
        <v>3488661.2905106032</v>
      </c>
      <c r="S3503">
        <v>0</v>
      </c>
    </row>
    <row r="3504" spans="18:19" x14ac:dyDescent="0.25">
      <c r="R3504">
        <v>3488686.953011476</v>
      </c>
      <c r="S3504">
        <v>0</v>
      </c>
    </row>
    <row r="3505" spans="18:19" x14ac:dyDescent="0.25">
      <c r="R3505">
        <v>3488712.6155123482</v>
      </c>
      <c r="S3505">
        <v>0</v>
      </c>
    </row>
    <row r="3506" spans="18:19" x14ac:dyDescent="0.25">
      <c r="R3506">
        <v>3488738.2780132205</v>
      </c>
      <c r="S3506">
        <v>0</v>
      </c>
    </row>
    <row r="3507" spans="18:19" x14ac:dyDescent="0.25">
      <c r="R3507">
        <v>3488763.9405140928</v>
      </c>
      <c r="S3507">
        <v>0</v>
      </c>
    </row>
    <row r="3508" spans="18:19" x14ac:dyDescent="0.25">
      <c r="R3508">
        <v>3488789.6030149655</v>
      </c>
      <c r="S3508">
        <v>0</v>
      </c>
    </row>
    <row r="3509" spans="18:19" x14ac:dyDescent="0.25">
      <c r="R3509">
        <v>3488815.2655158378</v>
      </c>
      <c r="S3509">
        <v>0</v>
      </c>
    </row>
    <row r="3510" spans="18:19" x14ac:dyDescent="0.25">
      <c r="R3510">
        <v>3488840.9280167101</v>
      </c>
      <c r="S3510">
        <v>0</v>
      </c>
    </row>
    <row r="3511" spans="18:19" x14ac:dyDescent="0.25">
      <c r="R3511">
        <v>3488866.5905175824</v>
      </c>
      <c r="S3511">
        <v>0</v>
      </c>
    </row>
    <row r="3512" spans="18:19" x14ac:dyDescent="0.25">
      <c r="R3512">
        <v>3488892.2530184551</v>
      </c>
      <c r="S3512">
        <v>0</v>
      </c>
    </row>
    <row r="3513" spans="18:19" x14ac:dyDescent="0.25">
      <c r="R3513">
        <v>3488917.9155193274</v>
      </c>
      <c r="S3513">
        <v>0</v>
      </c>
    </row>
    <row r="3514" spans="18:19" x14ac:dyDescent="0.25">
      <c r="R3514">
        <v>3488943.5780201997</v>
      </c>
      <c r="S3514">
        <v>0</v>
      </c>
    </row>
    <row r="3515" spans="18:19" x14ac:dyDescent="0.25">
      <c r="R3515">
        <v>3488969.2405210719</v>
      </c>
      <c r="S3515">
        <v>0</v>
      </c>
    </row>
    <row r="3516" spans="18:19" x14ac:dyDescent="0.25">
      <c r="R3516">
        <v>3488994.9030219447</v>
      </c>
      <c r="S3516">
        <v>0</v>
      </c>
    </row>
    <row r="3517" spans="18:19" x14ac:dyDescent="0.25">
      <c r="R3517">
        <v>3489020.565522817</v>
      </c>
      <c r="S3517">
        <v>0</v>
      </c>
    </row>
    <row r="3518" spans="18:19" x14ac:dyDescent="0.25">
      <c r="R3518">
        <v>3489046.2280236892</v>
      </c>
      <c r="S3518">
        <v>0</v>
      </c>
    </row>
    <row r="3519" spans="18:19" x14ac:dyDescent="0.25">
      <c r="R3519">
        <v>3489071.8905245615</v>
      </c>
      <c r="S3519">
        <v>0</v>
      </c>
    </row>
    <row r="3520" spans="18:19" x14ac:dyDescent="0.25">
      <c r="R3520">
        <v>3489097.5530254338</v>
      </c>
      <c r="S3520">
        <v>0</v>
      </c>
    </row>
    <row r="3521" spans="18:19" x14ac:dyDescent="0.25">
      <c r="R3521">
        <v>3489123.2155263065</v>
      </c>
      <c r="S3521">
        <v>0</v>
      </c>
    </row>
    <row r="3522" spans="18:19" x14ac:dyDescent="0.25">
      <c r="R3522">
        <v>3489148.8780271788</v>
      </c>
      <c r="S3522">
        <v>0</v>
      </c>
    </row>
    <row r="3523" spans="18:19" x14ac:dyDescent="0.25">
      <c r="R3523">
        <v>3489174.5405280511</v>
      </c>
      <c r="S3523">
        <v>0</v>
      </c>
    </row>
    <row r="3524" spans="18:19" x14ac:dyDescent="0.25">
      <c r="R3524">
        <v>3489200.2030289234</v>
      </c>
      <c r="S3524">
        <v>0</v>
      </c>
    </row>
    <row r="3525" spans="18:19" x14ac:dyDescent="0.25">
      <c r="R3525">
        <v>3489225.8655297961</v>
      </c>
      <c r="S3525">
        <v>0</v>
      </c>
    </row>
    <row r="3526" spans="18:19" x14ac:dyDescent="0.25">
      <c r="R3526">
        <v>3489251.5280306684</v>
      </c>
      <c r="S3526">
        <v>0</v>
      </c>
    </row>
    <row r="3527" spans="18:19" x14ac:dyDescent="0.25">
      <c r="R3527">
        <v>3489277.1905315407</v>
      </c>
      <c r="S3527">
        <v>0</v>
      </c>
    </row>
    <row r="3528" spans="18:19" x14ac:dyDescent="0.25">
      <c r="R3528">
        <v>3489302.8530324129</v>
      </c>
      <c r="S3528">
        <v>0</v>
      </c>
    </row>
    <row r="3529" spans="18:19" x14ac:dyDescent="0.25">
      <c r="R3529">
        <v>3489328.5155332857</v>
      </c>
      <c r="S3529">
        <v>0</v>
      </c>
    </row>
    <row r="3530" spans="18:19" x14ac:dyDescent="0.25">
      <c r="R3530">
        <v>3489354.178034158</v>
      </c>
      <c r="S3530">
        <v>0</v>
      </c>
    </row>
    <row r="3531" spans="18:19" x14ac:dyDescent="0.25">
      <c r="R3531">
        <v>3489379.8405350302</v>
      </c>
      <c r="S3531">
        <v>0</v>
      </c>
    </row>
    <row r="3532" spans="18:19" x14ac:dyDescent="0.25">
      <c r="R3532">
        <v>3489405.5030359025</v>
      </c>
      <c r="S3532">
        <v>0</v>
      </c>
    </row>
    <row r="3533" spans="18:19" x14ac:dyDescent="0.25">
      <c r="R3533">
        <v>3489431.1655367753</v>
      </c>
      <c r="S3533">
        <v>0</v>
      </c>
    </row>
    <row r="3534" spans="18:19" x14ac:dyDescent="0.25">
      <c r="R3534">
        <v>3489456.8280376475</v>
      </c>
      <c r="S3534">
        <v>0</v>
      </c>
    </row>
    <row r="3535" spans="18:19" x14ac:dyDescent="0.25">
      <c r="R3535">
        <v>3489482.4905385198</v>
      </c>
      <c r="S3535">
        <v>0</v>
      </c>
    </row>
    <row r="3536" spans="18:19" x14ac:dyDescent="0.25">
      <c r="R3536">
        <v>3489508.1530393921</v>
      </c>
      <c r="S3536">
        <v>0</v>
      </c>
    </row>
    <row r="3537" spans="18:19" x14ac:dyDescent="0.25">
      <c r="R3537">
        <v>3489533.8155402644</v>
      </c>
      <c r="S3537">
        <v>0</v>
      </c>
    </row>
    <row r="3538" spans="18:19" x14ac:dyDescent="0.25">
      <c r="R3538">
        <v>3489559.4780411371</v>
      </c>
      <c r="S3538">
        <v>0</v>
      </c>
    </row>
    <row r="3539" spans="18:19" x14ac:dyDescent="0.25">
      <c r="R3539">
        <v>3489585.1405420094</v>
      </c>
      <c r="S3539">
        <v>0</v>
      </c>
    </row>
    <row r="3540" spans="18:19" x14ac:dyDescent="0.25">
      <c r="R3540">
        <v>3489610.8030428817</v>
      </c>
      <c r="S3540">
        <v>0</v>
      </c>
    </row>
    <row r="3541" spans="18:19" x14ac:dyDescent="0.25">
      <c r="R3541">
        <v>3489636.4655437539</v>
      </c>
      <c r="S3541">
        <v>0</v>
      </c>
    </row>
    <row r="3542" spans="18:19" x14ac:dyDescent="0.25">
      <c r="R3542">
        <v>3489662.1280446267</v>
      </c>
      <c r="S3542">
        <v>0</v>
      </c>
    </row>
    <row r="3543" spans="18:19" x14ac:dyDescent="0.25">
      <c r="R3543">
        <v>3489687.790545499</v>
      </c>
      <c r="S3543">
        <v>0</v>
      </c>
    </row>
    <row r="3544" spans="18:19" x14ac:dyDescent="0.25">
      <c r="R3544">
        <v>3489713.4530463712</v>
      </c>
      <c r="S3544">
        <v>0</v>
      </c>
    </row>
    <row r="3545" spans="18:19" x14ac:dyDescent="0.25">
      <c r="R3545">
        <v>3489739.1155472435</v>
      </c>
      <c r="S3545">
        <v>0</v>
      </c>
    </row>
    <row r="3546" spans="18:19" x14ac:dyDescent="0.25">
      <c r="R3546">
        <v>3489764.7780481162</v>
      </c>
      <c r="S3546">
        <v>0</v>
      </c>
    </row>
    <row r="3547" spans="18:19" x14ac:dyDescent="0.25">
      <c r="R3547">
        <v>3489790.4405489885</v>
      </c>
      <c r="S3547">
        <v>0</v>
      </c>
    </row>
    <row r="3548" spans="18:19" x14ac:dyDescent="0.25">
      <c r="R3548">
        <v>3489816.1030498608</v>
      </c>
      <c r="S3548">
        <v>0</v>
      </c>
    </row>
    <row r="3549" spans="18:19" x14ac:dyDescent="0.25">
      <c r="R3549">
        <v>3489841.7655507331</v>
      </c>
      <c r="S3549">
        <v>0</v>
      </c>
    </row>
    <row r="3550" spans="18:19" x14ac:dyDescent="0.25">
      <c r="R3550">
        <v>3489867.4280516054</v>
      </c>
      <c r="S3550">
        <v>0</v>
      </c>
    </row>
    <row r="3551" spans="18:19" x14ac:dyDescent="0.25">
      <c r="R3551">
        <v>3489893.0905524781</v>
      </c>
      <c r="S3551">
        <v>0</v>
      </c>
    </row>
    <row r="3552" spans="18:19" x14ac:dyDescent="0.25">
      <c r="R3552">
        <v>3489918.7530533504</v>
      </c>
      <c r="S3552">
        <v>0</v>
      </c>
    </row>
    <row r="3553" spans="18:19" x14ac:dyDescent="0.25">
      <c r="R3553">
        <v>3489944.4155542227</v>
      </c>
      <c r="S3553">
        <v>0</v>
      </c>
    </row>
    <row r="3554" spans="18:19" x14ac:dyDescent="0.25">
      <c r="R3554">
        <v>3489970.0780550949</v>
      </c>
      <c r="S3554">
        <v>0</v>
      </c>
    </row>
    <row r="3555" spans="18:19" x14ac:dyDescent="0.25">
      <c r="R3555">
        <v>3489995.7405559677</v>
      </c>
      <c r="S3555">
        <v>0</v>
      </c>
    </row>
    <row r="3556" spans="18:19" x14ac:dyDescent="0.25">
      <c r="R3556">
        <v>3490021.4030568399</v>
      </c>
      <c r="S3556">
        <v>0</v>
      </c>
    </row>
    <row r="3557" spans="18:19" x14ac:dyDescent="0.25">
      <c r="R3557">
        <v>3490047.0655577122</v>
      </c>
      <c r="S3557">
        <v>0</v>
      </c>
    </row>
    <row r="3558" spans="18:19" x14ac:dyDescent="0.25">
      <c r="R3558">
        <v>3490072.7280585845</v>
      </c>
      <c r="S3558">
        <v>0</v>
      </c>
    </row>
    <row r="3559" spans="18:19" x14ac:dyDescent="0.25">
      <c r="R3559">
        <v>3490098.3905594572</v>
      </c>
      <c r="S3559">
        <v>0</v>
      </c>
    </row>
    <row r="3560" spans="18:19" x14ac:dyDescent="0.25">
      <c r="R3560">
        <v>3490124.0530603295</v>
      </c>
      <c r="S3560">
        <v>0</v>
      </c>
    </row>
    <row r="3561" spans="18:19" x14ac:dyDescent="0.25">
      <c r="R3561">
        <v>3490149.7155612018</v>
      </c>
      <c r="S3561">
        <v>0</v>
      </c>
    </row>
    <row r="3562" spans="18:19" x14ac:dyDescent="0.25">
      <c r="R3562">
        <v>3490175.3780620741</v>
      </c>
      <c r="S3562">
        <v>0</v>
      </c>
    </row>
    <row r="3563" spans="18:19" x14ac:dyDescent="0.25">
      <c r="R3563">
        <v>3490201.0405629468</v>
      </c>
      <c r="S3563">
        <v>0</v>
      </c>
    </row>
    <row r="3564" spans="18:19" x14ac:dyDescent="0.25">
      <c r="R3564">
        <v>3490226.7030638191</v>
      </c>
      <c r="S3564">
        <v>0</v>
      </c>
    </row>
    <row r="3565" spans="18:19" x14ac:dyDescent="0.25">
      <c r="R3565">
        <v>3490252.3655646914</v>
      </c>
      <c r="S3565">
        <v>0</v>
      </c>
    </row>
    <row r="3566" spans="18:19" x14ac:dyDescent="0.25">
      <c r="R3566">
        <v>3490278.0280655636</v>
      </c>
      <c r="S3566">
        <v>0</v>
      </c>
    </row>
    <row r="3567" spans="18:19" x14ac:dyDescent="0.25">
      <c r="R3567">
        <v>3490303.6905664359</v>
      </c>
      <c r="S3567">
        <v>0</v>
      </c>
    </row>
    <row r="3568" spans="18:19" x14ac:dyDescent="0.25">
      <c r="R3568">
        <v>3490329.3530673087</v>
      </c>
      <c r="S3568">
        <v>0</v>
      </c>
    </row>
    <row r="3569" spans="18:19" x14ac:dyDescent="0.25">
      <c r="R3569">
        <v>3490355.0155681809</v>
      </c>
      <c r="S3569">
        <v>0</v>
      </c>
    </row>
    <row r="3570" spans="18:19" x14ac:dyDescent="0.25">
      <c r="R3570">
        <v>3490380.6780690532</v>
      </c>
      <c r="S3570">
        <v>0</v>
      </c>
    </row>
    <row r="3571" spans="18:19" x14ac:dyDescent="0.25">
      <c r="R3571">
        <v>3490406.3405699255</v>
      </c>
      <c r="S3571">
        <v>0</v>
      </c>
    </row>
    <row r="3572" spans="18:19" x14ac:dyDescent="0.25">
      <c r="R3572">
        <v>3490432.0030707982</v>
      </c>
      <c r="S3572">
        <v>0</v>
      </c>
    </row>
    <row r="3573" spans="18:19" x14ac:dyDescent="0.25">
      <c r="R3573">
        <v>3490457.6655716705</v>
      </c>
      <c r="S3573">
        <v>0</v>
      </c>
    </row>
    <row r="3574" spans="18:19" x14ac:dyDescent="0.25">
      <c r="R3574">
        <v>3490483.3280725428</v>
      </c>
      <c r="S3574">
        <v>0</v>
      </c>
    </row>
    <row r="3575" spans="18:19" x14ac:dyDescent="0.25">
      <c r="R3575">
        <v>3490508.9905734151</v>
      </c>
      <c r="S3575">
        <v>0</v>
      </c>
    </row>
    <row r="3576" spans="18:19" x14ac:dyDescent="0.25">
      <c r="R3576">
        <v>3490534.6530742878</v>
      </c>
      <c r="S3576">
        <v>0</v>
      </c>
    </row>
    <row r="3577" spans="18:19" x14ac:dyDescent="0.25">
      <c r="R3577">
        <v>3490560.3155751601</v>
      </c>
      <c r="S3577">
        <v>0</v>
      </c>
    </row>
    <row r="3578" spans="18:19" x14ac:dyDescent="0.25">
      <c r="R3578">
        <v>3490585.9780760324</v>
      </c>
      <c r="S3578">
        <v>0</v>
      </c>
    </row>
    <row r="3579" spans="18:19" x14ac:dyDescent="0.25">
      <c r="R3579">
        <v>3490611.6405769046</v>
      </c>
      <c r="S3579">
        <v>0</v>
      </c>
    </row>
    <row r="3580" spans="18:19" x14ac:dyDescent="0.25">
      <c r="R3580">
        <v>3490637.3030777774</v>
      </c>
      <c r="S3580">
        <v>0</v>
      </c>
    </row>
    <row r="3581" spans="18:19" x14ac:dyDescent="0.25">
      <c r="R3581">
        <v>3490662.9655786497</v>
      </c>
      <c r="S3581">
        <v>0</v>
      </c>
    </row>
    <row r="3582" spans="18:19" x14ac:dyDescent="0.25">
      <c r="R3582">
        <v>3490688.6280795219</v>
      </c>
      <c r="S3582">
        <v>0</v>
      </c>
    </row>
    <row r="3583" spans="18:19" x14ac:dyDescent="0.25">
      <c r="R3583">
        <v>3490714.2905803942</v>
      </c>
      <c r="S3583">
        <v>0</v>
      </c>
    </row>
    <row r="3584" spans="18:19" x14ac:dyDescent="0.25">
      <c r="R3584">
        <v>3490739.9530812665</v>
      </c>
      <c r="S3584">
        <v>0</v>
      </c>
    </row>
    <row r="3585" spans="18:19" x14ac:dyDescent="0.25">
      <c r="R3585">
        <v>3490765.6155821392</v>
      </c>
      <c r="S3585">
        <v>0</v>
      </c>
    </row>
    <row r="3586" spans="18:19" x14ac:dyDescent="0.25">
      <c r="R3586">
        <v>3490791.2780830115</v>
      </c>
      <c r="S3586">
        <v>0</v>
      </c>
    </row>
    <row r="3587" spans="18:19" x14ac:dyDescent="0.25">
      <c r="R3587">
        <v>3490816.9405838838</v>
      </c>
      <c r="S3587">
        <v>0</v>
      </c>
    </row>
    <row r="3588" spans="18:19" x14ac:dyDescent="0.25">
      <c r="R3588">
        <v>3490842.6030847561</v>
      </c>
      <c r="S3588">
        <v>0</v>
      </c>
    </row>
    <row r="3589" spans="18:19" x14ac:dyDescent="0.25">
      <c r="R3589">
        <v>3490868.2655856288</v>
      </c>
      <c r="S3589">
        <v>0</v>
      </c>
    </row>
    <row r="3590" spans="18:19" x14ac:dyDescent="0.25">
      <c r="R3590">
        <v>3490893.9280865011</v>
      </c>
      <c r="S3590">
        <v>0</v>
      </c>
    </row>
    <row r="3591" spans="18:19" x14ac:dyDescent="0.25">
      <c r="R3591">
        <v>3490919.5905873734</v>
      </c>
      <c r="S3591">
        <v>0</v>
      </c>
    </row>
    <row r="3592" spans="18:19" x14ac:dyDescent="0.25">
      <c r="R3592">
        <v>3490945.2530882456</v>
      </c>
      <c r="S3592">
        <v>0</v>
      </c>
    </row>
    <row r="3593" spans="18:19" x14ac:dyDescent="0.25">
      <c r="R3593">
        <v>3490970.9155891184</v>
      </c>
      <c r="S3593">
        <v>0</v>
      </c>
    </row>
    <row r="3594" spans="18:19" x14ac:dyDescent="0.25">
      <c r="R3594">
        <v>3490996.5780899907</v>
      </c>
      <c r="S3594">
        <v>0</v>
      </c>
    </row>
    <row r="3595" spans="18:19" x14ac:dyDescent="0.25">
      <c r="R3595">
        <v>3491022.2405908629</v>
      </c>
      <c r="S3595">
        <v>0</v>
      </c>
    </row>
    <row r="3596" spans="18:19" x14ac:dyDescent="0.25">
      <c r="R3596">
        <v>3491047.9030917352</v>
      </c>
      <c r="S3596">
        <v>0</v>
      </c>
    </row>
    <row r="3597" spans="18:19" x14ac:dyDescent="0.25">
      <c r="R3597">
        <v>3491073.5655926079</v>
      </c>
      <c r="S3597">
        <v>0</v>
      </c>
    </row>
    <row r="3598" spans="18:19" x14ac:dyDescent="0.25">
      <c r="R3598">
        <v>3491099.2280934802</v>
      </c>
      <c r="S3598">
        <v>0</v>
      </c>
    </row>
    <row r="3599" spans="18:19" x14ac:dyDescent="0.25">
      <c r="R3599">
        <v>3491124.8905943525</v>
      </c>
      <c r="S3599">
        <v>0</v>
      </c>
    </row>
    <row r="3600" spans="18:19" x14ac:dyDescent="0.25">
      <c r="R3600">
        <v>3491150.5530952248</v>
      </c>
      <c r="S3600">
        <v>0</v>
      </c>
    </row>
    <row r="3601" spans="18:19" x14ac:dyDescent="0.25">
      <c r="R3601">
        <v>3491176.2155960971</v>
      </c>
      <c r="S3601">
        <v>0</v>
      </c>
    </row>
    <row r="3602" spans="18:19" x14ac:dyDescent="0.25">
      <c r="R3602">
        <v>3491201.8780969698</v>
      </c>
      <c r="S3602">
        <v>0</v>
      </c>
    </row>
    <row r="3603" spans="18:19" x14ac:dyDescent="0.25">
      <c r="R3603">
        <v>3491227.5405978421</v>
      </c>
      <c r="S3603">
        <v>0</v>
      </c>
    </row>
    <row r="3604" spans="18:19" x14ac:dyDescent="0.25">
      <c r="R3604">
        <v>3491253.2030987144</v>
      </c>
      <c r="S3604">
        <v>0</v>
      </c>
    </row>
    <row r="3605" spans="18:19" x14ac:dyDescent="0.25">
      <c r="R3605">
        <v>3491278.8655995866</v>
      </c>
      <c r="S3605">
        <v>0</v>
      </c>
    </row>
    <row r="3606" spans="18:19" x14ac:dyDescent="0.25">
      <c r="R3606">
        <v>3491304.5281004594</v>
      </c>
      <c r="S3606">
        <v>0</v>
      </c>
    </row>
    <row r="3607" spans="18:19" x14ac:dyDescent="0.25">
      <c r="R3607">
        <v>3491330.1906013316</v>
      </c>
      <c r="S3607">
        <v>0</v>
      </c>
    </row>
    <row r="3608" spans="18:19" x14ac:dyDescent="0.25">
      <c r="R3608">
        <v>3491355.8531022039</v>
      </c>
      <c r="S3608">
        <v>0</v>
      </c>
    </row>
    <row r="3609" spans="18:19" x14ac:dyDescent="0.25">
      <c r="R3609">
        <v>3491381.5156030762</v>
      </c>
      <c r="S3609">
        <v>0</v>
      </c>
    </row>
    <row r="3610" spans="18:19" x14ac:dyDescent="0.25">
      <c r="R3610">
        <v>3491407.1781039489</v>
      </c>
      <c r="S3610">
        <v>0</v>
      </c>
    </row>
    <row r="3611" spans="18:19" x14ac:dyDescent="0.25">
      <c r="R3611">
        <v>3491432.8406048212</v>
      </c>
      <c r="S3611">
        <v>0</v>
      </c>
    </row>
    <row r="3612" spans="18:19" x14ac:dyDescent="0.25">
      <c r="R3612">
        <v>3491458.5031056935</v>
      </c>
      <c r="S3612">
        <v>0</v>
      </c>
    </row>
    <row r="3613" spans="18:19" x14ac:dyDescent="0.25">
      <c r="R3613">
        <v>3491484.1656065658</v>
      </c>
      <c r="S3613">
        <v>0</v>
      </c>
    </row>
    <row r="3614" spans="18:19" x14ac:dyDescent="0.25">
      <c r="R3614">
        <v>3491509.8281074381</v>
      </c>
      <c r="S3614">
        <v>0</v>
      </c>
    </row>
    <row r="3615" spans="18:19" x14ac:dyDescent="0.25">
      <c r="R3615">
        <v>3491535.4906083108</v>
      </c>
      <c r="S3615">
        <v>0</v>
      </c>
    </row>
    <row r="3616" spans="18:19" x14ac:dyDescent="0.25">
      <c r="R3616">
        <v>3491561.1531091831</v>
      </c>
      <c r="S3616">
        <v>0</v>
      </c>
    </row>
    <row r="3617" spans="18:19" x14ac:dyDescent="0.25">
      <c r="R3617">
        <v>3491586.8156100553</v>
      </c>
      <c r="S3617">
        <v>0</v>
      </c>
    </row>
    <row r="3618" spans="18:19" x14ac:dyDescent="0.25">
      <c r="R3618">
        <v>3491612.4781109276</v>
      </c>
      <c r="S3618">
        <v>0</v>
      </c>
    </row>
    <row r="3619" spans="18:19" x14ac:dyDescent="0.25">
      <c r="R3619">
        <v>3491638.1406118004</v>
      </c>
      <c r="S3619">
        <v>0</v>
      </c>
    </row>
    <row r="3620" spans="18:19" x14ac:dyDescent="0.25">
      <c r="R3620">
        <v>3491663.8031126726</v>
      </c>
      <c r="S3620">
        <v>0</v>
      </c>
    </row>
    <row r="3621" spans="18:19" x14ac:dyDescent="0.25">
      <c r="R3621">
        <v>3491689.4656135449</v>
      </c>
      <c r="S3621">
        <v>0</v>
      </c>
    </row>
    <row r="3622" spans="18:19" x14ac:dyDescent="0.25">
      <c r="R3622">
        <v>3491715.1281144172</v>
      </c>
      <c r="S3622">
        <v>0</v>
      </c>
    </row>
    <row r="3623" spans="18:19" x14ac:dyDescent="0.25">
      <c r="R3623">
        <v>3491740.7906152899</v>
      </c>
      <c r="S3623">
        <v>0</v>
      </c>
    </row>
    <row r="3624" spans="18:19" x14ac:dyDescent="0.25">
      <c r="R3624">
        <v>3491766.4531161622</v>
      </c>
      <c r="S3624">
        <v>0</v>
      </c>
    </row>
    <row r="3625" spans="18:19" x14ac:dyDescent="0.25">
      <c r="R3625">
        <v>3491792.1156170345</v>
      </c>
      <c r="S3625">
        <v>0</v>
      </c>
    </row>
    <row r="3626" spans="18:19" x14ac:dyDescent="0.25">
      <c r="R3626">
        <v>3491817.7781179068</v>
      </c>
      <c r="S3626">
        <v>0</v>
      </c>
    </row>
    <row r="3627" spans="18:19" x14ac:dyDescent="0.25">
      <c r="R3627">
        <v>3491843.4406187795</v>
      </c>
      <c r="S3627">
        <v>0</v>
      </c>
    </row>
    <row r="3628" spans="18:19" x14ac:dyDescent="0.25">
      <c r="R3628">
        <v>3491869.1031196518</v>
      </c>
      <c r="S3628">
        <v>0</v>
      </c>
    </row>
    <row r="3629" spans="18:19" x14ac:dyDescent="0.25">
      <c r="R3629">
        <v>3491894.7656205241</v>
      </c>
      <c r="S3629">
        <v>0</v>
      </c>
    </row>
    <row r="3630" spans="18:19" x14ac:dyDescent="0.25">
      <c r="R3630">
        <v>3491920.4281213963</v>
      </c>
      <c r="S3630">
        <v>0</v>
      </c>
    </row>
    <row r="3631" spans="18:19" x14ac:dyDescent="0.25">
      <c r="R3631">
        <v>3491946.0906222686</v>
      </c>
      <c r="S3631">
        <v>0</v>
      </c>
    </row>
    <row r="3632" spans="18:19" x14ac:dyDescent="0.25">
      <c r="R3632">
        <v>3491971.7531231414</v>
      </c>
      <c r="S3632">
        <v>0</v>
      </c>
    </row>
    <row r="3633" spans="18:19" x14ac:dyDescent="0.25">
      <c r="R3633">
        <v>3491997.4156240136</v>
      </c>
      <c r="S3633">
        <v>0</v>
      </c>
    </row>
    <row r="3634" spans="18:19" x14ac:dyDescent="0.25">
      <c r="R3634">
        <v>3492023.0781248859</v>
      </c>
      <c r="S3634">
        <v>0</v>
      </c>
    </row>
    <row r="3635" spans="18:19" x14ac:dyDescent="0.25">
      <c r="R3635">
        <v>3492048.7406257582</v>
      </c>
      <c r="S3635">
        <v>0</v>
      </c>
    </row>
    <row r="3636" spans="18:19" x14ac:dyDescent="0.25">
      <c r="R3636">
        <v>3492074.4031266309</v>
      </c>
      <c r="S3636">
        <v>0</v>
      </c>
    </row>
    <row r="3637" spans="18:19" x14ac:dyDescent="0.25">
      <c r="R3637">
        <v>3492100.0656275032</v>
      </c>
      <c r="S3637">
        <v>0</v>
      </c>
    </row>
    <row r="3638" spans="18:19" x14ac:dyDescent="0.25">
      <c r="R3638">
        <v>3492125.7281283755</v>
      </c>
      <c r="S3638">
        <v>0</v>
      </c>
    </row>
    <row r="3639" spans="18:19" x14ac:dyDescent="0.25">
      <c r="R3639">
        <v>3492151.3906292478</v>
      </c>
      <c r="S3639">
        <v>0</v>
      </c>
    </row>
    <row r="3640" spans="18:19" x14ac:dyDescent="0.25">
      <c r="R3640">
        <v>3492177.0531301205</v>
      </c>
      <c r="S3640">
        <v>0</v>
      </c>
    </row>
    <row r="3641" spans="18:19" x14ac:dyDescent="0.25">
      <c r="R3641">
        <v>3492202.7156309928</v>
      </c>
      <c r="S3641">
        <v>0</v>
      </c>
    </row>
    <row r="3642" spans="18:19" x14ac:dyDescent="0.25">
      <c r="R3642">
        <v>3492228.3781318651</v>
      </c>
      <c r="S3642">
        <v>0</v>
      </c>
    </row>
    <row r="3643" spans="18:19" x14ac:dyDescent="0.25">
      <c r="R3643">
        <v>3492254.0406327373</v>
      </c>
      <c r="S3643">
        <v>0</v>
      </c>
    </row>
    <row r="3644" spans="18:19" x14ac:dyDescent="0.25">
      <c r="R3644">
        <v>3492279.7031336101</v>
      </c>
      <c r="S3644">
        <v>0</v>
      </c>
    </row>
    <row r="3645" spans="18:19" x14ac:dyDescent="0.25">
      <c r="R3645">
        <v>3492305.3656344824</v>
      </c>
      <c r="S3645">
        <v>0</v>
      </c>
    </row>
    <row r="3646" spans="18:19" x14ac:dyDescent="0.25">
      <c r="R3646">
        <v>3492331.0281353546</v>
      </c>
      <c r="S3646">
        <v>0</v>
      </c>
    </row>
    <row r="3647" spans="18:19" x14ac:dyDescent="0.25">
      <c r="R3647">
        <v>3492356.6906362269</v>
      </c>
      <c r="S3647">
        <v>0</v>
      </c>
    </row>
    <row r="3648" spans="18:19" x14ac:dyDescent="0.25">
      <c r="R3648">
        <v>3492382.3531370992</v>
      </c>
      <c r="S3648">
        <v>0</v>
      </c>
    </row>
    <row r="3649" spans="18:19" x14ac:dyDescent="0.25">
      <c r="R3649">
        <v>3492408.0156379719</v>
      </c>
      <c r="S3649">
        <v>0</v>
      </c>
    </row>
    <row r="3650" spans="18:19" x14ac:dyDescent="0.25">
      <c r="R3650">
        <v>3492433.6781388442</v>
      </c>
      <c r="S3650">
        <v>0</v>
      </c>
    </row>
    <row r="3651" spans="18:19" x14ac:dyDescent="0.25">
      <c r="R3651">
        <v>3492459.3406397165</v>
      </c>
      <c r="S3651">
        <v>0</v>
      </c>
    </row>
    <row r="3652" spans="18:19" x14ac:dyDescent="0.25">
      <c r="R3652">
        <v>3492485.0031405888</v>
      </c>
      <c r="S3652">
        <v>0</v>
      </c>
    </row>
    <row r="3653" spans="18:19" x14ac:dyDescent="0.25">
      <c r="R3653">
        <v>3492510.6656414615</v>
      </c>
      <c r="S3653">
        <v>0</v>
      </c>
    </row>
    <row r="3654" spans="18:19" x14ac:dyDescent="0.25">
      <c r="R3654">
        <v>3492536.3281423338</v>
      </c>
      <c r="S3654">
        <v>0</v>
      </c>
    </row>
    <row r="3655" spans="18:19" x14ac:dyDescent="0.25">
      <c r="R3655">
        <v>3492561.9906432061</v>
      </c>
      <c r="S3655">
        <v>0</v>
      </c>
    </row>
    <row r="3656" spans="18:19" x14ac:dyDescent="0.25">
      <c r="R3656">
        <v>3492587.6531440783</v>
      </c>
      <c r="S3656">
        <v>0</v>
      </c>
    </row>
    <row r="3657" spans="18:19" x14ac:dyDescent="0.25">
      <c r="R3657">
        <v>3492613.3156449511</v>
      </c>
      <c r="S3657">
        <v>0</v>
      </c>
    </row>
    <row r="3658" spans="18:19" x14ac:dyDescent="0.25">
      <c r="R3658">
        <v>3492638.9781458233</v>
      </c>
      <c r="S3658">
        <v>0</v>
      </c>
    </row>
    <row r="3659" spans="18:19" x14ac:dyDescent="0.25">
      <c r="R3659">
        <v>3492664.6406466956</v>
      </c>
      <c r="S3659">
        <v>0</v>
      </c>
    </row>
    <row r="3660" spans="18:19" x14ac:dyDescent="0.25">
      <c r="R3660">
        <v>3492690.3031475679</v>
      </c>
      <c r="S3660">
        <v>0</v>
      </c>
    </row>
    <row r="3661" spans="18:19" x14ac:dyDescent="0.25">
      <c r="R3661">
        <v>3492715.9656484406</v>
      </c>
      <c r="S3661">
        <v>0</v>
      </c>
    </row>
    <row r="3662" spans="18:19" x14ac:dyDescent="0.25">
      <c r="R3662">
        <v>3492741.6281493129</v>
      </c>
      <c r="S3662">
        <v>0</v>
      </c>
    </row>
    <row r="3663" spans="18:19" x14ac:dyDescent="0.25">
      <c r="R3663">
        <v>3492767.2906501852</v>
      </c>
      <c r="S3663">
        <v>0</v>
      </c>
    </row>
    <row r="3664" spans="18:19" x14ac:dyDescent="0.25">
      <c r="R3664">
        <v>3492792.9531510575</v>
      </c>
      <c r="S3664">
        <v>0</v>
      </c>
    </row>
    <row r="3665" spans="18:19" x14ac:dyDescent="0.25">
      <c r="R3665">
        <v>3492818.6156519298</v>
      </c>
      <c r="S3665">
        <v>0</v>
      </c>
    </row>
    <row r="3666" spans="18:19" x14ac:dyDescent="0.25">
      <c r="R3666">
        <v>3492844.2781528025</v>
      </c>
      <c r="S3666">
        <v>0</v>
      </c>
    </row>
    <row r="3667" spans="18:19" x14ac:dyDescent="0.25">
      <c r="R3667">
        <v>3492869.9406536748</v>
      </c>
      <c r="S3667">
        <v>0</v>
      </c>
    </row>
    <row r="3668" spans="18:19" x14ac:dyDescent="0.25">
      <c r="R3668">
        <v>3492895.603154547</v>
      </c>
      <c r="S3668">
        <v>0</v>
      </c>
    </row>
    <row r="3669" spans="18:19" x14ac:dyDescent="0.25">
      <c r="R3669">
        <v>3492921.2656554193</v>
      </c>
      <c r="S3669">
        <v>0</v>
      </c>
    </row>
    <row r="3670" spans="18:19" x14ac:dyDescent="0.25">
      <c r="R3670">
        <v>3492946.9281562921</v>
      </c>
      <c r="S3670">
        <v>0</v>
      </c>
    </row>
    <row r="3671" spans="18:19" x14ac:dyDescent="0.25">
      <c r="R3671">
        <v>3492972.5906571643</v>
      </c>
      <c r="S3671">
        <v>0</v>
      </c>
    </row>
    <row r="3672" spans="18:19" x14ac:dyDescent="0.25">
      <c r="R3672">
        <v>3492998.2531580366</v>
      </c>
      <c r="S3672">
        <v>0</v>
      </c>
    </row>
    <row r="3673" spans="18:19" x14ac:dyDescent="0.25">
      <c r="R3673">
        <v>3493023.9156589089</v>
      </c>
      <c r="S3673">
        <v>0</v>
      </c>
    </row>
    <row r="3674" spans="18:19" x14ac:dyDescent="0.25">
      <c r="R3674">
        <v>3493049.5781597816</v>
      </c>
      <c r="S3674">
        <v>0</v>
      </c>
    </row>
    <row r="3675" spans="18:19" x14ac:dyDescent="0.25">
      <c r="R3675">
        <v>3493075.2406606539</v>
      </c>
      <c r="S3675">
        <v>0</v>
      </c>
    </row>
    <row r="3676" spans="18:19" x14ac:dyDescent="0.25">
      <c r="R3676">
        <v>3493100.9031615262</v>
      </c>
      <c r="S3676">
        <v>0</v>
      </c>
    </row>
    <row r="3677" spans="18:19" x14ac:dyDescent="0.25">
      <c r="R3677">
        <v>3493126.5656623985</v>
      </c>
      <c r="S3677">
        <v>0</v>
      </c>
    </row>
    <row r="3678" spans="18:19" x14ac:dyDescent="0.25">
      <c r="R3678">
        <v>3493152.2281632707</v>
      </c>
      <c r="S3678">
        <v>0</v>
      </c>
    </row>
    <row r="3679" spans="18:19" x14ac:dyDescent="0.25">
      <c r="R3679">
        <v>3493177.8906641435</v>
      </c>
      <c r="S3679">
        <v>0</v>
      </c>
    </row>
    <row r="3680" spans="18:19" x14ac:dyDescent="0.25">
      <c r="R3680">
        <v>3493203.5531650158</v>
      </c>
      <c r="S3680">
        <v>0</v>
      </c>
    </row>
    <row r="3681" spans="18:19" x14ac:dyDescent="0.25">
      <c r="R3681">
        <v>3493229.215665888</v>
      </c>
      <c r="S3681">
        <v>0</v>
      </c>
    </row>
    <row r="3682" spans="18:19" x14ac:dyDescent="0.25">
      <c r="R3682">
        <v>3493254.8781667603</v>
      </c>
      <c r="S3682">
        <v>0</v>
      </c>
    </row>
    <row r="3683" spans="18:19" x14ac:dyDescent="0.25">
      <c r="R3683">
        <v>3493280.5406676331</v>
      </c>
      <c r="S3683">
        <v>0</v>
      </c>
    </row>
    <row r="3684" spans="18:19" x14ac:dyDescent="0.25">
      <c r="R3684">
        <v>3493306.2031685053</v>
      </c>
      <c r="S3684">
        <v>0</v>
      </c>
    </row>
    <row r="3685" spans="18:19" x14ac:dyDescent="0.25">
      <c r="R3685">
        <v>3493331.8656693776</v>
      </c>
      <c r="S3685">
        <v>0</v>
      </c>
    </row>
    <row r="3686" spans="18:19" x14ac:dyDescent="0.25">
      <c r="R3686">
        <v>3493357.5281702499</v>
      </c>
      <c r="S3686">
        <v>0</v>
      </c>
    </row>
    <row r="3687" spans="18:19" x14ac:dyDescent="0.25">
      <c r="R3687">
        <v>3493383.1906711226</v>
      </c>
      <c r="S3687">
        <v>0</v>
      </c>
    </row>
    <row r="3688" spans="18:19" x14ac:dyDescent="0.25">
      <c r="R3688">
        <v>3493408.8531719949</v>
      </c>
      <c r="S3688">
        <v>0</v>
      </c>
    </row>
    <row r="3689" spans="18:19" x14ac:dyDescent="0.25">
      <c r="R3689">
        <v>3493434.5156728672</v>
      </c>
      <c r="S3689">
        <v>0</v>
      </c>
    </row>
    <row r="3690" spans="18:19" x14ac:dyDescent="0.25">
      <c r="R3690">
        <v>3493460.1781737395</v>
      </c>
      <c r="S3690">
        <v>0</v>
      </c>
    </row>
    <row r="3691" spans="18:19" x14ac:dyDescent="0.25">
      <c r="R3691">
        <v>3493485.8406746122</v>
      </c>
      <c r="S3691">
        <v>0</v>
      </c>
    </row>
    <row r="3692" spans="18:19" x14ac:dyDescent="0.25">
      <c r="R3692">
        <v>3493511.5031754845</v>
      </c>
      <c r="S3692">
        <v>0</v>
      </c>
    </row>
    <row r="3693" spans="18:19" x14ac:dyDescent="0.25">
      <c r="R3693">
        <v>3493537.1656763568</v>
      </c>
      <c r="S3693">
        <v>0</v>
      </c>
    </row>
    <row r="3694" spans="18:19" x14ac:dyDescent="0.25">
      <c r="R3694">
        <v>3493562.828177229</v>
      </c>
      <c r="S3694">
        <v>0</v>
      </c>
    </row>
    <row r="3695" spans="18:19" x14ac:dyDescent="0.25">
      <c r="R3695">
        <v>3493588.4906781013</v>
      </c>
      <c r="S3695">
        <v>0</v>
      </c>
    </row>
    <row r="3696" spans="18:19" x14ac:dyDescent="0.25">
      <c r="R3696">
        <v>3493614.1531789741</v>
      </c>
      <c r="S3696">
        <v>0</v>
      </c>
    </row>
    <row r="3697" spans="18:19" x14ac:dyDescent="0.25">
      <c r="R3697">
        <v>3493639.8156798463</v>
      </c>
      <c r="S3697">
        <v>0</v>
      </c>
    </row>
    <row r="3698" spans="18:19" x14ac:dyDescent="0.25">
      <c r="R3698">
        <v>3493665.4781807186</v>
      </c>
      <c r="S3698">
        <v>0</v>
      </c>
    </row>
    <row r="3699" spans="18:19" x14ac:dyDescent="0.25">
      <c r="R3699">
        <v>3493691.1406815909</v>
      </c>
      <c r="S3699">
        <v>0</v>
      </c>
    </row>
    <row r="3700" spans="18:19" x14ac:dyDescent="0.25">
      <c r="R3700">
        <v>3493716.8031824636</v>
      </c>
      <c r="S3700">
        <v>0</v>
      </c>
    </row>
    <row r="3701" spans="18:19" x14ac:dyDescent="0.25">
      <c r="R3701">
        <v>3493742.4656833359</v>
      </c>
      <c r="S3701">
        <v>0</v>
      </c>
    </row>
    <row r="3702" spans="18:19" x14ac:dyDescent="0.25">
      <c r="R3702">
        <v>3493768.1281842082</v>
      </c>
      <c r="S3702">
        <v>0</v>
      </c>
    </row>
    <row r="3703" spans="18:19" x14ac:dyDescent="0.25">
      <c r="R3703">
        <v>3493793.7906850805</v>
      </c>
      <c r="S3703">
        <v>0</v>
      </c>
    </row>
    <row r="3704" spans="18:19" x14ac:dyDescent="0.25">
      <c r="R3704">
        <v>3493819.4531859532</v>
      </c>
      <c r="S3704">
        <v>0</v>
      </c>
    </row>
    <row r="3705" spans="18:19" x14ac:dyDescent="0.25">
      <c r="R3705">
        <v>3493845.1156868255</v>
      </c>
      <c r="S3705">
        <v>0</v>
      </c>
    </row>
    <row r="3706" spans="18:19" x14ac:dyDescent="0.25">
      <c r="R3706">
        <v>3493870.7781876978</v>
      </c>
      <c r="S3706">
        <v>0</v>
      </c>
    </row>
    <row r="3707" spans="18:19" x14ac:dyDescent="0.25">
      <c r="R3707">
        <v>3493896.44068857</v>
      </c>
      <c r="S3707">
        <v>0</v>
      </c>
    </row>
    <row r="3708" spans="18:19" x14ac:dyDescent="0.25">
      <c r="R3708">
        <v>3493922.1031894428</v>
      </c>
      <c r="S3708">
        <v>0</v>
      </c>
    </row>
    <row r="3709" spans="18:19" x14ac:dyDescent="0.25">
      <c r="R3709">
        <v>3493947.765690315</v>
      </c>
      <c r="S3709">
        <v>0</v>
      </c>
    </row>
    <row r="3710" spans="18:19" x14ac:dyDescent="0.25">
      <c r="R3710">
        <v>3493973.4281911873</v>
      </c>
      <c r="S3710">
        <v>0</v>
      </c>
    </row>
    <row r="3711" spans="18:19" x14ac:dyDescent="0.25">
      <c r="R3711">
        <v>3493999.0906920596</v>
      </c>
      <c r="S3711">
        <v>0</v>
      </c>
    </row>
    <row r="3712" spans="18:19" x14ac:dyDescent="0.25">
      <c r="R3712">
        <v>3494024.7531929319</v>
      </c>
      <c r="S3712">
        <v>0</v>
      </c>
    </row>
    <row r="3713" spans="18:19" x14ac:dyDescent="0.25">
      <c r="R3713">
        <v>3494050.4156938046</v>
      </c>
      <c r="S3713">
        <v>0</v>
      </c>
    </row>
    <row r="3714" spans="18:19" x14ac:dyDescent="0.25">
      <c r="R3714">
        <v>3494076.0781946769</v>
      </c>
      <c r="S3714">
        <v>0</v>
      </c>
    </row>
    <row r="3715" spans="18:19" x14ac:dyDescent="0.25">
      <c r="R3715">
        <v>3494101.7406955492</v>
      </c>
      <c r="S3715">
        <v>0</v>
      </c>
    </row>
    <row r="3716" spans="18:19" x14ac:dyDescent="0.25">
      <c r="R3716">
        <v>3494127.4031964215</v>
      </c>
      <c r="S3716">
        <v>0</v>
      </c>
    </row>
    <row r="3717" spans="18:19" x14ac:dyDescent="0.25">
      <c r="R3717">
        <v>3494153.0656972942</v>
      </c>
      <c r="S3717">
        <v>0</v>
      </c>
    </row>
    <row r="3718" spans="18:19" x14ac:dyDescent="0.25">
      <c r="R3718">
        <v>3494178.7281981665</v>
      </c>
      <c r="S3718">
        <v>0</v>
      </c>
    </row>
    <row r="3719" spans="18:19" x14ac:dyDescent="0.25">
      <c r="R3719">
        <v>3494204.3906990387</v>
      </c>
      <c r="S3719">
        <v>0</v>
      </c>
    </row>
    <row r="3720" spans="18:19" x14ac:dyDescent="0.25">
      <c r="R3720">
        <v>3494230.053199911</v>
      </c>
      <c r="S3720">
        <v>0</v>
      </c>
    </row>
    <row r="3721" spans="18:19" x14ac:dyDescent="0.25">
      <c r="R3721">
        <v>3494255.7157007838</v>
      </c>
      <c r="S3721">
        <v>0</v>
      </c>
    </row>
    <row r="3722" spans="18:19" x14ac:dyDescent="0.25">
      <c r="R3722">
        <v>3494281.378201656</v>
      </c>
      <c r="S3722">
        <v>0</v>
      </c>
    </row>
    <row r="3723" spans="18:19" x14ac:dyDescent="0.25">
      <c r="R3723">
        <v>3494307.0407025283</v>
      </c>
      <c r="S3723">
        <v>0</v>
      </c>
    </row>
    <row r="3724" spans="18:19" x14ac:dyDescent="0.25">
      <c r="R3724">
        <v>3494332.7032034006</v>
      </c>
      <c r="S3724">
        <v>0</v>
      </c>
    </row>
    <row r="3725" spans="18:19" x14ac:dyDescent="0.25">
      <c r="R3725">
        <v>3494358.3657042733</v>
      </c>
      <c r="S3725">
        <v>0</v>
      </c>
    </row>
    <row r="3726" spans="18:19" x14ac:dyDescent="0.25">
      <c r="R3726">
        <v>3494384.0282051456</v>
      </c>
      <c r="S3726">
        <v>0</v>
      </c>
    </row>
    <row r="3727" spans="18:19" x14ac:dyDescent="0.25">
      <c r="R3727">
        <v>3494409.6907060179</v>
      </c>
      <c r="S3727">
        <v>0</v>
      </c>
    </row>
    <row r="3728" spans="18:19" x14ac:dyDescent="0.25">
      <c r="R3728">
        <v>3494435.3532068902</v>
      </c>
      <c r="S3728">
        <v>0</v>
      </c>
    </row>
    <row r="3729" spans="18:19" x14ac:dyDescent="0.25">
      <c r="R3729">
        <v>3494461.0157077624</v>
      </c>
      <c r="S3729">
        <v>0</v>
      </c>
    </row>
    <row r="3730" spans="18:19" x14ac:dyDescent="0.25">
      <c r="R3730">
        <v>3494486.6782086352</v>
      </c>
      <c r="S3730">
        <v>0</v>
      </c>
    </row>
    <row r="3731" spans="18:19" x14ac:dyDescent="0.25">
      <c r="R3731">
        <v>3494512.3407095075</v>
      </c>
      <c r="S3731">
        <v>0</v>
      </c>
    </row>
    <row r="3732" spans="18:19" x14ac:dyDescent="0.25">
      <c r="R3732">
        <v>3494538.0032103797</v>
      </c>
      <c r="S3732">
        <v>0</v>
      </c>
    </row>
    <row r="3733" spans="18:19" x14ac:dyDescent="0.25">
      <c r="R3733">
        <v>3494563.665711252</v>
      </c>
      <c r="S3733">
        <v>0</v>
      </c>
    </row>
    <row r="3734" spans="18:19" x14ac:dyDescent="0.25">
      <c r="R3734">
        <v>3494589.3282121248</v>
      </c>
      <c r="S3734">
        <v>0</v>
      </c>
    </row>
    <row r="3735" spans="18:19" x14ac:dyDescent="0.25">
      <c r="R3735">
        <v>3494614.990712997</v>
      </c>
      <c r="S3735">
        <v>0</v>
      </c>
    </row>
    <row r="3736" spans="18:19" x14ac:dyDescent="0.25">
      <c r="R3736">
        <v>3494640.6532138693</v>
      </c>
      <c r="S3736">
        <v>0</v>
      </c>
    </row>
    <row r="3737" spans="18:19" x14ac:dyDescent="0.25">
      <c r="R3737">
        <v>3494666.3157147416</v>
      </c>
      <c r="S3737">
        <v>0</v>
      </c>
    </row>
    <row r="3738" spans="18:19" x14ac:dyDescent="0.25">
      <c r="R3738">
        <v>3494691.9782156143</v>
      </c>
      <c r="S3738">
        <v>0</v>
      </c>
    </row>
    <row r="3739" spans="18:19" x14ac:dyDescent="0.25">
      <c r="R3739">
        <v>3494717.6407164866</v>
      </c>
      <c r="S3739">
        <v>0</v>
      </c>
    </row>
    <row r="3740" spans="18:19" x14ac:dyDescent="0.25">
      <c r="R3740">
        <v>3494743.3032173589</v>
      </c>
      <c r="S3740">
        <v>0</v>
      </c>
    </row>
    <row r="3741" spans="18:19" x14ac:dyDescent="0.25">
      <c r="R3741">
        <v>3494768.9657182312</v>
      </c>
      <c r="S3741">
        <v>0</v>
      </c>
    </row>
    <row r="3742" spans="18:19" x14ac:dyDescent="0.25">
      <c r="R3742">
        <v>3494794.6282191034</v>
      </c>
      <c r="S3742">
        <v>0</v>
      </c>
    </row>
    <row r="3743" spans="18:19" x14ac:dyDescent="0.25">
      <c r="R3743">
        <v>3494820.2907199762</v>
      </c>
      <c r="S3743">
        <v>0</v>
      </c>
    </row>
    <row r="3744" spans="18:19" x14ac:dyDescent="0.25">
      <c r="R3744">
        <v>3494845.9532208485</v>
      </c>
      <c r="S3744">
        <v>0</v>
      </c>
    </row>
    <row r="3745" spans="18:19" x14ac:dyDescent="0.25">
      <c r="R3745">
        <v>3494871.6157217207</v>
      </c>
      <c r="S3745">
        <v>0</v>
      </c>
    </row>
    <row r="3746" spans="18:19" x14ac:dyDescent="0.25">
      <c r="R3746">
        <v>3494897.278222593</v>
      </c>
      <c r="S3746">
        <v>0</v>
      </c>
    </row>
    <row r="3747" spans="18:19" x14ac:dyDescent="0.25">
      <c r="R3747">
        <v>3494922.9407234658</v>
      </c>
      <c r="S3747">
        <v>0</v>
      </c>
    </row>
    <row r="3748" spans="18:19" x14ac:dyDescent="0.25">
      <c r="R3748">
        <v>3494948.603224338</v>
      </c>
      <c r="S3748">
        <v>0</v>
      </c>
    </row>
    <row r="3749" spans="18:19" x14ac:dyDescent="0.25">
      <c r="R3749">
        <v>3494974.2657252103</v>
      </c>
      <c r="S3749">
        <v>0</v>
      </c>
    </row>
    <row r="3750" spans="18:19" x14ac:dyDescent="0.25">
      <c r="R3750">
        <v>3494999.9282260826</v>
      </c>
      <c r="S3750">
        <v>0</v>
      </c>
    </row>
    <row r="3751" spans="18:19" x14ac:dyDescent="0.25">
      <c r="R3751">
        <v>3495025.5907269553</v>
      </c>
      <c r="S3751">
        <v>0</v>
      </c>
    </row>
    <row r="3752" spans="18:19" x14ac:dyDescent="0.25">
      <c r="R3752">
        <v>3495051.2532278276</v>
      </c>
      <c r="S3752">
        <v>0</v>
      </c>
    </row>
    <row r="3753" spans="18:19" x14ac:dyDescent="0.25">
      <c r="R3753">
        <v>3495076.9157286999</v>
      </c>
      <c r="S3753">
        <v>0</v>
      </c>
    </row>
    <row r="3754" spans="18:19" x14ac:dyDescent="0.25">
      <c r="R3754">
        <v>3495102.5782295722</v>
      </c>
      <c r="S3754">
        <v>0</v>
      </c>
    </row>
    <row r="3755" spans="18:19" x14ac:dyDescent="0.25">
      <c r="R3755">
        <v>3495128.2407304449</v>
      </c>
      <c r="S3755">
        <v>0</v>
      </c>
    </row>
    <row r="3756" spans="18:19" x14ac:dyDescent="0.25">
      <c r="R3756">
        <v>3495153.9032313172</v>
      </c>
      <c r="S3756">
        <v>0</v>
      </c>
    </row>
    <row r="3757" spans="18:19" x14ac:dyDescent="0.25">
      <c r="R3757">
        <v>3495179.5657321895</v>
      </c>
      <c r="S3757">
        <v>0</v>
      </c>
    </row>
    <row r="3758" spans="18:19" x14ac:dyDescent="0.25">
      <c r="R3758">
        <v>3495205.2282330617</v>
      </c>
      <c r="S3758">
        <v>0</v>
      </c>
    </row>
    <row r="3759" spans="18:19" x14ac:dyDescent="0.25">
      <c r="R3759">
        <v>3495230.890733934</v>
      </c>
      <c r="S3759">
        <v>0</v>
      </c>
    </row>
    <row r="3760" spans="18:19" x14ac:dyDescent="0.25">
      <c r="R3760">
        <v>3495256.5532348067</v>
      </c>
      <c r="S3760">
        <v>0</v>
      </c>
    </row>
    <row r="3761" spans="18:19" x14ac:dyDescent="0.25">
      <c r="R3761">
        <v>3495282.215735679</v>
      </c>
      <c r="S3761">
        <v>0</v>
      </c>
    </row>
    <row r="3762" spans="18:19" x14ac:dyDescent="0.25">
      <c r="R3762">
        <v>3495307.8782365513</v>
      </c>
      <c r="S3762">
        <v>0</v>
      </c>
    </row>
    <row r="3763" spans="18:19" x14ac:dyDescent="0.25">
      <c r="R3763">
        <v>3495333.5407374236</v>
      </c>
      <c r="S3763">
        <v>0</v>
      </c>
    </row>
    <row r="3764" spans="18:19" x14ac:dyDescent="0.25">
      <c r="R3764">
        <v>3495359.2032382963</v>
      </c>
      <c r="S3764">
        <v>0</v>
      </c>
    </row>
    <row r="3765" spans="18:19" x14ac:dyDescent="0.25">
      <c r="R3765">
        <v>3495384.8657391686</v>
      </c>
      <c r="S3765">
        <v>0</v>
      </c>
    </row>
    <row r="3766" spans="18:19" x14ac:dyDescent="0.25">
      <c r="R3766">
        <v>3495410.5282400409</v>
      </c>
      <c r="S3766">
        <v>0</v>
      </c>
    </row>
    <row r="3767" spans="18:19" x14ac:dyDescent="0.25">
      <c r="R3767">
        <v>3495436.1907409132</v>
      </c>
      <c r="S3767">
        <v>0</v>
      </c>
    </row>
    <row r="3768" spans="18:19" x14ac:dyDescent="0.25">
      <c r="R3768">
        <v>3495461.8532417859</v>
      </c>
      <c r="S3768">
        <v>0</v>
      </c>
    </row>
    <row r="3769" spans="18:19" x14ac:dyDescent="0.25">
      <c r="R3769">
        <v>3495487.5157426582</v>
      </c>
      <c r="S3769">
        <v>0</v>
      </c>
    </row>
    <row r="3770" spans="18:19" x14ac:dyDescent="0.25">
      <c r="R3770">
        <v>3495513.1782435304</v>
      </c>
      <c r="S3770">
        <v>0</v>
      </c>
    </row>
    <row r="3771" spans="18:19" x14ac:dyDescent="0.25">
      <c r="R3771">
        <v>3495538.8407444027</v>
      </c>
      <c r="S3771">
        <v>0</v>
      </c>
    </row>
    <row r="3772" spans="18:19" x14ac:dyDescent="0.25">
      <c r="R3772">
        <v>3495564.5032452755</v>
      </c>
      <c r="S3772">
        <v>0</v>
      </c>
    </row>
    <row r="3773" spans="18:19" x14ac:dyDescent="0.25">
      <c r="R3773">
        <v>3495590.1657461477</v>
      </c>
      <c r="S3773">
        <v>0</v>
      </c>
    </row>
    <row r="3774" spans="18:19" x14ac:dyDescent="0.25">
      <c r="R3774">
        <v>3495615.82824702</v>
      </c>
      <c r="S3774">
        <v>0</v>
      </c>
    </row>
    <row r="3775" spans="18:19" x14ac:dyDescent="0.25">
      <c r="R3775">
        <v>3495641.4907478923</v>
      </c>
      <c r="S3775">
        <v>0</v>
      </c>
    </row>
    <row r="3776" spans="18:19" x14ac:dyDescent="0.25">
      <c r="R3776">
        <v>3495667.1532487646</v>
      </c>
      <c r="S3776">
        <v>0</v>
      </c>
    </row>
    <row r="3777" spans="18:19" x14ac:dyDescent="0.25">
      <c r="R3777">
        <v>3495692.8157496373</v>
      </c>
      <c r="S3777">
        <v>0</v>
      </c>
    </row>
    <row r="3778" spans="18:19" x14ac:dyDescent="0.25">
      <c r="R3778">
        <v>3495718.4782505096</v>
      </c>
      <c r="S3778">
        <v>0</v>
      </c>
    </row>
    <row r="3779" spans="18:19" x14ac:dyDescent="0.25">
      <c r="R3779">
        <v>3495744.1407513819</v>
      </c>
      <c r="S3779">
        <v>0</v>
      </c>
    </row>
    <row r="3780" spans="18:19" x14ac:dyDescent="0.25">
      <c r="R3780">
        <v>3495769.8032522541</v>
      </c>
      <c r="S3780">
        <v>0</v>
      </c>
    </row>
    <row r="3781" spans="18:19" x14ac:dyDescent="0.25">
      <c r="R3781">
        <v>3495795.4657531269</v>
      </c>
      <c r="S3781">
        <v>0</v>
      </c>
    </row>
    <row r="3782" spans="18:19" x14ac:dyDescent="0.25">
      <c r="R3782">
        <v>3495821.1282539992</v>
      </c>
      <c r="S3782">
        <v>0</v>
      </c>
    </row>
    <row r="3783" spans="18:19" x14ac:dyDescent="0.25">
      <c r="R3783">
        <v>3495846.7907548714</v>
      </c>
      <c r="S3783">
        <v>0</v>
      </c>
    </row>
    <row r="3784" spans="18:19" x14ac:dyDescent="0.25">
      <c r="R3784">
        <v>3495872.4532557437</v>
      </c>
      <c r="S3784">
        <v>0</v>
      </c>
    </row>
    <row r="3785" spans="18:19" x14ac:dyDescent="0.25">
      <c r="R3785">
        <v>3495898.1157566165</v>
      </c>
      <c r="S3785">
        <v>0</v>
      </c>
    </row>
    <row r="3786" spans="18:19" x14ac:dyDescent="0.25">
      <c r="R3786">
        <v>3495923.7782574887</v>
      </c>
      <c r="S3786">
        <v>0</v>
      </c>
    </row>
    <row r="3787" spans="18:19" x14ac:dyDescent="0.25">
      <c r="R3787">
        <v>3495949.440758361</v>
      </c>
      <c r="S3787">
        <v>0</v>
      </c>
    </row>
    <row r="3788" spans="18:19" x14ac:dyDescent="0.25">
      <c r="R3788">
        <v>3495975.1032592333</v>
      </c>
      <c r="S3788">
        <v>0</v>
      </c>
    </row>
    <row r="3789" spans="18:19" x14ac:dyDescent="0.25">
      <c r="R3789">
        <v>3496000.765760106</v>
      </c>
      <c r="S3789">
        <v>0</v>
      </c>
    </row>
    <row r="3790" spans="18:19" x14ac:dyDescent="0.25">
      <c r="R3790">
        <v>3496026.4282609783</v>
      </c>
      <c r="S3790">
        <v>0</v>
      </c>
    </row>
    <row r="3791" spans="18:19" x14ac:dyDescent="0.25">
      <c r="R3791">
        <v>3496052.0907618506</v>
      </c>
      <c r="S3791">
        <v>0</v>
      </c>
    </row>
    <row r="3792" spans="18:19" x14ac:dyDescent="0.25">
      <c r="R3792">
        <v>3496077.7532627229</v>
      </c>
      <c r="S3792">
        <v>0</v>
      </c>
    </row>
    <row r="3793" spans="18:19" x14ac:dyDescent="0.25">
      <c r="R3793">
        <v>3496103.4157635951</v>
      </c>
      <c r="S3793">
        <v>0</v>
      </c>
    </row>
    <row r="3794" spans="18:19" x14ac:dyDescent="0.25">
      <c r="R3794">
        <v>3496129.0782644679</v>
      </c>
      <c r="S3794">
        <v>0</v>
      </c>
    </row>
    <row r="3795" spans="18:19" x14ac:dyDescent="0.25">
      <c r="R3795">
        <v>3496154.7407653402</v>
      </c>
      <c r="S3795">
        <v>0</v>
      </c>
    </row>
    <row r="3796" spans="18:19" x14ac:dyDescent="0.25">
      <c r="R3796">
        <v>3496180.4032662124</v>
      </c>
      <c r="S3796">
        <v>0</v>
      </c>
    </row>
    <row r="3797" spans="18:19" x14ac:dyDescent="0.25">
      <c r="R3797">
        <v>3496206.0657670847</v>
      </c>
      <c r="S3797">
        <v>0</v>
      </c>
    </row>
    <row r="3798" spans="18:19" x14ac:dyDescent="0.25">
      <c r="R3798">
        <v>3496231.7282679575</v>
      </c>
      <c r="S3798">
        <v>0</v>
      </c>
    </row>
    <row r="3799" spans="18:19" x14ac:dyDescent="0.25">
      <c r="R3799">
        <v>3496257.3907688297</v>
      </c>
      <c r="S3799">
        <v>0</v>
      </c>
    </row>
    <row r="3800" spans="18:19" x14ac:dyDescent="0.25">
      <c r="R3800">
        <v>3496283.053269702</v>
      </c>
      <c r="S3800">
        <v>0</v>
      </c>
    </row>
    <row r="3801" spans="18:19" x14ac:dyDescent="0.25">
      <c r="R3801">
        <v>3496308.7157705743</v>
      </c>
      <c r="S3801">
        <v>0</v>
      </c>
    </row>
    <row r="3802" spans="18:19" x14ac:dyDescent="0.25">
      <c r="R3802">
        <v>3496334.378271447</v>
      </c>
      <c r="S3802">
        <v>0</v>
      </c>
    </row>
    <row r="3803" spans="18:19" x14ac:dyDescent="0.25">
      <c r="R3803">
        <v>3496360.0407723193</v>
      </c>
      <c r="S3803">
        <v>0</v>
      </c>
    </row>
    <row r="3804" spans="18:19" x14ac:dyDescent="0.25">
      <c r="R3804">
        <v>3496385.7032731916</v>
      </c>
      <c r="S3804">
        <v>0</v>
      </c>
    </row>
    <row r="3805" spans="18:19" x14ac:dyDescent="0.25">
      <c r="R3805">
        <v>3496411.3657740639</v>
      </c>
      <c r="S3805">
        <v>0</v>
      </c>
    </row>
    <row r="3806" spans="18:19" x14ac:dyDescent="0.25">
      <c r="R3806">
        <v>3496437.0282749361</v>
      </c>
      <c r="S3806">
        <v>0</v>
      </c>
    </row>
    <row r="3807" spans="18:19" x14ac:dyDescent="0.25">
      <c r="R3807">
        <v>3496462.6907758089</v>
      </c>
      <c r="S3807">
        <v>0</v>
      </c>
    </row>
    <row r="3808" spans="18:19" x14ac:dyDescent="0.25">
      <c r="R3808">
        <v>3496488.3532766812</v>
      </c>
      <c r="S3808">
        <v>0</v>
      </c>
    </row>
    <row r="3809" spans="18:19" x14ac:dyDescent="0.25">
      <c r="R3809">
        <v>3496514.0157775534</v>
      </c>
      <c r="S3809">
        <v>0</v>
      </c>
    </row>
    <row r="3810" spans="18:19" x14ac:dyDescent="0.25">
      <c r="R3810">
        <v>3496539.6782784257</v>
      </c>
      <c r="S3810">
        <v>0</v>
      </c>
    </row>
    <row r="3811" spans="18:19" x14ac:dyDescent="0.25">
      <c r="R3811">
        <v>3496565.3407792985</v>
      </c>
      <c r="S3811">
        <v>0</v>
      </c>
    </row>
    <row r="3812" spans="18:19" x14ac:dyDescent="0.25">
      <c r="R3812">
        <v>3496591.0032801707</v>
      </c>
      <c r="S3812">
        <v>0</v>
      </c>
    </row>
    <row r="3813" spans="18:19" x14ac:dyDescent="0.25">
      <c r="R3813">
        <v>3496616.665781043</v>
      </c>
      <c r="S3813">
        <v>0</v>
      </c>
    </row>
    <row r="3814" spans="18:19" x14ac:dyDescent="0.25">
      <c r="R3814">
        <v>3496642.3282819153</v>
      </c>
      <c r="S3814">
        <v>0</v>
      </c>
    </row>
    <row r="3815" spans="18:19" x14ac:dyDescent="0.25">
      <c r="R3815">
        <v>3496667.990782788</v>
      </c>
      <c r="S3815">
        <v>0</v>
      </c>
    </row>
    <row r="3816" spans="18:19" x14ac:dyDescent="0.25">
      <c r="R3816">
        <v>3496693.6532836603</v>
      </c>
      <c r="S3816">
        <v>0</v>
      </c>
    </row>
    <row r="3817" spans="18:19" x14ac:dyDescent="0.25">
      <c r="R3817">
        <v>3496719.3157845326</v>
      </c>
      <c r="S3817">
        <v>0</v>
      </c>
    </row>
    <row r="3818" spans="18:19" x14ac:dyDescent="0.25">
      <c r="R3818">
        <v>3496744.9782854049</v>
      </c>
      <c r="S3818">
        <v>0</v>
      </c>
    </row>
    <row r="3819" spans="18:19" x14ac:dyDescent="0.25">
      <c r="R3819">
        <v>3496770.6407862776</v>
      </c>
      <c r="S3819">
        <v>0</v>
      </c>
    </row>
    <row r="3820" spans="18:19" x14ac:dyDescent="0.25">
      <c r="R3820">
        <v>3496796.3032871499</v>
      </c>
      <c r="S3820">
        <v>0</v>
      </c>
    </row>
    <row r="3821" spans="18:19" x14ac:dyDescent="0.25">
      <c r="R3821">
        <v>3496821.9657880221</v>
      </c>
      <c r="S3821">
        <v>0</v>
      </c>
    </row>
    <row r="3822" spans="18:19" x14ac:dyDescent="0.25">
      <c r="R3822">
        <v>3496847.6282888944</v>
      </c>
      <c r="S3822">
        <v>0</v>
      </c>
    </row>
    <row r="3823" spans="18:19" x14ac:dyDescent="0.25">
      <c r="R3823">
        <v>3496873.2907897667</v>
      </c>
      <c r="S3823">
        <v>0</v>
      </c>
    </row>
    <row r="3824" spans="18:19" x14ac:dyDescent="0.25">
      <c r="R3824">
        <v>3496898.9532906394</v>
      </c>
      <c r="S3824">
        <v>0</v>
      </c>
    </row>
    <row r="3825" spans="18:19" x14ac:dyDescent="0.25">
      <c r="R3825">
        <v>3496924.6157915117</v>
      </c>
      <c r="S3825">
        <v>0</v>
      </c>
    </row>
    <row r="3826" spans="18:19" x14ac:dyDescent="0.25">
      <c r="R3826">
        <v>3496950.278292384</v>
      </c>
      <c r="S3826">
        <v>0</v>
      </c>
    </row>
    <row r="3827" spans="18:19" x14ac:dyDescent="0.25">
      <c r="R3827">
        <v>3496975.9407932563</v>
      </c>
      <c r="S3827">
        <v>0</v>
      </c>
    </row>
    <row r="3828" spans="18:19" x14ac:dyDescent="0.25">
      <c r="R3828">
        <v>3497001.603294129</v>
      </c>
      <c r="S3828">
        <v>0</v>
      </c>
    </row>
    <row r="3829" spans="18:19" x14ac:dyDescent="0.25">
      <c r="R3829">
        <v>3497027.2657950013</v>
      </c>
      <c r="S3829">
        <v>0</v>
      </c>
    </row>
    <row r="3830" spans="18:19" x14ac:dyDescent="0.25">
      <c r="R3830">
        <v>3497052.9282958736</v>
      </c>
      <c r="S3830">
        <v>0</v>
      </c>
    </row>
    <row r="3831" spans="18:19" x14ac:dyDescent="0.25">
      <c r="R3831">
        <v>3497078.5907967458</v>
      </c>
      <c r="S3831">
        <v>0</v>
      </c>
    </row>
    <row r="3832" spans="18:19" x14ac:dyDescent="0.25">
      <c r="R3832">
        <v>3497104.2532976186</v>
      </c>
      <c r="S3832">
        <v>0</v>
      </c>
    </row>
    <row r="3833" spans="18:19" x14ac:dyDescent="0.25">
      <c r="R3833">
        <v>3497129.9157984909</v>
      </c>
      <c r="S3833">
        <v>0</v>
      </c>
    </row>
    <row r="3834" spans="18:19" x14ac:dyDescent="0.25">
      <c r="R3834">
        <v>3497155.5782993631</v>
      </c>
      <c r="S3834">
        <v>0</v>
      </c>
    </row>
    <row r="3835" spans="18:19" x14ac:dyDescent="0.25">
      <c r="R3835">
        <v>3497181.2408002354</v>
      </c>
      <c r="S3835">
        <v>0</v>
      </c>
    </row>
    <row r="3836" spans="18:19" x14ac:dyDescent="0.25">
      <c r="R3836">
        <v>3497206.9033011082</v>
      </c>
      <c r="S3836">
        <v>0</v>
      </c>
    </row>
    <row r="3837" spans="18:19" x14ac:dyDescent="0.25">
      <c r="R3837">
        <v>3497232.5658019804</v>
      </c>
      <c r="S3837">
        <v>0</v>
      </c>
    </row>
    <row r="3838" spans="18:19" x14ac:dyDescent="0.25">
      <c r="R3838">
        <v>3497258.2283028527</v>
      </c>
      <c r="S3838">
        <v>0</v>
      </c>
    </row>
    <row r="3839" spans="18:19" x14ac:dyDescent="0.25">
      <c r="R3839">
        <v>3497283.890803725</v>
      </c>
      <c r="S3839">
        <v>0</v>
      </c>
    </row>
    <row r="3840" spans="18:19" x14ac:dyDescent="0.25">
      <c r="R3840">
        <v>3497309.5533045973</v>
      </c>
      <c r="S3840">
        <v>0</v>
      </c>
    </row>
    <row r="3841" spans="18:19" x14ac:dyDescent="0.25">
      <c r="R3841">
        <v>3497335.21580547</v>
      </c>
      <c r="S3841">
        <v>0</v>
      </c>
    </row>
    <row r="3842" spans="18:19" x14ac:dyDescent="0.25">
      <c r="R3842">
        <v>3497360.8783063423</v>
      </c>
      <c r="S3842">
        <v>0</v>
      </c>
    </row>
    <row r="3843" spans="18:19" x14ac:dyDescent="0.25">
      <c r="R3843">
        <v>3497386.5408072146</v>
      </c>
      <c r="S3843">
        <v>0</v>
      </c>
    </row>
    <row r="3844" spans="18:19" x14ac:dyDescent="0.25">
      <c r="R3844">
        <v>3497412.2033080868</v>
      </c>
      <c r="S3844">
        <v>0</v>
      </c>
    </row>
    <row r="3845" spans="18:19" x14ac:dyDescent="0.25">
      <c r="R3845">
        <v>3497437.8658089596</v>
      </c>
      <c r="S3845">
        <v>0</v>
      </c>
    </row>
    <row r="3846" spans="18:19" x14ac:dyDescent="0.25">
      <c r="R3846">
        <v>3497463.5283098319</v>
      </c>
      <c r="S3846">
        <v>0</v>
      </c>
    </row>
    <row r="3847" spans="18:19" x14ac:dyDescent="0.25">
      <c r="R3847">
        <v>3497489.1908107041</v>
      </c>
      <c r="S3847">
        <v>0</v>
      </c>
    </row>
    <row r="3848" spans="18:19" x14ac:dyDescent="0.25">
      <c r="R3848">
        <v>3497514.8533115764</v>
      </c>
      <c r="S3848">
        <v>0</v>
      </c>
    </row>
    <row r="3849" spans="18:19" x14ac:dyDescent="0.25">
      <c r="R3849">
        <v>3497540.5158124492</v>
      </c>
      <c r="S3849">
        <v>0</v>
      </c>
    </row>
    <row r="3850" spans="18:19" x14ac:dyDescent="0.25">
      <c r="R3850">
        <v>3497566.1783133214</v>
      </c>
      <c r="S3850">
        <v>0</v>
      </c>
    </row>
    <row r="3851" spans="18:19" x14ac:dyDescent="0.25">
      <c r="R3851">
        <v>3497591.8408141937</v>
      </c>
      <c r="S3851">
        <v>0</v>
      </c>
    </row>
    <row r="3852" spans="18:19" x14ac:dyDescent="0.25">
      <c r="R3852">
        <v>3497617.503315066</v>
      </c>
      <c r="S3852">
        <v>0</v>
      </c>
    </row>
    <row r="3853" spans="18:19" x14ac:dyDescent="0.25">
      <c r="R3853">
        <v>3497643.1658159387</v>
      </c>
      <c r="S3853">
        <v>0</v>
      </c>
    </row>
    <row r="3854" spans="18:19" x14ac:dyDescent="0.25">
      <c r="R3854">
        <v>3497668.828316811</v>
      </c>
      <c r="S3854">
        <v>0</v>
      </c>
    </row>
    <row r="3855" spans="18:19" x14ac:dyDescent="0.25">
      <c r="R3855">
        <v>3497694.4908176833</v>
      </c>
      <c r="S3855">
        <v>0</v>
      </c>
    </row>
    <row r="3856" spans="18:19" x14ac:dyDescent="0.25">
      <c r="R3856">
        <v>3497720.1533185556</v>
      </c>
      <c r="S3856">
        <v>0</v>
      </c>
    </row>
    <row r="3857" spans="18:19" x14ac:dyDescent="0.25">
      <c r="R3857">
        <v>3497745.8158194278</v>
      </c>
      <c r="S3857">
        <v>0</v>
      </c>
    </row>
    <row r="3858" spans="18:19" x14ac:dyDescent="0.25">
      <c r="R3858">
        <v>3497771.4783203006</v>
      </c>
      <c r="S3858">
        <v>0</v>
      </c>
    </row>
    <row r="3859" spans="18:19" x14ac:dyDescent="0.25">
      <c r="R3859">
        <v>3497797.1408211729</v>
      </c>
      <c r="S3859">
        <v>0</v>
      </c>
    </row>
    <row r="3860" spans="18:19" x14ac:dyDescent="0.25">
      <c r="R3860">
        <v>3497822.8033220451</v>
      </c>
      <c r="S3860">
        <v>0</v>
      </c>
    </row>
    <row r="3861" spans="18:19" x14ac:dyDescent="0.25">
      <c r="R3861">
        <v>3497848.4658229174</v>
      </c>
      <c r="S3861">
        <v>0</v>
      </c>
    </row>
    <row r="3862" spans="18:19" x14ac:dyDescent="0.25">
      <c r="R3862">
        <v>3497874.1283237902</v>
      </c>
      <c r="S3862">
        <v>0</v>
      </c>
    </row>
    <row r="3863" spans="18:19" x14ac:dyDescent="0.25">
      <c r="R3863">
        <v>3497899.7908246624</v>
      </c>
      <c r="S3863">
        <v>0</v>
      </c>
    </row>
    <row r="3864" spans="18:19" x14ac:dyDescent="0.25">
      <c r="R3864">
        <v>3497925.4533255347</v>
      </c>
      <c r="S3864">
        <v>0</v>
      </c>
    </row>
    <row r="3865" spans="18:19" x14ac:dyDescent="0.25">
      <c r="R3865">
        <v>3497951.115826407</v>
      </c>
      <c r="S3865">
        <v>0</v>
      </c>
    </row>
    <row r="3866" spans="18:19" x14ac:dyDescent="0.25">
      <c r="R3866">
        <v>3497976.7783272797</v>
      </c>
      <c r="S3866">
        <v>0</v>
      </c>
    </row>
    <row r="3867" spans="18:19" x14ac:dyDescent="0.25">
      <c r="R3867">
        <v>3498002.440828152</v>
      </c>
      <c r="S3867">
        <v>0</v>
      </c>
    </row>
    <row r="3868" spans="18:19" x14ac:dyDescent="0.25">
      <c r="R3868">
        <v>3498028.1033290243</v>
      </c>
      <c r="S3868">
        <v>0</v>
      </c>
    </row>
    <row r="3869" spans="18:19" x14ac:dyDescent="0.25">
      <c r="R3869">
        <v>3498053.7658298966</v>
      </c>
      <c r="S3869">
        <v>0</v>
      </c>
    </row>
    <row r="3870" spans="18:19" x14ac:dyDescent="0.25">
      <c r="R3870">
        <v>3498079.4283307688</v>
      </c>
      <c r="S3870">
        <v>0</v>
      </c>
    </row>
    <row r="3871" spans="18:19" x14ac:dyDescent="0.25">
      <c r="R3871">
        <v>3498105.0908316416</v>
      </c>
      <c r="S3871">
        <v>0</v>
      </c>
    </row>
    <row r="3872" spans="18:19" x14ac:dyDescent="0.25">
      <c r="R3872">
        <v>3498130.7533325139</v>
      </c>
      <c r="S3872">
        <v>0</v>
      </c>
    </row>
    <row r="3873" spans="18:19" x14ac:dyDescent="0.25">
      <c r="R3873">
        <v>3498156.4158333861</v>
      </c>
      <c r="S3873">
        <v>0</v>
      </c>
    </row>
    <row r="3874" spans="18:19" x14ac:dyDescent="0.25">
      <c r="R3874">
        <v>3498182.0783342584</v>
      </c>
      <c r="S3874">
        <v>0</v>
      </c>
    </row>
    <row r="3875" spans="18:19" x14ac:dyDescent="0.25">
      <c r="R3875">
        <v>3498207.7408351311</v>
      </c>
      <c r="S3875">
        <v>0</v>
      </c>
    </row>
    <row r="3876" spans="18:19" x14ac:dyDescent="0.25">
      <c r="R3876">
        <v>3498233.4033360034</v>
      </c>
      <c r="S3876">
        <v>0</v>
      </c>
    </row>
    <row r="3877" spans="18:19" x14ac:dyDescent="0.25">
      <c r="R3877">
        <v>3498259.0658368757</v>
      </c>
      <c r="S3877">
        <v>0</v>
      </c>
    </row>
    <row r="3878" spans="18:19" x14ac:dyDescent="0.25">
      <c r="R3878">
        <v>3498284.728337748</v>
      </c>
      <c r="S3878">
        <v>0</v>
      </c>
    </row>
    <row r="3879" spans="18:19" x14ac:dyDescent="0.25">
      <c r="R3879">
        <v>3498310.3908386207</v>
      </c>
      <c r="S3879">
        <v>0</v>
      </c>
    </row>
    <row r="3880" spans="18:19" x14ac:dyDescent="0.25">
      <c r="R3880">
        <v>3498336.053339493</v>
      </c>
      <c r="S3880">
        <v>0</v>
      </c>
    </row>
    <row r="3881" spans="18:19" x14ac:dyDescent="0.25">
      <c r="R3881">
        <v>3498361.7158403653</v>
      </c>
      <c r="S3881">
        <v>0</v>
      </c>
    </row>
    <row r="3882" spans="18:19" x14ac:dyDescent="0.25">
      <c r="R3882">
        <v>3498387.3783412375</v>
      </c>
      <c r="S3882">
        <v>0</v>
      </c>
    </row>
    <row r="3883" spans="18:19" x14ac:dyDescent="0.25">
      <c r="R3883">
        <v>3498413.0408421103</v>
      </c>
      <c r="S3883">
        <v>0</v>
      </c>
    </row>
    <row r="3884" spans="18:19" x14ac:dyDescent="0.25">
      <c r="R3884">
        <v>3498438.7033429826</v>
      </c>
      <c r="S3884">
        <v>0</v>
      </c>
    </row>
    <row r="3885" spans="18:19" x14ac:dyDescent="0.25">
      <c r="R3885">
        <v>3498464.3658438548</v>
      </c>
      <c r="S3885">
        <v>0</v>
      </c>
    </row>
    <row r="3886" spans="18:19" x14ac:dyDescent="0.25">
      <c r="R3886">
        <v>3498490.0283447271</v>
      </c>
      <c r="S3886">
        <v>0</v>
      </c>
    </row>
    <row r="3887" spans="18:19" x14ac:dyDescent="0.25">
      <c r="R3887">
        <v>3498515.6908455994</v>
      </c>
      <c r="S3887">
        <v>0</v>
      </c>
    </row>
    <row r="3888" spans="18:19" x14ac:dyDescent="0.25">
      <c r="R3888">
        <v>3498541.3533464721</v>
      </c>
      <c r="S3888">
        <v>0</v>
      </c>
    </row>
    <row r="3889" spans="18:19" x14ac:dyDescent="0.25">
      <c r="R3889">
        <v>3498567.0158473444</v>
      </c>
      <c r="S3889">
        <v>0</v>
      </c>
    </row>
    <row r="3890" spans="18:19" x14ac:dyDescent="0.25">
      <c r="R3890">
        <v>3498592.6783482167</v>
      </c>
      <c r="S3890">
        <v>0</v>
      </c>
    </row>
    <row r="3891" spans="18:19" x14ac:dyDescent="0.25">
      <c r="R3891">
        <v>3498618.340849089</v>
      </c>
      <c r="S3891">
        <v>0</v>
      </c>
    </row>
    <row r="3892" spans="18:19" x14ac:dyDescent="0.25">
      <c r="R3892">
        <v>3498644.0033499617</v>
      </c>
      <c r="S3892">
        <v>0</v>
      </c>
    </row>
    <row r="3893" spans="18:19" x14ac:dyDescent="0.25">
      <c r="R3893">
        <v>3498669.665850834</v>
      </c>
      <c r="S3893">
        <v>0</v>
      </c>
    </row>
    <row r="3894" spans="18:19" x14ac:dyDescent="0.25">
      <c r="R3894">
        <v>3498695.3283517063</v>
      </c>
      <c r="S3894">
        <v>0</v>
      </c>
    </row>
    <row r="3895" spans="18:19" x14ac:dyDescent="0.25">
      <c r="R3895">
        <v>3498720.9908525785</v>
      </c>
      <c r="S3895">
        <v>0</v>
      </c>
    </row>
    <row r="3896" spans="18:19" x14ac:dyDescent="0.25">
      <c r="R3896">
        <v>3498746.6533534513</v>
      </c>
      <c r="S3896">
        <v>0</v>
      </c>
    </row>
    <row r="3897" spans="18:19" x14ac:dyDescent="0.25">
      <c r="R3897">
        <v>3498772.3158543236</v>
      </c>
      <c r="S3897">
        <v>0</v>
      </c>
    </row>
    <row r="3898" spans="18:19" x14ac:dyDescent="0.25">
      <c r="R3898">
        <v>3498797.9783551958</v>
      </c>
      <c r="S3898">
        <v>0</v>
      </c>
    </row>
    <row r="3899" spans="18:19" x14ac:dyDescent="0.25">
      <c r="R3899">
        <v>3498823.6408560681</v>
      </c>
      <c r="S3899">
        <v>0</v>
      </c>
    </row>
    <row r="3900" spans="18:19" x14ac:dyDescent="0.25">
      <c r="R3900">
        <v>3498849.3033569409</v>
      </c>
      <c r="S3900">
        <v>0</v>
      </c>
    </row>
    <row r="3901" spans="18:19" x14ac:dyDescent="0.25">
      <c r="R3901">
        <v>3498874.9658578131</v>
      </c>
      <c r="S3901">
        <v>0</v>
      </c>
    </row>
    <row r="3902" spans="18:19" x14ac:dyDescent="0.25">
      <c r="R3902">
        <v>3498900.6283586854</v>
      </c>
      <c r="S3902">
        <v>0</v>
      </c>
    </row>
    <row r="3903" spans="18:19" x14ac:dyDescent="0.25">
      <c r="R3903">
        <v>3498926.2908595577</v>
      </c>
      <c r="S3903">
        <v>0</v>
      </c>
    </row>
    <row r="3904" spans="18:19" x14ac:dyDescent="0.25">
      <c r="R3904">
        <v>3498951.95336043</v>
      </c>
      <c r="S3904">
        <v>0</v>
      </c>
    </row>
    <row r="3905" spans="18:19" x14ac:dyDescent="0.25">
      <c r="R3905">
        <v>3498977.6158613027</v>
      </c>
      <c r="S3905">
        <v>0</v>
      </c>
    </row>
    <row r="3906" spans="18:19" x14ac:dyDescent="0.25">
      <c r="R3906">
        <v>3499003.278362175</v>
      </c>
      <c r="S3906">
        <v>0</v>
      </c>
    </row>
    <row r="3907" spans="18:19" x14ac:dyDescent="0.25">
      <c r="R3907">
        <v>3499028.9408630473</v>
      </c>
      <c r="S3907">
        <v>0</v>
      </c>
    </row>
    <row r="3908" spans="18:19" x14ac:dyDescent="0.25">
      <c r="R3908">
        <v>3499054.6033639195</v>
      </c>
      <c r="S3908">
        <v>0</v>
      </c>
    </row>
    <row r="3909" spans="18:19" x14ac:dyDescent="0.25">
      <c r="R3909">
        <v>3499080.2658647923</v>
      </c>
      <c r="S3909">
        <v>0</v>
      </c>
    </row>
    <row r="3910" spans="18:19" x14ac:dyDescent="0.25">
      <c r="R3910">
        <v>3499105.9283656646</v>
      </c>
      <c r="S3910">
        <v>0</v>
      </c>
    </row>
    <row r="3911" spans="18:19" x14ac:dyDescent="0.25">
      <c r="R3911">
        <v>3499131.5908665368</v>
      </c>
      <c r="S3911">
        <v>0</v>
      </c>
    </row>
    <row r="3912" spans="18:19" x14ac:dyDescent="0.25">
      <c r="R3912">
        <v>3499157.2533674091</v>
      </c>
      <c r="S3912">
        <v>0</v>
      </c>
    </row>
    <row r="3913" spans="18:19" x14ac:dyDescent="0.25">
      <c r="R3913">
        <v>3499182.9158682819</v>
      </c>
      <c r="S3913">
        <v>0</v>
      </c>
    </row>
    <row r="3914" spans="18:19" x14ac:dyDescent="0.25">
      <c r="R3914">
        <v>3499208.5783691541</v>
      </c>
      <c r="S3914">
        <v>0</v>
      </c>
    </row>
    <row r="3915" spans="18:19" x14ac:dyDescent="0.25">
      <c r="R3915">
        <v>3499234.2408700264</v>
      </c>
      <c r="S3915">
        <v>0</v>
      </c>
    </row>
    <row r="3916" spans="18:19" x14ac:dyDescent="0.25">
      <c r="R3916">
        <v>3499259.9033708987</v>
      </c>
      <c r="S3916">
        <v>0</v>
      </c>
    </row>
    <row r="3917" spans="18:19" x14ac:dyDescent="0.25">
      <c r="R3917">
        <v>3499285.5658717714</v>
      </c>
      <c r="S3917">
        <v>0</v>
      </c>
    </row>
    <row r="3918" spans="18:19" x14ac:dyDescent="0.25">
      <c r="R3918">
        <v>3499311.2283726437</v>
      </c>
      <c r="S3918">
        <v>0</v>
      </c>
    </row>
    <row r="3919" spans="18:19" x14ac:dyDescent="0.25">
      <c r="R3919">
        <v>3499336.890873516</v>
      </c>
      <c r="S3919">
        <v>0</v>
      </c>
    </row>
    <row r="3920" spans="18:19" x14ac:dyDescent="0.25">
      <c r="R3920">
        <v>3499362.5533743883</v>
      </c>
      <c r="S3920">
        <v>0</v>
      </c>
    </row>
    <row r="3921" spans="18:19" x14ac:dyDescent="0.25">
      <c r="R3921">
        <v>3499388.2158752605</v>
      </c>
      <c r="S3921">
        <v>0</v>
      </c>
    </row>
    <row r="3922" spans="18:19" x14ac:dyDescent="0.25">
      <c r="R3922">
        <v>3499413.8783761333</v>
      </c>
      <c r="S3922">
        <v>0</v>
      </c>
    </row>
    <row r="3923" spans="18:19" x14ac:dyDescent="0.25">
      <c r="R3923">
        <v>3499439.5408770056</v>
      </c>
      <c r="S3923">
        <v>0</v>
      </c>
    </row>
    <row r="3924" spans="18:19" x14ac:dyDescent="0.25">
      <c r="R3924">
        <v>3499465.2033778778</v>
      </c>
      <c r="S3924">
        <v>0</v>
      </c>
    </row>
    <row r="3925" spans="18:19" x14ac:dyDescent="0.25">
      <c r="R3925">
        <v>3499490.8658787501</v>
      </c>
      <c r="S3925">
        <v>0</v>
      </c>
    </row>
    <row r="3926" spans="18:19" x14ac:dyDescent="0.25">
      <c r="R3926">
        <v>3499516.5283796228</v>
      </c>
      <c r="S3926">
        <v>0</v>
      </c>
    </row>
    <row r="3927" spans="18:19" x14ac:dyDescent="0.25">
      <c r="R3927">
        <v>3499542.1908804951</v>
      </c>
      <c r="S3927">
        <v>0</v>
      </c>
    </row>
    <row r="3928" spans="18:19" x14ac:dyDescent="0.25">
      <c r="R3928">
        <v>3499567.8533813674</v>
      </c>
      <c r="S3928">
        <v>0</v>
      </c>
    </row>
    <row r="3929" spans="18:19" x14ac:dyDescent="0.25">
      <c r="R3929">
        <v>3499593.5158822397</v>
      </c>
      <c r="S3929">
        <v>0</v>
      </c>
    </row>
    <row r="3930" spans="18:19" x14ac:dyDescent="0.25">
      <c r="R3930">
        <v>3499619.1783831124</v>
      </c>
      <c r="S3930">
        <v>0</v>
      </c>
    </row>
    <row r="3931" spans="18:19" x14ac:dyDescent="0.25">
      <c r="R3931">
        <v>3499644.8408839847</v>
      </c>
      <c r="S3931">
        <v>0</v>
      </c>
    </row>
    <row r="3932" spans="18:19" x14ac:dyDescent="0.25">
      <c r="R3932">
        <v>3499670.503384857</v>
      </c>
      <c r="S3932">
        <v>0</v>
      </c>
    </row>
    <row r="3933" spans="18:19" x14ac:dyDescent="0.25">
      <c r="R3933">
        <v>3499696.1658857292</v>
      </c>
      <c r="S3933">
        <v>0</v>
      </c>
    </row>
    <row r="3934" spans="18:19" x14ac:dyDescent="0.25">
      <c r="R3934">
        <v>3499721.8283866015</v>
      </c>
      <c r="S3934">
        <v>0</v>
      </c>
    </row>
    <row r="3935" spans="18:19" x14ac:dyDescent="0.25">
      <c r="R3935">
        <v>3499747.4908874743</v>
      </c>
      <c r="S3935">
        <v>0</v>
      </c>
    </row>
    <row r="3936" spans="18:19" x14ac:dyDescent="0.25">
      <c r="R3936">
        <v>3499773.1533883465</v>
      </c>
      <c r="S3936">
        <v>0</v>
      </c>
    </row>
    <row r="3937" spans="18:19" x14ac:dyDescent="0.25">
      <c r="R3937">
        <v>3499798.8158892188</v>
      </c>
      <c r="S3937">
        <v>0</v>
      </c>
    </row>
    <row r="3938" spans="18:19" x14ac:dyDescent="0.25">
      <c r="R3938">
        <v>3499824.4783900911</v>
      </c>
      <c r="S3938">
        <v>0</v>
      </c>
    </row>
    <row r="3939" spans="18:19" x14ac:dyDescent="0.25">
      <c r="R3939">
        <v>3499850.1408909638</v>
      </c>
      <c r="S3939">
        <v>0</v>
      </c>
    </row>
    <row r="3940" spans="18:19" x14ac:dyDescent="0.25">
      <c r="R3940">
        <v>3499875.8033918361</v>
      </c>
      <c r="S3940">
        <v>0</v>
      </c>
    </row>
    <row r="3941" spans="18:19" x14ac:dyDescent="0.25">
      <c r="R3941">
        <v>3499901.4658927084</v>
      </c>
      <c r="S3941">
        <v>0</v>
      </c>
    </row>
    <row r="3942" spans="18:19" x14ac:dyDescent="0.25">
      <c r="R3942">
        <v>3499927.1283935807</v>
      </c>
      <c r="S3942">
        <v>0</v>
      </c>
    </row>
    <row r="3943" spans="18:19" x14ac:dyDescent="0.25">
      <c r="R3943">
        <v>3499952.7908944534</v>
      </c>
      <c r="S3943">
        <v>0</v>
      </c>
    </row>
    <row r="3944" spans="18:19" x14ac:dyDescent="0.25">
      <c r="R3944">
        <v>3499978.4533953257</v>
      </c>
      <c r="S3944">
        <v>0</v>
      </c>
    </row>
    <row r="3945" spans="18:19" x14ac:dyDescent="0.25">
      <c r="R3945">
        <v>3500004.115896198</v>
      </c>
      <c r="S3945">
        <v>0</v>
      </c>
    </row>
    <row r="3946" spans="18:19" x14ac:dyDescent="0.25">
      <c r="R3946">
        <v>3500029.7783970702</v>
      </c>
      <c r="S3946">
        <v>0</v>
      </c>
    </row>
    <row r="3947" spans="18:19" x14ac:dyDescent="0.25">
      <c r="R3947">
        <v>3500055.440897943</v>
      </c>
      <c r="S3947">
        <v>0</v>
      </c>
    </row>
    <row r="3948" spans="18:19" x14ac:dyDescent="0.25">
      <c r="R3948">
        <v>3500081.1033988153</v>
      </c>
      <c r="S3948">
        <v>0</v>
      </c>
    </row>
    <row r="3949" spans="18:19" x14ac:dyDescent="0.25">
      <c r="R3949">
        <v>3500106.7658996875</v>
      </c>
      <c r="S3949">
        <v>0</v>
      </c>
    </row>
    <row r="3950" spans="18:19" x14ac:dyDescent="0.25">
      <c r="R3950">
        <v>3500132.4284005598</v>
      </c>
      <c r="S3950">
        <v>0</v>
      </c>
    </row>
    <row r="3951" spans="18:19" x14ac:dyDescent="0.25">
      <c r="R3951">
        <v>3500158.0909014321</v>
      </c>
      <c r="S3951">
        <v>0</v>
      </c>
    </row>
    <row r="3952" spans="18:19" x14ac:dyDescent="0.25">
      <c r="R3952">
        <v>3500183.7534023048</v>
      </c>
      <c r="S3952">
        <v>0</v>
      </c>
    </row>
    <row r="3953" spans="18:19" x14ac:dyDescent="0.25">
      <c r="R3953">
        <v>3500209.4159031771</v>
      </c>
      <c r="S3953">
        <v>0</v>
      </c>
    </row>
    <row r="3954" spans="18:19" x14ac:dyDescent="0.25">
      <c r="R3954">
        <v>3500235.0784040494</v>
      </c>
      <c r="S3954">
        <v>0</v>
      </c>
    </row>
    <row r="3955" spans="18:19" x14ac:dyDescent="0.25">
      <c r="R3955">
        <v>3500260.7409049217</v>
      </c>
      <c r="S3955">
        <v>0</v>
      </c>
    </row>
    <row r="3956" spans="18:19" x14ac:dyDescent="0.25">
      <c r="R3956">
        <v>3500286.4034057944</v>
      </c>
      <c r="S3956">
        <v>0</v>
      </c>
    </row>
    <row r="3957" spans="18:19" x14ac:dyDescent="0.25">
      <c r="R3957">
        <v>3500312.0659066667</v>
      </c>
      <c r="S3957">
        <v>0</v>
      </c>
    </row>
    <row r="3958" spans="18:19" x14ac:dyDescent="0.25">
      <c r="R3958">
        <v>3500337.728407539</v>
      </c>
      <c r="S3958">
        <v>0</v>
      </c>
    </row>
    <row r="3959" spans="18:19" x14ac:dyDescent="0.25">
      <c r="R3959">
        <v>3500363.3909084112</v>
      </c>
      <c r="S3959">
        <v>0</v>
      </c>
    </row>
    <row r="3960" spans="18:19" x14ac:dyDescent="0.25">
      <c r="R3960">
        <v>3500389.053409284</v>
      </c>
      <c r="S3960">
        <v>0</v>
      </c>
    </row>
    <row r="3961" spans="18:19" x14ac:dyDescent="0.25">
      <c r="R3961">
        <v>3500414.7159101563</v>
      </c>
      <c r="S3961">
        <v>0</v>
      </c>
    </row>
    <row r="3962" spans="18:19" x14ac:dyDescent="0.25">
      <c r="R3962">
        <v>3500440.3784110285</v>
      </c>
      <c r="S3962">
        <v>0</v>
      </c>
    </row>
    <row r="3963" spans="18:19" x14ac:dyDescent="0.25">
      <c r="R3963">
        <v>3500466.0409119008</v>
      </c>
      <c r="S3963">
        <v>0</v>
      </c>
    </row>
    <row r="3964" spans="18:19" x14ac:dyDescent="0.25">
      <c r="R3964">
        <v>3500491.7034127736</v>
      </c>
      <c r="S3964">
        <v>0</v>
      </c>
    </row>
    <row r="3965" spans="18:19" x14ac:dyDescent="0.25">
      <c r="R3965">
        <v>3500517.3659136458</v>
      </c>
      <c r="S3965">
        <v>0</v>
      </c>
    </row>
    <row r="3966" spans="18:19" x14ac:dyDescent="0.25">
      <c r="R3966">
        <v>3500543.0284145181</v>
      </c>
      <c r="S3966">
        <v>0</v>
      </c>
    </row>
    <row r="3967" spans="18:19" x14ac:dyDescent="0.25">
      <c r="R3967">
        <v>3500568.6909153904</v>
      </c>
      <c r="S3967">
        <v>0</v>
      </c>
    </row>
    <row r="3968" spans="18:19" x14ac:dyDescent="0.25">
      <c r="R3968">
        <v>3500594.3534162627</v>
      </c>
      <c r="S3968">
        <v>0</v>
      </c>
    </row>
    <row r="3969" spans="18:19" x14ac:dyDescent="0.25">
      <c r="R3969">
        <v>3500620.0159171354</v>
      </c>
      <c r="S3969">
        <v>0</v>
      </c>
    </row>
    <row r="3970" spans="18:19" x14ac:dyDescent="0.25">
      <c r="R3970">
        <v>3500645.6784180077</v>
      </c>
      <c r="S3970">
        <v>0</v>
      </c>
    </row>
    <row r="3971" spans="18:19" x14ac:dyDescent="0.25">
      <c r="R3971">
        <v>3500671.34091888</v>
      </c>
      <c r="S3971">
        <v>0</v>
      </c>
    </row>
    <row r="3972" spans="18:19" x14ac:dyDescent="0.25">
      <c r="R3972">
        <v>3500697.0034197522</v>
      </c>
      <c r="S3972">
        <v>0</v>
      </c>
    </row>
    <row r="3973" spans="18:19" x14ac:dyDescent="0.25">
      <c r="R3973">
        <v>3500722.665920625</v>
      </c>
      <c r="S3973">
        <v>0</v>
      </c>
    </row>
    <row r="3974" spans="18:19" x14ac:dyDescent="0.25">
      <c r="R3974">
        <v>3500748.3284214973</v>
      </c>
      <c r="S3974">
        <v>0</v>
      </c>
    </row>
    <row r="3975" spans="18:19" x14ac:dyDescent="0.25">
      <c r="R3975">
        <v>3500773.9909223695</v>
      </c>
      <c r="S3975">
        <v>0</v>
      </c>
    </row>
    <row r="3976" spans="18:19" x14ac:dyDescent="0.25">
      <c r="R3976">
        <v>3500799.6534232418</v>
      </c>
      <c r="S3976">
        <v>0</v>
      </c>
    </row>
    <row r="3977" spans="18:19" x14ac:dyDescent="0.25">
      <c r="R3977">
        <v>3500825.3159241145</v>
      </c>
      <c r="S3977">
        <v>0</v>
      </c>
    </row>
    <row r="3978" spans="18:19" x14ac:dyDescent="0.25">
      <c r="R3978">
        <v>3500850.9784249868</v>
      </c>
      <c r="S3978">
        <v>0</v>
      </c>
    </row>
    <row r="3979" spans="18:19" x14ac:dyDescent="0.25">
      <c r="R3979">
        <v>3500876.6409258591</v>
      </c>
      <c r="S3979">
        <v>0</v>
      </c>
    </row>
    <row r="3980" spans="18:19" x14ac:dyDescent="0.25">
      <c r="R3980">
        <v>3500902.3034267314</v>
      </c>
      <c r="S3980">
        <v>0</v>
      </c>
    </row>
    <row r="3981" spans="18:19" x14ac:dyDescent="0.25">
      <c r="R3981">
        <v>3500927.9659276041</v>
      </c>
      <c r="S3981">
        <v>0</v>
      </c>
    </row>
    <row r="3982" spans="18:19" x14ac:dyDescent="0.25">
      <c r="R3982">
        <v>3500953.6284284764</v>
      </c>
      <c r="S3982">
        <v>0</v>
      </c>
    </row>
    <row r="3983" spans="18:19" x14ac:dyDescent="0.25">
      <c r="R3983">
        <v>3500979.2909293487</v>
      </c>
      <c r="S3983">
        <v>0</v>
      </c>
    </row>
    <row r="3984" spans="18:19" x14ac:dyDescent="0.25">
      <c r="R3984">
        <v>3501004.953430221</v>
      </c>
      <c r="S3984">
        <v>0</v>
      </c>
    </row>
    <row r="3985" spans="18:19" x14ac:dyDescent="0.25">
      <c r="R3985">
        <v>3501030.6159310932</v>
      </c>
      <c r="S3985">
        <v>0</v>
      </c>
    </row>
    <row r="3986" spans="18:19" x14ac:dyDescent="0.25">
      <c r="R3986">
        <v>3501056.278431966</v>
      </c>
      <c r="S3986">
        <v>0</v>
      </c>
    </row>
    <row r="3987" spans="18:19" x14ac:dyDescent="0.25">
      <c r="R3987">
        <v>3501081.9409328382</v>
      </c>
      <c r="S3987">
        <v>0</v>
      </c>
    </row>
    <row r="3988" spans="18:19" x14ac:dyDescent="0.25">
      <c r="R3988">
        <v>3501107.6034337105</v>
      </c>
      <c r="S3988">
        <v>0</v>
      </c>
    </row>
    <row r="3989" spans="18:19" x14ac:dyDescent="0.25">
      <c r="R3989">
        <v>3501133.2659345828</v>
      </c>
      <c r="S3989">
        <v>0</v>
      </c>
    </row>
    <row r="3990" spans="18:19" x14ac:dyDescent="0.25">
      <c r="R3990">
        <v>3501158.9284354555</v>
      </c>
      <c r="S3990">
        <v>0</v>
      </c>
    </row>
    <row r="3991" spans="18:19" x14ac:dyDescent="0.25">
      <c r="R3991">
        <v>3501184.5909363278</v>
      </c>
      <c r="S3991">
        <v>0</v>
      </c>
    </row>
    <row r="3992" spans="18:19" x14ac:dyDescent="0.25">
      <c r="R3992">
        <v>3501210.2534372001</v>
      </c>
      <c r="S3992">
        <v>0</v>
      </c>
    </row>
    <row r="3993" spans="18:19" x14ac:dyDescent="0.25">
      <c r="R3993">
        <v>3501235.9159380724</v>
      </c>
      <c r="S3993">
        <v>0</v>
      </c>
    </row>
    <row r="3994" spans="18:19" x14ac:dyDescent="0.25">
      <c r="R3994">
        <v>3501261.5784389451</v>
      </c>
      <c r="S3994">
        <v>0</v>
      </c>
    </row>
    <row r="3995" spans="18:19" x14ac:dyDescent="0.25">
      <c r="R3995">
        <v>3501287.2409398174</v>
      </c>
      <c r="S3995">
        <v>0</v>
      </c>
    </row>
    <row r="3996" spans="18:19" x14ac:dyDescent="0.25">
      <c r="R3996">
        <v>3501312.9034406897</v>
      </c>
      <c r="S3996">
        <v>0</v>
      </c>
    </row>
    <row r="3997" spans="18:19" x14ac:dyDescent="0.25">
      <c r="R3997">
        <v>3501338.5659415619</v>
      </c>
      <c r="S3997">
        <v>0</v>
      </c>
    </row>
    <row r="3998" spans="18:19" x14ac:dyDescent="0.25">
      <c r="R3998">
        <v>3501364.2284424342</v>
      </c>
      <c r="S3998">
        <v>0</v>
      </c>
    </row>
    <row r="3999" spans="18:19" x14ac:dyDescent="0.25">
      <c r="R3999">
        <v>3501389.890943307</v>
      </c>
      <c r="S3999">
        <v>0</v>
      </c>
    </row>
    <row r="4000" spans="18:19" x14ac:dyDescent="0.25">
      <c r="R4000">
        <v>3501415.5534441792</v>
      </c>
      <c r="S4000">
        <v>0</v>
      </c>
    </row>
    <row r="4001" spans="18:19" x14ac:dyDescent="0.25">
      <c r="R4001">
        <v>3501441.2159450515</v>
      </c>
      <c r="S4001">
        <v>0</v>
      </c>
    </row>
    <row r="4002" spans="18:19" x14ac:dyDescent="0.25">
      <c r="R4002">
        <v>3501466.8784459238</v>
      </c>
      <c r="S4002">
        <v>0</v>
      </c>
    </row>
    <row r="4003" spans="18:19" x14ac:dyDescent="0.25">
      <c r="R4003">
        <v>3501492.5409467965</v>
      </c>
      <c r="S4003">
        <v>0</v>
      </c>
    </row>
    <row r="4004" spans="18:19" x14ac:dyDescent="0.25">
      <c r="R4004">
        <v>3501518.2034476688</v>
      </c>
      <c r="S4004">
        <v>0</v>
      </c>
    </row>
    <row r="4005" spans="18:19" x14ac:dyDescent="0.25">
      <c r="R4005">
        <v>3501543.8659485411</v>
      </c>
      <c r="S4005">
        <v>0</v>
      </c>
    </row>
    <row r="4006" spans="18:19" x14ac:dyDescent="0.25">
      <c r="R4006">
        <v>3501569.5284494134</v>
      </c>
      <c r="S4006">
        <v>0</v>
      </c>
    </row>
    <row r="4007" spans="18:19" x14ac:dyDescent="0.25">
      <c r="R4007">
        <v>3501595.1909502861</v>
      </c>
      <c r="S4007">
        <v>0</v>
      </c>
    </row>
    <row r="4008" spans="18:19" x14ac:dyDescent="0.25">
      <c r="R4008">
        <v>3501620.8534511584</v>
      </c>
      <c r="S4008">
        <v>0</v>
      </c>
    </row>
    <row r="4009" spans="18:19" x14ac:dyDescent="0.25">
      <c r="R4009">
        <v>3501646.5159520307</v>
      </c>
      <c r="S4009">
        <v>0</v>
      </c>
    </row>
    <row r="4010" spans="18:19" x14ac:dyDescent="0.25">
      <c r="R4010">
        <v>3501672.1784529029</v>
      </c>
      <c r="S4010">
        <v>0</v>
      </c>
    </row>
    <row r="4011" spans="18:19" x14ac:dyDescent="0.25">
      <c r="R4011">
        <v>3501697.8409537757</v>
      </c>
      <c r="S4011">
        <v>0</v>
      </c>
    </row>
    <row r="4012" spans="18:19" x14ac:dyDescent="0.25">
      <c r="R4012">
        <v>3501723.503454648</v>
      </c>
      <c r="S4012">
        <v>0</v>
      </c>
    </row>
    <row r="4013" spans="18:19" x14ac:dyDescent="0.25">
      <c r="R4013">
        <v>3501749.1659555202</v>
      </c>
      <c r="S4013">
        <v>0</v>
      </c>
    </row>
    <row r="4014" spans="18:19" x14ac:dyDescent="0.25">
      <c r="R4014">
        <v>3501774.8284563925</v>
      </c>
      <c r="S4014">
        <v>0</v>
      </c>
    </row>
    <row r="4015" spans="18:19" x14ac:dyDescent="0.25">
      <c r="R4015">
        <v>3501800.4909572648</v>
      </c>
      <c r="S4015">
        <v>0</v>
      </c>
    </row>
    <row r="4016" spans="18:19" x14ac:dyDescent="0.25">
      <c r="R4016">
        <v>3501826.1534581375</v>
      </c>
      <c r="S4016">
        <v>0</v>
      </c>
    </row>
    <row r="4017" spans="18:19" x14ac:dyDescent="0.25">
      <c r="R4017">
        <v>3501851.8159590098</v>
      </c>
      <c r="S4017">
        <v>0</v>
      </c>
    </row>
    <row r="4018" spans="18:19" x14ac:dyDescent="0.25">
      <c r="R4018">
        <v>3501877.4784598821</v>
      </c>
      <c r="S4018">
        <v>0</v>
      </c>
    </row>
    <row r="4019" spans="18:19" x14ac:dyDescent="0.25">
      <c r="R4019">
        <v>3501903.1409607544</v>
      </c>
      <c r="S4019">
        <v>0</v>
      </c>
    </row>
    <row r="4020" spans="18:19" x14ac:dyDescent="0.25">
      <c r="R4020">
        <v>3501928.8034616271</v>
      </c>
      <c r="S4020">
        <v>0</v>
      </c>
    </row>
    <row r="4021" spans="18:19" x14ac:dyDescent="0.25">
      <c r="R4021">
        <v>3501954.4659624994</v>
      </c>
      <c r="S4021">
        <v>0</v>
      </c>
    </row>
    <row r="4022" spans="18:19" x14ac:dyDescent="0.25">
      <c r="R4022">
        <v>3501980.1284633717</v>
      </c>
      <c r="S4022">
        <v>0</v>
      </c>
    </row>
    <row r="4023" spans="18:19" x14ac:dyDescent="0.25">
      <c r="R4023">
        <v>3502005.7909642439</v>
      </c>
      <c r="S4023">
        <v>0</v>
      </c>
    </row>
    <row r="4024" spans="18:19" x14ac:dyDescent="0.25">
      <c r="R4024">
        <v>3502031.4534651167</v>
      </c>
      <c r="S4024">
        <v>0</v>
      </c>
    </row>
    <row r="4025" spans="18:19" x14ac:dyDescent="0.25">
      <c r="R4025">
        <v>3502057.115965989</v>
      </c>
      <c r="S4025">
        <v>0</v>
      </c>
    </row>
    <row r="4026" spans="18:19" x14ac:dyDescent="0.25">
      <c r="R4026">
        <v>3502082.7784668612</v>
      </c>
      <c r="S4026">
        <v>0</v>
      </c>
    </row>
    <row r="4027" spans="18:19" x14ac:dyDescent="0.25">
      <c r="R4027">
        <v>3502108.4409677335</v>
      </c>
      <c r="S4027">
        <v>0</v>
      </c>
    </row>
    <row r="4028" spans="18:19" x14ac:dyDescent="0.25">
      <c r="R4028">
        <v>3502134.1034686062</v>
      </c>
      <c r="S4028">
        <v>0</v>
      </c>
    </row>
    <row r="4029" spans="18:19" x14ac:dyDescent="0.25">
      <c r="R4029">
        <v>3502159.7659694785</v>
      </c>
      <c r="S4029">
        <v>0</v>
      </c>
    </row>
    <row r="4030" spans="18:19" x14ac:dyDescent="0.25">
      <c r="R4030">
        <v>3502185.4284703508</v>
      </c>
      <c r="S4030">
        <v>0</v>
      </c>
    </row>
    <row r="4031" spans="18:19" x14ac:dyDescent="0.25">
      <c r="R4031">
        <v>3502211.0909712231</v>
      </c>
      <c r="S4031">
        <v>0</v>
      </c>
    </row>
    <row r="4032" spans="18:19" x14ac:dyDescent="0.25">
      <c r="R4032">
        <v>3502236.7534720954</v>
      </c>
      <c r="S4032">
        <v>0</v>
      </c>
    </row>
    <row r="4033" spans="18:19" x14ac:dyDescent="0.25">
      <c r="R4033">
        <v>3502262.4159729681</v>
      </c>
      <c r="S4033">
        <v>0</v>
      </c>
    </row>
    <row r="4034" spans="18:19" x14ac:dyDescent="0.25">
      <c r="R4034">
        <v>3502288.0784738404</v>
      </c>
      <c r="S4034">
        <v>0</v>
      </c>
    </row>
    <row r="4035" spans="18:19" x14ac:dyDescent="0.25">
      <c r="R4035">
        <v>3502313.7409747127</v>
      </c>
      <c r="S4035">
        <v>0</v>
      </c>
    </row>
    <row r="4036" spans="18:19" x14ac:dyDescent="0.25">
      <c r="R4036">
        <v>3502339.4034755849</v>
      </c>
      <c r="S4036">
        <v>0</v>
      </c>
    </row>
    <row r="4037" spans="18:19" x14ac:dyDescent="0.25">
      <c r="R4037">
        <v>3502365.0659764577</v>
      </c>
      <c r="S4037">
        <v>0</v>
      </c>
    </row>
    <row r="4038" spans="18:19" x14ac:dyDescent="0.25">
      <c r="R4038">
        <v>3502390.7284773299</v>
      </c>
      <c r="S4038">
        <v>0</v>
      </c>
    </row>
    <row r="4039" spans="18:19" x14ac:dyDescent="0.25">
      <c r="R4039">
        <v>3502416.3909782022</v>
      </c>
      <c r="S4039">
        <v>0</v>
      </c>
    </row>
    <row r="4040" spans="18:19" x14ac:dyDescent="0.25">
      <c r="R4040">
        <v>3502442.0534790745</v>
      </c>
      <c r="S4040">
        <v>0</v>
      </c>
    </row>
    <row r="4041" spans="18:19" x14ac:dyDescent="0.25">
      <c r="R4041">
        <v>3502467.7159799472</v>
      </c>
      <c r="S4041">
        <v>0</v>
      </c>
    </row>
    <row r="4042" spans="18:19" x14ac:dyDescent="0.25">
      <c r="R4042">
        <v>3502493.3784808195</v>
      </c>
      <c r="S4042">
        <v>0</v>
      </c>
    </row>
    <row r="4043" spans="18:19" x14ac:dyDescent="0.25">
      <c r="R4043">
        <v>3502519.0409816918</v>
      </c>
      <c r="S4043">
        <v>0</v>
      </c>
    </row>
    <row r="4044" spans="18:19" x14ac:dyDescent="0.25">
      <c r="R4044">
        <v>3502544.7034825641</v>
      </c>
      <c r="S4044">
        <v>0</v>
      </c>
    </row>
    <row r="4045" spans="18:19" x14ac:dyDescent="0.25">
      <c r="R4045">
        <v>3502570.3659834368</v>
      </c>
      <c r="S4045">
        <v>0</v>
      </c>
    </row>
    <row r="4046" spans="18:19" x14ac:dyDescent="0.25">
      <c r="R4046">
        <v>3502596.0284843091</v>
      </c>
      <c r="S4046">
        <v>0</v>
      </c>
    </row>
    <row r="4047" spans="18:19" x14ac:dyDescent="0.25">
      <c r="R4047">
        <v>3502621.6909851814</v>
      </c>
      <c r="S4047">
        <v>0</v>
      </c>
    </row>
    <row r="4048" spans="18:19" x14ac:dyDescent="0.25">
      <c r="R4048">
        <v>3502647.3534860536</v>
      </c>
      <c r="S4048">
        <v>0</v>
      </c>
    </row>
    <row r="4049" spans="18:19" x14ac:dyDescent="0.25">
      <c r="R4049">
        <v>3502673.0159869259</v>
      </c>
      <c r="S4049">
        <v>0</v>
      </c>
    </row>
    <row r="4050" spans="18:19" x14ac:dyDescent="0.25">
      <c r="R4050">
        <v>3502698.6784877987</v>
      </c>
      <c r="S4050">
        <v>0</v>
      </c>
    </row>
    <row r="4051" spans="18:19" x14ac:dyDescent="0.25">
      <c r="R4051">
        <v>3502724.3409886709</v>
      </c>
      <c r="S4051">
        <v>0</v>
      </c>
    </row>
    <row r="4052" spans="18:19" x14ac:dyDescent="0.25">
      <c r="R4052">
        <v>3502750.0034895432</v>
      </c>
      <c r="S4052">
        <v>0</v>
      </c>
    </row>
    <row r="4053" spans="18:19" x14ac:dyDescent="0.25">
      <c r="R4053">
        <v>3502775.6659904155</v>
      </c>
      <c r="S4053">
        <v>0</v>
      </c>
    </row>
    <row r="4054" spans="18:19" x14ac:dyDescent="0.25">
      <c r="R4054">
        <v>3502801.3284912882</v>
      </c>
      <c r="S4054">
        <v>3</v>
      </c>
    </row>
    <row r="4055" spans="18:19" x14ac:dyDescent="0.25">
      <c r="R4055">
        <v>3502826.9909921605</v>
      </c>
      <c r="S4055">
        <v>9</v>
      </c>
    </row>
    <row r="4056" spans="18:19" x14ac:dyDescent="0.25">
      <c r="R4056">
        <v>3502852.6534930328</v>
      </c>
      <c r="S4056">
        <v>6</v>
      </c>
    </row>
    <row r="4057" spans="18:19" x14ac:dyDescent="0.25">
      <c r="R4057">
        <v>3502878.3159939051</v>
      </c>
      <c r="S4057">
        <v>6</v>
      </c>
    </row>
    <row r="4058" spans="18:19" x14ac:dyDescent="0.25">
      <c r="R4058">
        <v>3502903.9784947778</v>
      </c>
      <c r="S4058">
        <v>6</v>
      </c>
    </row>
    <row r="4059" spans="18:19" x14ac:dyDescent="0.25">
      <c r="R4059">
        <v>3502929.6409956501</v>
      </c>
      <c r="S4059">
        <v>6</v>
      </c>
    </row>
    <row r="4060" spans="18:19" x14ac:dyDescent="0.25">
      <c r="R4060">
        <v>3502955.3034965224</v>
      </c>
      <c r="S4060">
        <v>6</v>
      </c>
    </row>
    <row r="4061" spans="18:19" x14ac:dyDescent="0.25">
      <c r="R4061">
        <v>3502980.9659973946</v>
      </c>
      <c r="S4061">
        <v>6</v>
      </c>
    </row>
    <row r="4062" spans="18:19" x14ac:dyDescent="0.25">
      <c r="R4062">
        <v>3503006.6284982669</v>
      </c>
      <c r="S4062">
        <v>6</v>
      </c>
    </row>
    <row r="4063" spans="18:19" x14ac:dyDescent="0.25">
      <c r="R4063">
        <v>3503032.2909991397</v>
      </c>
      <c r="S4063">
        <v>6</v>
      </c>
    </row>
    <row r="4064" spans="18:19" x14ac:dyDescent="0.25">
      <c r="R4064">
        <v>3503057.9535000119</v>
      </c>
      <c r="S4064">
        <v>6</v>
      </c>
    </row>
    <row r="4065" spans="18:19" x14ac:dyDescent="0.25">
      <c r="R4065">
        <v>3503083.6160008842</v>
      </c>
      <c r="S4065">
        <v>6</v>
      </c>
    </row>
    <row r="4066" spans="18:19" x14ac:dyDescent="0.25">
      <c r="R4066">
        <v>3503109.2785017565</v>
      </c>
      <c r="S4066">
        <v>6</v>
      </c>
    </row>
    <row r="4067" spans="18:19" x14ac:dyDescent="0.25">
      <c r="R4067">
        <v>3503134.9410026292</v>
      </c>
      <c r="S4067">
        <v>6</v>
      </c>
    </row>
    <row r="4068" spans="18:19" x14ac:dyDescent="0.25">
      <c r="R4068">
        <v>3503160.6035035015</v>
      </c>
      <c r="S4068">
        <v>6</v>
      </c>
    </row>
    <row r="4069" spans="18:19" x14ac:dyDescent="0.25">
      <c r="R4069">
        <v>3503186.2660043738</v>
      </c>
      <c r="S4069">
        <v>6</v>
      </c>
    </row>
    <row r="4070" spans="18:19" x14ac:dyDescent="0.25">
      <c r="R4070">
        <v>3503211.9285052461</v>
      </c>
      <c r="S4070">
        <v>6</v>
      </c>
    </row>
    <row r="4071" spans="18:19" x14ac:dyDescent="0.25">
      <c r="R4071">
        <v>3503237.5910061188</v>
      </c>
      <c r="S4071">
        <v>6</v>
      </c>
    </row>
    <row r="4072" spans="18:19" x14ac:dyDescent="0.25">
      <c r="R4072">
        <v>3503263.2535069911</v>
      </c>
      <c r="S4072">
        <v>6</v>
      </c>
    </row>
    <row r="4073" spans="18:19" x14ac:dyDescent="0.25">
      <c r="R4073">
        <v>3503288.9160078634</v>
      </c>
      <c r="S4073">
        <v>6</v>
      </c>
    </row>
    <row r="4074" spans="18:19" x14ac:dyDescent="0.25">
      <c r="R4074">
        <v>3503314.5785087356</v>
      </c>
      <c r="S4074">
        <v>6</v>
      </c>
    </row>
    <row r="4075" spans="18:19" x14ac:dyDescent="0.25">
      <c r="R4075">
        <v>3503340.2410096084</v>
      </c>
      <c r="S4075">
        <v>6</v>
      </c>
    </row>
    <row r="4076" spans="18:19" x14ac:dyDescent="0.25">
      <c r="R4076">
        <v>3503365.9035104807</v>
      </c>
      <c r="S4076">
        <v>6</v>
      </c>
    </row>
    <row r="4077" spans="18:19" x14ac:dyDescent="0.25">
      <c r="R4077">
        <v>3503391.5660113529</v>
      </c>
      <c r="S4077">
        <v>6</v>
      </c>
    </row>
    <row r="4078" spans="18:19" x14ac:dyDescent="0.25">
      <c r="R4078">
        <v>3503417.2285122252</v>
      </c>
      <c r="S4078">
        <v>6</v>
      </c>
    </row>
    <row r="4079" spans="18:19" x14ac:dyDescent="0.25">
      <c r="R4079">
        <v>3503442.8910130975</v>
      </c>
      <c r="S4079">
        <v>6</v>
      </c>
    </row>
    <row r="4080" spans="18:19" x14ac:dyDescent="0.25">
      <c r="R4080">
        <v>3503468.5535139702</v>
      </c>
      <c r="S4080">
        <v>6</v>
      </c>
    </row>
    <row r="4081" spans="18:19" x14ac:dyDescent="0.25">
      <c r="R4081">
        <v>3503494.2160148425</v>
      </c>
      <c r="S4081">
        <v>6</v>
      </c>
    </row>
    <row r="4082" spans="18:19" x14ac:dyDescent="0.25">
      <c r="R4082">
        <v>3503519.8785157148</v>
      </c>
      <c r="S4082">
        <v>6</v>
      </c>
    </row>
    <row r="4083" spans="18:19" x14ac:dyDescent="0.25">
      <c r="R4083">
        <v>3503545.5410165871</v>
      </c>
      <c r="S4083">
        <v>6</v>
      </c>
    </row>
    <row r="4084" spans="18:19" x14ac:dyDescent="0.25">
      <c r="R4084">
        <v>3503571.2035174598</v>
      </c>
      <c r="S4084">
        <v>6</v>
      </c>
    </row>
    <row r="4085" spans="18:19" x14ac:dyDescent="0.25">
      <c r="R4085">
        <v>3503596.8660183321</v>
      </c>
      <c r="S4085">
        <v>6</v>
      </c>
    </row>
    <row r="4086" spans="18:19" x14ac:dyDescent="0.25">
      <c r="R4086">
        <v>3503622.5285192044</v>
      </c>
      <c r="S4086">
        <v>6</v>
      </c>
    </row>
    <row r="4087" spans="18:19" x14ac:dyDescent="0.25">
      <c r="R4087">
        <v>3503648.1910200766</v>
      </c>
      <c r="S4087">
        <v>6</v>
      </c>
    </row>
    <row r="4088" spans="18:19" x14ac:dyDescent="0.25">
      <c r="R4088">
        <v>3503673.8535209494</v>
      </c>
      <c r="S4088">
        <v>6</v>
      </c>
    </row>
    <row r="4089" spans="18:19" x14ac:dyDescent="0.25">
      <c r="R4089">
        <v>3503699.5160218216</v>
      </c>
      <c r="S4089">
        <v>6</v>
      </c>
    </row>
    <row r="4090" spans="18:19" x14ac:dyDescent="0.25">
      <c r="R4090">
        <v>3503725.1785226939</v>
      </c>
      <c r="S4090">
        <v>6</v>
      </c>
    </row>
    <row r="4091" spans="18:19" x14ac:dyDescent="0.25">
      <c r="R4091">
        <v>3503750.8410235662</v>
      </c>
      <c r="S4091">
        <v>6</v>
      </c>
    </row>
    <row r="4092" spans="18:19" x14ac:dyDescent="0.25">
      <c r="R4092">
        <v>3503776.5035244389</v>
      </c>
      <c r="S4092">
        <v>6</v>
      </c>
    </row>
    <row r="4093" spans="18:19" x14ac:dyDescent="0.25">
      <c r="R4093">
        <v>3503802.1660253112</v>
      </c>
      <c r="S4093">
        <v>6</v>
      </c>
    </row>
    <row r="4094" spans="18:19" x14ac:dyDescent="0.25">
      <c r="R4094">
        <v>3503827.8285261835</v>
      </c>
      <c r="S4094">
        <v>6</v>
      </c>
    </row>
    <row r="4095" spans="18:19" x14ac:dyDescent="0.25">
      <c r="R4095">
        <v>3503853.4910270558</v>
      </c>
      <c r="S4095">
        <v>6</v>
      </c>
    </row>
    <row r="4096" spans="18:19" x14ac:dyDescent="0.25">
      <c r="R4096">
        <v>3503879.1535279281</v>
      </c>
      <c r="S4096">
        <v>6</v>
      </c>
    </row>
    <row r="4097" spans="18:19" x14ac:dyDescent="0.25">
      <c r="R4097">
        <v>3503904.8160288008</v>
      </c>
      <c r="S4097">
        <v>6</v>
      </c>
    </row>
    <row r="4098" spans="18:19" x14ac:dyDescent="0.25">
      <c r="R4098">
        <v>3503930.4785296731</v>
      </c>
      <c r="S4098">
        <v>6</v>
      </c>
    </row>
    <row r="4099" spans="18:19" x14ac:dyDescent="0.25">
      <c r="R4099">
        <v>3503956.1410305453</v>
      </c>
      <c r="S4099">
        <v>6</v>
      </c>
    </row>
    <row r="4100" spans="18:19" x14ac:dyDescent="0.25">
      <c r="R4100">
        <v>3503981.8035314176</v>
      </c>
      <c r="S4100">
        <v>6</v>
      </c>
    </row>
    <row r="4101" spans="18:19" x14ac:dyDescent="0.25">
      <c r="R4101">
        <v>3504007.4660322904</v>
      </c>
      <c r="S4101">
        <v>6</v>
      </c>
    </row>
    <row r="4102" spans="18:19" x14ac:dyDescent="0.25">
      <c r="R4102">
        <v>3504033.1285331626</v>
      </c>
      <c r="S4102">
        <v>6</v>
      </c>
    </row>
    <row r="4103" spans="18:19" x14ac:dyDescent="0.25">
      <c r="R4103">
        <v>3504058.7910340349</v>
      </c>
      <c r="S4103">
        <v>6</v>
      </c>
    </row>
    <row r="4104" spans="18:19" x14ac:dyDescent="0.25">
      <c r="R4104">
        <v>3504084.4535349072</v>
      </c>
      <c r="S4104">
        <v>6</v>
      </c>
    </row>
    <row r="4105" spans="18:19" x14ac:dyDescent="0.25">
      <c r="R4105">
        <v>3504110.1160357799</v>
      </c>
      <c r="S4105">
        <v>6</v>
      </c>
    </row>
    <row r="4106" spans="18:19" x14ac:dyDescent="0.25">
      <c r="R4106">
        <v>3504135.7785366522</v>
      </c>
      <c r="S4106">
        <v>6</v>
      </c>
    </row>
    <row r="4107" spans="18:19" x14ac:dyDescent="0.25">
      <c r="R4107">
        <v>3504161.4410375245</v>
      </c>
      <c r="S4107">
        <v>6</v>
      </c>
    </row>
    <row r="4108" spans="18:19" x14ac:dyDescent="0.25">
      <c r="R4108">
        <v>3504187.1035383968</v>
      </c>
      <c r="S4108">
        <v>6</v>
      </c>
    </row>
    <row r="4109" spans="18:19" x14ac:dyDescent="0.25">
      <c r="R4109">
        <v>3504212.7660392695</v>
      </c>
      <c r="S4109">
        <v>6</v>
      </c>
    </row>
    <row r="4110" spans="18:19" x14ac:dyDescent="0.25">
      <c r="R4110">
        <v>3504238.4285401418</v>
      </c>
      <c r="S4110">
        <v>6</v>
      </c>
    </row>
    <row r="4111" spans="18:19" x14ac:dyDescent="0.25">
      <c r="R4111">
        <v>3504264.0910410141</v>
      </c>
      <c r="S4111">
        <v>6</v>
      </c>
    </row>
    <row r="4112" spans="18:19" x14ac:dyDescent="0.25">
      <c r="R4112">
        <v>3504289.7535418863</v>
      </c>
      <c r="S4112">
        <v>6</v>
      </c>
    </row>
    <row r="4113" spans="18:19" x14ac:dyDescent="0.25">
      <c r="R4113">
        <v>3504315.4160427586</v>
      </c>
      <c r="S4113">
        <v>6</v>
      </c>
    </row>
    <row r="4114" spans="18:19" x14ac:dyDescent="0.25">
      <c r="R4114">
        <v>3504341.0785436314</v>
      </c>
      <c r="S4114">
        <v>6</v>
      </c>
    </row>
    <row r="4115" spans="18:19" x14ac:dyDescent="0.25">
      <c r="R4115">
        <v>3504366.7410445036</v>
      </c>
      <c r="S4115">
        <v>6</v>
      </c>
    </row>
    <row r="4116" spans="18:19" x14ac:dyDescent="0.25">
      <c r="R4116">
        <v>3504392.4035453759</v>
      </c>
      <c r="S4116">
        <v>6</v>
      </c>
    </row>
    <row r="4117" spans="18:19" x14ac:dyDescent="0.25">
      <c r="R4117">
        <v>3504418.0660462482</v>
      </c>
      <c r="S4117">
        <v>6</v>
      </c>
    </row>
    <row r="4118" spans="18:19" x14ac:dyDescent="0.25">
      <c r="R4118">
        <v>3504443.7285471209</v>
      </c>
      <c r="S4118">
        <v>6</v>
      </c>
    </row>
    <row r="4119" spans="18:19" x14ac:dyDescent="0.25">
      <c r="R4119">
        <v>3504469.3910479932</v>
      </c>
      <c r="S4119">
        <v>6</v>
      </c>
    </row>
    <row r="4120" spans="18:19" x14ac:dyDescent="0.25">
      <c r="R4120">
        <v>3504495.0535488655</v>
      </c>
      <c r="S4120">
        <v>6</v>
      </c>
    </row>
    <row r="4121" spans="18:19" x14ac:dyDescent="0.25">
      <c r="R4121">
        <v>3504520.7160497378</v>
      </c>
      <c r="S4121">
        <v>6</v>
      </c>
    </row>
    <row r="4122" spans="18:19" x14ac:dyDescent="0.25">
      <c r="R4122">
        <v>3504546.3785506105</v>
      </c>
      <c r="S4122">
        <v>6</v>
      </c>
    </row>
    <row r="4123" spans="18:19" x14ac:dyDescent="0.25">
      <c r="R4123">
        <v>3504572.0410514828</v>
      </c>
      <c r="S4123">
        <v>6</v>
      </c>
    </row>
    <row r="4124" spans="18:19" x14ac:dyDescent="0.25">
      <c r="R4124">
        <v>3504597.7035523551</v>
      </c>
      <c r="S4124">
        <v>6</v>
      </c>
    </row>
    <row r="4125" spans="18:19" x14ac:dyDescent="0.25">
      <c r="R4125">
        <v>3504623.3660532273</v>
      </c>
      <c r="S4125">
        <v>6</v>
      </c>
    </row>
    <row r="4126" spans="18:19" x14ac:dyDescent="0.25">
      <c r="R4126">
        <v>3504649.0285540996</v>
      </c>
      <c r="S4126">
        <v>6</v>
      </c>
    </row>
    <row r="4127" spans="18:19" x14ac:dyDescent="0.25">
      <c r="R4127">
        <v>3504674.6910549724</v>
      </c>
      <c r="S4127">
        <v>6</v>
      </c>
    </row>
    <row r="4128" spans="18:19" x14ac:dyDescent="0.25">
      <c r="R4128">
        <v>3504700.3535558446</v>
      </c>
      <c r="S4128">
        <v>12</v>
      </c>
    </row>
    <row r="4129" spans="18:19" x14ac:dyDescent="0.25">
      <c r="R4129">
        <v>3504726.0160567169</v>
      </c>
      <c r="S4129">
        <v>12</v>
      </c>
    </row>
    <row r="4130" spans="18:19" x14ac:dyDescent="0.25">
      <c r="R4130">
        <v>3504751.6785575892</v>
      </c>
      <c r="S4130">
        <v>12</v>
      </c>
    </row>
    <row r="4131" spans="18:19" x14ac:dyDescent="0.25">
      <c r="R4131">
        <v>3504777.3410584619</v>
      </c>
      <c r="S4131">
        <v>12</v>
      </c>
    </row>
    <row r="4132" spans="18:19" x14ac:dyDescent="0.25">
      <c r="R4132">
        <v>3504803.0035593342</v>
      </c>
      <c r="S4132">
        <v>12</v>
      </c>
    </row>
    <row r="4133" spans="18:19" x14ac:dyDescent="0.25">
      <c r="R4133">
        <v>3504828.6660602065</v>
      </c>
      <c r="S4133">
        <v>6</v>
      </c>
    </row>
    <row r="4134" spans="18:19" x14ac:dyDescent="0.25">
      <c r="R4134">
        <v>3504854.3285610788</v>
      </c>
      <c r="S4134">
        <v>6</v>
      </c>
    </row>
    <row r="4135" spans="18:19" x14ac:dyDescent="0.25">
      <c r="R4135">
        <v>3504879.9910619515</v>
      </c>
      <c r="S4135">
        <v>6</v>
      </c>
    </row>
    <row r="4136" spans="18:19" x14ac:dyDescent="0.25">
      <c r="R4136">
        <v>3504905.6535628238</v>
      </c>
      <c r="S4136">
        <v>6</v>
      </c>
    </row>
    <row r="4137" spans="18:19" x14ac:dyDescent="0.25">
      <c r="R4137">
        <v>3504931.3160636961</v>
      </c>
      <c r="S4137">
        <v>6</v>
      </c>
    </row>
    <row r="4138" spans="18:19" x14ac:dyDescent="0.25">
      <c r="R4138">
        <v>3504956.9785645683</v>
      </c>
      <c r="S4138">
        <v>6</v>
      </c>
    </row>
    <row r="4139" spans="18:19" x14ac:dyDescent="0.25">
      <c r="R4139">
        <v>3504982.6410654411</v>
      </c>
      <c r="S4139">
        <v>6</v>
      </c>
    </row>
    <row r="4140" spans="18:19" x14ac:dyDescent="0.25">
      <c r="R4140">
        <v>3505008.3035663133</v>
      </c>
      <c r="S4140">
        <v>6</v>
      </c>
    </row>
    <row r="4141" spans="18:19" x14ac:dyDescent="0.25">
      <c r="R4141">
        <v>3505033.9660671856</v>
      </c>
      <c r="S4141">
        <v>6</v>
      </c>
    </row>
    <row r="4142" spans="18:19" x14ac:dyDescent="0.25">
      <c r="R4142">
        <v>3505059.6285680579</v>
      </c>
      <c r="S4142">
        <v>6</v>
      </c>
    </row>
    <row r="4143" spans="18:19" x14ac:dyDescent="0.25">
      <c r="R4143">
        <v>3505085.2910689302</v>
      </c>
      <c r="S4143">
        <v>6</v>
      </c>
    </row>
    <row r="4144" spans="18:19" x14ac:dyDescent="0.25">
      <c r="R4144">
        <v>3505110.9535698029</v>
      </c>
      <c r="S4144">
        <v>6</v>
      </c>
    </row>
    <row r="4145" spans="18:19" x14ac:dyDescent="0.25">
      <c r="R4145">
        <v>3505136.6160706752</v>
      </c>
      <c r="S4145">
        <v>6</v>
      </c>
    </row>
    <row r="4146" spans="18:19" x14ac:dyDescent="0.25">
      <c r="R4146">
        <v>3505162.2785715475</v>
      </c>
      <c r="S4146">
        <v>6</v>
      </c>
    </row>
    <row r="4147" spans="18:19" x14ac:dyDescent="0.25">
      <c r="R4147">
        <v>3505187.9410724198</v>
      </c>
      <c r="S4147">
        <v>6</v>
      </c>
    </row>
    <row r="4148" spans="18:19" x14ac:dyDescent="0.25">
      <c r="R4148">
        <v>3505213.6035732925</v>
      </c>
      <c r="S4148">
        <v>6</v>
      </c>
    </row>
    <row r="4149" spans="18:19" x14ac:dyDescent="0.25">
      <c r="R4149">
        <v>3505239.2660741648</v>
      </c>
      <c r="S4149">
        <v>6</v>
      </c>
    </row>
    <row r="4150" spans="18:19" x14ac:dyDescent="0.25">
      <c r="R4150">
        <v>3505264.928575037</v>
      </c>
      <c r="S4150">
        <v>6</v>
      </c>
    </row>
    <row r="4151" spans="18:19" x14ac:dyDescent="0.25">
      <c r="R4151">
        <v>3505290.5910759093</v>
      </c>
      <c r="S4151">
        <v>6</v>
      </c>
    </row>
    <row r="4152" spans="18:19" x14ac:dyDescent="0.25">
      <c r="R4152">
        <v>3505316.2535767821</v>
      </c>
      <c r="S4152">
        <v>6</v>
      </c>
    </row>
    <row r="4153" spans="18:19" x14ac:dyDescent="0.25">
      <c r="R4153">
        <v>3505341.9160776543</v>
      </c>
      <c r="S4153">
        <v>6</v>
      </c>
    </row>
    <row r="4154" spans="18:19" x14ac:dyDescent="0.25">
      <c r="R4154">
        <v>3505367.5785785266</v>
      </c>
      <c r="S4154">
        <v>6</v>
      </c>
    </row>
    <row r="4155" spans="18:19" x14ac:dyDescent="0.25">
      <c r="R4155">
        <v>3505393.2410793989</v>
      </c>
      <c r="S4155">
        <v>6</v>
      </c>
    </row>
    <row r="4156" spans="18:19" x14ac:dyDescent="0.25">
      <c r="R4156">
        <v>3505418.9035802716</v>
      </c>
      <c r="S4156">
        <v>6</v>
      </c>
    </row>
    <row r="4157" spans="18:19" x14ac:dyDescent="0.25">
      <c r="R4157">
        <v>3505444.5660811439</v>
      </c>
      <c r="S4157">
        <v>6</v>
      </c>
    </row>
    <row r="4158" spans="18:19" x14ac:dyDescent="0.25">
      <c r="R4158">
        <v>3505470.2285820162</v>
      </c>
      <c r="S4158">
        <v>6</v>
      </c>
    </row>
    <row r="4159" spans="18:19" x14ac:dyDescent="0.25">
      <c r="R4159">
        <v>3505495.8910828885</v>
      </c>
      <c r="S4159">
        <v>6</v>
      </c>
    </row>
    <row r="4160" spans="18:19" x14ac:dyDescent="0.25">
      <c r="R4160">
        <v>3505521.5535837607</v>
      </c>
      <c r="S4160">
        <v>6</v>
      </c>
    </row>
    <row r="4161" spans="18:19" x14ac:dyDescent="0.25">
      <c r="R4161">
        <v>3505547.2160846335</v>
      </c>
      <c r="S4161">
        <v>6</v>
      </c>
    </row>
    <row r="4162" spans="18:19" x14ac:dyDescent="0.25">
      <c r="R4162">
        <v>3505572.8785855058</v>
      </c>
      <c r="S4162">
        <v>6</v>
      </c>
    </row>
    <row r="4163" spans="18:19" x14ac:dyDescent="0.25">
      <c r="R4163">
        <v>3505598.541086378</v>
      </c>
      <c r="S4163">
        <v>6</v>
      </c>
    </row>
    <row r="4164" spans="18:19" x14ac:dyDescent="0.25">
      <c r="R4164">
        <v>3505624.2035872503</v>
      </c>
      <c r="S4164">
        <v>6</v>
      </c>
    </row>
    <row r="4165" spans="18:19" x14ac:dyDescent="0.25">
      <c r="R4165">
        <v>3505649.8660881231</v>
      </c>
      <c r="S4165">
        <v>6</v>
      </c>
    </row>
    <row r="4166" spans="18:19" x14ac:dyDescent="0.25">
      <c r="R4166">
        <v>3505675.5285889953</v>
      </c>
      <c r="S4166">
        <v>6</v>
      </c>
    </row>
    <row r="4167" spans="18:19" x14ac:dyDescent="0.25">
      <c r="R4167">
        <v>3505701.1910898676</v>
      </c>
      <c r="S4167">
        <v>6</v>
      </c>
    </row>
    <row r="4168" spans="18:19" x14ac:dyDescent="0.25">
      <c r="R4168">
        <v>3505726.8535907399</v>
      </c>
      <c r="S4168">
        <v>6</v>
      </c>
    </row>
    <row r="4169" spans="18:19" x14ac:dyDescent="0.25">
      <c r="R4169">
        <v>3505752.5160916126</v>
      </c>
      <c r="S4169">
        <v>9</v>
      </c>
    </row>
    <row r="4170" spans="18:19" x14ac:dyDescent="0.25">
      <c r="R4170">
        <v>3505778.1785924849</v>
      </c>
      <c r="S4170">
        <v>15</v>
      </c>
    </row>
    <row r="4171" spans="18:19" x14ac:dyDescent="0.25">
      <c r="R4171">
        <v>3505803.8410933572</v>
      </c>
      <c r="S4171">
        <v>12</v>
      </c>
    </row>
    <row r="4172" spans="18:19" x14ac:dyDescent="0.25">
      <c r="R4172">
        <v>3505829.5035942295</v>
      </c>
      <c r="S4172">
        <v>12</v>
      </c>
    </row>
    <row r="4173" spans="18:19" x14ac:dyDescent="0.25">
      <c r="R4173">
        <v>3505855.1660951022</v>
      </c>
      <c r="S4173">
        <v>12</v>
      </c>
    </row>
    <row r="4174" spans="18:19" x14ac:dyDescent="0.25">
      <c r="R4174">
        <v>3505880.8285959745</v>
      </c>
      <c r="S4174">
        <v>12</v>
      </c>
    </row>
    <row r="4175" spans="18:19" x14ac:dyDescent="0.25">
      <c r="R4175">
        <v>3505906.4910968468</v>
      </c>
      <c r="S4175">
        <v>12</v>
      </c>
    </row>
    <row r="4176" spans="18:19" x14ac:dyDescent="0.25">
      <c r="R4176">
        <v>3505932.153597719</v>
      </c>
      <c r="S4176">
        <v>12</v>
      </c>
    </row>
    <row r="4177" spans="18:19" x14ac:dyDescent="0.25">
      <c r="R4177">
        <v>3505957.8160985913</v>
      </c>
      <c r="S4177">
        <v>12</v>
      </c>
    </row>
    <row r="4178" spans="18:19" x14ac:dyDescent="0.25">
      <c r="R4178">
        <v>3505983.4785994641</v>
      </c>
      <c r="S4178">
        <v>12</v>
      </c>
    </row>
    <row r="4179" spans="18:19" x14ac:dyDescent="0.25">
      <c r="R4179">
        <v>3506009.1411003363</v>
      </c>
      <c r="S4179">
        <v>12</v>
      </c>
    </row>
    <row r="4180" spans="18:19" x14ac:dyDescent="0.25">
      <c r="R4180">
        <v>3506034.8036012086</v>
      </c>
      <c r="S4180">
        <v>12</v>
      </c>
    </row>
    <row r="4181" spans="18:19" x14ac:dyDescent="0.25">
      <c r="R4181">
        <v>3506060.4661020809</v>
      </c>
      <c r="S4181">
        <v>12</v>
      </c>
    </row>
    <row r="4182" spans="18:19" x14ac:dyDescent="0.25">
      <c r="R4182">
        <v>3506086.1286029536</v>
      </c>
      <c r="S4182">
        <v>12</v>
      </c>
    </row>
    <row r="4183" spans="18:19" x14ac:dyDescent="0.25">
      <c r="R4183">
        <v>3506111.7911038259</v>
      </c>
      <c r="S4183">
        <v>12</v>
      </c>
    </row>
    <row r="4184" spans="18:19" x14ac:dyDescent="0.25">
      <c r="R4184">
        <v>3506137.4536046982</v>
      </c>
      <c r="S4184">
        <v>12</v>
      </c>
    </row>
    <row r="4185" spans="18:19" x14ac:dyDescent="0.25">
      <c r="R4185">
        <v>3506163.1161055705</v>
      </c>
      <c r="S4185">
        <v>12</v>
      </c>
    </row>
    <row r="4186" spans="18:19" x14ac:dyDescent="0.25">
      <c r="R4186">
        <v>3506188.7786064432</v>
      </c>
      <c r="S4186">
        <v>12</v>
      </c>
    </row>
    <row r="4187" spans="18:19" x14ac:dyDescent="0.25">
      <c r="R4187">
        <v>3506214.4411073155</v>
      </c>
      <c r="S4187">
        <v>12</v>
      </c>
    </row>
    <row r="4188" spans="18:19" x14ac:dyDescent="0.25">
      <c r="R4188">
        <v>3506240.1036081878</v>
      </c>
      <c r="S4188">
        <v>12</v>
      </c>
    </row>
    <row r="4189" spans="18:19" x14ac:dyDescent="0.25">
      <c r="R4189">
        <v>3506265.76610906</v>
      </c>
      <c r="S4189">
        <v>12</v>
      </c>
    </row>
    <row r="4190" spans="18:19" x14ac:dyDescent="0.25">
      <c r="R4190">
        <v>3506291.4286099323</v>
      </c>
      <c r="S4190">
        <v>12</v>
      </c>
    </row>
    <row r="4191" spans="18:19" x14ac:dyDescent="0.25">
      <c r="R4191">
        <v>3506317.091110805</v>
      </c>
      <c r="S4191">
        <v>12</v>
      </c>
    </row>
    <row r="4192" spans="18:19" x14ac:dyDescent="0.25">
      <c r="R4192">
        <v>3506342.7536116773</v>
      </c>
      <c r="S4192">
        <v>12</v>
      </c>
    </row>
    <row r="4193" spans="18:19" x14ac:dyDescent="0.25">
      <c r="R4193">
        <v>3506368.4161125496</v>
      </c>
      <c r="S4193">
        <v>12</v>
      </c>
    </row>
    <row r="4194" spans="18:19" x14ac:dyDescent="0.25">
      <c r="R4194">
        <v>3506394.0786134219</v>
      </c>
      <c r="S4194">
        <v>12</v>
      </c>
    </row>
    <row r="4195" spans="18:19" x14ac:dyDescent="0.25">
      <c r="R4195">
        <v>3506419.7411142946</v>
      </c>
      <c r="S4195">
        <v>12</v>
      </c>
    </row>
    <row r="4196" spans="18:19" x14ac:dyDescent="0.25">
      <c r="R4196">
        <v>3506445.4036151669</v>
      </c>
      <c r="S4196">
        <v>12</v>
      </c>
    </row>
    <row r="4197" spans="18:19" x14ac:dyDescent="0.25">
      <c r="R4197">
        <v>3506471.0661160392</v>
      </c>
      <c r="S4197">
        <v>12</v>
      </c>
    </row>
    <row r="4198" spans="18:19" x14ac:dyDescent="0.25">
      <c r="R4198">
        <v>3506496.7286169115</v>
      </c>
      <c r="S4198">
        <v>12</v>
      </c>
    </row>
    <row r="4199" spans="18:19" x14ac:dyDescent="0.25">
      <c r="R4199">
        <v>3506522.3911177842</v>
      </c>
      <c r="S4199">
        <v>12</v>
      </c>
    </row>
    <row r="4200" spans="18:19" x14ac:dyDescent="0.25">
      <c r="R4200">
        <v>3506548.0536186565</v>
      </c>
      <c r="S4200">
        <v>12</v>
      </c>
    </row>
    <row r="4201" spans="18:19" x14ac:dyDescent="0.25">
      <c r="R4201">
        <v>3506573.7161195287</v>
      </c>
      <c r="S4201">
        <v>12</v>
      </c>
    </row>
    <row r="4202" spans="18:19" x14ac:dyDescent="0.25">
      <c r="R4202">
        <v>3506599.378620401</v>
      </c>
      <c r="S4202">
        <v>12</v>
      </c>
    </row>
    <row r="4203" spans="18:19" x14ac:dyDescent="0.25">
      <c r="R4203">
        <v>3506625.0411212738</v>
      </c>
      <c r="S4203">
        <v>12</v>
      </c>
    </row>
    <row r="4204" spans="18:19" x14ac:dyDescent="0.25">
      <c r="R4204">
        <v>3506650.703622146</v>
      </c>
      <c r="S4204">
        <v>12</v>
      </c>
    </row>
    <row r="4205" spans="18:19" x14ac:dyDescent="0.25">
      <c r="R4205">
        <v>3506676.3661230183</v>
      </c>
      <c r="S4205">
        <v>15</v>
      </c>
    </row>
    <row r="4206" spans="18:19" x14ac:dyDescent="0.25">
      <c r="R4206">
        <v>3506702.0286238906</v>
      </c>
      <c r="S4206">
        <v>9</v>
      </c>
    </row>
    <row r="4207" spans="18:19" x14ac:dyDescent="0.25">
      <c r="R4207">
        <v>3506727.6911247629</v>
      </c>
      <c r="S4207">
        <v>6</v>
      </c>
    </row>
    <row r="4208" spans="18:19" x14ac:dyDescent="0.25">
      <c r="R4208">
        <v>3506753.3536256356</v>
      </c>
      <c r="S4208">
        <v>6</v>
      </c>
    </row>
    <row r="4209" spans="18:19" x14ac:dyDescent="0.25">
      <c r="R4209">
        <v>3506779.0161265079</v>
      </c>
      <c r="S4209">
        <v>6</v>
      </c>
    </row>
    <row r="4210" spans="18:19" x14ac:dyDescent="0.25">
      <c r="R4210">
        <v>3506804.6786273802</v>
      </c>
      <c r="S4210">
        <v>6</v>
      </c>
    </row>
    <row r="4211" spans="18:19" x14ac:dyDescent="0.25">
      <c r="R4211">
        <v>3506830.3411282524</v>
      </c>
      <c r="S4211">
        <v>6</v>
      </c>
    </row>
    <row r="4212" spans="18:19" x14ac:dyDescent="0.25">
      <c r="R4212">
        <v>3506856.0036291252</v>
      </c>
      <c r="S4212">
        <v>6</v>
      </c>
    </row>
    <row r="4213" spans="18:19" x14ac:dyDescent="0.25">
      <c r="R4213">
        <v>3506881.6661299975</v>
      </c>
      <c r="S4213">
        <v>6</v>
      </c>
    </row>
    <row r="4214" spans="18:19" x14ac:dyDescent="0.25">
      <c r="R4214">
        <v>3506907.3286308697</v>
      </c>
      <c r="S4214">
        <v>6</v>
      </c>
    </row>
    <row r="4215" spans="18:19" x14ac:dyDescent="0.25">
      <c r="R4215">
        <v>3506932.991131742</v>
      </c>
      <c r="S4215">
        <v>6</v>
      </c>
    </row>
    <row r="4216" spans="18:19" x14ac:dyDescent="0.25">
      <c r="R4216">
        <v>3506958.6536326148</v>
      </c>
      <c r="S4216">
        <v>6</v>
      </c>
    </row>
    <row r="4217" spans="18:19" x14ac:dyDescent="0.25">
      <c r="R4217">
        <v>3506984.316133487</v>
      </c>
      <c r="S4217">
        <v>6</v>
      </c>
    </row>
    <row r="4218" spans="18:19" x14ac:dyDescent="0.25">
      <c r="R4218">
        <v>3507009.9786343593</v>
      </c>
      <c r="S4218">
        <v>6</v>
      </c>
    </row>
    <row r="4219" spans="18:19" x14ac:dyDescent="0.25">
      <c r="R4219">
        <v>3507035.6411352316</v>
      </c>
      <c r="S4219">
        <v>6</v>
      </c>
    </row>
    <row r="4220" spans="18:19" x14ac:dyDescent="0.25">
      <c r="R4220">
        <v>3507061.3036361043</v>
      </c>
      <c r="S4220">
        <v>6</v>
      </c>
    </row>
    <row r="4221" spans="18:19" x14ac:dyDescent="0.25">
      <c r="R4221">
        <v>3507086.9661369766</v>
      </c>
      <c r="S4221">
        <v>6</v>
      </c>
    </row>
    <row r="4222" spans="18:19" x14ac:dyDescent="0.25">
      <c r="R4222">
        <v>3507112.6286378489</v>
      </c>
      <c r="S4222">
        <v>6</v>
      </c>
    </row>
    <row r="4223" spans="18:19" x14ac:dyDescent="0.25">
      <c r="R4223">
        <v>3507138.2911387212</v>
      </c>
      <c r="S4223">
        <v>6</v>
      </c>
    </row>
    <row r="4224" spans="18:19" x14ac:dyDescent="0.25">
      <c r="R4224">
        <v>3507163.9536395934</v>
      </c>
      <c r="S4224">
        <v>6</v>
      </c>
    </row>
    <row r="4225" spans="18:19" x14ac:dyDescent="0.25">
      <c r="R4225">
        <v>3507189.6161404662</v>
      </c>
      <c r="S4225">
        <v>6</v>
      </c>
    </row>
    <row r="4226" spans="18:19" x14ac:dyDescent="0.25">
      <c r="R4226">
        <v>3507215.2786413385</v>
      </c>
      <c r="S4226">
        <v>6</v>
      </c>
    </row>
    <row r="4227" spans="18:19" x14ac:dyDescent="0.25">
      <c r="R4227">
        <v>3507240.9411422107</v>
      </c>
      <c r="S4227">
        <v>6</v>
      </c>
    </row>
    <row r="4228" spans="18:19" x14ac:dyDescent="0.25">
      <c r="R4228">
        <v>3507266.603643083</v>
      </c>
      <c r="S4228">
        <v>6</v>
      </c>
    </row>
    <row r="4229" spans="18:19" x14ac:dyDescent="0.25">
      <c r="R4229">
        <v>3507292.2661439558</v>
      </c>
      <c r="S4229">
        <v>6</v>
      </c>
    </row>
    <row r="4230" spans="18:19" x14ac:dyDescent="0.25">
      <c r="R4230">
        <v>3507317.928644828</v>
      </c>
      <c r="S4230">
        <v>6</v>
      </c>
    </row>
    <row r="4231" spans="18:19" x14ac:dyDescent="0.25">
      <c r="R4231">
        <v>3507343.5911457003</v>
      </c>
      <c r="S4231">
        <v>6</v>
      </c>
    </row>
    <row r="4232" spans="18:19" x14ac:dyDescent="0.25">
      <c r="R4232">
        <v>3507369.2536465726</v>
      </c>
      <c r="S4232">
        <v>6</v>
      </c>
    </row>
    <row r="4233" spans="18:19" x14ac:dyDescent="0.25">
      <c r="R4233">
        <v>3507394.9161474453</v>
      </c>
      <c r="S4233">
        <v>6</v>
      </c>
    </row>
    <row r="4234" spans="18:19" x14ac:dyDescent="0.25">
      <c r="R4234">
        <v>3507420.5786483176</v>
      </c>
      <c r="S4234">
        <v>6</v>
      </c>
    </row>
    <row r="4235" spans="18:19" x14ac:dyDescent="0.25">
      <c r="R4235">
        <v>3507446.2411491899</v>
      </c>
      <c r="S4235">
        <v>6</v>
      </c>
    </row>
    <row r="4236" spans="18:19" x14ac:dyDescent="0.25">
      <c r="R4236">
        <v>3507471.9036500622</v>
      </c>
      <c r="S4236">
        <v>6</v>
      </c>
    </row>
    <row r="4237" spans="18:19" x14ac:dyDescent="0.25">
      <c r="R4237">
        <v>3507497.5661509349</v>
      </c>
      <c r="S4237">
        <v>6</v>
      </c>
    </row>
    <row r="4238" spans="18:19" x14ac:dyDescent="0.25">
      <c r="R4238">
        <v>3507523.2286518072</v>
      </c>
      <c r="S4238">
        <v>6</v>
      </c>
    </row>
    <row r="4239" spans="18:19" x14ac:dyDescent="0.25">
      <c r="R4239">
        <v>3507548.8911526795</v>
      </c>
      <c r="S4239">
        <v>6</v>
      </c>
    </row>
    <row r="4240" spans="18:19" x14ac:dyDescent="0.25">
      <c r="R4240">
        <v>3507574.5536535517</v>
      </c>
      <c r="S4240">
        <v>6</v>
      </c>
    </row>
    <row r="4241" spans="18:19" x14ac:dyDescent="0.25">
      <c r="R4241">
        <v>3507600.216154424</v>
      </c>
      <c r="S4241">
        <v>6</v>
      </c>
    </row>
    <row r="4242" spans="18:19" x14ac:dyDescent="0.25">
      <c r="R4242">
        <v>3507625.8786552968</v>
      </c>
      <c r="S4242">
        <v>6</v>
      </c>
    </row>
    <row r="4243" spans="18:19" x14ac:dyDescent="0.25">
      <c r="R4243">
        <v>3507651.541156169</v>
      </c>
      <c r="S4243">
        <v>6</v>
      </c>
    </row>
    <row r="4244" spans="18:19" x14ac:dyDescent="0.25">
      <c r="R4244">
        <v>3507677.2036570413</v>
      </c>
      <c r="S4244">
        <v>6</v>
      </c>
    </row>
    <row r="4245" spans="18:19" x14ac:dyDescent="0.25">
      <c r="R4245">
        <v>3507702.8661579136</v>
      </c>
      <c r="S4245">
        <v>6</v>
      </c>
    </row>
    <row r="4246" spans="18:19" x14ac:dyDescent="0.25">
      <c r="R4246">
        <v>3507728.5286587863</v>
      </c>
      <c r="S4246">
        <v>6</v>
      </c>
    </row>
    <row r="4247" spans="18:19" x14ac:dyDescent="0.25">
      <c r="R4247">
        <v>3507754.1911596586</v>
      </c>
      <c r="S4247">
        <v>6</v>
      </c>
    </row>
    <row r="4248" spans="18:19" x14ac:dyDescent="0.25">
      <c r="R4248">
        <v>3507779.8536605309</v>
      </c>
      <c r="S4248">
        <v>0</v>
      </c>
    </row>
    <row r="4249" spans="18:19" x14ac:dyDescent="0.25">
      <c r="R4249">
        <v>3507805.5161614032</v>
      </c>
      <c r="S4249">
        <v>0</v>
      </c>
    </row>
    <row r="4250" spans="18:19" x14ac:dyDescent="0.25">
      <c r="R4250">
        <v>3507831.1786622759</v>
      </c>
      <c r="S4250">
        <v>0</v>
      </c>
    </row>
    <row r="4251" spans="18:19" x14ac:dyDescent="0.25">
      <c r="R4251">
        <v>3507856.8411631482</v>
      </c>
      <c r="S4251">
        <v>0</v>
      </c>
    </row>
    <row r="4252" spans="18:19" x14ac:dyDescent="0.25">
      <c r="R4252">
        <v>3507882.5036640204</v>
      </c>
      <c r="S4252">
        <v>0</v>
      </c>
    </row>
    <row r="4253" spans="18:19" x14ac:dyDescent="0.25">
      <c r="R4253">
        <v>3507908.1661648927</v>
      </c>
      <c r="S4253">
        <v>0</v>
      </c>
    </row>
    <row r="4254" spans="18:19" x14ac:dyDescent="0.25">
      <c r="R4254">
        <v>3507933.828665765</v>
      </c>
      <c r="S4254">
        <v>0</v>
      </c>
    </row>
    <row r="4255" spans="18:19" x14ac:dyDescent="0.25">
      <c r="R4255">
        <v>3507959.4911666377</v>
      </c>
      <c r="S4255">
        <v>0</v>
      </c>
    </row>
    <row r="4256" spans="18:19" x14ac:dyDescent="0.25">
      <c r="R4256">
        <v>3507985.15366751</v>
      </c>
      <c r="S4256">
        <v>0</v>
      </c>
    </row>
    <row r="4257" spans="18:19" x14ac:dyDescent="0.25">
      <c r="R4257">
        <v>3508010.8161683823</v>
      </c>
      <c r="S4257">
        <v>0</v>
      </c>
    </row>
    <row r="4258" spans="18:19" x14ac:dyDescent="0.25">
      <c r="R4258">
        <v>3508036.4786692546</v>
      </c>
      <c r="S4258">
        <v>0</v>
      </c>
    </row>
    <row r="4259" spans="18:19" x14ac:dyDescent="0.25">
      <c r="R4259">
        <v>3508062.1411701273</v>
      </c>
      <c r="S4259">
        <v>0</v>
      </c>
    </row>
    <row r="4260" spans="18:19" x14ac:dyDescent="0.25">
      <c r="R4260">
        <v>3508087.8036709996</v>
      </c>
      <c r="S4260">
        <v>0</v>
      </c>
    </row>
    <row r="4261" spans="18:19" x14ac:dyDescent="0.25">
      <c r="R4261">
        <v>3508113.4661718719</v>
      </c>
      <c r="S4261">
        <v>0</v>
      </c>
    </row>
    <row r="4262" spans="18:19" x14ac:dyDescent="0.25">
      <c r="R4262">
        <v>3508139.1286727441</v>
      </c>
      <c r="S4262">
        <v>0</v>
      </c>
    </row>
    <row r="4263" spans="18:19" x14ac:dyDescent="0.25">
      <c r="R4263">
        <v>3508164.7911736169</v>
      </c>
      <c r="S4263">
        <v>0</v>
      </c>
    </row>
    <row r="4264" spans="18:19" x14ac:dyDescent="0.25">
      <c r="R4264">
        <v>3508190.4536744892</v>
      </c>
      <c r="S4264">
        <v>0</v>
      </c>
    </row>
    <row r="4265" spans="18:19" x14ac:dyDescent="0.25">
      <c r="R4265">
        <v>3508216.1161753614</v>
      </c>
      <c r="S4265">
        <v>0</v>
      </c>
    </row>
    <row r="4266" spans="18:19" x14ac:dyDescent="0.25">
      <c r="R4266">
        <v>3508241.7786762337</v>
      </c>
      <c r="S4266">
        <v>0</v>
      </c>
    </row>
    <row r="4267" spans="18:19" x14ac:dyDescent="0.25">
      <c r="R4267">
        <v>3508267.4411771065</v>
      </c>
      <c r="S4267">
        <v>0</v>
      </c>
    </row>
    <row r="4268" spans="18:19" x14ac:dyDescent="0.25">
      <c r="R4268">
        <v>3508293.1036779787</v>
      </c>
      <c r="S4268">
        <v>0</v>
      </c>
    </row>
    <row r="4269" spans="18:19" x14ac:dyDescent="0.25">
      <c r="R4269">
        <v>3508318.766178851</v>
      </c>
      <c r="S4269">
        <v>0</v>
      </c>
    </row>
    <row r="4270" spans="18:19" x14ac:dyDescent="0.25">
      <c r="R4270">
        <v>3508344.4286797233</v>
      </c>
      <c r="S4270">
        <v>0</v>
      </c>
    </row>
    <row r="4271" spans="18:19" x14ac:dyDescent="0.25">
      <c r="R4271">
        <v>3508370.0911805956</v>
      </c>
      <c r="S4271">
        <v>0</v>
      </c>
    </row>
    <row r="4272" spans="18:19" x14ac:dyDescent="0.25">
      <c r="R4272">
        <v>3508395.7536814683</v>
      </c>
      <c r="S4272">
        <v>0</v>
      </c>
    </row>
    <row r="4273" spans="18:19" x14ac:dyDescent="0.25">
      <c r="R4273">
        <v>3508421.4161823406</v>
      </c>
      <c r="S4273">
        <v>0</v>
      </c>
    </row>
    <row r="4274" spans="18:19" x14ac:dyDescent="0.25">
      <c r="R4274">
        <v>3508447.0786832129</v>
      </c>
      <c r="S4274">
        <v>0</v>
      </c>
    </row>
    <row r="4275" spans="18:19" x14ac:dyDescent="0.25">
      <c r="R4275">
        <v>3508472.7411840851</v>
      </c>
      <c r="S4275">
        <v>0</v>
      </c>
    </row>
    <row r="4276" spans="18:19" x14ac:dyDescent="0.25">
      <c r="R4276">
        <v>3508498.4036849579</v>
      </c>
      <c r="S4276">
        <v>0</v>
      </c>
    </row>
    <row r="4277" spans="18:19" x14ac:dyDescent="0.25">
      <c r="R4277">
        <v>3508524.0661858302</v>
      </c>
      <c r="S4277">
        <v>0</v>
      </c>
    </row>
    <row r="4278" spans="18:19" x14ac:dyDescent="0.25">
      <c r="R4278">
        <v>3508549.7286867024</v>
      </c>
      <c r="S4278">
        <v>0</v>
      </c>
    </row>
    <row r="4279" spans="18:19" x14ac:dyDescent="0.25">
      <c r="R4279">
        <v>3508575.3911875747</v>
      </c>
      <c r="S4279">
        <v>0</v>
      </c>
    </row>
    <row r="4280" spans="18:19" x14ac:dyDescent="0.25">
      <c r="R4280">
        <v>3508601.0536884475</v>
      </c>
      <c r="S4280">
        <v>0</v>
      </c>
    </row>
    <row r="4281" spans="18:19" x14ac:dyDescent="0.25">
      <c r="R4281">
        <v>3508626.7161893197</v>
      </c>
      <c r="S4281">
        <v>0</v>
      </c>
    </row>
    <row r="4282" spans="18:19" x14ac:dyDescent="0.25">
      <c r="R4282">
        <v>3508652.378690192</v>
      </c>
      <c r="S4282">
        <v>0</v>
      </c>
    </row>
    <row r="4283" spans="18:19" x14ac:dyDescent="0.25">
      <c r="R4283">
        <v>3508678.0411910643</v>
      </c>
      <c r="S4283">
        <v>0</v>
      </c>
    </row>
    <row r="4284" spans="18:19" x14ac:dyDescent="0.25">
      <c r="R4284">
        <v>3508703.703691937</v>
      </c>
      <c r="S4284">
        <v>0</v>
      </c>
    </row>
    <row r="4285" spans="18:19" x14ac:dyDescent="0.25">
      <c r="R4285">
        <v>3508729.3661928093</v>
      </c>
      <c r="S4285">
        <v>0</v>
      </c>
    </row>
    <row r="4286" spans="18:19" x14ac:dyDescent="0.25">
      <c r="R4286">
        <v>3508755.0286936816</v>
      </c>
      <c r="S4286">
        <v>0</v>
      </c>
    </row>
    <row r="4287" spans="18:19" x14ac:dyDescent="0.25">
      <c r="R4287">
        <v>3508780.6911945539</v>
      </c>
      <c r="S4287">
        <v>0</v>
      </c>
    </row>
    <row r="4288" spans="18:19" x14ac:dyDescent="0.25">
      <c r="R4288">
        <v>3508806.3536954261</v>
      </c>
      <c r="S4288">
        <v>0</v>
      </c>
    </row>
    <row r="4289" spans="18:19" x14ac:dyDescent="0.25">
      <c r="R4289">
        <v>3508832.0161962989</v>
      </c>
      <c r="S4289">
        <v>0</v>
      </c>
    </row>
    <row r="4290" spans="18:19" x14ac:dyDescent="0.25">
      <c r="R4290">
        <v>3508857.6786971712</v>
      </c>
      <c r="S4290">
        <v>0</v>
      </c>
    </row>
    <row r="4291" spans="18:19" x14ac:dyDescent="0.25">
      <c r="R4291">
        <v>3508883.3411980434</v>
      </c>
      <c r="S4291">
        <v>0</v>
      </c>
    </row>
    <row r="4292" spans="18:19" x14ac:dyDescent="0.25">
      <c r="R4292">
        <v>3508909.0036989157</v>
      </c>
      <c r="S4292">
        <v>0</v>
      </c>
    </row>
    <row r="4293" spans="18:19" x14ac:dyDescent="0.25">
      <c r="R4293">
        <v>3508934.6661997885</v>
      </c>
      <c r="S4293">
        <v>0</v>
      </c>
    </row>
    <row r="4294" spans="18:19" x14ac:dyDescent="0.25">
      <c r="R4294">
        <v>3508960.3287006607</v>
      </c>
      <c r="S4294">
        <v>0</v>
      </c>
    </row>
    <row r="4295" spans="18:19" x14ac:dyDescent="0.25">
      <c r="R4295">
        <v>3508985.991201533</v>
      </c>
      <c r="S4295">
        <v>0</v>
      </c>
    </row>
    <row r="4296" spans="18:19" x14ac:dyDescent="0.25">
      <c r="R4296">
        <v>3509011.6537024053</v>
      </c>
      <c r="S4296">
        <v>0</v>
      </c>
    </row>
    <row r="4297" spans="18:19" x14ac:dyDescent="0.25">
      <c r="R4297">
        <v>3509037.316203278</v>
      </c>
      <c r="S4297">
        <v>0</v>
      </c>
    </row>
    <row r="4298" spans="18:19" x14ac:dyDescent="0.25">
      <c r="R4298">
        <v>3509062.9787041503</v>
      </c>
      <c r="S4298">
        <v>0</v>
      </c>
    </row>
    <row r="4299" spans="18:19" x14ac:dyDescent="0.25">
      <c r="R4299">
        <v>3509088.6412050226</v>
      </c>
      <c r="S4299">
        <v>0</v>
      </c>
    </row>
    <row r="4300" spans="18:19" x14ac:dyDescent="0.25">
      <c r="R4300">
        <v>3509114.3037058949</v>
      </c>
      <c r="S4300">
        <v>0</v>
      </c>
    </row>
    <row r="4301" spans="18:19" x14ac:dyDescent="0.25">
      <c r="R4301">
        <v>3509139.9662067676</v>
      </c>
      <c r="S4301">
        <v>0</v>
      </c>
    </row>
    <row r="4302" spans="18:19" x14ac:dyDescent="0.25">
      <c r="R4302">
        <v>3509165.6287076399</v>
      </c>
      <c r="S4302">
        <v>0</v>
      </c>
    </row>
    <row r="4303" spans="18:19" x14ac:dyDescent="0.25">
      <c r="R4303">
        <v>3509191.2912085121</v>
      </c>
      <c r="S4303">
        <v>0</v>
      </c>
    </row>
    <row r="4304" spans="18:19" x14ac:dyDescent="0.25">
      <c r="R4304">
        <v>3509216.9537093844</v>
      </c>
      <c r="S4304">
        <v>0</v>
      </c>
    </row>
    <row r="4305" spans="18:19" x14ac:dyDescent="0.25">
      <c r="R4305">
        <v>3509242.6162102567</v>
      </c>
      <c r="S4305">
        <v>0</v>
      </c>
    </row>
    <row r="4306" spans="18:19" x14ac:dyDescent="0.25">
      <c r="R4306">
        <v>3509268.2787111294</v>
      </c>
      <c r="S4306">
        <v>0</v>
      </c>
    </row>
    <row r="4307" spans="18:19" x14ac:dyDescent="0.25">
      <c r="R4307">
        <v>3509293.9412120017</v>
      </c>
      <c r="S4307">
        <v>0</v>
      </c>
    </row>
    <row r="4308" spans="18:19" x14ac:dyDescent="0.25">
      <c r="R4308">
        <v>3509319.603712874</v>
      </c>
      <c r="S4308">
        <v>0</v>
      </c>
    </row>
    <row r="4309" spans="18:19" x14ac:dyDescent="0.25">
      <c r="R4309">
        <v>3509345.2662137463</v>
      </c>
      <c r="S4309">
        <v>0</v>
      </c>
    </row>
    <row r="4310" spans="18:19" x14ac:dyDescent="0.25">
      <c r="R4310">
        <v>3509370.928714619</v>
      </c>
      <c r="S4310">
        <v>0</v>
      </c>
    </row>
    <row r="4311" spans="18:19" x14ac:dyDescent="0.25">
      <c r="R4311">
        <v>3509396.5912154913</v>
      </c>
      <c r="S4311">
        <v>0</v>
      </c>
    </row>
    <row r="4312" spans="18:19" x14ac:dyDescent="0.25">
      <c r="R4312">
        <v>3509422.2537163636</v>
      </c>
      <c r="S4312">
        <v>0</v>
      </c>
    </row>
    <row r="4313" spans="18:19" x14ac:dyDescent="0.25">
      <c r="R4313">
        <v>3509447.9162172358</v>
      </c>
      <c r="S4313">
        <v>0</v>
      </c>
    </row>
    <row r="4314" spans="18:19" x14ac:dyDescent="0.25">
      <c r="R4314">
        <v>3509473.5787181086</v>
      </c>
      <c r="S4314">
        <v>3</v>
      </c>
    </row>
    <row r="4315" spans="18:19" x14ac:dyDescent="0.25">
      <c r="R4315">
        <v>3509499.2412189809</v>
      </c>
      <c r="S4315">
        <v>9</v>
      </c>
    </row>
    <row r="4316" spans="18:19" x14ac:dyDescent="0.25">
      <c r="R4316">
        <v>3509524.9037198531</v>
      </c>
      <c r="S4316">
        <v>6</v>
      </c>
    </row>
    <row r="4317" spans="18:19" x14ac:dyDescent="0.25">
      <c r="R4317">
        <v>3509550.5662207254</v>
      </c>
      <c r="S4317">
        <v>6</v>
      </c>
    </row>
    <row r="4318" spans="18:19" x14ac:dyDescent="0.25">
      <c r="R4318">
        <v>3509576.2287215977</v>
      </c>
      <c r="S4318">
        <v>6</v>
      </c>
    </row>
    <row r="4319" spans="18:19" x14ac:dyDescent="0.25">
      <c r="R4319">
        <v>3509601.8912224704</v>
      </c>
      <c r="S4319">
        <v>6</v>
      </c>
    </row>
    <row r="4320" spans="18:19" x14ac:dyDescent="0.25">
      <c r="R4320">
        <v>3509627.5537233427</v>
      </c>
      <c r="S4320">
        <v>6</v>
      </c>
    </row>
    <row r="4321" spans="18:19" x14ac:dyDescent="0.25">
      <c r="R4321">
        <v>3509653.216224215</v>
      </c>
      <c r="S4321">
        <v>6</v>
      </c>
    </row>
    <row r="4322" spans="18:19" x14ac:dyDescent="0.25">
      <c r="R4322">
        <v>3509678.8787250873</v>
      </c>
      <c r="S4322">
        <v>6</v>
      </c>
    </row>
    <row r="4323" spans="18:19" x14ac:dyDescent="0.25">
      <c r="R4323">
        <v>3509704.54122596</v>
      </c>
      <c r="S4323">
        <v>6</v>
      </c>
    </row>
    <row r="4324" spans="18:19" x14ac:dyDescent="0.25">
      <c r="R4324">
        <v>3509730.2037268323</v>
      </c>
      <c r="S4324">
        <v>6</v>
      </c>
    </row>
    <row r="4325" spans="18:19" x14ac:dyDescent="0.25">
      <c r="R4325">
        <v>3509755.8662277046</v>
      </c>
      <c r="S4325">
        <v>6</v>
      </c>
    </row>
    <row r="4326" spans="18:19" x14ac:dyDescent="0.25">
      <c r="R4326">
        <v>3509781.5287285768</v>
      </c>
      <c r="S4326">
        <v>6</v>
      </c>
    </row>
    <row r="4327" spans="18:19" x14ac:dyDescent="0.25">
      <c r="R4327">
        <v>3509807.1912294496</v>
      </c>
      <c r="S4327">
        <v>6</v>
      </c>
    </row>
    <row r="4328" spans="18:19" x14ac:dyDescent="0.25">
      <c r="R4328">
        <v>3509832.8537303219</v>
      </c>
      <c r="S4328">
        <v>6</v>
      </c>
    </row>
    <row r="4329" spans="18:19" x14ac:dyDescent="0.25">
      <c r="R4329">
        <v>3509858.5162311941</v>
      </c>
      <c r="S4329">
        <v>6</v>
      </c>
    </row>
    <row r="4330" spans="18:19" x14ac:dyDescent="0.25">
      <c r="R4330">
        <v>3509884.1787320664</v>
      </c>
      <c r="S4330">
        <v>6</v>
      </c>
    </row>
    <row r="4331" spans="18:19" x14ac:dyDescent="0.25">
      <c r="R4331">
        <v>3509909.8412329392</v>
      </c>
      <c r="S4331">
        <v>6</v>
      </c>
    </row>
    <row r="4332" spans="18:19" x14ac:dyDescent="0.25">
      <c r="R4332">
        <v>3509935.5037338114</v>
      </c>
      <c r="S4332">
        <v>6</v>
      </c>
    </row>
    <row r="4333" spans="18:19" x14ac:dyDescent="0.25">
      <c r="R4333">
        <v>3509961.1662346837</v>
      </c>
      <c r="S4333">
        <v>6</v>
      </c>
    </row>
    <row r="4334" spans="18:19" x14ac:dyDescent="0.25">
      <c r="R4334">
        <v>3509986.828735556</v>
      </c>
      <c r="S4334">
        <v>6</v>
      </c>
    </row>
    <row r="4335" spans="18:19" x14ac:dyDescent="0.25">
      <c r="R4335">
        <v>3510012.4912364283</v>
      </c>
      <c r="S4335">
        <v>6</v>
      </c>
    </row>
    <row r="4336" spans="18:19" x14ac:dyDescent="0.25">
      <c r="R4336">
        <v>3510038.153737301</v>
      </c>
      <c r="S4336">
        <v>6</v>
      </c>
    </row>
    <row r="4337" spans="18:19" x14ac:dyDescent="0.25">
      <c r="R4337">
        <v>3510063.8162381733</v>
      </c>
      <c r="S4337">
        <v>6</v>
      </c>
    </row>
    <row r="4338" spans="18:19" x14ac:dyDescent="0.25">
      <c r="R4338">
        <v>3510089.4787390456</v>
      </c>
      <c r="S4338">
        <v>6</v>
      </c>
    </row>
    <row r="4339" spans="18:19" x14ac:dyDescent="0.25">
      <c r="R4339">
        <v>3510115.1412399178</v>
      </c>
      <c r="S4339">
        <v>6</v>
      </c>
    </row>
    <row r="4340" spans="18:19" x14ac:dyDescent="0.25">
      <c r="R4340">
        <v>3510140.8037407906</v>
      </c>
      <c r="S4340">
        <v>6</v>
      </c>
    </row>
    <row r="4341" spans="18:19" x14ac:dyDescent="0.25">
      <c r="R4341">
        <v>3510166.4662416629</v>
      </c>
      <c r="S4341">
        <v>6</v>
      </c>
    </row>
    <row r="4342" spans="18:19" x14ac:dyDescent="0.25">
      <c r="R4342">
        <v>3510192.1287425351</v>
      </c>
      <c r="S4342">
        <v>6</v>
      </c>
    </row>
    <row r="4343" spans="18:19" x14ac:dyDescent="0.25">
      <c r="R4343">
        <v>3510217.7912434074</v>
      </c>
      <c r="S4343">
        <v>6</v>
      </c>
    </row>
    <row r="4344" spans="18:19" x14ac:dyDescent="0.25">
      <c r="R4344">
        <v>3510243.4537442802</v>
      </c>
      <c r="S4344">
        <v>6</v>
      </c>
    </row>
    <row r="4345" spans="18:19" x14ac:dyDescent="0.25">
      <c r="R4345">
        <v>3510269.1162451524</v>
      </c>
      <c r="S4345">
        <v>6</v>
      </c>
    </row>
    <row r="4346" spans="18:19" x14ac:dyDescent="0.25">
      <c r="R4346">
        <v>3510294.7787460247</v>
      </c>
      <c r="S4346">
        <v>6</v>
      </c>
    </row>
    <row r="4347" spans="18:19" x14ac:dyDescent="0.25">
      <c r="R4347">
        <v>3510320.441246897</v>
      </c>
      <c r="S4347">
        <v>6</v>
      </c>
    </row>
    <row r="4348" spans="18:19" x14ac:dyDescent="0.25">
      <c r="R4348">
        <v>3510346.1037477697</v>
      </c>
      <c r="S4348">
        <v>6</v>
      </c>
    </row>
    <row r="4349" spans="18:19" x14ac:dyDescent="0.25">
      <c r="R4349">
        <v>3510371.766248642</v>
      </c>
      <c r="S4349">
        <v>6</v>
      </c>
    </row>
    <row r="4350" spans="18:19" x14ac:dyDescent="0.25">
      <c r="R4350">
        <v>3510397.4287495143</v>
      </c>
      <c r="S4350">
        <v>6</v>
      </c>
    </row>
    <row r="4351" spans="18:19" x14ac:dyDescent="0.25">
      <c r="R4351">
        <v>3510423.0912503866</v>
      </c>
      <c r="S4351">
        <v>6</v>
      </c>
    </row>
    <row r="4352" spans="18:19" x14ac:dyDescent="0.25">
      <c r="R4352">
        <v>3510448.7537512588</v>
      </c>
      <c r="S4352">
        <v>6</v>
      </c>
    </row>
    <row r="4353" spans="18:19" x14ac:dyDescent="0.25">
      <c r="R4353">
        <v>3510474.4162521316</v>
      </c>
      <c r="S4353">
        <v>6</v>
      </c>
    </row>
    <row r="4354" spans="18:19" x14ac:dyDescent="0.25">
      <c r="R4354">
        <v>3510500.0787530039</v>
      </c>
      <c r="S4354">
        <v>6</v>
      </c>
    </row>
    <row r="4355" spans="18:19" x14ac:dyDescent="0.25">
      <c r="R4355">
        <v>3510525.7412538761</v>
      </c>
      <c r="S4355">
        <v>6</v>
      </c>
    </row>
    <row r="4356" spans="18:19" x14ac:dyDescent="0.25">
      <c r="R4356">
        <v>3510551.4037547484</v>
      </c>
      <c r="S4356">
        <v>6</v>
      </c>
    </row>
    <row r="4357" spans="18:19" x14ac:dyDescent="0.25">
      <c r="R4357">
        <v>3510577.0662556211</v>
      </c>
      <c r="S4357">
        <v>6</v>
      </c>
    </row>
    <row r="4358" spans="18:19" x14ac:dyDescent="0.25">
      <c r="R4358">
        <v>3510602.7287564934</v>
      </c>
      <c r="S4358">
        <v>9</v>
      </c>
    </row>
    <row r="4359" spans="18:19" x14ac:dyDescent="0.25">
      <c r="R4359">
        <v>3510628.3912573657</v>
      </c>
      <c r="S4359">
        <v>15</v>
      </c>
    </row>
    <row r="4360" spans="18:19" x14ac:dyDescent="0.25">
      <c r="R4360">
        <v>3510654.053758238</v>
      </c>
      <c r="S4360">
        <v>12</v>
      </c>
    </row>
    <row r="4361" spans="18:19" x14ac:dyDescent="0.25">
      <c r="R4361">
        <v>3510679.7162591107</v>
      </c>
      <c r="S4361">
        <v>12</v>
      </c>
    </row>
    <row r="4362" spans="18:19" x14ac:dyDescent="0.25">
      <c r="R4362">
        <v>3510705.378759983</v>
      </c>
      <c r="S4362">
        <v>12</v>
      </c>
    </row>
    <row r="4363" spans="18:19" x14ac:dyDescent="0.25">
      <c r="R4363">
        <v>3510731.0412608553</v>
      </c>
      <c r="S4363">
        <v>12</v>
      </c>
    </row>
    <row r="4364" spans="18:19" x14ac:dyDescent="0.25">
      <c r="R4364">
        <v>3510756.7037617275</v>
      </c>
      <c r="S4364">
        <v>12</v>
      </c>
    </row>
    <row r="4365" spans="18:19" x14ac:dyDescent="0.25">
      <c r="R4365">
        <v>3510782.3662626003</v>
      </c>
      <c r="S4365">
        <v>12</v>
      </c>
    </row>
    <row r="4366" spans="18:19" x14ac:dyDescent="0.25">
      <c r="R4366">
        <v>3510808.0287634726</v>
      </c>
      <c r="S4366">
        <v>12</v>
      </c>
    </row>
    <row r="4367" spans="18:19" x14ac:dyDescent="0.25">
      <c r="R4367">
        <v>3510833.6912643448</v>
      </c>
      <c r="S4367">
        <v>12</v>
      </c>
    </row>
    <row r="4368" spans="18:19" x14ac:dyDescent="0.25">
      <c r="R4368">
        <v>3510859.3537652171</v>
      </c>
      <c r="S4368">
        <v>12</v>
      </c>
    </row>
    <row r="4369" spans="18:19" x14ac:dyDescent="0.25">
      <c r="R4369">
        <v>3510885.0162660894</v>
      </c>
      <c r="S4369">
        <v>12</v>
      </c>
    </row>
    <row r="4370" spans="18:19" x14ac:dyDescent="0.25">
      <c r="R4370">
        <v>3510910.6787669621</v>
      </c>
      <c r="S4370">
        <v>12</v>
      </c>
    </row>
    <row r="4371" spans="18:19" x14ac:dyDescent="0.25">
      <c r="R4371">
        <v>3510936.3412678344</v>
      </c>
      <c r="S4371">
        <v>12</v>
      </c>
    </row>
    <row r="4372" spans="18:19" x14ac:dyDescent="0.25">
      <c r="R4372">
        <v>3510962.0037687067</v>
      </c>
      <c r="S4372">
        <v>12</v>
      </c>
    </row>
    <row r="4373" spans="18:19" x14ac:dyDescent="0.25">
      <c r="R4373">
        <v>3510987.666269579</v>
      </c>
      <c r="S4373">
        <v>12</v>
      </c>
    </row>
    <row r="4374" spans="18:19" x14ac:dyDescent="0.25">
      <c r="R4374">
        <v>3511013.3287704517</v>
      </c>
      <c r="S4374">
        <v>12</v>
      </c>
    </row>
    <row r="4375" spans="18:19" x14ac:dyDescent="0.25">
      <c r="R4375">
        <v>3511038.991271324</v>
      </c>
      <c r="S4375">
        <v>12</v>
      </c>
    </row>
    <row r="4376" spans="18:19" x14ac:dyDescent="0.25">
      <c r="R4376">
        <v>3511064.6537721963</v>
      </c>
      <c r="S4376">
        <v>12</v>
      </c>
    </row>
    <row r="4377" spans="18:19" x14ac:dyDescent="0.25">
      <c r="R4377">
        <v>3511090.3162730685</v>
      </c>
      <c r="S4377">
        <v>12</v>
      </c>
    </row>
    <row r="4378" spans="18:19" x14ac:dyDescent="0.25">
      <c r="R4378">
        <v>3511115.9787739413</v>
      </c>
      <c r="S4378">
        <v>12</v>
      </c>
    </row>
    <row r="4379" spans="18:19" x14ac:dyDescent="0.25">
      <c r="R4379">
        <v>3511141.6412748136</v>
      </c>
      <c r="S4379">
        <v>12</v>
      </c>
    </row>
    <row r="4380" spans="18:19" x14ac:dyDescent="0.25">
      <c r="R4380">
        <v>3511167.3037756858</v>
      </c>
      <c r="S4380">
        <v>12</v>
      </c>
    </row>
    <row r="4381" spans="18:19" x14ac:dyDescent="0.25">
      <c r="R4381">
        <v>3511192.9662765581</v>
      </c>
      <c r="S4381">
        <v>12</v>
      </c>
    </row>
    <row r="4382" spans="18:19" x14ac:dyDescent="0.25">
      <c r="R4382">
        <v>3511218.6287774304</v>
      </c>
      <c r="S4382">
        <v>12</v>
      </c>
    </row>
    <row r="4383" spans="18:19" x14ac:dyDescent="0.25">
      <c r="R4383">
        <v>3511244.2912783031</v>
      </c>
      <c r="S4383">
        <v>12</v>
      </c>
    </row>
    <row r="4384" spans="18:19" x14ac:dyDescent="0.25">
      <c r="R4384">
        <v>3511269.9537791754</v>
      </c>
      <c r="S4384">
        <v>12</v>
      </c>
    </row>
    <row r="4385" spans="18:19" x14ac:dyDescent="0.25">
      <c r="R4385">
        <v>3511295.6162800477</v>
      </c>
      <c r="S4385">
        <v>12</v>
      </c>
    </row>
    <row r="4386" spans="18:19" x14ac:dyDescent="0.25">
      <c r="R4386">
        <v>3511321.27878092</v>
      </c>
      <c r="S4386">
        <v>12</v>
      </c>
    </row>
    <row r="4387" spans="18:19" x14ac:dyDescent="0.25">
      <c r="R4387">
        <v>3511346.9412817927</v>
      </c>
      <c r="S4387">
        <v>12</v>
      </c>
    </row>
    <row r="4388" spans="18:19" x14ac:dyDescent="0.25">
      <c r="R4388">
        <v>3511372.603782665</v>
      </c>
      <c r="S4388">
        <v>12</v>
      </c>
    </row>
    <row r="4389" spans="18:19" x14ac:dyDescent="0.25">
      <c r="R4389">
        <v>3511398.2662835373</v>
      </c>
      <c r="S4389">
        <v>12</v>
      </c>
    </row>
    <row r="4390" spans="18:19" x14ac:dyDescent="0.25">
      <c r="R4390">
        <v>3511423.9287844095</v>
      </c>
      <c r="S4390">
        <v>12</v>
      </c>
    </row>
    <row r="4391" spans="18:19" x14ac:dyDescent="0.25">
      <c r="R4391">
        <v>3511449.5912852823</v>
      </c>
      <c r="S4391">
        <v>12</v>
      </c>
    </row>
    <row r="4392" spans="18:19" x14ac:dyDescent="0.25">
      <c r="R4392">
        <v>3511475.2537861546</v>
      </c>
      <c r="S4392">
        <v>12</v>
      </c>
    </row>
    <row r="4393" spans="18:19" x14ac:dyDescent="0.25">
      <c r="R4393">
        <v>3511500.9162870268</v>
      </c>
      <c r="S4393">
        <v>6</v>
      </c>
    </row>
    <row r="4394" spans="18:19" x14ac:dyDescent="0.25">
      <c r="R4394">
        <v>3511526.5787878991</v>
      </c>
      <c r="S4394">
        <v>6</v>
      </c>
    </row>
    <row r="4395" spans="18:19" x14ac:dyDescent="0.25">
      <c r="R4395">
        <v>3511552.2412887719</v>
      </c>
      <c r="S4395">
        <v>6</v>
      </c>
    </row>
    <row r="4396" spans="18:19" x14ac:dyDescent="0.25">
      <c r="R4396">
        <v>3511577.9037896441</v>
      </c>
      <c r="S4396">
        <v>6</v>
      </c>
    </row>
    <row r="4397" spans="18:19" x14ac:dyDescent="0.25">
      <c r="R4397">
        <v>3511603.5662905164</v>
      </c>
      <c r="S4397">
        <v>6</v>
      </c>
    </row>
    <row r="4398" spans="18:19" x14ac:dyDescent="0.25">
      <c r="R4398">
        <v>3511629.2287913887</v>
      </c>
      <c r="S4398">
        <v>6</v>
      </c>
    </row>
    <row r="4399" spans="18:19" x14ac:dyDescent="0.25">
      <c r="R4399">
        <v>3511654.891292261</v>
      </c>
      <c r="S4399">
        <v>6</v>
      </c>
    </row>
    <row r="4400" spans="18:19" x14ac:dyDescent="0.25">
      <c r="R4400">
        <v>3511680.5537931337</v>
      </c>
      <c r="S4400">
        <v>6</v>
      </c>
    </row>
    <row r="4401" spans="18:19" x14ac:dyDescent="0.25">
      <c r="R4401">
        <v>3511706.216294006</v>
      </c>
      <c r="S4401">
        <v>6</v>
      </c>
    </row>
    <row r="4402" spans="18:19" x14ac:dyDescent="0.25">
      <c r="R4402">
        <v>3511731.8787948783</v>
      </c>
      <c r="S4402">
        <v>6</v>
      </c>
    </row>
    <row r="4403" spans="18:19" x14ac:dyDescent="0.25">
      <c r="R4403">
        <v>3511757.5412957505</v>
      </c>
      <c r="S4403">
        <v>6</v>
      </c>
    </row>
    <row r="4404" spans="18:19" x14ac:dyDescent="0.25">
      <c r="R4404">
        <v>3511783.2037966233</v>
      </c>
      <c r="S4404">
        <v>6</v>
      </c>
    </row>
    <row r="4405" spans="18:19" x14ac:dyDescent="0.25">
      <c r="R4405">
        <v>3511808.8662974956</v>
      </c>
      <c r="S4405">
        <v>6</v>
      </c>
    </row>
    <row r="4406" spans="18:19" x14ac:dyDescent="0.25">
      <c r="R4406">
        <v>3511834.5287983678</v>
      </c>
      <c r="S4406">
        <v>6</v>
      </c>
    </row>
    <row r="4407" spans="18:19" x14ac:dyDescent="0.25">
      <c r="R4407">
        <v>3511860.1912992401</v>
      </c>
      <c r="S4407">
        <v>6</v>
      </c>
    </row>
    <row r="4408" spans="18:19" x14ac:dyDescent="0.25">
      <c r="R4408">
        <v>3511885.8538001128</v>
      </c>
      <c r="S4408">
        <v>6</v>
      </c>
    </row>
    <row r="4409" spans="18:19" x14ac:dyDescent="0.25">
      <c r="R4409">
        <v>3511911.5163009851</v>
      </c>
      <c r="S4409">
        <v>6</v>
      </c>
    </row>
    <row r="4410" spans="18:19" x14ac:dyDescent="0.25">
      <c r="R4410">
        <v>3511937.1788018574</v>
      </c>
      <c r="S4410">
        <v>6</v>
      </c>
    </row>
    <row r="4411" spans="18:19" x14ac:dyDescent="0.25">
      <c r="R4411">
        <v>3511962.8413027297</v>
      </c>
      <c r="S4411">
        <v>6</v>
      </c>
    </row>
    <row r="4412" spans="18:19" x14ac:dyDescent="0.25">
      <c r="R4412">
        <v>3511988.5038036024</v>
      </c>
      <c r="S4412">
        <v>6</v>
      </c>
    </row>
    <row r="4413" spans="18:19" x14ac:dyDescent="0.25">
      <c r="R4413">
        <v>3512014.1663044747</v>
      </c>
      <c r="S4413">
        <v>6</v>
      </c>
    </row>
    <row r="4414" spans="18:19" x14ac:dyDescent="0.25">
      <c r="R4414">
        <v>3512039.828805347</v>
      </c>
      <c r="S4414">
        <v>6</v>
      </c>
    </row>
    <row r="4415" spans="18:19" x14ac:dyDescent="0.25">
      <c r="R4415">
        <v>3512065.4913062192</v>
      </c>
      <c r="S4415">
        <v>6</v>
      </c>
    </row>
    <row r="4416" spans="18:19" x14ac:dyDescent="0.25">
      <c r="R4416">
        <v>3512091.1538070915</v>
      </c>
      <c r="S4416">
        <v>6</v>
      </c>
    </row>
    <row r="4417" spans="18:19" x14ac:dyDescent="0.25">
      <c r="R4417">
        <v>3512116.8163079643</v>
      </c>
      <c r="S4417">
        <v>6</v>
      </c>
    </row>
    <row r="4418" spans="18:19" x14ac:dyDescent="0.25">
      <c r="R4418">
        <v>3512142.4788088365</v>
      </c>
      <c r="S4418">
        <v>6</v>
      </c>
    </row>
    <row r="4419" spans="18:19" x14ac:dyDescent="0.25">
      <c r="R4419">
        <v>3512168.1413097088</v>
      </c>
      <c r="S4419">
        <v>6</v>
      </c>
    </row>
    <row r="4420" spans="18:19" x14ac:dyDescent="0.25">
      <c r="R4420">
        <v>3512193.8038105811</v>
      </c>
      <c r="S4420">
        <v>6</v>
      </c>
    </row>
    <row r="4421" spans="18:19" x14ac:dyDescent="0.25">
      <c r="R4421">
        <v>3512219.4663114538</v>
      </c>
      <c r="S4421">
        <v>6</v>
      </c>
    </row>
    <row r="4422" spans="18:19" x14ac:dyDescent="0.25">
      <c r="R4422">
        <v>3512245.1288123261</v>
      </c>
      <c r="S4422">
        <v>6</v>
      </c>
    </row>
    <row r="4423" spans="18:19" x14ac:dyDescent="0.25">
      <c r="R4423">
        <v>3512270.7913131984</v>
      </c>
      <c r="S4423">
        <v>6</v>
      </c>
    </row>
    <row r="4424" spans="18:19" x14ac:dyDescent="0.25">
      <c r="R4424">
        <v>3512296.4538140707</v>
      </c>
      <c r="S4424">
        <v>6</v>
      </c>
    </row>
    <row r="4425" spans="18:19" x14ac:dyDescent="0.25">
      <c r="R4425">
        <v>3512322.1163149434</v>
      </c>
      <c r="S4425">
        <v>6</v>
      </c>
    </row>
    <row r="4426" spans="18:19" x14ac:dyDescent="0.25">
      <c r="R4426">
        <v>3512347.7788158157</v>
      </c>
      <c r="S4426">
        <v>6</v>
      </c>
    </row>
    <row r="4427" spans="18:19" x14ac:dyDescent="0.25">
      <c r="R4427">
        <v>3512373.441316688</v>
      </c>
      <c r="S4427">
        <v>6</v>
      </c>
    </row>
    <row r="4428" spans="18:19" x14ac:dyDescent="0.25">
      <c r="R4428">
        <v>3512399.1038175602</v>
      </c>
      <c r="S4428">
        <v>6</v>
      </c>
    </row>
    <row r="4429" spans="18:19" x14ac:dyDescent="0.25">
      <c r="R4429">
        <v>3512424.766318433</v>
      </c>
      <c r="S4429">
        <v>6</v>
      </c>
    </row>
    <row r="4430" spans="18:19" x14ac:dyDescent="0.25">
      <c r="R4430">
        <v>3512450.4288193053</v>
      </c>
      <c r="S4430">
        <v>9</v>
      </c>
    </row>
    <row r="4431" spans="18:19" x14ac:dyDescent="0.25">
      <c r="R4431">
        <v>3512476.0913201775</v>
      </c>
      <c r="S4431">
        <v>15</v>
      </c>
    </row>
    <row r="4432" spans="18:19" x14ac:dyDescent="0.25">
      <c r="R4432">
        <v>3512501.7538210498</v>
      </c>
      <c r="S4432">
        <v>12</v>
      </c>
    </row>
    <row r="4433" spans="18:19" x14ac:dyDescent="0.25">
      <c r="R4433">
        <v>3512527.4163219221</v>
      </c>
      <c r="S4433">
        <v>12</v>
      </c>
    </row>
    <row r="4434" spans="18:19" x14ac:dyDescent="0.25">
      <c r="R4434">
        <v>3512553.0788227948</v>
      </c>
      <c r="S4434">
        <v>12</v>
      </c>
    </row>
    <row r="4435" spans="18:19" x14ac:dyDescent="0.25">
      <c r="R4435">
        <v>3512578.7413236671</v>
      </c>
      <c r="S4435">
        <v>12</v>
      </c>
    </row>
    <row r="4436" spans="18:19" x14ac:dyDescent="0.25">
      <c r="R4436">
        <v>3512604.4038245394</v>
      </c>
      <c r="S4436">
        <v>12</v>
      </c>
    </row>
    <row r="4437" spans="18:19" x14ac:dyDescent="0.25">
      <c r="R4437">
        <v>3512630.0663254117</v>
      </c>
      <c r="S4437">
        <v>6</v>
      </c>
    </row>
    <row r="4438" spans="18:19" x14ac:dyDescent="0.25">
      <c r="R4438">
        <v>3512655.7288262844</v>
      </c>
      <c r="S4438">
        <v>6</v>
      </c>
    </row>
    <row r="4439" spans="18:19" x14ac:dyDescent="0.25">
      <c r="R4439">
        <v>3512681.3913271567</v>
      </c>
      <c r="S4439">
        <v>6</v>
      </c>
    </row>
    <row r="4440" spans="18:19" x14ac:dyDescent="0.25">
      <c r="R4440">
        <v>3512707.053828029</v>
      </c>
      <c r="S4440">
        <v>6</v>
      </c>
    </row>
    <row r="4441" spans="18:19" x14ac:dyDescent="0.25">
      <c r="R4441">
        <v>3512732.7163289012</v>
      </c>
      <c r="S4441">
        <v>6</v>
      </c>
    </row>
    <row r="4442" spans="18:19" x14ac:dyDescent="0.25">
      <c r="R4442">
        <v>3512758.378829774</v>
      </c>
      <c r="S4442">
        <v>6</v>
      </c>
    </row>
    <row r="4443" spans="18:19" x14ac:dyDescent="0.25">
      <c r="R4443">
        <v>3512784.0413306463</v>
      </c>
      <c r="S4443">
        <v>6</v>
      </c>
    </row>
    <row r="4444" spans="18:19" x14ac:dyDescent="0.25">
      <c r="R4444">
        <v>3512809.7038315185</v>
      </c>
      <c r="S4444">
        <v>6</v>
      </c>
    </row>
    <row r="4445" spans="18:19" x14ac:dyDescent="0.25">
      <c r="R4445">
        <v>3512835.3663323908</v>
      </c>
      <c r="S4445">
        <v>6</v>
      </c>
    </row>
    <row r="4446" spans="18:19" x14ac:dyDescent="0.25">
      <c r="R4446">
        <v>3512861.0288332631</v>
      </c>
      <c r="S4446">
        <v>6</v>
      </c>
    </row>
    <row r="4447" spans="18:19" x14ac:dyDescent="0.25">
      <c r="R4447">
        <v>3512886.6913341358</v>
      </c>
      <c r="S4447">
        <v>6</v>
      </c>
    </row>
    <row r="4448" spans="18:19" x14ac:dyDescent="0.25">
      <c r="R4448">
        <v>3512912.3538350081</v>
      </c>
      <c r="S4448">
        <v>6</v>
      </c>
    </row>
    <row r="4449" spans="18:19" x14ac:dyDescent="0.25">
      <c r="R4449">
        <v>3512938.0163358804</v>
      </c>
      <c r="S4449">
        <v>6</v>
      </c>
    </row>
    <row r="4450" spans="18:19" x14ac:dyDescent="0.25">
      <c r="R4450">
        <v>3512963.6788367527</v>
      </c>
      <c r="S4450">
        <v>6</v>
      </c>
    </row>
    <row r="4451" spans="18:19" x14ac:dyDescent="0.25">
      <c r="R4451">
        <v>3512989.3413376254</v>
      </c>
      <c r="S4451">
        <v>6</v>
      </c>
    </row>
    <row r="4452" spans="18:19" x14ac:dyDescent="0.25">
      <c r="R4452">
        <v>3513015.0038384977</v>
      </c>
      <c r="S4452">
        <v>6</v>
      </c>
    </row>
    <row r="4453" spans="18:19" x14ac:dyDescent="0.25">
      <c r="R4453">
        <v>3513040.66633937</v>
      </c>
      <c r="S4453">
        <v>6</v>
      </c>
    </row>
    <row r="4454" spans="18:19" x14ac:dyDescent="0.25">
      <c r="R4454">
        <v>3513066.3288402422</v>
      </c>
      <c r="S4454">
        <v>6</v>
      </c>
    </row>
    <row r="4455" spans="18:19" x14ac:dyDescent="0.25">
      <c r="R4455">
        <v>3513091.991341115</v>
      </c>
      <c r="S4455">
        <v>6</v>
      </c>
    </row>
    <row r="4456" spans="18:19" x14ac:dyDescent="0.25">
      <c r="R4456">
        <v>3513117.6538419873</v>
      </c>
      <c r="S4456">
        <v>6</v>
      </c>
    </row>
    <row r="4457" spans="18:19" x14ac:dyDescent="0.25">
      <c r="R4457">
        <v>3513143.3163428595</v>
      </c>
      <c r="S4457">
        <v>6</v>
      </c>
    </row>
    <row r="4458" spans="18:19" x14ac:dyDescent="0.25">
      <c r="R4458">
        <v>3513168.9788437318</v>
      </c>
      <c r="S4458">
        <v>6</v>
      </c>
    </row>
    <row r="4459" spans="18:19" x14ac:dyDescent="0.25">
      <c r="R4459">
        <v>3513194.6413446045</v>
      </c>
      <c r="S4459">
        <v>6</v>
      </c>
    </row>
    <row r="4460" spans="18:19" x14ac:dyDescent="0.25">
      <c r="R4460">
        <v>3513220.3038454768</v>
      </c>
      <c r="S4460">
        <v>6</v>
      </c>
    </row>
    <row r="4461" spans="18:19" x14ac:dyDescent="0.25">
      <c r="R4461">
        <v>3513245.9663463491</v>
      </c>
      <c r="S4461">
        <v>6</v>
      </c>
    </row>
    <row r="4462" spans="18:19" x14ac:dyDescent="0.25">
      <c r="R4462">
        <v>3513271.6288472214</v>
      </c>
      <c r="S4462">
        <v>6</v>
      </c>
    </row>
    <row r="4463" spans="18:19" x14ac:dyDescent="0.25">
      <c r="R4463">
        <v>3513297.2913480937</v>
      </c>
      <c r="S4463">
        <v>6</v>
      </c>
    </row>
    <row r="4464" spans="18:19" x14ac:dyDescent="0.25">
      <c r="R4464">
        <v>3513322.9538489664</v>
      </c>
      <c r="S4464">
        <v>6</v>
      </c>
    </row>
    <row r="4465" spans="18:19" x14ac:dyDescent="0.25">
      <c r="R4465">
        <v>3513348.6163498387</v>
      </c>
      <c r="S4465">
        <v>6</v>
      </c>
    </row>
    <row r="4466" spans="18:19" x14ac:dyDescent="0.25">
      <c r="R4466">
        <v>3513374.278850711</v>
      </c>
      <c r="S4466">
        <v>6</v>
      </c>
    </row>
    <row r="4467" spans="18:19" x14ac:dyDescent="0.25">
      <c r="R4467">
        <v>3513399.9413515832</v>
      </c>
      <c r="S4467">
        <v>6</v>
      </c>
    </row>
    <row r="4468" spans="18:19" x14ac:dyDescent="0.25">
      <c r="R4468">
        <v>3513425.603852456</v>
      </c>
      <c r="S4468">
        <v>6</v>
      </c>
    </row>
    <row r="4469" spans="18:19" x14ac:dyDescent="0.25">
      <c r="R4469">
        <v>3513451.2663533282</v>
      </c>
      <c r="S4469">
        <v>6</v>
      </c>
    </row>
    <row r="4470" spans="18:19" x14ac:dyDescent="0.25">
      <c r="R4470">
        <v>3513476.9288542005</v>
      </c>
      <c r="S4470">
        <v>6</v>
      </c>
    </row>
    <row r="4471" spans="18:19" x14ac:dyDescent="0.25">
      <c r="R4471">
        <v>3513502.5913550728</v>
      </c>
      <c r="S4471">
        <v>6</v>
      </c>
    </row>
    <row r="4472" spans="18:19" x14ac:dyDescent="0.25">
      <c r="R4472">
        <v>3513528.2538559455</v>
      </c>
      <c r="S4472">
        <v>6</v>
      </c>
    </row>
    <row r="4473" spans="18:19" x14ac:dyDescent="0.25">
      <c r="R4473">
        <v>3513553.9163568178</v>
      </c>
      <c r="S4473">
        <v>6</v>
      </c>
    </row>
    <row r="4474" spans="18:19" x14ac:dyDescent="0.25">
      <c r="R4474">
        <v>3513579.5788576901</v>
      </c>
      <c r="S4474">
        <v>9</v>
      </c>
    </row>
    <row r="4475" spans="18:19" x14ac:dyDescent="0.25">
      <c r="R4475">
        <v>3513605.2413585624</v>
      </c>
      <c r="S4475">
        <v>15</v>
      </c>
    </row>
    <row r="4476" spans="18:19" x14ac:dyDescent="0.25">
      <c r="R4476">
        <v>3513630.9038594351</v>
      </c>
      <c r="S4476">
        <v>12</v>
      </c>
    </row>
    <row r="4477" spans="18:19" x14ac:dyDescent="0.25">
      <c r="R4477">
        <v>3513656.5663603074</v>
      </c>
      <c r="S4477">
        <v>12</v>
      </c>
    </row>
    <row r="4478" spans="18:19" x14ac:dyDescent="0.25">
      <c r="R4478">
        <v>3513682.2288611797</v>
      </c>
      <c r="S4478">
        <v>12</v>
      </c>
    </row>
    <row r="4479" spans="18:19" x14ac:dyDescent="0.25">
      <c r="R4479">
        <v>3513707.8913620519</v>
      </c>
      <c r="S4479">
        <v>12</v>
      </c>
    </row>
    <row r="4480" spans="18:19" x14ac:dyDescent="0.25">
      <c r="R4480">
        <v>3513733.5538629242</v>
      </c>
      <c r="S4480">
        <v>12</v>
      </c>
    </row>
    <row r="4481" spans="18:19" x14ac:dyDescent="0.25">
      <c r="R4481">
        <v>3513759.216363797</v>
      </c>
      <c r="S4481">
        <v>12</v>
      </c>
    </row>
    <row r="4482" spans="18:19" x14ac:dyDescent="0.25">
      <c r="R4482">
        <v>3513784.8788646692</v>
      </c>
      <c r="S4482">
        <v>12</v>
      </c>
    </row>
    <row r="4483" spans="18:19" x14ac:dyDescent="0.25">
      <c r="R4483">
        <v>3513810.5413655415</v>
      </c>
      <c r="S4483">
        <v>12</v>
      </c>
    </row>
    <row r="4484" spans="18:19" x14ac:dyDescent="0.25">
      <c r="R4484">
        <v>3513836.2038664138</v>
      </c>
      <c r="S4484">
        <v>12</v>
      </c>
    </row>
    <row r="4485" spans="18:19" x14ac:dyDescent="0.25">
      <c r="R4485">
        <v>3513861.8663672865</v>
      </c>
      <c r="S4485">
        <v>12</v>
      </c>
    </row>
    <row r="4486" spans="18:19" x14ac:dyDescent="0.25">
      <c r="R4486">
        <v>3513887.5288681588</v>
      </c>
      <c r="S4486">
        <v>12</v>
      </c>
    </row>
    <row r="4487" spans="18:19" x14ac:dyDescent="0.25">
      <c r="R4487">
        <v>3513913.1913690311</v>
      </c>
      <c r="S4487">
        <v>12</v>
      </c>
    </row>
    <row r="4488" spans="18:19" x14ac:dyDescent="0.25">
      <c r="R4488">
        <v>3513938.8538699034</v>
      </c>
      <c r="S4488">
        <v>12</v>
      </c>
    </row>
    <row r="4489" spans="18:19" x14ac:dyDescent="0.25">
      <c r="R4489">
        <v>3513964.5163707761</v>
      </c>
      <c r="S4489">
        <v>12</v>
      </c>
    </row>
    <row r="4490" spans="18:19" x14ac:dyDescent="0.25">
      <c r="R4490">
        <v>3513990.1788716484</v>
      </c>
      <c r="S4490">
        <v>12</v>
      </c>
    </row>
    <row r="4491" spans="18:19" x14ac:dyDescent="0.25">
      <c r="R4491">
        <v>3514015.8413725207</v>
      </c>
      <c r="S4491">
        <v>12</v>
      </c>
    </row>
    <row r="4492" spans="18:19" x14ac:dyDescent="0.25">
      <c r="R4492">
        <v>3514041.5038733929</v>
      </c>
      <c r="S4492">
        <v>12</v>
      </c>
    </row>
    <row r="4493" spans="18:19" x14ac:dyDescent="0.25">
      <c r="R4493">
        <v>3514067.1663742657</v>
      </c>
      <c r="S4493">
        <v>12</v>
      </c>
    </row>
    <row r="4494" spans="18:19" x14ac:dyDescent="0.25">
      <c r="R4494">
        <v>3514092.828875138</v>
      </c>
      <c r="S4494">
        <v>12</v>
      </c>
    </row>
    <row r="4495" spans="18:19" x14ac:dyDescent="0.25">
      <c r="R4495">
        <v>3514118.4913760102</v>
      </c>
      <c r="S4495">
        <v>12</v>
      </c>
    </row>
    <row r="4496" spans="18:19" x14ac:dyDescent="0.25">
      <c r="R4496">
        <v>3514144.1538768825</v>
      </c>
      <c r="S4496">
        <v>12</v>
      </c>
    </row>
    <row r="4497" spans="18:19" x14ac:dyDescent="0.25">
      <c r="R4497">
        <v>3514169.8163777548</v>
      </c>
      <c r="S4497">
        <v>12</v>
      </c>
    </row>
    <row r="4498" spans="18:19" x14ac:dyDescent="0.25">
      <c r="R4498">
        <v>3514195.4788786275</v>
      </c>
      <c r="S4498">
        <v>12</v>
      </c>
    </row>
    <row r="4499" spans="18:19" x14ac:dyDescent="0.25">
      <c r="R4499">
        <v>3514221.1413794998</v>
      </c>
      <c r="S4499">
        <v>12</v>
      </c>
    </row>
    <row r="4500" spans="18:19" x14ac:dyDescent="0.25">
      <c r="R4500">
        <v>3514246.8038803721</v>
      </c>
      <c r="S4500">
        <v>12</v>
      </c>
    </row>
    <row r="4501" spans="18:19" x14ac:dyDescent="0.25">
      <c r="R4501">
        <v>3514272.4663812444</v>
      </c>
      <c r="S4501">
        <v>12</v>
      </c>
    </row>
    <row r="4502" spans="18:19" x14ac:dyDescent="0.25">
      <c r="R4502">
        <v>3514298.1288821171</v>
      </c>
      <c r="S4502">
        <v>12</v>
      </c>
    </row>
    <row r="4503" spans="18:19" x14ac:dyDescent="0.25">
      <c r="R4503">
        <v>3514323.7913829894</v>
      </c>
      <c r="S4503">
        <v>15</v>
      </c>
    </row>
    <row r="4504" spans="18:19" x14ac:dyDescent="0.25">
      <c r="R4504">
        <v>3514349.4538838617</v>
      </c>
      <c r="S4504">
        <v>21</v>
      </c>
    </row>
    <row r="4505" spans="18:19" x14ac:dyDescent="0.25">
      <c r="R4505">
        <v>3514375.1163847339</v>
      </c>
      <c r="S4505">
        <v>18</v>
      </c>
    </row>
    <row r="4506" spans="18:19" x14ac:dyDescent="0.25">
      <c r="R4506">
        <v>3514400.7788856067</v>
      </c>
      <c r="S4506">
        <v>18</v>
      </c>
    </row>
    <row r="4507" spans="18:19" x14ac:dyDescent="0.25">
      <c r="R4507">
        <v>3514426.441386479</v>
      </c>
      <c r="S4507">
        <v>18</v>
      </c>
    </row>
    <row r="4508" spans="18:19" x14ac:dyDescent="0.25">
      <c r="R4508">
        <v>3514452.1038873512</v>
      </c>
      <c r="S4508">
        <v>18</v>
      </c>
    </row>
    <row r="4509" spans="18:19" x14ac:dyDescent="0.25">
      <c r="R4509">
        <v>3514477.7663882235</v>
      </c>
      <c r="S4509">
        <v>12</v>
      </c>
    </row>
    <row r="4510" spans="18:19" x14ac:dyDescent="0.25">
      <c r="R4510">
        <v>3514503.4288890958</v>
      </c>
      <c r="S4510">
        <v>18</v>
      </c>
    </row>
    <row r="4511" spans="18:19" x14ac:dyDescent="0.25">
      <c r="R4511">
        <v>3514529.0913899685</v>
      </c>
      <c r="S4511">
        <v>18</v>
      </c>
    </row>
    <row r="4512" spans="18:19" x14ac:dyDescent="0.25">
      <c r="R4512">
        <v>3514554.7538908408</v>
      </c>
      <c r="S4512">
        <v>18</v>
      </c>
    </row>
    <row r="4513" spans="18:19" x14ac:dyDescent="0.25">
      <c r="R4513">
        <v>3514580.4163917131</v>
      </c>
      <c r="S4513">
        <v>18</v>
      </c>
    </row>
    <row r="4514" spans="18:19" x14ac:dyDescent="0.25">
      <c r="R4514">
        <v>3514606.0788925854</v>
      </c>
      <c r="S4514">
        <v>18</v>
      </c>
    </row>
    <row r="4515" spans="18:19" x14ac:dyDescent="0.25">
      <c r="R4515">
        <v>3514631.7413934581</v>
      </c>
      <c r="S4515">
        <v>18</v>
      </c>
    </row>
    <row r="4516" spans="18:19" x14ac:dyDescent="0.25">
      <c r="R4516">
        <v>3514657.4038943304</v>
      </c>
      <c r="S4516">
        <v>18</v>
      </c>
    </row>
    <row r="4517" spans="18:19" x14ac:dyDescent="0.25">
      <c r="R4517">
        <v>3514683.0663952027</v>
      </c>
      <c r="S4517">
        <v>18</v>
      </c>
    </row>
    <row r="4518" spans="18:19" x14ac:dyDescent="0.25">
      <c r="R4518">
        <v>3514708.7288960749</v>
      </c>
      <c r="S4518">
        <v>18</v>
      </c>
    </row>
    <row r="4519" spans="18:19" x14ac:dyDescent="0.25">
      <c r="R4519">
        <v>3514734.3913969477</v>
      </c>
      <c r="S4519">
        <v>18</v>
      </c>
    </row>
    <row r="4520" spans="18:19" x14ac:dyDescent="0.25">
      <c r="R4520">
        <v>3514760.0538978199</v>
      </c>
      <c r="S4520">
        <v>18</v>
      </c>
    </row>
    <row r="4521" spans="18:19" x14ac:dyDescent="0.25">
      <c r="R4521">
        <v>3514785.7163986922</v>
      </c>
      <c r="S4521">
        <v>18</v>
      </c>
    </row>
    <row r="4522" spans="18:19" x14ac:dyDescent="0.25">
      <c r="R4522">
        <v>3514811.3788995645</v>
      </c>
      <c r="S4522">
        <v>18</v>
      </c>
    </row>
    <row r="4523" spans="18:19" x14ac:dyDescent="0.25">
      <c r="R4523">
        <v>3514837.0414004372</v>
      </c>
      <c r="S4523">
        <v>18</v>
      </c>
    </row>
    <row r="4524" spans="18:19" x14ac:dyDescent="0.25">
      <c r="R4524">
        <v>3514862.7039013095</v>
      </c>
      <c r="S4524">
        <v>18</v>
      </c>
    </row>
    <row r="4525" spans="18:19" x14ac:dyDescent="0.25">
      <c r="R4525">
        <v>3514888.3664021818</v>
      </c>
      <c r="S4525">
        <v>18</v>
      </c>
    </row>
    <row r="4526" spans="18:19" x14ac:dyDescent="0.25">
      <c r="R4526">
        <v>3514914.0289030541</v>
      </c>
      <c r="S4526">
        <v>18</v>
      </c>
    </row>
    <row r="4527" spans="18:19" x14ac:dyDescent="0.25">
      <c r="R4527">
        <v>3514939.6914039264</v>
      </c>
      <c r="S4527">
        <v>18</v>
      </c>
    </row>
    <row r="4528" spans="18:19" x14ac:dyDescent="0.25">
      <c r="R4528">
        <v>3514965.3539047991</v>
      </c>
      <c r="S4528">
        <v>18</v>
      </c>
    </row>
    <row r="4529" spans="18:19" x14ac:dyDescent="0.25">
      <c r="R4529">
        <v>3514991.0164056714</v>
      </c>
      <c r="S4529">
        <v>18</v>
      </c>
    </row>
    <row r="4530" spans="18:19" x14ac:dyDescent="0.25">
      <c r="R4530">
        <v>3515016.6789065436</v>
      </c>
      <c r="S4530">
        <v>18</v>
      </c>
    </row>
    <row r="4531" spans="18:19" x14ac:dyDescent="0.25">
      <c r="R4531">
        <v>3515042.3414074159</v>
      </c>
      <c r="S4531">
        <v>18</v>
      </c>
    </row>
    <row r="4532" spans="18:19" x14ac:dyDescent="0.25">
      <c r="R4532">
        <v>3515068.0039082887</v>
      </c>
      <c r="S4532">
        <v>18</v>
      </c>
    </row>
    <row r="4533" spans="18:19" x14ac:dyDescent="0.25">
      <c r="R4533">
        <v>3515093.6664091609</v>
      </c>
      <c r="S4533">
        <v>18</v>
      </c>
    </row>
    <row r="4534" spans="18:19" x14ac:dyDescent="0.25">
      <c r="R4534">
        <v>3515119.3289100332</v>
      </c>
      <c r="S4534">
        <v>18</v>
      </c>
    </row>
    <row r="4535" spans="18:19" x14ac:dyDescent="0.25">
      <c r="R4535">
        <v>3515144.9914109055</v>
      </c>
      <c r="S4535">
        <v>18</v>
      </c>
    </row>
    <row r="4536" spans="18:19" x14ac:dyDescent="0.25">
      <c r="R4536">
        <v>3515170.6539117782</v>
      </c>
      <c r="S4536">
        <v>18</v>
      </c>
    </row>
    <row r="4537" spans="18:19" x14ac:dyDescent="0.25">
      <c r="R4537">
        <v>3515196.3164126505</v>
      </c>
      <c r="S4537">
        <v>18</v>
      </c>
    </row>
    <row r="4538" spans="18:19" x14ac:dyDescent="0.25">
      <c r="R4538">
        <v>3515221.9789135228</v>
      </c>
      <c r="S4538">
        <v>18</v>
      </c>
    </row>
    <row r="4539" spans="18:19" x14ac:dyDescent="0.25">
      <c r="R4539">
        <v>3515247.6414143951</v>
      </c>
      <c r="S4539">
        <v>18</v>
      </c>
    </row>
    <row r="4540" spans="18:19" x14ac:dyDescent="0.25">
      <c r="R4540">
        <v>3515273.3039152678</v>
      </c>
      <c r="S4540">
        <v>18</v>
      </c>
    </row>
    <row r="4541" spans="18:19" x14ac:dyDescent="0.25">
      <c r="R4541">
        <v>3515298.9664161401</v>
      </c>
      <c r="S4541">
        <v>18</v>
      </c>
    </row>
    <row r="4542" spans="18:19" x14ac:dyDescent="0.25">
      <c r="R4542">
        <v>3515324.6289170124</v>
      </c>
      <c r="S4542">
        <v>18</v>
      </c>
    </row>
    <row r="4543" spans="18:19" x14ac:dyDescent="0.25">
      <c r="R4543">
        <v>3515350.2914178846</v>
      </c>
      <c r="S4543">
        <v>18</v>
      </c>
    </row>
    <row r="4544" spans="18:19" x14ac:dyDescent="0.25">
      <c r="R4544">
        <v>3515375.9539187569</v>
      </c>
      <c r="S4544">
        <v>18</v>
      </c>
    </row>
    <row r="4545" spans="18:19" x14ac:dyDescent="0.25">
      <c r="R4545">
        <v>3515401.6164196297</v>
      </c>
      <c r="S4545">
        <v>18</v>
      </c>
    </row>
    <row r="4546" spans="18:19" x14ac:dyDescent="0.25">
      <c r="R4546">
        <v>3515427.2789205019</v>
      </c>
      <c r="S4546">
        <v>18</v>
      </c>
    </row>
    <row r="4547" spans="18:19" x14ac:dyDescent="0.25">
      <c r="R4547">
        <v>3515452.9414213742</v>
      </c>
      <c r="S4547">
        <v>18</v>
      </c>
    </row>
    <row r="4548" spans="18:19" x14ac:dyDescent="0.25">
      <c r="R4548">
        <v>3515478.6039222465</v>
      </c>
      <c r="S4548">
        <v>18</v>
      </c>
    </row>
    <row r="4549" spans="18:19" x14ac:dyDescent="0.25">
      <c r="R4549">
        <v>3515504.2664231192</v>
      </c>
      <c r="S4549">
        <v>18</v>
      </c>
    </row>
    <row r="4550" spans="18:19" x14ac:dyDescent="0.25">
      <c r="R4550">
        <v>3515529.9289239915</v>
      </c>
      <c r="S4550">
        <v>18</v>
      </c>
    </row>
    <row r="4551" spans="18:19" x14ac:dyDescent="0.25">
      <c r="R4551">
        <v>3515555.5914248638</v>
      </c>
      <c r="S4551">
        <v>21</v>
      </c>
    </row>
    <row r="4552" spans="18:19" x14ac:dyDescent="0.25">
      <c r="R4552">
        <v>3515581.2539257361</v>
      </c>
      <c r="S4552">
        <v>15</v>
      </c>
    </row>
    <row r="4553" spans="18:19" x14ac:dyDescent="0.25">
      <c r="R4553">
        <v>3515606.9164266088</v>
      </c>
      <c r="S4553">
        <v>12</v>
      </c>
    </row>
    <row r="4554" spans="18:19" x14ac:dyDescent="0.25">
      <c r="R4554">
        <v>3515632.5789274811</v>
      </c>
      <c r="S4554">
        <v>12</v>
      </c>
    </row>
    <row r="4555" spans="18:19" x14ac:dyDescent="0.25">
      <c r="R4555">
        <v>3515658.2414283534</v>
      </c>
      <c r="S4555">
        <v>12</v>
      </c>
    </row>
    <row r="4556" spans="18:19" x14ac:dyDescent="0.25">
      <c r="R4556">
        <v>3515683.9039292256</v>
      </c>
      <c r="S4556">
        <v>12</v>
      </c>
    </row>
    <row r="4557" spans="18:19" x14ac:dyDescent="0.25">
      <c r="R4557">
        <v>3515709.5664300984</v>
      </c>
      <c r="S4557">
        <v>12</v>
      </c>
    </row>
    <row r="4558" spans="18:19" x14ac:dyDescent="0.25">
      <c r="R4558">
        <v>3515735.2289309707</v>
      </c>
      <c r="S4558">
        <v>12</v>
      </c>
    </row>
    <row r="4559" spans="18:19" x14ac:dyDescent="0.25">
      <c r="R4559">
        <v>3515760.8914318429</v>
      </c>
      <c r="S4559">
        <v>12</v>
      </c>
    </row>
    <row r="4560" spans="18:19" x14ac:dyDescent="0.25">
      <c r="R4560">
        <v>3515786.5539327152</v>
      </c>
      <c r="S4560">
        <v>12</v>
      </c>
    </row>
    <row r="4561" spans="18:19" x14ac:dyDescent="0.25">
      <c r="R4561">
        <v>3515812.2164335875</v>
      </c>
      <c r="S4561">
        <v>12</v>
      </c>
    </row>
    <row r="4562" spans="18:19" x14ac:dyDescent="0.25">
      <c r="R4562">
        <v>3515837.8789344602</v>
      </c>
      <c r="S4562">
        <v>12</v>
      </c>
    </row>
    <row r="4563" spans="18:19" x14ac:dyDescent="0.25">
      <c r="R4563">
        <v>3515863.5414353325</v>
      </c>
      <c r="S4563">
        <v>12</v>
      </c>
    </row>
    <row r="4564" spans="18:19" x14ac:dyDescent="0.25">
      <c r="R4564">
        <v>3515889.2039362048</v>
      </c>
      <c r="S4564">
        <v>12</v>
      </c>
    </row>
    <row r="4565" spans="18:19" x14ac:dyDescent="0.25">
      <c r="R4565">
        <v>3515914.8664370771</v>
      </c>
      <c r="S4565">
        <v>12</v>
      </c>
    </row>
    <row r="4566" spans="18:19" x14ac:dyDescent="0.25">
      <c r="R4566">
        <v>3515940.5289379498</v>
      </c>
      <c r="S4566">
        <v>12</v>
      </c>
    </row>
    <row r="4567" spans="18:19" x14ac:dyDescent="0.25">
      <c r="R4567">
        <v>3515966.1914388221</v>
      </c>
      <c r="S4567">
        <v>12</v>
      </c>
    </row>
    <row r="4568" spans="18:19" x14ac:dyDescent="0.25">
      <c r="R4568">
        <v>3515991.8539396944</v>
      </c>
      <c r="S4568">
        <v>12</v>
      </c>
    </row>
    <row r="4569" spans="18:19" x14ac:dyDescent="0.25">
      <c r="R4569">
        <v>3516017.5164405666</v>
      </c>
      <c r="S4569">
        <v>12</v>
      </c>
    </row>
    <row r="4570" spans="18:19" x14ac:dyDescent="0.25">
      <c r="R4570">
        <v>3516043.1789414394</v>
      </c>
      <c r="S4570">
        <v>12</v>
      </c>
    </row>
    <row r="4571" spans="18:19" x14ac:dyDescent="0.25">
      <c r="R4571">
        <v>3516068.8414423116</v>
      </c>
      <c r="S4571">
        <v>12</v>
      </c>
    </row>
    <row r="4572" spans="18:19" x14ac:dyDescent="0.25">
      <c r="R4572">
        <v>3516094.5039431839</v>
      </c>
      <c r="S4572">
        <v>12</v>
      </c>
    </row>
    <row r="4573" spans="18:19" x14ac:dyDescent="0.25">
      <c r="R4573">
        <v>3516120.1664440562</v>
      </c>
      <c r="S4573">
        <v>12</v>
      </c>
    </row>
    <row r="4574" spans="18:19" x14ac:dyDescent="0.25">
      <c r="R4574">
        <v>3516145.8289449285</v>
      </c>
      <c r="S4574">
        <v>12</v>
      </c>
    </row>
    <row r="4575" spans="18:19" x14ac:dyDescent="0.25">
      <c r="R4575">
        <v>3516171.4914458012</v>
      </c>
      <c r="S4575">
        <v>12</v>
      </c>
    </row>
    <row r="4576" spans="18:19" x14ac:dyDescent="0.25">
      <c r="R4576">
        <v>3516197.1539466735</v>
      </c>
      <c r="S4576">
        <v>12</v>
      </c>
    </row>
    <row r="4577" spans="18:19" x14ac:dyDescent="0.25">
      <c r="R4577">
        <v>3516222.8164475458</v>
      </c>
      <c r="S4577">
        <v>12</v>
      </c>
    </row>
    <row r="4578" spans="18:19" x14ac:dyDescent="0.25">
      <c r="R4578">
        <v>3516248.4789484181</v>
      </c>
      <c r="S4578">
        <v>12</v>
      </c>
    </row>
    <row r="4579" spans="18:19" x14ac:dyDescent="0.25">
      <c r="R4579">
        <v>3516274.1414492908</v>
      </c>
      <c r="S4579">
        <v>12</v>
      </c>
    </row>
    <row r="4580" spans="18:19" x14ac:dyDescent="0.25">
      <c r="R4580">
        <v>3516299.8039501631</v>
      </c>
      <c r="S4580">
        <v>12</v>
      </c>
    </row>
    <row r="4581" spans="18:19" x14ac:dyDescent="0.25">
      <c r="R4581">
        <v>3516325.4664510353</v>
      </c>
      <c r="S4581">
        <v>12</v>
      </c>
    </row>
    <row r="4582" spans="18:19" x14ac:dyDescent="0.25">
      <c r="R4582">
        <v>3516351.1289519076</v>
      </c>
      <c r="S4582">
        <v>6</v>
      </c>
    </row>
    <row r="4583" spans="18:19" x14ac:dyDescent="0.25">
      <c r="R4583">
        <v>3516376.7914527804</v>
      </c>
      <c r="S4583">
        <v>6</v>
      </c>
    </row>
    <row r="4584" spans="18:19" x14ac:dyDescent="0.25">
      <c r="R4584">
        <v>3516402.4539536526</v>
      </c>
      <c r="S4584">
        <v>6</v>
      </c>
    </row>
    <row r="4585" spans="18:19" x14ac:dyDescent="0.25">
      <c r="R4585">
        <v>3516428.1164545249</v>
      </c>
      <c r="S4585">
        <v>6</v>
      </c>
    </row>
    <row r="4586" spans="18:19" x14ac:dyDescent="0.25">
      <c r="R4586">
        <v>3516453.7789553972</v>
      </c>
      <c r="S4586">
        <v>6</v>
      </c>
    </row>
    <row r="4587" spans="18:19" x14ac:dyDescent="0.25">
      <c r="R4587">
        <v>3516479.4414562699</v>
      </c>
      <c r="S4587">
        <v>9</v>
      </c>
    </row>
    <row r="4588" spans="18:19" x14ac:dyDescent="0.25">
      <c r="R4588">
        <v>3516505.1039571422</v>
      </c>
      <c r="S4588">
        <v>3</v>
      </c>
    </row>
    <row r="4589" spans="18:19" x14ac:dyDescent="0.25">
      <c r="R4589">
        <v>3516530.7664580145</v>
      </c>
      <c r="S4589">
        <v>0</v>
      </c>
    </row>
    <row r="4590" spans="18:19" x14ac:dyDescent="0.25">
      <c r="R4590">
        <v>3516556.4289588868</v>
      </c>
      <c r="S4590">
        <v>0</v>
      </c>
    </row>
    <row r="4591" spans="18:19" x14ac:dyDescent="0.25">
      <c r="R4591">
        <v>3516582.091459759</v>
      </c>
      <c r="S4591">
        <v>0</v>
      </c>
    </row>
    <row r="4592" spans="18:19" x14ac:dyDescent="0.25">
      <c r="R4592">
        <v>3516607.7539606318</v>
      </c>
      <c r="S4592">
        <v>0</v>
      </c>
    </row>
    <row r="4593" spans="18:19" x14ac:dyDescent="0.25">
      <c r="R4593">
        <v>3516633.4164615041</v>
      </c>
      <c r="S4593">
        <v>0</v>
      </c>
    </row>
    <row r="4594" spans="18:19" x14ac:dyDescent="0.25">
      <c r="R4594">
        <v>3516659.0789623763</v>
      </c>
      <c r="S4594">
        <v>0</v>
      </c>
    </row>
    <row r="4595" spans="18:19" x14ac:dyDescent="0.25">
      <c r="R4595">
        <v>3516684.7414632486</v>
      </c>
      <c r="S4595">
        <v>0</v>
      </c>
    </row>
    <row r="4596" spans="18:19" x14ac:dyDescent="0.25">
      <c r="R4596">
        <v>3516710.4039641214</v>
      </c>
      <c r="S4596">
        <v>0</v>
      </c>
    </row>
    <row r="4597" spans="18:19" x14ac:dyDescent="0.25">
      <c r="R4597">
        <v>3516736.0664649936</v>
      </c>
      <c r="S4597">
        <v>0</v>
      </c>
    </row>
    <row r="4598" spans="18:19" x14ac:dyDescent="0.25">
      <c r="R4598">
        <v>3516761.7289658659</v>
      </c>
      <c r="S4598">
        <v>0</v>
      </c>
    </row>
    <row r="4599" spans="18:19" x14ac:dyDescent="0.25">
      <c r="R4599">
        <v>3516787.3914667382</v>
      </c>
      <c r="S4599">
        <v>0</v>
      </c>
    </row>
    <row r="4600" spans="18:19" x14ac:dyDescent="0.25">
      <c r="R4600">
        <v>3516813.0539676109</v>
      </c>
      <c r="S4600">
        <v>0</v>
      </c>
    </row>
    <row r="4601" spans="18:19" x14ac:dyDescent="0.25">
      <c r="R4601">
        <v>3516838.7164684832</v>
      </c>
      <c r="S4601">
        <v>0</v>
      </c>
    </row>
    <row r="4602" spans="18:19" x14ac:dyDescent="0.25">
      <c r="R4602">
        <v>3516864.3789693555</v>
      </c>
      <c r="S4602">
        <v>0</v>
      </c>
    </row>
    <row r="4603" spans="18:19" x14ac:dyDescent="0.25">
      <c r="R4603">
        <v>3516890.0414702278</v>
      </c>
      <c r="S4603">
        <v>0</v>
      </c>
    </row>
    <row r="4604" spans="18:19" x14ac:dyDescent="0.25">
      <c r="R4604">
        <v>3516915.7039711005</v>
      </c>
      <c r="S4604">
        <v>0</v>
      </c>
    </row>
    <row r="4605" spans="18:19" x14ac:dyDescent="0.25">
      <c r="R4605">
        <v>3516941.3664719728</v>
      </c>
      <c r="S4605">
        <v>0</v>
      </c>
    </row>
    <row r="4606" spans="18:19" x14ac:dyDescent="0.25">
      <c r="R4606">
        <v>3516967.0289728451</v>
      </c>
      <c r="S4606">
        <v>0</v>
      </c>
    </row>
    <row r="4607" spans="18:19" x14ac:dyDescent="0.25">
      <c r="R4607">
        <v>3516992.6914737173</v>
      </c>
      <c r="S4607">
        <v>0</v>
      </c>
    </row>
    <row r="4608" spans="18:19" x14ac:dyDescent="0.25">
      <c r="R4608">
        <v>3517018.3539745896</v>
      </c>
      <c r="S4608">
        <v>0</v>
      </c>
    </row>
    <row r="4609" spans="18:19" x14ac:dyDescent="0.25">
      <c r="R4609">
        <v>3517044.0164754624</v>
      </c>
      <c r="S4609">
        <v>0</v>
      </c>
    </row>
    <row r="4610" spans="18:19" x14ac:dyDescent="0.25">
      <c r="R4610">
        <v>3517069.6789763346</v>
      </c>
      <c r="S4610">
        <v>0</v>
      </c>
    </row>
    <row r="4611" spans="18:19" x14ac:dyDescent="0.25">
      <c r="R4611">
        <v>3517095.3414772069</v>
      </c>
      <c r="S4611">
        <v>0</v>
      </c>
    </row>
    <row r="4612" spans="18:19" x14ac:dyDescent="0.25">
      <c r="R4612">
        <v>3517121.0039780792</v>
      </c>
      <c r="S4612">
        <v>0</v>
      </c>
    </row>
    <row r="4613" spans="18:19" x14ac:dyDescent="0.25">
      <c r="R4613">
        <v>3517146.6664789519</v>
      </c>
      <c r="S4613">
        <v>0</v>
      </c>
    </row>
    <row r="4614" spans="18:19" x14ac:dyDescent="0.25">
      <c r="R4614">
        <v>3517172.3289798242</v>
      </c>
      <c r="S4614">
        <v>0</v>
      </c>
    </row>
    <row r="4615" spans="18:19" x14ac:dyDescent="0.25">
      <c r="R4615">
        <v>3517197.9914806965</v>
      </c>
      <c r="S4615">
        <v>0</v>
      </c>
    </row>
    <row r="4616" spans="18:19" x14ac:dyDescent="0.25">
      <c r="R4616">
        <v>3517223.6539815688</v>
      </c>
      <c r="S4616">
        <v>0</v>
      </c>
    </row>
    <row r="4617" spans="18:19" x14ac:dyDescent="0.25">
      <c r="R4617">
        <v>3517249.3164824415</v>
      </c>
      <c r="S4617">
        <v>0</v>
      </c>
    </row>
    <row r="4618" spans="18:19" x14ac:dyDescent="0.25">
      <c r="R4618">
        <v>3517274.9789833138</v>
      </c>
      <c r="S4618">
        <v>0</v>
      </c>
    </row>
    <row r="4619" spans="18:19" x14ac:dyDescent="0.25">
      <c r="R4619">
        <v>3517300.6414841861</v>
      </c>
      <c r="S4619">
        <v>0</v>
      </c>
    </row>
    <row r="4620" spans="18:19" x14ac:dyDescent="0.25">
      <c r="R4620">
        <v>3517326.3039850583</v>
      </c>
      <c r="S4620">
        <v>0</v>
      </c>
    </row>
    <row r="4621" spans="18:19" x14ac:dyDescent="0.25">
      <c r="R4621">
        <v>3517351.9664859311</v>
      </c>
      <c r="S4621">
        <v>0</v>
      </c>
    </row>
    <row r="4622" spans="18:19" x14ac:dyDescent="0.25">
      <c r="R4622">
        <v>3517377.6289868033</v>
      </c>
      <c r="S4622">
        <v>0</v>
      </c>
    </row>
    <row r="4623" spans="18:19" x14ac:dyDescent="0.25">
      <c r="R4623">
        <v>3517403.2914876756</v>
      </c>
      <c r="S4623">
        <v>0</v>
      </c>
    </row>
    <row r="4624" spans="18:19" x14ac:dyDescent="0.25">
      <c r="R4624">
        <v>3517428.9539885479</v>
      </c>
      <c r="S4624">
        <v>0</v>
      </c>
    </row>
    <row r="4625" spans="18:19" x14ac:dyDescent="0.25">
      <c r="R4625">
        <v>3517454.6164894202</v>
      </c>
      <c r="S4625">
        <v>0</v>
      </c>
    </row>
    <row r="4626" spans="18:19" x14ac:dyDescent="0.25">
      <c r="R4626">
        <v>3517480.2789902929</v>
      </c>
      <c r="S4626">
        <v>0</v>
      </c>
    </row>
    <row r="4627" spans="18:19" x14ac:dyDescent="0.25">
      <c r="R4627">
        <v>3517505.9414911652</v>
      </c>
      <c r="S4627">
        <v>0</v>
      </c>
    </row>
    <row r="4628" spans="18:19" x14ac:dyDescent="0.25">
      <c r="R4628">
        <v>3517531.6039920375</v>
      </c>
      <c r="S4628">
        <v>0</v>
      </c>
    </row>
    <row r="4629" spans="18:19" x14ac:dyDescent="0.25">
      <c r="R4629">
        <v>3517557.2664929098</v>
      </c>
      <c r="S4629">
        <v>0</v>
      </c>
    </row>
    <row r="4630" spans="18:19" x14ac:dyDescent="0.25">
      <c r="R4630">
        <v>3517582.9289937825</v>
      </c>
      <c r="S4630">
        <v>0</v>
      </c>
    </row>
    <row r="4631" spans="18:19" x14ac:dyDescent="0.25">
      <c r="R4631">
        <v>3517608.5914946548</v>
      </c>
      <c r="S4631">
        <v>0</v>
      </c>
    </row>
    <row r="4632" spans="18:19" x14ac:dyDescent="0.25">
      <c r="R4632">
        <v>3517634.253995527</v>
      </c>
      <c r="S4632">
        <v>0</v>
      </c>
    </row>
    <row r="4633" spans="18:19" x14ac:dyDescent="0.25">
      <c r="R4633">
        <v>3517659.9164963993</v>
      </c>
      <c r="S4633">
        <v>0</v>
      </c>
    </row>
    <row r="4634" spans="18:19" x14ac:dyDescent="0.25">
      <c r="R4634">
        <v>3517685.5789972721</v>
      </c>
      <c r="S4634">
        <v>0</v>
      </c>
    </row>
    <row r="4635" spans="18:19" x14ac:dyDescent="0.25">
      <c r="R4635">
        <v>3517711.2414981443</v>
      </c>
      <c r="S4635">
        <v>0</v>
      </c>
    </row>
    <row r="4636" spans="18:19" x14ac:dyDescent="0.25">
      <c r="R4636">
        <v>3517736.9039990166</v>
      </c>
      <c r="S4636">
        <v>0</v>
      </c>
    </row>
    <row r="4637" spans="18:19" x14ac:dyDescent="0.25">
      <c r="R4637">
        <v>3517762.5664998889</v>
      </c>
      <c r="S4637">
        <v>0</v>
      </c>
    </row>
    <row r="4638" spans="18:19" x14ac:dyDescent="0.25">
      <c r="R4638">
        <v>3517788.2290007612</v>
      </c>
      <c r="S4638">
        <v>0</v>
      </c>
    </row>
    <row r="4639" spans="18:19" x14ac:dyDescent="0.25">
      <c r="R4639">
        <v>3517813.8915016339</v>
      </c>
      <c r="S4639">
        <v>0</v>
      </c>
    </row>
    <row r="4640" spans="18:19" x14ac:dyDescent="0.25">
      <c r="R4640">
        <v>3517839.5540025062</v>
      </c>
      <c r="S4640">
        <v>0</v>
      </c>
    </row>
    <row r="4641" spans="18:19" x14ac:dyDescent="0.25">
      <c r="R4641">
        <v>3517865.2165033785</v>
      </c>
      <c r="S4641">
        <v>0</v>
      </c>
    </row>
    <row r="4642" spans="18:19" x14ac:dyDescent="0.25">
      <c r="R4642">
        <v>3517890.8790042507</v>
      </c>
      <c r="S4642">
        <v>0</v>
      </c>
    </row>
    <row r="4643" spans="18:19" x14ac:dyDescent="0.25">
      <c r="R4643">
        <v>3517916.5415051235</v>
      </c>
      <c r="S4643">
        <v>0</v>
      </c>
    </row>
    <row r="4644" spans="18:19" x14ac:dyDescent="0.25">
      <c r="R4644">
        <v>3517942.2040059958</v>
      </c>
      <c r="S4644">
        <v>0</v>
      </c>
    </row>
    <row r="4645" spans="18:19" x14ac:dyDescent="0.25">
      <c r="R4645">
        <v>3517967.866506868</v>
      </c>
      <c r="S4645">
        <v>0</v>
      </c>
    </row>
    <row r="4646" spans="18:19" x14ac:dyDescent="0.25">
      <c r="R4646">
        <v>3517993.5290077403</v>
      </c>
      <c r="S4646">
        <v>0</v>
      </c>
    </row>
    <row r="4647" spans="18:19" x14ac:dyDescent="0.25">
      <c r="R4647">
        <v>3518019.1915086131</v>
      </c>
      <c r="S4647">
        <v>0</v>
      </c>
    </row>
    <row r="4648" spans="18:19" x14ac:dyDescent="0.25">
      <c r="R4648">
        <v>3518044.8540094853</v>
      </c>
      <c r="S4648">
        <v>0</v>
      </c>
    </row>
    <row r="4649" spans="18:19" x14ac:dyDescent="0.25">
      <c r="R4649">
        <v>3518070.5165103576</v>
      </c>
      <c r="S4649">
        <v>0</v>
      </c>
    </row>
    <row r="4650" spans="18:19" x14ac:dyDescent="0.25">
      <c r="R4650">
        <v>3518096.1790112299</v>
      </c>
      <c r="S4650">
        <v>0</v>
      </c>
    </row>
    <row r="4651" spans="18:19" x14ac:dyDescent="0.25">
      <c r="R4651">
        <v>3518121.8415121026</v>
      </c>
      <c r="S4651">
        <v>0</v>
      </c>
    </row>
    <row r="4652" spans="18:19" x14ac:dyDescent="0.25">
      <c r="R4652">
        <v>3518147.5040129749</v>
      </c>
      <c r="S4652">
        <v>0</v>
      </c>
    </row>
    <row r="4653" spans="18:19" x14ac:dyDescent="0.25">
      <c r="R4653">
        <v>3518173.1665138472</v>
      </c>
      <c r="S4653">
        <v>0</v>
      </c>
    </row>
    <row r="4654" spans="18:19" x14ac:dyDescent="0.25">
      <c r="R4654">
        <v>3518198.8290147195</v>
      </c>
      <c r="S4654">
        <v>0</v>
      </c>
    </row>
    <row r="4655" spans="18:19" x14ac:dyDescent="0.25">
      <c r="R4655">
        <v>3518224.4915155917</v>
      </c>
      <c r="S4655">
        <v>0</v>
      </c>
    </row>
    <row r="4656" spans="18:19" x14ac:dyDescent="0.25">
      <c r="R4656">
        <v>3518250.1540164645</v>
      </c>
      <c r="S4656">
        <v>0</v>
      </c>
    </row>
    <row r="4657" spans="18:19" x14ac:dyDescent="0.25">
      <c r="R4657">
        <v>3518275.8165173368</v>
      </c>
      <c r="S4657">
        <v>0</v>
      </c>
    </row>
    <row r="4658" spans="18:19" x14ac:dyDescent="0.25">
      <c r="R4658">
        <v>3518301.479018209</v>
      </c>
      <c r="S4658">
        <v>0</v>
      </c>
    </row>
    <row r="4659" spans="18:19" x14ac:dyDescent="0.25">
      <c r="R4659">
        <v>3518327.1415190813</v>
      </c>
      <c r="S4659">
        <v>0</v>
      </c>
    </row>
    <row r="4660" spans="18:19" x14ac:dyDescent="0.25">
      <c r="R4660">
        <v>3518352.8040199541</v>
      </c>
      <c r="S4660">
        <v>0</v>
      </c>
    </row>
    <row r="4661" spans="18:19" x14ac:dyDescent="0.25">
      <c r="R4661">
        <v>3518378.4665208263</v>
      </c>
      <c r="S4661">
        <v>0</v>
      </c>
    </row>
    <row r="4662" spans="18:19" x14ac:dyDescent="0.25">
      <c r="R4662">
        <v>3518404.1290216986</v>
      </c>
      <c r="S4662">
        <v>0</v>
      </c>
    </row>
    <row r="4663" spans="18:19" x14ac:dyDescent="0.25">
      <c r="R4663">
        <v>3518429.7915225709</v>
      </c>
      <c r="S4663">
        <v>0</v>
      </c>
    </row>
    <row r="4664" spans="18:19" x14ac:dyDescent="0.25">
      <c r="R4664">
        <v>3518455.4540234436</v>
      </c>
      <c r="S4664">
        <v>0</v>
      </c>
    </row>
    <row r="4665" spans="18:19" x14ac:dyDescent="0.25">
      <c r="R4665">
        <v>3518481.1165243159</v>
      </c>
      <c r="S4665">
        <v>0</v>
      </c>
    </row>
    <row r="4666" spans="18:19" x14ac:dyDescent="0.25">
      <c r="R4666">
        <v>3518506.7790251882</v>
      </c>
      <c r="S4666">
        <v>0</v>
      </c>
    </row>
    <row r="4667" spans="18:19" x14ac:dyDescent="0.25">
      <c r="R4667">
        <v>3518532.4415260605</v>
      </c>
      <c r="S4667">
        <v>0</v>
      </c>
    </row>
    <row r="4668" spans="18:19" x14ac:dyDescent="0.25">
      <c r="R4668">
        <v>3518558.1040269332</v>
      </c>
      <c r="S4668">
        <v>0</v>
      </c>
    </row>
    <row r="4669" spans="18:19" x14ac:dyDescent="0.25">
      <c r="R4669">
        <v>3518583.7665278055</v>
      </c>
      <c r="S4669">
        <v>0</v>
      </c>
    </row>
    <row r="4670" spans="18:19" x14ac:dyDescent="0.25">
      <c r="R4670">
        <v>3518609.4290286778</v>
      </c>
      <c r="S4670">
        <v>0</v>
      </c>
    </row>
    <row r="4671" spans="18:19" x14ac:dyDescent="0.25">
      <c r="R4671">
        <v>3518635.09152955</v>
      </c>
      <c r="S4671">
        <v>0</v>
      </c>
    </row>
    <row r="4672" spans="18:19" x14ac:dyDescent="0.25">
      <c r="R4672">
        <v>3518660.7540304223</v>
      </c>
      <c r="S4672">
        <v>0</v>
      </c>
    </row>
    <row r="4673" spans="18:19" x14ac:dyDescent="0.25">
      <c r="R4673">
        <v>3518686.416531295</v>
      </c>
      <c r="S4673">
        <v>0</v>
      </c>
    </row>
    <row r="4674" spans="18:19" x14ac:dyDescent="0.25">
      <c r="R4674">
        <v>3518712.0790321673</v>
      </c>
      <c r="S4674">
        <v>0</v>
      </c>
    </row>
    <row r="4675" spans="18:19" x14ac:dyDescent="0.25">
      <c r="R4675">
        <v>3518737.7415330396</v>
      </c>
      <c r="S4675">
        <v>0</v>
      </c>
    </row>
    <row r="4676" spans="18:19" x14ac:dyDescent="0.25">
      <c r="R4676">
        <v>3518763.4040339119</v>
      </c>
      <c r="S4676">
        <v>0</v>
      </c>
    </row>
    <row r="4677" spans="18:19" x14ac:dyDescent="0.25">
      <c r="R4677">
        <v>3518789.0665347846</v>
      </c>
      <c r="S4677">
        <v>0</v>
      </c>
    </row>
    <row r="4678" spans="18:19" x14ac:dyDescent="0.25">
      <c r="R4678">
        <v>3518814.7290356569</v>
      </c>
      <c r="S4678">
        <v>0</v>
      </c>
    </row>
    <row r="4679" spans="18:19" x14ac:dyDescent="0.25">
      <c r="R4679">
        <v>3518840.3915365292</v>
      </c>
      <c r="S4679">
        <v>0</v>
      </c>
    </row>
    <row r="4680" spans="18:19" x14ac:dyDescent="0.25">
      <c r="R4680">
        <v>3518866.0540374015</v>
      </c>
      <c r="S4680">
        <v>0</v>
      </c>
    </row>
    <row r="4681" spans="18:19" x14ac:dyDescent="0.25">
      <c r="R4681">
        <v>3518891.7165382742</v>
      </c>
      <c r="S4681">
        <v>0</v>
      </c>
    </row>
    <row r="4682" spans="18:19" x14ac:dyDescent="0.25">
      <c r="R4682">
        <v>3518917.3790391465</v>
      </c>
      <c r="S4682">
        <v>0</v>
      </c>
    </row>
    <row r="4683" spans="18:19" x14ac:dyDescent="0.25">
      <c r="R4683">
        <v>3518943.0415400187</v>
      </c>
      <c r="S4683">
        <v>0</v>
      </c>
    </row>
    <row r="4684" spans="18:19" x14ac:dyDescent="0.25">
      <c r="R4684">
        <v>3518968.704040891</v>
      </c>
      <c r="S4684">
        <v>0</v>
      </c>
    </row>
    <row r="4685" spans="18:19" x14ac:dyDescent="0.25">
      <c r="R4685">
        <v>3518994.3665417638</v>
      </c>
      <c r="S4685">
        <v>0</v>
      </c>
    </row>
    <row r="4686" spans="18:19" x14ac:dyDescent="0.25">
      <c r="R4686">
        <v>3519020.029042636</v>
      </c>
      <c r="S4686">
        <v>0</v>
      </c>
    </row>
    <row r="4687" spans="18:19" x14ac:dyDescent="0.25">
      <c r="R4687">
        <v>3519045.6915435083</v>
      </c>
      <c r="S4687">
        <v>0</v>
      </c>
    </row>
    <row r="4688" spans="18:19" x14ac:dyDescent="0.25">
      <c r="R4688">
        <v>3519071.3540443806</v>
      </c>
      <c r="S4688">
        <v>0</v>
      </c>
    </row>
    <row r="4689" spans="18:19" x14ac:dyDescent="0.25">
      <c r="R4689">
        <v>3519097.0165452529</v>
      </c>
      <c r="S4689">
        <v>0</v>
      </c>
    </row>
    <row r="4690" spans="18:19" x14ac:dyDescent="0.25">
      <c r="R4690">
        <v>3519122.6790461256</v>
      </c>
      <c r="S4690">
        <v>0</v>
      </c>
    </row>
    <row r="4691" spans="18:19" x14ac:dyDescent="0.25">
      <c r="R4691">
        <v>3519148.3415469979</v>
      </c>
      <c r="S4691">
        <v>0</v>
      </c>
    </row>
    <row r="4692" spans="18:19" x14ac:dyDescent="0.25">
      <c r="R4692">
        <v>3519174.0040478702</v>
      </c>
      <c r="S4692">
        <v>0</v>
      </c>
    </row>
    <row r="4693" spans="18:19" x14ac:dyDescent="0.25">
      <c r="R4693">
        <v>3519199.6665487424</v>
      </c>
      <c r="S4693">
        <v>0</v>
      </c>
    </row>
    <row r="4694" spans="18:19" x14ac:dyDescent="0.25">
      <c r="R4694">
        <v>3519225.3290496152</v>
      </c>
      <c r="S4694">
        <v>0</v>
      </c>
    </row>
    <row r="4695" spans="18:19" x14ac:dyDescent="0.25">
      <c r="R4695">
        <v>3519250.9915504875</v>
      </c>
      <c r="S4695">
        <v>0</v>
      </c>
    </row>
    <row r="4696" spans="18:19" x14ac:dyDescent="0.25">
      <c r="R4696">
        <v>3519276.6540513597</v>
      </c>
      <c r="S4696">
        <v>0</v>
      </c>
    </row>
    <row r="4697" spans="18:19" x14ac:dyDescent="0.25">
      <c r="R4697">
        <v>3519302.316552232</v>
      </c>
      <c r="S4697">
        <v>0</v>
      </c>
    </row>
    <row r="4698" spans="18:19" x14ac:dyDescent="0.25">
      <c r="R4698">
        <v>3519327.9790531048</v>
      </c>
      <c r="S4698">
        <v>0</v>
      </c>
    </row>
    <row r="4699" spans="18:19" x14ac:dyDescent="0.25">
      <c r="R4699">
        <v>3519353.641553977</v>
      </c>
      <c r="S4699">
        <v>0</v>
      </c>
    </row>
    <row r="4700" spans="18:19" x14ac:dyDescent="0.25">
      <c r="R4700">
        <v>3519379.3040548493</v>
      </c>
      <c r="S4700">
        <v>0</v>
      </c>
    </row>
    <row r="4701" spans="18:19" x14ac:dyDescent="0.25">
      <c r="R4701">
        <v>3519404.9665557216</v>
      </c>
      <c r="S4701">
        <v>0</v>
      </c>
    </row>
    <row r="4702" spans="18:19" x14ac:dyDescent="0.25">
      <c r="R4702">
        <v>3519430.6290565939</v>
      </c>
      <c r="S4702">
        <v>0</v>
      </c>
    </row>
    <row r="4703" spans="18:19" x14ac:dyDescent="0.25">
      <c r="R4703">
        <v>3519456.2915574666</v>
      </c>
      <c r="S4703">
        <v>0</v>
      </c>
    </row>
    <row r="4704" spans="18:19" x14ac:dyDescent="0.25">
      <c r="R4704">
        <v>3519481.9540583389</v>
      </c>
      <c r="S4704">
        <v>0</v>
      </c>
    </row>
    <row r="4705" spans="18:19" x14ac:dyDescent="0.25">
      <c r="R4705">
        <v>3519507.6165592112</v>
      </c>
      <c r="S4705">
        <v>0</v>
      </c>
    </row>
    <row r="4706" spans="18:19" x14ac:dyDescent="0.25">
      <c r="R4706">
        <v>3519533.2790600834</v>
      </c>
      <c r="S4706">
        <v>0</v>
      </c>
    </row>
    <row r="4707" spans="18:19" x14ac:dyDescent="0.25">
      <c r="R4707">
        <v>3519558.9415609562</v>
      </c>
      <c r="S4707">
        <v>0</v>
      </c>
    </row>
    <row r="4708" spans="18:19" x14ac:dyDescent="0.25">
      <c r="R4708">
        <v>3519584.6040618285</v>
      </c>
      <c r="S4708">
        <v>0</v>
      </c>
    </row>
    <row r="4709" spans="18:19" x14ac:dyDescent="0.25">
      <c r="R4709">
        <v>3519610.2665627007</v>
      </c>
      <c r="S4709">
        <v>0</v>
      </c>
    </row>
    <row r="4710" spans="18:19" x14ac:dyDescent="0.25">
      <c r="R4710">
        <v>3519635.929063573</v>
      </c>
      <c r="S4710">
        <v>0</v>
      </c>
    </row>
    <row r="4711" spans="18:19" x14ac:dyDescent="0.25">
      <c r="R4711">
        <v>3519661.5915644458</v>
      </c>
      <c r="S4711">
        <v>0</v>
      </c>
    </row>
    <row r="4712" spans="18:19" x14ac:dyDescent="0.25">
      <c r="R4712">
        <v>3519687.254065318</v>
      </c>
      <c r="S4712">
        <v>0</v>
      </c>
    </row>
    <row r="4713" spans="18:19" x14ac:dyDescent="0.25">
      <c r="R4713">
        <v>3519712.9165661903</v>
      </c>
      <c r="S4713">
        <v>0</v>
      </c>
    </row>
    <row r="4714" spans="18:19" x14ac:dyDescent="0.25">
      <c r="R4714">
        <v>3519738.5790670626</v>
      </c>
      <c r="S4714">
        <v>0</v>
      </c>
    </row>
    <row r="4715" spans="18:19" x14ac:dyDescent="0.25">
      <c r="R4715">
        <v>3519764.2415679353</v>
      </c>
      <c r="S4715">
        <v>0</v>
      </c>
    </row>
    <row r="4716" spans="18:19" x14ac:dyDescent="0.25">
      <c r="R4716">
        <v>3519789.9040688076</v>
      </c>
      <c r="S4716">
        <v>0</v>
      </c>
    </row>
    <row r="4717" spans="18:19" x14ac:dyDescent="0.25">
      <c r="R4717">
        <v>3519815.5665696799</v>
      </c>
      <c r="S4717">
        <v>0</v>
      </c>
    </row>
    <row r="4718" spans="18:19" x14ac:dyDescent="0.25">
      <c r="R4718">
        <v>3519841.2290705522</v>
      </c>
      <c r="S4718">
        <v>0</v>
      </c>
    </row>
    <row r="4719" spans="18:19" x14ac:dyDescent="0.25">
      <c r="R4719">
        <v>3519866.8915714244</v>
      </c>
      <c r="S4719">
        <v>0</v>
      </c>
    </row>
    <row r="4720" spans="18:19" x14ac:dyDescent="0.25">
      <c r="R4720">
        <v>3519892.5540722972</v>
      </c>
      <c r="S4720">
        <v>0</v>
      </c>
    </row>
    <row r="4721" spans="18:19" x14ac:dyDescent="0.25">
      <c r="R4721">
        <v>3519918.2165731695</v>
      </c>
      <c r="S4721">
        <v>0</v>
      </c>
    </row>
    <row r="4722" spans="18:19" x14ac:dyDescent="0.25">
      <c r="R4722">
        <v>3519943.8790740417</v>
      </c>
      <c r="S4722">
        <v>0</v>
      </c>
    </row>
    <row r="4723" spans="18:19" x14ac:dyDescent="0.25">
      <c r="R4723">
        <v>3519969.541574914</v>
      </c>
      <c r="S4723">
        <v>0</v>
      </c>
    </row>
    <row r="4724" spans="18:19" x14ac:dyDescent="0.25">
      <c r="R4724">
        <v>3519995.2040757868</v>
      </c>
      <c r="S4724">
        <v>0</v>
      </c>
    </row>
    <row r="4725" spans="18:19" x14ac:dyDescent="0.25">
      <c r="R4725">
        <v>3520020.866576659</v>
      </c>
      <c r="S4725">
        <v>0</v>
      </c>
    </row>
    <row r="4726" spans="18:19" x14ac:dyDescent="0.25">
      <c r="R4726">
        <v>3520046.5290775313</v>
      </c>
      <c r="S4726">
        <v>0</v>
      </c>
    </row>
    <row r="4727" spans="18:19" x14ac:dyDescent="0.25">
      <c r="R4727">
        <v>3520072.1915784036</v>
      </c>
      <c r="S4727">
        <v>0</v>
      </c>
    </row>
    <row r="4728" spans="18:19" x14ac:dyDescent="0.25">
      <c r="R4728">
        <v>3520097.8540792763</v>
      </c>
      <c r="S4728">
        <v>0</v>
      </c>
    </row>
    <row r="4729" spans="18:19" x14ac:dyDescent="0.25">
      <c r="R4729">
        <v>3520123.5165801486</v>
      </c>
      <c r="S4729">
        <v>0</v>
      </c>
    </row>
    <row r="4730" spans="18:19" x14ac:dyDescent="0.25">
      <c r="R4730">
        <v>3520149.1790810209</v>
      </c>
      <c r="S4730">
        <v>0</v>
      </c>
    </row>
    <row r="4731" spans="18:19" x14ac:dyDescent="0.25">
      <c r="R4731">
        <v>3520174.8415818932</v>
      </c>
      <c r="S4731">
        <v>0</v>
      </c>
    </row>
    <row r="4732" spans="18:19" x14ac:dyDescent="0.25">
      <c r="R4732">
        <v>3520200.5040827659</v>
      </c>
      <c r="S4732">
        <v>0</v>
      </c>
    </row>
    <row r="4733" spans="18:19" x14ac:dyDescent="0.25">
      <c r="R4733">
        <v>3520226.1665836382</v>
      </c>
      <c r="S4733">
        <v>0</v>
      </c>
    </row>
    <row r="4734" spans="18:19" x14ac:dyDescent="0.25">
      <c r="R4734">
        <v>3520251.8290845104</v>
      </c>
      <c r="S4734">
        <v>0</v>
      </c>
    </row>
    <row r="4735" spans="18:19" x14ac:dyDescent="0.25">
      <c r="R4735">
        <v>3520277.4915853827</v>
      </c>
      <c r="S4735">
        <v>0</v>
      </c>
    </row>
    <row r="4736" spans="18:19" x14ac:dyDescent="0.25">
      <c r="R4736">
        <v>3520303.154086255</v>
      </c>
      <c r="S4736">
        <v>0</v>
      </c>
    </row>
    <row r="4737" spans="18:19" x14ac:dyDescent="0.25">
      <c r="R4737">
        <v>3520328.8165871277</v>
      </c>
      <c r="S4737">
        <v>0</v>
      </c>
    </row>
    <row r="4738" spans="18:19" x14ac:dyDescent="0.25">
      <c r="R4738">
        <v>3520354.479088</v>
      </c>
      <c r="S4738">
        <v>0</v>
      </c>
    </row>
    <row r="4739" spans="18:19" x14ac:dyDescent="0.25">
      <c r="R4739">
        <v>3520380.1415888723</v>
      </c>
      <c r="S4739">
        <v>0</v>
      </c>
    </row>
    <row r="4740" spans="18:19" x14ac:dyDescent="0.25">
      <c r="R4740">
        <v>3520405.8040897446</v>
      </c>
      <c r="S4740">
        <v>0</v>
      </c>
    </row>
    <row r="4741" spans="18:19" x14ac:dyDescent="0.25">
      <c r="R4741">
        <v>3520431.4665906173</v>
      </c>
      <c r="S4741">
        <v>0</v>
      </c>
    </row>
    <row r="4742" spans="18:19" x14ac:dyDescent="0.25">
      <c r="R4742">
        <v>3520457.1290914896</v>
      </c>
      <c r="S4742">
        <v>0</v>
      </c>
    </row>
    <row r="4743" spans="18:19" x14ac:dyDescent="0.25">
      <c r="R4743">
        <v>3520482.7915923619</v>
      </c>
      <c r="S4743">
        <v>0</v>
      </c>
    </row>
    <row r="4744" spans="18:19" x14ac:dyDescent="0.25">
      <c r="R4744">
        <v>3520508.4540932341</v>
      </c>
      <c r="S4744">
        <v>0</v>
      </c>
    </row>
    <row r="4745" spans="18:19" x14ac:dyDescent="0.25">
      <c r="R4745">
        <v>3520534.1165941069</v>
      </c>
      <c r="S4745">
        <v>0</v>
      </c>
    </row>
    <row r="4746" spans="18:19" x14ac:dyDescent="0.25">
      <c r="R4746">
        <v>3520559.7790949792</v>
      </c>
      <c r="S4746">
        <v>0</v>
      </c>
    </row>
    <row r="4747" spans="18:19" x14ac:dyDescent="0.25">
      <c r="R4747">
        <v>3520585.4415958514</v>
      </c>
      <c r="S4747">
        <v>0</v>
      </c>
    </row>
    <row r="4748" spans="18:19" x14ac:dyDescent="0.25">
      <c r="R4748">
        <v>3520611.1040967237</v>
      </c>
      <c r="S4748">
        <v>0</v>
      </c>
    </row>
    <row r="4749" spans="18:19" x14ac:dyDescent="0.25">
      <c r="R4749">
        <v>3520636.7665975965</v>
      </c>
      <c r="S4749">
        <v>0</v>
      </c>
    </row>
    <row r="4750" spans="18:19" x14ac:dyDescent="0.25">
      <c r="R4750">
        <v>3520662.4290984687</v>
      </c>
      <c r="S4750">
        <v>0</v>
      </c>
    </row>
    <row r="4751" spans="18:19" x14ac:dyDescent="0.25">
      <c r="R4751">
        <v>3520688.091599341</v>
      </c>
      <c r="S4751">
        <v>0</v>
      </c>
    </row>
    <row r="4752" spans="18:19" x14ac:dyDescent="0.25">
      <c r="R4752">
        <v>3520713.7541002133</v>
      </c>
      <c r="S4752">
        <v>0</v>
      </c>
    </row>
    <row r="4753" spans="18:19" x14ac:dyDescent="0.25">
      <c r="R4753">
        <v>3520739.4166010856</v>
      </c>
      <c r="S4753">
        <v>0</v>
      </c>
    </row>
    <row r="4754" spans="18:19" x14ac:dyDescent="0.25">
      <c r="R4754">
        <v>3520765.0791019583</v>
      </c>
      <c r="S4754">
        <v>0</v>
      </c>
    </row>
    <row r="4755" spans="18:19" x14ac:dyDescent="0.25">
      <c r="R4755">
        <v>3520790.7416028306</v>
      </c>
      <c r="S4755">
        <v>0</v>
      </c>
    </row>
    <row r="4756" spans="18:19" x14ac:dyDescent="0.25">
      <c r="R4756">
        <v>3520816.4041037029</v>
      </c>
      <c r="S4756">
        <v>0</v>
      </c>
    </row>
    <row r="4757" spans="18:19" x14ac:dyDescent="0.25">
      <c r="R4757">
        <v>3520842.0666045751</v>
      </c>
      <c r="S4757">
        <v>0</v>
      </c>
    </row>
    <row r="4758" spans="18:19" x14ac:dyDescent="0.25">
      <c r="R4758">
        <v>3520867.7291054479</v>
      </c>
      <c r="S4758">
        <v>0</v>
      </c>
    </row>
    <row r="4759" spans="18:19" x14ac:dyDescent="0.25">
      <c r="R4759">
        <v>3520893.3916063202</v>
      </c>
      <c r="S4759">
        <v>0</v>
      </c>
    </row>
    <row r="4760" spans="18:19" x14ac:dyDescent="0.25">
      <c r="R4760">
        <v>3520919.0541071924</v>
      </c>
      <c r="S4760">
        <v>0</v>
      </c>
    </row>
    <row r="4761" spans="18:19" x14ac:dyDescent="0.25">
      <c r="R4761">
        <v>3520944.7166080647</v>
      </c>
      <c r="S4761">
        <v>0</v>
      </c>
    </row>
    <row r="4762" spans="18:19" x14ac:dyDescent="0.25">
      <c r="R4762">
        <v>3520970.3791089375</v>
      </c>
      <c r="S4762">
        <v>0</v>
      </c>
    </row>
    <row r="4763" spans="18:19" x14ac:dyDescent="0.25">
      <c r="R4763">
        <v>3520996.0416098097</v>
      </c>
      <c r="S4763">
        <v>0</v>
      </c>
    </row>
    <row r="4764" spans="18:19" x14ac:dyDescent="0.25">
      <c r="R4764">
        <v>3521021.704110682</v>
      </c>
      <c r="S4764">
        <v>0</v>
      </c>
    </row>
    <row r="4765" spans="18:19" x14ac:dyDescent="0.25">
      <c r="R4765">
        <v>3521047.3666115543</v>
      </c>
      <c r="S4765">
        <v>0</v>
      </c>
    </row>
    <row r="4766" spans="18:19" x14ac:dyDescent="0.25">
      <c r="R4766">
        <v>3521073.0291124266</v>
      </c>
      <c r="S4766">
        <v>0</v>
      </c>
    </row>
    <row r="4767" spans="18:19" x14ac:dyDescent="0.25">
      <c r="R4767">
        <v>3521098.6916132993</v>
      </c>
      <c r="S4767">
        <v>0</v>
      </c>
    </row>
    <row r="4768" spans="18:19" x14ac:dyDescent="0.25">
      <c r="R4768">
        <v>3521124.3541141716</v>
      </c>
      <c r="S4768">
        <v>0</v>
      </c>
    </row>
    <row r="4769" spans="18:19" x14ac:dyDescent="0.25">
      <c r="R4769">
        <v>3521150.0166150439</v>
      </c>
      <c r="S4769">
        <v>0</v>
      </c>
    </row>
    <row r="4770" spans="18:19" x14ac:dyDescent="0.25">
      <c r="R4770">
        <v>3521175.6791159161</v>
      </c>
      <c r="S4770">
        <v>0</v>
      </c>
    </row>
    <row r="4771" spans="18:19" x14ac:dyDescent="0.25">
      <c r="R4771">
        <v>3521201.3416167889</v>
      </c>
      <c r="S4771">
        <v>0</v>
      </c>
    </row>
    <row r="4772" spans="18:19" x14ac:dyDescent="0.25">
      <c r="R4772">
        <v>3521227.0041176612</v>
      </c>
      <c r="S4772">
        <v>0</v>
      </c>
    </row>
    <row r="4773" spans="18:19" x14ac:dyDescent="0.25">
      <c r="R4773">
        <v>3521252.6666185334</v>
      </c>
      <c r="S4773">
        <v>0</v>
      </c>
    </row>
    <row r="4774" spans="18:19" x14ac:dyDescent="0.25">
      <c r="R4774">
        <v>3521278.3291194057</v>
      </c>
      <c r="S4774">
        <v>0</v>
      </c>
    </row>
    <row r="4775" spans="18:19" x14ac:dyDescent="0.25">
      <c r="R4775">
        <v>3521303.9916202785</v>
      </c>
      <c r="S4775">
        <v>0</v>
      </c>
    </row>
    <row r="4776" spans="18:19" x14ac:dyDescent="0.25">
      <c r="R4776">
        <v>3521329.6541211507</v>
      </c>
      <c r="S4776">
        <v>0</v>
      </c>
    </row>
    <row r="4777" spans="18:19" x14ac:dyDescent="0.25">
      <c r="R4777">
        <v>3521355.316622023</v>
      </c>
      <c r="S4777">
        <v>0</v>
      </c>
    </row>
    <row r="4778" spans="18:19" x14ac:dyDescent="0.25">
      <c r="R4778">
        <v>3521380.9791228953</v>
      </c>
      <c r="S4778">
        <v>0</v>
      </c>
    </row>
    <row r="4779" spans="18:19" x14ac:dyDescent="0.25">
      <c r="R4779">
        <v>3521406.641623768</v>
      </c>
      <c r="S4779">
        <v>0</v>
      </c>
    </row>
    <row r="4780" spans="18:19" x14ac:dyDescent="0.25">
      <c r="R4780">
        <v>3521432.3041246403</v>
      </c>
      <c r="S4780">
        <v>0</v>
      </c>
    </row>
    <row r="4781" spans="18:19" x14ac:dyDescent="0.25">
      <c r="R4781">
        <v>3521457.9666255126</v>
      </c>
      <c r="S4781">
        <v>0</v>
      </c>
    </row>
    <row r="4782" spans="18:19" x14ac:dyDescent="0.25">
      <c r="R4782">
        <v>3521483.6291263849</v>
      </c>
      <c r="S4782">
        <v>0</v>
      </c>
    </row>
    <row r="4783" spans="18:19" x14ac:dyDescent="0.25">
      <c r="R4783">
        <v>3521509.2916272571</v>
      </c>
      <c r="S4783">
        <v>0</v>
      </c>
    </row>
    <row r="4784" spans="18:19" x14ac:dyDescent="0.25">
      <c r="R4784">
        <v>3521534.9541281299</v>
      </c>
      <c r="S4784">
        <v>0</v>
      </c>
    </row>
    <row r="4785" spans="18:19" x14ac:dyDescent="0.25">
      <c r="R4785">
        <v>3521560.6166290022</v>
      </c>
      <c r="S4785">
        <v>0</v>
      </c>
    </row>
    <row r="4786" spans="18:19" x14ac:dyDescent="0.25">
      <c r="R4786">
        <v>3521586.2791298744</v>
      </c>
      <c r="S4786">
        <v>0</v>
      </c>
    </row>
    <row r="4787" spans="18:19" x14ac:dyDescent="0.25">
      <c r="R4787">
        <v>3521611.9416307467</v>
      </c>
      <c r="S4787">
        <v>0</v>
      </c>
    </row>
    <row r="4788" spans="18:19" x14ac:dyDescent="0.25">
      <c r="R4788">
        <v>3521637.6041316194</v>
      </c>
      <c r="S4788">
        <v>0</v>
      </c>
    </row>
    <row r="4789" spans="18:19" x14ac:dyDescent="0.25">
      <c r="R4789">
        <v>3521663.2666324917</v>
      </c>
      <c r="S4789">
        <v>0</v>
      </c>
    </row>
    <row r="4790" spans="18:19" x14ac:dyDescent="0.25">
      <c r="R4790">
        <v>3521688.929133364</v>
      </c>
      <c r="S4790">
        <v>0</v>
      </c>
    </row>
    <row r="4791" spans="18:19" x14ac:dyDescent="0.25">
      <c r="R4791">
        <v>3521714.5916342363</v>
      </c>
      <c r="S4791">
        <v>0</v>
      </c>
    </row>
    <row r="4792" spans="18:19" x14ac:dyDescent="0.25">
      <c r="R4792">
        <v>3521740.254135109</v>
      </c>
      <c r="S4792">
        <v>0</v>
      </c>
    </row>
    <row r="4793" spans="18:19" x14ac:dyDescent="0.25">
      <c r="R4793">
        <v>3521765.9166359813</v>
      </c>
      <c r="S4793">
        <v>0</v>
      </c>
    </row>
    <row r="4794" spans="18:19" x14ac:dyDescent="0.25">
      <c r="R4794">
        <v>3521791.5791368536</v>
      </c>
      <c r="S4794">
        <v>0</v>
      </c>
    </row>
    <row r="4795" spans="18:19" x14ac:dyDescent="0.25">
      <c r="R4795">
        <v>3521817.2416377258</v>
      </c>
      <c r="S4795">
        <v>0</v>
      </c>
    </row>
    <row r="4796" spans="18:19" x14ac:dyDescent="0.25">
      <c r="R4796">
        <v>3521842.9041385986</v>
      </c>
      <c r="S4796">
        <v>0</v>
      </c>
    </row>
    <row r="4797" spans="18:19" x14ac:dyDescent="0.25">
      <c r="R4797">
        <v>3521868.5666394709</v>
      </c>
      <c r="S4797">
        <v>0</v>
      </c>
    </row>
    <row r="4798" spans="18:19" x14ac:dyDescent="0.25">
      <c r="R4798">
        <v>3521894.2291403431</v>
      </c>
      <c r="S4798">
        <v>0</v>
      </c>
    </row>
    <row r="4799" spans="18:19" x14ac:dyDescent="0.25">
      <c r="R4799">
        <v>3521919.8916412154</v>
      </c>
      <c r="S4799">
        <v>0</v>
      </c>
    </row>
    <row r="4800" spans="18:19" x14ac:dyDescent="0.25">
      <c r="R4800">
        <v>3521945.5541420877</v>
      </c>
      <c r="S4800">
        <v>0</v>
      </c>
    </row>
    <row r="4801" spans="18:19" x14ac:dyDescent="0.25">
      <c r="R4801">
        <v>3521971.2166429604</v>
      </c>
      <c r="S4801">
        <v>0</v>
      </c>
    </row>
    <row r="4802" spans="18:19" x14ac:dyDescent="0.25">
      <c r="R4802">
        <v>3521996.8791438327</v>
      </c>
      <c r="S4802">
        <v>0</v>
      </c>
    </row>
    <row r="4803" spans="18:19" x14ac:dyDescent="0.25">
      <c r="R4803">
        <v>3522022.541644705</v>
      </c>
      <c r="S4803">
        <v>0</v>
      </c>
    </row>
    <row r="4804" spans="18:19" x14ac:dyDescent="0.25">
      <c r="R4804">
        <v>3522048.2041455773</v>
      </c>
      <c r="S4804">
        <v>0</v>
      </c>
    </row>
    <row r="4805" spans="18:19" x14ac:dyDescent="0.25">
      <c r="R4805">
        <v>3522073.86664645</v>
      </c>
      <c r="S4805">
        <v>0</v>
      </c>
    </row>
    <row r="4806" spans="18:19" x14ac:dyDescent="0.25">
      <c r="R4806">
        <v>3522099.5291473223</v>
      </c>
      <c r="S4806">
        <v>0</v>
      </c>
    </row>
    <row r="4807" spans="18:19" x14ac:dyDescent="0.25">
      <c r="R4807">
        <v>3522125.1916481946</v>
      </c>
      <c r="S4807">
        <v>0</v>
      </c>
    </row>
    <row r="4808" spans="18:19" x14ac:dyDescent="0.25">
      <c r="R4808">
        <v>3522150.8541490668</v>
      </c>
      <c r="S4808">
        <v>0</v>
      </c>
    </row>
    <row r="4809" spans="18:19" x14ac:dyDescent="0.25">
      <c r="R4809">
        <v>3522176.5166499396</v>
      </c>
      <c r="S4809">
        <v>0</v>
      </c>
    </row>
    <row r="4810" spans="18:19" x14ac:dyDescent="0.25">
      <c r="R4810">
        <v>3522202.1791508119</v>
      </c>
      <c r="S4810">
        <v>0</v>
      </c>
    </row>
    <row r="4811" spans="18:19" x14ac:dyDescent="0.25">
      <c r="R4811">
        <v>3522227.8416516841</v>
      </c>
      <c r="S4811">
        <v>0</v>
      </c>
    </row>
    <row r="4812" spans="18:19" x14ac:dyDescent="0.25">
      <c r="R4812">
        <v>3522253.5041525564</v>
      </c>
      <c r="S4812">
        <v>0</v>
      </c>
    </row>
    <row r="4813" spans="18:19" x14ac:dyDescent="0.25">
      <c r="R4813">
        <v>3522279.1666534292</v>
      </c>
      <c r="S4813">
        <v>0</v>
      </c>
    </row>
    <row r="4814" spans="18:19" x14ac:dyDescent="0.25">
      <c r="R4814">
        <v>3522304.8291543014</v>
      </c>
      <c r="S4814">
        <v>0</v>
      </c>
    </row>
    <row r="4815" spans="18:19" x14ac:dyDescent="0.25">
      <c r="R4815">
        <v>3522330.4916551737</v>
      </c>
      <c r="S4815">
        <v>0</v>
      </c>
    </row>
    <row r="4816" spans="18:19" x14ac:dyDescent="0.25">
      <c r="R4816">
        <v>3522356.154156046</v>
      </c>
      <c r="S4816">
        <v>0</v>
      </c>
    </row>
    <row r="4817" spans="18:19" x14ac:dyDescent="0.25">
      <c r="R4817">
        <v>3522381.8166569183</v>
      </c>
      <c r="S4817">
        <v>0</v>
      </c>
    </row>
    <row r="4818" spans="18:19" x14ac:dyDescent="0.25">
      <c r="R4818">
        <v>3522407.479157791</v>
      </c>
      <c r="S4818">
        <v>0</v>
      </c>
    </row>
    <row r="4819" spans="18:19" x14ac:dyDescent="0.25">
      <c r="R4819">
        <v>3522433.1416586633</v>
      </c>
      <c r="S4819">
        <v>0</v>
      </c>
    </row>
    <row r="4820" spans="18:19" x14ac:dyDescent="0.25">
      <c r="R4820">
        <v>3522458.8041595356</v>
      </c>
      <c r="S4820">
        <v>0</v>
      </c>
    </row>
    <row r="4821" spans="18:19" x14ac:dyDescent="0.25">
      <c r="R4821">
        <v>3522484.4666604078</v>
      </c>
      <c r="S4821">
        <v>0</v>
      </c>
    </row>
    <row r="4822" spans="18:19" x14ac:dyDescent="0.25">
      <c r="R4822">
        <v>3522510.1291612806</v>
      </c>
      <c r="S4822">
        <v>0</v>
      </c>
    </row>
    <row r="4823" spans="18:19" x14ac:dyDescent="0.25">
      <c r="R4823">
        <v>3522535.7916621529</v>
      </c>
      <c r="S4823">
        <v>0</v>
      </c>
    </row>
    <row r="4824" spans="18:19" x14ac:dyDescent="0.25">
      <c r="R4824">
        <v>3522561.4541630251</v>
      </c>
      <c r="S4824">
        <v>0</v>
      </c>
    </row>
    <row r="4825" spans="18:19" x14ac:dyDescent="0.25">
      <c r="R4825">
        <v>3522587.1166638974</v>
      </c>
      <c r="S4825">
        <v>0</v>
      </c>
    </row>
    <row r="4826" spans="18:19" x14ac:dyDescent="0.25">
      <c r="R4826">
        <v>3522612.7791647702</v>
      </c>
      <c r="S4826">
        <v>0</v>
      </c>
    </row>
    <row r="4827" spans="18:19" x14ac:dyDescent="0.25">
      <c r="R4827">
        <v>3522638.4416656424</v>
      </c>
      <c r="S4827">
        <v>0</v>
      </c>
    </row>
    <row r="4828" spans="18:19" x14ac:dyDescent="0.25">
      <c r="R4828">
        <v>3522664.1041665147</v>
      </c>
      <c r="S4828">
        <v>0</v>
      </c>
    </row>
    <row r="4829" spans="18:19" x14ac:dyDescent="0.25">
      <c r="R4829">
        <v>3522689.766667387</v>
      </c>
      <c r="S4829">
        <v>0</v>
      </c>
    </row>
    <row r="4830" spans="18:19" x14ac:dyDescent="0.25">
      <c r="R4830">
        <v>3522715.4291682593</v>
      </c>
      <c r="S4830">
        <v>0</v>
      </c>
    </row>
    <row r="4831" spans="18:19" x14ac:dyDescent="0.25">
      <c r="R4831">
        <v>3522741.091669132</v>
      </c>
      <c r="S4831">
        <v>0</v>
      </c>
    </row>
    <row r="4832" spans="18:19" x14ac:dyDescent="0.25">
      <c r="R4832">
        <v>3522766.7541700043</v>
      </c>
      <c r="S4832">
        <v>0</v>
      </c>
    </row>
    <row r="4833" spans="18:19" x14ac:dyDescent="0.25">
      <c r="R4833">
        <v>3522792.4166708766</v>
      </c>
      <c r="S4833">
        <v>0</v>
      </c>
    </row>
    <row r="4834" spans="18:19" x14ac:dyDescent="0.25">
      <c r="R4834">
        <v>3522818.0791717488</v>
      </c>
      <c r="S4834">
        <v>0</v>
      </c>
    </row>
    <row r="4835" spans="18:19" x14ac:dyDescent="0.25">
      <c r="R4835">
        <v>3522843.7416726216</v>
      </c>
      <c r="S4835">
        <v>0</v>
      </c>
    </row>
    <row r="4836" spans="18:19" x14ac:dyDescent="0.25">
      <c r="R4836">
        <v>3522869.4041734939</v>
      </c>
      <c r="S4836">
        <v>0</v>
      </c>
    </row>
    <row r="4837" spans="18:19" x14ac:dyDescent="0.25">
      <c r="R4837">
        <v>3522895.0666743661</v>
      </c>
      <c r="S4837">
        <v>0</v>
      </c>
    </row>
    <row r="4838" spans="18:19" x14ac:dyDescent="0.25">
      <c r="R4838">
        <v>3522920.7291752384</v>
      </c>
      <c r="S4838">
        <v>0</v>
      </c>
    </row>
    <row r="4839" spans="18:19" x14ac:dyDescent="0.25">
      <c r="R4839">
        <v>3522946.3916761111</v>
      </c>
      <c r="S4839">
        <v>0</v>
      </c>
    </row>
    <row r="4840" spans="18:19" x14ac:dyDescent="0.25">
      <c r="R4840">
        <v>3522972.0541769834</v>
      </c>
      <c r="S4840">
        <v>0</v>
      </c>
    </row>
    <row r="4841" spans="18:19" x14ac:dyDescent="0.25">
      <c r="R4841">
        <v>3522997.7166778557</v>
      </c>
      <c r="S4841">
        <v>0</v>
      </c>
    </row>
    <row r="4842" spans="18:19" x14ac:dyDescent="0.25">
      <c r="R4842">
        <v>3523023.379178728</v>
      </c>
      <c r="S4842">
        <v>0</v>
      </c>
    </row>
    <row r="4843" spans="18:19" x14ac:dyDescent="0.25">
      <c r="R4843">
        <v>3523049.0416796007</v>
      </c>
      <c r="S4843">
        <v>0</v>
      </c>
    </row>
    <row r="4844" spans="18:19" x14ac:dyDescent="0.25">
      <c r="R4844">
        <v>3523074.704180473</v>
      </c>
      <c r="S4844">
        <v>0</v>
      </c>
    </row>
    <row r="4845" spans="18:19" x14ac:dyDescent="0.25">
      <c r="R4845">
        <v>3523100.3666813453</v>
      </c>
      <c r="S4845">
        <v>0</v>
      </c>
    </row>
    <row r="4846" spans="18:19" x14ac:dyDescent="0.25">
      <c r="R4846">
        <v>3523126.0291822175</v>
      </c>
      <c r="S4846">
        <v>0</v>
      </c>
    </row>
    <row r="4847" spans="18:19" x14ac:dyDescent="0.25">
      <c r="R4847">
        <v>3523151.6916830898</v>
      </c>
      <c r="S4847">
        <v>0</v>
      </c>
    </row>
    <row r="4848" spans="18:19" x14ac:dyDescent="0.25">
      <c r="R4848">
        <v>3523177.3541839626</v>
      </c>
      <c r="S4848">
        <v>0</v>
      </c>
    </row>
    <row r="4849" spans="18:19" x14ac:dyDescent="0.25">
      <c r="R4849">
        <v>3523203.0166848348</v>
      </c>
      <c r="S4849">
        <v>0</v>
      </c>
    </row>
    <row r="4850" spans="18:19" x14ac:dyDescent="0.25">
      <c r="R4850">
        <v>3523228.6791857071</v>
      </c>
      <c r="S4850">
        <v>0</v>
      </c>
    </row>
    <row r="4851" spans="18:19" x14ac:dyDescent="0.25">
      <c r="R4851">
        <v>3523254.3416865794</v>
      </c>
      <c r="S4851">
        <v>0</v>
      </c>
    </row>
    <row r="4852" spans="18:19" x14ac:dyDescent="0.25">
      <c r="R4852">
        <v>3523280.0041874521</v>
      </c>
      <c r="S4852">
        <v>0</v>
      </c>
    </row>
    <row r="4853" spans="18:19" x14ac:dyDescent="0.25">
      <c r="R4853">
        <v>3523305.6666883244</v>
      </c>
      <c r="S4853">
        <v>0</v>
      </c>
    </row>
    <row r="4854" spans="18:19" x14ac:dyDescent="0.25">
      <c r="R4854">
        <v>3523331.3291891967</v>
      </c>
      <c r="S4854">
        <v>0</v>
      </c>
    </row>
    <row r="4855" spans="18:19" x14ac:dyDescent="0.25">
      <c r="R4855">
        <v>3523356.991690069</v>
      </c>
      <c r="S4855">
        <v>0</v>
      </c>
    </row>
    <row r="4856" spans="18:19" x14ac:dyDescent="0.25">
      <c r="R4856">
        <v>3523382.6541909417</v>
      </c>
      <c r="S4856">
        <v>0</v>
      </c>
    </row>
    <row r="4857" spans="18:19" x14ac:dyDescent="0.25">
      <c r="R4857">
        <v>3523408.316691814</v>
      </c>
      <c r="S4857">
        <v>0</v>
      </c>
    </row>
    <row r="4858" spans="18:19" x14ac:dyDescent="0.25">
      <c r="R4858">
        <v>3523433.9791926863</v>
      </c>
      <c r="S4858">
        <v>0</v>
      </c>
    </row>
    <row r="4859" spans="18:19" x14ac:dyDescent="0.25">
      <c r="R4859">
        <v>3523459.6416935585</v>
      </c>
      <c r="S4859">
        <v>0</v>
      </c>
    </row>
    <row r="4860" spans="18:19" x14ac:dyDescent="0.25">
      <c r="R4860">
        <v>3523485.3041944313</v>
      </c>
      <c r="S4860">
        <v>0</v>
      </c>
    </row>
    <row r="4861" spans="18:19" x14ac:dyDescent="0.25">
      <c r="R4861">
        <v>3523510.9666953036</v>
      </c>
      <c r="S4861">
        <v>0</v>
      </c>
    </row>
    <row r="4862" spans="18:19" x14ac:dyDescent="0.25">
      <c r="R4862">
        <v>3523536.6291961758</v>
      </c>
      <c r="S4862">
        <v>0</v>
      </c>
    </row>
    <row r="4863" spans="18:19" x14ac:dyDescent="0.25">
      <c r="R4863">
        <v>3523562.2916970481</v>
      </c>
      <c r="S4863">
        <v>0</v>
      </c>
    </row>
    <row r="4864" spans="18:19" x14ac:dyDescent="0.25">
      <c r="R4864">
        <v>3523587.9541979204</v>
      </c>
      <c r="S4864">
        <v>0</v>
      </c>
    </row>
    <row r="4865" spans="18:19" x14ac:dyDescent="0.25">
      <c r="R4865">
        <v>3523613.6166987931</v>
      </c>
      <c r="S4865">
        <v>0</v>
      </c>
    </row>
    <row r="4866" spans="18:19" x14ac:dyDescent="0.25">
      <c r="R4866">
        <v>3523639.2791996654</v>
      </c>
      <c r="S4866">
        <v>0</v>
      </c>
    </row>
    <row r="4867" spans="18:19" x14ac:dyDescent="0.25">
      <c r="R4867">
        <v>3523664.9417005377</v>
      </c>
      <c r="S4867">
        <v>0</v>
      </c>
    </row>
    <row r="4868" spans="18:19" x14ac:dyDescent="0.25">
      <c r="R4868">
        <v>3523690.60420141</v>
      </c>
      <c r="S4868">
        <v>0</v>
      </c>
    </row>
    <row r="4869" spans="18:19" x14ac:dyDescent="0.25">
      <c r="R4869">
        <v>3523716.2667022827</v>
      </c>
      <c r="S4869">
        <v>0</v>
      </c>
    </row>
    <row r="4870" spans="18:19" x14ac:dyDescent="0.25">
      <c r="R4870">
        <v>3523741.929203155</v>
      </c>
      <c r="S4870">
        <v>0</v>
      </c>
    </row>
    <row r="4871" spans="18:19" x14ac:dyDescent="0.25">
      <c r="R4871">
        <v>3523767.5917040273</v>
      </c>
      <c r="S4871">
        <v>0</v>
      </c>
    </row>
    <row r="4872" spans="18:19" x14ac:dyDescent="0.25">
      <c r="R4872">
        <v>3523793.2542048995</v>
      </c>
      <c r="S4872">
        <v>0</v>
      </c>
    </row>
    <row r="4873" spans="18:19" x14ac:dyDescent="0.25">
      <c r="R4873">
        <v>3523818.9167057723</v>
      </c>
      <c r="S4873">
        <v>0</v>
      </c>
    </row>
    <row r="4874" spans="18:19" x14ac:dyDescent="0.25">
      <c r="R4874">
        <v>3523844.5792066446</v>
      </c>
      <c r="S4874">
        <v>0</v>
      </c>
    </row>
    <row r="4875" spans="18:19" x14ac:dyDescent="0.25">
      <c r="R4875">
        <v>3523870.2417075168</v>
      </c>
      <c r="S4875">
        <v>0</v>
      </c>
    </row>
    <row r="4876" spans="18:19" x14ac:dyDescent="0.25">
      <c r="R4876">
        <v>3523895.9042083891</v>
      </c>
      <c r="S4876">
        <v>0</v>
      </c>
    </row>
    <row r="4877" spans="18:19" x14ac:dyDescent="0.25">
      <c r="R4877">
        <v>3523921.5667092619</v>
      </c>
      <c r="S4877">
        <v>0</v>
      </c>
    </row>
    <row r="4878" spans="18:19" x14ac:dyDescent="0.25">
      <c r="R4878">
        <v>3523947.2292101341</v>
      </c>
      <c r="S4878">
        <v>0</v>
      </c>
    </row>
    <row r="4879" spans="18:19" x14ac:dyDescent="0.25">
      <c r="R4879">
        <v>3523972.8917110064</v>
      </c>
      <c r="S4879">
        <v>0</v>
      </c>
    </row>
    <row r="4880" spans="18:19" x14ac:dyDescent="0.25">
      <c r="R4880">
        <v>3523998.5542118787</v>
      </c>
      <c r="S4880">
        <v>0</v>
      </c>
    </row>
    <row r="4881" spans="18:19" x14ac:dyDescent="0.25">
      <c r="R4881">
        <v>3524024.216712751</v>
      </c>
      <c r="S4881">
        <v>0</v>
      </c>
    </row>
    <row r="4882" spans="18:19" x14ac:dyDescent="0.25">
      <c r="R4882">
        <v>3524049.8792136237</v>
      </c>
      <c r="S4882">
        <v>0</v>
      </c>
    </row>
    <row r="4883" spans="18:19" x14ac:dyDescent="0.25">
      <c r="R4883">
        <v>3524075.541714496</v>
      </c>
      <c r="S4883">
        <v>0</v>
      </c>
    </row>
    <row r="4884" spans="18:19" x14ac:dyDescent="0.25">
      <c r="R4884">
        <v>3524101.2042153683</v>
      </c>
      <c r="S4884">
        <v>0</v>
      </c>
    </row>
    <row r="4885" spans="18:19" x14ac:dyDescent="0.25">
      <c r="R4885">
        <v>3524126.8667162405</v>
      </c>
      <c r="S4885">
        <v>0</v>
      </c>
    </row>
    <row r="4886" spans="18:19" x14ac:dyDescent="0.25">
      <c r="R4886">
        <v>3524152.5292171133</v>
      </c>
      <c r="S4886">
        <v>0</v>
      </c>
    </row>
    <row r="4887" spans="18:19" x14ac:dyDescent="0.25">
      <c r="R4887">
        <v>3524178.1917179856</v>
      </c>
      <c r="S4887">
        <v>0</v>
      </c>
    </row>
    <row r="4888" spans="18:19" x14ac:dyDescent="0.25">
      <c r="R4888">
        <v>3524203.8542188578</v>
      </c>
      <c r="S4888">
        <v>0</v>
      </c>
    </row>
    <row r="4889" spans="18:19" x14ac:dyDescent="0.25">
      <c r="R4889">
        <v>3524229.5167197301</v>
      </c>
      <c r="S4889">
        <v>0</v>
      </c>
    </row>
    <row r="4890" spans="18:19" x14ac:dyDescent="0.25">
      <c r="R4890">
        <v>3524255.1792206028</v>
      </c>
      <c r="S4890">
        <v>0</v>
      </c>
    </row>
    <row r="4891" spans="18:19" x14ac:dyDescent="0.25">
      <c r="R4891">
        <v>3524280.8417214751</v>
      </c>
      <c r="S4891">
        <v>0</v>
      </c>
    </row>
    <row r="4892" spans="18:19" x14ac:dyDescent="0.25">
      <c r="R4892">
        <v>3524306.5042223474</v>
      </c>
      <c r="S4892">
        <v>0</v>
      </c>
    </row>
    <row r="4893" spans="18:19" x14ac:dyDescent="0.25">
      <c r="R4893">
        <v>3524332.1667232197</v>
      </c>
      <c r="S4893">
        <v>0</v>
      </c>
    </row>
    <row r="4894" spans="18:19" x14ac:dyDescent="0.25">
      <c r="R4894">
        <v>3524357.829224092</v>
      </c>
      <c r="S4894">
        <v>0</v>
      </c>
    </row>
    <row r="4895" spans="18:19" x14ac:dyDescent="0.25">
      <c r="R4895">
        <v>3524383.4917249647</v>
      </c>
      <c r="S4895">
        <v>0</v>
      </c>
    </row>
    <row r="4896" spans="18:19" x14ac:dyDescent="0.25">
      <c r="R4896">
        <v>3524409.154225837</v>
      </c>
      <c r="S4896">
        <v>0</v>
      </c>
    </row>
    <row r="4897" spans="18:19" x14ac:dyDescent="0.25">
      <c r="R4897">
        <v>3524434.8167267093</v>
      </c>
      <c r="S4897">
        <v>0</v>
      </c>
    </row>
    <row r="4898" spans="18:19" x14ac:dyDescent="0.25">
      <c r="R4898">
        <v>3524460.4792275815</v>
      </c>
      <c r="S4898">
        <v>0</v>
      </c>
    </row>
    <row r="4899" spans="18:19" x14ac:dyDescent="0.25">
      <c r="R4899">
        <v>3524486.1417284543</v>
      </c>
      <c r="S4899">
        <v>0</v>
      </c>
    </row>
    <row r="4900" spans="18:19" x14ac:dyDescent="0.25">
      <c r="R4900">
        <v>3524511.8042293265</v>
      </c>
      <c r="S4900">
        <v>0</v>
      </c>
    </row>
    <row r="4901" spans="18:19" x14ac:dyDescent="0.25">
      <c r="R4901">
        <v>3524537.4667301988</v>
      </c>
      <c r="S4901">
        <v>0</v>
      </c>
    </row>
    <row r="4902" spans="18:19" x14ac:dyDescent="0.25">
      <c r="R4902">
        <v>3524563.1292310711</v>
      </c>
      <c r="S4902">
        <v>0</v>
      </c>
    </row>
    <row r="4903" spans="18:19" x14ac:dyDescent="0.25">
      <c r="R4903">
        <v>3524588.7917319438</v>
      </c>
      <c r="S4903">
        <v>0</v>
      </c>
    </row>
    <row r="4904" spans="18:19" x14ac:dyDescent="0.25">
      <c r="R4904">
        <v>3524614.4542328161</v>
      </c>
      <c r="S4904">
        <v>0</v>
      </c>
    </row>
    <row r="4905" spans="18:19" x14ac:dyDescent="0.25">
      <c r="R4905">
        <v>3524640.1167336884</v>
      </c>
      <c r="S4905">
        <v>0</v>
      </c>
    </row>
    <row r="4906" spans="18:19" x14ac:dyDescent="0.25">
      <c r="R4906">
        <v>3524665.7792345607</v>
      </c>
      <c r="S4906">
        <v>0</v>
      </c>
    </row>
    <row r="4907" spans="18:19" x14ac:dyDescent="0.25">
      <c r="R4907">
        <v>3524691.4417354334</v>
      </c>
      <c r="S4907">
        <v>0</v>
      </c>
    </row>
    <row r="4908" spans="18:19" x14ac:dyDescent="0.25">
      <c r="R4908">
        <v>3524717.1042363057</v>
      </c>
      <c r="S4908">
        <v>0</v>
      </c>
    </row>
    <row r="4909" spans="18:19" x14ac:dyDescent="0.25">
      <c r="R4909">
        <v>3524742.766737178</v>
      </c>
      <c r="S4909">
        <v>0</v>
      </c>
    </row>
    <row r="4910" spans="18:19" x14ac:dyDescent="0.25">
      <c r="R4910">
        <v>3524768.4292380502</v>
      </c>
      <c r="S4910">
        <v>3</v>
      </c>
    </row>
    <row r="4911" spans="18:19" x14ac:dyDescent="0.25">
      <c r="R4911">
        <v>3524794.0917389225</v>
      </c>
      <c r="S4911">
        <v>9</v>
      </c>
    </row>
    <row r="4912" spans="18:19" x14ac:dyDescent="0.25">
      <c r="R4912">
        <v>3524819.7542397953</v>
      </c>
      <c r="S4912">
        <v>6</v>
      </c>
    </row>
    <row r="4913" spans="18:19" x14ac:dyDescent="0.25">
      <c r="R4913">
        <v>3524845.4167406675</v>
      </c>
      <c r="S4913">
        <v>6</v>
      </c>
    </row>
    <row r="4914" spans="18:19" x14ac:dyDescent="0.25">
      <c r="R4914">
        <v>3524871.0792415398</v>
      </c>
      <c r="S4914">
        <v>6</v>
      </c>
    </row>
    <row r="4915" spans="18:19" x14ac:dyDescent="0.25">
      <c r="R4915">
        <v>3524896.7417424121</v>
      </c>
      <c r="S4915">
        <v>6</v>
      </c>
    </row>
    <row r="4916" spans="18:19" x14ac:dyDescent="0.25">
      <c r="R4916">
        <v>3524922.4042432848</v>
      </c>
      <c r="S4916">
        <v>6</v>
      </c>
    </row>
    <row r="4917" spans="18:19" x14ac:dyDescent="0.25">
      <c r="R4917">
        <v>3524948.0667441571</v>
      </c>
      <c r="S4917">
        <v>6</v>
      </c>
    </row>
    <row r="4918" spans="18:19" x14ac:dyDescent="0.25">
      <c r="R4918">
        <v>3524973.7292450294</v>
      </c>
      <c r="S4918">
        <v>6</v>
      </c>
    </row>
    <row r="4919" spans="18:19" x14ac:dyDescent="0.25">
      <c r="R4919">
        <v>3524999.3917459017</v>
      </c>
      <c r="S4919">
        <v>6</v>
      </c>
    </row>
    <row r="4920" spans="18:19" x14ac:dyDescent="0.25">
      <c r="R4920">
        <v>3525025.0542467744</v>
      </c>
      <c r="S4920">
        <v>6</v>
      </c>
    </row>
    <row r="4921" spans="18:19" x14ac:dyDescent="0.25">
      <c r="R4921">
        <v>3525050.7167476467</v>
      </c>
      <c r="S4921">
        <v>6</v>
      </c>
    </row>
    <row r="4922" spans="18:19" x14ac:dyDescent="0.25">
      <c r="R4922">
        <v>3525076.379248519</v>
      </c>
      <c r="S4922">
        <v>6</v>
      </c>
    </row>
    <row r="4923" spans="18:19" x14ac:dyDescent="0.25">
      <c r="R4923">
        <v>3525102.0417493912</v>
      </c>
      <c r="S4923">
        <v>6</v>
      </c>
    </row>
    <row r="4924" spans="18:19" x14ac:dyDescent="0.25">
      <c r="R4924">
        <v>3525127.704250264</v>
      </c>
      <c r="S4924">
        <v>6</v>
      </c>
    </row>
    <row r="4925" spans="18:19" x14ac:dyDescent="0.25">
      <c r="R4925">
        <v>3525153.3667511363</v>
      </c>
      <c r="S4925">
        <v>6</v>
      </c>
    </row>
    <row r="4926" spans="18:19" x14ac:dyDescent="0.25">
      <c r="R4926">
        <v>3525179.0292520085</v>
      </c>
      <c r="S4926">
        <v>6</v>
      </c>
    </row>
    <row r="4927" spans="18:19" x14ac:dyDescent="0.25">
      <c r="R4927">
        <v>3525204.6917528808</v>
      </c>
      <c r="S4927">
        <v>6</v>
      </c>
    </row>
    <row r="4928" spans="18:19" x14ac:dyDescent="0.25">
      <c r="R4928">
        <v>3525230.3542537531</v>
      </c>
      <c r="S4928">
        <v>6</v>
      </c>
    </row>
    <row r="4929" spans="18:19" x14ac:dyDescent="0.25">
      <c r="R4929">
        <v>3525256.0167546258</v>
      </c>
      <c r="S4929">
        <v>6</v>
      </c>
    </row>
    <row r="4930" spans="18:19" x14ac:dyDescent="0.25">
      <c r="R4930">
        <v>3525281.6792554981</v>
      </c>
      <c r="S4930">
        <v>6</v>
      </c>
    </row>
    <row r="4931" spans="18:19" x14ac:dyDescent="0.25">
      <c r="R4931">
        <v>3525307.3417563704</v>
      </c>
      <c r="S4931">
        <v>6</v>
      </c>
    </row>
    <row r="4932" spans="18:19" x14ac:dyDescent="0.25">
      <c r="R4932">
        <v>3525333.0042572427</v>
      </c>
      <c r="S4932">
        <v>6</v>
      </c>
    </row>
    <row r="4933" spans="18:19" x14ac:dyDescent="0.25">
      <c r="R4933">
        <v>3525358.6667581154</v>
      </c>
      <c r="S4933">
        <v>6</v>
      </c>
    </row>
    <row r="4934" spans="18:19" x14ac:dyDescent="0.25">
      <c r="R4934">
        <v>3525384.3292589877</v>
      </c>
      <c r="S4934">
        <v>6</v>
      </c>
    </row>
    <row r="4935" spans="18:19" x14ac:dyDescent="0.25">
      <c r="R4935">
        <v>3525409.99175986</v>
      </c>
      <c r="S4935">
        <v>6</v>
      </c>
    </row>
    <row r="4936" spans="18:19" x14ac:dyDescent="0.25">
      <c r="R4936">
        <v>3525435.6542607322</v>
      </c>
      <c r="S4936">
        <v>6</v>
      </c>
    </row>
    <row r="4937" spans="18:19" x14ac:dyDescent="0.25">
      <c r="R4937">
        <v>3525461.316761605</v>
      </c>
      <c r="S4937">
        <v>6</v>
      </c>
    </row>
    <row r="4938" spans="18:19" x14ac:dyDescent="0.25">
      <c r="R4938">
        <v>3525486.9792624773</v>
      </c>
      <c r="S4938">
        <v>6</v>
      </c>
    </row>
    <row r="4939" spans="18:19" x14ac:dyDescent="0.25">
      <c r="R4939">
        <v>3525512.6417633495</v>
      </c>
      <c r="S4939">
        <v>6</v>
      </c>
    </row>
    <row r="4940" spans="18:19" x14ac:dyDescent="0.25">
      <c r="R4940">
        <v>3525538.3042642218</v>
      </c>
      <c r="S4940">
        <v>6</v>
      </c>
    </row>
    <row r="4941" spans="18:19" x14ac:dyDescent="0.25">
      <c r="R4941">
        <v>3525563.9667650945</v>
      </c>
      <c r="S4941">
        <v>6</v>
      </c>
    </row>
    <row r="4942" spans="18:19" x14ac:dyDescent="0.25">
      <c r="R4942">
        <v>3525589.6292659668</v>
      </c>
      <c r="S4942">
        <v>6</v>
      </c>
    </row>
    <row r="4943" spans="18:19" x14ac:dyDescent="0.25">
      <c r="R4943">
        <v>3525615.2917668391</v>
      </c>
      <c r="S4943">
        <v>6</v>
      </c>
    </row>
    <row r="4944" spans="18:19" x14ac:dyDescent="0.25">
      <c r="R4944">
        <v>3525640.9542677114</v>
      </c>
      <c r="S4944">
        <v>6</v>
      </c>
    </row>
    <row r="4945" spans="18:19" x14ac:dyDescent="0.25">
      <c r="R4945">
        <v>3525666.6167685837</v>
      </c>
      <c r="S4945">
        <v>6</v>
      </c>
    </row>
    <row r="4946" spans="18:19" x14ac:dyDescent="0.25">
      <c r="R4946">
        <v>3525692.2792694564</v>
      </c>
      <c r="S4946">
        <v>6</v>
      </c>
    </row>
    <row r="4947" spans="18:19" x14ac:dyDescent="0.25">
      <c r="R4947">
        <v>3525717.9417703287</v>
      </c>
      <c r="S4947">
        <v>6</v>
      </c>
    </row>
    <row r="4948" spans="18:19" x14ac:dyDescent="0.25">
      <c r="R4948">
        <v>3525743.604271201</v>
      </c>
      <c r="S4948">
        <v>6</v>
      </c>
    </row>
    <row r="4949" spans="18:19" x14ac:dyDescent="0.25">
      <c r="R4949">
        <v>3525769.2667720732</v>
      </c>
      <c r="S4949">
        <v>6</v>
      </c>
    </row>
    <row r="4950" spans="18:19" x14ac:dyDescent="0.25">
      <c r="R4950">
        <v>3525794.929272946</v>
      </c>
      <c r="S4950">
        <v>6</v>
      </c>
    </row>
    <row r="4951" spans="18:19" x14ac:dyDescent="0.25">
      <c r="R4951">
        <v>3525820.5917738182</v>
      </c>
      <c r="S4951">
        <v>6</v>
      </c>
    </row>
    <row r="4952" spans="18:19" x14ac:dyDescent="0.25">
      <c r="R4952">
        <v>3525846.2542746905</v>
      </c>
      <c r="S4952">
        <v>6</v>
      </c>
    </row>
    <row r="4953" spans="18:19" x14ac:dyDescent="0.25">
      <c r="R4953">
        <v>3525871.9167755628</v>
      </c>
      <c r="S4953">
        <v>6</v>
      </c>
    </row>
    <row r="4954" spans="18:19" x14ac:dyDescent="0.25">
      <c r="R4954">
        <v>3525897.5792764355</v>
      </c>
      <c r="S4954">
        <v>6</v>
      </c>
    </row>
    <row r="4955" spans="18:19" x14ac:dyDescent="0.25">
      <c r="R4955">
        <v>3525923.2417773078</v>
      </c>
      <c r="S4955">
        <v>6</v>
      </c>
    </row>
    <row r="4956" spans="18:19" x14ac:dyDescent="0.25">
      <c r="R4956">
        <v>3525948.9042781801</v>
      </c>
      <c r="S4956">
        <v>6</v>
      </c>
    </row>
    <row r="4957" spans="18:19" x14ac:dyDescent="0.25">
      <c r="R4957">
        <v>3525974.5667790524</v>
      </c>
      <c r="S4957">
        <v>6</v>
      </c>
    </row>
    <row r="4958" spans="18:19" x14ac:dyDescent="0.25">
      <c r="R4958">
        <v>3526000.2292799246</v>
      </c>
      <c r="S4958">
        <v>6</v>
      </c>
    </row>
    <row r="4959" spans="18:19" x14ac:dyDescent="0.25">
      <c r="R4959">
        <v>3526025.8917807974</v>
      </c>
      <c r="S4959">
        <v>6</v>
      </c>
    </row>
    <row r="4960" spans="18:19" x14ac:dyDescent="0.25">
      <c r="R4960">
        <v>3526051.5542816697</v>
      </c>
      <c r="S4960">
        <v>9</v>
      </c>
    </row>
    <row r="4961" spans="18:19" x14ac:dyDescent="0.25">
      <c r="R4961">
        <v>3526077.2167825419</v>
      </c>
      <c r="S4961">
        <v>15</v>
      </c>
    </row>
    <row r="4962" spans="18:19" x14ac:dyDescent="0.25">
      <c r="R4962">
        <v>3526102.8792834142</v>
      </c>
      <c r="S4962">
        <v>12</v>
      </c>
    </row>
    <row r="4963" spans="18:19" x14ac:dyDescent="0.25">
      <c r="R4963">
        <v>3526128.541784287</v>
      </c>
      <c r="S4963">
        <v>12</v>
      </c>
    </row>
    <row r="4964" spans="18:19" x14ac:dyDescent="0.25">
      <c r="R4964">
        <v>3526154.2042851592</v>
      </c>
      <c r="S4964">
        <v>12</v>
      </c>
    </row>
    <row r="4965" spans="18:19" x14ac:dyDescent="0.25">
      <c r="R4965">
        <v>3526179.8667860315</v>
      </c>
      <c r="S4965">
        <v>12</v>
      </c>
    </row>
    <row r="4966" spans="18:19" x14ac:dyDescent="0.25">
      <c r="R4966">
        <v>3526205.5292869038</v>
      </c>
      <c r="S4966">
        <v>12</v>
      </c>
    </row>
    <row r="4967" spans="18:19" x14ac:dyDescent="0.25">
      <c r="R4967">
        <v>3526231.1917877765</v>
      </c>
      <c r="S4967">
        <v>12</v>
      </c>
    </row>
    <row r="4968" spans="18:19" x14ac:dyDescent="0.25">
      <c r="R4968">
        <v>3526256.8542886488</v>
      </c>
      <c r="S4968">
        <v>12</v>
      </c>
    </row>
    <row r="4969" spans="18:19" x14ac:dyDescent="0.25">
      <c r="R4969">
        <v>3526282.5167895211</v>
      </c>
      <c r="S4969">
        <v>12</v>
      </c>
    </row>
    <row r="4970" spans="18:19" x14ac:dyDescent="0.25">
      <c r="R4970">
        <v>3526308.1792903934</v>
      </c>
      <c r="S4970">
        <v>12</v>
      </c>
    </row>
    <row r="4971" spans="18:19" x14ac:dyDescent="0.25">
      <c r="R4971">
        <v>3526333.8417912661</v>
      </c>
      <c r="S4971">
        <v>12</v>
      </c>
    </row>
    <row r="4972" spans="18:19" x14ac:dyDescent="0.25">
      <c r="R4972">
        <v>3526359.5042921384</v>
      </c>
      <c r="S4972">
        <v>12</v>
      </c>
    </row>
    <row r="4973" spans="18:19" x14ac:dyDescent="0.25">
      <c r="R4973">
        <v>3526385.1667930107</v>
      </c>
      <c r="S4973">
        <v>12</v>
      </c>
    </row>
    <row r="4974" spans="18:19" x14ac:dyDescent="0.25">
      <c r="R4974">
        <v>3526410.8292938829</v>
      </c>
      <c r="S4974">
        <v>12</v>
      </c>
    </row>
    <row r="4975" spans="18:19" x14ac:dyDescent="0.25">
      <c r="R4975">
        <v>3526436.4917947552</v>
      </c>
      <c r="S4975">
        <v>12</v>
      </c>
    </row>
    <row r="4976" spans="18:19" x14ac:dyDescent="0.25">
      <c r="R4976">
        <v>3526462.154295628</v>
      </c>
      <c r="S4976">
        <v>12</v>
      </c>
    </row>
    <row r="4977" spans="18:19" x14ac:dyDescent="0.25">
      <c r="R4977">
        <v>3526487.8167965002</v>
      </c>
      <c r="S4977">
        <v>12</v>
      </c>
    </row>
    <row r="4978" spans="18:19" x14ac:dyDescent="0.25">
      <c r="R4978">
        <v>3526513.4792973725</v>
      </c>
      <c r="S4978">
        <v>12</v>
      </c>
    </row>
    <row r="4979" spans="18:19" x14ac:dyDescent="0.25">
      <c r="R4979">
        <v>3526539.1417982448</v>
      </c>
      <c r="S4979">
        <v>12</v>
      </c>
    </row>
    <row r="4980" spans="18:19" x14ac:dyDescent="0.25">
      <c r="R4980">
        <v>3526564.8042991175</v>
      </c>
      <c r="S4980">
        <v>12</v>
      </c>
    </row>
    <row r="4981" spans="18:19" x14ac:dyDescent="0.25">
      <c r="R4981">
        <v>3526590.4667999898</v>
      </c>
      <c r="S4981">
        <v>12</v>
      </c>
    </row>
    <row r="4982" spans="18:19" x14ac:dyDescent="0.25">
      <c r="R4982">
        <v>3526616.1293008621</v>
      </c>
      <c r="S4982">
        <v>12</v>
      </c>
    </row>
    <row r="4983" spans="18:19" x14ac:dyDescent="0.25">
      <c r="R4983">
        <v>3526641.7918017344</v>
      </c>
      <c r="S4983">
        <v>12</v>
      </c>
    </row>
    <row r="4984" spans="18:19" x14ac:dyDescent="0.25">
      <c r="R4984">
        <v>3526667.4543026071</v>
      </c>
      <c r="S4984">
        <v>12</v>
      </c>
    </row>
    <row r="4985" spans="18:19" x14ac:dyDescent="0.25">
      <c r="R4985">
        <v>3526693.1168034794</v>
      </c>
      <c r="S4985">
        <v>12</v>
      </c>
    </row>
    <row r="4986" spans="18:19" x14ac:dyDescent="0.25">
      <c r="R4986">
        <v>3526718.7793043517</v>
      </c>
      <c r="S4986">
        <v>12</v>
      </c>
    </row>
    <row r="4987" spans="18:19" x14ac:dyDescent="0.25">
      <c r="R4987">
        <v>3526744.4418052239</v>
      </c>
      <c r="S4987">
        <v>15</v>
      </c>
    </row>
    <row r="4988" spans="18:19" x14ac:dyDescent="0.25">
      <c r="R4988">
        <v>3526770.1043060967</v>
      </c>
      <c r="S4988">
        <v>9</v>
      </c>
    </row>
    <row r="4989" spans="18:19" x14ac:dyDescent="0.25">
      <c r="R4989">
        <v>3526795.766806969</v>
      </c>
      <c r="S4989">
        <v>6</v>
      </c>
    </row>
    <row r="4990" spans="18:19" x14ac:dyDescent="0.25">
      <c r="R4990">
        <v>3526821.4293078412</v>
      </c>
      <c r="S4990">
        <v>6</v>
      </c>
    </row>
    <row r="4991" spans="18:19" x14ac:dyDescent="0.25">
      <c r="R4991">
        <v>3526847.0918087135</v>
      </c>
      <c r="S4991">
        <v>6</v>
      </c>
    </row>
    <row r="4992" spans="18:19" x14ac:dyDescent="0.25">
      <c r="R4992">
        <v>3526872.7543095858</v>
      </c>
      <c r="S4992">
        <v>6</v>
      </c>
    </row>
    <row r="4993" spans="18:19" x14ac:dyDescent="0.25">
      <c r="R4993">
        <v>3526898.4168104585</v>
      </c>
      <c r="S4993">
        <v>6</v>
      </c>
    </row>
    <row r="4994" spans="18:19" x14ac:dyDescent="0.25">
      <c r="R4994">
        <v>3526924.0793113308</v>
      </c>
      <c r="S4994">
        <v>6</v>
      </c>
    </row>
    <row r="4995" spans="18:19" x14ac:dyDescent="0.25">
      <c r="R4995">
        <v>3526949.7418122031</v>
      </c>
      <c r="S4995">
        <v>6</v>
      </c>
    </row>
    <row r="4996" spans="18:19" x14ac:dyDescent="0.25">
      <c r="R4996">
        <v>3526975.4043130754</v>
      </c>
      <c r="S4996">
        <v>6</v>
      </c>
    </row>
    <row r="4997" spans="18:19" x14ac:dyDescent="0.25">
      <c r="R4997">
        <v>3527001.0668139481</v>
      </c>
      <c r="S4997">
        <v>6</v>
      </c>
    </row>
    <row r="4998" spans="18:19" x14ac:dyDescent="0.25">
      <c r="R4998">
        <v>3527026.7293148204</v>
      </c>
      <c r="S4998">
        <v>6</v>
      </c>
    </row>
    <row r="4999" spans="18:19" x14ac:dyDescent="0.25">
      <c r="R4999">
        <v>3527052.3918156927</v>
      </c>
      <c r="S4999">
        <v>6</v>
      </c>
    </row>
    <row r="5000" spans="18:19" x14ac:dyDescent="0.25">
      <c r="R5000">
        <v>3527078.0543165649</v>
      </c>
      <c r="S5000">
        <v>6</v>
      </c>
    </row>
    <row r="5001" spans="18:19" x14ac:dyDescent="0.25">
      <c r="R5001">
        <v>3527103.7168174377</v>
      </c>
      <c r="S5001">
        <v>6</v>
      </c>
    </row>
    <row r="5002" spans="18:19" x14ac:dyDescent="0.25">
      <c r="R5002">
        <v>3527129.3793183099</v>
      </c>
      <c r="S5002">
        <v>6</v>
      </c>
    </row>
    <row r="5003" spans="18:19" x14ac:dyDescent="0.25">
      <c r="R5003">
        <v>3527155.0418191822</v>
      </c>
      <c r="S5003">
        <v>6</v>
      </c>
    </row>
    <row r="5004" spans="18:19" x14ac:dyDescent="0.25">
      <c r="R5004">
        <v>3527180.7043200545</v>
      </c>
      <c r="S5004">
        <v>6</v>
      </c>
    </row>
    <row r="5005" spans="18:19" x14ac:dyDescent="0.25">
      <c r="R5005">
        <v>3527206.3668209272</v>
      </c>
      <c r="S5005">
        <v>6</v>
      </c>
    </row>
    <row r="5006" spans="18:19" x14ac:dyDescent="0.25">
      <c r="R5006">
        <v>3527232.0293217995</v>
      </c>
      <c r="S5006">
        <v>6</v>
      </c>
    </row>
    <row r="5007" spans="18:19" x14ac:dyDescent="0.25">
      <c r="R5007">
        <v>3527257.6918226718</v>
      </c>
      <c r="S5007">
        <v>6</v>
      </c>
    </row>
    <row r="5008" spans="18:19" x14ac:dyDescent="0.25">
      <c r="R5008">
        <v>3527283.3543235441</v>
      </c>
      <c r="S5008">
        <v>6</v>
      </c>
    </row>
    <row r="5009" spans="18:19" x14ac:dyDescent="0.25">
      <c r="R5009">
        <v>3527309.0168244164</v>
      </c>
      <c r="S5009">
        <v>6</v>
      </c>
    </row>
    <row r="5010" spans="18:19" x14ac:dyDescent="0.25">
      <c r="R5010">
        <v>3527334.6793252891</v>
      </c>
      <c r="S5010">
        <v>6</v>
      </c>
    </row>
    <row r="5011" spans="18:19" x14ac:dyDescent="0.25">
      <c r="R5011">
        <v>3527360.3418261614</v>
      </c>
      <c r="S5011">
        <v>6</v>
      </c>
    </row>
    <row r="5012" spans="18:19" x14ac:dyDescent="0.25">
      <c r="R5012">
        <v>3527386.0043270336</v>
      </c>
      <c r="S5012">
        <v>6</v>
      </c>
    </row>
    <row r="5013" spans="18:19" x14ac:dyDescent="0.25">
      <c r="R5013">
        <v>3527411.6668279059</v>
      </c>
      <c r="S5013">
        <v>6</v>
      </c>
    </row>
    <row r="5014" spans="18:19" x14ac:dyDescent="0.25">
      <c r="R5014">
        <v>3527437.3293287787</v>
      </c>
      <c r="S5014">
        <v>6</v>
      </c>
    </row>
    <row r="5015" spans="18:19" x14ac:dyDescent="0.25">
      <c r="R5015">
        <v>3527462.9918296509</v>
      </c>
      <c r="S5015">
        <v>6</v>
      </c>
    </row>
    <row r="5016" spans="18:19" x14ac:dyDescent="0.25">
      <c r="R5016">
        <v>3527488.6543305232</v>
      </c>
      <c r="S5016">
        <v>6</v>
      </c>
    </row>
    <row r="5017" spans="18:19" x14ac:dyDescent="0.25">
      <c r="R5017">
        <v>3527514.3168313955</v>
      </c>
      <c r="S5017">
        <v>6</v>
      </c>
    </row>
    <row r="5018" spans="18:19" x14ac:dyDescent="0.25">
      <c r="R5018">
        <v>3527539.9793322682</v>
      </c>
      <c r="S5018">
        <v>6</v>
      </c>
    </row>
    <row r="5019" spans="18:19" x14ac:dyDescent="0.25">
      <c r="R5019">
        <v>3527565.6418331405</v>
      </c>
      <c r="S5019">
        <v>6</v>
      </c>
    </row>
    <row r="5020" spans="18:19" x14ac:dyDescent="0.25">
      <c r="R5020">
        <v>3527591.3043340128</v>
      </c>
      <c r="S5020">
        <v>6</v>
      </c>
    </row>
    <row r="5021" spans="18:19" x14ac:dyDescent="0.25">
      <c r="R5021">
        <v>3527616.9668348851</v>
      </c>
      <c r="S5021">
        <v>6</v>
      </c>
    </row>
    <row r="5022" spans="18:19" x14ac:dyDescent="0.25">
      <c r="R5022">
        <v>3527642.6293357573</v>
      </c>
      <c r="S5022">
        <v>6</v>
      </c>
    </row>
    <row r="5023" spans="18:19" x14ac:dyDescent="0.25">
      <c r="R5023">
        <v>3527668.2918366301</v>
      </c>
      <c r="S5023">
        <v>6</v>
      </c>
    </row>
    <row r="5024" spans="18:19" x14ac:dyDescent="0.25">
      <c r="R5024">
        <v>3527693.9543375024</v>
      </c>
      <c r="S5024">
        <v>6</v>
      </c>
    </row>
    <row r="5025" spans="18:19" x14ac:dyDescent="0.25">
      <c r="R5025">
        <v>3527719.6168383746</v>
      </c>
      <c r="S5025">
        <v>6</v>
      </c>
    </row>
    <row r="5026" spans="18:19" x14ac:dyDescent="0.25">
      <c r="R5026">
        <v>3527745.2793392469</v>
      </c>
      <c r="S5026">
        <v>6</v>
      </c>
    </row>
    <row r="5027" spans="18:19" x14ac:dyDescent="0.25">
      <c r="R5027">
        <v>3527770.9418401197</v>
      </c>
      <c r="S5027">
        <v>6</v>
      </c>
    </row>
    <row r="5028" spans="18:19" x14ac:dyDescent="0.25">
      <c r="R5028">
        <v>3527796.6043409919</v>
      </c>
      <c r="S5028">
        <v>6</v>
      </c>
    </row>
    <row r="5029" spans="18:19" x14ac:dyDescent="0.25">
      <c r="R5029">
        <v>3527822.2668418642</v>
      </c>
      <c r="S5029">
        <v>6</v>
      </c>
    </row>
    <row r="5030" spans="18:19" x14ac:dyDescent="0.25">
      <c r="R5030">
        <v>3527847.9293427365</v>
      </c>
      <c r="S5030">
        <v>6</v>
      </c>
    </row>
    <row r="5031" spans="18:19" x14ac:dyDescent="0.25">
      <c r="R5031">
        <v>3527873.5918436092</v>
      </c>
      <c r="S5031">
        <v>6</v>
      </c>
    </row>
    <row r="5032" spans="18:19" x14ac:dyDescent="0.25">
      <c r="R5032">
        <v>3527899.2543444815</v>
      </c>
      <c r="S5032">
        <v>6</v>
      </c>
    </row>
    <row r="5033" spans="18:19" x14ac:dyDescent="0.25">
      <c r="R5033">
        <v>3527924.9168453538</v>
      </c>
      <c r="S5033">
        <v>6</v>
      </c>
    </row>
    <row r="5034" spans="18:19" x14ac:dyDescent="0.25">
      <c r="R5034">
        <v>3527950.5793462261</v>
      </c>
      <c r="S5034">
        <v>6</v>
      </c>
    </row>
    <row r="5035" spans="18:19" x14ac:dyDescent="0.25">
      <c r="R5035">
        <v>3527976.2418470988</v>
      </c>
      <c r="S5035">
        <v>6</v>
      </c>
    </row>
    <row r="5036" spans="18:19" x14ac:dyDescent="0.25">
      <c r="R5036">
        <v>3528001.9043479711</v>
      </c>
      <c r="S5036">
        <v>6</v>
      </c>
    </row>
    <row r="5037" spans="18:19" x14ac:dyDescent="0.25">
      <c r="R5037">
        <v>3528027.5668488434</v>
      </c>
      <c r="S5037">
        <v>6</v>
      </c>
    </row>
    <row r="5038" spans="18:19" x14ac:dyDescent="0.25">
      <c r="R5038">
        <v>3528053.2293497156</v>
      </c>
      <c r="S5038">
        <v>9</v>
      </c>
    </row>
    <row r="5039" spans="18:19" x14ac:dyDescent="0.25">
      <c r="R5039">
        <v>3528078.8918505879</v>
      </c>
      <c r="S5039">
        <v>3</v>
      </c>
    </row>
    <row r="5040" spans="18:19" x14ac:dyDescent="0.25">
      <c r="R5040">
        <v>3528104.5543514607</v>
      </c>
      <c r="S5040">
        <v>0</v>
      </c>
    </row>
    <row r="5041" spans="18:19" x14ac:dyDescent="0.25">
      <c r="R5041">
        <v>3528130.2168523329</v>
      </c>
      <c r="S5041">
        <v>0</v>
      </c>
    </row>
    <row r="5042" spans="18:19" x14ac:dyDescent="0.25">
      <c r="R5042">
        <v>3528155.8793532052</v>
      </c>
      <c r="S5042">
        <v>0</v>
      </c>
    </row>
    <row r="5043" spans="18:19" x14ac:dyDescent="0.25">
      <c r="R5043">
        <v>3528181.5418540775</v>
      </c>
      <c r="S5043">
        <v>0</v>
      </c>
    </row>
    <row r="5044" spans="18:19" x14ac:dyDescent="0.25">
      <c r="R5044">
        <v>3528207.2043549502</v>
      </c>
      <c r="S5044">
        <v>0</v>
      </c>
    </row>
    <row r="5045" spans="18:19" x14ac:dyDescent="0.25">
      <c r="R5045">
        <v>3528232.8668558225</v>
      </c>
      <c r="S5045">
        <v>0</v>
      </c>
    </row>
    <row r="5046" spans="18:19" x14ac:dyDescent="0.25">
      <c r="R5046">
        <v>3528258.5293566948</v>
      </c>
      <c r="S5046">
        <v>0</v>
      </c>
    </row>
    <row r="5047" spans="18:19" x14ac:dyDescent="0.25">
      <c r="R5047">
        <v>3528284.1918575671</v>
      </c>
      <c r="S5047">
        <v>0</v>
      </c>
    </row>
    <row r="5048" spans="18:19" x14ac:dyDescent="0.25">
      <c r="R5048">
        <v>3528309.8543584398</v>
      </c>
      <c r="S5048">
        <v>0</v>
      </c>
    </row>
    <row r="5049" spans="18:19" x14ac:dyDescent="0.25">
      <c r="R5049">
        <v>3528335.5168593121</v>
      </c>
      <c r="S5049">
        <v>0</v>
      </c>
    </row>
    <row r="5050" spans="18:19" x14ac:dyDescent="0.25">
      <c r="R5050">
        <v>3528361.1793601844</v>
      </c>
      <c r="S5050">
        <v>0</v>
      </c>
    </row>
    <row r="5051" spans="18:19" x14ac:dyDescent="0.25">
      <c r="R5051">
        <v>3528386.8418610566</v>
      </c>
      <c r="S5051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D25"/>
  <sheetViews>
    <sheetView workbookViewId="0">
      <selection activeCell="I20" sqref="I20"/>
    </sheetView>
  </sheetViews>
  <sheetFormatPr defaultRowHeight="15" x14ac:dyDescent="0.25"/>
  <cols>
    <col min="1" max="1" width="13.140625" bestFit="1" customWidth="1"/>
    <col min="8" max="8" width="11.42578125" bestFit="1" customWidth="1"/>
    <col min="14" max="14" width="14" bestFit="1" customWidth="1"/>
  </cols>
  <sheetData>
    <row r="1" spans="1:16" x14ac:dyDescent="0.25">
      <c r="A1" s="6" t="s">
        <v>27</v>
      </c>
      <c r="B1" s="7">
        <v>1</v>
      </c>
      <c r="C1" s="6">
        <v>2</v>
      </c>
      <c r="F1" s="8" t="s">
        <v>32</v>
      </c>
      <c r="G1" s="6" t="s">
        <v>33</v>
      </c>
      <c r="H1" s="6" t="s">
        <v>34</v>
      </c>
      <c r="I1" s="6" t="s">
        <v>35</v>
      </c>
      <c r="J1" s="6" t="s">
        <v>36</v>
      </c>
      <c r="K1" s="6" t="s">
        <v>37</v>
      </c>
      <c r="L1" s="6" t="s">
        <v>38</v>
      </c>
      <c r="N1" s="6" t="s">
        <v>45</v>
      </c>
      <c r="O1" s="6" t="s">
        <v>46</v>
      </c>
      <c r="P1" s="6" t="s">
        <v>47</v>
      </c>
    </row>
    <row r="2" spans="1:16" x14ac:dyDescent="0.25">
      <c r="A2" s="6" t="s">
        <v>28</v>
      </c>
      <c r="B2" s="74">
        <v>50</v>
      </c>
      <c r="C2" s="75">
        <v>39.99</v>
      </c>
      <c r="F2" s="77">
        <v>1</v>
      </c>
      <c r="G2" s="79">
        <v>1435</v>
      </c>
      <c r="H2" s="77" t="s">
        <v>39</v>
      </c>
      <c r="I2" s="77" t="s">
        <v>40</v>
      </c>
      <c r="J2" s="77">
        <v>4</v>
      </c>
      <c r="K2" s="80">
        <v>3322.5</v>
      </c>
      <c r="L2" s="80">
        <v>-2811.96</v>
      </c>
      <c r="N2" s="76">
        <v>1321.68</v>
      </c>
      <c r="O2" s="9">
        <v>1</v>
      </c>
      <c r="P2" s="9">
        <v>1</v>
      </c>
    </row>
    <row r="3" spans="1:16" x14ac:dyDescent="0.25">
      <c r="A3" s="6" t="s">
        <v>29</v>
      </c>
      <c r="B3" s="74">
        <v>126</v>
      </c>
      <c r="C3" s="75">
        <v>-35.99</v>
      </c>
      <c r="F3" s="77">
        <v>2</v>
      </c>
      <c r="G3" s="77">
        <v>1435</v>
      </c>
      <c r="H3" s="77" t="s">
        <v>39</v>
      </c>
      <c r="I3" s="77" t="s">
        <v>40</v>
      </c>
      <c r="J3" s="77">
        <v>3</v>
      </c>
      <c r="K3" s="75">
        <v>3280</v>
      </c>
      <c r="L3" s="75">
        <v>-914.66</v>
      </c>
    </row>
    <row r="4" spans="1:16" x14ac:dyDescent="0.25">
      <c r="A4" s="6" t="s">
        <v>30</v>
      </c>
      <c r="B4" s="74">
        <v>126</v>
      </c>
      <c r="C4" s="75">
        <v>-35.99</v>
      </c>
      <c r="F4" s="77">
        <v>3</v>
      </c>
      <c r="G4" s="77">
        <v>1435</v>
      </c>
      <c r="H4" s="77" t="s">
        <v>39</v>
      </c>
      <c r="I4" s="77" t="s">
        <v>40</v>
      </c>
      <c r="J4" s="77">
        <v>1</v>
      </c>
      <c r="K4" s="75">
        <v>7002</v>
      </c>
      <c r="L4" s="75">
        <v>520.34</v>
      </c>
    </row>
    <row r="5" spans="1:16" x14ac:dyDescent="0.25">
      <c r="A5" s="6" t="s">
        <v>31</v>
      </c>
      <c r="B5" s="76">
        <v>7990</v>
      </c>
      <c r="C5" s="77">
        <v>2648</v>
      </c>
      <c r="F5" s="77">
        <v>4</v>
      </c>
      <c r="G5" s="77">
        <v>1435</v>
      </c>
      <c r="H5" s="77" t="s">
        <v>39</v>
      </c>
      <c r="I5" s="77" t="s">
        <v>40</v>
      </c>
      <c r="J5" s="77">
        <v>2</v>
      </c>
      <c r="K5" s="75">
        <v>7002.1</v>
      </c>
      <c r="L5" s="75">
        <v>2365</v>
      </c>
    </row>
    <row r="6" spans="1:16" x14ac:dyDescent="0.25">
      <c r="A6" s="78" t="s">
        <v>150</v>
      </c>
      <c r="B6" s="76">
        <v>0</v>
      </c>
      <c r="C6" s="77">
        <v>1000</v>
      </c>
      <c r="F6" s="77">
        <v>5</v>
      </c>
      <c r="G6" s="77">
        <v>1435</v>
      </c>
      <c r="H6" s="77" t="s">
        <v>39</v>
      </c>
      <c r="I6" s="77" t="s">
        <v>40</v>
      </c>
      <c r="J6" s="77">
        <v>3</v>
      </c>
      <c r="K6" s="75">
        <v>6252</v>
      </c>
      <c r="L6" s="75">
        <v>3800</v>
      </c>
    </row>
    <row r="7" spans="1:16" x14ac:dyDescent="0.25">
      <c r="A7" s="6" t="s">
        <v>151</v>
      </c>
      <c r="B7" s="77">
        <f>B5-B6</f>
        <v>7990</v>
      </c>
      <c r="C7" s="77">
        <f>C5-C6</f>
        <v>1648</v>
      </c>
      <c r="F7" s="77">
        <v>6</v>
      </c>
      <c r="G7" s="77">
        <v>1435</v>
      </c>
      <c r="H7" s="77" t="s">
        <v>42</v>
      </c>
      <c r="I7" s="77" t="s">
        <v>40</v>
      </c>
      <c r="J7" s="77">
        <v>1</v>
      </c>
      <c r="K7" s="81">
        <v>885</v>
      </c>
      <c r="L7" s="77">
        <f>-1435*0.5</f>
        <v>-717.5</v>
      </c>
    </row>
    <row r="8" spans="1:16" x14ac:dyDescent="0.25">
      <c r="F8" s="77">
        <v>7</v>
      </c>
      <c r="G8" s="77">
        <v>0</v>
      </c>
      <c r="H8" s="77" t="s">
        <v>43</v>
      </c>
      <c r="I8" s="77" t="s">
        <v>41</v>
      </c>
      <c r="J8" s="77"/>
      <c r="K8" s="77" t="s">
        <v>44</v>
      </c>
      <c r="L8" s="77" t="s">
        <v>44</v>
      </c>
    </row>
    <row r="25" spans="5:30" x14ac:dyDescent="0.25">
      <c r="E25" s="61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3"/>
      <c r="Q25" s="61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1</vt:lpstr>
      <vt:lpstr>исходные данные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2026-05-06T09:58:41Z</dcterms:modified>
</cp:coreProperties>
</file>